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MXI02004856A\Documents\AXA\PRODUCTOS\AP INDIVIDUAL\"/>
    </mc:Choice>
  </mc:AlternateContent>
  <workbookProtection workbookPassword="B7F1" lockStructure="1"/>
  <bookViews>
    <workbookView xWindow="0" yWindow="0" windowWidth="21600" windowHeight="8535"/>
  </bookViews>
  <sheets>
    <sheet name="Inicio" sheetId="1" r:id="rId1"/>
    <sheet name="IndAnual" sheetId="2" state="hidden" r:id="rId2"/>
    <sheet name="CotIndAnu" sheetId="4" state="hidden" r:id="rId3"/>
    <sheet name="FamAnual" sheetId="5" state="hidden" r:id="rId4"/>
    <sheet name="CotFamAnu" sheetId="6" state="hidden" r:id="rId5"/>
    <sheet name="IndCPlzo" sheetId="8" state="hidden" r:id="rId6"/>
    <sheet name="CotIndCPz" sheetId="9" state="hidden" r:id="rId7"/>
    <sheet name="Tarifas" sheetId="3" state="hidden" r:id="rId8"/>
    <sheet name="Tipos de Riesgo" sheetId="10" state="hidden" r:id="rId9"/>
  </sheets>
  <externalReferences>
    <externalReference r:id="rId10"/>
  </externalReferences>
  <definedNames>
    <definedName name="_xlnm.Print_Area" localSheetId="4">CotFamAnu!$A$1:$N$148</definedName>
    <definedName name="_xlnm.Print_Area" localSheetId="2">CotIndAnu!$A$1:$N$103</definedName>
    <definedName name="_xlnm.Print_Area" localSheetId="6">CotIndCPz!$A$1:$N$101</definedName>
    <definedName name="solver_adj" localSheetId="0" hidden="1">Inicio!#REF!</definedName>
    <definedName name="solver_cvg" localSheetId="0" hidden="1">0.0001</definedName>
    <definedName name="solver_drv" localSheetId="0" hidden="1">1</definedName>
    <definedName name="solver_eng" localSheetId="0" hidden="1">1</definedName>
    <definedName name="solver_est" localSheetId="0" hidden="1">1</definedName>
    <definedName name="solver_itr" localSheetId="0" hidden="1">2147483647</definedName>
    <definedName name="solver_mip" localSheetId="0" hidden="1">2147483647</definedName>
    <definedName name="solver_mni" localSheetId="0" hidden="1">30</definedName>
    <definedName name="solver_mrt" localSheetId="0" hidden="1">0.075</definedName>
    <definedName name="solver_msl" localSheetId="0" hidden="1">2</definedName>
    <definedName name="solver_neg" localSheetId="0" hidden="1">1</definedName>
    <definedName name="solver_nod" localSheetId="0" hidden="1">2147483647</definedName>
    <definedName name="solver_num" localSheetId="0" hidden="1">0</definedName>
    <definedName name="solver_nwt" localSheetId="0" hidden="1">1</definedName>
    <definedName name="solver_opt" localSheetId="0" hidden="1">Inicio!#REF!</definedName>
    <definedName name="solver_pre" localSheetId="0" hidden="1">0.000001</definedName>
    <definedName name="solver_rbv" localSheetId="0" hidden="1">1</definedName>
    <definedName name="solver_rlx" localSheetId="0" hidden="1">2</definedName>
    <definedName name="solver_rsd" localSheetId="0" hidden="1">0</definedName>
    <definedName name="solver_scl" localSheetId="0" hidden="1">1</definedName>
    <definedName name="solver_sho" localSheetId="0" hidden="1">2</definedName>
    <definedName name="solver_ssz" localSheetId="0" hidden="1">100</definedName>
    <definedName name="solver_tim" localSheetId="0" hidden="1">2147483647</definedName>
    <definedName name="solver_tol" localSheetId="0" hidden="1">0.01</definedName>
    <definedName name="solver_typ" localSheetId="0" hidden="1">3</definedName>
    <definedName name="solver_val" localSheetId="0" hidden="1">0</definedName>
    <definedName name="solver_ver" localSheetId="0" hidden="1">3</definedName>
    <definedName name="_xlnm.Print_Titles" localSheetId="4">CotFamAnu!$1:$32</definedName>
    <definedName name="_xlnm.Print_Titles" localSheetId="2">CotIndAnu!$1:$16</definedName>
    <definedName name="_xlnm.Print_Titles" localSheetId="6">CotIndCPz!$1:$16</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66" i="8" l="1"/>
  <c r="D58" i="8"/>
  <c r="J22" i="9" l="1"/>
  <c r="E22" i="9"/>
  <c r="E20" i="9"/>
  <c r="H14" i="9"/>
  <c r="E14" i="9"/>
  <c r="G12" i="9"/>
  <c r="G10" i="9"/>
  <c r="G8" i="9"/>
  <c r="C29" i="9"/>
  <c r="O19" i="3"/>
  <c r="N19" i="3"/>
  <c r="M19" i="3"/>
  <c r="L19" i="3"/>
  <c r="K19" i="3"/>
  <c r="J19" i="3"/>
  <c r="I19" i="3"/>
  <c r="H19" i="3"/>
  <c r="G19" i="3"/>
  <c r="F19" i="3"/>
  <c r="O18" i="3"/>
  <c r="N18" i="3"/>
  <c r="M18" i="3"/>
  <c r="L18" i="3"/>
  <c r="K18" i="3"/>
  <c r="J18" i="3"/>
  <c r="I18" i="3"/>
  <c r="H18" i="3"/>
  <c r="G18" i="3"/>
  <c r="F18" i="3"/>
  <c r="O17" i="3"/>
  <c r="N17" i="3"/>
  <c r="M17" i="3"/>
  <c r="L17" i="3"/>
  <c r="K17" i="3"/>
  <c r="J17" i="3"/>
  <c r="I17" i="3"/>
  <c r="H17" i="3"/>
  <c r="G17" i="3"/>
  <c r="F17" i="3"/>
  <c r="M69" i="8"/>
  <c r="M68" i="8"/>
  <c r="E69" i="8"/>
  <c r="M70" i="8" s="1"/>
  <c r="K66" i="8"/>
  <c r="M65" i="8"/>
  <c r="N65" i="8" s="1"/>
  <c r="J30" i="8"/>
  <c r="J70" i="9" s="1"/>
  <c r="F36" i="8"/>
  <c r="K14" i="9" s="1"/>
  <c r="O2" i="8"/>
  <c r="O3" i="8" s="1"/>
  <c r="O4" i="8" s="1"/>
  <c r="O5" i="8" s="1"/>
  <c r="O6" i="8" s="1"/>
  <c r="O7" i="8" s="1"/>
  <c r="O8" i="8" s="1"/>
  <c r="O9" i="8" s="1"/>
  <c r="O10" i="8" s="1"/>
  <c r="O11" i="8" s="1"/>
  <c r="O12" i="8" s="1"/>
  <c r="O13" i="8" s="1"/>
  <c r="O14" i="8" s="1"/>
  <c r="O15" i="8" s="1"/>
  <c r="O16" i="8" s="1"/>
  <c r="O17" i="8" s="1"/>
  <c r="O18" i="8" s="1"/>
  <c r="O19" i="8" s="1"/>
  <c r="O20" i="8" s="1"/>
  <c r="O21" i="8" s="1"/>
  <c r="O22" i="8" s="1"/>
  <c r="O23" i="8" s="1"/>
  <c r="O24" i="8" s="1"/>
  <c r="O25" i="8" s="1"/>
  <c r="O26" i="8" s="1"/>
  <c r="J106" i="6"/>
  <c r="J105" i="6"/>
  <c r="J104" i="6"/>
  <c r="J103" i="6"/>
  <c r="J102" i="6"/>
  <c r="M76" i="5"/>
  <c r="M75" i="5"/>
  <c r="M74" i="5"/>
  <c r="M73" i="5"/>
  <c r="M72" i="5"/>
  <c r="M71" i="5"/>
  <c r="M70" i="5"/>
  <c r="M69" i="5"/>
  <c r="K32" i="5" s="1"/>
  <c r="M68" i="5"/>
  <c r="M67" i="5"/>
  <c r="H117" i="6"/>
  <c r="H116" i="6"/>
  <c r="H115" i="6"/>
  <c r="H114" i="6"/>
  <c r="H113" i="6"/>
  <c r="L30" i="6"/>
  <c r="K30" i="6"/>
  <c r="L29" i="6"/>
  <c r="K29" i="6"/>
  <c r="L28" i="6"/>
  <c r="K28" i="6"/>
  <c r="L27" i="6"/>
  <c r="K27" i="6"/>
  <c r="L26" i="6"/>
  <c r="K26" i="6"/>
  <c r="L25" i="6"/>
  <c r="K25" i="6"/>
  <c r="L24" i="6"/>
  <c r="K24" i="6"/>
  <c r="L23" i="6"/>
  <c r="K23" i="6"/>
  <c r="L22" i="6"/>
  <c r="K22" i="6"/>
  <c r="K21" i="6"/>
  <c r="L21" i="6"/>
  <c r="J30" i="6"/>
  <c r="J29" i="6"/>
  <c r="J28" i="6"/>
  <c r="J27" i="6"/>
  <c r="J26" i="6"/>
  <c r="J25" i="6"/>
  <c r="J24" i="6"/>
  <c r="J23" i="6"/>
  <c r="J22" i="6"/>
  <c r="J21" i="6"/>
  <c r="D30" i="6"/>
  <c r="D29" i="6"/>
  <c r="D28" i="6"/>
  <c r="D27" i="6"/>
  <c r="D26" i="6"/>
  <c r="D25" i="6"/>
  <c r="D24" i="6"/>
  <c r="D23" i="6"/>
  <c r="D22" i="6"/>
  <c r="D21" i="6"/>
  <c r="C30" i="6"/>
  <c r="C29" i="6"/>
  <c r="C28" i="6"/>
  <c r="C27" i="6"/>
  <c r="C26" i="6"/>
  <c r="C25" i="6"/>
  <c r="C24" i="6"/>
  <c r="C23" i="6"/>
  <c r="C22" i="6"/>
  <c r="C21" i="6"/>
  <c r="C45" i="6"/>
  <c r="J38" i="6"/>
  <c r="E38" i="6"/>
  <c r="E36" i="6"/>
  <c r="H14" i="6"/>
  <c r="E14" i="6"/>
  <c r="G12" i="6"/>
  <c r="G10" i="6"/>
  <c r="G8" i="6"/>
  <c r="Q67" i="2"/>
  <c r="J22" i="4"/>
  <c r="E22" i="4"/>
  <c r="E20" i="4"/>
  <c r="H14" i="4"/>
  <c r="E14" i="4"/>
  <c r="G12" i="4"/>
  <c r="G10" i="4"/>
  <c r="G8" i="4"/>
  <c r="F91" i="5"/>
  <c r="F87" i="5"/>
  <c r="E60" i="5"/>
  <c r="G60" i="5" s="1"/>
  <c r="D58" i="2"/>
  <c r="J30" i="2" s="1"/>
  <c r="L76" i="5"/>
  <c r="K76" i="5"/>
  <c r="L75" i="5"/>
  <c r="K75" i="5"/>
  <c r="L74" i="5"/>
  <c r="K74" i="5"/>
  <c r="L73" i="5"/>
  <c r="K73" i="5"/>
  <c r="L72" i="5"/>
  <c r="K72" i="5"/>
  <c r="L71" i="5"/>
  <c r="K71" i="5"/>
  <c r="L70" i="5"/>
  <c r="K70" i="5"/>
  <c r="L69" i="5"/>
  <c r="K69" i="5"/>
  <c r="L68" i="5"/>
  <c r="K68" i="5"/>
  <c r="L67" i="5"/>
  <c r="K67" i="5"/>
  <c r="F84" i="5"/>
  <c r="F86" i="5"/>
  <c r="R36" i="3"/>
  <c r="R35" i="3"/>
  <c r="R34" i="3"/>
  <c r="R33" i="3"/>
  <c r="R32" i="3"/>
  <c r="R31" i="3"/>
  <c r="R30" i="3"/>
  <c r="R29" i="3"/>
  <c r="R28" i="3"/>
  <c r="R27" i="3"/>
  <c r="R26" i="3"/>
  <c r="R25" i="3"/>
  <c r="R24" i="3"/>
  <c r="R23" i="3"/>
  <c r="R22" i="3"/>
  <c r="R21" i="3"/>
  <c r="R20" i="3"/>
  <c r="R19" i="3"/>
  <c r="R18" i="3"/>
  <c r="R17" i="3"/>
  <c r="R16" i="3"/>
  <c r="R15" i="3"/>
  <c r="R14" i="3"/>
  <c r="R13" i="3"/>
  <c r="R12" i="3"/>
  <c r="R11" i="3"/>
  <c r="R10" i="3"/>
  <c r="R9" i="3"/>
  <c r="R2" i="5"/>
  <c r="R3" i="5" s="1"/>
  <c r="R4" i="5" s="1"/>
  <c r="R5" i="5" s="1"/>
  <c r="R6" i="5" s="1"/>
  <c r="R7" i="5" s="1"/>
  <c r="C68" i="5"/>
  <c r="C69" i="5" s="1"/>
  <c r="C70" i="5" s="1"/>
  <c r="C71" i="5" s="1"/>
  <c r="C72" i="5" s="1"/>
  <c r="C73" i="5" s="1"/>
  <c r="C74" i="5" s="1"/>
  <c r="C75" i="5" s="1"/>
  <c r="C76" i="5" s="1"/>
  <c r="G38" i="5"/>
  <c r="K14" i="6" s="1"/>
  <c r="P2" i="5"/>
  <c r="P3" i="5" s="1"/>
  <c r="P4" i="5" s="1"/>
  <c r="P5" i="5" s="1"/>
  <c r="P6" i="5" s="1"/>
  <c r="P7" i="5" s="1"/>
  <c r="P8" i="5" s="1"/>
  <c r="P9" i="5" s="1"/>
  <c r="P10" i="5" s="1"/>
  <c r="P11" i="5" s="1"/>
  <c r="P12" i="5" s="1"/>
  <c r="P13" i="5" s="1"/>
  <c r="P14" i="5" s="1"/>
  <c r="P15" i="5" s="1"/>
  <c r="P16" i="5" s="1"/>
  <c r="P17" i="5" s="1"/>
  <c r="P18" i="5" s="1"/>
  <c r="P19" i="5" s="1"/>
  <c r="P20" i="5" s="1"/>
  <c r="P21" i="5" s="1"/>
  <c r="P22" i="5" s="1"/>
  <c r="P23" i="5" s="1"/>
  <c r="P24" i="5" s="1"/>
  <c r="P25" i="5" s="1"/>
  <c r="P26" i="5" s="1"/>
  <c r="F36" i="2"/>
  <c r="K14" i="4" s="1"/>
  <c r="J71" i="4" l="1"/>
  <c r="J73" i="9"/>
  <c r="J72" i="9"/>
  <c r="J71" i="9"/>
  <c r="J6" i="9"/>
  <c r="Q63" i="8"/>
  <c r="Q64" i="8" s="1"/>
  <c r="M66" i="8"/>
  <c r="N66" i="8" s="1"/>
  <c r="N70" i="8"/>
  <c r="J32" i="5"/>
  <c r="H86" i="4"/>
  <c r="H85" i="4"/>
  <c r="H84" i="4"/>
  <c r="H82" i="4"/>
  <c r="H83" i="4"/>
  <c r="J75" i="4"/>
  <c r="J74" i="4"/>
  <c r="J73" i="4"/>
  <c r="J72" i="4"/>
  <c r="J6" i="6"/>
  <c r="L83" i="5"/>
  <c r="M83" i="5" s="1"/>
  <c r="M85" i="5" s="1"/>
  <c r="M86" i="5" s="1"/>
  <c r="M87" i="5" s="1"/>
  <c r="B10" i="3"/>
  <c r="B11" i="3" s="1"/>
  <c r="N72" i="8" l="1"/>
  <c r="J90" i="6"/>
  <c r="J91" i="6"/>
  <c r="J88" i="6"/>
  <c r="J89" i="6"/>
  <c r="B12" i="3"/>
  <c r="B13" i="3" s="1"/>
  <c r="B14" i="3" s="1"/>
  <c r="B15" i="3" s="1"/>
  <c r="B16" i="3" s="1"/>
  <c r="B17" i="3" s="1"/>
  <c r="B18" i="3" s="1"/>
  <c r="B19" i="3" s="1"/>
  <c r="B20" i="3" s="1"/>
  <c r="C29" i="4"/>
  <c r="N73" i="8" l="1"/>
  <c r="H80" i="9"/>
  <c r="N74" i="8" l="1"/>
  <c r="H81" i="9"/>
  <c r="C97" i="4"/>
  <c r="M70" i="2"/>
  <c r="E70" i="2"/>
  <c r="E66" i="2"/>
  <c r="M68" i="2"/>
  <c r="H82" i="9" l="1"/>
  <c r="N75" i="8"/>
  <c r="D97" i="4"/>
  <c r="N76" i="8" l="1"/>
  <c r="H84" i="9" s="1"/>
  <c r="H83" i="9"/>
  <c r="N68" i="2"/>
  <c r="M65" i="2"/>
  <c r="N65" i="2" s="1"/>
  <c r="M71" i="2"/>
  <c r="K66" i="2"/>
  <c r="M66" i="2" s="1"/>
  <c r="N66" i="2" s="1"/>
  <c r="M72" i="2"/>
  <c r="O2" i="2"/>
  <c r="O3" i="2" s="1"/>
  <c r="O4" i="2" s="1"/>
  <c r="O5" i="2" s="1"/>
  <c r="O6" i="2" s="1"/>
  <c r="O7" i="2" s="1"/>
  <c r="O8" i="2" s="1"/>
  <c r="O9" i="2" s="1"/>
  <c r="O10" i="2" s="1"/>
  <c r="O11" i="2" s="1"/>
  <c r="O12" i="2" s="1"/>
  <c r="O13" i="2" s="1"/>
  <c r="O14" i="2" s="1"/>
  <c r="O15" i="2" s="1"/>
  <c r="O16" i="2" s="1"/>
  <c r="O17" i="2" s="1"/>
  <c r="O18" i="2" s="1"/>
  <c r="O19" i="2" s="1"/>
  <c r="O20" i="2" s="1"/>
  <c r="O21" i="2" s="1"/>
  <c r="O22" i="2" s="1"/>
  <c r="O23" i="2" s="1"/>
  <c r="O24" i="2" s="1"/>
  <c r="O25" i="2" s="1"/>
  <c r="O26" i="2" s="1"/>
  <c r="F58" i="2"/>
  <c r="J6" i="4" l="1"/>
  <c r="N72" i="2"/>
  <c r="N74" i="2" s="1"/>
  <c r="N75" i="2" l="1"/>
  <c r="N76" i="2" l="1"/>
  <c r="N77" i="2" l="1"/>
  <c r="N78" i="2" l="1"/>
  <c r="F89" i="5" l="1"/>
  <c r="M88" i="5" l="1"/>
  <c r="M89" i="5" s="1"/>
</calcChain>
</file>

<file path=xl/sharedStrings.xml><?xml version="1.0" encoding="utf-8"?>
<sst xmlns="http://schemas.openxmlformats.org/spreadsheetml/2006/main" count="2801" uniqueCount="440">
  <si>
    <t>COBERTURA</t>
  </si>
  <si>
    <t>A</t>
  </si>
  <si>
    <t>B</t>
  </si>
  <si>
    <t>C</t>
  </si>
  <si>
    <t>D</t>
  </si>
  <si>
    <t>E</t>
  </si>
  <si>
    <t>F</t>
  </si>
  <si>
    <t>G</t>
  </si>
  <si>
    <t>H</t>
  </si>
  <si>
    <t>I</t>
  </si>
  <si>
    <t>J</t>
  </si>
  <si>
    <t>MUERTE ACCIDENTAL</t>
  </si>
  <si>
    <t>INDEMNIZACIÓN DIARIA</t>
  </si>
  <si>
    <t>NOMBRE DEL CONTRATANTE:</t>
  </si>
  <si>
    <t>NOMBRE DEL ASEGURADO:</t>
  </si>
  <si>
    <t>OCUPACIÓN:</t>
  </si>
  <si>
    <t>TIPO DE RIESGO:</t>
  </si>
  <si>
    <t>NOMBRE DEL AGENTE:</t>
  </si>
  <si>
    <t>DATOS DEL AGENTE:</t>
  </si>
  <si>
    <t>CENTRO DE COSTOS:</t>
  </si>
  <si>
    <t>NÚMERO DE AGENTE:</t>
  </si>
  <si>
    <t>EDAD:</t>
  </si>
  <si>
    <t>AL</t>
  </si>
  <si>
    <t>PÉRDIDAS ORGÁNICAS</t>
  </si>
  <si>
    <t>ESCALA:</t>
  </si>
  <si>
    <t>SUMA ASEGURADA / CONDICIÓN</t>
  </si>
  <si>
    <t>DATOS DEL CLIENTE</t>
  </si>
  <si>
    <t>VIGENCIA DE LA PÓLIZA</t>
  </si>
  <si>
    <t>DEL:</t>
  </si>
  <si>
    <t>SUMA ASEGURADA:</t>
  </si>
  <si>
    <t>COBERTURAS AMPARADAS</t>
  </si>
  <si>
    <t>% S/ MUERTE ACC.:</t>
  </si>
  <si>
    <t>FILA COB</t>
  </si>
  <si>
    <t>PMA</t>
  </si>
  <si>
    <t>PÉRDIDAS ORGÁNICAS "A"</t>
  </si>
  <si>
    <t>PÉRDIDAS ORGÁNICAS "B"</t>
  </si>
  <si>
    <t>CUOTA AL MILLAR POR TIPO DE RIESGO</t>
  </si>
  <si>
    <t>REEM. GTOS. MÉD. POR ACC.</t>
  </si>
  <si>
    <t>INDEMNIZACIÓN DIARIA POR ACCIDENTE:</t>
  </si>
  <si>
    <t>RGM (15 , oo)</t>
  </si>
  <si>
    <t>RGM (0 , 5]</t>
  </si>
  <si>
    <t>RGM (5 , 15]</t>
  </si>
  <si>
    <t>FACTOR</t>
  </si>
  <si>
    <t>PMA FINAL</t>
  </si>
  <si>
    <t>COB</t>
  </si>
  <si>
    <t>MA</t>
  </si>
  <si>
    <t>PO</t>
  </si>
  <si>
    <t>IDA</t>
  </si>
  <si>
    <t>RGMA</t>
  </si>
  <si>
    <t>COUTAS POR COBERTURA</t>
  </si>
  <si>
    <t>DERECHOS DE PÓLIZA</t>
  </si>
  <si>
    <t>PRIMA NETA</t>
  </si>
  <si>
    <t>PMA NETA</t>
  </si>
  <si>
    <t>ACCIDENTES PERSONALES INDIVIDUAL ANUAL</t>
  </si>
  <si>
    <t>SEGURO COTIZADO:</t>
  </si>
  <si>
    <t>COTIZACIÓN DEL SEGURO DE</t>
  </si>
  <si>
    <t>ACCIDENTES PERSONALES INDIVIDUAL</t>
  </si>
  <si>
    <t>SUMA ASEGURADA</t>
  </si>
  <si>
    <t>INDEMNIZACIÓN DIARIA POR ACCIDENTE</t>
  </si>
  <si>
    <t>REEMBOLSO DE GASTOS MÉDICOS POR ACCIDENTE</t>
  </si>
  <si>
    <t>SUMA
ASEGURADA</t>
  </si>
  <si>
    <t>PMA NETA EXTRAPRIMA</t>
  </si>
  <si>
    <t>COBERTURAS Y PRIMA</t>
  </si>
  <si>
    <t>DESGLOSE DE PRIMA</t>
  </si>
  <si>
    <t>DERECHO DE PÓLIZA</t>
  </si>
  <si>
    <t>IVA</t>
  </si>
  <si>
    <t>PRIMA TOTAL</t>
  </si>
  <si>
    <t>CONCEPTO</t>
  </si>
  <si>
    <t>MONTO</t>
  </si>
  <si>
    <t>PRIMA NETA CON EXTRAPRIMA</t>
  </si>
  <si>
    <t>VIGENCIA:</t>
  </si>
  <si>
    <t>OCUPACIÓN DEL ASEGURADO:</t>
  </si>
  <si>
    <t>AP INDIVIDUAL ANUAL</t>
  </si>
  <si>
    <t>EDAD DEL ASEGURADO:</t>
  </si>
  <si>
    <t>MESES</t>
  </si>
  <si>
    <t>Enero</t>
  </si>
  <si>
    <t>Febrero</t>
  </si>
  <si>
    <t>Marzo</t>
  </si>
  <si>
    <t>Abril</t>
  </si>
  <si>
    <t>Mayo</t>
  </si>
  <si>
    <t>Junio</t>
  </si>
  <si>
    <t>Julio</t>
  </si>
  <si>
    <t>Agosto</t>
  </si>
  <si>
    <t>Septiembre</t>
  </si>
  <si>
    <t>Octubre</t>
  </si>
  <si>
    <t>Noviembre</t>
  </si>
  <si>
    <t>Diciembre</t>
  </si>
  <si>
    <t>DATOS DEL AGENTE</t>
  </si>
  <si>
    <t>NOMBRE:</t>
  </si>
  <si>
    <t>NÚMERO:</t>
  </si>
  <si>
    <t>DESCRIPCIÓN DE COBERTURAS</t>
  </si>
  <si>
    <t>P</t>
  </si>
  <si>
    <t>En AXA nos preocupamos por otorgar tranquilidad a nuestros asegurados en caso de alguna eventualidad que ponga en riesgo su estabilidad o patrimonio.</t>
  </si>
  <si>
    <r>
      <rPr>
        <b/>
        <sz val="10"/>
        <color theme="1"/>
        <rFont val="Arial Narrow"/>
        <family val="2"/>
      </rPr>
      <t>Indemnización Diaria por Accidente</t>
    </r>
    <r>
      <rPr>
        <sz val="10"/>
        <color theme="1"/>
        <rFont val="Arial Narrow"/>
        <family val="2"/>
      </rPr>
      <t>: Se otorga el monto de la indemnización contratada de manera diaria al asegurado si sufre algún accidente cubierto.</t>
    </r>
  </si>
  <si>
    <r>
      <rPr>
        <b/>
        <sz val="10"/>
        <color theme="1"/>
        <rFont val="Arial Narrow"/>
        <family val="2"/>
      </rPr>
      <t>Reembolso de Gastos Médicos por Accidente</t>
    </r>
    <r>
      <rPr>
        <sz val="10"/>
        <color theme="1"/>
        <rFont val="Arial Narrow"/>
        <family val="2"/>
      </rPr>
      <t>: Si como consecuencia directa de un accidente, el asegurado se viera precisado a someterse a tratamiento médico o intervención quirúrgica, hospitalizarse, o hacer uso de los servicios de enfermera, ambulancia o medicinas, se reembolsará al asegurado los gastos erogados por los conceptos anteriores teniendo como límite la suma asegurada contratada, previa comprobación de los mismos.</t>
    </r>
  </si>
  <si>
    <t>PRINCIPALES EXCLUSIONES</t>
  </si>
  <si>
    <t>û</t>
  </si>
  <si>
    <t>Suicidio o cualquier intento del mismo, lesiones o mutilaciones voluntarias aun cuando se cometan bajo algún estado de enajenación mental.</t>
  </si>
  <si>
    <t>Envenenamientos de cualquier origen o naturaleza, inhalación de gases o humo así como sus resultados, excepto si se demuestra que fue accidental.</t>
  </si>
  <si>
    <t>Cualquier lesión autoinfligida.</t>
  </si>
  <si>
    <t>Mutilación voluntaria, aún cuando se cometa en estado de enajenación mental o debido a la inhalación voluntaria de gas de cualquier clase.</t>
  </si>
  <si>
    <t>Accidentes y/o lesiones a consecuencia de radiaciones atómicas, nucleares ocualquier otro similar, o en caso de manejo de sustancias radioactivas.</t>
  </si>
  <si>
    <t>Tratamiento médico o quirúrgico recibido fuera de la República Mexicana.</t>
  </si>
  <si>
    <t>¡</t>
  </si>
  <si>
    <t>CONSIDERACIONES IMPORTANTES</t>
  </si>
  <si>
    <t>Esta cotización es sólo ilustrativa y no forma parte del contrato de seguro. Así mismo queda sujeto a la determinación final por parte del Área de Selección de Riesgos.</t>
  </si>
  <si>
    <t>FECHA DE COTIZACIÓN:</t>
  </si>
  <si>
    <t>FECHA DE COTIZACIÓN</t>
  </si>
  <si>
    <t>La presente cotización tiene una vigencia de 30 (treinta) días a partir de su fecha de realización.</t>
  </si>
  <si>
    <t>La emisión de la póliza estará sujeta al correcto cumplimiento de los requisitos correspondientes.</t>
  </si>
  <si>
    <t>ATENTAMENTE</t>
  </si>
  <si>
    <t>AXA SEGUROS, S.A. DE C.V.</t>
  </si>
  <si>
    <t>MES</t>
  </si>
  <si>
    <t>NO.
MES</t>
  </si>
  <si>
    <t>GENERALES</t>
  </si>
  <si>
    <t>DERECHOS</t>
  </si>
  <si>
    <t>PRIMA
NETA</t>
  </si>
  <si>
    <t>ACCIDENTES PERSONALES FAMILIAR</t>
  </si>
  <si>
    <t>DEPENDIENTES ECONÓMICOS</t>
  </si>
  <si>
    <t>NO.</t>
  </si>
  <si>
    <t>NOMBRE</t>
  </si>
  <si>
    <t>PARENTEZCO</t>
  </si>
  <si>
    <t>Esposo(a)</t>
  </si>
  <si>
    <t>Hijo(a)</t>
  </si>
  <si>
    <t>EDAD</t>
  </si>
  <si>
    <t>MA Y PO TIT</t>
  </si>
  <si>
    <t>MA Y PO DEP</t>
  </si>
  <si>
    <t>RGM TIT</t>
  </si>
  <si>
    <t>RGM DEP</t>
  </si>
  <si>
    <t>RGM DEP&lt;12</t>
  </si>
  <si>
    <t>SUMA ASEGURADA POR COBERTURA</t>
  </si>
  <si>
    <t>ACCIDENTES PERSONALES FAMILIAR ANUAL</t>
  </si>
  <si>
    <t>TITULAR</t>
  </si>
  <si>
    <t>REEMBOLSO DE GTOS. MÉDICOS POR ACC.:</t>
  </si>
  <si>
    <t>DEPENDIENTES</t>
  </si>
  <si>
    <t>GASTOS FUNERARIOS (MENORES 12 AÑOS):</t>
  </si>
  <si>
    <t>NOMBRE DEL ASEG. TITULAR:</t>
  </si>
  <si>
    <t>MUERTE ACCIDENTAL (MAYORES 11 AÑOS):</t>
  </si>
  <si>
    <t>EDAD MIN</t>
  </si>
  <si>
    <t>EDAD MAX</t>
  </si>
  <si>
    <t>AP FAMILIAR ANUAL</t>
  </si>
  <si>
    <t>Max IDA</t>
  </si>
  <si>
    <r>
      <rPr>
        <b/>
        <sz val="10"/>
        <color theme="1"/>
        <rFont val="Arial Narrow"/>
        <family val="2"/>
      </rPr>
      <t>Pérdidas Orgánicas</t>
    </r>
    <r>
      <rPr>
        <sz val="10"/>
        <color theme="1"/>
        <rFont val="Arial Narrow"/>
        <family val="2"/>
      </rPr>
      <t>: Cubre las pérdidas orgánicas que sufra el asegurado como consecuencia directa de un accidente, de acuerdo con la escala contratada.</t>
    </r>
  </si>
  <si>
    <r>
      <rPr>
        <b/>
        <sz val="10"/>
        <color theme="1"/>
        <rFont val="Arial Narrow"/>
        <family val="2"/>
      </rPr>
      <t>Gastos Funerarios</t>
    </r>
    <r>
      <rPr>
        <sz val="10"/>
        <color theme="1"/>
        <rFont val="Arial Narrow"/>
        <family val="2"/>
      </rPr>
      <t>: Si como consecuencia directa de un accidente dentro de los noventa días siguientes a la ocurrencia del mismo el asegurado pierde la vida, se reembolsarán los gastos relacionados directamente con el sepelio, teniendo como límite la suma asegurada contratada. Aplica para asegurados menores de 12 años.</t>
    </r>
  </si>
  <si>
    <r>
      <rPr>
        <b/>
        <sz val="10"/>
        <color theme="1"/>
        <rFont val="Arial Narrow"/>
        <family val="2"/>
      </rPr>
      <t>Muerte Accidental</t>
    </r>
    <r>
      <rPr>
        <sz val="10"/>
        <color theme="1"/>
        <rFont val="Arial Narrow"/>
        <family val="2"/>
      </rPr>
      <t>: Se indemniza a los beneficiarios, si como consecuencia directa de un accidente y dentro de los noventa días siguientes a la ocurrencia del mismo, ocurre la muerte del asegurado. Aplica para asegurados de 12 años en adelante.</t>
    </r>
  </si>
  <si>
    <r>
      <rPr>
        <b/>
        <sz val="10"/>
        <color theme="1"/>
        <rFont val="Arial Narrow"/>
        <family val="2"/>
      </rPr>
      <t>Muerte Accidental</t>
    </r>
    <r>
      <rPr>
        <sz val="10"/>
        <color theme="1"/>
        <rFont val="Arial Narrow"/>
        <family val="2"/>
      </rPr>
      <t>: Se indemniza a los beneficiarios, si como consecuencia directa de un accidente y dentro de los noventa días siguientes a la ocurrencia del mismo, ocurre la mujerte del asegurado. No aplica deducible ni coaseguro.</t>
    </r>
  </si>
  <si>
    <t>NOMBRE DEL ASEGURADO TITULAR:</t>
  </si>
  <si>
    <t>OCUPACIÓN DEL ASEGURADO TITULAR:</t>
  </si>
  <si>
    <t>EDAD DEL ASEG. TITULAR:</t>
  </si>
  <si>
    <t>DATOS DE LOS DEPENDIENTES ECONÓMICOS</t>
  </si>
  <si>
    <t>ASEGURADO
TITULAR</t>
  </si>
  <si>
    <t>DEPENDIENTES
ECONÓMICOS</t>
  </si>
  <si>
    <t>MUERTE ACCIDENTAL (A PARTIR DE 12 AÑOS)</t>
  </si>
  <si>
    <t>GASTOS FUNERARIOS (MANORES DE 12 AÑOS)</t>
  </si>
  <si>
    <t>COBERTURAS AMPARADAS (ASEGURADO TITULAR)</t>
  </si>
  <si>
    <t>COBERTURAS AMPARADAS (DEPENDIENTES ECONÓMICOS)</t>
  </si>
  <si>
    <t>APLICA?</t>
  </si>
  <si>
    <t>ACCIDENTES PERSONALES INDIVIDUAL CORTO PLAZO</t>
  </si>
  <si>
    <t>El tipo de riesgo puede ser modificado por el área de selección de acuerdo con la ocupación del asegurado.</t>
  </si>
  <si>
    <t>PLAN INDIVIDUAL ANUAL / CORTO PLAZO</t>
  </si>
  <si>
    <t>PLAN FAMILIAR ANUAL</t>
  </si>
  <si>
    <t>PLAN INDIVIDUAL CORTO PLAZO</t>
  </si>
  <si>
    <t>FACTORES CORTO PLAZO</t>
  </si>
  <si>
    <t>DÍAS</t>
  </si>
  <si>
    <t>FACTOR CP</t>
  </si>
  <si>
    <t>AP INDIVIDUAL CORTO PLAZO</t>
  </si>
  <si>
    <t>Aplica deducible de $500 para la cobertura de Reembolso de Gastos Médicos por Accidente.</t>
  </si>
  <si>
    <t>Personas que trabajan tiempo completo en lugares no peligrosos, tales como Oficinas, Tiendas, Locales, Despachos, etc., cuya ocupación no representa peligro especial.Ej. Oficinistas, Farmacéuticos, Optometristas, Sastres, Modistas, Dibujantes, etc.</t>
  </si>
  <si>
    <t>Personas cuya ocupación se desempeña principalmente en la calle, sin exposición de riesgos calificados.Ej. Cobradores, Vendedores, Inspectores, Propagandistas, etc.</t>
  </si>
  <si>
    <t>Personas que realizan trabajos manuales ligeros, utilizando material y herramienta poco peligrosa.</t>
  </si>
  <si>
    <t>Ej. Reparadores de Radio, Televisión, Tapizadores, Cortineros, etc.</t>
  </si>
  <si>
    <t>Personas que necesitan viajar constantemente para el desempeño de su ocupación habitual, sin exposición de riesgos calificados.</t>
  </si>
  <si>
    <t>Ej. Agentes Viajeros, Inspectores Viajeros, Comerciantes Viajeros, etc.</t>
  </si>
  <si>
    <t>Personas que supervisan procesos de manufactura y operaciones de construcción.</t>
  </si>
  <si>
    <t>Ej. Ingenieros, Arquitectos, Contratistas, etc.</t>
  </si>
  <si>
    <t>Personas que manejan vehículos urbanos, de reparto y transportadores de carga ligera.</t>
  </si>
  <si>
    <t>Ej. Taxistas, Choferes de Autobuses, de Camionetas, de Mudanzas, etc.</t>
  </si>
  <si>
    <t>Personas que supervisan trabajos en fábricas con productos o substancias que presentan cierto peligro.</t>
  </si>
  <si>
    <t>Ej. Fabricantes de Alcohol, Ácidos, Acero, etc.</t>
  </si>
  <si>
    <t>Personas que efectúan trabajos manuales ligeros pero cuyas herramientas, material o si el medio en el que se desempeña representa peligro.</t>
  </si>
  <si>
    <t>Ej. Plomeros, Vidrieros, Mecánicos, Zapateros, Empleados de Gasolinera, etc.</t>
  </si>
  <si>
    <t>Choferes de Autobuses Foráneos de Pasajeros.</t>
  </si>
  <si>
    <t>Personas que efectúan trabajos manuales sin manejar maquinaria, pero cuya actividad es por si misma peligrosa dado el medio en el que se desempeña.</t>
  </si>
  <si>
    <t>Choferes de Ambulancia, carga pesada, transporte de material explosivo o peligroso o sean urbanos o foráneos</t>
  </si>
  <si>
    <t>Ej. Instaladores de Antenas y Elevadores, Albañiles, Electricistas de Alto Voltaje, Policías, Patrulleros, etc.</t>
  </si>
  <si>
    <t>Personas que manejan maquinaria pesada.</t>
  </si>
  <si>
    <t>Ej. Operador de Palas Mecánicas, Aplanadoras, etc.</t>
  </si>
  <si>
    <t>Personas que se sirven de motocicletas para el desarrollo de su trabajo.</t>
  </si>
  <si>
    <t>Personas que desempeñan una ocupación cuya propia naturaleza representa un riesgo peligroso y constante.</t>
  </si>
  <si>
    <t>Ej. Detective, Limpiadores de Ventanas, Operadores de Planta Eléctrica de Alto Voltaje, etc.</t>
  </si>
  <si>
    <t>TIPOS DE RIESGO DE ACUERDO AL TARISIMPLEX</t>
  </si>
  <si>
    <t>TIPO</t>
  </si>
  <si>
    <t>DESCRIPCIÓN / EJEMPLOS</t>
  </si>
  <si>
    <t>A C T I V I D A D E S</t>
  </si>
  <si>
    <t>DESPLAZANDOSE CON</t>
  </si>
  <si>
    <t>EN LUGARES FIJOS</t>
  </si>
  <si>
    <t>MUCHA FRECUENCIA</t>
  </si>
  <si>
    <t>OCUPACION, PROFESION, O ACTIVIDAD ESPECIFICA</t>
  </si>
  <si>
    <t>EN LA CALLE</t>
  </si>
  <si>
    <t>EN VIAJE</t>
  </si>
  <si>
    <t>EN OFNA., TIENDA, DESPACHO, LABORATORIO, ETC.</t>
  </si>
  <si>
    <t>SUPERVISANDO</t>
  </si>
  <si>
    <t>SIN MANEJO DE HERRAMIENTA</t>
  </si>
  <si>
    <t>CON MNEJO DE HERRAMIENTA</t>
  </si>
  <si>
    <t>CON MANEJO DE MAQUINARIA LIGERA</t>
  </si>
  <si>
    <t>CON MANEJO DE MAQUINARIA PESADA</t>
  </si>
  <si>
    <t>OTROS EMPLEOS O ACTIVIDADES</t>
  </si>
  <si>
    <t>ABARROTERO</t>
  </si>
  <si>
    <t xml:space="preserve"> - </t>
  </si>
  <si>
    <t xml:space="preserve"> -</t>
  </si>
  <si>
    <t>ABOGADO</t>
  </si>
  <si>
    <t>ACTUARIO</t>
  </si>
  <si>
    <t>AGENTE DE COMPRAS</t>
  </si>
  <si>
    <t>AGENTE SECRETO</t>
  </si>
  <si>
    <t>AGENTE DE VENTAS</t>
  </si>
  <si>
    <t>AGRICULTOR</t>
  </si>
  <si>
    <t>AJUSTADOR DE SEGUROS</t>
  </si>
  <si>
    <t>ALBAÑIL</t>
  </si>
  <si>
    <t>ALCALDE</t>
  </si>
  <si>
    <t>ALFARERO</t>
  </si>
  <si>
    <t>ALIJADOR</t>
  </si>
  <si>
    <t>ALPINISTA PROFESIONAL</t>
  </si>
  <si>
    <t>AMA DE CASA</t>
  </si>
  <si>
    <t>ANESTESIÓLOGO</t>
  </si>
  <si>
    <t>ANTICUARIO</t>
  </si>
  <si>
    <t>APARADORISTA</t>
  </si>
  <si>
    <t>APICULTOR</t>
  </si>
  <si>
    <t>ÁRBITRO</t>
  </si>
  <si>
    <t>ARCHIVISTA</t>
  </si>
  <si>
    <t>ARQUITECTO</t>
  </si>
  <si>
    <t>ARTESANO</t>
  </si>
  <si>
    <r>
      <t xml:space="preserve">ARTISTA, </t>
    </r>
    <r>
      <rPr>
        <sz val="9"/>
        <rFont val="Times New Roman"/>
        <family val="1"/>
      </rPr>
      <t>radio, TV., cine y teatro. (Extras consideración individual)</t>
    </r>
  </si>
  <si>
    <t>ARREGLISTA (MUSICA)</t>
  </si>
  <si>
    <t>AUDITOR</t>
  </si>
  <si>
    <t>AVICULTOR</t>
  </si>
  <si>
    <t>BACTERÓLOGO</t>
  </si>
  <si>
    <t>BAILARÍN</t>
  </si>
  <si>
    <t>BANDERILLERO</t>
  </si>
  <si>
    <t>BANQUERO</t>
  </si>
  <si>
    <t>BEISBOLISTA PROFESIONAL</t>
  </si>
  <si>
    <t>BIBILIOTECARIO</t>
  </si>
  <si>
    <t>BIÓLOGO</t>
  </si>
  <si>
    <t>BODEGUERO</t>
  </si>
  <si>
    <t>BOMBERO</t>
  </si>
  <si>
    <t>BOTÁNICO</t>
  </si>
  <si>
    <r>
      <t xml:space="preserve">BOXEADOR PROFESIONAL </t>
    </r>
    <r>
      <rPr>
        <sz val="9"/>
        <rFont val="Times New Roman"/>
        <family val="1"/>
      </rPr>
      <t>Consideración Individual</t>
    </r>
  </si>
  <si>
    <r>
      <t xml:space="preserve">BUZO PROFESIONAL </t>
    </r>
    <r>
      <rPr>
        <sz val="9"/>
        <rFont val="Times New Roman"/>
        <family val="1"/>
      </rPr>
      <t>Consideración Individual</t>
    </r>
  </si>
  <si>
    <t>CAJERO</t>
  </si>
  <si>
    <t>CAJISTA</t>
  </si>
  <si>
    <t>CANTINERO</t>
  </si>
  <si>
    <t>CARPINTERO</t>
  </si>
  <si>
    <t>CARTERO</t>
  </si>
  <si>
    <t>CAZADOR PROFESIONAL</t>
  </si>
  <si>
    <t>CELADOR</t>
  </si>
  <si>
    <t>CERRAJERO</t>
  </si>
  <si>
    <t>CIRUJANO</t>
  </si>
  <si>
    <t>COBRADOR</t>
  </si>
  <si>
    <r>
      <t xml:space="preserve">COBRADOR </t>
    </r>
    <r>
      <rPr>
        <sz val="9"/>
        <rFont val="Times New Roman"/>
        <family val="1"/>
      </rPr>
      <t>usando motocicleta o motoneta</t>
    </r>
  </si>
  <si>
    <t>COCINERO</t>
  </si>
  <si>
    <t>CRIADO DOMÉSTICO</t>
  </si>
  <si>
    <t>CONTADOR</t>
  </si>
  <si>
    <t>CONTRALISTA</t>
  </si>
  <si>
    <t>COMPOSITOR</t>
  </si>
  <si>
    <t>CORDELERO</t>
  </si>
  <si>
    <t>COREÓGRAFO</t>
  </si>
  <si>
    <r>
      <t xml:space="preserve">CORREDOR PROFESIONAL DE AUTOMÓVILES </t>
    </r>
    <r>
      <rPr>
        <sz val="9"/>
        <rFont val="Times New Roman"/>
        <family val="1"/>
      </rPr>
      <t>Consideración I</t>
    </r>
    <r>
      <rPr>
        <i/>
        <sz val="9"/>
        <rFont val="Times New Roman"/>
        <family val="1"/>
      </rPr>
      <t>ndividual</t>
    </r>
  </si>
  <si>
    <t>CORRESPONSAL</t>
  </si>
  <si>
    <t>CORRESPONSAL DE GUERRA</t>
  </si>
  <si>
    <t>COSTURERA</t>
  </si>
  <si>
    <t>CULTORA DE BELLEZA</t>
  </si>
  <si>
    <t>CHOFER DE AMBULANCIA</t>
  </si>
  <si>
    <t>CHOFER DE CARRO BLINDADO</t>
  </si>
  <si>
    <t>CHOFER DE HASTA 3 TONELADAS</t>
  </si>
  <si>
    <t>CHOFER DE MAS DE 3 TONELADAS</t>
  </si>
  <si>
    <t>CHOFER PARTICULAR</t>
  </si>
  <si>
    <t>CHOFER DE TAXI</t>
  </si>
  <si>
    <t>CHOFER DE CAMIÓN DE PASAJEROS 1a.</t>
  </si>
  <si>
    <t>CHOFER DE CAMIÓN DE PASAJEROS 2a.</t>
  </si>
  <si>
    <t>CHOFER DE PATRULLA</t>
  </si>
  <si>
    <t>CHOFER DE PICK UP</t>
  </si>
  <si>
    <t>DECORADOR</t>
  </si>
  <si>
    <t>DENTISTA</t>
  </si>
  <si>
    <t>DERMATÓLOGO</t>
  </si>
  <si>
    <t>DIBUJANTE</t>
  </si>
  <si>
    <t>DIPLOMÁTICO</t>
  </si>
  <si>
    <t>DIRECTOR DE ORQUESTA</t>
  </si>
  <si>
    <t>DISEÑADOR</t>
  </si>
  <si>
    <r>
      <t xml:space="preserve">DOMADOR </t>
    </r>
    <r>
      <rPr>
        <sz val="9"/>
        <rFont val="Times New Roman"/>
        <family val="1"/>
      </rPr>
      <t>(fieras, caballos, perros)</t>
    </r>
  </si>
  <si>
    <t>DULCERO</t>
  </si>
  <si>
    <t>EDITOR</t>
  </si>
  <si>
    <t>ELECTRICISTA</t>
  </si>
  <si>
    <t>ELEVADORISTA</t>
  </si>
  <si>
    <t>EMBAJADOR</t>
  </si>
  <si>
    <t>EMBALSAMADOR</t>
  </si>
  <si>
    <r>
      <t xml:space="preserve">EMBOTELLADOR </t>
    </r>
    <r>
      <rPr>
        <sz val="9"/>
        <rFont val="Times New Roman"/>
        <family val="1"/>
      </rPr>
      <t>(vinos, cerveza, refrescos)</t>
    </r>
  </si>
  <si>
    <r>
      <t xml:space="preserve">EMAPACADOR </t>
    </r>
    <r>
      <rPr>
        <sz val="9"/>
        <rFont val="Times New Roman"/>
        <family val="1"/>
      </rPr>
      <t>(de carne)</t>
    </r>
  </si>
  <si>
    <t>ENCUADERNADOR</t>
  </si>
  <si>
    <t>ENFERMERA</t>
  </si>
  <si>
    <t>ESCRITOR</t>
  </si>
  <si>
    <t>ESCULTOR</t>
  </si>
  <si>
    <t>ESTEREOTIPISTA</t>
  </si>
  <si>
    <t>ESTIBADOR</t>
  </si>
  <si>
    <t>ESTUDIANTE</t>
  </si>
  <si>
    <t>ETNÓLOGO</t>
  </si>
  <si>
    <t>FARMECÉUTICO</t>
  </si>
  <si>
    <t>FERRETERO</t>
  </si>
  <si>
    <t>FERROCARRILERO</t>
  </si>
  <si>
    <t>FÍSICO</t>
  </si>
  <si>
    <t>FISIOTERAPISTA</t>
  </si>
  <si>
    <t>FLORISTA</t>
  </si>
  <si>
    <t>FOGONERO</t>
  </si>
  <si>
    <t>FORRAJERO</t>
  </si>
  <si>
    <t>FOTOGRABADOR</t>
  </si>
  <si>
    <r>
      <t xml:space="preserve">FOTÓGRAFO </t>
    </r>
    <r>
      <rPr>
        <sz val="9"/>
        <rFont val="Times New Roman"/>
        <family val="1"/>
      </rPr>
      <t>(no en guerra)</t>
    </r>
  </si>
  <si>
    <t>FOTÓGRAFO PERIODISTA</t>
  </si>
  <si>
    <t>FRONTONISTA DE CESTA</t>
  </si>
  <si>
    <t>FRUTERO</t>
  </si>
  <si>
    <t>FRUTICULTOR</t>
  </si>
  <si>
    <r>
      <t xml:space="preserve">FUMIGADOR </t>
    </r>
    <r>
      <rPr>
        <sz val="9"/>
        <rFont val="Times New Roman"/>
        <family val="1"/>
      </rPr>
      <t>(no piloto)</t>
    </r>
  </si>
  <si>
    <r>
      <t xml:space="preserve">FUTBOLISTA </t>
    </r>
    <r>
      <rPr>
        <sz val="9"/>
        <rFont val="Times New Roman"/>
        <family val="1"/>
      </rPr>
      <t>(Profesional)</t>
    </r>
  </si>
  <si>
    <t>GANADERO</t>
  </si>
  <si>
    <t>GEÓLOGO</t>
  </si>
  <si>
    <t>GRABADOR</t>
  </si>
  <si>
    <t>GUARDABOSQUE</t>
  </si>
  <si>
    <t>GUÍA DE TURISTAS</t>
  </si>
  <si>
    <t>HERRERO</t>
  </si>
  <si>
    <t>HOJALATERO</t>
  </si>
  <si>
    <t>HORTELANO</t>
  </si>
  <si>
    <t>HOTELERO</t>
  </si>
  <si>
    <t>IMPRESOR</t>
  </si>
  <si>
    <r>
      <t xml:space="preserve">INGENIERO </t>
    </r>
    <r>
      <rPr>
        <sz val="9"/>
        <rFont val="Times New Roman"/>
        <family val="1"/>
      </rPr>
      <t>(cualquier especialidad)</t>
    </r>
  </si>
  <si>
    <r>
      <t xml:space="preserve">INSTRUMENTISTA </t>
    </r>
    <r>
      <rPr>
        <sz val="9"/>
        <rFont val="Times New Roman"/>
        <family val="1"/>
      </rPr>
      <t>(de música)</t>
    </r>
  </si>
  <si>
    <t>JABONERO</t>
  </si>
  <si>
    <t>JARDINERO</t>
  </si>
  <si>
    <t>JOCKEY</t>
  </si>
  <si>
    <t>JOYERO</t>
  </si>
  <si>
    <t>LAVADOR DE ROPA</t>
  </si>
  <si>
    <t>LAVADOR DE COCHES</t>
  </si>
  <si>
    <t>LAVANDERA</t>
  </si>
  <si>
    <t>LABORATORISTA, EMPLEADO DE LABORATORIO</t>
  </si>
  <si>
    <t>LECHERO PROPIETARIO</t>
  </si>
  <si>
    <t>LECHERO REPARTIDOR O EN ESTABLO</t>
  </si>
  <si>
    <t>LIBRERO</t>
  </si>
  <si>
    <t>LIMPIADOR DE VENTANAS</t>
  </si>
  <si>
    <t>LINOTIPISTA</t>
  </si>
  <si>
    <t>LOCUTOR</t>
  </si>
  <si>
    <t>MADERERO</t>
  </si>
  <si>
    <t>MANICURISTA</t>
  </si>
  <si>
    <r>
      <t xml:space="preserve">MARINERO </t>
    </r>
    <r>
      <rPr>
        <sz val="9"/>
        <rFont val="Times New Roman"/>
        <family val="1"/>
      </rPr>
      <t>(Jefes y Oficiales)</t>
    </r>
  </si>
  <si>
    <t>MARINEROS</t>
  </si>
  <si>
    <t>MASAJISTA</t>
  </si>
  <si>
    <t>MAESTRO DE ESCUELAS</t>
  </si>
  <si>
    <t>MATERIALISTA</t>
  </si>
  <si>
    <t>MAYORDOMO</t>
  </si>
  <si>
    <t>MECÁNICO</t>
  </si>
  <si>
    <t>MÉDICO DE CONSULTORIO</t>
  </si>
  <si>
    <t>MENSAJERO</t>
  </si>
  <si>
    <t>MESERO</t>
  </si>
  <si>
    <t>METEORÓLOGO</t>
  </si>
  <si>
    <r>
      <t xml:space="preserve">MINERO </t>
    </r>
    <r>
      <rPr>
        <sz val="9"/>
        <rFont val="Times New Roman"/>
        <family val="1"/>
      </rPr>
      <t>Consideración Individual</t>
    </r>
  </si>
  <si>
    <t>MISIONERO</t>
  </si>
  <si>
    <t>MODELO</t>
  </si>
  <si>
    <t>MODISTA</t>
  </si>
  <si>
    <t>MOLINERO</t>
  </si>
  <si>
    <r>
      <t xml:space="preserve">MOTOCICLISTA </t>
    </r>
    <r>
      <rPr>
        <sz val="9"/>
        <rFont val="Times New Roman"/>
        <family val="1"/>
      </rPr>
      <t>(tránsito)</t>
    </r>
  </si>
  <si>
    <t>MOZO</t>
  </si>
  <si>
    <t>MUEBLERO</t>
  </si>
  <si>
    <t>MÚSICO</t>
  </si>
  <si>
    <t>MÚSICO DE SINFÓNICA</t>
  </si>
  <si>
    <t>OCULISTA</t>
  </si>
  <si>
    <t>OFICINISTA</t>
  </si>
  <si>
    <t>OPERADOR DE CINE</t>
  </si>
  <si>
    <t>OPTOMETRISTA</t>
  </si>
  <si>
    <t>OSTEÓPATA</t>
  </si>
  <si>
    <t>PAGADOR</t>
  </si>
  <si>
    <t>PANADERO</t>
  </si>
  <si>
    <t>PEDICURISTA</t>
  </si>
  <si>
    <t>PEINADORA</t>
  </si>
  <si>
    <t>PELETERO O CURTIDOR</t>
  </si>
  <si>
    <t>PELUQUERO</t>
  </si>
  <si>
    <t>PERFORADOR DE MINAS</t>
  </si>
  <si>
    <t>PERFORADOR DE POZOS</t>
  </si>
  <si>
    <t>PERIODISTA</t>
  </si>
  <si>
    <t>PESCADOR</t>
  </si>
  <si>
    <t>PETROLERO</t>
  </si>
  <si>
    <r>
      <t xml:space="preserve">PILOTO </t>
    </r>
    <r>
      <rPr>
        <sz val="9"/>
        <rFont val="Times New Roman"/>
        <family val="1"/>
      </rPr>
      <t>(ver anexo)</t>
    </r>
  </si>
  <si>
    <t>PINTOR ARTISTA</t>
  </si>
  <si>
    <t>PINTOR DE MUEBLES, VENTANAS Y CASAS, ETC.</t>
  </si>
  <si>
    <t>PLATERO</t>
  </si>
  <si>
    <t>PLOMERO</t>
  </si>
  <si>
    <t>POLICÍA</t>
  </si>
  <si>
    <t>PROFESOR</t>
  </si>
  <si>
    <t>PUBLICISTA</t>
  </si>
  <si>
    <t>PULIDOR DE PISOS Y MUEBLES</t>
  </si>
  <si>
    <t>QUESERO</t>
  </si>
  <si>
    <t>QUÍMICO</t>
  </si>
  <si>
    <t>QUIROPRÁCTICO</t>
  </si>
  <si>
    <t>RADIÓLOGO</t>
  </si>
  <si>
    <t>RADIO-FABRICANTE</t>
  </si>
  <si>
    <t>RADIO-INSTALADOR DE ANTENAS</t>
  </si>
  <si>
    <t>RADIO-OPERADOR</t>
  </si>
  <si>
    <t>RADIOTERAPISTA</t>
  </si>
  <si>
    <t>RELOJERO</t>
  </si>
  <si>
    <t>RENTISTA</t>
  </si>
  <si>
    <t>REPARTIDOR DE PAN, LECHE, CARNE, ETC.</t>
  </si>
  <si>
    <t>SACERDOTE</t>
  </si>
  <si>
    <t>SALINERO</t>
  </si>
  <si>
    <t>SALVAVIDAS</t>
  </si>
  <si>
    <t>SASTRE</t>
  </si>
  <si>
    <t>SEPULTURERO</t>
  </si>
  <si>
    <t>SOLDADOR</t>
  </si>
  <si>
    <r>
      <t xml:space="preserve">SOBRECARGO </t>
    </r>
    <r>
      <rPr>
        <sz val="9"/>
        <rFont val="Times New Roman"/>
        <family val="1"/>
      </rPr>
      <t>Ver "Piloto Aviador"</t>
    </r>
  </si>
  <si>
    <t>SOBRESTANTE</t>
  </si>
  <si>
    <t>SOMBRERERO</t>
  </si>
  <si>
    <t>TABAQUERO</t>
  </si>
  <si>
    <t>TALABARTERO</t>
  </si>
  <si>
    <t>TAPICERO</t>
  </si>
  <si>
    <t>TELEFONISTA, OPERADOR, INSTALADOR Y TÉCNICO</t>
  </si>
  <si>
    <t>TELEGRAFISTA</t>
  </si>
  <si>
    <t>TEJEDOR</t>
  </si>
  <si>
    <t>TENDERO</t>
  </si>
  <si>
    <t>TENISTA PROFESIONAL</t>
  </si>
  <si>
    <t>TINTORERO</t>
  </si>
  <si>
    <t>TLAPALERO</t>
  </si>
  <si>
    <t>TOPÓGRAFO</t>
  </si>
  <si>
    <t>TORERO</t>
  </si>
  <si>
    <t>TORNERO</t>
  </si>
  <si>
    <t>TRAPECISTA</t>
  </si>
  <si>
    <t>TROQUELADOR</t>
  </si>
  <si>
    <t>VALUADOR</t>
  </si>
  <si>
    <t>VAQUERO</t>
  </si>
  <si>
    <t>VELADOR</t>
  </si>
  <si>
    <t>VETERINARIO</t>
  </si>
  <si>
    <t>VIDRIERO</t>
  </si>
  <si>
    <t>VITIVINICULTOR</t>
  </si>
  <si>
    <t>VULCANIZADOR</t>
  </si>
  <si>
    <t>VULCANÓLOGO</t>
  </si>
  <si>
    <t>ZAPATERO</t>
  </si>
  <si>
    <t>ZOÓLOGO</t>
  </si>
  <si>
    <t>CAMPISTAS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</si>
</sst>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8" formatCode="&quot;$&quot;#,##0.00;[Red]\-&quot;$&quot;#,##0.00"/>
  </numFmts>
  <fonts count="22" x14ac:knownFonts="1">
    <font>
      <sz val="11"/>
      <color theme="1"/>
      <name val="Calibri"/>
      <family val="2"/>
      <scheme val="minor"/>
    </font>
    <font>
      <sz val="10"/>
      <color theme="1"/>
      <name val="Arial Narrow"/>
      <family val="2"/>
    </font>
    <font>
      <b/>
      <u/>
      <sz val="10"/>
      <color theme="4" tint="-0.499984740745262"/>
      <name val="Arial Narrow"/>
      <family val="2"/>
    </font>
    <font>
      <b/>
      <sz val="10"/>
      <color theme="1"/>
      <name val="Arial Narrow"/>
      <family val="2"/>
    </font>
    <font>
      <sz val="16"/>
      <color theme="4"/>
      <name val="Arial Narrow"/>
      <family val="2"/>
    </font>
    <font>
      <b/>
      <sz val="10"/>
      <color theme="0"/>
      <name val="Arial Narrow"/>
      <family val="2"/>
    </font>
    <font>
      <b/>
      <sz val="10"/>
      <color rgb="FFFF0000"/>
      <name val="Arial Narrow"/>
      <family val="2"/>
    </font>
    <font>
      <b/>
      <u/>
      <sz val="10"/>
      <color theme="1"/>
      <name val="Arial Narrow"/>
      <family val="2"/>
    </font>
    <font>
      <b/>
      <sz val="10"/>
      <color theme="0" tint="-0.499984740745262"/>
      <name val="Arial Narrow"/>
      <family val="2"/>
    </font>
    <font>
      <b/>
      <sz val="15"/>
      <color theme="1"/>
      <name val="Arial Narrow"/>
      <family val="2"/>
    </font>
    <font>
      <b/>
      <sz val="12"/>
      <color theme="4" tint="-0.499984740745262"/>
      <name val="Arial Narrow"/>
      <family val="2"/>
    </font>
    <font>
      <sz val="10"/>
      <name val="Wingdings 2"/>
      <family val="1"/>
      <charset val="2"/>
    </font>
    <font>
      <sz val="10"/>
      <name val="Wingdings"/>
      <charset val="2"/>
    </font>
    <font>
      <b/>
      <sz val="10"/>
      <name val="Arial Narrow"/>
      <family val="2"/>
    </font>
    <font>
      <sz val="10"/>
      <name val="Arial Narrow"/>
      <family val="2"/>
    </font>
    <font>
      <sz val="10"/>
      <name val="Times New Roman"/>
      <family val="1"/>
    </font>
    <font>
      <b/>
      <sz val="10"/>
      <name val="Times New Roman"/>
      <family val="1"/>
    </font>
    <font>
      <sz val="9"/>
      <name val="Times New Roman"/>
      <family val="1"/>
    </font>
    <font>
      <i/>
      <sz val="9"/>
      <name val="Times New Roman"/>
      <family val="1"/>
    </font>
    <font>
      <b/>
      <sz val="12"/>
      <color theme="0"/>
      <name val="Times New Roman"/>
      <family val="1"/>
    </font>
    <font>
      <b/>
      <sz val="10"/>
      <color theme="0"/>
      <name val="Times New Roman"/>
      <family val="1"/>
    </font>
    <font>
      <sz val="10"/>
      <color theme="0"/>
      <name val="Times New Roman"/>
      <family val="1"/>
    </font>
  </fonts>
  <fills count="6">
    <fill>
      <patternFill patternType="none"/>
    </fill>
    <fill>
      <patternFill patternType="gray125"/>
    </fill>
    <fill>
      <patternFill patternType="solid">
        <fgColor theme="3"/>
        <bgColor indexed="64"/>
      </patternFill>
    </fill>
    <fill>
      <patternFill patternType="solid">
        <fgColor theme="4" tint="0.79998168889431442"/>
        <bgColor indexed="64"/>
      </patternFill>
    </fill>
    <fill>
      <patternFill patternType="solid">
        <fgColor theme="4" tint="-0.499984740745262"/>
        <bgColor indexed="64"/>
      </patternFill>
    </fill>
    <fill>
      <patternFill patternType="gray0625">
        <fgColor indexed="22"/>
        <bgColor theme="4" tint="-0.499984740745262"/>
      </patternFill>
    </fill>
  </fills>
  <borders count="55">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499984740745262"/>
      </bottom>
      <diagonal/>
    </border>
    <border>
      <left/>
      <right/>
      <top/>
      <bottom style="thin">
        <color theme="0" tint="-0.499984740745262"/>
      </bottom>
      <diagonal/>
    </border>
    <border>
      <left/>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double">
        <color theme="4"/>
      </left>
      <right/>
      <top style="double">
        <color theme="4"/>
      </top>
      <bottom/>
      <diagonal/>
    </border>
    <border>
      <left/>
      <right/>
      <top style="double">
        <color theme="4"/>
      </top>
      <bottom/>
      <diagonal/>
    </border>
    <border>
      <left/>
      <right style="double">
        <color theme="4"/>
      </right>
      <top style="double">
        <color theme="4"/>
      </top>
      <bottom/>
      <diagonal/>
    </border>
    <border>
      <left style="double">
        <color theme="4"/>
      </left>
      <right/>
      <top/>
      <bottom/>
      <diagonal/>
    </border>
    <border>
      <left/>
      <right style="double">
        <color theme="4"/>
      </right>
      <top/>
      <bottom/>
      <diagonal/>
    </border>
    <border>
      <left style="double">
        <color theme="4"/>
      </left>
      <right/>
      <top/>
      <bottom style="double">
        <color theme="4"/>
      </bottom>
      <diagonal/>
    </border>
    <border>
      <left/>
      <right/>
      <top/>
      <bottom style="double">
        <color theme="4"/>
      </bottom>
      <diagonal/>
    </border>
    <border>
      <left/>
      <right style="double">
        <color theme="4"/>
      </right>
      <top/>
      <bottom style="double">
        <color theme="4"/>
      </bottom>
      <diagonal/>
    </border>
    <border>
      <left/>
      <right style="thin">
        <color theme="0" tint="-0.499984740745262"/>
      </right>
      <top/>
      <bottom/>
      <diagonal/>
    </border>
    <border>
      <left style="thin">
        <color theme="0" tint="-0.499984740745262"/>
      </left>
      <right/>
      <top/>
      <bottom/>
      <diagonal/>
    </border>
    <border>
      <left style="thin">
        <color theme="0" tint="-0.499984740745262"/>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top style="medium">
        <color theme="0" tint="-0.499984740745262"/>
      </top>
      <bottom style="thin">
        <color theme="0" tint="-0.499984740745262"/>
      </bottom>
      <diagonal/>
    </border>
    <border>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bottom/>
      <diagonal/>
    </border>
    <border>
      <left/>
      <right/>
      <top style="thin">
        <color theme="0" tint="-0.499984740745262"/>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style="thin">
        <color indexed="64"/>
      </left>
      <right style="thin">
        <color indexed="64"/>
      </right>
      <top/>
      <bottom style="thin">
        <color indexed="64"/>
      </bottom>
      <diagonal/>
    </border>
    <border>
      <left/>
      <right style="medium">
        <color indexed="64"/>
      </right>
      <top/>
      <bottom style="thin">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top/>
      <bottom style="medium">
        <color indexed="64"/>
      </bottom>
      <diagonal/>
    </border>
  </borders>
  <cellStyleXfs count="2">
    <xf numFmtId="0" fontId="0" fillId="0" borderId="0"/>
    <xf numFmtId="0" fontId="15" fillId="0" borderId="0"/>
  </cellStyleXfs>
  <cellXfs count="203">
    <xf numFmtId="0" fontId="0" fillId="0" borderId="0" xfId="0"/>
    <xf numFmtId="0" fontId="1" fillId="0" borderId="0" xfId="0" applyFont="1" applyAlignment="1">
      <alignment vertical="center"/>
    </xf>
    <xf numFmtId="0" fontId="1" fillId="0" borderId="1" xfId="0" applyFont="1" applyBorder="1" applyAlignment="1">
      <alignment vertical="center"/>
    </xf>
    <xf numFmtId="0" fontId="1" fillId="0" borderId="0" xfId="0" applyFont="1" applyBorder="1" applyAlignment="1">
      <alignment vertical="center"/>
    </xf>
    <xf numFmtId="4" fontId="1" fillId="0" borderId="1" xfId="0" applyNumberFormat="1" applyFont="1" applyBorder="1" applyAlignment="1">
      <alignment vertical="center"/>
    </xf>
    <xf numFmtId="0" fontId="3" fillId="0" borderId="1" xfId="0" applyFont="1" applyBorder="1" applyAlignment="1">
      <alignment horizontal="center" vertical="center"/>
    </xf>
    <xf numFmtId="0" fontId="3" fillId="0" borderId="0" xfId="0" applyFont="1" applyAlignment="1">
      <alignment vertical="center"/>
    </xf>
    <xf numFmtId="0" fontId="1" fillId="0" borderId="0" xfId="0" applyFont="1" applyBorder="1" applyAlignment="1" applyProtection="1">
      <alignment vertical="center"/>
      <protection hidden="1"/>
    </xf>
    <xf numFmtId="0" fontId="1" fillId="0" borderId="0" xfId="0" applyFont="1" applyAlignment="1" applyProtection="1">
      <alignment vertical="center"/>
      <protection hidden="1"/>
    </xf>
    <xf numFmtId="9" fontId="1" fillId="0" borderId="0" xfId="0" applyNumberFormat="1" applyFont="1" applyAlignment="1" applyProtection="1">
      <alignment vertical="center"/>
      <protection hidden="1"/>
    </xf>
    <xf numFmtId="0" fontId="2" fillId="0" borderId="0" xfId="0" applyFont="1" applyBorder="1" applyAlignment="1" applyProtection="1">
      <alignment vertical="center"/>
      <protection hidden="1"/>
    </xf>
    <xf numFmtId="14" fontId="1" fillId="0" borderId="0" xfId="0" applyNumberFormat="1" applyFont="1" applyBorder="1" applyAlignment="1" applyProtection="1">
      <alignment horizontal="center" vertical="center"/>
      <protection hidden="1"/>
    </xf>
    <xf numFmtId="0" fontId="3" fillId="0" borderId="4" xfId="0" applyFont="1" applyBorder="1" applyAlignment="1" applyProtection="1">
      <alignment horizontal="center" vertical="center"/>
      <protection hidden="1"/>
    </xf>
    <xf numFmtId="0" fontId="1" fillId="0" borderId="5" xfId="0" applyFont="1" applyBorder="1" applyAlignment="1" applyProtection="1">
      <alignment vertical="center"/>
      <protection hidden="1"/>
    </xf>
    <xf numFmtId="4" fontId="1" fillId="0" borderId="5" xfId="0" applyNumberFormat="1" applyFont="1" applyBorder="1" applyAlignment="1" applyProtection="1">
      <alignment vertical="center"/>
      <protection hidden="1"/>
    </xf>
    <xf numFmtId="4" fontId="1" fillId="0" borderId="0" xfId="0" applyNumberFormat="1" applyFont="1" applyAlignment="1" applyProtection="1">
      <alignment vertical="center"/>
      <protection hidden="1"/>
    </xf>
    <xf numFmtId="0" fontId="1" fillId="0" borderId="4" xfId="0" applyFont="1" applyBorder="1" applyAlignment="1" applyProtection="1">
      <alignment vertical="center"/>
      <protection hidden="1"/>
    </xf>
    <xf numFmtId="4" fontId="1" fillId="0" borderId="4" xfId="0" applyNumberFormat="1" applyFont="1" applyBorder="1" applyAlignment="1" applyProtection="1">
      <alignment vertical="center"/>
      <protection hidden="1"/>
    </xf>
    <xf numFmtId="4" fontId="1" fillId="0" borderId="0" xfId="0" applyNumberFormat="1" applyFont="1" applyBorder="1" applyAlignment="1" applyProtection="1">
      <alignment vertical="center"/>
      <protection hidden="1"/>
    </xf>
    <xf numFmtId="4" fontId="3" fillId="0" borderId="0" xfId="0" applyNumberFormat="1" applyFont="1" applyAlignment="1" applyProtection="1">
      <alignment vertical="center"/>
      <protection hidden="1"/>
    </xf>
    <xf numFmtId="0" fontId="1" fillId="3" borderId="1" xfId="0" applyFont="1" applyFill="1" applyBorder="1" applyAlignment="1" applyProtection="1">
      <alignment horizontal="right" vertical="center"/>
      <protection locked="0"/>
    </xf>
    <xf numFmtId="14" fontId="1" fillId="3" borderId="0" xfId="0" applyNumberFormat="1" applyFont="1" applyFill="1" applyBorder="1" applyAlignment="1" applyProtection="1">
      <alignment horizontal="center" vertical="center"/>
      <protection locked="0"/>
    </xf>
    <xf numFmtId="0" fontId="3" fillId="0" borderId="0" xfId="0" applyFont="1" applyBorder="1" applyAlignment="1" applyProtection="1">
      <alignment vertical="center"/>
      <protection hidden="1"/>
    </xf>
    <xf numFmtId="14" fontId="3" fillId="0" borderId="0" xfId="0" applyNumberFormat="1" applyFont="1" applyBorder="1" applyAlignment="1" applyProtection="1">
      <alignment horizontal="center" vertical="center"/>
      <protection hidden="1"/>
    </xf>
    <xf numFmtId="0" fontId="3" fillId="0" borderId="1" xfId="0" applyFont="1" applyBorder="1" applyAlignment="1" applyProtection="1">
      <alignment vertical="center"/>
      <protection hidden="1"/>
    </xf>
    <xf numFmtId="0" fontId="1" fillId="0" borderId="0" xfId="0" applyFont="1" applyAlignment="1">
      <alignment horizontal="center" vertical="center"/>
    </xf>
    <xf numFmtId="0" fontId="3" fillId="0" borderId="0" xfId="0" applyFont="1" applyAlignment="1" applyProtection="1">
      <alignment horizontal="right" vertical="center"/>
      <protection hidden="1"/>
    </xf>
    <xf numFmtId="0" fontId="6" fillId="0" borderId="0" xfId="0" applyFont="1" applyAlignment="1" applyProtection="1">
      <alignment horizontal="right" vertical="center"/>
      <protection hidden="1"/>
    </xf>
    <xf numFmtId="4" fontId="6" fillId="0" borderId="0" xfId="0" applyNumberFormat="1" applyFont="1" applyAlignment="1" applyProtection="1">
      <alignment vertical="center"/>
      <protection hidden="1"/>
    </xf>
    <xf numFmtId="0" fontId="7" fillId="0" borderId="0" xfId="0" applyFont="1" applyAlignment="1">
      <alignment vertical="center"/>
    </xf>
    <xf numFmtId="0" fontId="1" fillId="0" borderId="8" xfId="0" applyFont="1" applyBorder="1" applyAlignment="1">
      <alignment vertical="center"/>
    </xf>
    <xf numFmtId="0" fontId="1" fillId="0" borderId="9" xfId="0" applyFont="1" applyBorder="1" applyAlignment="1">
      <alignment vertical="center"/>
    </xf>
    <xf numFmtId="0" fontId="1" fillId="0" borderId="10" xfId="0" applyFont="1" applyBorder="1" applyAlignment="1">
      <alignment vertical="center"/>
    </xf>
    <xf numFmtId="0" fontId="1" fillId="0" borderId="11" xfId="0" applyFont="1" applyBorder="1" applyAlignment="1">
      <alignment vertical="center"/>
    </xf>
    <xf numFmtId="0" fontId="1" fillId="0" borderId="12" xfId="0" applyFont="1" applyBorder="1" applyAlignment="1">
      <alignment vertical="center"/>
    </xf>
    <xf numFmtId="0" fontId="7" fillId="0" borderId="0" xfId="0" applyFont="1" applyBorder="1" applyAlignment="1">
      <alignment vertical="center"/>
    </xf>
    <xf numFmtId="0" fontId="1" fillId="0" borderId="13" xfId="0" applyFont="1" applyBorder="1" applyAlignment="1">
      <alignment vertical="center"/>
    </xf>
    <xf numFmtId="0" fontId="1" fillId="0" borderId="14" xfId="0" applyFont="1" applyBorder="1" applyAlignment="1">
      <alignment vertical="center"/>
    </xf>
    <xf numFmtId="0" fontId="1" fillId="0" borderId="15" xfId="0" applyFont="1" applyBorder="1" applyAlignment="1">
      <alignment vertical="center"/>
    </xf>
    <xf numFmtId="0" fontId="5" fillId="2" borderId="1" xfId="0" applyFont="1" applyFill="1" applyBorder="1" applyAlignment="1">
      <alignment horizontal="center" vertical="center"/>
    </xf>
    <xf numFmtId="0" fontId="1" fillId="0" borderId="1" xfId="0" applyFont="1" applyBorder="1" applyAlignment="1">
      <alignment horizontal="center" vertical="center"/>
    </xf>
    <xf numFmtId="8" fontId="1" fillId="0" borderId="0" xfId="0" applyNumberFormat="1" applyFont="1" applyBorder="1" applyAlignment="1">
      <alignment vertical="center"/>
    </xf>
    <xf numFmtId="0" fontId="3" fillId="0" borderId="11" xfId="0" applyFont="1" applyBorder="1" applyAlignment="1">
      <alignment vertical="center"/>
    </xf>
    <xf numFmtId="0" fontId="3" fillId="0" borderId="0" xfId="0" applyFont="1" applyBorder="1" applyAlignment="1">
      <alignment vertical="center"/>
    </xf>
    <xf numFmtId="0" fontId="3" fillId="0" borderId="0" xfId="0" applyFont="1" applyBorder="1" applyAlignment="1">
      <alignment horizontal="right" vertical="center"/>
    </xf>
    <xf numFmtId="0" fontId="3" fillId="0" borderId="12" xfId="0" applyFont="1" applyBorder="1" applyAlignment="1">
      <alignment vertical="center"/>
    </xf>
    <xf numFmtId="0" fontId="8" fillId="0" borderId="0" xfId="0" applyFont="1" applyBorder="1" applyAlignment="1">
      <alignment vertical="center"/>
    </xf>
    <xf numFmtId="0" fontId="8" fillId="0" borderId="0" xfId="0" applyFont="1" applyBorder="1" applyAlignment="1">
      <alignment horizontal="center" vertical="center"/>
    </xf>
    <xf numFmtId="0" fontId="9" fillId="0" borderId="0" xfId="0" applyFont="1" applyBorder="1" applyAlignment="1">
      <alignment vertical="center"/>
    </xf>
    <xf numFmtId="0" fontId="10" fillId="0" borderId="0" xfId="0" applyFont="1" applyBorder="1" applyAlignment="1">
      <alignment vertical="center"/>
    </xf>
    <xf numFmtId="0" fontId="11" fillId="0" borderId="0" xfId="0" applyFont="1" applyBorder="1" applyAlignment="1" applyProtection="1">
      <alignment horizontal="center" vertical="center"/>
      <protection locked="0"/>
    </xf>
    <xf numFmtId="0" fontId="11" fillId="0" borderId="0" xfId="0" applyFont="1" applyBorder="1" applyAlignment="1" applyProtection="1">
      <alignment horizontal="center"/>
      <protection locked="0"/>
    </xf>
    <xf numFmtId="0" fontId="12" fillId="0" borderId="0" xfId="0" applyFont="1" applyBorder="1" applyAlignment="1" applyProtection="1">
      <alignment horizontal="center" vertical="center"/>
      <protection locked="0"/>
    </xf>
    <xf numFmtId="0" fontId="12" fillId="0" borderId="0" xfId="0" applyFont="1" applyBorder="1" applyAlignment="1" applyProtection="1">
      <alignment horizontal="center"/>
      <protection locked="0"/>
    </xf>
    <xf numFmtId="0" fontId="1" fillId="0" borderId="0" xfId="0" applyFont="1" applyBorder="1" applyAlignment="1">
      <alignment horizontal="justify" vertical="center" wrapText="1"/>
    </xf>
    <xf numFmtId="0" fontId="3" fillId="0" borderId="0" xfId="0" applyFont="1" applyBorder="1" applyAlignment="1" applyProtection="1">
      <alignment horizontal="right" vertical="center"/>
      <protection hidden="1"/>
    </xf>
    <xf numFmtId="14" fontId="3" fillId="0" borderId="0" xfId="0" applyNumberFormat="1" applyFont="1" applyBorder="1" applyAlignment="1" applyProtection="1">
      <alignment vertical="center"/>
      <protection hidden="1"/>
    </xf>
    <xf numFmtId="0" fontId="1" fillId="0" borderId="8" xfId="0" applyFont="1" applyBorder="1" applyAlignment="1" applyProtection="1">
      <alignment vertical="center"/>
      <protection hidden="1"/>
    </xf>
    <xf numFmtId="0" fontId="1" fillId="0" borderId="9" xfId="0" applyFont="1" applyBorder="1" applyAlignment="1" applyProtection="1">
      <alignment vertical="center"/>
      <protection hidden="1"/>
    </xf>
    <xf numFmtId="0" fontId="1" fillId="0" borderId="10" xfId="0" applyFont="1" applyBorder="1" applyAlignment="1" applyProtection="1">
      <alignment vertical="center"/>
      <protection hidden="1"/>
    </xf>
    <xf numFmtId="0" fontId="1" fillId="0" borderId="11" xfId="0" applyFont="1" applyBorder="1" applyAlignment="1" applyProtection="1">
      <alignment vertical="center"/>
      <protection hidden="1"/>
    </xf>
    <xf numFmtId="0" fontId="1" fillId="0" borderId="12" xfId="0" applyFont="1" applyBorder="1" applyAlignment="1" applyProtection="1">
      <alignment vertical="center"/>
      <protection hidden="1"/>
    </xf>
    <xf numFmtId="0" fontId="1" fillId="0" borderId="13" xfId="0" applyFont="1" applyBorder="1" applyAlignment="1" applyProtection="1">
      <alignment vertical="center"/>
      <protection hidden="1"/>
    </xf>
    <xf numFmtId="0" fontId="1" fillId="0" borderId="14" xfId="0" applyFont="1" applyBorder="1" applyAlignment="1" applyProtection="1">
      <alignment vertical="center"/>
      <protection hidden="1"/>
    </xf>
    <xf numFmtId="0" fontId="1" fillId="0" borderId="15" xfId="0" applyFont="1" applyBorder="1" applyAlignment="1" applyProtection="1">
      <alignment vertical="center"/>
      <protection hidden="1"/>
    </xf>
    <xf numFmtId="0" fontId="3" fillId="0" borderId="6" xfId="0" applyFont="1" applyBorder="1" applyAlignment="1" applyProtection="1">
      <alignment vertical="center"/>
      <protection hidden="1"/>
    </xf>
    <xf numFmtId="0" fontId="1" fillId="0" borderId="1" xfId="0" applyFont="1" applyBorder="1" applyAlignment="1" applyProtection="1">
      <alignment horizontal="center" vertical="center"/>
      <protection hidden="1"/>
    </xf>
    <xf numFmtId="0" fontId="3" fillId="0" borderId="0" xfId="0" applyFont="1" applyBorder="1" applyAlignment="1" applyProtection="1">
      <alignment horizontal="center" vertical="center" textRotation="90"/>
      <protection hidden="1"/>
    </xf>
    <xf numFmtId="8" fontId="1" fillId="0" borderId="0" xfId="0" applyNumberFormat="1" applyFont="1" applyBorder="1" applyAlignment="1" applyProtection="1">
      <alignment vertical="center"/>
      <protection hidden="1"/>
    </xf>
    <xf numFmtId="0" fontId="1" fillId="0" borderId="0" xfId="0" applyFont="1" applyAlignment="1" applyProtection="1">
      <alignment horizontal="center" vertical="center"/>
      <protection hidden="1"/>
    </xf>
    <xf numFmtId="0" fontId="5" fillId="2" borderId="2" xfId="0" applyFont="1" applyFill="1" applyBorder="1" applyAlignment="1">
      <alignment horizontal="center" vertical="center"/>
    </xf>
    <xf numFmtId="0" fontId="6" fillId="0" borderId="0" xfId="0" applyFont="1" applyAlignment="1" applyProtection="1">
      <alignment vertical="center"/>
      <protection hidden="1"/>
    </xf>
    <xf numFmtId="39" fontId="1" fillId="0" borderId="0" xfId="0" applyNumberFormat="1" applyFont="1" applyAlignment="1">
      <alignment vertical="center"/>
    </xf>
    <xf numFmtId="10" fontId="1" fillId="0" borderId="0" xfId="0" applyNumberFormat="1" applyFont="1" applyAlignment="1">
      <alignment vertical="center"/>
    </xf>
    <xf numFmtId="3" fontId="1" fillId="0" borderId="1" xfId="0" applyNumberFormat="1" applyFont="1" applyBorder="1" applyAlignment="1">
      <alignment vertical="center"/>
    </xf>
    <xf numFmtId="3" fontId="1" fillId="0" borderId="0" xfId="0" applyNumberFormat="1" applyFont="1" applyAlignment="1" applyProtection="1">
      <alignment vertical="center"/>
      <protection hidden="1"/>
    </xf>
    <xf numFmtId="2" fontId="1" fillId="0" borderId="0" xfId="0" applyNumberFormat="1" applyFont="1" applyAlignment="1" applyProtection="1">
      <alignment vertical="center"/>
      <protection hidden="1"/>
    </xf>
    <xf numFmtId="0" fontId="1" fillId="3" borderId="1" xfId="0" applyFont="1" applyFill="1" applyBorder="1" applyAlignment="1" applyProtection="1">
      <alignment vertical="center"/>
      <protection locked="0"/>
    </xf>
    <xf numFmtId="0" fontId="9" fillId="0" borderId="0" xfId="0" applyFont="1" applyBorder="1" applyAlignment="1" applyProtection="1">
      <alignment vertical="center"/>
      <protection hidden="1"/>
    </xf>
    <xf numFmtId="0" fontId="4" fillId="0" borderId="0" xfId="0" applyFont="1" applyBorder="1" applyAlignment="1" applyProtection="1">
      <alignment horizontal="center" vertical="center"/>
      <protection hidden="1"/>
    </xf>
    <xf numFmtId="0" fontId="1" fillId="3" borderId="6" xfId="0" applyFont="1" applyFill="1" applyBorder="1" applyAlignment="1" applyProtection="1">
      <alignment horizontal="right" vertical="center"/>
      <protection locked="0"/>
    </xf>
    <xf numFmtId="0" fontId="1" fillId="3" borderId="5" xfId="0" applyFont="1" applyFill="1" applyBorder="1" applyAlignment="1" applyProtection="1">
      <alignment horizontal="right" vertical="center"/>
      <protection locked="0"/>
    </xf>
    <xf numFmtId="0" fontId="1" fillId="3" borderId="7" xfId="0" applyFont="1" applyFill="1" applyBorder="1" applyAlignment="1" applyProtection="1">
      <alignment horizontal="right" vertical="center"/>
      <protection locked="0"/>
    </xf>
    <xf numFmtId="9" fontId="1" fillId="3" borderId="1" xfId="0" applyNumberFormat="1" applyFont="1" applyFill="1" applyBorder="1" applyAlignment="1" applyProtection="1">
      <alignment vertical="center"/>
      <protection locked="0"/>
    </xf>
    <xf numFmtId="8" fontId="1" fillId="0" borderId="1" xfId="0" applyNumberFormat="1" applyFont="1" applyBorder="1" applyAlignment="1" applyProtection="1">
      <alignment vertical="center"/>
      <protection hidden="1"/>
    </xf>
    <xf numFmtId="0" fontId="3" fillId="0" borderId="1" xfId="0" applyFont="1" applyBorder="1" applyAlignment="1" applyProtection="1">
      <alignment vertical="center"/>
      <protection hidden="1"/>
    </xf>
    <xf numFmtId="0" fontId="1" fillId="3" borderId="1" xfId="0" applyFont="1" applyFill="1" applyBorder="1" applyAlignment="1" applyProtection="1">
      <alignment horizontal="right" vertical="center"/>
      <protection locked="0"/>
    </xf>
    <xf numFmtId="0" fontId="5" fillId="2" borderId="1" xfId="0" applyFont="1" applyFill="1" applyBorder="1" applyAlignment="1" applyProtection="1">
      <alignment horizontal="center" vertical="center" wrapText="1"/>
      <protection hidden="1"/>
    </xf>
    <xf numFmtId="0" fontId="3" fillId="0" borderId="2" xfId="0" applyFont="1" applyBorder="1" applyAlignment="1" applyProtection="1">
      <alignment vertical="center"/>
      <protection hidden="1"/>
    </xf>
    <xf numFmtId="0" fontId="3" fillId="0" borderId="3" xfId="0" applyFont="1" applyBorder="1" applyAlignment="1" applyProtection="1">
      <alignment vertical="center"/>
      <protection hidden="1"/>
    </xf>
    <xf numFmtId="8" fontId="1" fillId="3" borderId="1" xfId="0" applyNumberFormat="1" applyFont="1" applyFill="1" applyBorder="1" applyAlignment="1" applyProtection="1">
      <alignment vertical="center"/>
      <protection locked="0"/>
    </xf>
    <xf numFmtId="0" fontId="3" fillId="0" borderId="0" xfId="0" applyFont="1" applyAlignment="1">
      <alignment horizontal="center" vertical="center"/>
    </xf>
    <xf numFmtId="0" fontId="1" fillId="0" borderId="0" xfId="0" applyFont="1" applyBorder="1" applyAlignment="1">
      <alignment horizontal="justify" vertical="center" wrapText="1"/>
    </xf>
    <xf numFmtId="0" fontId="1" fillId="0" borderId="0" xfId="0" applyFont="1" applyBorder="1" applyAlignment="1">
      <alignment horizontal="justify" vertical="center"/>
    </xf>
    <xf numFmtId="0" fontId="1" fillId="0" borderId="0" xfId="0" applyFont="1" applyBorder="1" applyAlignment="1">
      <alignment vertical="center" wrapText="1"/>
    </xf>
    <xf numFmtId="0" fontId="1" fillId="0" borderId="1" xfId="0" applyFont="1" applyBorder="1" applyAlignment="1">
      <alignment vertical="center"/>
    </xf>
    <xf numFmtId="0" fontId="3" fillId="0" borderId="1" xfId="0" applyFont="1" applyBorder="1" applyAlignment="1">
      <alignment vertical="center"/>
    </xf>
    <xf numFmtId="0" fontId="5" fillId="2" borderId="1" xfId="0" applyFont="1" applyFill="1" applyBorder="1" applyAlignment="1">
      <alignment horizontal="center" vertical="center"/>
    </xf>
    <xf numFmtId="8" fontId="1" fillId="0" borderId="1" xfId="0" applyNumberFormat="1" applyFont="1" applyBorder="1" applyAlignment="1">
      <alignment vertical="center"/>
    </xf>
    <xf numFmtId="0" fontId="8" fillId="0" borderId="0" xfId="0" applyFont="1" applyBorder="1" applyAlignment="1">
      <alignment horizontal="right" vertical="center"/>
    </xf>
    <xf numFmtId="0" fontId="8" fillId="0" borderId="0" xfId="0" applyFont="1" applyBorder="1" applyAlignment="1">
      <alignment vertical="center"/>
    </xf>
    <xf numFmtId="14" fontId="8" fillId="0" borderId="0" xfId="0" applyNumberFormat="1" applyFont="1" applyAlignment="1">
      <alignment horizontal="right" vertical="center"/>
    </xf>
    <xf numFmtId="0" fontId="8" fillId="0" borderId="0" xfId="0" applyFont="1" applyAlignment="1">
      <alignment horizontal="right" vertical="center"/>
    </xf>
    <xf numFmtId="8" fontId="3" fillId="0" borderId="1" xfId="0" applyNumberFormat="1" applyFont="1" applyBorder="1" applyAlignment="1">
      <alignment vertical="center"/>
    </xf>
    <xf numFmtId="8" fontId="1" fillId="0" borderId="1" xfId="0" applyNumberFormat="1" applyFont="1" applyBorder="1" applyAlignment="1">
      <alignment horizontal="right" vertical="center"/>
    </xf>
    <xf numFmtId="0" fontId="5" fillId="2" borderId="1" xfId="0" applyFont="1" applyFill="1" applyBorder="1" applyAlignment="1">
      <alignment horizontal="center" vertical="center" wrapText="1"/>
    </xf>
    <xf numFmtId="8" fontId="1" fillId="0" borderId="1" xfId="0" applyNumberFormat="1" applyFont="1" applyBorder="1" applyAlignment="1" applyProtection="1">
      <alignment horizontal="right" vertical="center"/>
      <protection hidden="1"/>
    </xf>
    <xf numFmtId="8" fontId="1" fillId="0" borderId="22" xfId="0" applyNumberFormat="1" applyFont="1" applyBorder="1" applyAlignment="1" applyProtection="1">
      <alignment vertical="center"/>
      <protection hidden="1"/>
    </xf>
    <xf numFmtId="8" fontId="1" fillId="0" borderId="23" xfId="0" applyNumberFormat="1" applyFont="1" applyBorder="1" applyAlignment="1" applyProtection="1">
      <alignment vertical="center"/>
      <protection hidden="1"/>
    </xf>
    <xf numFmtId="8" fontId="1" fillId="0" borderId="24" xfId="0" applyNumberFormat="1" applyFont="1" applyBorder="1" applyAlignment="1" applyProtection="1">
      <alignment vertical="center"/>
      <protection hidden="1"/>
    </xf>
    <xf numFmtId="0" fontId="5" fillId="2" borderId="1" xfId="0" applyFont="1" applyFill="1" applyBorder="1" applyAlignment="1" applyProtection="1">
      <alignment horizontal="center" vertical="center" textRotation="90"/>
      <protection hidden="1"/>
    </xf>
    <xf numFmtId="0" fontId="5" fillId="2" borderId="22" xfId="0" applyFont="1" applyFill="1" applyBorder="1" applyAlignment="1" applyProtection="1">
      <alignment horizontal="center" vertical="center" textRotation="90"/>
      <protection hidden="1"/>
    </xf>
    <xf numFmtId="0" fontId="5" fillId="2" borderId="3" xfId="0" applyFont="1" applyFill="1" applyBorder="1" applyAlignment="1" applyProtection="1">
      <alignment horizontal="center" vertical="center" textRotation="90"/>
      <protection hidden="1"/>
    </xf>
    <xf numFmtId="0" fontId="5" fillId="2" borderId="18" xfId="0" applyFont="1" applyFill="1" applyBorder="1" applyAlignment="1" applyProtection="1">
      <alignment horizontal="center" vertical="center"/>
      <protection hidden="1"/>
    </xf>
    <xf numFmtId="0" fontId="5" fillId="2" borderId="19" xfId="0" applyFont="1" applyFill="1" applyBorder="1" applyAlignment="1" applyProtection="1">
      <alignment horizontal="center" vertical="center"/>
      <protection hidden="1"/>
    </xf>
    <xf numFmtId="0" fontId="5" fillId="2" borderId="17" xfId="0" applyFont="1" applyFill="1" applyBorder="1" applyAlignment="1" applyProtection="1">
      <alignment horizontal="center" vertical="center"/>
      <protection hidden="1"/>
    </xf>
    <xf numFmtId="0" fontId="5" fillId="2" borderId="16" xfId="0" applyFont="1" applyFill="1" applyBorder="1" applyAlignment="1" applyProtection="1">
      <alignment horizontal="center" vertical="center"/>
      <protection hidden="1"/>
    </xf>
    <xf numFmtId="0" fontId="5" fillId="2" borderId="20" xfId="0" applyFont="1" applyFill="1" applyBorder="1" applyAlignment="1" applyProtection="1">
      <alignment horizontal="center" vertical="center"/>
      <protection hidden="1"/>
    </xf>
    <xf numFmtId="0" fontId="5" fillId="2" borderId="21" xfId="0" applyFont="1" applyFill="1" applyBorder="1" applyAlignment="1" applyProtection="1">
      <alignment horizontal="center" vertical="center"/>
      <protection hidden="1"/>
    </xf>
    <xf numFmtId="0" fontId="1" fillId="3" borderId="6" xfId="0" applyFont="1" applyFill="1" applyBorder="1" applyAlignment="1" applyProtection="1">
      <alignment vertical="center"/>
      <protection locked="0"/>
    </xf>
    <xf numFmtId="0" fontId="1" fillId="3" borderId="7" xfId="0" applyFont="1" applyFill="1" applyBorder="1" applyAlignment="1" applyProtection="1">
      <alignment vertical="center"/>
      <protection locked="0"/>
    </xf>
    <xf numFmtId="0" fontId="3" fillId="0" borderId="22" xfId="0" applyFont="1" applyBorder="1" applyAlignment="1" applyProtection="1">
      <alignment vertical="center"/>
      <protection hidden="1"/>
    </xf>
    <xf numFmtId="0" fontId="5" fillId="2" borderId="1" xfId="0" applyFont="1" applyFill="1" applyBorder="1" applyAlignment="1" applyProtection="1">
      <alignment horizontal="center" vertical="center"/>
      <protection hidden="1"/>
    </xf>
    <xf numFmtId="0" fontId="1" fillId="0" borderId="6" xfId="0" applyFont="1" applyBorder="1" applyAlignment="1">
      <alignment vertical="center"/>
    </xf>
    <xf numFmtId="0" fontId="1" fillId="0" borderId="5" xfId="0" applyFont="1" applyBorder="1" applyAlignment="1">
      <alignment vertical="center"/>
    </xf>
    <xf numFmtId="0" fontId="1" fillId="0" borderId="7" xfId="0" applyFont="1" applyBorder="1" applyAlignment="1">
      <alignment vertical="center"/>
    </xf>
    <xf numFmtId="0" fontId="1" fillId="0" borderId="0" xfId="0" applyFont="1" applyAlignment="1">
      <alignment horizontal="center" vertical="center"/>
    </xf>
    <xf numFmtId="0" fontId="5" fillId="2" borderId="2" xfId="0" applyFont="1" applyFill="1" applyBorder="1" applyAlignment="1">
      <alignment horizontal="center" vertical="center" textRotation="90" wrapText="1"/>
    </xf>
    <xf numFmtId="0" fontId="5" fillId="2" borderId="25" xfId="0" applyFont="1" applyFill="1" applyBorder="1" applyAlignment="1">
      <alignment horizontal="center" vertical="center" textRotation="90" wrapText="1"/>
    </xf>
    <xf numFmtId="0" fontId="5" fillId="2" borderId="25" xfId="0" applyFont="1" applyFill="1" applyBorder="1" applyAlignment="1">
      <alignment horizontal="center" vertical="center" textRotation="90"/>
    </xf>
    <xf numFmtId="0" fontId="5" fillId="2" borderId="3" xfId="0" applyFont="1" applyFill="1" applyBorder="1" applyAlignment="1">
      <alignment horizontal="center" vertical="center" textRotation="90"/>
    </xf>
    <xf numFmtId="0" fontId="1" fillId="0" borderId="18" xfId="0" applyFont="1" applyBorder="1" applyAlignment="1">
      <alignment vertical="center"/>
    </xf>
    <xf numFmtId="0" fontId="1" fillId="0" borderId="26" xfId="0" applyFont="1" applyBorder="1" applyAlignment="1">
      <alignment vertical="center"/>
    </xf>
    <xf numFmtId="0" fontId="1" fillId="0" borderId="19" xfId="0" applyFont="1" applyBorder="1" applyAlignment="1">
      <alignment vertical="center"/>
    </xf>
    <xf numFmtId="0" fontId="1" fillId="0" borderId="20" xfId="0" applyFont="1" applyBorder="1" applyAlignment="1">
      <alignment vertical="center"/>
    </xf>
    <xf numFmtId="0" fontId="1" fillId="0" borderId="4" xfId="0" applyFont="1" applyBorder="1" applyAlignment="1">
      <alignment vertical="center"/>
    </xf>
    <xf numFmtId="0" fontId="1" fillId="0" borderId="21" xfId="0" applyFont="1" applyBorder="1" applyAlignment="1">
      <alignment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0" fontId="5" fillId="2" borderId="18" xfId="0" applyFont="1" applyFill="1" applyBorder="1" applyAlignment="1">
      <alignment horizontal="center" vertical="center"/>
    </xf>
    <xf numFmtId="0" fontId="5" fillId="2" borderId="19" xfId="0" applyFont="1" applyFill="1" applyBorder="1" applyAlignment="1">
      <alignment horizontal="center" vertical="center"/>
    </xf>
    <xf numFmtId="0" fontId="3" fillId="0" borderId="1" xfId="0" applyFont="1" applyBorder="1" applyAlignment="1">
      <alignment horizontal="center" vertical="center"/>
    </xf>
    <xf numFmtId="0" fontId="3" fillId="0" borderId="1" xfId="0" applyFont="1" applyBorder="1" applyAlignment="1">
      <alignment horizontal="center" vertical="center" wrapText="1"/>
    </xf>
    <xf numFmtId="0" fontId="3" fillId="0" borderId="2" xfId="0" applyFont="1" applyBorder="1" applyAlignment="1">
      <alignment horizontal="center" vertical="center" wrapText="1"/>
    </xf>
    <xf numFmtId="0" fontId="3" fillId="0" borderId="3" xfId="0" applyFont="1" applyBorder="1" applyAlignment="1">
      <alignment horizontal="center" vertical="center" wrapText="1"/>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13" fillId="0" borderId="35" xfId="0" applyFont="1" applyBorder="1" applyAlignment="1" applyProtection="1">
      <alignment horizontal="center" vertical="center"/>
      <protection hidden="1"/>
    </xf>
    <xf numFmtId="0" fontId="14" fillId="0" borderId="35" xfId="0" applyFont="1" applyBorder="1" applyAlignment="1" applyProtection="1">
      <alignment horizontal="justify" vertical="center"/>
      <protection hidden="1"/>
    </xf>
    <xf numFmtId="0" fontId="14" fillId="0" borderId="27" xfId="0" applyFont="1" applyBorder="1" applyAlignment="1" applyProtection="1">
      <alignment horizontal="justify" vertical="center"/>
      <protection hidden="1"/>
    </xf>
    <xf numFmtId="0" fontId="14" fillId="0" borderId="28" xfId="0" applyFont="1" applyBorder="1" applyAlignment="1" applyProtection="1">
      <alignment horizontal="justify" vertical="center"/>
      <protection hidden="1"/>
    </xf>
    <xf numFmtId="0" fontId="14" fillId="0" borderId="29" xfId="0" applyFont="1" applyBorder="1" applyAlignment="1" applyProtection="1">
      <alignment horizontal="justify" vertical="center"/>
      <protection hidden="1"/>
    </xf>
    <xf numFmtId="0" fontId="14" fillId="0" borderId="30" xfId="0" applyFont="1" applyBorder="1" applyAlignment="1" applyProtection="1">
      <alignment horizontal="justify" vertical="center"/>
      <protection hidden="1"/>
    </xf>
    <xf numFmtId="0" fontId="14" fillId="0" borderId="0" xfId="0" applyFont="1" applyBorder="1" applyAlignment="1" applyProtection="1">
      <alignment horizontal="justify" vertical="center"/>
      <protection hidden="1"/>
    </xf>
    <xf numFmtId="0" fontId="14" fillId="0" borderId="31" xfId="0" applyFont="1" applyBorder="1" applyAlignment="1" applyProtection="1">
      <alignment horizontal="justify" vertical="center"/>
      <protection hidden="1"/>
    </xf>
    <xf numFmtId="0" fontId="14" fillId="0" borderId="32" xfId="0" applyFont="1" applyBorder="1" applyAlignment="1" applyProtection="1">
      <alignment vertical="center"/>
      <protection hidden="1"/>
    </xf>
    <xf numFmtId="0" fontId="14" fillId="0" borderId="33" xfId="0" applyFont="1" applyBorder="1" applyAlignment="1" applyProtection="1">
      <alignment vertical="center"/>
      <protection hidden="1"/>
    </xf>
    <xf numFmtId="0" fontId="14" fillId="0" borderId="34" xfId="0" applyFont="1" applyBorder="1" applyAlignment="1" applyProtection="1">
      <alignment vertical="center"/>
      <protection hidden="1"/>
    </xf>
    <xf numFmtId="0" fontId="14" fillId="0" borderId="30" xfId="0" applyFont="1" applyBorder="1" applyAlignment="1" applyProtection="1">
      <alignment vertical="center"/>
      <protection hidden="1"/>
    </xf>
    <xf numFmtId="0" fontId="14" fillId="0" borderId="0" xfId="0" applyFont="1" applyBorder="1" applyAlignment="1" applyProtection="1">
      <alignment vertical="center"/>
      <protection hidden="1"/>
    </xf>
    <xf numFmtId="0" fontId="14" fillId="0" borderId="31" xfId="0" applyFont="1" applyBorder="1" applyAlignment="1" applyProtection="1">
      <alignment vertical="center"/>
      <protection hidden="1"/>
    </xf>
    <xf numFmtId="0" fontId="14" fillId="0" borderId="27" xfId="0" applyFont="1" applyBorder="1" applyAlignment="1" applyProtection="1">
      <alignment vertical="center"/>
      <protection hidden="1"/>
    </xf>
    <xf numFmtId="0" fontId="14" fillId="0" borderId="28" xfId="0" applyFont="1" applyBorder="1" applyAlignment="1" applyProtection="1">
      <alignment vertical="center"/>
      <protection hidden="1"/>
    </xf>
    <xf numFmtId="0" fontId="14" fillId="0" borderId="29" xfId="0" applyFont="1" applyBorder="1" applyAlignment="1" applyProtection="1">
      <alignment vertical="center"/>
      <protection hidden="1"/>
    </xf>
    <xf numFmtId="0" fontId="5" fillId="4" borderId="35" xfId="0" applyFont="1" applyFill="1" applyBorder="1" applyAlignment="1" applyProtection="1">
      <alignment horizontal="center" vertical="center"/>
      <protection hidden="1"/>
    </xf>
    <xf numFmtId="0" fontId="14" fillId="0" borderId="32" xfId="0" applyFont="1" applyBorder="1" applyAlignment="1" applyProtection="1">
      <alignment horizontal="justify" vertical="center"/>
      <protection hidden="1"/>
    </xf>
    <xf numFmtId="0" fontId="14" fillId="0" borderId="33" xfId="0" applyFont="1" applyBorder="1" applyAlignment="1" applyProtection="1">
      <alignment horizontal="justify" vertical="center"/>
      <protection hidden="1"/>
    </xf>
    <xf numFmtId="0" fontId="14" fillId="0" borderId="34" xfId="0" applyFont="1" applyBorder="1" applyAlignment="1" applyProtection="1">
      <alignment horizontal="justify" vertical="center"/>
      <protection hidden="1"/>
    </xf>
    <xf numFmtId="0" fontId="15" fillId="0" borderId="40" xfId="1" applyFont="1" applyBorder="1" applyAlignment="1">
      <alignment horizontal="centerContinuous"/>
    </xf>
    <xf numFmtId="0" fontId="15" fillId="0" borderId="0" xfId="1" applyFont="1" applyBorder="1" applyAlignment="1">
      <alignment horizontal="centerContinuous"/>
    </xf>
    <xf numFmtId="0" fontId="15" fillId="0" borderId="30" xfId="1" quotePrefix="1" applyFont="1" applyBorder="1" applyAlignment="1">
      <alignment horizontal="centerContinuous"/>
    </xf>
    <xf numFmtId="0" fontId="15" fillId="0" borderId="41" xfId="1" applyFont="1" applyBorder="1" applyAlignment="1">
      <alignment horizontal="centerContinuous"/>
    </xf>
    <xf numFmtId="0" fontId="15" fillId="0" borderId="30" xfId="1" applyFont="1" applyBorder="1"/>
    <xf numFmtId="0" fontId="15" fillId="0" borderId="0" xfId="1" applyFont="1" applyBorder="1"/>
    <xf numFmtId="0" fontId="15" fillId="0" borderId="41" xfId="1" applyFont="1" applyBorder="1"/>
    <xf numFmtId="49" fontId="15" fillId="0" borderId="43" xfId="1" applyNumberFormat="1" applyFont="1" applyBorder="1" applyAlignment="1">
      <alignment horizontal="center" vertical="center" textRotation="90"/>
    </xf>
    <xf numFmtId="49" fontId="15" fillId="0" borderId="44" xfId="1" applyNumberFormat="1" applyFont="1" applyBorder="1" applyAlignment="1">
      <alignment horizontal="center" vertical="center" textRotation="90"/>
    </xf>
    <xf numFmtId="49" fontId="15" fillId="0" borderId="45" xfId="1" quotePrefix="1" applyNumberFormat="1" applyFont="1" applyBorder="1" applyAlignment="1">
      <alignment horizontal="center" vertical="center" textRotation="90"/>
    </xf>
    <xf numFmtId="49" fontId="15" fillId="0" borderId="45" xfId="1" applyNumberFormat="1" applyFont="1" applyBorder="1" applyAlignment="1">
      <alignment horizontal="center" vertical="center" textRotation="90"/>
    </xf>
    <xf numFmtId="49" fontId="15" fillId="0" borderId="46" xfId="1" applyNumberFormat="1" applyFont="1" applyBorder="1" applyAlignment="1">
      <alignment horizontal="center" vertical="center" textRotation="90"/>
    </xf>
    <xf numFmtId="0" fontId="15" fillId="0" borderId="47" xfId="1" applyFont="1" applyBorder="1"/>
    <xf numFmtId="0" fontId="15" fillId="0" borderId="47" xfId="1" applyFont="1" applyBorder="1" applyAlignment="1">
      <alignment horizontal="center"/>
    </xf>
    <xf numFmtId="0" fontId="15" fillId="0" borderId="48" xfId="1" applyFont="1" applyBorder="1" applyAlignment="1">
      <alignment horizontal="center"/>
    </xf>
    <xf numFmtId="0" fontId="15" fillId="0" borderId="49" xfId="1" applyFont="1" applyBorder="1" applyAlignment="1">
      <alignment horizontal="center"/>
    </xf>
    <xf numFmtId="0" fontId="15" fillId="0" borderId="47" xfId="1" quotePrefix="1" applyFont="1" applyBorder="1" applyAlignment="1">
      <alignment horizontal="left"/>
    </xf>
    <xf numFmtId="0" fontId="15" fillId="0" borderId="47" xfId="1" applyFont="1" applyBorder="1" applyAlignment="1">
      <alignment horizontal="left"/>
    </xf>
    <xf numFmtId="0" fontId="16" fillId="0" borderId="47" xfId="1" applyFont="1" applyBorder="1"/>
    <xf numFmtId="0" fontId="15" fillId="0" borderId="47" xfId="1" applyFont="1" applyBorder="1" applyAlignment="1">
      <alignment horizontal="justify"/>
    </xf>
    <xf numFmtId="0" fontId="15" fillId="0" borderId="42" xfId="1" applyFont="1" applyBorder="1"/>
    <xf numFmtId="0" fontId="15" fillId="0" borderId="42" xfId="1" applyFont="1" applyBorder="1" applyAlignment="1">
      <alignment horizontal="center"/>
    </xf>
    <xf numFmtId="0" fontId="15" fillId="0" borderId="50" xfId="1" applyFont="1" applyBorder="1" applyAlignment="1">
      <alignment horizontal="center"/>
    </xf>
    <xf numFmtId="0" fontId="15" fillId="0" borderId="51" xfId="1" applyFont="1" applyBorder="1" applyAlignment="1">
      <alignment horizontal="center"/>
    </xf>
    <xf numFmtId="0" fontId="15" fillId="0" borderId="0" xfId="1" applyFont="1"/>
    <xf numFmtId="0" fontId="15" fillId="0" borderId="0" xfId="1" applyFont="1" applyAlignment="1">
      <alignment horizontal="center"/>
    </xf>
    <xf numFmtId="0" fontId="15" fillId="0" borderId="52" xfId="1" applyFont="1" applyBorder="1"/>
    <xf numFmtId="0" fontId="15" fillId="0" borderId="53" xfId="1" applyFont="1" applyBorder="1"/>
    <xf numFmtId="0" fontId="15" fillId="5" borderId="36" xfId="1" applyFont="1" applyFill="1" applyBorder="1"/>
    <xf numFmtId="0" fontId="19" fillId="5" borderId="37" xfId="1" quotePrefix="1" applyFont="1" applyFill="1" applyBorder="1" applyAlignment="1">
      <alignment horizontal="centerContinuous"/>
    </xf>
    <xf numFmtId="0" fontId="20" fillId="5" borderId="38" xfId="1" applyFont="1" applyFill="1" applyBorder="1" applyAlignment="1">
      <alignment horizontal="centerContinuous"/>
    </xf>
    <xf numFmtId="0" fontId="20" fillId="5" borderId="39" xfId="1" applyFont="1" applyFill="1" applyBorder="1" applyAlignment="1">
      <alignment horizontal="centerContinuous"/>
    </xf>
    <xf numFmtId="0" fontId="21" fillId="5" borderId="40" xfId="1" applyFont="1" applyFill="1" applyBorder="1"/>
    <xf numFmtId="0" fontId="19" fillId="5" borderId="42" xfId="1" applyFont="1" applyFill="1" applyBorder="1" applyAlignment="1">
      <alignment horizontal="center" vertical="justify"/>
    </xf>
    <xf numFmtId="0" fontId="15" fillId="0" borderId="54" xfId="1" applyFont="1" applyBorder="1" applyAlignment="1">
      <alignment horizontal="center"/>
    </xf>
  </cellXfs>
  <cellStyles count="2">
    <cellStyle name="Normal" xfId="0" builtinId="0"/>
    <cellStyle name="Normal_RIESGOS POR OCUPACION"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emf"/><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gif"/><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6.gif"/><Relationship Id="rId1" Type="http://schemas.openxmlformats.org/officeDocument/2006/relationships/image" Target="../media/image1.emf"/><Relationship Id="rId4" Type="http://schemas.openxmlformats.org/officeDocument/2006/relationships/image" Target="../media/image9.pn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gif"/><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6.gif"/><Relationship Id="rId1" Type="http://schemas.openxmlformats.org/officeDocument/2006/relationships/image" Target="../media/image1.emf"/><Relationship Id="rId4" Type="http://schemas.openxmlformats.org/officeDocument/2006/relationships/image" Target="../media/image9.png"/></Relationships>
</file>

<file path=xl/drawings/_rels/drawing6.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gif"/><Relationship Id="rId1" Type="http://schemas.openxmlformats.org/officeDocument/2006/relationships/image" Target="../media/image1.emf"/></Relationships>
</file>

<file path=xl/drawings/_rels/drawing7.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6.gif"/><Relationship Id="rId1" Type="http://schemas.openxmlformats.org/officeDocument/2006/relationships/image" Target="../media/image1.emf"/><Relationship Id="rId4" Type="http://schemas.openxmlformats.org/officeDocument/2006/relationships/image" Target="../media/image9.png"/></Relationships>
</file>

<file path=xl/drawings/_rels/drawing8.x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gif"/></Relationships>
</file>

<file path=xl/drawings/drawing1.xml><?xml version="1.0" encoding="utf-8"?>
<xdr:wsDr xmlns:xdr="http://schemas.openxmlformats.org/drawingml/2006/spreadsheetDrawing" xmlns:a="http://schemas.openxmlformats.org/drawingml/2006/main">
  <xdr:twoCellAnchor editAs="oneCell">
    <xdr:from>
      <xdr:col>10</xdr:col>
      <xdr:colOff>9525</xdr:colOff>
      <xdr:row>2</xdr:row>
      <xdr:rowOff>19050</xdr:rowOff>
    </xdr:from>
    <xdr:to>
      <xdr:col>15</xdr:col>
      <xdr:colOff>76200</xdr:colOff>
      <xdr:row>5</xdr:row>
      <xdr:rowOff>123825</xdr:rowOff>
    </xdr:to>
    <xdr:pic>
      <xdr:nvPicPr>
        <xdr:cNvPr id="2" name="Imagen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00800" y="180975"/>
          <a:ext cx="38766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126871</xdr:colOff>
      <xdr:row>2</xdr:row>
      <xdr:rowOff>97923</xdr:rowOff>
    </xdr:from>
    <xdr:ext cx="10179179" cy="1845633"/>
    <xdr:sp macro="" textlink="">
      <xdr:nvSpPr>
        <xdr:cNvPr id="3" name="Rectángulo 2"/>
        <xdr:cNvSpPr/>
      </xdr:nvSpPr>
      <xdr:spPr>
        <a:xfrm>
          <a:off x="241171" y="259848"/>
          <a:ext cx="10179179" cy="1845633"/>
        </a:xfrm>
        <a:prstGeom prst="rect">
          <a:avLst/>
        </a:prstGeom>
        <a:noFill/>
      </xdr:spPr>
      <xdr:txBody>
        <a:bodyPr wrap="square" lIns="91440" tIns="45720" rIns="91440" bIns="45720">
          <a:spAutoFit/>
        </a:bodyPr>
        <a:lstStyle/>
        <a:p>
          <a:pPr algn="l"/>
          <a:r>
            <a:rPr lang="es-ES" sz="5600" b="1" cap="none" spc="0">
              <a:ln w="9525">
                <a:solidFill>
                  <a:schemeClr val="bg1"/>
                </a:solidFill>
                <a:prstDash val="solid"/>
              </a:ln>
              <a:solidFill>
                <a:schemeClr val="accent5"/>
              </a:solidFill>
              <a:effectLst>
                <a:outerShdw blurRad="12700" dist="38100" dir="2700000" algn="tl" rotWithShape="0">
                  <a:schemeClr val="accent5">
                    <a:lumMod val="60000"/>
                    <a:lumOff val="40000"/>
                  </a:schemeClr>
                </a:outerShdw>
              </a:effectLst>
            </a:rPr>
            <a:t>Cotizador de</a:t>
          </a:r>
        </a:p>
        <a:p>
          <a:pPr algn="l"/>
          <a:r>
            <a:rPr lang="es-ES" sz="5600" b="1" cap="none" spc="0">
              <a:ln w="9525">
                <a:solidFill>
                  <a:schemeClr val="bg1"/>
                </a:solidFill>
                <a:prstDash val="solid"/>
              </a:ln>
              <a:solidFill>
                <a:schemeClr val="accent5"/>
              </a:solidFill>
              <a:effectLst>
                <a:outerShdw blurRad="12700" dist="38100" dir="2700000" algn="tl" rotWithShape="0">
                  <a:schemeClr val="accent5">
                    <a:lumMod val="60000"/>
                    <a:lumOff val="40000"/>
                  </a:schemeClr>
                </a:outerShdw>
              </a:effectLst>
            </a:rPr>
            <a:t>Accidentes Personales</a:t>
          </a:r>
        </a:p>
      </xdr:txBody>
    </xdr:sp>
    <xdr:clientData/>
  </xdr:oneCellAnchor>
  <xdr:twoCellAnchor editAs="oneCell">
    <xdr:from>
      <xdr:col>6</xdr:col>
      <xdr:colOff>657225</xdr:colOff>
      <xdr:row>15</xdr:row>
      <xdr:rowOff>122992</xdr:rowOff>
    </xdr:from>
    <xdr:to>
      <xdr:col>9</xdr:col>
      <xdr:colOff>153831</xdr:colOff>
      <xdr:row>22</xdr:row>
      <xdr:rowOff>95250</xdr:rowOff>
    </xdr:to>
    <xdr:pic macro="[0]!Go_3FamAnual">
      <xdr:nvPicPr>
        <xdr:cNvPr id="4" name="Imagen 3"/>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00500" y="2761417"/>
          <a:ext cx="1782606" cy="1305758"/>
        </a:xfrm>
        <a:prstGeom prst="rect">
          <a:avLst/>
        </a:prstGeom>
      </xdr:spPr>
    </xdr:pic>
    <xdr:clientData/>
  </xdr:twoCellAnchor>
  <xdr:twoCellAnchor editAs="oneCell">
    <xdr:from>
      <xdr:col>2</xdr:col>
      <xdr:colOff>133350</xdr:colOff>
      <xdr:row>15</xdr:row>
      <xdr:rowOff>139099</xdr:rowOff>
    </xdr:from>
    <xdr:to>
      <xdr:col>3</xdr:col>
      <xdr:colOff>495300</xdr:colOff>
      <xdr:row>22</xdr:row>
      <xdr:rowOff>7242</xdr:rowOff>
    </xdr:to>
    <xdr:pic macro="[0]!Go_1IndAnual">
      <xdr:nvPicPr>
        <xdr:cNvPr id="5" name="Imagen 4"/>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28625" y="2777524"/>
          <a:ext cx="1123950" cy="1201643"/>
        </a:xfrm>
        <a:prstGeom prst="rect">
          <a:avLst/>
        </a:prstGeom>
      </xdr:spPr>
    </xdr:pic>
    <xdr:clientData/>
  </xdr:twoCellAnchor>
  <xdr:twoCellAnchor editAs="oneCell">
    <xdr:from>
      <xdr:col>11</xdr:col>
      <xdr:colOff>704850</xdr:colOff>
      <xdr:row>15</xdr:row>
      <xdr:rowOff>101902</xdr:rowOff>
    </xdr:from>
    <xdr:to>
      <xdr:col>13</xdr:col>
      <xdr:colOff>104775</xdr:colOff>
      <xdr:row>22</xdr:row>
      <xdr:rowOff>73629</xdr:rowOff>
    </xdr:to>
    <xdr:pic macro="[0]!Go_5IndCPlzo">
      <xdr:nvPicPr>
        <xdr:cNvPr id="6" name="Imagen 5"/>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858125" y="2740327"/>
          <a:ext cx="923925" cy="1305227"/>
        </a:xfrm>
        <a:prstGeom prst="rect">
          <a:avLst/>
        </a:prstGeom>
      </xdr:spPr>
    </xdr:pic>
    <xdr:clientData/>
  </xdr:twoCellAnchor>
  <xdr:oneCellAnchor>
    <xdr:from>
      <xdr:col>3</xdr:col>
      <xdr:colOff>503778</xdr:colOff>
      <xdr:row>16</xdr:row>
      <xdr:rowOff>164598</xdr:rowOff>
    </xdr:from>
    <xdr:ext cx="1240341" cy="718530"/>
    <xdr:sp macro="[0]!Go_1IndAnual" textlink="">
      <xdr:nvSpPr>
        <xdr:cNvPr id="7" name="Rectángulo 6"/>
        <xdr:cNvSpPr/>
      </xdr:nvSpPr>
      <xdr:spPr>
        <a:xfrm>
          <a:off x="1561053" y="2993523"/>
          <a:ext cx="1240341" cy="718530"/>
        </a:xfrm>
        <a:prstGeom prst="rect">
          <a:avLst/>
        </a:prstGeom>
        <a:noFill/>
      </xdr:spPr>
      <xdr:txBody>
        <a:bodyPr wrap="none" lIns="91440" tIns="45720" rIns="91440" bIns="45720">
          <a:spAutoFit/>
        </a:bodyPr>
        <a:lstStyle/>
        <a:p>
          <a:pPr algn="ctr"/>
          <a:r>
            <a:rPr lang="es-ES" sz="2000" b="1" cap="none" spc="0">
              <a:ln w="22225">
                <a:solidFill>
                  <a:schemeClr val="accent2"/>
                </a:solidFill>
                <a:prstDash val="solid"/>
              </a:ln>
              <a:solidFill>
                <a:schemeClr val="accent2">
                  <a:lumMod val="40000"/>
                  <a:lumOff val="60000"/>
                </a:schemeClr>
              </a:solidFill>
              <a:effectLst/>
            </a:rPr>
            <a:t>Individual</a:t>
          </a:r>
        </a:p>
        <a:p>
          <a:pPr algn="ctr"/>
          <a:r>
            <a:rPr lang="es-ES" sz="2000" b="1" cap="none" spc="0">
              <a:ln w="22225">
                <a:solidFill>
                  <a:schemeClr val="accent2"/>
                </a:solidFill>
                <a:prstDash val="solid"/>
              </a:ln>
              <a:solidFill>
                <a:schemeClr val="accent2">
                  <a:lumMod val="40000"/>
                  <a:lumOff val="60000"/>
                </a:schemeClr>
              </a:solidFill>
              <a:effectLst/>
            </a:rPr>
            <a:t>Anual</a:t>
          </a:r>
        </a:p>
      </xdr:txBody>
    </xdr:sp>
    <xdr:clientData/>
  </xdr:oneCellAnchor>
  <xdr:oneCellAnchor>
    <xdr:from>
      <xdr:col>9</xdr:col>
      <xdr:colOff>220755</xdr:colOff>
      <xdr:row>16</xdr:row>
      <xdr:rowOff>164598</xdr:rowOff>
    </xdr:from>
    <xdr:ext cx="1044388" cy="718530"/>
    <xdr:sp macro="[0]!Go_3FamAnual" textlink="">
      <xdr:nvSpPr>
        <xdr:cNvPr id="8" name="Rectángulo 7"/>
        <xdr:cNvSpPr/>
      </xdr:nvSpPr>
      <xdr:spPr>
        <a:xfrm>
          <a:off x="5850030" y="2993523"/>
          <a:ext cx="1044388" cy="718530"/>
        </a:xfrm>
        <a:prstGeom prst="rect">
          <a:avLst/>
        </a:prstGeom>
        <a:noFill/>
      </xdr:spPr>
      <xdr:txBody>
        <a:bodyPr wrap="none" lIns="91440" tIns="45720" rIns="91440" bIns="45720">
          <a:spAutoFit/>
        </a:bodyPr>
        <a:lstStyle/>
        <a:p>
          <a:pPr algn="ctr"/>
          <a:r>
            <a:rPr lang="es-ES" sz="2000" b="1" cap="none" spc="0">
              <a:ln w="22225">
                <a:solidFill>
                  <a:schemeClr val="accent2"/>
                </a:solidFill>
                <a:prstDash val="solid"/>
              </a:ln>
              <a:solidFill>
                <a:schemeClr val="accent2">
                  <a:lumMod val="40000"/>
                  <a:lumOff val="60000"/>
                </a:schemeClr>
              </a:solidFill>
              <a:effectLst/>
            </a:rPr>
            <a:t>Familiar</a:t>
          </a:r>
        </a:p>
        <a:p>
          <a:pPr algn="ctr"/>
          <a:r>
            <a:rPr lang="es-ES" sz="2000" b="1" cap="none" spc="0">
              <a:ln w="22225">
                <a:solidFill>
                  <a:schemeClr val="accent2"/>
                </a:solidFill>
                <a:prstDash val="solid"/>
              </a:ln>
              <a:solidFill>
                <a:schemeClr val="accent2">
                  <a:lumMod val="40000"/>
                  <a:lumOff val="60000"/>
                </a:schemeClr>
              </a:solidFill>
              <a:effectLst/>
            </a:rPr>
            <a:t>Anual</a:t>
          </a:r>
        </a:p>
      </xdr:txBody>
    </xdr:sp>
    <xdr:clientData/>
  </xdr:oneCellAnchor>
  <xdr:oneCellAnchor>
    <xdr:from>
      <xdr:col>12</xdr:col>
      <xdr:colOff>723899</xdr:colOff>
      <xdr:row>16</xdr:row>
      <xdr:rowOff>164598</xdr:rowOff>
    </xdr:from>
    <xdr:ext cx="1466851" cy="718530"/>
    <xdr:sp macro="[0]!Go_5IndCPlzo" textlink="">
      <xdr:nvSpPr>
        <xdr:cNvPr id="9" name="Rectángulo 8"/>
        <xdr:cNvSpPr/>
      </xdr:nvSpPr>
      <xdr:spPr>
        <a:xfrm>
          <a:off x="8639174" y="2993523"/>
          <a:ext cx="1466851" cy="718530"/>
        </a:xfrm>
        <a:prstGeom prst="rect">
          <a:avLst/>
        </a:prstGeom>
        <a:noFill/>
      </xdr:spPr>
      <xdr:txBody>
        <a:bodyPr wrap="square" lIns="91440" tIns="45720" rIns="91440" bIns="45720">
          <a:spAutoFit/>
        </a:bodyPr>
        <a:lstStyle/>
        <a:p>
          <a:pPr algn="ctr"/>
          <a:r>
            <a:rPr lang="es-ES" sz="2000" b="1" cap="none" spc="0">
              <a:ln w="22225">
                <a:solidFill>
                  <a:schemeClr val="accent2"/>
                </a:solidFill>
                <a:prstDash val="solid"/>
              </a:ln>
              <a:solidFill>
                <a:schemeClr val="accent2">
                  <a:lumMod val="40000"/>
                  <a:lumOff val="60000"/>
                </a:schemeClr>
              </a:solidFill>
              <a:effectLst/>
            </a:rPr>
            <a:t>Individual</a:t>
          </a:r>
        </a:p>
        <a:p>
          <a:pPr algn="ctr"/>
          <a:r>
            <a:rPr lang="es-ES" sz="2000" b="1" cap="none" spc="0">
              <a:ln w="22225">
                <a:solidFill>
                  <a:schemeClr val="accent2"/>
                </a:solidFill>
                <a:prstDash val="solid"/>
              </a:ln>
              <a:solidFill>
                <a:schemeClr val="accent2">
                  <a:lumMod val="40000"/>
                  <a:lumOff val="60000"/>
                </a:schemeClr>
              </a:solidFill>
              <a:effectLst/>
            </a:rPr>
            <a:t>Corto Plazo</a:t>
          </a:r>
        </a:p>
      </xdr:txBody>
    </xdr:sp>
    <xdr:clientData/>
  </xdr:oneCellAnchor>
  <xdr:twoCellAnchor editAs="oneCell">
    <xdr:from>
      <xdr:col>11</xdr:col>
      <xdr:colOff>400050</xdr:colOff>
      <xdr:row>7</xdr:row>
      <xdr:rowOff>176022</xdr:rowOff>
    </xdr:from>
    <xdr:to>
      <xdr:col>12</xdr:col>
      <xdr:colOff>666750</xdr:colOff>
      <xdr:row>13</xdr:row>
      <xdr:rowOff>57150</xdr:rowOff>
    </xdr:to>
    <xdr:pic macro="[0]!Go_7TiposRiesgo">
      <xdr:nvPicPr>
        <xdr:cNvPr id="10" name="Imagen 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553325" y="1290447"/>
          <a:ext cx="1028700" cy="1024128"/>
        </a:xfrm>
        <a:prstGeom prst="rect">
          <a:avLst/>
        </a:prstGeom>
      </xdr:spPr>
    </xdr:pic>
    <xdr:clientData/>
  </xdr:twoCellAnchor>
  <xdr:oneCellAnchor>
    <xdr:from>
      <xdr:col>12</xdr:col>
      <xdr:colOff>447674</xdr:colOff>
      <xdr:row>8</xdr:row>
      <xdr:rowOff>31248</xdr:rowOff>
    </xdr:from>
    <xdr:ext cx="1466851" cy="718530"/>
    <xdr:sp macro="[0]!Go_7TiposRiesgo" textlink="">
      <xdr:nvSpPr>
        <xdr:cNvPr id="11" name="Rectángulo 10"/>
        <xdr:cNvSpPr/>
      </xdr:nvSpPr>
      <xdr:spPr>
        <a:xfrm>
          <a:off x="8362949" y="1336173"/>
          <a:ext cx="1466851" cy="718530"/>
        </a:xfrm>
        <a:prstGeom prst="rect">
          <a:avLst/>
        </a:prstGeom>
        <a:noFill/>
      </xdr:spPr>
      <xdr:txBody>
        <a:bodyPr wrap="square" lIns="91440" tIns="45720" rIns="91440" bIns="45720">
          <a:spAutoFit/>
          <a:scene3d>
            <a:camera prst="orthographicFront"/>
            <a:lightRig rig="harsh" dir="t"/>
          </a:scene3d>
          <a:sp3d extrusionH="57150" prstMaterial="matte">
            <a:bevelT w="63500" h="12700" prst="angle"/>
            <a:contourClr>
              <a:schemeClr val="bg1">
                <a:lumMod val="65000"/>
              </a:schemeClr>
            </a:contourClr>
          </a:sp3d>
        </a:bodyPr>
        <a:lstStyle/>
        <a:p>
          <a:pPr algn="ctr"/>
          <a:r>
            <a:rPr lang="es-ES" sz="2000" b="1" cap="none" spc="0">
              <a:ln/>
              <a:solidFill>
                <a:schemeClr val="accent3"/>
              </a:solidFill>
              <a:effectLst/>
            </a:rPr>
            <a:t>Tipos</a:t>
          </a:r>
        </a:p>
        <a:p>
          <a:pPr algn="ctr"/>
          <a:r>
            <a:rPr lang="es-ES" sz="2000" b="1" cap="none" spc="0">
              <a:ln/>
              <a:solidFill>
                <a:schemeClr val="accent3"/>
              </a:solidFill>
              <a:effectLst/>
            </a:rPr>
            <a:t>de Riesgo</a:t>
          </a:r>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1</xdr:col>
      <xdr:colOff>76201</xdr:colOff>
      <xdr:row>29</xdr:row>
      <xdr:rowOff>19050</xdr:rowOff>
    </xdr:from>
    <xdr:to>
      <xdr:col>4</xdr:col>
      <xdr:colOff>209551</xdr:colOff>
      <xdr:row>32</xdr:row>
      <xdr:rowOff>47625</xdr:rowOff>
    </xdr:to>
    <xdr:pic>
      <xdr:nvPicPr>
        <xdr:cNvPr id="2" name="Imagen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1" y="123825"/>
          <a:ext cx="2933700" cy="600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95250</xdr:colOff>
      <xdr:row>29</xdr:row>
      <xdr:rowOff>38792</xdr:rowOff>
    </xdr:from>
    <xdr:to>
      <xdr:col>5</xdr:col>
      <xdr:colOff>1030060</xdr:colOff>
      <xdr:row>34</xdr:row>
      <xdr:rowOff>38099</xdr:rowOff>
    </xdr:to>
    <xdr:pic macro="[0]!Go_0Inicio">
      <xdr:nvPicPr>
        <xdr:cNvPr id="3" name="2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619500" y="143567"/>
          <a:ext cx="934810" cy="951807"/>
        </a:xfrm>
        <a:prstGeom prst="rect">
          <a:avLst/>
        </a:prstGeom>
      </xdr:spPr>
    </xdr:pic>
    <xdr:clientData/>
  </xdr:twoCellAnchor>
  <xdr:twoCellAnchor editAs="oneCell">
    <xdr:from>
      <xdr:col>5</xdr:col>
      <xdr:colOff>219074</xdr:colOff>
      <xdr:row>71</xdr:row>
      <xdr:rowOff>19049</xdr:rowOff>
    </xdr:from>
    <xdr:to>
      <xdr:col>5</xdr:col>
      <xdr:colOff>971549</xdr:colOff>
      <xdr:row>75</xdr:row>
      <xdr:rowOff>9524</xdr:rowOff>
    </xdr:to>
    <xdr:pic macro="[0]!Go_2PIndAnual">
      <xdr:nvPicPr>
        <xdr:cNvPr id="4" name="3 Imagen"/>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743324" y="6810374"/>
          <a:ext cx="752475" cy="7524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142874</xdr:colOff>
      <xdr:row>2</xdr:row>
      <xdr:rowOff>28575</xdr:rowOff>
    </xdr:from>
    <xdr:to>
      <xdr:col>6</xdr:col>
      <xdr:colOff>590550</xdr:colOff>
      <xdr:row>3</xdr:row>
      <xdr:rowOff>304800</xdr:rowOff>
    </xdr:to>
    <xdr:pic>
      <xdr:nvPicPr>
        <xdr:cNvPr id="2" name="Imagen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7174" y="285750"/>
          <a:ext cx="2971801" cy="600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190500</xdr:colOff>
      <xdr:row>2</xdr:row>
      <xdr:rowOff>19050</xdr:rowOff>
    </xdr:from>
    <xdr:to>
      <xdr:col>14</xdr:col>
      <xdr:colOff>1125310</xdr:colOff>
      <xdr:row>5</xdr:row>
      <xdr:rowOff>132657</xdr:rowOff>
    </xdr:to>
    <xdr:pic macro="[0]!Go_0Inicio">
      <xdr:nvPicPr>
        <xdr:cNvPr id="3" name="2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77050" y="152400"/>
          <a:ext cx="934810" cy="951807"/>
        </a:xfrm>
        <a:prstGeom prst="rect">
          <a:avLst/>
        </a:prstGeom>
      </xdr:spPr>
    </xdr:pic>
    <xdr:clientData/>
  </xdr:twoCellAnchor>
  <xdr:twoCellAnchor editAs="oneCell">
    <xdr:from>
      <xdr:col>14</xdr:col>
      <xdr:colOff>197531</xdr:colOff>
      <xdr:row>7</xdr:row>
      <xdr:rowOff>123825</xdr:rowOff>
    </xdr:from>
    <xdr:to>
      <xdr:col>14</xdr:col>
      <xdr:colOff>1123950</xdr:colOff>
      <xdr:row>15</xdr:row>
      <xdr:rowOff>85724</xdr:rowOff>
    </xdr:to>
    <xdr:pic macro="[0]!Go_1IndAnual">
      <xdr:nvPicPr>
        <xdr:cNvPr id="4" name="Imagen 3"/>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23999" b="20001"/>
        <a:stretch/>
      </xdr:blipFill>
      <xdr:spPr>
        <a:xfrm>
          <a:off x="6884081" y="1323975"/>
          <a:ext cx="926419" cy="904874"/>
        </a:xfrm>
        <a:prstGeom prst="rect">
          <a:avLst/>
        </a:prstGeom>
      </xdr:spPr>
    </xdr:pic>
    <xdr:clientData/>
  </xdr:twoCellAnchor>
  <xdr:twoCellAnchor editAs="oneCell">
    <xdr:from>
      <xdr:col>14</xdr:col>
      <xdr:colOff>82044</xdr:colOff>
      <xdr:row>17</xdr:row>
      <xdr:rowOff>142875</xdr:rowOff>
    </xdr:from>
    <xdr:to>
      <xdr:col>14</xdr:col>
      <xdr:colOff>1161318</xdr:colOff>
      <xdr:row>25</xdr:row>
      <xdr:rowOff>144805</xdr:rowOff>
    </xdr:to>
    <xdr:pic macro="[0]!Impr_1IndAnu">
      <xdr:nvPicPr>
        <xdr:cNvPr id="6" name="3 Imagen"/>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768594" y="2447925"/>
          <a:ext cx="1079274" cy="103063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76201</xdr:colOff>
      <xdr:row>31</xdr:row>
      <xdr:rowOff>19050</xdr:rowOff>
    </xdr:from>
    <xdr:to>
      <xdr:col>5</xdr:col>
      <xdr:colOff>161926</xdr:colOff>
      <xdr:row>34</xdr:row>
      <xdr:rowOff>47625</xdr:rowOff>
    </xdr:to>
    <xdr:pic>
      <xdr:nvPicPr>
        <xdr:cNvPr id="2" name="Imagen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1" y="123825"/>
          <a:ext cx="2933700" cy="600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95250</xdr:colOff>
      <xdr:row>31</xdr:row>
      <xdr:rowOff>38792</xdr:rowOff>
    </xdr:from>
    <xdr:to>
      <xdr:col>6</xdr:col>
      <xdr:colOff>1030060</xdr:colOff>
      <xdr:row>36</xdr:row>
      <xdr:rowOff>38099</xdr:rowOff>
    </xdr:to>
    <xdr:pic macro="[0]!Go_0Inicio">
      <xdr:nvPicPr>
        <xdr:cNvPr id="3" name="2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619500" y="143567"/>
          <a:ext cx="934810" cy="951807"/>
        </a:xfrm>
        <a:prstGeom prst="rect">
          <a:avLst/>
        </a:prstGeom>
      </xdr:spPr>
    </xdr:pic>
    <xdr:clientData/>
  </xdr:twoCellAnchor>
  <xdr:twoCellAnchor editAs="oneCell">
    <xdr:from>
      <xdr:col>6</xdr:col>
      <xdr:colOff>219074</xdr:colOff>
      <xdr:row>93</xdr:row>
      <xdr:rowOff>19049</xdr:rowOff>
    </xdr:from>
    <xdr:to>
      <xdr:col>6</xdr:col>
      <xdr:colOff>971549</xdr:colOff>
      <xdr:row>97</xdr:row>
      <xdr:rowOff>9524</xdr:rowOff>
    </xdr:to>
    <xdr:pic macro="[0]!Go_4PFamAnual">
      <xdr:nvPicPr>
        <xdr:cNvPr id="4" name="3 Imagen"/>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743324" y="7381874"/>
          <a:ext cx="752475" cy="7524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142874</xdr:colOff>
      <xdr:row>2</xdr:row>
      <xdr:rowOff>28575</xdr:rowOff>
    </xdr:from>
    <xdr:to>
      <xdr:col>6</xdr:col>
      <xdr:colOff>590550</xdr:colOff>
      <xdr:row>3</xdr:row>
      <xdr:rowOff>304800</xdr:rowOff>
    </xdr:to>
    <xdr:pic>
      <xdr:nvPicPr>
        <xdr:cNvPr id="2" name="Imagen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7174" y="161925"/>
          <a:ext cx="2971801" cy="600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190500</xdr:colOff>
      <xdr:row>2</xdr:row>
      <xdr:rowOff>19050</xdr:rowOff>
    </xdr:from>
    <xdr:to>
      <xdr:col>14</xdr:col>
      <xdr:colOff>1125310</xdr:colOff>
      <xdr:row>5</xdr:row>
      <xdr:rowOff>132657</xdr:rowOff>
    </xdr:to>
    <xdr:pic macro="[0]!Go_0Inicio">
      <xdr:nvPicPr>
        <xdr:cNvPr id="3" name="2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77050" y="152400"/>
          <a:ext cx="934810" cy="951807"/>
        </a:xfrm>
        <a:prstGeom prst="rect">
          <a:avLst/>
        </a:prstGeom>
      </xdr:spPr>
    </xdr:pic>
    <xdr:clientData/>
  </xdr:twoCellAnchor>
  <xdr:twoCellAnchor editAs="oneCell">
    <xdr:from>
      <xdr:col>14</xdr:col>
      <xdr:colOff>197531</xdr:colOff>
      <xdr:row>7</xdr:row>
      <xdr:rowOff>123825</xdr:rowOff>
    </xdr:from>
    <xdr:to>
      <xdr:col>14</xdr:col>
      <xdr:colOff>1123950</xdr:colOff>
      <xdr:row>15</xdr:row>
      <xdr:rowOff>85724</xdr:rowOff>
    </xdr:to>
    <xdr:pic macro="[0]!Go_3FamAnual">
      <xdr:nvPicPr>
        <xdr:cNvPr id="4" name="Imagen 3"/>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23999" b="20001"/>
        <a:stretch/>
      </xdr:blipFill>
      <xdr:spPr>
        <a:xfrm>
          <a:off x="6884081" y="1323975"/>
          <a:ext cx="926419" cy="904874"/>
        </a:xfrm>
        <a:prstGeom prst="rect">
          <a:avLst/>
        </a:prstGeom>
      </xdr:spPr>
    </xdr:pic>
    <xdr:clientData/>
  </xdr:twoCellAnchor>
  <xdr:twoCellAnchor editAs="oneCell">
    <xdr:from>
      <xdr:col>14</xdr:col>
      <xdr:colOff>95250</xdr:colOff>
      <xdr:row>17</xdr:row>
      <xdr:rowOff>161925</xdr:rowOff>
    </xdr:from>
    <xdr:to>
      <xdr:col>14</xdr:col>
      <xdr:colOff>1174524</xdr:colOff>
      <xdr:row>24</xdr:row>
      <xdr:rowOff>11455</xdr:rowOff>
    </xdr:to>
    <xdr:pic macro="[0]!Impr_2FamAnu">
      <xdr:nvPicPr>
        <xdr:cNvPr id="5" name="3 Imagen"/>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781800" y="2466975"/>
          <a:ext cx="1079274" cy="103063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76201</xdr:colOff>
      <xdr:row>29</xdr:row>
      <xdr:rowOff>19050</xdr:rowOff>
    </xdr:from>
    <xdr:to>
      <xdr:col>4</xdr:col>
      <xdr:colOff>209551</xdr:colOff>
      <xdr:row>32</xdr:row>
      <xdr:rowOff>47625</xdr:rowOff>
    </xdr:to>
    <xdr:pic>
      <xdr:nvPicPr>
        <xdr:cNvPr id="2" name="Imagen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1" y="152400"/>
          <a:ext cx="2933700" cy="600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95250</xdr:colOff>
      <xdr:row>29</xdr:row>
      <xdr:rowOff>38792</xdr:rowOff>
    </xdr:from>
    <xdr:to>
      <xdr:col>5</xdr:col>
      <xdr:colOff>1030060</xdr:colOff>
      <xdr:row>34</xdr:row>
      <xdr:rowOff>38099</xdr:rowOff>
    </xdr:to>
    <xdr:pic macro="[0]!Go_0Inicio">
      <xdr:nvPicPr>
        <xdr:cNvPr id="3" name="2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619500" y="172142"/>
          <a:ext cx="934810" cy="951807"/>
        </a:xfrm>
        <a:prstGeom prst="rect">
          <a:avLst/>
        </a:prstGeom>
      </xdr:spPr>
    </xdr:pic>
    <xdr:clientData/>
  </xdr:twoCellAnchor>
  <xdr:twoCellAnchor editAs="oneCell">
    <xdr:from>
      <xdr:col>5</xdr:col>
      <xdr:colOff>219074</xdr:colOff>
      <xdr:row>70</xdr:row>
      <xdr:rowOff>19049</xdr:rowOff>
    </xdr:from>
    <xdr:to>
      <xdr:col>5</xdr:col>
      <xdr:colOff>971549</xdr:colOff>
      <xdr:row>74</xdr:row>
      <xdr:rowOff>9524</xdr:rowOff>
    </xdr:to>
    <xdr:pic macro="[0]!Go_6PIndCPlzo">
      <xdr:nvPicPr>
        <xdr:cNvPr id="4" name="3 Imagen"/>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743324" y="7410449"/>
          <a:ext cx="752475" cy="7524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142874</xdr:colOff>
      <xdr:row>2</xdr:row>
      <xdr:rowOff>28575</xdr:rowOff>
    </xdr:from>
    <xdr:to>
      <xdr:col>6</xdr:col>
      <xdr:colOff>590550</xdr:colOff>
      <xdr:row>3</xdr:row>
      <xdr:rowOff>304800</xdr:rowOff>
    </xdr:to>
    <xdr:pic>
      <xdr:nvPicPr>
        <xdr:cNvPr id="2" name="Imagen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7174" y="161925"/>
          <a:ext cx="2971801" cy="600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190500</xdr:colOff>
      <xdr:row>2</xdr:row>
      <xdr:rowOff>19050</xdr:rowOff>
    </xdr:from>
    <xdr:to>
      <xdr:col>14</xdr:col>
      <xdr:colOff>1125310</xdr:colOff>
      <xdr:row>5</xdr:row>
      <xdr:rowOff>132657</xdr:rowOff>
    </xdr:to>
    <xdr:pic macro="[0]!Go_0Inicio">
      <xdr:nvPicPr>
        <xdr:cNvPr id="3" name="2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77050" y="152400"/>
          <a:ext cx="934810" cy="951807"/>
        </a:xfrm>
        <a:prstGeom prst="rect">
          <a:avLst/>
        </a:prstGeom>
      </xdr:spPr>
    </xdr:pic>
    <xdr:clientData/>
  </xdr:twoCellAnchor>
  <xdr:twoCellAnchor editAs="oneCell">
    <xdr:from>
      <xdr:col>14</xdr:col>
      <xdr:colOff>197531</xdr:colOff>
      <xdr:row>7</xdr:row>
      <xdr:rowOff>123825</xdr:rowOff>
    </xdr:from>
    <xdr:to>
      <xdr:col>14</xdr:col>
      <xdr:colOff>1123950</xdr:colOff>
      <xdr:row>15</xdr:row>
      <xdr:rowOff>85724</xdr:rowOff>
    </xdr:to>
    <xdr:pic macro="[0]!Go_5IndCPlzo">
      <xdr:nvPicPr>
        <xdr:cNvPr id="4" name="Imagen 3"/>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23999" b="20001"/>
        <a:stretch/>
      </xdr:blipFill>
      <xdr:spPr>
        <a:xfrm>
          <a:off x="6884081" y="1323975"/>
          <a:ext cx="926419" cy="904874"/>
        </a:xfrm>
        <a:prstGeom prst="rect">
          <a:avLst/>
        </a:prstGeom>
      </xdr:spPr>
    </xdr:pic>
    <xdr:clientData/>
  </xdr:twoCellAnchor>
  <xdr:twoCellAnchor editAs="oneCell">
    <xdr:from>
      <xdr:col>14</xdr:col>
      <xdr:colOff>85725</xdr:colOff>
      <xdr:row>17</xdr:row>
      <xdr:rowOff>180975</xdr:rowOff>
    </xdr:from>
    <xdr:to>
      <xdr:col>14</xdr:col>
      <xdr:colOff>1164999</xdr:colOff>
      <xdr:row>25</xdr:row>
      <xdr:rowOff>144805</xdr:rowOff>
    </xdr:to>
    <xdr:pic macro="[0]!Impr_3IndCPz">
      <xdr:nvPicPr>
        <xdr:cNvPr id="5" name="3 Imagen"/>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772275" y="2524125"/>
          <a:ext cx="1079274" cy="103063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9</xdr:col>
      <xdr:colOff>561975</xdr:colOff>
      <xdr:row>2</xdr:row>
      <xdr:rowOff>104775</xdr:rowOff>
    </xdr:from>
    <xdr:to>
      <xdr:col>10</xdr:col>
      <xdr:colOff>734785</xdr:colOff>
      <xdr:row>7</xdr:row>
      <xdr:rowOff>246957</xdr:rowOff>
    </xdr:to>
    <xdr:pic macro="[0]!Go_0Inicio">
      <xdr:nvPicPr>
        <xdr:cNvPr id="2" name="2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57925" y="238125"/>
          <a:ext cx="934810" cy="951807"/>
        </a:xfrm>
        <a:prstGeom prst="rect">
          <a:avLst/>
        </a:prstGeom>
      </xdr:spPr>
    </xdr:pic>
    <xdr:clientData/>
  </xdr:twoCellAnchor>
  <xdr:twoCellAnchor editAs="oneCell">
    <xdr:from>
      <xdr:col>2</xdr:col>
      <xdr:colOff>0</xdr:colOff>
      <xdr:row>2</xdr:row>
      <xdr:rowOff>19050</xdr:rowOff>
    </xdr:from>
    <xdr:to>
      <xdr:col>5</xdr:col>
      <xdr:colOff>523876</xdr:colOff>
      <xdr:row>5</xdr:row>
      <xdr:rowOff>133350</xdr:rowOff>
    </xdr:to>
    <xdr:pic>
      <xdr:nvPicPr>
        <xdr:cNvPr id="3" name="Imagen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1950" y="152400"/>
          <a:ext cx="2971801" cy="600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XI02007666A/Documents/AXA/4.%20Cotizadores/Cotizador%20API/5.%20Cotizador%20AP_Individual%20Vtas%20AXA%200110%20IVA%2016%25_archTrab.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RTO PLAZO"/>
      <sheetName val="ANUAL"/>
      <sheetName val="FAMILIAR"/>
      <sheetName val="DEFINICION DE RIESGOS"/>
    </sheetNames>
    <sheetDataSet>
      <sheetData sheetId="0">
        <row r="18">
          <cell r="L18">
            <v>1.67</v>
          </cell>
          <cell r="M18">
            <v>2</v>
          </cell>
          <cell r="N18">
            <v>2.34</v>
          </cell>
          <cell r="O18">
            <v>2.84</v>
          </cell>
          <cell r="P18">
            <v>3.67</v>
          </cell>
          <cell r="Q18">
            <v>4.51</v>
          </cell>
          <cell r="R18">
            <v>5.34</v>
          </cell>
          <cell r="S18">
            <v>7</v>
          </cell>
          <cell r="T18">
            <v>8.68</v>
          </cell>
          <cell r="U18">
            <v>10.35</v>
          </cell>
        </row>
        <row r="20">
          <cell r="L20">
            <v>0.83</v>
          </cell>
          <cell r="M20">
            <v>1</v>
          </cell>
          <cell r="N20">
            <v>1.1599999999999999</v>
          </cell>
          <cell r="O20">
            <v>1.41</v>
          </cell>
          <cell r="P20">
            <v>1.83</v>
          </cell>
          <cell r="Q20">
            <v>2.2400000000000002</v>
          </cell>
          <cell r="R20">
            <v>2.66</v>
          </cell>
          <cell r="S20">
            <v>3.5</v>
          </cell>
          <cell r="T20">
            <v>4.32</v>
          </cell>
          <cell r="U20">
            <v>5.15</v>
          </cell>
        </row>
        <row r="21">
          <cell r="L21">
            <v>1.25</v>
          </cell>
          <cell r="M21">
            <v>1.5</v>
          </cell>
          <cell r="N21">
            <v>1.75</v>
          </cell>
          <cell r="O21">
            <v>2.13</v>
          </cell>
          <cell r="P21">
            <v>2.75</v>
          </cell>
          <cell r="Q21">
            <v>3.38</v>
          </cell>
          <cell r="R21">
            <v>4</v>
          </cell>
          <cell r="S21">
            <v>5.25</v>
          </cell>
          <cell r="T21">
            <v>6.5</v>
          </cell>
          <cell r="U21">
            <v>7.75</v>
          </cell>
        </row>
      </sheetData>
      <sheetData sheetId="1"/>
      <sheetData sheetId="2"/>
      <sheetData sheetId="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Q25"/>
  <sheetViews>
    <sheetView showGridLines="0" tabSelected="1" workbookViewId="0">
      <selection activeCell="B4" sqref="B4"/>
    </sheetView>
  </sheetViews>
  <sheetFormatPr baseColWidth="10" defaultColWidth="0" defaultRowHeight="15" customHeight="1" zeroHeight="1" x14ac:dyDescent="0.25"/>
  <cols>
    <col min="1" max="1" width="1.7109375" style="8" customWidth="1"/>
    <col min="2" max="2" width="2.7109375" style="8" customWidth="1"/>
    <col min="3" max="15" width="11.42578125" style="8" customWidth="1"/>
    <col min="16" max="16" width="2.7109375" style="8" customWidth="1"/>
    <col min="17" max="17" width="1.7109375" style="8" customWidth="1"/>
    <col min="18" max="16384" width="11.42578125" style="8" hidden="1"/>
  </cols>
  <sheetData>
    <row r="1" spans="2:16" ht="5.25" customHeight="1" thickBot="1" x14ac:dyDescent="0.3"/>
    <row r="2" spans="2:16" ht="7.5" customHeight="1" thickTop="1" x14ac:dyDescent="0.25">
      <c r="B2" s="57"/>
      <c r="C2" s="58"/>
      <c r="D2" s="58"/>
      <c r="E2" s="58"/>
      <c r="F2" s="58"/>
      <c r="G2" s="58"/>
      <c r="H2" s="58"/>
      <c r="I2" s="58"/>
      <c r="J2" s="58"/>
      <c r="K2" s="58"/>
      <c r="L2" s="58"/>
      <c r="M2" s="58"/>
      <c r="N2" s="58"/>
      <c r="O2" s="58"/>
      <c r="P2" s="59"/>
    </row>
    <row r="3" spans="2:16" ht="15" customHeight="1" x14ac:dyDescent="0.25">
      <c r="B3" s="60"/>
      <c r="C3" s="7"/>
      <c r="D3" s="7"/>
      <c r="E3" s="7"/>
      <c r="F3" s="7"/>
      <c r="G3" s="7"/>
      <c r="H3" s="7"/>
      <c r="I3" s="7"/>
      <c r="J3" s="7"/>
      <c r="K3" s="7"/>
      <c r="L3" s="7"/>
      <c r="M3" s="7"/>
      <c r="N3" s="7"/>
      <c r="O3" s="7"/>
      <c r="P3" s="61"/>
    </row>
    <row r="4" spans="2:16" ht="15" customHeight="1" x14ac:dyDescent="0.25">
      <c r="B4" s="60"/>
      <c r="C4" s="7"/>
      <c r="D4" s="7"/>
      <c r="E4" s="7"/>
      <c r="F4" s="7"/>
      <c r="G4" s="7"/>
      <c r="H4" s="7"/>
      <c r="I4" s="7"/>
      <c r="J4" s="7"/>
      <c r="K4" s="7"/>
      <c r="L4" s="7"/>
      <c r="M4" s="7"/>
      <c r="N4" s="7"/>
      <c r="O4" s="7"/>
      <c r="P4" s="61"/>
    </row>
    <row r="5" spans="2:16" ht="15" customHeight="1" x14ac:dyDescent="0.25">
      <c r="B5" s="60"/>
      <c r="C5" s="7"/>
      <c r="D5" s="7"/>
      <c r="E5" s="7"/>
      <c r="F5" s="7"/>
      <c r="G5" s="7"/>
      <c r="H5" s="7"/>
      <c r="I5" s="7"/>
      <c r="J5" s="7"/>
      <c r="K5" s="7"/>
      <c r="L5" s="7"/>
      <c r="M5" s="7"/>
      <c r="N5" s="7"/>
      <c r="O5" s="7"/>
      <c r="P5" s="61"/>
    </row>
    <row r="6" spans="2:16" ht="15" customHeight="1" x14ac:dyDescent="0.25">
      <c r="B6" s="60"/>
      <c r="C6" s="7"/>
      <c r="D6" s="7"/>
      <c r="E6" s="7"/>
      <c r="F6" s="7"/>
      <c r="G6" s="7"/>
      <c r="H6" s="7"/>
      <c r="I6" s="7"/>
      <c r="J6" s="7"/>
      <c r="K6" s="7"/>
      <c r="L6" s="7"/>
      <c r="M6" s="7"/>
      <c r="N6" s="7"/>
      <c r="O6" s="7"/>
      <c r="P6" s="61"/>
    </row>
    <row r="7" spans="2:16" ht="15" customHeight="1" x14ac:dyDescent="0.25">
      <c r="B7" s="60"/>
      <c r="C7" s="7"/>
      <c r="D7" s="7"/>
      <c r="E7" s="7"/>
      <c r="F7" s="7"/>
      <c r="G7" s="7"/>
      <c r="H7" s="7"/>
      <c r="I7" s="7"/>
      <c r="J7" s="7"/>
      <c r="K7" s="7"/>
      <c r="L7" s="7"/>
      <c r="M7" s="7"/>
      <c r="N7" s="7"/>
      <c r="O7" s="7"/>
      <c r="P7" s="61"/>
    </row>
    <row r="8" spans="2:16" ht="15" customHeight="1" x14ac:dyDescent="0.25">
      <c r="B8" s="60"/>
      <c r="C8" s="7"/>
      <c r="D8" s="7"/>
      <c r="E8" s="7"/>
      <c r="F8" s="7"/>
      <c r="G8" s="7"/>
      <c r="H8" s="7"/>
      <c r="I8" s="7"/>
      <c r="J8" s="7"/>
      <c r="K8" s="7"/>
      <c r="L8" s="7"/>
      <c r="M8" s="7"/>
      <c r="N8" s="7"/>
      <c r="O8" s="7"/>
      <c r="P8" s="61"/>
    </row>
    <row r="9" spans="2:16" ht="15" customHeight="1" x14ac:dyDescent="0.25">
      <c r="B9" s="60"/>
      <c r="C9" s="7"/>
      <c r="D9" s="7"/>
      <c r="E9" s="7"/>
      <c r="F9" s="7"/>
      <c r="G9" s="7"/>
      <c r="H9" s="7"/>
      <c r="I9" s="7"/>
      <c r="J9" s="7"/>
      <c r="K9" s="7"/>
      <c r="L9" s="7"/>
      <c r="M9" s="7"/>
      <c r="N9" s="7"/>
      <c r="O9" s="7"/>
      <c r="P9" s="61"/>
    </row>
    <row r="10" spans="2:16" ht="15" customHeight="1" x14ac:dyDescent="0.25">
      <c r="B10" s="60"/>
      <c r="C10" s="7"/>
      <c r="D10" s="7"/>
      <c r="E10" s="7"/>
      <c r="F10" s="7"/>
      <c r="G10" s="7"/>
      <c r="H10" s="7"/>
      <c r="I10" s="7"/>
      <c r="J10" s="7"/>
      <c r="K10" s="7"/>
      <c r="L10" s="7"/>
      <c r="M10" s="7"/>
      <c r="N10" s="7"/>
      <c r="O10" s="7"/>
      <c r="P10" s="61"/>
    </row>
    <row r="11" spans="2:16" ht="15" customHeight="1" x14ac:dyDescent="0.25">
      <c r="B11" s="60"/>
      <c r="C11" s="7"/>
      <c r="D11" s="7"/>
      <c r="E11" s="7"/>
      <c r="F11" s="7"/>
      <c r="G11" s="7"/>
      <c r="H11" s="7"/>
      <c r="I11" s="7"/>
      <c r="J11" s="7"/>
      <c r="K11" s="7"/>
      <c r="L11" s="7"/>
      <c r="M11" s="7"/>
      <c r="N11" s="7"/>
      <c r="O11" s="7"/>
      <c r="P11" s="61"/>
    </row>
    <row r="12" spans="2:16" ht="15" customHeight="1" x14ac:dyDescent="0.25">
      <c r="B12" s="60"/>
      <c r="C12" s="7"/>
      <c r="D12" s="7"/>
      <c r="E12" s="7"/>
      <c r="F12" s="7"/>
      <c r="G12" s="7"/>
      <c r="H12" s="7"/>
      <c r="I12" s="7"/>
      <c r="J12" s="7"/>
      <c r="K12" s="7"/>
      <c r="L12" s="7"/>
      <c r="M12" s="7"/>
      <c r="N12" s="7"/>
      <c r="O12" s="7"/>
      <c r="P12" s="61"/>
    </row>
    <row r="13" spans="2:16" ht="15" customHeight="1" x14ac:dyDescent="0.25">
      <c r="B13" s="60"/>
      <c r="C13" s="7"/>
      <c r="D13" s="7"/>
      <c r="E13" s="7"/>
      <c r="F13" s="7"/>
      <c r="G13" s="7"/>
      <c r="H13" s="7"/>
      <c r="I13" s="7"/>
      <c r="J13" s="7"/>
      <c r="K13" s="7"/>
      <c r="L13" s="7"/>
      <c r="M13" s="7"/>
      <c r="N13" s="7"/>
      <c r="O13" s="7"/>
      <c r="P13" s="61"/>
    </row>
    <row r="14" spans="2:16" ht="15" customHeight="1" x14ac:dyDescent="0.25">
      <c r="B14" s="60"/>
      <c r="C14" s="7"/>
      <c r="D14" s="7"/>
      <c r="E14" s="7"/>
      <c r="F14" s="7"/>
      <c r="G14" s="7"/>
      <c r="H14" s="7"/>
      <c r="I14" s="7"/>
      <c r="J14" s="7"/>
      <c r="K14" s="7"/>
      <c r="L14" s="7"/>
      <c r="M14" s="7"/>
      <c r="N14" s="7"/>
      <c r="O14" s="7"/>
      <c r="P14" s="61"/>
    </row>
    <row r="15" spans="2:16" ht="15" customHeight="1" x14ac:dyDescent="0.25">
      <c r="B15" s="60"/>
      <c r="C15" s="7"/>
      <c r="D15" s="7"/>
      <c r="E15" s="7"/>
      <c r="F15" s="7"/>
      <c r="G15" s="7"/>
      <c r="H15" s="7"/>
      <c r="I15" s="7"/>
      <c r="J15" s="7"/>
      <c r="K15" s="7"/>
      <c r="L15" s="7"/>
      <c r="M15" s="7"/>
      <c r="N15" s="7"/>
      <c r="O15" s="7"/>
      <c r="P15" s="61"/>
    </row>
    <row r="16" spans="2:16" ht="15" customHeight="1" x14ac:dyDescent="0.25">
      <c r="B16" s="60"/>
      <c r="C16" s="7"/>
      <c r="D16" s="7"/>
      <c r="E16" s="7"/>
      <c r="F16" s="7"/>
      <c r="G16" s="7"/>
      <c r="H16" s="7"/>
      <c r="I16" s="7"/>
      <c r="J16" s="7"/>
      <c r="K16" s="7"/>
      <c r="L16" s="7"/>
      <c r="M16" s="7"/>
      <c r="N16" s="7"/>
      <c r="O16" s="7"/>
      <c r="P16" s="61"/>
    </row>
    <row r="17" spans="2:16" ht="15" customHeight="1" x14ac:dyDescent="0.25">
      <c r="B17" s="60"/>
      <c r="C17" s="7"/>
      <c r="D17" s="7"/>
      <c r="E17" s="7"/>
      <c r="F17" s="7"/>
      <c r="G17" s="7"/>
      <c r="H17" s="7"/>
      <c r="I17" s="7"/>
      <c r="J17" s="7"/>
      <c r="K17" s="7"/>
      <c r="L17" s="7"/>
      <c r="M17" s="7"/>
      <c r="N17" s="7"/>
      <c r="O17" s="7"/>
      <c r="P17" s="61"/>
    </row>
    <row r="18" spans="2:16" ht="15" customHeight="1" x14ac:dyDescent="0.25">
      <c r="B18" s="60"/>
      <c r="C18" s="7"/>
      <c r="D18" s="7"/>
      <c r="E18" s="7"/>
      <c r="F18" s="7"/>
      <c r="G18" s="7"/>
      <c r="H18" s="7"/>
      <c r="I18" s="7"/>
      <c r="J18" s="7"/>
      <c r="K18" s="7"/>
      <c r="L18" s="7"/>
      <c r="M18" s="7"/>
      <c r="N18" s="7"/>
      <c r="O18" s="7"/>
      <c r="P18" s="61"/>
    </row>
    <row r="19" spans="2:16" ht="15" customHeight="1" x14ac:dyDescent="0.25">
      <c r="B19" s="60"/>
      <c r="C19" s="7"/>
      <c r="D19" s="7"/>
      <c r="E19" s="7"/>
      <c r="F19" s="7"/>
      <c r="G19" s="7"/>
      <c r="H19" s="7"/>
      <c r="I19" s="7"/>
      <c r="J19" s="7"/>
      <c r="K19" s="7"/>
      <c r="L19" s="7"/>
      <c r="M19" s="7"/>
      <c r="N19" s="7"/>
      <c r="O19" s="7"/>
      <c r="P19" s="61"/>
    </row>
    <row r="20" spans="2:16" ht="15" customHeight="1" x14ac:dyDescent="0.25">
      <c r="B20" s="60"/>
      <c r="C20" s="7"/>
      <c r="D20" s="7"/>
      <c r="E20" s="7"/>
      <c r="F20" s="7"/>
      <c r="G20" s="7"/>
      <c r="H20" s="7"/>
      <c r="I20" s="7"/>
      <c r="J20" s="7"/>
      <c r="K20" s="7"/>
      <c r="L20" s="7"/>
      <c r="M20" s="7"/>
      <c r="N20" s="7"/>
      <c r="O20" s="7"/>
      <c r="P20" s="61"/>
    </row>
    <row r="21" spans="2:16" ht="15" customHeight="1" x14ac:dyDescent="0.25">
      <c r="B21" s="60"/>
      <c r="C21" s="7"/>
      <c r="D21" s="7"/>
      <c r="E21" s="7"/>
      <c r="F21" s="7"/>
      <c r="G21" s="7"/>
      <c r="H21" s="7"/>
      <c r="I21" s="7"/>
      <c r="J21" s="7"/>
      <c r="K21" s="7"/>
      <c r="L21" s="7"/>
      <c r="M21" s="7"/>
      <c r="N21" s="7"/>
      <c r="O21" s="7"/>
      <c r="P21" s="61"/>
    </row>
    <row r="22" spans="2:16" ht="15" customHeight="1" x14ac:dyDescent="0.25">
      <c r="B22" s="60"/>
      <c r="C22" s="7"/>
      <c r="D22" s="7"/>
      <c r="E22" s="7"/>
      <c r="F22" s="7"/>
      <c r="G22" s="7"/>
      <c r="H22" s="7"/>
      <c r="I22" s="7"/>
      <c r="J22" s="7"/>
      <c r="K22" s="7"/>
      <c r="L22" s="7"/>
      <c r="M22" s="7"/>
      <c r="N22" s="7"/>
      <c r="O22" s="7"/>
      <c r="P22" s="61"/>
    </row>
    <row r="23" spans="2:16" ht="15" customHeight="1" x14ac:dyDescent="0.25">
      <c r="B23" s="60"/>
      <c r="C23" s="7"/>
      <c r="D23" s="7"/>
      <c r="E23" s="7"/>
      <c r="F23" s="7"/>
      <c r="G23" s="7"/>
      <c r="H23" s="7"/>
      <c r="I23" s="7"/>
      <c r="J23" s="7"/>
      <c r="K23" s="7"/>
      <c r="L23" s="7"/>
      <c r="M23" s="7"/>
      <c r="N23" s="7"/>
      <c r="O23" s="7"/>
      <c r="P23" s="61"/>
    </row>
    <row r="24" spans="2:16" ht="7.5" customHeight="1" thickBot="1" x14ac:dyDescent="0.3">
      <c r="B24" s="62"/>
      <c r="C24" s="63"/>
      <c r="D24" s="63"/>
      <c r="E24" s="63"/>
      <c r="F24" s="63"/>
      <c r="G24" s="63"/>
      <c r="H24" s="63"/>
      <c r="I24" s="63"/>
      <c r="J24" s="63"/>
      <c r="K24" s="63"/>
      <c r="L24" s="63"/>
      <c r="M24" s="63"/>
      <c r="N24" s="63"/>
      <c r="O24" s="63"/>
      <c r="P24" s="64"/>
    </row>
    <row r="25" spans="2:16" ht="5.25" customHeight="1" thickTop="1" x14ac:dyDescent="0.25"/>
  </sheetData>
  <sheetProtection algorithmName="SHA-512" hashValue="07esZsvOrxvnEebCpeuhFkVqbI64iad5oplLSzdVUGhZ/W1RWGJLuBQtxTHWctQubX8+B1luH9CSidvZkzVABQ==" saltValue="AegCy/PGItg50cEnOWFYZg==" spinCount="100000"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Q78"/>
  <sheetViews>
    <sheetView showGridLines="0" topLeftCell="A28" workbookViewId="0">
      <selection activeCell="A28" sqref="A28"/>
    </sheetView>
  </sheetViews>
  <sheetFormatPr baseColWidth="10" defaultColWidth="0" defaultRowHeight="15" customHeight="1" zeroHeight="1" x14ac:dyDescent="0.25"/>
  <cols>
    <col min="1" max="1" width="1.7109375" style="8" customWidth="1"/>
    <col min="2" max="2" width="1.7109375" style="7" customWidth="1"/>
    <col min="3" max="3" width="24.5703125" style="7" bestFit="1" customWidth="1"/>
    <col min="4" max="4" width="15.7109375" style="7" customWidth="1"/>
    <col min="5" max="5" width="9.140625" style="7" customWidth="1"/>
    <col min="6" max="6" width="15.7109375" style="7" customWidth="1"/>
    <col min="7" max="8" width="1.7109375" style="7" customWidth="1"/>
    <col min="9" max="17" width="0" style="8" hidden="1" customWidth="1"/>
    <col min="18" max="16384" width="11.42578125" style="8" hidden="1"/>
  </cols>
  <sheetData>
    <row r="1" spans="15:16" ht="15" hidden="1" customHeight="1" x14ac:dyDescent="0.25">
      <c r="O1" s="9">
        <v>0</v>
      </c>
      <c r="P1" s="8" t="s">
        <v>1</v>
      </c>
    </row>
    <row r="2" spans="15:16" ht="15" hidden="1" customHeight="1" x14ac:dyDescent="0.25">
      <c r="O2" s="9">
        <f>+O1+0.01</f>
        <v>0.01</v>
      </c>
      <c r="P2" s="8" t="s">
        <v>2</v>
      </c>
    </row>
    <row r="3" spans="15:16" ht="15" hidden="1" customHeight="1" x14ac:dyDescent="0.25">
      <c r="O3" s="9">
        <f t="shared" ref="O3:O26" si="0">+O2+0.01</f>
        <v>0.02</v>
      </c>
      <c r="P3" s="8" t="s">
        <v>3</v>
      </c>
    </row>
    <row r="4" spans="15:16" ht="15" hidden="1" customHeight="1" x14ac:dyDescent="0.25">
      <c r="O4" s="9">
        <f t="shared" si="0"/>
        <v>0.03</v>
      </c>
      <c r="P4" s="8" t="s">
        <v>4</v>
      </c>
    </row>
    <row r="5" spans="15:16" ht="15" hidden="1" customHeight="1" x14ac:dyDescent="0.25">
      <c r="O5" s="9">
        <f t="shared" si="0"/>
        <v>0.04</v>
      </c>
      <c r="P5" s="8" t="s">
        <v>5</v>
      </c>
    </row>
    <row r="6" spans="15:16" ht="15" hidden="1" customHeight="1" x14ac:dyDescent="0.25">
      <c r="O6" s="9">
        <f t="shared" si="0"/>
        <v>0.05</v>
      </c>
      <c r="P6" s="8" t="s">
        <v>6</v>
      </c>
    </row>
    <row r="7" spans="15:16" ht="15" hidden="1" customHeight="1" x14ac:dyDescent="0.25">
      <c r="O7" s="9">
        <f t="shared" si="0"/>
        <v>6.0000000000000005E-2</v>
      </c>
      <c r="P7" s="8" t="s">
        <v>7</v>
      </c>
    </row>
    <row r="8" spans="15:16" ht="15" hidden="1" customHeight="1" x14ac:dyDescent="0.25">
      <c r="O8" s="9">
        <f t="shared" si="0"/>
        <v>7.0000000000000007E-2</v>
      </c>
      <c r="P8" s="8" t="s">
        <v>8</v>
      </c>
    </row>
    <row r="9" spans="15:16" ht="15" hidden="1" customHeight="1" x14ac:dyDescent="0.25">
      <c r="O9" s="9">
        <f t="shared" si="0"/>
        <v>0.08</v>
      </c>
      <c r="P9" s="8" t="s">
        <v>9</v>
      </c>
    </row>
    <row r="10" spans="15:16" ht="15" hidden="1" customHeight="1" x14ac:dyDescent="0.25">
      <c r="O10" s="9">
        <f t="shared" si="0"/>
        <v>0.09</v>
      </c>
      <c r="P10" s="8" t="s">
        <v>10</v>
      </c>
    </row>
    <row r="11" spans="15:16" ht="15" hidden="1" customHeight="1" x14ac:dyDescent="0.25">
      <c r="O11" s="9">
        <f t="shared" si="0"/>
        <v>9.9999999999999992E-2</v>
      </c>
    </row>
    <row r="12" spans="15:16" ht="15" hidden="1" customHeight="1" x14ac:dyDescent="0.25">
      <c r="O12" s="9">
        <f t="shared" si="0"/>
        <v>0.10999999999999999</v>
      </c>
    </row>
    <row r="13" spans="15:16" ht="15" hidden="1" customHeight="1" x14ac:dyDescent="0.25">
      <c r="O13" s="9">
        <f t="shared" si="0"/>
        <v>0.11999999999999998</v>
      </c>
    </row>
    <row r="14" spans="15:16" ht="15" hidden="1" customHeight="1" x14ac:dyDescent="0.25">
      <c r="O14" s="9">
        <f t="shared" si="0"/>
        <v>0.12999999999999998</v>
      </c>
    </row>
    <row r="15" spans="15:16" ht="15" hidden="1" customHeight="1" x14ac:dyDescent="0.25">
      <c r="O15" s="9">
        <f t="shared" si="0"/>
        <v>0.13999999999999999</v>
      </c>
    </row>
    <row r="16" spans="15:16" ht="15" hidden="1" customHeight="1" x14ac:dyDescent="0.25">
      <c r="O16" s="9">
        <f t="shared" si="0"/>
        <v>0.15</v>
      </c>
    </row>
    <row r="17" spans="2:15" ht="15" hidden="1" customHeight="1" x14ac:dyDescent="0.25">
      <c r="O17" s="9">
        <f t="shared" si="0"/>
        <v>0.16</v>
      </c>
    </row>
    <row r="18" spans="2:15" ht="15" hidden="1" customHeight="1" x14ac:dyDescent="0.25">
      <c r="O18" s="9">
        <f t="shared" si="0"/>
        <v>0.17</v>
      </c>
    </row>
    <row r="19" spans="2:15" ht="15" hidden="1" customHeight="1" x14ac:dyDescent="0.25">
      <c r="O19" s="9">
        <f t="shared" si="0"/>
        <v>0.18000000000000002</v>
      </c>
    </row>
    <row r="20" spans="2:15" ht="15" hidden="1" customHeight="1" x14ac:dyDescent="0.25">
      <c r="O20" s="9">
        <f t="shared" si="0"/>
        <v>0.19000000000000003</v>
      </c>
    </row>
    <row r="21" spans="2:15" ht="15" hidden="1" customHeight="1" x14ac:dyDescent="0.25">
      <c r="O21" s="9">
        <f t="shared" si="0"/>
        <v>0.20000000000000004</v>
      </c>
    </row>
    <row r="22" spans="2:15" ht="15" hidden="1" customHeight="1" x14ac:dyDescent="0.25">
      <c r="O22" s="9">
        <f t="shared" si="0"/>
        <v>0.21000000000000005</v>
      </c>
    </row>
    <row r="23" spans="2:15" ht="15" hidden="1" customHeight="1" x14ac:dyDescent="0.25">
      <c r="O23" s="9">
        <f t="shared" si="0"/>
        <v>0.22000000000000006</v>
      </c>
    </row>
    <row r="24" spans="2:15" ht="15" hidden="1" customHeight="1" x14ac:dyDescent="0.25">
      <c r="O24" s="9">
        <f t="shared" si="0"/>
        <v>0.23000000000000007</v>
      </c>
    </row>
    <row r="25" spans="2:15" ht="15" hidden="1" customHeight="1" x14ac:dyDescent="0.25">
      <c r="O25" s="9">
        <f t="shared" si="0"/>
        <v>0.24000000000000007</v>
      </c>
    </row>
    <row r="26" spans="2:15" ht="15" hidden="1" customHeight="1" x14ac:dyDescent="0.25">
      <c r="O26" s="9">
        <f t="shared" si="0"/>
        <v>0.25000000000000006</v>
      </c>
    </row>
    <row r="27" spans="2:15" ht="15" hidden="1" customHeight="1" x14ac:dyDescent="0.25">
      <c r="O27" s="9"/>
    </row>
    <row r="28" spans="2:15" ht="5.25" customHeight="1" thickBot="1" x14ac:dyDescent="0.3">
      <c r="O28" s="9"/>
    </row>
    <row r="29" spans="2:15" ht="5.25" customHeight="1" thickTop="1" x14ac:dyDescent="0.25">
      <c r="B29" s="57"/>
      <c r="C29" s="58"/>
      <c r="D29" s="58"/>
      <c r="E29" s="58"/>
      <c r="F29" s="58"/>
      <c r="G29" s="59"/>
      <c r="O29" s="9"/>
    </row>
    <row r="30" spans="2:15" ht="15" customHeight="1" x14ac:dyDescent="0.25">
      <c r="B30" s="60"/>
      <c r="G30" s="61"/>
      <c r="J30" s="71">
        <f ca="1">+IF(D44="",1,0)+IF(D45="",1,0)+IF(D46="",1,0)+IF(D47="",1,0)+IF(D48="",1,0)+IF(D52="",1,0)+IF(D53="",1,0)+IF(D54="",1,0)+IF(D58="",1,0)</f>
        <v>7</v>
      </c>
      <c r="O30" s="9"/>
    </row>
    <row r="31" spans="2:15" ht="15" customHeight="1" x14ac:dyDescent="0.25">
      <c r="B31" s="60"/>
      <c r="G31" s="61"/>
      <c r="O31" s="9"/>
    </row>
    <row r="32" spans="2:15" ht="15" customHeight="1" x14ac:dyDescent="0.25">
      <c r="B32" s="60"/>
      <c r="G32" s="61"/>
      <c r="O32" s="9"/>
    </row>
    <row r="33" spans="2:15" ht="15" customHeight="1" x14ac:dyDescent="0.25">
      <c r="B33" s="60"/>
      <c r="G33" s="61"/>
      <c r="O33" s="9"/>
    </row>
    <row r="34" spans="2:15" ht="15" customHeight="1" x14ac:dyDescent="0.25">
      <c r="B34" s="60"/>
      <c r="G34" s="61"/>
      <c r="O34" s="9"/>
    </row>
    <row r="35" spans="2:15" ht="15" customHeight="1" x14ac:dyDescent="0.25">
      <c r="B35" s="60"/>
      <c r="G35" s="61"/>
      <c r="O35" s="9"/>
    </row>
    <row r="36" spans="2:15" ht="15" customHeight="1" x14ac:dyDescent="0.25">
      <c r="B36" s="60"/>
      <c r="E36" s="55" t="s">
        <v>107</v>
      </c>
      <c r="F36" s="56">
        <f ca="1">+TODAY()</f>
        <v>43103</v>
      </c>
      <c r="G36" s="61"/>
      <c r="O36" s="9"/>
    </row>
    <row r="37" spans="2:15" ht="15" customHeight="1" thickBot="1" x14ac:dyDescent="0.3">
      <c r="B37" s="60"/>
      <c r="G37" s="61"/>
      <c r="O37" s="9"/>
    </row>
    <row r="38" spans="2:15" ht="5.25" customHeight="1" thickTop="1" x14ac:dyDescent="0.25">
      <c r="B38" s="57"/>
      <c r="C38" s="58"/>
      <c r="D38" s="58"/>
      <c r="E38" s="58"/>
      <c r="F38" s="58"/>
      <c r="G38" s="59"/>
      <c r="O38" s="9"/>
    </row>
    <row r="39" spans="2:15" ht="15" customHeight="1" x14ac:dyDescent="0.25">
      <c r="B39" s="60"/>
      <c r="C39" s="79" t="s">
        <v>53</v>
      </c>
      <c r="D39" s="79"/>
      <c r="E39" s="79"/>
      <c r="F39" s="79"/>
      <c r="G39" s="61"/>
      <c r="O39" s="9"/>
    </row>
    <row r="40" spans="2:15" ht="5.25" customHeight="1" thickBot="1" x14ac:dyDescent="0.3">
      <c r="B40" s="62"/>
      <c r="C40" s="63"/>
      <c r="D40" s="63"/>
      <c r="E40" s="63"/>
      <c r="F40" s="63"/>
      <c r="G40" s="64"/>
      <c r="O40" s="9"/>
    </row>
    <row r="41" spans="2:15" ht="15" customHeight="1" thickTop="1" x14ac:dyDescent="0.25">
      <c r="B41" s="60"/>
      <c r="G41" s="61"/>
      <c r="O41" s="9"/>
    </row>
    <row r="42" spans="2:15" ht="15" customHeight="1" x14ac:dyDescent="0.25">
      <c r="B42" s="60"/>
      <c r="C42" s="10" t="s">
        <v>26</v>
      </c>
      <c r="G42" s="61"/>
      <c r="O42" s="9"/>
    </row>
    <row r="43" spans="2:15" ht="5.25" customHeight="1" x14ac:dyDescent="0.25">
      <c r="B43" s="60"/>
      <c r="G43" s="61"/>
      <c r="O43" s="9"/>
    </row>
    <row r="44" spans="2:15" ht="15" customHeight="1" x14ac:dyDescent="0.25">
      <c r="B44" s="60"/>
      <c r="C44" s="24" t="s">
        <v>13</v>
      </c>
      <c r="D44" s="86"/>
      <c r="E44" s="86"/>
      <c r="F44" s="86"/>
      <c r="G44" s="61"/>
    </row>
    <row r="45" spans="2:15" ht="15" customHeight="1" x14ac:dyDescent="0.25">
      <c r="B45" s="60"/>
      <c r="C45" s="24" t="s">
        <v>14</v>
      </c>
      <c r="D45" s="86"/>
      <c r="E45" s="86"/>
      <c r="F45" s="86"/>
      <c r="G45" s="61"/>
    </row>
    <row r="46" spans="2:15" ht="15" customHeight="1" x14ac:dyDescent="0.25">
      <c r="B46" s="60"/>
      <c r="C46" s="24" t="s">
        <v>21</v>
      </c>
      <c r="D46" s="80"/>
      <c r="E46" s="81"/>
      <c r="F46" s="82"/>
      <c r="G46" s="61"/>
    </row>
    <row r="47" spans="2:15" ht="15" customHeight="1" x14ac:dyDescent="0.25">
      <c r="B47" s="60"/>
      <c r="C47" s="24" t="s">
        <v>15</v>
      </c>
      <c r="D47" s="86"/>
      <c r="E47" s="86"/>
      <c r="F47" s="86"/>
      <c r="G47" s="61"/>
    </row>
    <row r="48" spans="2:15" ht="15" customHeight="1" x14ac:dyDescent="0.25">
      <c r="B48" s="60"/>
      <c r="C48" s="24" t="s">
        <v>16</v>
      </c>
      <c r="D48" s="86" t="s">
        <v>1</v>
      </c>
      <c r="E48" s="86"/>
      <c r="F48" s="86"/>
      <c r="G48" s="61"/>
    </row>
    <row r="49" spans="2:15" ht="15" customHeight="1" x14ac:dyDescent="0.25">
      <c r="B49" s="60"/>
      <c r="G49" s="61"/>
    </row>
    <row r="50" spans="2:15" ht="15" customHeight="1" x14ac:dyDescent="0.25">
      <c r="B50" s="60"/>
      <c r="C50" s="10" t="s">
        <v>18</v>
      </c>
      <c r="G50" s="61"/>
    </row>
    <row r="51" spans="2:15" ht="5.25" customHeight="1" x14ac:dyDescent="0.25">
      <c r="B51" s="60"/>
      <c r="G51" s="61"/>
      <c r="O51" s="9"/>
    </row>
    <row r="52" spans="2:15" ht="15" customHeight="1" x14ac:dyDescent="0.25">
      <c r="B52" s="60"/>
      <c r="C52" s="24" t="s">
        <v>17</v>
      </c>
      <c r="D52" s="86"/>
      <c r="E52" s="86"/>
      <c r="F52" s="86"/>
      <c r="G52" s="61"/>
    </row>
    <row r="53" spans="2:15" ht="15" customHeight="1" x14ac:dyDescent="0.25">
      <c r="B53" s="60"/>
      <c r="C53" s="24" t="s">
        <v>20</v>
      </c>
      <c r="D53" s="86"/>
      <c r="E53" s="86"/>
      <c r="F53" s="86"/>
      <c r="G53" s="61"/>
    </row>
    <row r="54" spans="2:15" ht="15" customHeight="1" x14ac:dyDescent="0.25">
      <c r="B54" s="60"/>
      <c r="C54" s="24" t="s">
        <v>19</v>
      </c>
      <c r="D54" s="86"/>
      <c r="E54" s="86"/>
      <c r="F54" s="86"/>
      <c r="G54" s="61"/>
    </row>
    <row r="55" spans="2:15" ht="15" customHeight="1" x14ac:dyDescent="0.25">
      <c r="B55" s="60"/>
      <c r="G55" s="61"/>
    </row>
    <row r="56" spans="2:15" ht="15" customHeight="1" x14ac:dyDescent="0.25">
      <c r="B56" s="60"/>
      <c r="C56" s="10" t="s">
        <v>27</v>
      </c>
      <c r="G56" s="61"/>
    </row>
    <row r="57" spans="2:15" ht="5.25" customHeight="1" x14ac:dyDescent="0.25">
      <c r="B57" s="60"/>
      <c r="G57" s="61"/>
      <c r="O57" s="9"/>
    </row>
    <row r="58" spans="2:15" ht="15" customHeight="1" x14ac:dyDescent="0.25">
      <c r="B58" s="60"/>
      <c r="C58" s="22" t="s">
        <v>28</v>
      </c>
      <c r="D58" s="21">
        <f ca="1">+TODAY()</f>
        <v>43103</v>
      </c>
      <c r="E58" s="23" t="s">
        <v>22</v>
      </c>
      <c r="F58" s="11">
        <f ca="1">+EDATE($D$58,12)</f>
        <v>43468</v>
      </c>
      <c r="G58" s="61"/>
    </row>
    <row r="59" spans="2:15" ht="15" customHeight="1" x14ac:dyDescent="0.25">
      <c r="B59" s="60"/>
      <c r="G59" s="61"/>
    </row>
    <row r="60" spans="2:15" ht="15" customHeight="1" x14ac:dyDescent="0.25">
      <c r="B60" s="60"/>
      <c r="C60" s="10" t="s">
        <v>30</v>
      </c>
      <c r="G60" s="61"/>
    </row>
    <row r="61" spans="2:15" ht="5.25" customHeight="1" x14ac:dyDescent="0.25">
      <c r="B61" s="60"/>
      <c r="G61" s="61"/>
      <c r="O61" s="9"/>
    </row>
    <row r="62" spans="2:15" ht="15" customHeight="1" x14ac:dyDescent="0.25">
      <c r="B62" s="60"/>
      <c r="C62" s="87" t="s">
        <v>0</v>
      </c>
      <c r="D62" s="87"/>
      <c r="E62" s="87" t="s">
        <v>25</v>
      </c>
      <c r="F62" s="87"/>
      <c r="G62" s="61"/>
    </row>
    <row r="63" spans="2:15" ht="15" customHeight="1" x14ac:dyDescent="0.25">
      <c r="B63" s="60"/>
      <c r="C63" s="87"/>
      <c r="D63" s="87"/>
      <c r="E63" s="87"/>
      <c r="F63" s="87"/>
      <c r="G63" s="61"/>
    </row>
    <row r="64" spans="2:15" ht="15" customHeight="1" x14ac:dyDescent="0.25">
      <c r="B64" s="60"/>
      <c r="C64" s="87"/>
      <c r="D64" s="87"/>
      <c r="E64" s="87"/>
      <c r="F64" s="87"/>
      <c r="G64" s="61"/>
      <c r="J64" s="12" t="s">
        <v>44</v>
      </c>
      <c r="K64" s="12" t="s">
        <v>32</v>
      </c>
      <c r="L64" s="12" t="s">
        <v>42</v>
      </c>
      <c r="M64" s="12" t="s">
        <v>33</v>
      </c>
      <c r="N64" s="12" t="s">
        <v>43</v>
      </c>
    </row>
    <row r="65" spans="2:17" ht="15" customHeight="1" x14ac:dyDescent="0.25">
      <c r="B65" s="60"/>
      <c r="C65" s="85" t="s">
        <v>11</v>
      </c>
      <c r="D65" s="85"/>
      <c r="E65" s="90">
        <v>50000</v>
      </c>
      <c r="F65" s="90"/>
      <c r="G65" s="61"/>
      <c r="J65" s="13" t="s">
        <v>45</v>
      </c>
      <c r="K65" s="13">
        <v>1</v>
      </c>
      <c r="L65" s="13"/>
      <c r="M65" s="14">
        <f>+E65/1000*HLOOKUP($D$48,Tarifas!$F$8:$O$15,K65+1,FALSE)</f>
        <v>83.5</v>
      </c>
      <c r="N65" s="14">
        <f>+IF($D$46&lt;12,0,M65)</f>
        <v>0</v>
      </c>
    </row>
    <row r="66" spans="2:17" ht="15" customHeight="1" x14ac:dyDescent="0.25">
      <c r="B66" s="60"/>
      <c r="C66" s="88" t="s">
        <v>23</v>
      </c>
      <c r="D66" s="24" t="s">
        <v>29</v>
      </c>
      <c r="E66" s="84">
        <f>+E65</f>
        <v>50000</v>
      </c>
      <c r="F66" s="84"/>
      <c r="G66" s="61"/>
      <c r="J66" s="13" t="s">
        <v>46</v>
      </c>
      <c r="K66" s="13">
        <f>+IF($E$67="A",2,3)</f>
        <v>3</v>
      </c>
      <c r="L66" s="13"/>
      <c r="M66" s="14">
        <f>+E66/1000*HLOOKUP($D$48,Tarifas!$F$8:$O$15,K66+1,FALSE)</f>
        <v>62.5</v>
      </c>
      <c r="N66" s="14">
        <f>+M66</f>
        <v>62.5</v>
      </c>
    </row>
    <row r="67" spans="2:17" ht="15" customHeight="1" x14ac:dyDescent="0.25">
      <c r="B67" s="60"/>
      <c r="C67" s="89"/>
      <c r="D67" s="24" t="s">
        <v>24</v>
      </c>
      <c r="E67" s="86" t="s">
        <v>2</v>
      </c>
      <c r="F67" s="86"/>
      <c r="G67" s="61"/>
      <c r="N67" s="15"/>
      <c r="P67" s="69" t="s">
        <v>141</v>
      </c>
      <c r="Q67" s="69">
        <f>+IF(E65=0,0,600)</f>
        <v>600</v>
      </c>
    </row>
    <row r="68" spans="2:17" ht="15" customHeight="1" x14ac:dyDescent="0.25">
      <c r="B68" s="60"/>
      <c r="C68" s="85" t="s">
        <v>38</v>
      </c>
      <c r="D68" s="85"/>
      <c r="E68" s="90">
        <v>500</v>
      </c>
      <c r="F68" s="90"/>
      <c r="G68" s="61"/>
      <c r="J68" s="16" t="s">
        <v>47</v>
      </c>
      <c r="K68" s="16">
        <v>4</v>
      </c>
      <c r="L68" s="16"/>
      <c r="M68" s="17">
        <f>+E68*HLOOKUP($D$48,Tarifas!$F$8:$O$15,K68+1,FALSE)</f>
        <v>1875</v>
      </c>
      <c r="N68" s="17">
        <f>+M68</f>
        <v>1875</v>
      </c>
    </row>
    <row r="69" spans="2:17" ht="15" customHeight="1" x14ac:dyDescent="0.25">
      <c r="B69" s="60"/>
      <c r="C69" s="85" t="s">
        <v>37</v>
      </c>
      <c r="D69" s="24" t="s">
        <v>31</v>
      </c>
      <c r="E69" s="83">
        <v>0.25000000000000006</v>
      </c>
      <c r="F69" s="83"/>
      <c r="G69" s="61"/>
      <c r="L69" s="15"/>
      <c r="N69" s="15"/>
    </row>
    <row r="70" spans="2:17" ht="15" customHeight="1" x14ac:dyDescent="0.25">
      <c r="B70" s="60"/>
      <c r="C70" s="85"/>
      <c r="D70" s="24" t="s">
        <v>29</v>
      </c>
      <c r="E70" s="84">
        <f>+MIN(800000,$E$65*$E$69)</f>
        <v>12500.000000000004</v>
      </c>
      <c r="F70" s="84"/>
      <c r="G70" s="61"/>
      <c r="J70" s="8" t="s">
        <v>48</v>
      </c>
      <c r="K70" s="8">
        <v>5</v>
      </c>
      <c r="L70" s="8">
        <v>5.0000000000000001E-3</v>
      </c>
      <c r="M70" s="15">
        <f>+HLOOKUP($D$48,Tarifas!$F$8:$O$15,K70+1,FALSE)*L70</f>
        <v>0.1</v>
      </c>
    </row>
    <row r="71" spans="2:17" ht="15" customHeight="1" x14ac:dyDescent="0.25">
      <c r="B71" s="60"/>
      <c r="G71" s="61"/>
      <c r="K71" s="8">
        <v>6</v>
      </c>
      <c r="L71" s="8">
        <v>1.4999999999999999E-2</v>
      </c>
      <c r="M71" s="15">
        <f>+HLOOKUP($D$48,Tarifas!$F$8:$O$15,K71+1,FALSE)*L71</f>
        <v>0.22499999999999998</v>
      </c>
      <c r="N71" s="15"/>
    </row>
    <row r="72" spans="2:17" ht="15" customHeight="1" x14ac:dyDescent="0.25">
      <c r="B72" s="60"/>
      <c r="G72" s="61"/>
      <c r="J72" s="16"/>
      <c r="K72" s="16">
        <v>7</v>
      </c>
      <c r="L72" s="16"/>
      <c r="M72" s="17">
        <f>+($E$70-20)/1000*HLOOKUP($D$48,Tarifas!$F$8:$O$15,K72+1,FALSE)</f>
        <v>124.80000000000004</v>
      </c>
      <c r="N72" s="17">
        <f>+SUM(M70:M72)</f>
        <v>125.12500000000004</v>
      </c>
    </row>
    <row r="73" spans="2:17" ht="15" customHeight="1" x14ac:dyDescent="0.25">
      <c r="B73" s="60"/>
      <c r="G73" s="61"/>
      <c r="J73" s="7"/>
      <c r="K73" s="7"/>
      <c r="L73" s="7"/>
      <c r="M73" s="18"/>
      <c r="N73" s="18"/>
    </row>
    <row r="74" spans="2:17" ht="15" customHeight="1" x14ac:dyDescent="0.25">
      <c r="B74" s="60"/>
      <c r="G74" s="61"/>
      <c r="J74" s="7"/>
      <c r="K74" s="7"/>
      <c r="L74" s="7"/>
      <c r="M74" s="26" t="s">
        <v>52</v>
      </c>
      <c r="N74" s="19">
        <f>+TRUNC(SUM(N65:N72)*100+0.5)/100</f>
        <v>2062.63</v>
      </c>
    </row>
    <row r="75" spans="2:17" ht="15" customHeight="1" x14ac:dyDescent="0.25">
      <c r="B75" s="60"/>
      <c r="G75" s="61"/>
      <c r="M75" s="26" t="s">
        <v>61</v>
      </c>
      <c r="N75" s="19">
        <f>+$N$74*IF($D$46&lt;60,1,1.25)</f>
        <v>2062.63</v>
      </c>
      <c r="O75" s="15"/>
    </row>
    <row r="76" spans="2:17" ht="15" customHeight="1" thickBot="1" x14ac:dyDescent="0.3">
      <c r="B76" s="62"/>
      <c r="C76" s="63"/>
      <c r="D76" s="63"/>
      <c r="E76" s="63"/>
      <c r="F76" s="63"/>
      <c r="G76" s="64"/>
      <c r="M76" s="26" t="s">
        <v>64</v>
      </c>
      <c r="N76" s="19">
        <f>+VLOOKUP($N$75,Tarifas!$B$27:$C$31,2)</f>
        <v>300</v>
      </c>
    </row>
    <row r="77" spans="2:17" ht="15" customHeight="1" thickTop="1" x14ac:dyDescent="0.25">
      <c r="M77" s="26" t="s">
        <v>65</v>
      </c>
      <c r="N77" s="19">
        <f>+(N75+N76)*0.16</f>
        <v>378.02080000000001</v>
      </c>
    </row>
    <row r="78" spans="2:17" ht="15" hidden="1" customHeight="1" x14ac:dyDescent="0.25">
      <c r="M78" s="27" t="s">
        <v>66</v>
      </c>
      <c r="N78" s="28">
        <f>+SUM(N75:N77)</f>
        <v>2740.6508000000003</v>
      </c>
    </row>
  </sheetData>
  <sheetProtection algorithmName="SHA-512" hashValue="RUc3HafhSIcF7PDpDAU93ZBdsrIwA3LAgFujkwZ9VKMaraHoYUwK5iNMbCcsSm/fOcl2Bx9b0hF74/1H4Dg+Nw==" saltValue="sEiBiPCkTeG3IzB3bxC+rA==" spinCount="100000" sheet="1" objects="1" scenarios="1"/>
  <mergeCells count="21">
    <mergeCell ref="C68:D68"/>
    <mergeCell ref="E68:F68"/>
    <mergeCell ref="E65:F65"/>
    <mergeCell ref="E66:F66"/>
    <mergeCell ref="E67:F67"/>
    <mergeCell ref="C39:F39"/>
    <mergeCell ref="D46:F46"/>
    <mergeCell ref="E69:F69"/>
    <mergeCell ref="E70:F70"/>
    <mergeCell ref="C65:D65"/>
    <mergeCell ref="C69:C70"/>
    <mergeCell ref="D44:F44"/>
    <mergeCell ref="D45:F45"/>
    <mergeCell ref="C62:D64"/>
    <mergeCell ref="E62:F64"/>
    <mergeCell ref="D52:F52"/>
    <mergeCell ref="D53:F53"/>
    <mergeCell ref="D54:F54"/>
    <mergeCell ref="D47:F47"/>
    <mergeCell ref="D48:F48"/>
    <mergeCell ref="C66:C67"/>
  </mergeCells>
  <dataValidations count="8">
    <dataValidation type="list" allowBlank="1" showInputMessage="1" showErrorMessage="1" sqref="E69:F69 I69">
      <formula1>$O$1:$O$26</formula1>
    </dataValidation>
    <dataValidation type="list" allowBlank="1" showInputMessage="1" showErrorMessage="1" sqref="I67:I68 E67:F67">
      <formula1>$P$1:$P$2</formula1>
    </dataValidation>
    <dataValidation type="list" allowBlank="1" showInputMessage="1" showErrorMessage="1" sqref="D48:F48">
      <formula1>$P$1:$P$10</formula1>
    </dataValidation>
    <dataValidation type="whole" allowBlank="1" showInputMessage="1" showErrorMessage="1" errorTitle="Valor Incorrecto" error="La Suma Asegurada máxima de contratación para esta cobertura es $7,500,000 pesos." sqref="E65:F65">
      <formula1>0</formula1>
      <formula2>7500000</formula2>
    </dataValidation>
    <dataValidation type="whole" allowBlank="1" showInputMessage="1" showErrorMessage="1" errorTitle="Valor Incorrecto" error="Las edades de aceptación van de 3 a 64 años" sqref="D46">
      <formula1>3</formula1>
      <formula2>64</formula2>
    </dataValidation>
    <dataValidation type="whole" allowBlank="1" showInputMessage="1" showErrorMessage="1" errorTitle="Valor Incorrecto" error="Se puede cotizar con máxima retroactividad / anticipación de 30 días." sqref="D58">
      <formula1>F36-30</formula1>
      <formula2>F36+30</formula2>
    </dataValidation>
    <dataValidation type="whole" allowBlank="1" showInputMessage="1" showErrorMessage="1" errorTitle="Valor Incorrecto" error="La Suma Asegurada máxima de contratación para esta cobertura es $600 pesos." sqref="F68">
      <formula1>0</formula1>
      <formula2>R68</formula2>
    </dataValidation>
    <dataValidation type="whole" allowBlank="1" showInputMessage="1" showErrorMessage="1" errorTitle="Valor Incorrecto" error="La Suma Asegurada máxima de contratación para esta cobertura es $600 pesos." sqref="E68">
      <formula1>0</formula1>
      <formula2>Q67</formula2>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P106"/>
  <sheetViews>
    <sheetView showGridLines="0" view="pageBreakPreview" zoomScaleNormal="100" zoomScaleSheetLayoutView="100" workbookViewId="0"/>
  </sheetViews>
  <sheetFormatPr baseColWidth="10" defaultColWidth="0" defaultRowHeight="15" customHeight="1" zeroHeight="1" x14ac:dyDescent="0.25"/>
  <cols>
    <col min="1" max="1" width="1.7109375" style="1" customWidth="1"/>
    <col min="2" max="2" width="2.42578125" style="1" customWidth="1"/>
    <col min="3" max="3" width="3.7109375" style="1" customWidth="1"/>
    <col min="4" max="11" width="10.5703125" style="1" customWidth="1"/>
    <col min="12" max="12" width="3.7109375" style="1" customWidth="1"/>
    <col min="13" max="13" width="2.42578125" style="1" customWidth="1"/>
    <col min="14" max="14" width="1.7109375" style="1" customWidth="1"/>
    <col min="15" max="15" width="18.42578125" style="1" customWidth="1"/>
    <col min="16" max="16" width="0" style="1" hidden="1" customWidth="1"/>
    <col min="17" max="16384" width="11.42578125" style="1" hidden="1"/>
  </cols>
  <sheetData>
    <row r="1" spans="2:16" ht="5.25" customHeight="1" thickBot="1" x14ac:dyDescent="0.3"/>
    <row r="2" spans="2:16" ht="5.25" customHeight="1" thickTop="1" x14ac:dyDescent="0.25">
      <c r="B2" s="30"/>
      <c r="C2" s="31"/>
      <c r="D2" s="31"/>
      <c r="E2" s="31"/>
      <c r="F2" s="31"/>
      <c r="G2" s="31"/>
      <c r="H2" s="31"/>
      <c r="I2" s="31"/>
      <c r="J2" s="31"/>
      <c r="K2" s="31"/>
      <c r="L2" s="31"/>
      <c r="M2" s="32"/>
    </row>
    <row r="3" spans="2:16" ht="25.5" customHeight="1" x14ac:dyDescent="0.25">
      <c r="B3" s="33"/>
      <c r="C3" s="3"/>
      <c r="D3" s="3"/>
      <c r="E3" s="3"/>
      <c r="F3" s="3"/>
      <c r="H3" s="48" t="s">
        <v>55</v>
      </c>
      <c r="I3" s="3"/>
      <c r="J3" s="3"/>
      <c r="K3" s="3"/>
      <c r="L3" s="3"/>
      <c r="M3" s="34"/>
    </row>
    <row r="4" spans="2:16" ht="25.5" customHeight="1" x14ac:dyDescent="0.25">
      <c r="B4" s="33"/>
      <c r="C4" s="3"/>
      <c r="D4" s="3"/>
      <c r="E4" s="3"/>
      <c r="F4" s="3"/>
      <c r="H4" s="48" t="s">
        <v>56</v>
      </c>
      <c r="I4" s="3"/>
      <c r="J4" s="3"/>
      <c r="K4" s="3"/>
      <c r="L4" s="3"/>
      <c r="M4" s="34"/>
    </row>
    <row r="5" spans="2:16" ht="15" customHeight="1" x14ac:dyDescent="0.25">
      <c r="B5" s="33"/>
      <c r="C5" s="3"/>
      <c r="D5" s="3"/>
      <c r="E5" s="3"/>
      <c r="F5" s="3"/>
      <c r="G5" s="3"/>
      <c r="H5" s="3"/>
      <c r="I5" s="3"/>
      <c r="J5" s="3"/>
      <c r="K5" s="3"/>
      <c r="L5" s="3"/>
      <c r="M5" s="34"/>
    </row>
    <row r="6" spans="2:16" s="6" customFormat="1" ht="15" customHeight="1" x14ac:dyDescent="0.25">
      <c r="B6" s="42"/>
      <c r="C6" s="43" t="s">
        <v>54</v>
      </c>
      <c r="D6" s="43"/>
      <c r="E6" s="43"/>
      <c r="F6" s="100" t="s">
        <v>72</v>
      </c>
      <c r="G6" s="100"/>
      <c r="H6" s="100"/>
      <c r="I6" s="44" t="s">
        <v>70</v>
      </c>
      <c r="J6" s="99" t="str">
        <f ca="1">+TEXT(IndAnual!$D$58,"dd/mm/aaaa")&amp;" AL "&amp;TEXT(IndAnual!$F$58,"dd/mm/aaaa")</f>
        <v>03/01/2018 AL 03/01/2019</v>
      </c>
      <c r="K6" s="99"/>
      <c r="L6" s="99"/>
      <c r="M6" s="45"/>
    </row>
    <row r="7" spans="2:16" s="6" customFormat="1" ht="3" customHeight="1" x14ac:dyDescent="0.25">
      <c r="B7" s="42"/>
      <c r="C7" s="43"/>
      <c r="D7" s="43"/>
      <c r="E7" s="43"/>
      <c r="F7" s="43"/>
      <c r="G7" s="43"/>
      <c r="H7" s="43"/>
      <c r="I7" s="43"/>
      <c r="J7" s="43"/>
      <c r="K7" s="43"/>
      <c r="L7" s="43"/>
      <c r="M7" s="45"/>
    </row>
    <row r="8" spans="2:16" s="6" customFormat="1" ht="15" customHeight="1" x14ac:dyDescent="0.25">
      <c r="B8" s="42"/>
      <c r="C8" s="43" t="s">
        <v>13</v>
      </c>
      <c r="D8" s="43"/>
      <c r="E8" s="43"/>
      <c r="G8" s="99" t="str">
        <f>+IF(IndAnual!$D$44="","",IndAnual!$D$44)</f>
        <v/>
      </c>
      <c r="H8" s="99"/>
      <c r="I8" s="99"/>
      <c r="J8" s="99"/>
      <c r="K8" s="99"/>
      <c r="L8" s="99"/>
      <c r="M8" s="45"/>
    </row>
    <row r="9" spans="2:16" s="6" customFormat="1" ht="3" customHeight="1" x14ac:dyDescent="0.25">
      <c r="B9" s="42"/>
      <c r="C9" s="43"/>
      <c r="D9" s="43"/>
      <c r="E9" s="43"/>
      <c r="F9" s="44"/>
      <c r="G9" s="44"/>
      <c r="H9" s="44"/>
      <c r="I9" s="44"/>
      <c r="J9" s="44"/>
      <c r="K9" s="44"/>
      <c r="L9" s="44"/>
      <c r="M9" s="45"/>
    </row>
    <row r="10" spans="2:16" s="6" customFormat="1" ht="15" customHeight="1" x14ac:dyDescent="0.25">
      <c r="B10" s="42"/>
      <c r="C10" s="43" t="s">
        <v>14</v>
      </c>
      <c r="D10" s="43"/>
      <c r="E10" s="43"/>
      <c r="G10" s="99" t="str">
        <f>+IF(IndAnual!$D$44="","",IndAnual!$D$44)</f>
        <v/>
      </c>
      <c r="H10" s="99"/>
      <c r="I10" s="99"/>
      <c r="J10" s="99"/>
      <c r="K10" s="99"/>
      <c r="L10" s="99"/>
      <c r="M10" s="45"/>
    </row>
    <row r="11" spans="2:16" s="6" customFormat="1" ht="3" customHeight="1" x14ac:dyDescent="0.25">
      <c r="B11" s="42"/>
      <c r="C11" s="43"/>
      <c r="D11" s="43"/>
      <c r="E11" s="43"/>
      <c r="F11" s="43"/>
      <c r="G11" s="43"/>
      <c r="H11" s="43"/>
      <c r="I11" s="43"/>
      <c r="J11" s="43"/>
      <c r="K11" s="43"/>
      <c r="L11" s="43"/>
      <c r="M11" s="45"/>
    </row>
    <row r="12" spans="2:16" s="6" customFormat="1" ht="15" customHeight="1" x14ac:dyDescent="0.25">
      <c r="B12" s="42"/>
      <c r="C12" s="43" t="s">
        <v>71</v>
      </c>
      <c r="D12" s="43"/>
      <c r="E12" s="43"/>
      <c r="G12" s="99" t="str">
        <f>+IF(IndAnual!$D$47="","",IndAnual!$D$47)</f>
        <v/>
      </c>
      <c r="H12" s="99"/>
      <c r="I12" s="99"/>
      <c r="J12" s="99"/>
      <c r="K12" s="99"/>
      <c r="L12" s="99"/>
      <c r="M12" s="45"/>
    </row>
    <row r="13" spans="2:16" s="6" customFormat="1" ht="3" customHeight="1" x14ac:dyDescent="0.25">
      <c r="B13" s="42"/>
      <c r="C13" s="43"/>
      <c r="D13" s="43"/>
      <c r="E13" s="43"/>
      <c r="F13" s="43"/>
      <c r="G13" s="43"/>
      <c r="H13" s="43"/>
      <c r="I13" s="43"/>
      <c r="J13" s="43"/>
      <c r="K13" s="43"/>
      <c r="L13" s="43"/>
      <c r="M13" s="45"/>
    </row>
    <row r="14" spans="2:16" ht="15" customHeight="1" x14ac:dyDescent="0.25">
      <c r="B14" s="33"/>
      <c r="C14" s="43" t="s">
        <v>16</v>
      </c>
      <c r="E14" s="47" t="str">
        <f>+IF(IndAnual!$D$48="","",IndAnual!$D$48)</f>
        <v>A</v>
      </c>
      <c r="G14" s="44" t="s">
        <v>73</v>
      </c>
      <c r="H14" s="47" t="str">
        <f>+IndAnual!$D$46&amp;IF(IndAnual!$D$46=0,""," AÑOS")</f>
        <v/>
      </c>
      <c r="I14" s="46"/>
      <c r="J14" s="44" t="s">
        <v>106</v>
      </c>
      <c r="K14" s="101">
        <f ca="1">+IndAnual!$F$36</f>
        <v>43103</v>
      </c>
      <c r="L14" s="102"/>
      <c r="M14" s="34"/>
      <c r="P14" s="46"/>
    </row>
    <row r="15" spans="2:16" ht="5.25" customHeight="1" thickBot="1" x14ac:dyDescent="0.3">
      <c r="B15" s="36"/>
      <c r="C15" s="37"/>
      <c r="D15" s="37"/>
      <c r="E15" s="37"/>
      <c r="F15" s="37"/>
      <c r="G15" s="37"/>
      <c r="H15" s="37"/>
      <c r="I15" s="37"/>
      <c r="J15" s="37"/>
      <c r="K15" s="37"/>
      <c r="L15" s="37"/>
      <c r="M15" s="38"/>
    </row>
    <row r="16" spans="2:16" ht="7.5" customHeight="1" thickTop="1" thickBot="1" x14ac:dyDescent="0.3"/>
    <row r="17" spans="2:13" ht="5.25" customHeight="1" thickTop="1" x14ac:dyDescent="0.25">
      <c r="B17" s="30"/>
      <c r="C17" s="31"/>
      <c r="D17" s="31"/>
      <c r="E17" s="31"/>
      <c r="F17" s="31"/>
      <c r="G17" s="31"/>
      <c r="H17" s="31"/>
      <c r="I17" s="31"/>
      <c r="J17" s="31"/>
      <c r="K17" s="31"/>
      <c r="L17" s="31"/>
      <c r="M17" s="32"/>
    </row>
    <row r="18" spans="2:13" ht="15" customHeight="1" x14ac:dyDescent="0.25">
      <c r="B18" s="33"/>
      <c r="C18" s="49" t="s">
        <v>87</v>
      </c>
      <c r="D18" s="3"/>
      <c r="E18" s="3"/>
      <c r="F18" s="3"/>
      <c r="G18" s="3"/>
      <c r="H18" s="3"/>
      <c r="I18" s="3"/>
      <c r="J18" s="3"/>
      <c r="K18" s="3"/>
      <c r="L18" s="3"/>
      <c r="M18" s="34"/>
    </row>
    <row r="19" spans="2:13" ht="15" customHeight="1" x14ac:dyDescent="0.25">
      <c r="B19" s="33"/>
      <c r="C19" s="3"/>
      <c r="D19" s="3"/>
      <c r="E19" s="3"/>
      <c r="F19" s="3"/>
      <c r="G19" s="3"/>
      <c r="H19" s="3"/>
      <c r="I19" s="3"/>
      <c r="J19" s="3"/>
      <c r="K19" s="3"/>
      <c r="L19" s="3"/>
      <c r="M19" s="34"/>
    </row>
    <row r="20" spans="2:13" ht="15" customHeight="1" x14ac:dyDescent="0.25">
      <c r="B20" s="33"/>
      <c r="C20" s="43" t="s">
        <v>88</v>
      </c>
      <c r="D20" s="3"/>
      <c r="E20" s="99" t="str">
        <f>+IF(IndAnual!$D$52="","",IndAnual!$D$52)</f>
        <v/>
      </c>
      <c r="F20" s="99"/>
      <c r="G20" s="99"/>
      <c r="H20" s="99"/>
      <c r="I20" s="99"/>
      <c r="J20" s="99"/>
      <c r="K20" s="99"/>
      <c r="L20" s="99"/>
      <c r="M20" s="34"/>
    </row>
    <row r="21" spans="2:13" s="6" customFormat="1" ht="3" customHeight="1" x14ac:dyDescent="0.25">
      <c r="B21" s="42"/>
      <c r="C21" s="43"/>
      <c r="D21" s="43"/>
      <c r="E21" s="43"/>
      <c r="F21" s="44"/>
      <c r="G21" s="44"/>
      <c r="H21" s="44"/>
      <c r="I21" s="44"/>
      <c r="J21" s="44"/>
      <c r="K21" s="44"/>
      <c r="L21" s="44"/>
      <c r="M21" s="45"/>
    </row>
    <row r="22" spans="2:13" ht="15" customHeight="1" x14ac:dyDescent="0.25">
      <c r="B22" s="33"/>
      <c r="C22" s="43" t="s">
        <v>89</v>
      </c>
      <c r="D22" s="3"/>
      <c r="E22" s="99" t="str">
        <f>+IF(IndAnual!$D$53="","",IndAnual!$D$53)</f>
        <v/>
      </c>
      <c r="F22" s="99"/>
      <c r="G22" s="3"/>
      <c r="H22" s="3"/>
      <c r="I22" s="44" t="s">
        <v>19</v>
      </c>
      <c r="J22" s="99" t="str">
        <f>+IF(IndAnual!$D$54="","",IndAnual!$D$54)</f>
        <v/>
      </c>
      <c r="K22" s="99"/>
      <c r="L22" s="99"/>
      <c r="M22" s="34"/>
    </row>
    <row r="23" spans="2:13" ht="5.25" customHeight="1" thickBot="1" x14ac:dyDescent="0.3">
      <c r="B23" s="36"/>
      <c r="C23" s="37"/>
      <c r="D23" s="37"/>
      <c r="E23" s="37"/>
      <c r="F23" s="37"/>
      <c r="G23" s="37"/>
      <c r="H23" s="37"/>
      <c r="I23" s="37"/>
      <c r="J23" s="37"/>
      <c r="K23" s="37"/>
      <c r="L23" s="37"/>
      <c r="M23" s="38"/>
    </row>
    <row r="24" spans="2:13" ht="7.5" customHeight="1" thickTop="1" thickBot="1" x14ac:dyDescent="0.3"/>
    <row r="25" spans="2:13" ht="5.25" customHeight="1" thickTop="1" x14ac:dyDescent="0.25">
      <c r="B25" s="30"/>
      <c r="C25" s="31"/>
      <c r="D25" s="31"/>
      <c r="E25" s="31"/>
      <c r="F25" s="31"/>
      <c r="G25" s="31"/>
      <c r="H25" s="31"/>
      <c r="I25" s="31"/>
      <c r="J25" s="31"/>
      <c r="K25" s="31"/>
      <c r="L25" s="31"/>
      <c r="M25" s="32"/>
    </row>
    <row r="26" spans="2:13" ht="15" customHeight="1" x14ac:dyDescent="0.25">
      <c r="B26" s="33"/>
      <c r="C26" s="92" t="s">
        <v>92</v>
      </c>
      <c r="D26" s="92"/>
      <c r="E26" s="92"/>
      <c r="F26" s="92"/>
      <c r="G26" s="92"/>
      <c r="H26" s="92"/>
      <c r="I26" s="92"/>
      <c r="J26" s="92"/>
      <c r="K26" s="92"/>
      <c r="L26" s="92"/>
      <c r="M26" s="34"/>
    </row>
    <row r="27" spans="2:13" ht="15" customHeight="1" x14ac:dyDescent="0.25">
      <c r="B27" s="33"/>
      <c r="C27" s="92"/>
      <c r="D27" s="92"/>
      <c r="E27" s="92"/>
      <c r="F27" s="92"/>
      <c r="G27" s="92"/>
      <c r="H27" s="92"/>
      <c r="I27" s="92"/>
      <c r="J27" s="92"/>
      <c r="K27" s="92"/>
      <c r="L27" s="92"/>
      <c r="M27" s="34"/>
    </row>
    <row r="28" spans="2:13" ht="3" customHeight="1" x14ac:dyDescent="0.25">
      <c r="B28" s="33"/>
      <c r="C28" s="3"/>
      <c r="D28" s="3"/>
      <c r="E28" s="3"/>
      <c r="F28" s="3"/>
      <c r="G28" s="3"/>
      <c r="H28" s="3"/>
      <c r="I28" s="3"/>
      <c r="J28" s="3"/>
      <c r="K28" s="3"/>
      <c r="L28" s="3"/>
      <c r="M28" s="34"/>
    </row>
    <row r="29" spans="2:13" ht="15" customHeight="1" x14ac:dyDescent="0.25">
      <c r="B29" s="33"/>
      <c r="C29" s="92" t="str">
        <f ca="1">+"Por ello, servimos presentar la cotización generada el "&amp;DAY(TODAY())&amp;" de "&amp;VLOOKUP(MONTH(TODAY()),Tarifas!$B$9:$C$20,2,FALSE)&amp;" de "&amp;YEAR(TODAY())&amp;", correspondiente al ramo de Accidentes Personales Individual de acuerdo con las siguientes condiciones:"</f>
        <v>Por ello, servimos presentar la cotización generada el 3 de Enero de 2018, correspondiente al ramo de Accidentes Personales Individual de acuerdo con las siguientes condiciones:</v>
      </c>
      <c r="D29" s="92"/>
      <c r="E29" s="92"/>
      <c r="F29" s="92"/>
      <c r="G29" s="92"/>
      <c r="H29" s="92"/>
      <c r="I29" s="92"/>
      <c r="J29" s="92"/>
      <c r="K29" s="92"/>
      <c r="L29" s="92"/>
      <c r="M29" s="34"/>
    </row>
    <row r="30" spans="2:13" ht="15" customHeight="1" x14ac:dyDescent="0.25">
      <c r="B30" s="33"/>
      <c r="C30" s="92"/>
      <c r="D30" s="92"/>
      <c r="E30" s="92"/>
      <c r="F30" s="92"/>
      <c r="G30" s="92"/>
      <c r="H30" s="92"/>
      <c r="I30" s="92"/>
      <c r="J30" s="92"/>
      <c r="K30" s="92"/>
      <c r="L30" s="92"/>
      <c r="M30" s="34"/>
    </row>
    <row r="31" spans="2:13" ht="5.25" customHeight="1" thickBot="1" x14ac:dyDescent="0.3">
      <c r="B31" s="36"/>
      <c r="C31" s="37"/>
      <c r="D31" s="37"/>
      <c r="E31" s="37"/>
      <c r="F31" s="37"/>
      <c r="G31" s="37"/>
      <c r="H31" s="37"/>
      <c r="I31" s="37"/>
      <c r="J31" s="37"/>
      <c r="K31" s="37"/>
      <c r="L31" s="37"/>
      <c r="M31" s="38"/>
    </row>
    <row r="32" spans="2:13" ht="7.5" customHeight="1" thickTop="1" thickBot="1" x14ac:dyDescent="0.3"/>
    <row r="33" spans="2:13" ht="5.25" customHeight="1" thickTop="1" x14ac:dyDescent="0.25">
      <c r="B33" s="30"/>
      <c r="C33" s="31"/>
      <c r="D33" s="31"/>
      <c r="E33" s="31"/>
      <c r="F33" s="31"/>
      <c r="G33" s="31"/>
      <c r="H33" s="31"/>
      <c r="I33" s="31"/>
      <c r="J33" s="31"/>
      <c r="K33" s="31"/>
      <c r="L33" s="31"/>
      <c r="M33" s="32"/>
    </row>
    <row r="34" spans="2:13" ht="15" customHeight="1" x14ac:dyDescent="0.25">
      <c r="B34" s="33"/>
      <c r="C34" s="49" t="s">
        <v>90</v>
      </c>
      <c r="D34" s="3"/>
      <c r="E34" s="3"/>
      <c r="F34" s="3"/>
      <c r="G34" s="3"/>
      <c r="H34" s="3"/>
      <c r="I34" s="3"/>
      <c r="J34" s="3"/>
      <c r="K34" s="3"/>
      <c r="L34" s="3"/>
      <c r="M34" s="34"/>
    </row>
    <row r="35" spans="2:13" ht="15" customHeight="1" x14ac:dyDescent="0.25">
      <c r="B35" s="33"/>
      <c r="C35" s="3"/>
      <c r="D35" s="3"/>
      <c r="E35" s="3"/>
      <c r="F35" s="3"/>
      <c r="G35" s="3"/>
      <c r="H35" s="3"/>
      <c r="I35" s="3"/>
      <c r="J35" s="3"/>
      <c r="K35" s="3"/>
      <c r="L35" s="3"/>
      <c r="M35" s="34"/>
    </row>
    <row r="36" spans="2:13" ht="15" customHeight="1" x14ac:dyDescent="0.2">
      <c r="B36" s="33"/>
      <c r="C36" s="51" t="s">
        <v>91</v>
      </c>
      <c r="D36" s="92" t="s">
        <v>145</v>
      </c>
      <c r="E36" s="92"/>
      <c r="F36" s="92"/>
      <c r="G36" s="92"/>
      <c r="H36" s="92"/>
      <c r="I36" s="92"/>
      <c r="J36" s="92"/>
      <c r="K36" s="92"/>
      <c r="L36" s="92"/>
      <c r="M36" s="34"/>
    </row>
    <row r="37" spans="2:13" ht="15" customHeight="1" x14ac:dyDescent="0.25">
      <c r="B37" s="33"/>
      <c r="C37" s="3"/>
      <c r="D37" s="92"/>
      <c r="E37" s="92"/>
      <c r="F37" s="92"/>
      <c r="G37" s="92"/>
      <c r="H37" s="92"/>
      <c r="I37" s="92"/>
      <c r="J37" s="92"/>
      <c r="K37" s="92"/>
      <c r="L37" s="92"/>
      <c r="M37" s="34"/>
    </row>
    <row r="38" spans="2:13" ht="15" customHeight="1" x14ac:dyDescent="0.2">
      <c r="B38" s="33"/>
      <c r="C38" s="51" t="s">
        <v>91</v>
      </c>
      <c r="D38" s="92" t="s">
        <v>142</v>
      </c>
      <c r="E38" s="92"/>
      <c r="F38" s="92"/>
      <c r="G38" s="92"/>
      <c r="H38" s="92"/>
      <c r="I38" s="92"/>
      <c r="J38" s="92"/>
      <c r="K38" s="92"/>
      <c r="L38" s="92"/>
      <c r="M38" s="34"/>
    </row>
    <row r="39" spans="2:13" ht="15" customHeight="1" x14ac:dyDescent="0.25">
      <c r="B39" s="33"/>
      <c r="C39" s="3"/>
      <c r="D39" s="92"/>
      <c r="E39" s="92"/>
      <c r="F39" s="92"/>
      <c r="G39" s="92"/>
      <c r="H39" s="92"/>
      <c r="I39" s="92"/>
      <c r="J39" s="92"/>
      <c r="K39" s="92"/>
      <c r="L39" s="92"/>
      <c r="M39" s="34"/>
    </row>
    <row r="40" spans="2:13" ht="15" customHeight="1" x14ac:dyDescent="0.2">
      <c r="B40" s="33"/>
      <c r="C40" s="51" t="s">
        <v>91</v>
      </c>
      <c r="D40" s="92" t="s">
        <v>93</v>
      </c>
      <c r="E40" s="92"/>
      <c r="F40" s="92"/>
      <c r="G40" s="92"/>
      <c r="H40" s="92"/>
      <c r="I40" s="92"/>
      <c r="J40" s="92"/>
      <c r="K40" s="92"/>
      <c r="L40" s="92"/>
      <c r="M40" s="34"/>
    </row>
    <row r="41" spans="2:13" ht="15" customHeight="1" x14ac:dyDescent="0.25">
      <c r="B41" s="33"/>
      <c r="C41" s="3"/>
      <c r="D41" s="92"/>
      <c r="E41" s="92"/>
      <c r="F41" s="92"/>
      <c r="G41" s="92"/>
      <c r="H41" s="92"/>
      <c r="I41" s="92"/>
      <c r="J41" s="92"/>
      <c r="K41" s="92"/>
      <c r="L41" s="92"/>
      <c r="M41" s="34"/>
    </row>
    <row r="42" spans="2:13" ht="15" customHeight="1" x14ac:dyDescent="0.2">
      <c r="B42" s="33"/>
      <c r="C42" s="51" t="s">
        <v>91</v>
      </c>
      <c r="D42" s="92" t="s">
        <v>94</v>
      </c>
      <c r="E42" s="92"/>
      <c r="F42" s="92"/>
      <c r="G42" s="92"/>
      <c r="H42" s="92"/>
      <c r="I42" s="92"/>
      <c r="J42" s="92"/>
      <c r="K42" s="92"/>
      <c r="L42" s="92"/>
      <c r="M42" s="34"/>
    </row>
    <row r="43" spans="2:13" ht="15" customHeight="1" x14ac:dyDescent="0.25">
      <c r="B43" s="33"/>
      <c r="C43" s="3"/>
      <c r="D43" s="92"/>
      <c r="E43" s="92"/>
      <c r="F43" s="92"/>
      <c r="G43" s="92"/>
      <c r="H43" s="92"/>
      <c r="I43" s="92"/>
      <c r="J43" s="92"/>
      <c r="K43" s="92"/>
      <c r="L43" s="92"/>
      <c r="M43" s="34"/>
    </row>
    <row r="44" spans="2:13" ht="15" customHeight="1" x14ac:dyDescent="0.25">
      <c r="B44" s="33"/>
      <c r="C44" s="3"/>
      <c r="D44" s="92"/>
      <c r="E44" s="92"/>
      <c r="F44" s="92"/>
      <c r="G44" s="92"/>
      <c r="H44" s="92"/>
      <c r="I44" s="92"/>
      <c r="J44" s="92"/>
      <c r="K44" s="92"/>
      <c r="L44" s="92"/>
      <c r="M44" s="34"/>
    </row>
    <row r="45" spans="2:13" ht="15" customHeight="1" x14ac:dyDescent="0.25">
      <c r="B45" s="33"/>
      <c r="C45" s="3"/>
      <c r="D45" s="92"/>
      <c r="E45" s="92"/>
      <c r="F45" s="92"/>
      <c r="G45" s="92"/>
      <c r="H45" s="92"/>
      <c r="I45" s="92"/>
      <c r="J45" s="92"/>
      <c r="K45" s="92"/>
      <c r="L45" s="92"/>
      <c r="M45" s="34"/>
    </row>
    <row r="46" spans="2:13" ht="5.25" customHeight="1" thickBot="1" x14ac:dyDescent="0.3">
      <c r="B46" s="36"/>
      <c r="C46" s="37"/>
      <c r="D46" s="37"/>
      <c r="E46" s="37"/>
      <c r="F46" s="37"/>
      <c r="G46" s="37"/>
      <c r="H46" s="37"/>
      <c r="I46" s="37"/>
      <c r="J46" s="37"/>
      <c r="K46" s="37"/>
      <c r="L46" s="37"/>
      <c r="M46" s="38"/>
    </row>
    <row r="47" spans="2:13" ht="7.5" customHeight="1" thickTop="1" thickBot="1" x14ac:dyDescent="0.3"/>
    <row r="48" spans="2:13" ht="5.25" customHeight="1" thickTop="1" x14ac:dyDescent="0.25">
      <c r="B48" s="30"/>
      <c r="C48" s="31"/>
      <c r="D48" s="31"/>
      <c r="E48" s="31"/>
      <c r="F48" s="31"/>
      <c r="G48" s="31"/>
      <c r="H48" s="31"/>
      <c r="I48" s="31"/>
      <c r="J48" s="31"/>
      <c r="K48" s="31"/>
      <c r="L48" s="31"/>
      <c r="M48" s="32"/>
    </row>
    <row r="49" spans="2:13" ht="15" customHeight="1" x14ac:dyDescent="0.25">
      <c r="B49" s="33"/>
      <c r="C49" s="49" t="s">
        <v>95</v>
      </c>
      <c r="D49" s="3"/>
      <c r="E49" s="3"/>
      <c r="F49" s="3"/>
      <c r="G49" s="3"/>
      <c r="H49" s="3"/>
      <c r="I49" s="3"/>
      <c r="J49" s="3"/>
      <c r="K49" s="3"/>
      <c r="L49" s="3"/>
      <c r="M49" s="34"/>
    </row>
    <row r="50" spans="2:13" ht="15" customHeight="1" x14ac:dyDescent="0.25">
      <c r="B50" s="33"/>
      <c r="C50" s="3"/>
      <c r="D50" s="3"/>
      <c r="E50" s="3"/>
      <c r="F50" s="3"/>
      <c r="G50" s="3"/>
      <c r="H50" s="3"/>
      <c r="I50" s="3"/>
      <c r="J50" s="3"/>
      <c r="K50" s="3"/>
      <c r="L50" s="3"/>
      <c r="M50" s="34"/>
    </row>
    <row r="51" spans="2:13" ht="15" customHeight="1" x14ac:dyDescent="0.2">
      <c r="B51" s="33"/>
      <c r="C51" s="53" t="s">
        <v>96</v>
      </c>
      <c r="D51" s="92" t="s">
        <v>97</v>
      </c>
      <c r="E51" s="92"/>
      <c r="F51" s="92"/>
      <c r="G51" s="92"/>
      <c r="H51" s="92"/>
      <c r="I51" s="92"/>
      <c r="J51" s="92"/>
      <c r="K51" s="92"/>
      <c r="L51" s="92"/>
      <c r="M51" s="34"/>
    </row>
    <row r="52" spans="2:13" ht="15" customHeight="1" x14ac:dyDescent="0.25">
      <c r="B52" s="33"/>
      <c r="C52" s="3"/>
      <c r="D52" s="92"/>
      <c r="E52" s="92"/>
      <c r="F52" s="92"/>
      <c r="G52" s="92"/>
      <c r="H52" s="92"/>
      <c r="I52" s="92"/>
      <c r="J52" s="92"/>
      <c r="K52" s="92"/>
      <c r="L52" s="92"/>
      <c r="M52" s="34"/>
    </row>
    <row r="53" spans="2:13" ht="15" customHeight="1" x14ac:dyDescent="0.2">
      <c r="B53" s="33"/>
      <c r="C53" s="53" t="s">
        <v>96</v>
      </c>
      <c r="D53" s="92" t="s">
        <v>98</v>
      </c>
      <c r="E53" s="92"/>
      <c r="F53" s="92"/>
      <c r="G53" s="92"/>
      <c r="H53" s="92"/>
      <c r="I53" s="92"/>
      <c r="J53" s="92"/>
      <c r="K53" s="92"/>
      <c r="L53" s="92"/>
      <c r="M53" s="34"/>
    </row>
    <row r="54" spans="2:13" ht="15" customHeight="1" x14ac:dyDescent="0.25">
      <c r="B54" s="33"/>
      <c r="C54" s="3"/>
      <c r="D54" s="92"/>
      <c r="E54" s="92"/>
      <c r="F54" s="92"/>
      <c r="G54" s="92"/>
      <c r="H54" s="92"/>
      <c r="I54" s="92"/>
      <c r="J54" s="92"/>
      <c r="K54" s="92"/>
      <c r="L54" s="92"/>
      <c r="M54" s="34"/>
    </row>
    <row r="55" spans="2:13" ht="15" customHeight="1" x14ac:dyDescent="0.25">
      <c r="B55" s="33"/>
      <c r="C55" s="52" t="s">
        <v>96</v>
      </c>
      <c r="D55" s="93" t="s">
        <v>99</v>
      </c>
      <c r="E55" s="93"/>
      <c r="F55" s="93"/>
      <c r="G55" s="93"/>
      <c r="H55" s="93"/>
      <c r="I55" s="93"/>
      <c r="J55" s="93"/>
      <c r="K55" s="93"/>
      <c r="L55" s="93"/>
      <c r="M55" s="34"/>
    </row>
    <row r="56" spans="2:13" ht="15" customHeight="1" x14ac:dyDescent="0.2">
      <c r="B56" s="33"/>
      <c r="C56" s="53" t="s">
        <v>96</v>
      </c>
      <c r="D56" s="92" t="s">
        <v>100</v>
      </c>
      <c r="E56" s="92"/>
      <c r="F56" s="92"/>
      <c r="G56" s="92"/>
      <c r="H56" s="92"/>
      <c r="I56" s="92"/>
      <c r="J56" s="92"/>
      <c r="K56" s="92"/>
      <c r="L56" s="92"/>
      <c r="M56" s="34"/>
    </row>
    <row r="57" spans="2:13" ht="15" customHeight="1" x14ac:dyDescent="0.25">
      <c r="B57" s="33"/>
      <c r="C57" s="52"/>
      <c r="D57" s="92"/>
      <c r="E57" s="92"/>
      <c r="F57" s="92"/>
      <c r="G57" s="92"/>
      <c r="H57" s="92"/>
      <c r="I57" s="92"/>
      <c r="J57" s="92"/>
      <c r="K57" s="92"/>
      <c r="L57" s="92"/>
      <c r="M57" s="34"/>
    </row>
    <row r="58" spans="2:13" ht="15" customHeight="1" x14ac:dyDescent="0.2">
      <c r="B58" s="33"/>
      <c r="C58" s="53" t="s">
        <v>96</v>
      </c>
      <c r="D58" s="92" t="s">
        <v>101</v>
      </c>
      <c r="E58" s="92"/>
      <c r="F58" s="92"/>
      <c r="G58" s="92"/>
      <c r="H58" s="92"/>
      <c r="I58" s="92"/>
      <c r="J58" s="92"/>
      <c r="K58" s="92"/>
      <c r="L58" s="92"/>
      <c r="M58" s="34"/>
    </row>
    <row r="59" spans="2:13" ht="15" customHeight="1" x14ac:dyDescent="0.25">
      <c r="B59" s="33"/>
      <c r="C59" s="3"/>
      <c r="D59" s="92"/>
      <c r="E59" s="92"/>
      <c r="F59" s="92"/>
      <c r="G59" s="92"/>
      <c r="H59" s="92"/>
      <c r="I59" s="92"/>
      <c r="J59" s="92"/>
      <c r="K59" s="92"/>
      <c r="L59" s="92"/>
      <c r="M59" s="34"/>
    </row>
    <row r="60" spans="2:13" ht="15" customHeight="1" x14ac:dyDescent="0.25">
      <c r="B60" s="33"/>
      <c r="C60" s="52" t="s">
        <v>96</v>
      </c>
      <c r="D60" s="93" t="s">
        <v>102</v>
      </c>
      <c r="E60" s="93"/>
      <c r="F60" s="93"/>
      <c r="G60" s="93"/>
      <c r="H60" s="93"/>
      <c r="I60" s="93"/>
      <c r="J60" s="93"/>
      <c r="K60" s="93"/>
      <c r="L60" s="93"/>
      <c r="M60" s="34"/>
    </row>
    <row r="61" spans="2:13" ht="5.25" customHeight="1" thickBot="1" x14ac:dyDescent="0.3">
      <c r="B61" s="36"/>
      <c r="C61" s="37"/>
      <c r="D61" s="37"/>
      <c r="E61" s="37"/>
      <c r="F61" s="37"/>
      <c r="G61" s="37"/>
      <c r="H61" s="37"/>
      <c r="I61" s="37"/>
      <c r="J61" s="37"/>
      <c r="K61" s="37"/>
      <c r="L61" s="37"/>
      <c r="M61" s="38"/>
    </row>
    <row r="62" spans="2:13" ht="7.5" customHeight="1" thickTop="1" thickBot="1" x14ac:dyDescent="0.3">
      <c r="D62" s="54"/>
      <c r="E62" s="54"/>
      <c r="F62" s="54"/>
      <c r="G62" s="54"/>
      <c r="H62" s="54"/>
      <c r="I62" s="54"/>
      <c r="J62" s="54"/>
      <c r="K62" s="54"/>
      <c r="L62" s="54"/>
    </row>
    <row r="63" spans="2:13" ht="5.25" customHeight="1" thickTop="1" x14ac:dyDescent="0.25">
      <c r="B63" s="30"/>
      <c r="C63" s="31"/>
      <c r="D63" s="31"/>
      <c r="E63" s="31"/>
      <c r="F63" s="31"/>
      <c r="G63" s="31"/>
      <c r="H63" s="31"/>
      <c r="I63" s="31"/>
      <c r="J63" s="31"/>
      <c r="K63" s="31"/>
      <c r="L63" s="31"/>
      <c r="M63" s="32"/>
    </row>
    <row r="64" spans="2:13" ht="15" customHeight="1" x14ac:dyDescent="0.25">
      <c r="B64" s="33"/>
      <c r="C64" s="49" t="s">
        <v>62</v>
      </c>
      <c r="D64" s="3"/>
      <c r="E64" s="3"/>
      <c r="F64" s="3"/>
      <c r="G64" s="3"/>
      <c r="H64" s="3"/>
      <c r="I64" s="3"/>
      <c r="J64" s="3"/>
      <c r="K64" s="3"/>
      <c r="L64" s="3"/>
      <c r="M64" s="34"/>
    </row>
    <row r="65" spans="2:13" ht="15" customHeight="1" x14ac:dyDescent="0.25">
      <c r="B65" s="33"/>
      <c r="C65" s="3"/>
      <c r="D65" s="3"/>
      <c r="E65" s="3"/>
      <c r="F65" s="3"/>
      <c r="G65" s="3"/>
      <c r="H65" s="3"/>
      <c r="I65" s="3"/>
      <c r="J65" s="3"/>
      <c r="K65" s="3"/>
      <c r="L65" s="3"/>
      <c r="M65" s="34"/>
    </row>
    <row r="66" spans="2:13" ht="15" customHeight="1" x14ac:dyDescent="0.25">
      <c r="B66" s="33"/>
      <c r="C66" s="35" t="s">
        <v>30</v>
      </c>
      <c r="D66" s="3"/>
      <c r="E66" s="3"/>
      <c r="F66" s="3"/>
      <c r="G66" s="3"/>
      <c r="H66" s="3"/>
      <c r="I66" s="3"/>
      <c r="J66" s="3"/>
      <c r="K66" s="3"/>
      <c r="L66" s="3"/>
      <c r="M66" s="34"/>
    </row>
    <row r="67" spans="2:13" ht="7.5" customHeight="1" x14ac:dyDescent="0.25">
      <c r="B67" s="33"/>
      <c r="C67" s="3"/>
      <c r="D67" s="3"/>
      <c r="E67" s="3"/>
      <c r="F67" s="3"/>
      <c r="G67" s="3"/>
      <c r="H67" s="3"/>
      <c r="I67" s="3"/>
      <c r="J67" s="3"/>
      <c r="K67" s="3"/>
      <c r="L67" s="3"/>
      <c r="M67" s="34"/>
    </row>
    <row r="68" spans="2:13" ht="15" customHeight="1" x14ac:dyDescent="0.25">
      <c r="B68" s="33"/>
      <c r="C68" s="3"/>
      <c r="D68" s="97" t="s">
        <v>0</v>
      </c>
      <c r="E68" s="97"/>
      <c r="F68" s="97"/>
      <c r="G68" s="97"/>
      <c r="H68" s="97"/>
      <c r="I68" s="97"/>
      <c r="J68" s="105" t="s">
        <v>60</v>
      </c>
      <c r="K68" s="105"/>
      <c r="L68" s="3"/>
      <c r="M68" s="34"/>
    </row>
    <row r="69" spans="2:13" ht="15" customHeight="1" x14ac:dyDescent="0.25">
      <c r="B69" s="33"/>
      <c r="C69" s="3"/>
      <c r="D69" s="97"/>
      <c r="E69" s="97"/>
      <c r="F69" s="97"/>
      <c r="G69" s="97"/>
      <c r="H69" s="97"/>
      <c r="I69" s="97"/>
      <c r="J69" s="105"/>
      <c r="K69" s="105"/>
      <c r="L69" s="3"/>
      <c r="M69" s="34"/>
    </row>
    <row r="70" spans="2:13" ht="15" customHeight="1" x14ac:dyDescent="0.25">
      <c r="B70" s="33"/>
      <c r="C70" s="3"/>
      <c r="D70" s="97"/>
      <c r="E70" s="97"/>
      <c r="F70" s="97"/>
      <c r="G70" s="97"/>
      <c r="H70" s="97"/>
      <c r="I70" s="97"/>
      <c r="J70" s="105"/>
      <c r="K70" s="105"/>
      <c r="L70" s="3"/>
      <c r="M70" s="34"/>
    </row>
    <row r="71" spans="2:13" ht="15" customHeight="1" x14ac:dyDescent="0.25">
      <c r="B71" s="33"/>
      <c r="C71" s="3"/>
      <c r="D71" s="95" t="s">
        <v>11</v>
      </c>
      <c r="E71" s="95"/>
      <c r="F71" s="95"/>
      <c r="G71" s="95"/>
      <c r="H71" s="95"/>
      <c r="I71" s="95"/>
      <c r="J71" s="98" t="str">
        <f ca="1">+IF(IndAnual!$J$30&gt;0,"",IndAnual!$E$65)</f>
        <v/>
      </c>
      <c r="K71" s="98"/>
      <c r="L71" s="3"/>
      <c r="M71" s="34"/>
    </row>
    <row r="72" spans="2:13" ht="15" customHeight="1" x14ac:dyDescent="0.25">
      <c r="B72" s="33"/>
      <c r="C72" s="3"/>
      <c r="D72" s="95" t="s">
        <v>23</v>
      </c>
      <c r="E72" s="95"/>
      <c r="F72" s="95"/>
      <c r="G72" s="95"/>
      <c r="H72" s="95" t="s">
        <v>24</v>
      </c>
      <c r="I72" s="95"/>
      <c r="J72" s="104" t="str">
        <f ca="1">+IF(IndAnual!$J$30&gt;0,"",IndAnual!$E$67)</f>
        <v/>
      </c>
      <c r="K72" s="104"/>
      <c r="L72" s="3"/>
      <c r="M72" s="34"/>
    </row>
    <row r="73" spans="2:13" ht="15" customHeight="1" x14ac:dyDescent="0.25">
      <c r="B73" s="33"/>
      <c r="C73" s="3"/>
      <c r="D73" s="95"/>
      <c r="E73" s="95"/>
      <c r="F73" s="95"/>
      <c r="G73" s="95"/>
      <c r="H73" s="2" t="s">
        <v>57</v>
      </c>
      <c r="I73" s="2"/>
      <c r="J73" s="98" t="str">
        <f ca="1">+IF(IndAnual!$J$30&gt;0,"",IndAnual!$E$66)</f>
        <v/>
      </c>
      <c r="K73" s="98"/>
      <c r="L73" s="3"/>
      <c r="M73" s="34"/>
    </row>
    <row r="74" spans="2:13" ht="15" customHeight="1" x14ac:dyDescent="0.25">
      <c r="B74" s="33"/>
      <c r="C74" s="3"/>
      <c r="D74" s="95" t="s">
        <v>58</v>
      </c>
      <c r="E74" s="95"/>
      <c r="F74" s="95"/>
      <c r="G74" s="95"/>
      <c r="H74" s="95"/>
      <c r="I74" s="95"/>
      <c r="J74" s="98" t="str">
        <f ca="1">+IF(IndAnual!$J$30&gt;0,"",IndAnual!$E$68)</f>
        <v/>
      </c>
      <c r="K74" s="98"/>
      <c r="L74" s="3"/>
      <c r="M74" s="34"/>
    </row>
    <row r="75" spans="2:13" ht="15" customHeight="1" x14ac:dyDescent="0.25">
      <c r="B75" s="33"/>
      <c r="C75" s="3"/>
      <c r="D75" s="95" t="s">
        <v>59</v>
      </c>
      <c r="E75" s="95"/>
      <c r="F75" s="95"/>
      <c r="G75" s="95"/>
      <c r="H75" s="95"/>
      <c r="I75" s="95"/>
      <c r="J75" s="98" t="str">
        <f ca="1">+IF(IndAnual!$J$30&gt;0,"",IndAnual!$E$70)</f>
        <v/>
      </c>
      <c r="K75" s="98"/>
      <c r="L75" s="3"/>
      <c r="M75" s="34"/>
    </row>
    <row r="76" spans="2:13" ht="15" customHeight="1" x14ac:dyDescent="0.25">
      <c r="B76" s="33"/>
      <c r="C76" s="3"/>
      <c r="D76" s="3"/>
      <c r="E76" s="3"/>
      <c r="F76" s="3"/>
      <c r="G76" s="3"/>
      <c r="H76" s="3"/>
      <c r="I76" s="3"/>
      <c r="J76" s="3"/>
      <c r="K76" s="3"/>
      <c r="L76" s="3"/>
      <c r="M76" s="34"/>
    </row>
    <row r="77" spans="2:13" ht="15" customHeight="1" x14ac:dyDescent="0.25">
      <c r="B77" s="33"/>
      <c r="C77" s="35" t="s">
        <v>63</v>
      </c>
      <c r="D77" s="3"/>
      <c r="E77" s="3"/>
      <c r="F77" s="3"/>
      <c r="G77" s="3"/>
      <c r="H77" s="3"/>
      <c r="I77" s="3"/>
      <c r="J77" s="3"/>
      <c r="K77" s="3"/>
      <c r="L77" s="3"/>
      <c r="M77" s="34"/>
    </row>
    <row r="78" spans="2:13" ht="7.5" customHeight="1" x14ac:dyDescent="0.25">
      <c r="B78" s="33"/>
      <c r="C78" s="3"/>
      <c r="D78" s="3"/>
      <c r="E78" s="3"/>
      <c r="F78" s="3"/>
      <c r="G78" s="3"/>
      <c r="H78" s="3"/>
      <c r="I78" s="3"/>
      <c r="J78" s="3"/>
      <c r="K78" s="3"/>
      <c r="L78" s="3"/>
      <c r="M78" s="34"/>
    </row>
    <row r="79" spans="2:13" ht="15" customHeight="1" x14ac:dyDescent="0.25">
      <c r="B79" s="33"/>
      <c r="C79" s="3"/>
      <c r="D79" s="3"/>
      <c r="E79" s="97" t="s">
        <v>67</v>
      </c>
      <c r="F79" s="97"/>
      <c r="G79" s="97"/>
      <c r="H79" s="97" t="s">
        <v>68</v>
      </c>
      <c r="I79" s="97"/>
      <c r="J79" s="97"/>
      <c r="K79" s="3"/>
      <c r="L79" s="3"/>
      <c r="M79" s="34"/>
    </row>
    <row r="80" spans="2:13" ht="15" customHeight="1" x14ac:dyDescent="0.25">
      <c r="B80" s="33"/>
      <c r="C80" s="3"/>
      <c r="D80" s="3"/>
      <c r="E80" s="97"/>
      <c r="F80" s="97"/>
      <c r="G80" s="97"/>
      <c r="H80" s="97"/>
      <c r="I80" s="97"/>
      <c r="J80" s="97"/>
      <c r="K80" s="3"/>
      <c r="L80" s="3"/>
      <c r="M80" s="34"/>
    </row>
    <row r="81" spans="2:16" ht="15" customHeight="1" x14ac:dyDescent="0.25">
      <c r="B81" s="33"/>
      <c r="C81" s="3"/>
      <c r="D81" s="3"/>
      <c r="E81" s="97"/>
      <c r="F81" s="97"/>
      <c r="G81" s="97"/>
      <c r="H81" s="97"/>
      <c r="I81" s="97"/>
      <c r="J81" s="97"/>
      <c r="K81" s="3"/>
      <c r="L81" s="3"/>
      <c r="M81" s="34"/>
    </row>
    <row r="82" spans="2:16" ht="15" customHeight="1" x14ac:dyDescent="0.25">
      <c r="B82" s="33"/>
      <c r="C82" s="3"/>
      <c r="D82" s="3"/>
      <c r="E82" s="95" t="s">
        <v>51</v>
      </c>
      <c r="F82" s="95"/>
      <c r="G82" s="95"/>
      <c r="H82" s="98" t="str">
        <f ca="1">+IF(IndAnual!$J$30&gt;0,"",IndAnual!$N$74)</f>
        <v/>
      </c>
      <c r="I82" s="98"/>
      <c r="J82" s="98"/>
      <c r="K82" s="3"/>
      <c r="L82" s="3"/>
      <c r="M82" s="34"/>
    </row>
    <row r="83" spans="2:16" ht="15" customHeight="1" x14ac:dyDescent="0.25">
      <c r="B83" s="33"/>
      <c r="C83" s="3"/>
      <c r="D83" s="3"/>
      <c r="E83" s="95" t="s">
        <v>69</v>
      </c>
      <c r="F83" s="95"/>
      <c r="G83" s="95"/>
      <c r="H83" s="98" t="str">
        <f ca="1">+IF(IndAnual!$J$30&gt;0,"",IndAnual!$N$75)</f>
        <v/>
      </c>
      <c r="I83" s="98"/>
      <c r="J83" s="98"/>
      <c r="K83" s="3"/>
      <c r="L83" s="3"/>
      <c r="M83" s="34"/>
    </row>
    <row r="84" spans="2:16" ht="15" customHeight="1" x14ac:dyDescent="0.25">
      <c r="B84" s="33"/>
      <c r="C84" s="3"/>
      <c r="D84" s="3"/>
      <c r="E84" s="95" t="s">
        <v>64</v>
      </c>
      <c r="F84" s="95"/>
      <c r="G84" s="95"/>
      <c r="H84" s="98" t="str">
        <f ca="1">+IF(IndAnual!$J$30&gt;0,"",IndAnual!$N$76)</f>
        <v/>
      </c>
      <c r="I84" s="98"/>
      <c r="J84" s="98"/>
      <c r="K84" s="3"/>
      <c r="L84" s="3"/>
      <c r="M84" s="34"/>
    </row>
    <row r="85" spans="2:16" ht="15" customHeight="1" x14ac:dyDescent="0.25">
      <c r="B85" s="33"/>
      <c r="C85" s="3"/>
      <c r="D85" s="3"/>
      <c r="E85" s="95" t="s">
        <v>65</v>
      </c>
      <c r="F85" s="95"/>
      <c r="G85" s="95"/>
      <c r="H85" s="98" t="str">
        <f ca="1">+IF(IndAnual!$J$30&gt;0,"",IndAnual!$N$77)</f>
        <v/>
      </c>
      <c r="I85" s="98"/>
      <c r="J85" s="98"/>
      <c r="K85" s="3"/>
      <c r="L85" s="3"/>
      <c r="M85" s="34"/>
    </row>
    <row r="86" spans="2:16" ht="15" customHeight="1" x14ac:dyDescent="0.25">
      <c r="B86" s="33"/>
      <c r="C86" s="3"/>
      <c r="D86" s="3"/>
      <c r="E86" s="96" t="s">
        <v>66</v>
      </c>
      <c r="F86" s="96"/>
      <c r="G86" s="96"/>
      <c r="H86" s="103" t="str">
        <f ca="1">+IF(IndAnual!$J$30&gt;0,"",IndAnual!$N$78)</f>
        <v/>
      </c>
      <c r="I86" s="103"/>
      <c r="J86" s="103"/>
      <c r="K86" s="3"/>
      <c r="L86" s="3"/>
      <c r="M86" s="34"/>
    </row>
    <row r="87" spans="2:16" ht="5.25" customHeight="1" thickBot="1" x14ac:dyDescent="0.3">
      <c r="B87" s="36"/>
      <c r="C87" s="37"/>
      <c r="D87" s="37"/>
      <c r="E87" s="37"/>
      <c r="F87" s="37"/>
      <c r="G87" s="37"/>
      <c r="H87" s="37"/>
      <c r="I87" s="37"/>
      <c r="J87" s="37"/>
      <c r="K87" s="37"/>
      <c r="L87" s="37"/>
      <c r="M87" s="38"/>
    </row>
    <row r="88" spans="2:16" ht="7.5" customHeight="1" thickTop="1" thickBot="1" x14ac:dyDescent="0.3"/>
    <row r="89" spans="2:16" ht="5.25" customHeight="1" thickTop="1" x14ac:dyDescent="0.25">
      <c r="B89" s="30"/>
      <c r="C89" s="31"/>
      <c r="D89" s="31"/>
      <c r="E89" s="31"/>
      <c r="F89" s="31"/>
      <c r="G89" s="31"/>
      <c r="H89" s="31"/>
      <c r="I89" s="31"/>
      <c r="J89" s="31"/>
      <c r="K89" s="31"/>
      <c r="L89" s="31"/>
      <c r="M89" s="32"/>
    </row>
    <row r="90" spans="2:16" ht="15" customHeight="1" x14ac:dyDescent="0.25">
      <c r="B90" s="33"/>
      <c r="C90" s="49" t="s">
        <v>104</v>
      </c>
      <c r="D90" s="3"/>
      <c r="E90" s="3"/>
      <c r="F90" s="3"/>
      <c r="G90" s="3"/>
      <c r="H90" s="3"/>
      <c r="I90" s="3"/>
      <c r="J90" s="3"/>
      <c r="K90" s="3"/>
      <c r="L90" s="3"/>
      <c r="M90" s="34"/>
    </row>
    <row r="91" spans="2:16" ht="15" customHeight="1" x14ac:dyDescent="0.25">
      <c r="B91" s="33"/>
      <c r="C91" s="3"/>
      <c r="D91" s="3"/>
      <c r="E91" s="3"/>
      <c r="F91" s="3"/>
      <c r="G91" s="3"/>
      <c r="H91" s="3"/>
      <c r="I91" s="3"/>
      <c r="J91" s="3"/>
      <c r="K91" s="3"/>
      <c r="L91" s="3"/>
      <c r="M91" s="34"/>
    </row>
    <row r="92" spans="2:16" ht="15" customHeight="1" x14ac:dyDescent="0.2">
      <c r="B92" s="33"/>
      <c r="C92" s="51" t="s">
        <v>103</v>
      </c>
      <c r="D92" s="94" t="s">
        <v>105</v>
      </c>
      <c r="E92" s="94"/>
      <c r="F92" s="94"/>
      <c r="G92" s="94"/>
      <c r="H92" s="94"/>
      <c r="I92" s="94"/>
      <c r="J92" s="94"/>
      <c r="K92" s="94"/>
      <c r="L92" s="94"/>
      <c r="M92" s="34"/>
      <c r="P92" s="50"/>
    </row>
    <row r="93" spans="2:16" ht="15" customHeight="1" x14ac:dyDescent="0.25">
      <c r="B93" s="33"/>
      <c r="C93" s="3"/>
      <c r="D93" s="94"/>
      <c r="E93" s="94"/>
      <c r="F93" s="94"/>
      <c r="G93" s="94"/>
      <c r="H93" s="94"/>
      <c r="I93" s="94"/>
      <c r="J93" s="94"/>
      <c r="K93" s="94"/>
      <c r="L93" s="94"/>
      <c r="M93" s="34"/>
    </row>
    <row r="94" spans="2:16" ht="15" customHeight="1" x14ac:dyDescent="0.25">
      <c r="B94" s="33"/>
      <c r="C94" s="50" t="s">
        <v>103</v>
      </c>
      <c r="D94" s="92" t="s">
        <v>108</v>
      </c>
      <c r="E94" s="92"/>
      <c r="F94" s="92"/>
      <c r="G94" s="92"/>
      <c r="H94" s="92"/>
      <c r="I94" s="92"/>
      <c r="J94" s="92"/>
      <c r="K94" s="92"/>
      <c r="L94" s="92"/>
      <c r="M94" s="34"/>
    </row>
    <row r="95" spans="2:16" ht="15" customHeight="1" x14ac:dyDescent="0.25">
      <c r="B95" s="33"/>
      <c r="C95" s="50" t="s">
        <v>103</v>
      </c>
      <c r="D95" s="92" t="s">
        <v>109</v>
      </c>
      <c r="E95" s="92"/>
      <c r="F95" s="92"/>
      <c r="G95" s="92"/>
      <c r="H95" s="92"/>
      <c r="I95" s="92"/>
      <c r="J95" s="92"/>
      <c r="K95" s="92"/>
      <c r="L95" s="92"/>
      <c r="M95" s="34"/>
    </row>
    <row r="96" spans="2:16" ht="15" customHeight="1" x14ac:dyDescent="0.25">
      <c r="B96" s="33"/>
      <c r="C96" s="50" t="s">
        <v>103</v>
      </c>
      <c r="D96" s="92" t="s">
        <v>158</v>
      </c>
      <c r="E96" s="92"/>
      <c r="F96" s="92"/>
      <c r="G96" s="92"/>
      <c r="H96" s="92"/>
      <c r="I96" s="92"/>
      <c r="J96" s="92"/>
      <c r="K96" s="92"/>
      <c r="L96" s="92"/>
      <c r="M96" s="34"/>
    </row>
    <row r="97" spans="2:13" ht="15" customHeight="1" x14ac:dyDescent="0.2">
      <c r="B97" s="33"/>
      <c r="C97" s="51" t="str">
        <f ca="1">IF($J$74&gt;100,"¡","")</f>
        <v>¡</v>
      </c>
      <c r="D97" s="94" t="str">
        <f ca="1">IF($J$74&gt;100,"La cobertura de Indemnización Diaria deberá ser autorizada por el Area Técnica debido a que excede el límite máximo de retención de $100.00.","")</f>
        <v>La cobertura de Indemnización Diaria deberá ser autorizada por el Area Técnica debido a que excede el límite máximo de retención de $100.00.</v>
      </c>
      <c r="E97" s="94"/>
      <c r="F97" s="94"/>
      <c r="G97" s="94"/>
      <c r="H97" s="94"/>
      <c r="I97" s="94"/>
      <c r="J97" s="94"/>
      <c r="K97" s="94"/>
      <c r="L97" s="94"/>
      <c r="M97" s="34"/>
    </row>
    <row r="98" spans="2:13" ht="15" customHeight="1" x14ac:dyDescent="0.25">
      <c r="B98" s="33"/>
      <c r="C98" s="3"/>
      <c r="D98" s="94"/>
      <c r="E98" s="94"/>
      <c r="F98" s="94"/>
      <c r="G98" s="94"/>
      <c r="H98" s="94"/>
      <c r="I98" s="94"/>
      <c r="J98" s="94"/>
      <c r="K98" s="94"/>
      <c r="L98" s="94"/>
      <c r="M98" s="34"/>
    </row>
    <row r="99" spans="2:13" ht="5.25" customHeight="1" thickBot="1" x14ac:dyDescent="0.3">
      <c r="B99" s="36"/>
      <c r="C99" s="37"/>
      <c r="D99" s="37"/>
      <c r="E99" s="37"/>
      <c r="F99" s="37"/>
      <c r="G99" s="37"/>
      <c r="H99" s="37"/>
      <c r="I99" s="37"/>
      <c r="J99" s="37"/>
      <c r="K99" s="37"/>
      <c r="L99" s="37"/>
      <c r="M99" s="38"/>
    </row>
    <row r="100" spans="2:13" ht="15" customHeight="1" thickTop="1" x14ac:dyDescent="0.25"/>
    <row r="101" spans="2:13" ht="15" customHeight="1" x14ac:dyDescent="0.25">
      <c r="B101" s="91" t="s">
        <v>110</v>
      </c>
      <c r="C101" s="91"/>
      <c r="D101" s="91"/>
      <c r="E101" s="91"/>
      <c r="F101" s="91"/>
      <c r="G101" s="91"/>
      <c r="H101" s="91"/>
      <c r="I101" s="91"/>
      <c r="J101" s="91"/>
      <c r="K101" s="91"/>
      <c r="L101" s="91"/>
      <c r="M101" s="91"/>
    </row>
    <row r="102" spans="2:13" ht="15" customHeight="1" x14ac:dyDescent="0.25">
      <c r="B102" s="91" t="s">
        <v>111</v>
      </c>
      <c r="C102" s="91"/>
      <c r="D102" s="91"/>
      <c r="E102" s="91"/>
      <c r="F102" s="91"/>
      <c r="G102" s="91"/>
      <c r="H102" s="91"/>
      <c r="I102" s="91"/>
      <c r="J102" s="91"/>
      <c r="K102" s="91"/>
      <c r="L102" s="91"/>
      <c r="M102" s="91"/>
    </row>
    <row r="103" spans="2:13" ht="15" customHeight="1" x14ac:dyDescent="0.25"/>
    <row r="104" spans="2:13" ht="15" hidden="1" customHeight="1" x14ac:dyDescent="0.25"/>
    <row r="105" spans="2:13" ht="15" hidden="1" customHeight="1" x14ac:dyDescent="0.25"/>
    <row r="106" spans="2:13" ht="15" hidden="1" customHeight="1" x14ac:dyDescent="0.25"/>
  </sheetData>
  <mergeCells count="52">
    <mergeCell ref="D68:I70"/>
    <mergeCell ref="D71:I71"/>
    <mergeCell ref="J68:K70"/>
    <mergeCell ref="J71:K71"/>
    <mergeCell ref="H84:J84"/>
    <mergeCell ref="H85:J85"/>
    <mergeCell ref="H86:J86"/>
    <mergeCell ref="J72:K72"/>
    <mergeCell ref="J73:K73"/>
    <mergeCell ref="J74:K74"/>
    <mergeCell ref="J75:K75"/>
    <mergeCell ref="D74:I74"/>
    <mergeCell ref="D75:I75"/>
    <mergeCell ref="E82:G82"/>
    <mergeCell ref="E83:G83"/>
    <mergeCell ref="H72:I72"/>
    <mergeCell ref="D72:G73"/>
    <mergeCell ref="E79:G81"/>
    <mergeCell ref="C29:L30"/>
    <mergeCell ref="C26:L27"/>
    <mergeCell ref="J6:L6"/>
    <mergeCell ref="F6:H6"/>
    <mergeCell ref="K14:L14"/>
    <mergeCell ref="E20:L20"/>
    <mergeCell ref="E22:F22"/>
    <mergeCell ref="G8:L8"/>
    <mergeCell ref="G10:L10"/>
    <mergeCell ref="G12:L12"/>
    <mergeCell ref="J22:L22"/>
    <mergeCell ref="D51:L52"/>
    <mergeCell ref="D53:L54"/>
    <mergeCell ref="D55:L55"/>
    <mergeCell ref="D36:L37"/>
    <mergeCell ref="D38:L39"/>
    <mergeCell ref="D40:L41"/>
    <mergeCell ref="D42:L45"/>
    <mergeCell ref="B102:M102"/>
    <mergeCell ref="B101:M101"/>
    <mergeCell ref="D96:L96"/>
    <mergeCell ref="D56:L57"/>
    <mergeCell ref="D58:L59"/>
    <mergeCell ref="D60:L60"/>
    <mergeCell ref="D92:L93"/>
    <mergeCell ref="D97:L98"/>
    <mergeCell ref="D94:L94"/>
    <mergeCell ref="D95:L95"/>
    <mergeCell ref="E84:G84"/>
    <mergeCell ref="E85:G85"/>
    <mergeCell ref="E86:G86"/>
    <mergeCell ref="H79:J81"/>
    <mergeCell ref="H82:J82"/>
    <mergeCell ref="H83:J83"/>
  </mergeCells>
  <pageMargins left="0.31496062992125984" right="0.31496062992125984" top="0.55118110236220474" bottom="0.55118110236220474" header="0.31496062992125984" footer="0.31496062992125984"/>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T99"/>
  <sheetViews>
    <sheetView showGridLines="0" topLeftCell="A30" workbookViewId="0">
      <selection activeCell="A30" sqref="A30"/>
    </sheetView>
  </sheetViews>
  <sheetFormatPr baseColWidth="10" defaultColWidth="0" defaultRowHeight="15" customHeight="1" zeroHeight="1" x14ac:dyDescent="0.25"/>
  <cols>
    <col min="1" max="1" width="1.7109375" style="8" customWidth="1"/>
    <col min="2" max="2" width="1.7109375" style="7" customWidth="1"/>
    <col min="3" max="3" width="3.7109375" style="7" customWidth="1"/>
    <col min="4" max="4" width="21.5703125" style="7" customWidth="1"/>
    <col min="5" max="5" width="15.7109375" style="7" customWidth="1"/>
    <col min="6" max="6" width="9.140625" style="7" customWidth="1"/>
    <col min="7" max="7" width="15.7109375" style="7" customWidth="1"/>
    <col min="8" max="9" width="1.7109375" style="7" customWidth="1"/>
    <col min="10" max="20" width="0" style="8" hidden="1" customWidth="1"/>
    <col min="21" max="16384" width="11.42578125" style="8" hidden="1"/>
  </cols>
  <sheetData>
    <row r="1" spans="16:20" ht="15" hidden="1" customHeight="1" x14ac:dyDescent="0.25">
      <c r="P1" s="9">
        <v>0</v>
      </c>
      <c r="Q1" s="8" t="s">
        <v>1</v>
      </c>
      <c r="R1" s="8">
        <v>1</v>
      </c>
      <c r="S1" s="8" t="s">
        <v>122</v>
      </c>
      <c r="T1" s="15">
        <v>50000</v>
      </c>
    </row>
    <row r="2" spans="16:20" ht="15" hidden="1" customHeight="1" x14ac:dyDescent="0.25">
      <c r="P2" s="9">
        <f>+P1+0.01</f>
        <v>0.01</v>
      </c>
      <c r="Q2" s="8" t="s">
        <v>2</v>
      </c>
      <c r="R2" s="8">
        <f>+R1+1</f>
        <v>2</v>
      </c>
      <c r="S2" s="8" t="s">
        <v>123</v>
      </c>
      <c r="T2" s="15">
        <v>75000</v>
      </c>
    </row>
    <row r="3" spans="16:20" ht="15" hidden="1" customHeight="1" x14ac:dyDescent="0.25">
      <c r="P3" s="9">
        <f t="shared" ref="P3:P26" si="0">+P2+0.01</f>
        <v>0.02</v>
      </c>
      <c r="Q3" s="8" t="s">
        <v>3</v>
      </c>
      <c r="R3" s="8">
        <f t="shared" ref="R3:R7" si="1">+R2+1</f>
        <v>3</v>
      </c>
      <c r="T3" s="15">
        <v>100000</v>
      </c>
    </row>
    <row r="4" spans="16:20" ht="15" hidden="1" customHeight="1" x14ac:dyDescent="0.25">
      <c r="P4" s="9">
        <f t="shared" si="0"/>
        <v>0.03</v>
      </c>
      <c r="Q4" s="8" t="s">
        <v>4</v>
      </c>
      <c r="R4" s="8">
        <f>+R3+1</f>
        <v>4</v>
      </c>
      <c r="T4" s="15">
        <v>125000</v>
      </c>
    </row>
    <row r="5" spans="16:20" ht="15" hidden="1" customHeight="1" x14ac:dyDescent="0.25">
      <c r="P5" s="9">
        <f t="shared" si="0"/>
        <v>0.04</v>
      </c>
      <c r="Q5" s="8" t="s">
        <v>5</v>
      </c>
      <c r="R5" s="8">
        <f t="shared" si="1"/>
        <v>5</v>
      </c>
      <c r="T5" s="15">
        <v>150000</v>
      </c>
    </row>
    <row r="6" spans="16:20" ht="15" hidden="1" customHeight="1" x14ac:dyDescent="0.25">
      <c r="P6" s="9">
        <f t="shared" si="0"/>
        <v>0.05</v>
      </c>
      <c r="Q6" s="8" t="s">
        <v>6</v>
      </c>
      <c r="R6" s="8">
        <f t="shared" si="1"/>
        <v>6</v>
      </c>
      <c r="T6" s="15">
        <v>175000</v>
      </c>
    </row>
    <row r="7" spans="16:20" ht="15" hidden="1" customHeight="1" x14ac:dyDescent="0.25">
      <c r="P7" s="9">
        <f t="shared" si="0"/>
        <v>6.0000000000000005E-2</v>
      </c>
      <c r="Q7" s="8" t="s">
        <v>7</v>
      </c>
      <c r="R7" s="8">
        <f t="shared" si="1"/>
        <v>7</v>
      </c>
      <c r="T7" s="15">
        <v>200000</v>
      </c>
    </row>
    <row r="8" spans="16:20" ht="15" hidden="1" customHeight="1" x14ac:dyDescent="0.25">
      <c r="P8" s="9">
        <f t="shared" si="0"/>
        <v>7.0000000000000007E-2</v>
      </c>
      <c r="T8" s="15">
        <v>225000</v>
      </c>
    </row>
    <row r="9" spans="16:20" ht="15" hidden="1" customHeight="1" x14ac:dyDescent="0.25">
      <c r="P9" s="9">
        <f t="shared" si="0"/>
        <v>0.08</v>
      </c>
      <c r="T9" s="15">
        <v>250000</v>
      </c>
    </row>
    <row r="10" spans="16:20" ht="15" hidden="1" customHeight="1" x14ac:dyDescent="0.25">
      <c r="P10" s="9">
        <f t="shared" si="0"/>
        <v>0.09</v>
      </c>
      <c r="T10" s="15">
        <v>300000</v>
      </c>
    </row>
    <row r="11" spans="16:20" ht="15" hidden="1" customHeight="1" x14ac:dyDescent="0.25">
      <c r="P11" s="9">
        <f t="shared" si="0"/>
        <v>9.9999999999999992E-2</v>
      </c>
      <c r="T11" s="15">
        <v>325000</v>
      </c>
    </row>
    <row r="12" spans="16:20" ht="15" hidden="1" customHeight="1" x14ac:dyDescent="0.25">
      <c r="P12" s="9">
        <f t="shared" si="0"/>
        <v>0.10999999999999999</v>
      </c>
      <c r="T12" s="15">
        <v>350000</v>
      </c>
    </row>
    <row r="13" spans="16:20" ht="15" hidden="1" customHeight="1" x14ac:dyDescent="0.25">
      <c r="P13" s="9">
        <f t="shared" si="0"/>
        <v>0.11999999999999998</v>
      </c>
      <c r="T13" s="15">
        <v>375000</v>
      </c>
    </row>
    <row r="14" spans="16:20" ht="15" hidden="1" customHeight="1" x14ac:dyDescent="0.25">
      <c r="P14" s="9">
        <f t="shared" si="0"/>
        <v>0.12999999999999998</v>
      </c>
      <c r="T14" s="15">
        <v>400000</v>
      </c>
    </row>
    <row r="15" spans="16:20" ht="15" hidden="1" customHeight="1" x14ac:dyDescent="0.25">
      <c r="P15" s="9">
        <f t="shared" si="0"/>
        <v>0.13999999999999999</v>
      </c>
      <c r="T15" s="15">
        <v>425000</v>
      </c>
    </row>
    <row r="16" spans="16:20" ht="15" hidden="1" customHeight="1" x14ac:dyDescent="0.25">
      <c r="P16" s="9">
        <f t="shared" si="0"/>
        <v>0.15</v>
      </c>
      <c r="T16" s="15">
        <v>450000</v>
      </c>
    </row>
    <row r="17" spans="2:20" ht="15" hidden="1" customHeight="1" x14ac:dyDescent="0.25">
      <c r="P17" s="9">
        <f t="shared" si="0"/>
        <v>0.16</v>
      </c>
      <c r="T17" s="15">
        <v>475000</v>
      </c>
    </row>
    <row r="18" spans="2:20" ht="15" hidden="1" customHeight="1" x14ac:dyDescent="0.25">
      <c r="P18" s="9">
        <f t="shared" si="0"/>
        <v>0.17</v>
      </c>
      <c r="T18" s="15">
        <v>500000</v>
      </c>
    </row>
    <row r="19" spans="2:20" ht="15" hidden="1" customHeight="1" x14ac:dyDescent="0.25">
      <c r="P19" s="9">
        <f t="shared" si="0"/>
        <v>0.18000000000000002</v>
      </c>
      <c r="T19" s="15">
        <v>550000</v>
      </c>
    </row>
    <row r="20" spans="2:20" ht="15" hidden="1" customHeight="1" x14ac:dyDescent="0.25">
      <c r="P20" s="9">
        <f t="shared" si="0"/>
        <v>0.19000000000000003</v>
      </c>
      <c r="T20" s="15">
        <v>600000</v>
      </c>
    </row>
    <row r="21" spans="2:20" ht="15" hidden="1" customHeight="1" x14ac:dyDescent="0.25">
      <c r="P21" s="9">
        <f t="shared" si="0"/>
        <v>0.20000000000000004</v>
      </c>
      <c r="T21" s="15">
        <v>650000</v>
      </c>
    </row>
    <row r="22" spans="2:20" ht="15" hidden="1" customHeight="1" x14ac:dyDescent="0.25">
      <c r="P22" s="9">
        <f t="shared" si="0"/>
        <v>0.21000000000000005</v>
      </c>
      <c r="T22" s="15">
        <v>700000</v>
      </c>
    </row>
    <row r="23" spans="2:20" ht="15" hidden="1" customHeight="1" x14ac:dyDescent="0.25">
      <c r="P23" s="9">
        <f t="shared" si="0"/>
        <v>0.22000000000000006</v>
      </c>
      <c r="T23" s="15">
        <v>750000</v>
      </c>
    </row>
    <row r="24" spans="2:20" ht="15" hidden="1" customHeight="1" x14ac:dyDescent="0.25">
      <c r="P24" s="9">
        <f t="shared" si="0"/>
        <v>0.23000000000000007</v>
      </c>
      <c r="T24" s="15">
        <v>800000</v>
      </c>
    </row>
    <row r="25" spans="2:20" ht="15" hidden="1" customHeight="1" x14ac:dyDescent="0.25">
      <c r="P25" s="9">
        <f t="shared" si="0"/>
        <v>0.24000000000000007</v>
      </c>
      <c r="T25" s="15">
        <v>850000</v>
      </c>
    </row>
    <row r="26" spans="2:20" ht="15" hidden="1" customHeight="1" x14ac:dyDescent="0.25">
      <c r="P26" s="9">
        <f t="shared" si="0"/>
        <v>0.25000000000000006</v>
      </c>
      <c r="T26" s="15">
        <v>900000</v>
      </c>
    </row>
    <row r="27" spans="2:20" ht="15" hidden="1" customHeight="1" x14ac:dyDescent="0.25">
      <c r="P27" s="9"/>
      <c r="T27" s="15">
        <v>950000</v>
      </c>
    </row>
    <row r="28" spans="2:20" ht="15" hidden="1" customHeight="1" x14ac:dyDescent="0.25">
      <c r="P28" s="9"/>
      <c r="T28" s="15">
        <v>1000000</v>
      </c>
    </row>
    <row r="29" spans="2:20" ht="15" hidden="1" customHeight="1" x14ac:dyDescent="0.25">
      <c r="P29" s="9"/>
    </row>
    <row r="30" spans="2:20" ht="3" customHeight="1" thickBot="1" x14ac:dyDescent="0.3">
      <c r="P30" s="9"/>
    </row>
    <row r="31" spans="2:20" ht="5.25" customHeight="1" thickTop="1" x14ac:dyDescent="0.25">
      <c r="B31" s="57"/>
      <c r="C31" s="58"/>
      <c r="D31" s="58"/>
      <c r="E31" s="58"/>
      <c r="F31" s="58"/>
      <c r="G31" s="58"/>
      <c r="H31" s="59"/>
      <c r="P31" s="9"/>
    </row>
    <row r="32" spans="2:20" ht="15" customHeight="1" x14ac:dyDescent="0.25">
      <c r="B32" s="60"/>
      <c r="H32" s="61"/>
      <c r="J32" s="71">
        <f ca="1">+IF(E46="",1,0)+IF(E47="",1,0)+IF(E48="",1,0)+IF(E49="",1,0)+IF(E50="",1,0)+IF(E54="",1,0)+IF(E55="",1,0)+IF(E56="",1,0)+IF(E60="",1,0)</f>
        <v>7</v>
      </c>
      <c r="K32" s="71">
        <f>+SUM(M67:M76)</f>
        <v>0</v>
      </c>
      <c r="P32" s="9"/>
    </row>
    <row r="33" spans="2:16" ht="15" customHeight="1" x14ac:dyDescent="0.25">
      <c r="B33" s="60"/>
      <c r="H33" s="61"/>
      <c r="P33" s="9"/>
    </row>
    <row r="34" spans="2:16" ht="15" customHeight="1" x14ac:dyDescent="0.25">
      <c r="B34" s="60"/>
      <c r="H34" s="61"/>
      <c r="P34" s="9"/>
    </row>
    <row r="35" spans="2:16" ht="15" customHeight="1" x14ac:dyDescent="0.25">
      <c r="B35" s="60"/>
      <c r="H35" s="61"/>
      <c r="P35" s="9"/>
    </row>
    <row r="36" spans="2:16" ht="15" customHeight="1" x14ac:dyDescent="0.25">
      <c r="B36" s="60"/>
      <c r="H36" s="61"/>
      <c r="P36" s="9"/>
    </row>
    <row r="37" spans="2:16" ht="15" customHeight="1" x14ac:dyDescent="0.25">
      <c r="B37" s="60"/>
      <c r="H37" s="61"/>
      <c r="P37" s="9"/>
    </row>
    <row r="38" spans="2:16" ht="15" customHeight="1" x14ac:dyDescent="0.25">
      <c r="B38" s="60"/>
      <c r="F38" s="55" t="s">
        <v>107</v>
      </c>
      <c r="G38" s="56">
        <f ca="1">+TODAY()</f>
        <v>43103</v>
      </c>
      <c r="H38" s="61"/>
      <c r="P38" s="9"/>
    </row>
    <row r="39" spans="2:16" ht="15" customHeight="1" thickBot="1" x14ac:dyDescent="0.3">
      <c r="B39" s="60"/>
      <c r="H39" s="61"/>
      <c r="P39" s="9"/>
    </row>
    <row r="40" spans="2:16" ht="5.25" customHeight="1" thickTop="1" x14ac:dyDescent="0.25">
      <c r="B40" s="57"/>
      <c r="C40" s="58"/>
      <c r="D40" s="58"/>
      <c r="E40" s="58"/>
      <c r="F40" s="58"/>
      <c r="G40" s="58"/>
      <c r="H40" s="59"/>
      <c r="P40" s="9"/>
    </row>
    <row r="41" spans="2:16" ht="15" customHeight="1" x14ac:dyDescent="0.25">
      <c r="B41" s="60"/>
      <c r="C41" s="79" t="s">
        <v>131</v>
      </c>
      <c r="D41" s="79"/>
      <c r="E41" s="79"/>
      <c r="F41" s="79"/>
      <c r="G41" s="79"/>
      <c r="H41" s="61"/>
      <c r="P41" s="9"/>
    </row>
    <row r="42" spans="2:16" ht="5.25" customHeight="1" thickBot="1" x14ac:dyDescent="0.3">
      <c r="B42" s="62"/>
      <c r="C42" s="63"/>
      <c r="D42" s="63"/>
      <c r="E42" s="63"/>
      <c r="F42" s="63"/>
      <c r="G42" s="63"/>
      <c r="H42" s="64"/>
      <c r="P42" s="9"/>
    </row>
    <row r="43" spans="2:16" ht="15" customHeight="1" thickTop="1" x14ac:dyDescent="0.25">
      <c r="B43" s="60"/>
      <c r="H43" s="61"/>
      <c r="P43" s="9"/>
    </row>
    <row r="44" spans="2:16" ht="15" customHeight="1" x14ac:dyDescent="0.25">
      <c r="B44" s="60"/>
      <c r="C44" s="10" t="s">
        <v>26</v>
      </c>
      <c r="D44" s="10"/>
      <c r="H44" s="61"/>
      <c r="P44" s="9"/>
    </row>
    <row r="45" spans="2:16" ht="5.25" customHeight="1" x14ac:dyDescent="0.25">
      <c r="B45" s="60"/>
      <c r="H45" s="61"/>
      <c r="P45" s="9"/>
    </row>
    <row r="46" spans="2:16" ht="15" customHeight="1" x14ac:dyDescent="0.25">
      <c r="B46" s="60"/>
      <c r="C46" s="24" t="s">
        <v>13</v>
      </c>
      <c r="D46" s="24"/>
      <c r="E46" s="86"/>
      <c r="F46" s="86"/>
      <c r="G46" s="86"/>
      <c r="H46" s="61"/>
    </row>
    <row r="47" spans="2:16" ht="15" customHeight="1" x14ac:dyDescent="0.25">
      <c r="B47" s="60"/>
      <c r="C47" s="24" t="s">
        <v>136</v>
      </c>
      <c r="D47" s="24"/>
      <c r="E47" s="86"/>
      <c r="F47" s="86"/>
      <c r="G47" s="86"/>
      <c r="H47" s="61"/>
    </row>
    <row r="48" spans="2:16" ht="15" customHeight="1" x14ac:dyDescent="0.25">
      <c r="B48" s="60"/>
      <c r="C48" s="24" t="s">
        <v>21</v>
      </c>
      <c r="D48" s="65"/>
      <c r="E48" s="80"/>
      <c r="F48" s="81"/>
      <c r="G48" s="82"/>
      <c r="H48" s="61"/>
    </row>
    <row r="49" spans="2:16" ht="15" customHeight="1" x14ac:dyDescent="0.25">
      <c r="B49" s="60"/>
      <c r="C49" s="24" t="s">
        <v>15</v>
      </c>
      <c r="D49" s="24"/>
      <c r="E49" s="86"/>
      <c r="F49" s="86"/>
      <c r="G49" s="86"/>
      <c r="H49" s="61"/>
    </row>
    <row r="50" spans="2:16" ht="15" customHeight="1" x14ac:dyDescent="0.25">
      <c r="B50" s="60"/>
      <c r="C50" s="24" t="s">
        <v>16</v>
      </c>
      <c r="D50" s="24"/>
      <c r="E50" s="86" t="s">
        <v>3</v>
      </c>
      <c r="F50" s="86"/>
      <c r="G50" s="86"/>
      <c r="H50" s="61"/>
    </row>
    <row r="51" spans="2:16" ht="15" customHeight="1" x14ac:dyDescent="0.25">
      <c r="B51" s="60"/>
      <c r="H51" s="61"/>
    </row>
    <row r="52" spans="2:16" ht="15" customHeight="1" x14ac:dyDescent="0.25">
      <c r="B52" s="60"/>
      <c r="C52" s="10" t="s">
        <v>18</v>
      </c>
      <c r="D52" s="10"/>
      <c r="H52" s="61"/>
    </row>
    <row r="53" spans="2:16" ht="5.25" customHeight="1" x14ac:dyDescent="0.25">
      <c r="B53" s="60"/>
      <c r="H53" s="61"/>
      <c r="P53" s="9"/>
    </row>
    <row r="54" spans="2:16" ht="15" customHeight="1" x14ac:dyDescent="0.25">
      <c r="B54" s="60"/>
      <c r="C54" s="24" t="s">
        <v>17</v>
      </c>
      <c r="D54" s="24"/>
      <c r="E54" s="86"/>
      <c r="F54" s="86"/>
      <c r="G54" s="86"/>
      <c r="H54" s="61"/>
    </row>
    <row r="55" spans="2:16" ht="15" customHeight="1" x14ac:dyDescent="0.25">
      <c r="B55" s="60"/>
      <c r="C55" s="24" t="s">
        <v>20</v>
      </c>
      <c r="D55" s="24"/>
      <c r="E55" s="86"/>
      <c r="F55" s="86"/>
      <c r="G55" s="86"/>
      <c r="H55" s="61"/>
    </row>
    <row r="56" spans="2:16" ht="15" customHeight="1" x14ac:dyDescent="0.25">
      <c r="B56" s="60"/>
      <c r="C56" s="24" t="s">
        <v>19</v>
      </c>
      <c r="D56" s="24"/>
      <c r="E56" s="86"/>
      <c r="F56" s="86"/>
      <c r="G56" s="86"/>
      <c r="H56" s="61"/>
    </row>
    <row r="57" spans="2:16" ht="15" customHeight="1" x14ac:dyDescent="0.25">
      <c r="B57" s="60"/>
      <c r="H57" s="61"/>
    </row>
    <row r="58" spans="2:16" ht="15" customHeight="1" x14ac:dyDescent="0.25">
      <c r="B58" s="60"/>
      <c r="C58" s="10" t="s">
        <v>27</v>
      </c>
      <c r="D58" s="10"/>
      <c r="H58" s="61"/>
    </row>
    <row r="59" spans="2:16" ht="5.25" customHeight="1" x14ac:dyDescent="0.25">
      <c r="B59" s="60"/>
      <c r="H59" s="61"/>
      <c r="P59" s="9"/>
    </row>
    <row r="60" spans="2:16" ht="15" customHeight="1" x14ac:dyDescent="0.25">
      <c r="B60" s="60"/>
      <c r="C60" s="22" t="s">
        <v>28</v>
      </c>
      <c r="D60" s="22"/>
      <c r="E60" s="21">
        <f ca="1">+TODAY()</f>
        <v>43103</v>
      </c>
      <c r="F60" s="23" t="s">
        <v>22</v>
      </c>
      <c r="G60" s="11">
        <f ca="1">+EDATE($E$60,12)</f>
        <v>43468</v>
      </c>
      <c r="H60" s="61"/>
    </row>
    <row r="61" spans="2:16" ht="15" customHeight="1" x14ac:dyDescent="0.25">
      <c r="B61" s="60"/>
      <c r="H61" s="61"/>
    </row>
    <row r="62" spans="2:16" ht="15" customHeight="1" x14ac:dyDescent="0.25">
      <c r="B62" s="60"/>
      <c r="C62" s="10" t="s">
        <v>118</v>
      </c>
      <c r="D62" s="10"/>
      <c r="H62" s="61"/>
    </row>
    <row r="63" spans="2:16" ht="5.25" customHeight="1" x14ac:dyDescent="0.25">
      <c r="B63" s="60"/>
      <c r="H63" s="61"/>
      <c r="P63" s="9"/>
    </row>
    <row r="64" spans="2:16" ht="15" customHeight="1" x14ac:dyDescent="0.25">
      <c r="B64" s="60"/>
      <c r="C64" s="122" t="s">
        <v>119</v>
      </c>
      <c r="D64" s="113" t="s">
        <v>120</v>
      </c>
      <c r="E64" s="114"/>
      <c r="F64" s="122" t="s">
        <v>124</v>
      </c>
      <c r="G64" s="122" t="s">
        <v>121</v>
      </c>
      <c r="H64" s="61"/>
    </row>
    <row r="65" spans="2:16" ht="15" customHeight="1" x14ac:dyDescent="0.25">
      <c r="B65" s="60"/>
      <c r="C65" s="122"/>
      <c r="D65" s="115"/>
      <c r="E65" s="116"/>
      <c r="F65" s="122"/>
      <c r="G65" s="122"/>
      <c r="H65" s="61"/>
    </row>
    <row r="66" spans="2:16" ht="15" customHeight="1" x14ac:dyDescent="0.25">
      <c r="B66" s="60"/>
      <c r="C66" s="122"/>
      <c r="D66" s="117"/>
      <c r="E66" s="118"/>
      <c r="F66" s="122"/>
      <c r="G66" s="122"/>
      <c r="H66" s="61"/>
      <c r="K66" s="8" t="s">
        <v>138</v>
      </c>
      <c r="L66" s="8" t="s">
        <v>139</v>
      </c>
      <c r="M66" s="8" t="s">
        <v>156</v>
      </c>
    </row>
    <row r="67" spans="2:16" ht="15" customHeight="1" x14ac:dyDescent="0.25">
      <c r="B67" s="60"/>
      <c r="C67" s="66">
        <v>1</v>
      </c>
      <c r="D67" s="119"/>
      <c r="E67" s="120"/>
      <c r="F67" s="77"/>
      <c r="G67" s="20" t="s">
        <v>122</v>
      </c>
      <c r="H67" s="61"/>
      <c r="K67" s="8">
        <f t="shared" ref="K67:K76" si="2">+IF($G67=$S$1,12,0)</f>
        <v>12</v>
      </c>
      <c r="L67" s="8">
        <f t="shared" ref="L67:L76" si="3">+IF($G67=$S$1,65,25)</f>
        <v>65</v>
      </c>
      <c r="M67" s="8">
        <f>+IF(OR(D67="",F67=""),0,1)</f>
        <v>0</v>
      </c>
    </row>
    <row r="68" spans="2:16" ht="15" customHeight="1" x14ac:dyDescent="0.25">
      <c r="B68" s="60"/>
      <c r="C68" s="66">
        <f>+C67+1</f>
        <v>2</v>
      </c>
      <c r="D68" s="119"/>
      <c r="E68" s="120"/>
      <c r="F68" s="77"/>
      <c r="G68" s="20" t="s">
        <v>123</v>
      </c>
      <c r="H68" s="61"/>
      <c r="K68" s="8">
        <f t="shared" si="2"/>
        <v>0</v>
      </c>
      <c r="L68" s="8">
        <f t="shared" si="3"/>
        <v>25</v>
      </c>
      <c r="M68" s="8">
        <f t="shared" ref="M68:M76" si="4">+IF(OR(D68="",F68=""),0,1)</f>
        <v>0</v>
      </c>
    </row>
    <row r="69" spans="2:16" ht="15" customHeight="1" x14ac:dyDescent="0.25">
      <c r="B69" s="60"/>
      <c r="C69" s="66">
        <f t="shared" ref="C69:C76" si="5">+C68+1</f>
        <v>3</v>
      </c>
      <c r="D69" s="119"/>
      <c r="E69" s="120"/>
      <c r="F69" s="77"/>
      <c r="G69" s="20" t="s">
        <v>123</v>
      </c>
      <c r="H69" s="61"/>
      <c r="K69" s="8">
        <f t="shared" si="2"/>
        <v>0</v>
      </c>
      <c r="L69" s="8">
        <f t="shared" si="3"/>
        <v>25</v>
      </c>
      <c r="M69" s="8">
        <f t="shared" si="4"/>
        <v>0</v>
      </c>
    </row>
    <row r="70" spans="2:16" ht="15" customHeight="1" x14ac:dyDescent="0.25">
      <c r="B70" s="60"/>
      <c r="C70" s="66">
        <f t="shared" si="5"/>
        <v>4</v>
      </c>
      <c r="D70" s="119"/>
      <c r="E70" s="120"/>
      <c r="F70" s="77"/>
      <c r="G70" s="20" t="s">
        <v>123</v>
      </c>
      <c r="H70" s="61"/>
      <c r="K70" s="8">
        <f t="shared" si="2"/>
        <v>0</v>
      </c>
      <c r="L70" s="8">
        <f t="shared" si="3"/>
        <v>25</v>
      </c>
      <c r="M70" s="8">
        <f t="shared" si="4"/>
        <v>0</v>
      </c>
    </row>
    <row r="71" spans="2:16" ht="15" customHeight="1" x14ac:dyDescent="0.25">
      <c r="B71" s="60"/>
      <c r="C71" s="66">
        <f t="shared" si="5"/>
        <v>5</v>
      </c>
      <c r="D71" s="119"/>
      <c r="E71" s="120"/>
      <c r="F71" s="77"/>
      <c r="G71" s="20" t="s">
        <v>123</v>
      </c>
      <c r="H71" s="61"/>
      <c r="K71" s="8">
        <f t="shared" si="2"/>
        <v>0</v>
      </c>
      <c r="L71" s="8">
        <f t="shared" si="3"/>
        <v>25</v>
      </c>
      <c r="M71" s="8">
        <f t="shared" si="4"/>
        <v>0</v>
      </c>
    </row>
    <row r="72" spans="2:16" ht="15" customHeight="1" x14ac:dyDescent="0.25">
      <c r="B72" s="60"/>
      <c r="C72" s="66">
        <f t="shared" si="5"/>
        <v>6</v>
      </c>
      <c r="D72" s="119"/>
      <c r="E72" s="120"/>
      <c r="F72" s="77"/>
      <c r="G72" s="20" t="s">
        <v>123</v>
      </c>
      <c r="H72" s="61"/>
      <c r="K72" s="8">
        <f t="shared" si="2"/>
        <v>0</v>
      </c>
      <c r="L72" s="8">
        <f t="shared" si="3"/>
        <v>25</v>
      </c>
      <c r="M72" s="8">
        <f t="shared" si="4"/>
        <v>0</v>
      </c>
    </row>
    <row r="73" spans="2:16" ht="15" customHeight="1" x14ac:dyDescent="0.25">
      <c r="B73" s="60"/>
      <c r="C73" s="66">
        <f t="shared" si="5"/>
        <v>7</v>
      </c>
      <c r="D73" s="119"/>
      <c r="E73" s="120"/>
      <c r="F73" s="77"/>
      <c r="G73" s="20" t="s">
        <v>123</v>
      </c>
      <c r="H73" s="61"/>
      <c r="K73" s="8">
        <f t="shared" si="2"/>
        <v>0</v>
      </c>
      <c r="L73" s="8">
        <f t="shared" si="3"/>
        <v>25</v>
      </c>
      <c r="M73" s="8">
        <f t="shared" si="4"/>
        <v>0</v>
      </c>
    </row>
    <row r="74" spans="2:16" ht="15" customHeight="1" x14ac:dyDescent="0.25">
      <c r="B74" s="60"/>
      <c r="C74" s="66">
        <f t="shared" si="5"/>
        <v>8</v>
      </c>
      <c r="D74" s="119"/>
      <c r="E74" s="120"/>
      <c r="F74" s="77"/>
      <c r="G74" s="20" t="s">
        <v>123</v>
      </c>
      <c r="H74" s="61"/>
      <c r="K74" s="8">
        <f t="shared" si="2"/>
        <v>0</v>
      </c>
      <c r="L74" s="8">
        <f t="shared" si="3"/>
        <v>25</v>
      </c>
      <c r="M74" s="8">
        <f t="shared" si="4"/>
        <v>0</v>
      </c>
    </row>
    <row r="75" spans="2:16" ht="15" customHeight="1" x14ac:dyDescent="0.25">
      <c r="B75" s="60"/>
      <c r="C75" s="66">
        <f t="shared" si="5"/>
        <v>9</v>
      </c>
      <c r="D75" s="119"/>
      <c r="E75" s="120"/>
      <c r="F75" s="77"/>
      <c r="G75" s="20" t="s">
        <v>123</v>
      </c>
      <c r="H75" s="61"/>
      <c r="K75" s="8">
        <f t="shared" si="2"/>
        <v>0</v>
      </c>
      <c r="L75" s="8">
        <f t="shared" si="3"/>
        <v>25</v>
      </c>
      <c r="M75" s="8">
        <f t="shared" si="4"/>
        <v>0</v>
      </c>
    </row>
    <row r="76" spans="2:16" ht="15" customHeight="1" x14ac:dyDescent="0.25">
      <c r="B76" s="60"/>
      <c r="C76" s="66">
        <f t="shared" si="5"/>
        <v>10</v>
      </c>
      <c r="D76" s="119"/>
      <c r="E76" s="120"/>
      <c r="F76" s="77"/>
      <c r="G76" s="20" t="s">
        <v>123</v>
      </c>
      <c r="H76" s="61"/>
      <c r="K76" s="8">
        <f t="shared" si="2"/>
        <v>0</v>
      </c>
      <c r="L76" s="8">
        <f t="shared" si="3"/>
        <v>25</v>
      </c>
      <c r="M76" s="8">
        <f t="shared" si="4"/>
        <v>0</v>
      </c>
    </row>
    <row r="77" spans="2:16" ht="15" customHeight="1" x14ac:dyDescent="0.25">
      <c r="B77" s="60"/>
      <c r="H77" s="61"/>
    </row>
    <row r="78" spans="2:16" ht="15" customHeight="1" x14ac:dyDescent="0.25">
      <c r="B78" s="60"/>
      <c r="C78" s="10" t="s">
        <v>30</v>
      </c>
      <c r="D78" s="10"/>
      <c r="H78" s="61"/>
    </row>
    <row r="79" spans="2:16" ht="5.25" customHeight="1" x14ac:dyDescent="0.25">
      <c r="B79" s="60"/>
      <c r="H79" s="61"/>
      <c r="P79" s="9"/>
    </row>
    <row r="80" spans="2:16" ht="15" customHeight="1" x14ac:dyDescent="0.25">
      <c r="B80" s="60"/>
      <c r="C80" s="87" t="s">
        <v>0</v>
      </c>
      <c r="D80" s="87"/>
      <c r="E80" s="87"/>
      <c r="F80" s="87" t="s">
        <v>25</v>
      </c>
      <c r="G80" s="87"/>
      <c r="H80" s="61"/>
    </row>
    <row r="81" spans="2:15" ht="15" customHeight="1" x14ac:dyDescent="0.25">
      <c r="B81" s="60"/>
      <c r="C81" s="87"/>
      <c r="D81" s="87"/>
      <c r="E81" s="87"/>
      <c r="F81" s="87"/>
      <c r="G81" s="87"/>
      <c r="H81" s="61"/>
    </row>
    <row r="82" spans="2:15" ht="15" customHeight="1" x14ac:dyDescent="0.25">
      <c r="B82" s="60"/>
      <c r="C82" s="87"/>
      <c r="D82" s="87"/>
      <c r="E82" s="87"/>
      <c r="F82" s="87"/>
      <c r="G82" s="87"/>
      <c r="H82" s="61"/>
      <c r="K82" s="12" t="s">
        <v>44</v>
      </c>
      <c r="L82" s="12" t="s">
        <v>32</v>
      </c>
      <c r="M82" s="12" t="s">
        <v>33</v>
      </c>
    </row>
    <row r="83" spans="2:15" ht="15" customHeight="1" x14ac:dyDescent="0.25">
      <c r="B83" s="60"/>
      <c r="C83" s="110" t="s">
        <v>132</v>
      </c>
      <c r="D83" s="85" t="s">
        <v>11</v>
      </c>
      <c r="E83" s="85"/>
      <c r="F83" s="90">
        <v>250000</v>
      </c>
      <c r="G83" s="90"/>
      <c r="H83" s="61"/>
      <c r="K83" s="13" t="s">
        <v>45</v>
      </c>
      <c r="L83" s="13">
        <f>+VLOOKUP($E$50,$Q$1:$R$7,2,FALSE)</f>
        <v>3</v>
      </c>
      <c r="M83" s="14">
        <f>+VLOOKUP($F$83,Tarifas!$Q$9:$AB$36,$L$83+5,FALSE)</f>
        <v>2580.3547199999998</v>
      </c>
    </row>
    <row r="84" spans="2:15" ht="15" customHeight="1" x14ac:dyDescent="0.25">
      <c r="B84" s="60"/>
      <c r="C84" s="110"/>
      <c r="D84" s="24" t="s">
        <v>23</v>
      </c>
      <c r="E84" s="24" t="s">
        <v>29</v>
      </c>
      <c r="F84" s="84">
        <f>+$F$83</f>
        <v>250000</v>
      </c>
      <c r="G84" s="84"/>
      <c r="H84" s="61"/>
    </row>
    <row r="85" spans="2:15" ht="15" customHeight="1" x14ac:dyDescent="0.25">
      <c r="B85" s="60"/>
      <c r="C85" s="110"/>
      <c r="D85" s="24"/>
      <c r="E85" s="24" t="s">
        <v>24</v>
      </c>
      <c r="F85" s="106" t="s">
        <v>1</v>
      </c>
      <c r="G85" s="106"/>
      <c r="H85" s="61"/>
      <c r="L85" s="26" t="s">
        <v>52</v>
      </c>
      <c r="M85" s="19">
        <f>+TRUNC(SUM(M72:M83)*100+0.5)/100</f>
        <v>2580.35</v>
      </c>
      <c r="O85" s="15"/>
    </row>
    <row r="86" spans="2:15" ht="15" customHeight="1" thickBot="1" x14ac:dyDescent="0.3">
      <c r="B86" s="60"/>
      <c r="C86" s="111"/>
      <c r="D86" s="121" t="s">
        <v>133</v>
      </c>
      <c r="E86" s="121"/>
      <c r="F86" s="107">
        <f>+VLOOKUP($F$83,Tarifas!$Q$9:$U$36,3,FALSE)</f>
        <v>25000</v>
      </c>
      <c r="G86" s="107"/>
      <c r="H86" s="61"/>
      <c r="L86" s="26" t="s">
        <v>61</v>
      </c>
      <c r="M86" s="19">
        <f>+$M$85*IF($E$48&lt;60,1,1.25)</f>
        <v>2580.35</v>
      </c>
      <c r="O86" s="15"/>
    </row>
    <row r="87" spans="2:15" ht="15" customHeight="1" x14ac:dyDescent="0.25">
      <c r="B87" s="60"/>
      <c r="C87" s="112" t="s">
        <v>134</v>
      </c>
      <c r="D87" s="89" t="s">
        <v>137</v>
      </c>
      <c r="E87" s="89"/>
      <c r="F87" s="108">
        <f>+VLOOKUP($F$83,Tarifas!$Q$9:$U$36,2,FALSE)</f>
        <v>125000</v>
      </c>
      <c r="G87" s="109"/>
      <c r="H87" s="61"/>
      <c r="L87" s="26" t="s">
        <v>64</v>
      </c>
      <c r="M87" s="19">
        <f>+VLOOKUP($M$86,Tarifas!$B$27:$C$31,2)</f>
        <v>300</v>
      </c>
      <c r="O87" s="15"/>
    </row>
    <row r="88" spans="2:15" ht="15" customHeight="1" x14ac:dyDescent="0.25">
      <c r="B88" s="60"/>
      <c r="C88" s="112"/>
      <c r="D88" s="89" t="s">
        <v>135</v>
      </c>
      <c r="E88" s="89"/>
      <c r="F88" s="84">
        <v>35000</v>
      </c>
      <c r="G88" s="84"/>
      <c r="H88" s="61"/>
      <c r="L88" s="26" t="s">
        <v>65</v>
      </c>
      <c r="M88" s="19">
        <f>+(M86+M87)*0.16</f>
        <v>460.85599999999999</v>
      </c>
      <c r="O88" s="15"/>
    </row>
    <row r="89" spans="2:15" ht="15" customHeight="1" x14ac:dyDescent="0.25">
      <c r="B89" s="60"/>
      <c r="C89" s="110"/>
      <c r="D89" s="24" t="s">
        <v>23</v>
      </c>
      <c r="E89" s="24" t="s">
        <v>29</v>
      </c>
      <c r="F89" s="84">
        <f>+F87</f>
        <v>125000</v>
      </c>
      <c r="G89" s="84"/>
      <c r="H89" s="61"/>
      <c r="L89" s="27" t="s">
        <v>66</v>
      </c>
      <c r="M89" s="28">
        <f>+SUM(M86:M88)</f>
        <v>3341.2060000000001</v>
      </c>
      <c r="O89" s="15"/>
    </row>
    <row r="90" spans="2:15" ht="15" customHeight="1" x14ac:dyDescent="0.25">
      <c r="B90" s="60"/>
      <c r="C90" s="110"/>
      <c r="D90" s="24"/>
      <c r="E90" s="24" t="s">
        <v>24</v>
      </c>
      <c r="F90" s="106" t="s">
        <v>1</v>
      </c>
      <c r="G90" s="106"/>
      <c r="H90" s="61"/>
      <c r="M90" s="15"/>
      <c r="O90" s="15"/>
    </row>
    <row r="91" spans="2:15" ht="15" customHeight="1" x14ac:dyDescent="0.25">
      <c r="B91" s="60"/>
      <c r="C91" s="110"/>
      <c r="D91" s="85" t="s">
        <v>133</v>
      </c>
      <c r="E91" s="85"/>
      <c r="F91" s="84">
        <f>+VLOOKUP($F$83,Tarifas!$Q$9:$U$36,4,FALSE)</f>
        <v>25000</v>
      </c>
      <c r="G91" s="84"/>
      <c r="H91" s="61"/>
    </row>
    <row r="92" spans="2:15" ht="15" customHeight="1" x14ac:dyDescent="0.25">
      <c r="B92" s="60"/>
      <c r="C92" s="67"/>
      <c r="D92" s="22"/>
      <c r="E92" s="22"/>
      <c r="F92" s="68"/>
      <c r="G92" s="68"/>
      <c r="H92" s="61"/>
    </row>
    <row r="93" spans="2:15" ht="15" customHeight="1" x14ac:dyDescent="0.25">
      <c r="B93" s="60"/>
      <c r="H93" s="61"/>
    </row>
    <row r="94" spans="2:15" ht="15" customHeight="1" x14ac:dyDescent="0.25">
      <c r="B94" s="60"/>
      <c r="H94" s="61"/>
    </row>
    <row r="95" spans="2:15" ht="15" customHeight="1" x14ac:dyDescent="0.25">
      <c r="B95" s="60"/>
      <c r="H95" s="61"/>
    </row>
    <row r="96" spans="2:15" ht="15" customHeight="1" x14ac:dyDescent="0.25">
      <c r="B96" s="60"/>
      <c r="H96" s="61"/>
    </row>
    <row r="97" spans="2:8" ht="15" customHeight="1" x14ac:dyDescent="0.25">
      <c r="B97" s="60"/>
      <c r="H97" s="61"/>
    </row>
    <row r="98" spans="2:8" ht="15" customHeight="1" thickBot="1" x14ac:dyDescent="0.3">
      <c r="B98" s="62"/>
      <c r="C98" s="63"/>
      <c r="D98" s="63"/>
      <c r="E98" s="63"/>
      <c r="F98" s="63"/>
      <c r="G98" s="63"/>
      <c r="H98" s="64"/>
    </row>
    <row r="99" spans="2:8" ht="15" customHeight="1" thickTop="1" x14ac:dyDescent="0.25"/>
  </sheetData>
  <sheetProtection algorithmName="SHA-512" hashValue="vfisEkauwbkDOVeoOAzUlOuTNHTwwRIg44c0+N+3+NMap7PQ3HmSyTSL/DdOEOTPUKUYdk9KfetAaTvfUZVNOQ==" saltValue="jvDiKBULtq2zyBwIlcoMKw==" spinCount="100000" sheet="1" objects="1" scenarios="1"/>
  <mergeCells count="41">
    <mergeCell ref="E50:G50"/>
    <mergeCell ref="C41:G41"/>
    <mergeCell ref="E46:G46"/>
    <mergeCell ref="E47:G47"/>
    <mergeCell ref="E48:G48"/>
    <mergeCell ref="E49:G49"/>
    <mergeCell ref="E54:G54"/>
    <mergeCell ref="E55:G55"/>
    <mergeCell ref="E56:G56"/>
    <mergeCell ref="C80:E82"/>
    <mergeCell ref="F80:G82"/>
    <mergeCell ref="C64:C66"/>
    <mergeCell ref="G64:G66"/>
    <mergeCell ref="F64:F66"/>
    <mergeCell ref="D67:E67"/>
    <mergeCell ref="D68:E68"/>
    <mergeCell ref="D69:E69"/>
    <mergeCell ref="D70:E70"/>
    <mergeCell ref="D73:E73"/>
    <mergeCell ref="D74:E74"/>
    <mergeCell ref="D75:E75"/>
    <mergeCell ref="D76:E76"/>
    <mergeCell ref="D64:E66"/>
    <mergeCell ref="D71:E71"/>
    <mergeCell ref="D72:E72"/>
    <mergeCell ref="D86:E86"/>
    <mergeCell ref="D83:E83"/>
    <mergeCell ref="F84:G84"/>
    <mergeCell ref="F85:G85"/>
    <mergeCell ref="F86:G86"/>
    <mergeCell ref="F87:G87"/>
    <mergeCell ref="C83:C86"/>
    <mergeCell ref="F83:G83"/>
    <mergeCell ref="C87:C91"/>
    <mergeCell ref="D87:E87"/>
    <mergeCell ref="F89:G89"/>
    <mergeCell ref="F90:G90"/>
    <mergeCell ref="D91:E91"/>
    <mergeCell ref="F91:G91"/>
    <mergeCell ref="D88:E88"/>
    <mergeCell ref="F88:G88"/>
  </mergeCells>
  <dataValidations count="6">
    <dataValidation type="list" allowBlank="1" showInputMessage="1" showErrorMessage="1" errorTitle="Valor Incorrecto" error="La Suma Asegurada máxima de contratación para esta cobertura es $7,500,000 pesos." sqref="F83:G83">
      <formula1>$T$1:$T$28</formula1>
    </dataValidation>
    <dataValidation type="list" allowBlank="1" showInputMessage="1" showErrorMessage="1" sqref="E50:G50">
      <formula1>$Q$1:$Q$7</formula1>
    </dataValidation>
    <dataValidation type="whole" allowBlank="1" showInputMessage="1" showErrorMessage="1" errorTitle="Valor Incorrecto" error="Las edades de aceptación van de 2 a 65 años" sqref="E48:G48">
      <formula1>12</formula1>
      <formula2>65</formula2>
    </dataValidation>
    <dataValidation type="whole" allowBlank="1" showInputMessage="1" showErrorMessage="1" errorTitle="Valor Incorrecto" error="Las edades de aceptación para cónyuge son de 12 a 65 años y para hijos de 0 a 25 años" sqref="F67:F76">
      <formula1>K67</formula1>
      <formula2>L67</formula2>
    </dataValidation>
    <dataValidation type="list" allowBlank="1" showInputMessage="1" showErrorMessage="1" sqref="G67:G76">
      <formula1>$S$1:$S$2</formula1>
    </dataValidation>
    <dataValidation type="whole" allowBlank="1" showInputMessage="1" showErrorMessage="1" errorTitle="Valor Incorrecto" error="Se puede cotizar con máxima retroactividad / anticipación de 30 días." sqref="E60">
      <formula1>G38-30</formula1>
      <formula2>G38+30</formula2>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P162"/>
  <sheetViews>
    <sheetView showGridLines="0" view="pageBreakPreview" zoomScaleNormal="100" zoomScaleSheetLayoutView="100" workbookViewId="0"/>
  </sheetViews>
  <sheetFormatPr baseColWidth="10" defaultColWidth="0" defaultRowHeight="15" customHeight="1" zeroHeight="1" x14ac:dyDescent="0.25"/>
  <cols>
    <col min="1" max="1" width="1.7109375" style="1" customWidth="1"/>
    <col min="2" max="2" width="2.42578125" style="1" customWidth="1"/>
    <col min="3" max="3" width="3.7109375" style="1" customWidth="1"/>
    <col min="4" max="11" width="10.5703125" style="1" customWidth="1"/>
    <col min="12" max="12" width="3.7109375" style="1" customWidth="1"/>
    <col min="13" max="13" width="2.42578125" style="1" customWidth="1"/>
    <col min="14" max="14" width="1.7109375" style="1" customWidth="1"/>
    <col min="15" max="15" width="18.42578125" style="1" customWidth="1"/>
    <col min="16" max="16" width="0" style="1" hidden="1" customWidth="1"/>
    <col min="17" max="16384" width="11.42578125" style="1" hidden="1"/>
  </cols>
  <sheetData>
    <row r="1" spans="2:16" ht="5.25" customHeight="1" thickBot="1" x14ac:dyDescent="0.3"/>
    <row r="2" spans="2:16" ht="5.25" customHeight="1" thickTop="1" x14ac:dyDescent="0.25">
      <c r="B2" s="30"/>
      <c r="C2" s="31"/>
      <c r="D2" s="31"/>
      <c r="E2" s="31"/>
      <c r="F2" s="31"/>
      <c r="G2" s="31"/>
      <c r="H2" s="31"/>
      <c r="I2" s="31"/>
      <c r="J2" s="31"/>
      <c r="K2" s="31"/>
      <c r="L2" s="31"/>
      <c r="M2" s="32"/>
    </row>
    <row r="3" spans="2:16" ht="25.5" customHeight="1" x14ac:dyDescent="0.25">
      <c r="B3" s="33"/>
      <c r="C3" s="3"/>
      <c r="D3" s="3"/>
      <c r="E3" s="3"/>
      <c r="F3" s="3"/>
      <c r="H3" s="48" t="s">
        <v>55</v>
      </c>
      <c r="I3" s="3"/>
      <c r="J3" s="3"/>
      <c r="K3" s="3"/>
      <c r="L3" s="3"/>
      <c r="M3" s="34"/>
    </row>
    <row r="4" spans="2:16" ht="25.5" customHeight="1" x14ac:dyDescent="0.25">
      <c r="B4" s="33"/>
      <c r="C4" s="3"/>
      <c r="D4" s="3"/>
      <c r="E4" s="3"/>
      <c r="F4" s="3"/>
      <c r="H4" s="48" t="s">
        <v>117</v>
      </c>
      <c r="I4" s="3"/>
      <c r="J4" s="3"/>
      <c r="K4" s="3"/>
      <c r="L4" s="3"/>
      <c r="M4" s="34"/>
    </row>
    <row r="5" spans="2:16" ht="15" customHeight="1" x14ac:dyDescent="0.25">
      <c r="B5" s="33"/>
      <c r="C5" s="3"/>
      <c r="D5" s="3"/>
      <c r="E5" s="3"/>
      <c r="F5" s="3"/>
      <c r="G5" s="3"/>
      <c r="H5" s="3"/>
      <c r="I5" s="3"/>
      <c r="J5" s="3"/>
      <c r="K5" s="3"/>
      <c r="L5" s="3"/>
      <c r="M5" s="34"/>
    </row>
    <row r="6" spans="2:16" s="6" customFormat="1" ht="15" customHeight="1" x14ac:dyDescent="0.25">
      <c r="B6" s="42"/>
      <c r="C6" s="43" t="s">
        <v>54</v>
      </c>
      <c r="D6" s="43"/>
      <c r="E6" s="43"/>
      <c r="F6" s="100" t="s">
        <v>140</v>
      </c>
      <c r="G6" s="100"/>
      <c r="H6" s="100"/>
      <c r="I6" s="44" t="s">
        <v>70</v>
      </c>
      <c r="J6" s="99" t="str">
        <f ca="1">+TEXT(FamAnual!$E$60,"dd/mm/aaaa")&amp;" AL "&amp;TEXT(FamAnual!$G$60,"dd/mm/aaaa")</f>
        <v>03/01/2018 AL 03/01/2019</v>
      </c>
      <c r="K6" s="99"/>
      <c r="L6" s="99"/>
      <c r="M6" s="45"/>
    </row>
    <row r="7" spans="2:16" s="6" customFormat="1" ht="3" customHeight="1" x14ac:dyDescent="0.25">
      <c r="B7" s="42"/>
      <c r="C7" s="43"/>
      <c r="D7" s="43"/>
      <c r="E7" s="43"/>
      <c r="F7" s="43"/>
      <c r="G7" s="43"/>
      <c r="H7" s="43"/>
      <c r="I7" s="43"/>
      <c r="J7" s="43"/>
      <c r="K7" s="43"/>
      <c r="L7" s="43"/>
      <c r="M7" s="45"/>
    </row>
    <row r="8" spans="2:16" s="6" customFormat="1" ht="15" customHeight="1" x14ac:dyDescent="0.25">
      <c r="B8" s="42"/>
      <c r="C8" s="43" t="s">
        <v>13</v>
      </c>
      <c r="D8" s="43"/>
      <c r="E8" s="43"/>
      <c r="G8" s="99" t="str">
        <f>+IF(FamAnual!$E$46="","",FamAnual!$E$46)</f>
        <v/>
      </c>
      <c r="H8" s="99"/>
      <c r="I8" s="99"/>
      <c r="J8" s="99"/>
      <c r="K8" s="99"/>
      <c r="L8" s="99"/>
      <c r="M8" s="45"/>
    </row>
    <row r="9" spans="2:16" s="6" customFormat="1" ht="3" customHeight="1" x14ac:dyDescent="0.25">
      <c r="B9" s="42"/>
      <c r="C9" s="43"/>
      <c r="D9" s="43"/>
      <c r="E9" s="43"/>
      <c r="F9" s="44"/>
      <c r="G9" s="44"/>
      <c r="H9" s="44"/>
      <c r="I9" s="44"/>
      <c r="J9" s="44"/>
      <c r="K9" s="44"/>
      <c r="L9" s="44"/>
      <c r="M9" s="45"/>
    </row>
    <row r="10" spans="2:16" s="6" customFormat="1" ht="15" customHeight="1" x14ac:dyDescent="0.25">
      <c r="B10" s="42"/>
      <c r="C10" s="43" t="s">
        <v>146</v>
      </c>
      <c r="D10" s="43"/>
      <c r="E10" s="43"/>
      <c r="G10" s="99" t="str">
        <f>+IF(FamAnual!$E$47="","",FamAnual!$E$47)</f>
        <v/>
      </c>
      <c r="H10" s="99"/>
      <c r="I10" s="99"/>
      <c r="J10" s="99"/>
      <c r="K10" s="99"/>
      <c r="L10" s="99"/>
      <c r="M10" s="45"/>
    </row>
    <row r="11" spans="2:16" s="6" customFormat="1" ht="3" customHeight="1" x14ac:dyDescent="0.25">
      <c r="B11" s="42"/>
      <c r="C11" s="43"/>
      <c r="D11" s="43"/>
      <c r="E11" s="43"/>
      <c r="F11" s="43"/>
      <c r="G11" s="43"/>
      <c r="H11" s="43"/>
      <c r="I11" s="43"/>
      <c r="J11" s="43"/>
      <c r="K11" s="43"/>
      <c r="L11" s="43"/>
      <c r="M11" s="45"/>
    </row>
    <row r="12" spans="2:16" s="6" customFormat="1" ht="15" customHeight="1" x14ac:dyDescent="0.25">
      <c r="B12" s="42"/>
      <c r="C12" s="43" t="s">
        <v>147</v>
      </c>
      <c r="D12" s="43"/>
      <c r="E12" s="43"/>
      <c r="G12" s="99" t="str">
        <f>+IF(FamAnual!$E$49="","",FamAnual!$E$49)</f>
        <v/>
      </c>
      <c r="H12" s="99"/>
      <c r="I12" s="99"/>
      <c r="J12" s="99"/>
      <c r="K12" s="99"/>
      <c r="L12" s="99"/>
      <c r="M12" s="45"/>
    </row>
    <row r="13" spans="2:16" s="6" customFormat="1" ht="3" customHeight="1" x14ac:dyDescent="0.25">
      <c r="B13" s="42"/>
      <c r="C13" s="43"/>
      <c r="D13" s="43"/>
      <c r="E13" s="43"/>
      <c r="F13" s="43"/>
      <c r="G13" s="43"/>
      <c r="H13" s="43"/>
      <c r="I13" s="43"/>
      <c r="J13" s="43"/>
      <c r="K13" s="43"/>
      <c r="L13" s="43"/>
      <c r="M13" s="45"/>
    </row>
    <row r="14" spans="2:16" ht="15" customHeight="1" x14ac:dyDescent="0.25">
      <c r="B14" s="33"/>
      <c r="C14" s="43" t="s">
        <v>16</v>
      </c>
      <c r="E14" s="47" t="str">
        <f>+IF(FamAnual!$E$50="","",FamAnual!$E$50)</f>
        <v>C</v>
      </c>
      <c r="G14" s="44" t="s">
        <v>148</v>
      </c>
      <c r="H14" s="47" t="str">
        <f>+FamAnual!$D$48&amp;IF(FamAnual!$D$48=0,""," AÑOS")</f>
        <v/>
      </c>
      <c r="I14" s="46"/>
      <c r="J14" s="44" t="s">
        <v>106</v>
      </c>
      <c r="K14" s="101">
        <f ca="1">+FamAnual!$G$38</f>
        <v>43103</v>
      </c>
      <c r="L14" s="102"/>
      <c r="M14" s="34"/>
      <c r="P14" s="46"/>
    </row>
    <row r="15" spans="2:16" ht="5.25" customHeight="1" thickBot="1" x14ac:dyDescent="0.3">
      <c r="B15" s="36"/>
      <c r="C15" s="37"/>
      <c r="D15" s="37"/>
      <c r="E15" s="37"/>
      <c r="F15" s="37"/>
      <c r="G15" s="37"/>
      <c r="H15" s="37"/>
      <c r="I15" s="37"/>
      <c r="J15" s="37"/>
      <c r="K15" s="37"/>
      <c r="L15" s="37"/>
      <c r="M15" s="38"/>
    </row>
    <row r="16" spans="2:16" ht="7.5" customHeight="1" thickTop="1" thickBot="1" x14ac:dyDescent="0.3"/>
    <row r="17" spans="2:13" ht="5.25" customHeight="1" thickTop="1" x14ac:dyDescent="0.25">
      <c r="B17" s="30"/>
      <c r="C17" s="31"/>
      <c r="D17" s="31"/>
      <c r="E17" s="31"/>
      <c r="F17" s="31"/>
      <c r="G17" s="31"/>
      <c r="H17" s="31"/>
      <c r="I17" s="31"/>
      <c r="J17" s="31"/>
      <c r="K17" s="31"/>
      <c r="L17" s="31"/>
      <c r="M17" s="32"/>
    </row>
    <row r="18" spans="2:13" ht="15" customHeight="1" x14ac:dyDescent="0.25">
      <c r="B18" s="33"/>
      <c r="C18" s="49" t="s">
        <v>149</v>
      </c>
      <c r="D18" s="3"/>
      <c r="E18" s="3"/>
      <c r="F18" s="3"/>
      <c r="G18" s="3"/>
      <c r="H18" s="3"/>
      <c r="I18" s="3"/>
      <c r="J18" s="3"/>
      <c r="K18" s="3"/>
      <c r="L18" s="3"/>
      <c r="M18" s="34"/>
    </row>
    <row r="19" spans="2:13" ht="15" customHeight="1" x14ac:dyDescent="0.25">
      <c r="B19" s="33"/>
      <c r="C19" s="3"/>
      <c r="D19" s="3"/>
      <c r="E19" s="3"/>
      <c r="F19" s="3"/>
      <c r="G19" s="3"/>
      <c r="H19" s="3"/>
      <c r="I19" s="3"/>
      <c r="J19" s="3"/>
      <c r="K19" s="3"/>
      <c r="L19" s="3"/>
      <c r="M19" s="34"/>
    </row>
    <row r="20" spans="2:13" ht="15" customHeight="1" x14ac:dyDescent="0.25">
      <c r="B20" s="33"/>
      <c r="C20" s="39" t="s">
        <v>119</v>
      </c>
      <c r="D20" s="97" t="s">
        <v>120</v>
      </c>
      <c r="E20" s="97"/>
      <c r="F20" s="97"/>
      <c r="G20" s="97"/>
      <c r="H20" s="97"/>
      <c r="I20" s="97"/>
      <c r="J20" s="70" t="s">
        <v>124</v>
      </c>
      <c r="K20" s="139" t="s">
        <v>121</v>
      </c>
      <c r="L20" s="140"/>
      <c r="M20" s="34"/>
    </row>
    <row r="21" spans="2:13" ht="12" customHeight="1" x14ac:dyDescent="0.25">
      <c r="B21" s="33"/>
      <c r="C21" s="40" t="str">
        <f>+IF(FamAnual!D67="","",FamAnual!C67)</f>
        <v/>
      </c>
      <c r="D21" s="123" t="str">
        <f>+IF(FamAnual!D67="","",FamAnual!D67)</f>
        <v/>
      </c>
      <c r="E21" s="124"/>
      <c r="F21" s="124"/>
      <c r="G21" s="124"/>
      <c r="H21" s="124"/>
      <c r="I21" s="125"/>
      <c r="J21" s="2" t="str">
        <f>+IF(FamAnual!F67="","",FamAnual!F67)</f>
        <v/>
      </c>
      <c r="K21" s="137" t="str">
        <f>+IF(FamAnual!F67="","",FamAnual!G67)</f>
        <v/>
      </c>
      <c r="L21" s="138" t="str">
        <f>+IF(FamAnual!H67="","",FamAnual!H67)</f>
        <v/>
      </c>
      <c r="M21" s="34"/>
    </row>
    <row r="22" spans="2:13" ht="12" customHeight="1" x14ac:dyDescent="0.25">
      <c r="B22" s="33"/>
      <c r="C22" s="40" t="str">
        <f>+IF(FamAnual!D68="","",FamAnual!C68)</f>
        <v/>
      </c>
      <c r="D22" s="123" t="str">
        <f>+IF(FamAnual!D68="","",FamAnual!D68)</f>
        <v/>
      </c>
      <c r="E22" s="124"/>
      <c r="F22" s="124"/>
      <c r="G22" s="124"/>
      <c r="H22" s="124"/>
      <c r="I22" s="125"/>
      <c r="J22" s="2" t="str">
        <f>+IF(FamAnual!F68="","",FamAnual!F68)</f>
        <v/>
      </c>
      <c r="K22" s="137" t="str">
        <f>+IF(FamAnual!F68="","",FamAnual!G68)</f>
        <v/>
      </c>
      <c r="L22" s="138" t="str">
        <f>+IF(FamAnual!H68="","",FamAnual!H68)</f>
        <v/>
      </c>
      <c r="M22" s="34"/>
    </row>
    <row r="23" spans="2:13" ht="12" customHeight="1" x14ac:dyDescent="0.25">
      <c r="B23" s="33"/>
      <c r="C23" s="40" t="str">
        <f>+IF(FamAnual!D69="","",FamAnual!C69)</f>
        <v/>
      </c>
      <c r="D23" s="123" t="str">
        <f>+IF(FamAnual!D69="","",FamAnual!D69)</f>
        <v/>
      </c>
      <c r="E23" s="124"/>
      <c r="F23" s="124"/>
      <c r="G23" s="124"/>
      <c r="H23" s="124"/>
      <c r="I23" s="125"/>
      <c r="J23" s="2" t="str">
        <f>+IF(FamAnual!F69="","",FamAnual!F69)</f>
        <v/>
      </c>
      <c r="K23" s="137" t="str">
        <f>+IF(FamAnual!F69="","",FamAnual!G69)</f>
        <v/>
      </c>
      <c r="L23" s="138" t="str">
        <f>+IF(FamAnual!H69="","",FamAnual!H69)</f>
        <v/>
      </c>
      <c r="M23" s="34"/>
    </row>
    <row r="24" spans="2:13" ht="12" customHeight="1" x14ac:dyDescent="0.25">
      <c r="B24" s="33"/>
      <c r="C24" s="40" t="str">
        <f>+IF(FamAnual!D70="","",FamAnual!C70)</f>
        <v/>
      </c>
      <c r="D24" s="123" t="str">
        <f>+IF(FamAnual!D70="","",FamAnual!D70)</f>
        <v/>
      </c>
      <c r="E24" s="124"/>
      <c r="F24" s="124"/>
      <c r="G24" s="124"/>
      <c r="H24" s="124"/>
      <c r="I24" s="125"/>
      <c r="J24" s="2" t="str">
        <f>+IF(FamAnual!F70="","",FamAnual!F70)</f>
        <v/>
      </c>
      <c r="K24" s="137" t="str">
        <f>+IF(FamAnual!F70="","",FamAnual!G70)</f>
        <v/>
      </c>
      <c r="L24" s="138" t="str">
        <f>+IF(FamAnual!H70="","",FamAnual!H70)</f>
        <v/>
      </c>
      <c r="M24" s="34"/>
    </row>
    <row r="25" spans="2:13" ht="12" customHeight="1" x14ac:dyDescent="0.25">
      <c r="B25" s="33"/>
      <c r="C25" s="40" t="str">
        <f>+IF(FamAnual!D71="","",FamAnual!C71)</f>
        <v/>
      </c>
      <c r="D25" s="123" t="str">
        <f>+IF(FamAnual!D71="","",FamAnual!D71)</f>
        <v/>
      </c>
      <c r="E25" s="124"/>
      <c r="F25" s="124"/>
      <c r="G25" s="124"/>
      <c r="H25" s="124"/>
      <c r="I25" s="125"/>
      <c r="J25" s="2" t="str">
        <f>+IF(FamAnual!F71="","",FamAnual!F71)</f>
        <v/>
      </c>
      <c r="K25" s="137" t="str">
        <f>+IF(FamAnual!F71="","",FamAnual!G71)</f>
        <v/>
      </c>
      <c r="L25" s="138" t="str">
        <f>+IF(FamAnual!H71="","",FamAnual!H71)</f>
        <v/>
      </c>
      <c r="M25" s="34"/>
    </row>
    <row r="26" spans="2:13" ht="12" customHeight="1" x14ac:dyDescent="0.25">
      <c r="B26" s="33"/>
      <c r="C26" s="40" t="str">
        <f>+IF(FamAnual!D72="","",FamAnual!C72)</f>
        <v/>
      </c>
      <c r="D26" s="123" t="str">
        <f>+IF(FamAnual!D72="","",FamAnual!D72)</f>
        <v/>
      </c>
      <c r="E26" s="124"/>
      <c r="F26" s="124"/>
      <c r="G26" s="124"/>
      <c r="H26" s="124"/>
      <c r="I26" s="125"/>
      <c r="J26" s="2" t="str">
        <f>+IF(FamAnual!F72="","",FamAnual!F72)</f>
        <v/>
      </c>
      <c r="K26" s="137" t="str">
        <f>+IF(FamAnual!F72="","",FamAnual!G72)</f>
        <v/>
      </c>
      <c r="L26" s="138" t="str">
        <f>+IF(FamAnual!H72="","",FamAnual!H72)</f>
        <v/>
      </c>
      <c r="M26" s="34"/>
    </row>
    <row r="27" spans="2:13" ht="12" customHeight="1" x14ac:dyDescent="0.25">
      <c r="B27" s="33"/>
      <c r="C27" s="40" t="str">
        <f>+IF(FamAnual!D73="","",FamAnual!C73)</f>
        <v/>
      </c>
      <c r="D27" s="123" t="str">
        <f>+IF(FamAnual!D73="","",FamAnual!D73)</f>
        <v/>
      </c>
      <c r="E27" s="124"/>
      <c r="F27" s="124"/>
      <c r="G27" s="124"/>
      <c r="H27" s="124"/>
      <c r="I27" s="125"/>
      <c r="J27" s="2" t="str">
        <f>+IF(FamAnual!F73="","",FamAnual!F73)</f>
        <v/>
      </c>
      <c r="K27" s="137" t="str">
        <f>+IF(FamAnual!F73="","",FamAnual!G73)</f>
        <v/>
      </c>
      <c r="L27" s="138" t="str">
        <f>+IF(FamAnual!H73="","",FamAnual!H73)</f>
        <v/>
      </c>
      <c r="M27" s="34"/>
    </row>
    <row r="28" spans="2:13" ht="12" customHeight="1" x14ac:dyDescent="0.25">
      <c r="B28" s="33"/>
      <c r="C28" s="40" t="str">
        <f>+IF(FamAnual!D74="","",FamAnual!C74)</f>
        <v/>
      </c>
      <c r="D28" s="123" t="str">
        <f>+IF(FamAnual!D74="","",FamAnual!D74)</f>
        <v/>
      </c>
      <c r="E28" s="124"/>
      <c r="F28" s="124"/>
      <c r="G28" s="124"/>
      <c r="H28" s="124"/>
      <c r="I28" s="125"/>
      <c r="J28" s="2" t="str">
        <f>+IF(FamAnual!F74="","",FamAnual!F74)</f>
        <v/>
      </c>
      <c r="K28" s="137" t="str">
        <f>+IF(FamAnual!F74="","",FamAnual!G74)</f>
        <v/>
      </c>
      <c r="L28" s="138" t="str">
        <f>+IF(FamAnual!H74="","",FamAnual!H74)</f>
        <v/>
      </c>
      <c r="M28" s="34"/>
    </row>
    <row r="29" spans="2:13" ht="12" customHeight="1" x14ac:dyDescent="0.25">
      <c r="B29" s="33"/>
      <c r="C29" s="40" t="str">
        <f>+IF(FamAnual!D75="","",FamAnual!C75)</f>
        <v/>
      </c>
      <c r="D29" s="123" t="str">
        <f>+IF(FamAnual!D75="","",FamAnual!D75)</f>
        <v/>
      </c>
      <c r="E29" s="124"/>
      <c r="F29" s="124"/>
      <c r="G29" s="124"/>
      <c r="H29" s="124"/>
      <c r="I29" s="125"/>
      <c r="J29" s="2" t="str">
        <f>+IF(FamAnual!F75="","",FamAnual!F75)</f>
        <v/>
      </c>
      <c r="K29" s="137" t="str">
        <f>+IF(FamAnual!F75="","",FamAnual!G75)</f>
        <v/>
      </c>
      <c r="L29" s="138" t="str">
        <f>+IF(FamAnual!H75="","",FamAnual!H75)</f>
        <v/>
      </c>
      <c r="M29" s="34"/>
    </row>
    <row r="30" spans="2:13" ht="12" customHeight="1" x14ac:dyDescent="0.25">
      <c r="B30" s="33"/>
      <c r="C30" s="40" t="str">
        <f>+IF(FamAnual!D76="","",FamAnual!C76)</f>
        <v/>
      </c>
      <c r="D30" s="123" t="str">
        <f>+IF(FamAnual!D76="","",FamAnual!D76)</f>
        <v/>
      </c>
      <c r="E30" s="124"/>
      <c r="F30" s="124"/>
      <c r="G30" s="124"/>
      <c r="H30" s="124"/>
      <c r="I30" s="125"/>
      <c r="J30" s="2" t="str">
        <f>+IF(FamAnual!F76="","",FamAnual!F76)</f>
        <v/>
      </c>
      <c r="K30" s="137" t="str">
        <f>+IF(FamAnual!F76="","",FamAnual!G76)</f>
        <v/>
      </c>
      <c r="L30" s="138" t="str">
        <f>+IF(FamAnual!H76="","",FamAnual!H76)</f>
        <v/>
      </c>
      <c r="M30" s="34"/>
    </row>
    <row r="31" spans="2:13" ht="5.25" customHeight="1" thickBot="1" x14ac:dyDescent="0.3">
      <c r="B31" s="36"/>
      <c r="C31" s="37"/>
      <c r="D31" s="37"/>
      <c r="E31" s="37"/>
      <c r="F31" s="37"/>
      <c r="G31" s="37"/>
      <c r="H31" s="37"/>
      <c r="I31" s="37"/>
      <c r="J31" s="37"/>
      <c r="K31" s="37"/>
      <c r="L31" s="37"/>
      <c r="M31" s="38"/>
    </row>
    <row r="32" spans="2:13" ht="7.5" customHeight="1" thickTop="1" thickBot="1" x14ac:dyDescent="0.3"/>
    <row r="33" spans="2:13" ht="5.25" customHeight="1" thickTop="1" x14ac:dyDescent="0.25">
      <c r="B33" s="30"/>
      <c r="C33" s="31"/>
      <c r="D33" s="31"/>
      <c r="E33" s="31"/>
      <c r="F33" s="31"/>
      <c r="G33" s="31"/>
      <c r="H33" s="31"/>
      <c r="I33" s="31"/>
      <c r="J33" s="31"/>
      <c r="K33" s="31"/>
      <c r="L33" s="31"/>
      <c r="M33" s="32"/>
    </row>
    <row r="34" spans="2:13" ht="15" customHeight="1" x14ac:dyDescent="0.25">
      <c r="B34" s="33"/>
      <c r="C34" s="49" t="s">
        <v>87</v>
      </c>
      <c r="D34" s="3"/>
      <c r="E34" s="3"/>
      <c r="F34" s="3"/>
      <c r="G34" s="3"/>
      <c r="H34" s="3"/>
      <c r="I34" s="3"/>
      <c r="J34" s="3"/>
      <c r="K34" s="3"/>
      <c r="L34" s="3"/>
      <c r="M34" s="34"/>
    </row>
    <row r="35" spans="2:13" ht="15" customHeight="1" x14ac:dyDescent="0.25">
      <c r="B35" s="33"/>
      <c r="C35" s="3"/>
      <c r="D35" s="3"/>
      <c r="E35" s="3"/>
      <c r="F35" s="3"/>
      <c r="G35" s="3"/>
      <c r="H35" s="3"/>
      <c r="I35" s="3"/>
      <c r="J35" s="3"/>
      <c r="K35" s="3"/>
      <c r="L35" s="3"/>
      <c r="M35" s="34"/>
    </row>
    <row r="36" spans="2:13" ht="15" customHeight="1" x14ac:dyDescent="0.25">
      <c r="B36" s="33"/>
      <c r="C36" s="43" t="s">
        <v>88</v>
      </c>
      <c r="D36" s="3"/>
      <c r="E36" s="99" t="str">
        <f>+IF(FamAnual!$E$54="","",FamAnual!$E$54)</f>
        <v/>
      </c>
      <c r="F36" s="99"/>
      <c r="G36" s="99"/>
      <c r="H36" s="99"/>
      <c r="I36" s="99"/>
      <c r="J36" s="99"/>
      <c r="K36" s="99"/>
      <c r="L36" s="99"/>
      <c r="M36" s="34"/>
    </row>
    <row r="37" spans="2:13" s="6" customFormat="1" ht="3" customHeight="1" x14ac:dyDescent="0.25">
      <c r="B37" s="42"/>
      <c r="C37" s="43"/>
      <c r="D37" s="43"/>
      <c r="E37" s="43"/>
      <c r="F37" s="44"/>
      <c r="G37" s="44"/>
      <c r="H37" s="44"/>
      <c r="I37" s="44"/>
      <c r="J37" s="44"/>
      <c r="K37" s="44"/>
      <c r="L37" s="44"/>
      <c r="M37" s="45"/>
    </row>
    <row r="38" spans="2:13" ht="15" customHeight="1" x14ac:dyDescent="0.25">
      <c r="B38" s="33"/>
      <c r="C38" s="43" t="s">
        <v>89</v>
      </c>
      <c r="D38" s="3"/>
      <c r="E38" s="99" t="str">
        <f>+IF(FamAnual!$E$55="","",FamAnual!$E$55)</f>
        <v/>
      </c>
      <c r="F38" s="99"/>
      <c r="G38" s="3"/>
      <c r="H38" s="3"/>
      <c r="I38" s="44" t="s">
        <v>19</v>
      </c>
      <c r="J38" s="99" t="str">
        <f>+IF(FamAnual!$E$56="","",FamAnual!$E$56)</f>
        <v/>
      </c>
      <c r="K38" s="99"/>
      <c r="L38" s="99"/>
      <c r="M38" s="34"/>
    </row>
    <row r="39" spans="2:13" ht="5.25" customHeight="1" thickBot="1" x14ac:dyDescent="0.3">
      <c r="B39" s="36"/>
      <c r="C39" s="37"/>
      <c r="D39" s="37"/>
      <c r="E39" s="37"/>
      <c r="F39" s="37"/>
      <c r="G39" s="37"/>
      <c r="H39" s="37"/>
      <c r="I39" s="37"/>
      <c r="J39" s="37"/>
      <c r="K39" s="37"/>
      <c r="L39" s="37"/>
      <c r="M39" s="38"/>
    </row>
    <row r="40" spans="2:13" ht="7.5" customHeight="1" thickTop="1" thickBot="1" x14ac:dyDescent="0.3"/>
    <row r="41" spans="2:13" ht="5.25" customHeight="1" thickTop="1" x14ac:dyDescent="0.25">
      <c r="B41" s="30"/>
      <c r="C41" s="31"/>
      <c r="D41" s="31"/>
      <c r="E41" s="31"/>
      <c r="F41" s="31"/>
      <c r="G41" s="31"/>
      <c r="H41" s="31"/>
      <c r="I41" s="31"/>
      <c r="J41" s="31"/>
      <c r="K41" s="31"/>
      <c r="L41" s="31"/>
      <c r="M41" s="32"/>
    </row>
    <row r="42" spans="2:13" ht="15" customHeight="1" x14ac:dyDescent="0.25">
      <c r="B42" s="33"/>
      <c r="C42" s="92" t="s">
        <v>92</v>
      </c>
      <c r="D42" s="92"/>
      <c r="E42" s="92"/>
      <c r="F42" s="92"/>
      <c r="G42" s="92"/>
      <c r="H42" s="92"/>
      <c r="I42" s="92"/>
      <c r="J42" s="92"/>
      <c r="K42" s="92"/>
      <c r="L42" s="92"/>
      <c r="M42" s="34"/>
    </row>
    <row r="43" spans="2:13" ht="15" customHeight="1" x14ac:dyDescent="0.25">
      <c r="B43" s="33"/>
      <c r="C43" s="92"/>
      <c r="D43" s="92"/>
      <c r="E43" s="92"/>
      <c r="F43" s="92"/>
      <c r="G43" s="92"/>
      <c r="H43" s="92"/>
      <c r="I43" s="92"/>
      <c r="J43" s="92"/>
      <c r="K43" s="92"/>
      <c r="L43" s="92"/>
      <c r="M43" s="34"/>
    </row>
    <row r="44" spans="2:13" ht="3" customHeight="1" x14ac:dyDescent="0.25">
      <c r="B44" s="33"/>
      <c r="C44" s="3"/>
      <c r="D44" s="3"/>
      <c r="E44" s="3"/>
      <c r="F44" s="3"/>
      <c r="G44" s="3"/>
      <c r="H44" s="3"/>
      <c r="I44" s="3"/>
      <c r="J44" s="3"/>
      <c r="K44" s="3"/>
      <c r="L44" s="3"/>
      <c r="M44" s="34"/>
    </row>
    <row r="45" spans="2:13" ht="15" customHeight="1" x14ac:dyDescent="0.25">
      <c r="B45" s="33"/>
      <c r="C45" s="92" t="str">
        <f ca="1">+"Por ello, servimos presentar la cotización generada el "&amp;DAY(TODAY())&amp;" de "&amp;VLOOKUP(MONTH(TODAY()),Tarifas!$B$9:$C$20,2,FALSE)&amp;" de "&amp;YEAR(TODAY())&amp;", correspondiente al ramo de Accidentes Personales Familiar de acuerdo con las siguientes condiciones:"</f>
        <v>Por ello, servimos presentar la cotización generada el 3 de Enero de 2018, correspondiente al ramo de Accidentes Personales Familiar de acuerdo con las siguientes condiciones:</v>
      </c>
      <c r="D45" s="92"/>
      <c r="E45" s="92"/>
      <c r="F45" s="92"/>
      <c r="G45" s="92"/>
      <c r="H45" s="92"/>
      <c r="I45" s="92"/>
      <c r="J45" s="92"/>
      <c r="K45" s="92"/>
      <c r="L45" s="92"/>
      <c r="M45" s="34"/>
    </row>
    <row r="46" spans="2:13" ht="15" customHeight="1" x14ac:dyDescent="0.25">
      <c r="B46" s="33"/>
      <c r="C46" s="92"/>
      <c r="D46" s="92"/>
      <c r="E46" s="92"/>
      <c r="F46" s="92"/>
      <c r="G46" s="92"/>
      <c r="H46" s="92"/>
      <c r="I46" s="92"/>
      <c r="J46" s="92"/>
      <c r="K46" s="92"/>
      <c r="L46" s="92"/>
      <c r="M46" s="34"/>
    </row>
    <row r="47" spans="2:13" ht="5.25" customHeight="1" thickBot="1" x14ac:dyDescent="0.3">
      <c r="B47" s="36"/>
      <c r="C47" s="37"/>
      <c r="D47" s="37"/>
      <c r="E47" s="37"/>
      <c r="F47" s="37"/>
      <c r="G47" s="37"/>
      <c r="H47" s="37"/>
      <c r="I47" s="37"/>
      <c r="J47" s="37"/>
      <c r="K47" s="37"/>
      <c r="L47" s="37"/>
      <c r="M47" s="38"/>
    </row>
    <row r="48" spans="2:13" ht="7.5" customHeight="1" thickTop="1" thickBot="1" x14ac:dyDescent="0.3"/>
    <row r="49" spans="2:13" ht="5.25" customHeight="1" thickTop="1" x14ac:dyDescent="0.25">
      <c r="B49" s="30"/>
      <c r="C49" s="31"/>
      <c r="D49" s="31"/>
      <c r="E49" s="31"/>
      <c r="F49" s="31"/>
      <c r="G49" s="31"/>
      <c r="H49" s="31"/>
      <c r="I49" s="31"/>
      <c r="J49" s="31"/>
      <c r="K49" s="31"/>
      <c r="L49" s="31"/>
      <c r="M49" s="32"/>
    </row>
    <row r="50" spans="2:13" ht="15" customHeight="1" x14ac:dyDescent="0.25">
      <c r="B50" s="33"/>
      <c r="C50" s="49" t="s">
        <v>90</v>
      </c>
      <c r="D50" s="3"/>
      <c r="E50" s="3"/>
      <c r="F50" s="3"/>
      <c r="G50" s="3"/>
      <c r="H50" s="3"/>
      <c r="I50" s="3"/>
      <c r="J50" s="3"/>
      <c r="K50" s="3"/>
      <c r="L50" s="3"/>
      <c r="M50" s="34"/>
    </row>
    <row r="51" spans="2:13" ht="15" customHeight="1" x14ac:dyDescent="0.25">
      <c r="B51" s="33"/>
      <c r="C51" s="3"/>
      <c r="D51" s="3"/>
      <c r="E51" s="3"/>
      <c r="F51" s="3"/>
      <c r="G51" s="3"/>
      <c r="H51" s="3"/>
      <c r="I51" s="3"/>
      <c r="J51" s="3"/>
      <c r="K51" s="3"/>
      <c r="L51" s="3"/>
      <c r="M51" s="34"/>
    </row>
    <row r="52" spans="2:13" ht="15" customHeight="1" x14ac:dyDescent="0.2">
      <c r="B52" s="33"/>
      <c r="C52" s="51" t="s">
        <v>91</v>
      </c>
      <c r="D52" s="92" t="s">
        <v>144</v>
      </c>
      <c r="E52" s="92"/>
      <c r="F52" s="92"/>
      <c r="G52" s="92"/>
      <c r="H52" s="92"/>
      <c r="I52" s="92"/>
      <c r="J52" s="92"/>
      <c r="K52" s="92"/>
      <c r="L52" s="92"/>
      <c r="M52" s="34"/>
    </row>
    <row r="53" spans="2:13" ht="15" customHeight="1" x14ac:dyDescent="0.25">
      <c r="B53" s="33"/>
      <c r="C53" s="3"/>
      <c r="D53" s="92"/>
      <c r="E53" s="92"/>
      <c r="F53" s="92"/>
      <c r="G53" s="92"/>
      <c r="H53" s="92"/>
      <c r="I53" s="92"/>
      <c r="J53" s="92"/>
      <c r="K53" s="92"/>
      <c r="L53" s="92"/>
      <c r="M53" s="34"/>
    </row>
    <row r="54" spans="2:13" ht="15" customHeight="1" x14ac:dyDescent="0.2">
      <c r="B54" s="33"/>
      <c r="C54" s="51" t="s">
        <v>91</v>
      </c>
      <c r="D54" s="92" t="s">
        <v>143</v>
      </c>
      <c r="E54" s="92"/>
      <c r="F54" s="92"/>
      <c r="G54" s="92"/>
      <c r="H54" s="92"/>
      <c r="I54" s="92"/>
      <c r="J54" s="92"/>
      <c r="K54" s="92"/>
      <c r="L54" s="92"/>
      <c r="M54" s="34"/>
    </row>
    <row r="55" spans="2:13" ht="15" customHeight="1" x14ac:dyDescent="0.2">
      <c r="B55" s="33"/>
      <c r="C55" s="51"/>
      <c r="D55" s="92"/>
      <c r="E55" s="92"/>
      <c r="F55" s="92"/>
      <c r="G55" s="92"/>
      <c r="H55" s="92"/>
      <c r="I55" s="92"/>
      <c r="J55" s="92"/>
      <c r="K55" s="92"/>
      <c r="L55" s="92"/>
      <c r="M55" s="34"/>
    </row>
    <row r="56" spans="2:13" ht="15" customHeight="1" x14ac:dyDescent="0.25">
      <c r="B56" s="33"/>
      <c r="C56" s="3"/>
      <c r="D56" s="92"/>
      <c r="E56" s="92"/>
      <c r="F56" s="92"/>
      <c r="G56" s="92"/>
      <c r="H56" s="92"/>
      <c r="I56" s="92"/>
      <c r="J56" s="92"/>
      <c r="K56" s="92"/>
      <c r="L56" s="92"/>
      <c r="M56" s="34"/>
    </row>
    <row r="57" spans="2:13" ht="15" customHeight="1" x14ac:dyDescent="0.2">
      <c r="B57" s="33"/>
      <c r="C57" s="51" t="s">
        <v>91</v>
      </c>
      <c r="D57" s="92" t="s">
        <v>142</v>
      </c>
      <c r="E57" s="92"/>
      <c r="F57" s="92"/>
      <c r="G57" s="92"/>
      <c r="H57" s="92"/>
      <c r="I57" s="92"/>
      <c r="J57" s="92"/>
      <c r="K57" s="92"/>
      <c r="L57" s="92"/>
      <c r="M57" s="34"/>
    </row>
    <row r="58" spans="2:13" ht="15" customHeight="1" x14ac:dyDescent="0.25">
      <c r="B58" s="33"/>
      <c r="C58" s="3"/>
      <c r="D58" s="92"/>
      <c r="E58" s="92"/>
      <c r="F58" s="92"/>
      <c r="G58" s="92"/>
      <c r="H58" s="92"/>
      <c r="I58" s="92"/>
      <c r="J58" s="92"/>
      <c r="K58" s="92"/>
      <c r="L58" s="92"/>
      <c r="M58" s="34"/>
    </row>
    <row r="59" spans="2:13" ht="15" customHeight="1" x14ac:dyDescent="0.2">
      <c r="B59" s="33"/>
      <c r="C59" s="51" t="s">
        <v>91</v>
      </c>
      <c r="D59" s="92" t="s">
        <v>94</v>
      </c>
      <c r="E59" s="92"/>
      <c r="F59" s="92"/>
      <c r="G59" s="92"/>
      <c r="H59" s="92"/>
      <c r="I59" s="92"/>
      <c r="J59" s="92"/>
      <c r="K59" s="92"/>
      <c r="L59" s="92"/>
      <c r="M59" s="34"/>
    </row>
    <row r="60" spans="2:13" ht="15" customHeight="1" x14ac:dyDescent="0.25">
      <c r="B60" s="33"/>
      <c r="C60" s="3"/>
      <c r="D60" s="92"/>
      <c r="E60" s="92"/>
      <c r="F60" s="92"/>
      <c r="G60" s="92"/>
      <c r="H60" s="92"/>
      <c r="I60" s="92"/>
      <c r="J60" s="92"/>
      <c r="K60" s="92"/>
      <c r="L60" s="92"/>
      <c r="M60" s="34"/>
    </row>
    <row r="61" spans="2:13" ht="15" customHeight="1" x14ac:dyDescent="0.25">
      <c r="B61" s="33"/>
      <c r="C61" s="3"/>
      <c r="D61" s="92"/>
      <c r="E61" s="92"/>
      <c r="F61" s="92"/>
      <c r="G61" s="92"/>
      <c r="H61" s="92"/>
      <c r="I61" s="92"/>
      <c r="J61" s="92"/>
      <c r="K61" s="92"/>
      <c r="L61" s="92"/>
      <c r="M61" s="34"/>
    </row>
    <row r="62" spans="2:13" ht="15" customHeight="1" x14ac:dyDescent="0.25">
      <c r="B62" s="33"/>
      <c r="C62" s="3"/>
      <c r="D62" s="92"/>
      <c r="E62" s="92"/>
      <c r="F62" s="92"/>
      <c r="G62" s="92"/>
      <c r="H62" s="92"/>
      <c r="I62" s="92"/>
      <c r="J62" s="92"/>
      <c r="K62" s="92"/>
      <c r="L62" s="92"/>
      <c r="M62" s="34"/>
    </row>
    <row r="63" spans="2:13" ht="5.25" customHeight="1" thickBot="1" x14ac:dyDescent="0.3">
      <c r="B63" s="36"/>
      <c r="C63" s="37"/>
      <c r="D63" s="37"/>
      <c r="E63" s="37"/>
      <c r="F63" s="37"/>
      <c r="G63" s="37"/>
      <c r="H63" s="37"/>
      <c r="I63" s="37"/>
      <c r="J63" s="37"/>
      <c r="K63" s="37"/>
      <c r="L63" s="37"/>
      <c r="M63" s="38"/>
    </row>
    <row r="64" spans="2:13" ht="7.5" customHeight="1" thickTop="1" thickBot="1" x14ac:dyDescent="0.3"/>
    <row r="65" spans="2:13" ht="5.25" customHeight="1" thickTop="1" x14ac:dyDescent="0.25">
      <c r="B65" s="30"/>
      <c r="C65" s="31"/>
      <c r="D65" s="31"/>
      <c r="E65" s="31"/>
      <c r="F65" s="31"/>
      <c r="G65" s="31"/>
      <c r="H65" s="31"/>
      <c r="I65" s="31"/>
      <c r="J65" s="31"/>
      <c r="K65" s="31"/>
      <c r="L65" s="31"/>
      <c r="M65" s="32"/>
    </row>
    <row r="66" spans="2:13" ht="15" customHeight="1" x14ac:dyDescent="0.25">
      <c r="B66" s="33"/>
      <c r="C66" s="49" t="s">
        <v>95</v>
      </c>
      <c r="D66" s="3"/>
      <c r="E66" s="3"/>
      <c r="F66" s="3"/>
      <c r="G66" s="3"/>
      <c r="H66" s="3"/>
      <c r="I66" s="3"/>
      <c r="J66" s="3"/>
      <c r="K66" s="3"/>
      <c r="L66" s="3"/>
      <c r="M66" s="34"/>
    </row>
    <row r="67" spans="2:13" ht="15" customHeight="1" x14ac:dyDescent="0.25">
      <c r="B67" s="33"/>
      <c r="C67" s="3"/>
      <c r="D67" s="3"/>
      <c r="E67" s="3"/>
      <c r="F67" s="3"/>
      <c r="G67" s="3"/>
      <c r="H67" s="3"/>
      <c r="I67" s="3"/>
      <c r="J67" s="3"/>
      <c r="K67" s="3"/>
      <c r="L67" s="3"/>
      <c r="M67" s="34"/>
    </row>
    <row r="68" spans="2:13" ht="15" customHeight="1" x14ac:dyDescent="0.2">
      <c r="B68" s="33"/>
      <c r="C68" s="53" t="s">
        <v>96</v>
      </c>
      <c r="D68" s="92" t="s">
        <v>97</v>
      </c>
      <c r="E68" s="92"/>
      <c r="F68" s="92"/>
      <c r="G68" s="92"/>
      <c r="H68" s="92"/>
      <c r="I68" s="92"/>
      <c r="J68" s="92"/>
      <c r="K68" s="92"/>
      <c r="L68" s="92"/>
      <c r="M68" s="34"/>
    </row>
    <row r="69" spans="2:13" ht="15" customHeight="1" x14ac:dyDescent="0.25">
      <c r="B69" s="33"/>
      <c r="C69" s="3"/>
      <c r="D69" s="92"/>
      <c r="E69" s="92"/>
      <c r="F69" s="92"/>
      <c r="G69" s="92"/>
      <c r="H69" s="92"/>
      <c r="I69" s="92"/>
      <c r="J69" s="92"/>
      <c r="K69" s="92"/>
      <c r="L69" s="92"/>
      <c r="M69" s="34"/>
    </row>
    <row r="70" spans="2:13" ht="15" customHeight="1" x14ac:dyDescent="0.2">
      <c r="B70" s="33"/>
      <c r="C70" s="53" t="s">
        <v>96</v>
      </c>
      <c r="D70" s="92" t="s">
        <v>98</v>
      </c>
      <c r="E70" s="92"/>
      <c r="F70" s="92"/>
      <c r="G70" s="92"/>
      <c r="H70" s="92"/>
      <c r="I70" s="92"/>
      <c r="J70" s="92"/>
      <c r="K70" s="92"/>
      <c r="L70" s="92"/>
      <c r="M70" s="34"/>
    </row>
    <row r="71" spans="2:13" ht="15" customHeight="1" x14ac:dyDescent="0.25">
      <c r="B71" s="33"/>
      <c r="C71" s="3"/>
      <c r="D71" s="92"/>
      <c r="E71" s="92"/>
      <c r="F71" s="92"/>
      <c r="G71" s="92"/>
      <c r="H71" s="92"/>
      <c r="I71" s="92"/>
      <c r="J71" s="92"/>
      <c r="K71" s="92"/>
      <c r="L71" s="92"/>
      <c r="M71" s="34"/>
    </row>
    <row r="72" spans="2:13" ht="15" customHeight="1" x14ac:dyDescent="0.25">
      <c r="B72" s="33"/>
      <c r="C72" s="52" t="s">
        <v>96</v>
      </c>
      <c r="D72" s="93" t="s">
        <v>99</v>
      </c>
      <c r="E72" s="93"/>
      <c r="F72" s="93"/>
      <c r="G72" s="93"/>
      <c r="H72" s="93"/>
      <c r="I72" s="93"/>
      <c r="J72" s="93"/>
      <c r="K72" s="93"/>
      <c r="L72" s="93"/>
      <c r="M72" s="34"/>
    </row>
    <row r="73" spans="2:13" ht="15" customHeight="1" x14ac:dyDescent="0.2">
      <c r="B73" s="33"/>
      <c r="C73" s="53" t="s">
        <v>96</v>
      </c>
      <c r="D73" s="92" t="s">
        <v>100</v>
      </c>
      <c r="E73" s="92"/>
      <c r="F73" s="92"/>
      <c r="G73" s="92"/>
      <c r="H73" s="92"/>
      <c r="I73" s="92"/>
      <c r="J73" s="92"/>
      <c r="K73" s="92"/>
      <c r="L73" s="92"/>
      <c r="M73" s="34"/>
    </row>
    <row r="74" spans="2:13" ht="15" customHeight="1" x14ac:dyDescent="0.25">
      <c r="B74" s="33"/>
      <c r="C74" s="52"/>
      <c r="D74" s="92"/>
      <c r="E74" s="92"/>
      <c r="F74" s="92"/>
      <c r="G74" s="92"/>
      <c r="H74" s="92"/>
      <c r="I74" s="92"/>
      <c r="J74" s="92"/>
      <c r="K74" s="92"/>
      <c r="L74" s="92"/>
      <c r="M74" s="34"/>
    </row>
    <row r="75" spans="2:13" ht="15" customHeight="1" x14ac:dyDescent="0.2">
      <c r="B75" s="33"/>
      <c r="C75" s="53" t="s">
        <v>96</v>
      </c>
      <c r="D75" s="92" t="s">
        <v>101</v>
      </c>
      <c r="E75" s="92"/>
      <c r="F75" s="92"/>
      <c r="G75" s="92"/>
      <c r="H75" s="92"/>
      <c r="I75" s="92"/>
      <c r="J75" s="92"/>
      <c r="K75" s="92"/>
      <c r="L75" s="92"/>
      <c r="M75" s="34"/>
    </row>
    <row r="76" spans="2:13" ht="15" customHeight="1" x14ac:dyDescent="0.25">
      <c r="B76" s="33"/>
      <c r="C76" s="3"/>
      <c r="D76" s="92"/>
      <c r="E76" s="92"/>
      <c r="F76" s="92"/>
      <c r="G76" s="92"/>
      <c r="H76" s="92"/>
      <c r="I76" s="92"/>
      <c r="J76" s="92"/>
      <c r="K76" s="92"/>
      <c r="L76" s="92"/>
      <c r="M76" s="34"/>
    </row>
    <row r="77" spans="2:13" ht="15" customHeight="1" x14ac:dyDescent="0.25">
      <c r="B77" s="33"/>
      <c r="C77" s="52" t="s">
        <v>96</v>
      </c>
      <c r="D77" s="93" t="s">
        <v>102</v>
      </c>
      <c r="E77" s="93"/>
      <c r="F77" s="93"/>
      <c r="G77" s="93"/>
      <c r="H77" s="93"/>
      <c r="I77" s="93"/>
      <c r="J77" s="93"/>
      <c r="K77" s="93"/>
      <c r="L77" s="93"/>
      <c r="M77" s="34"/>
    </row>
    <row r="78" spans="2:13" ht="5.25" customHeight="1" thickBot="1" x14ac:dyDescent="0.3">
      <c r="B78" s="36"/>
      <c r="C78" s="37"/>
      <c r="D78" s="37"/>
      <c r="E78" s="37"/>
      <c r="F78" s="37"/>
      <c r="G78" s="37"/>
      <c r="H78" s="37"/>
      <c r="I78" s="37"/>
      <c r="J78" s="37"/>
      <c r="K78" s="37"/>
      <c r="L78" s="37"/>
      <c r="M78" s="38"/>
    </row>
    <row r="79" spans="2:13" ht="7.5" customHeight="1" thickTop="1" thickBot="1" x14ac:dyDescent="0.3">
      <c r="D79" s="54"/>
      <c r="E79" s="54"/>
      <c r="F79" s="54"/>
      <c r="G79" s="54"/>
      <c r="H79" s="54"/>
      <c r="I79" s="54"/>
      <c r="J79" s="54"/>
      <c r="K79" s="54"/>
      <c r="L79" s="54"/>
    </row>
    <row r="80" spans="2:13" ht="5.25" customHeight="1" thickTop="1" x14ac:dyDescent="0.25">
      <c r="B80" s="30"/>
      <c r="C80" s="31"/>
      <c r="D80" s="31"/>
      <c r="E80" s="31"/>
      <c r="F80" s="31"/>
      <c r="G80" s="31"/>
      <c r="H80" s="31"/>
      <c r="I80" s="31"/>
      <c r="J80" s="31"/>
      <c r="K80" s="31"/>
      <c r="L80" s="31"/>
      <c r="M80" s="32"/>
    </row>
    <row r="81" spans="2:13" ht="15" customHeight="1" x14ac:dyDescent="0.25">
      <c r="B81" s="33"/>
      <c r="C81" s="49" t="s">
        <v>62</v>
      </c>
      <c r="D81" s="3"/>
      <c r="E81" s="3"/>
      <c r="F81" s="3"/>
      <c r="G81" s="3"/>
      <c r="H81" s="3"/>
      <c r="I81" s="3"/>
      <c r="J81" s="3"/>
      <c r="K81" s="3"/>
      <c r="L81" s="3"/>
      <c r="M81" s="34"/>
    </row>
    <row r="82" spans="2:13" ht="15" customHeight="1" x14ac:dyDescent="0.25">
      <c r="B82" s="33"/>
      <c r="C82" s="3"/>
      <c r="D82" s="3"/>
      <c r="E82" s="3"/>
      <c r="F82" s="3"/>
      <c r="G82" s="3"/>
      <c r="H82" s="3"/>
      <c r="I82" s="3"/>
      <c r="J82" s="3"/>
      <c r="K82" s="3"/>
      <c r="L82" s="3"/>
      <c r="M82" s="34"/>
    </row>
    <row r="83" spans="2:13" ht="15" customHeight="1" x14ac:dyDescent="0.25">
      <c r="B83" s="33"/>
      <c r="C83" s="35" t="s">
        <v>154</v>
      </c>
      <c r="D83" s="3"/>
      <c r="E83" s="3"/>
      <c r="F83" s="3"/>
      <c r="G83" s="3"/>
      <c r="H83" s="3"/>
      <c r="I83" s="3"/>
      <c r="J83" s="3"/>
      <c r="K83" s="3"/>
      <c r="L83" s="3"/>
      <c r="M83" s="34"/>
    </row>
    <row r="84" spans="2:13" ht="7.5" customHeight="1" x14ac:dyDescent="0.25">
      <c r="B84" s="33"/>
      <c r="C84" s="3"/>
      <c r="D84" s="3"/>
      <c r="E84" s="3"/>
      <c r="F84" s="3"/>
      <c r="G84" s="3"/>
      <c r="H84" s="3"/>
      <c r="I84" s="3"/>
      <c r="J84" s="3"/>
      <c r="K84" s="3"/>
      <c r="L84" s="3"/>
      <c r="M84" s="34"/>
    </row>
    <row r="85" spans="2:13" ht="15" customHeight="1" x14ac:dyDescent="0.25">
      <c r="B85" s="33"/>
      <c r="C85" s="3"/>
      <c r="D85" s="97" t="s">
        <v>0</v>
      </c>
      <c r="E85" s="97"/>
      <c r="F85" s="97"/>
      <c r="G85" s="97"/>
      <c r="H85" s="97"/>
      <c r="I85" s="97"/>
      <c r="J85" s="105" t="s">
        <v>60</v>
      </c>
      <c r="K85" s="105"/>
      <c r="L85" s="3"/>
      <c r="M85" s="34"/>
    </row>
    <row r="86" spans="2:13" ht="15" customHeight="1" x14ac:dyDescent="0.25">
      <c r="B86" s="33"/>
      <c r="C86" s="3"/>
      <c r="D86" s="97"/>
      <c r="E86" s="97"/>
      <c r="F86" s="97"/>
      <c r="G86" s="97"/>
      <c r="H86" s="97"/>
      <c r="I86" s="97"/>
      <c r="J86" s="105"/>
      <c r="K86" s="105"/>
      <c r="L86" s="3"/>
      <c r="M86" s="34"/>
    </row>
    <row r="87" spans="2:13" ht="15" customHeight="1" x14ac:dyDescent="0.25">
      <c r="B87" s="33"/>
      <c r="C87" s="3"/>
      <c r="D87" s="97"/>
      <c r="E87" s="97"/>
      <c r="F87" s="97"/>
      <c r="G87" s="97"/>
      <c r="H87" s="97"/>
      <c r="I87" s="97"/>
      <c r="J87" s="105"/>
      <c r="K87" s="105"/>
      <c r="L87" s="3"/>
      <c r="M87" s="34"/>
    </row>
    <row r="88" spans="2:13" ht="15" customHeight="1" x14ac:dyDescent="0.25">
      <c r="B88" s="33"/>
      <c r="C88" s="3"/>
      <c r="D88" s="127" t="s">
        <v>150</v>
      </c>
      <c r="E88" s="123" t="s">
        <v>11</v>
      </c>
      <c r="F88" s="124"/>
      <c r="G88" s="124"/>
      <c r="H88" s="124"/>
      <c r="I88" s="125"/>
      <c r="J88" s="98" t="str">
        <f ca="1">+IF(FamAnual!$J$32&gt;0,"",FamAnual!$F$83)</f>
        <v/>
      </c>
      <c r="K88" s="98"/>
      <c r="L88" s="3"/>
      <c r="M88" s="34"/>
    </row>
    <row r="89" spans="2:13" ht="15" customHeight="1" x14ac:dyDescent="0.25">
      <c r="B89" s="33"/>
      <c r="C89" s="3"/>
      <c r="D89" s="129"/>
      <c r="E89" s="131" t="s">
        <v>23</v>
      </c>
      <c r="F89" s="132"/>
      <c r="G89" s="133"/>
      <c r="H89" s="95" t="s">
        <v>24</v>
      </c>
      <c r="I89" s="95"/>
      <c r="J89" s="104" t="str">
        <f ca="1">+IF(FamAnual!$J$32&gt;0,"",FamAnual!$F$85)</f>
        <v/>
      </c>
      <c r="K89" s="104"/>
      <c r="L89" s="3"/>
      <c r="M89" s="34"/>
    </row>
    <row r="90" spans="2:13" ht="15" customHeight="1" x14ac:dyDescent="0.25">
      <c r="B90" s="33"/>
      <c r="C90" s="3"/>
      <c r="D90" s="129"/>
      <c r="E90" s="134"/>
      <c r="F90" s="135"/>
      <c r="G90" s="136"/>
      <c r="H90" s="2" t="s">
        <v>57</v>
      </c>
      <c r="I90" s="2"/>
      <c r="J90" s="98" t="str">
        <f ca="1">+IF(FamAnual!$J$32&gt;0,"",FamAnual!$F$84)</f>
        <v/>
      </c>
      <c r="K90" s="98"/>
      <c r="L90" s="3"/>
      <c r="M90" s="34"/>
    </row>
    <row r="91" spans="2:13" ht="15" customHeight="1" x14ac:dyDescent="0.25">
      <c r="B91" s="33"/>
      <c r="C91" s="3"/>
      <c r="D91" s="130"/>
      <c r="E91" s="123" t="s">
        <v>59</v>
      </c>
      <c r="F91" s="124"/>
      <c r="G91" s="124"/>
      <c r="H91" s="124"/>
      <c r="I91" s="125"/>
      <c r="J91" s="98" t="str">
        <f ca="1">+IF(FamAnual!$J$32&gt;0,"",FamAnual!$F$86)</f>
        <v/>
      </c>
      <c r="K91" s="98"/>
      <c r="L91" s="3"/>
      <c r="M91" s="34"/>
    </row>
    <row r="92" spans="2:13" ht="5.25" customHeight="1" thickBot="1" x14ac:dyDescent="0.3">
      <c r="B92" s="36"/>
      <c r="C92" s="37"/>
      <c r="D92" s="37"/>
      <c r="E92" s="37"/>
      <c r="F92" s="37"/>
      <c r="G92" s="37"/>
      <c r="H92" s="37"/>
      <c r="I92" s="37"/>
      <c r="J92" s="37"/>
      <c r="K92" s="37"/>
      <c r="L92" s="37"/>
      <c r="M92" s="38"/>
    </row>
    <row r="93" spans="2:13" ht="7.5" customHeight="1" thickTop="1" thickBot="1" x14ac:dyDescent="0.3">
      <c r="D93" s="54"/>
      <c r="E93" s="54"/>
      <c r="F93" s="54"/>
      <c r="G93" s="54"/>
      <c r="H93" s="54"/>
      <c r="I93" s="54"/>
      <c r="J93" s="54"/>
      <c r="K93" s="54"/>
      <c r="L93" s="54"/>
    </row>
    <row r="94" spans="2:13" ht="5.25" customHeight="1" thickTop="1" x14ac:dyDescent="0.25">
      <c r="B94" s="30"/>
      <c r="C94" s="31"/>
      <c r="D94" s="31"/>
      <c r="E94" s="31"/>
      <c r="F94" s="31"/>
      <c r="G94" s="31"/>
      <c r="H94" s="31"/>
      <c r="I94" s="31"/>
      <c r="J94" s="31"/>
      <c r="K94" s="31"/>
      <c r="L94" s="31"/>
      <c r="M94" s="32"/>
    </row>
    <row r="95" spans="2:13" ht="15" customHeight="1" x14ac:dyDescent="0.25">
      <c r="B95" s="33"/>
      <c r="C95" s="49" t="s">
        <v>62</v>
      </c>
      <c r="D95" s="3"/>
      <c r="E95" s="3"/>
      <c r="F95" s="3"/>
      <c r="G95" s="3"/>
      <c r="H95" s="3"/>
      <c r="I95" s="3"/>
      <c r="J95" s="41"/>
      <c r="K95" s="41"/>
      <c r="L95" s="3"/>
      <c r="M95" s="34"/>
    </row>
    <row r="96" spans="2:13" ht="15" customHeight="1" x14ac:dyDescent="0.25">
      <c r="B96" s="33"/>
      <c r="C96" s="3"/>
      <c r="D96" s="3"/>
      <c r="E96" s="3"/>
      <c r="F96" s="3"/>
      <c r="G96" s="3"/>
      <c r="H96" s="3"/>
      <c r="I96" s="3"/>
      <c r="J96" s="41"/>
      <c r="K96" s="41"/>
      <c r="L96" s="3"/>
      <c r="M96" s="34"/>
    </row>
    <row r="97" spans="2:13" ht="15" customHeight="1" x14ac:dyDescent="0.25">
      <c r="B97" s="33"/>
      <c r="C97" s="35" t="s">
        <v>155</v>
      </c>
      <c r="D97" s="3"/>
      <c r="E97" s="3"/>
      <c r="F97" s="3"/>
      <c r="G97" s="3"/>
      <c r="H97" s="3"/>
      <c r="I97" s="3"/>
      <c r="J97" s="41"/>
      <c r="K97" s="41"/>
      <c r="L97" s="3"/>
      <c r="M97" s="34"/>
    </row>
    <row r="98" spans="2:13" ht="7.5" customHeight="1" x14ac:dyDescent="0.25">
      <c r="B98" s="33"/>
      <c r="C98" s="3"/>
      <c r="D98" s="3"/>
      <c r="E98" s="3"/>
      <c r="F98" s="3"/>
      <c r="G98" s="3"/>
      <c r="H98" s="3"/>
      <c r="I98" s="3"/>
      <c r="J98" s="3"/>
      <c r="K98" s="3"/>
      <c r="L98" s="3"/>
      <c r="M98" s="34"/>
    </row>
    <row r="99" spans="2:13" ht="15" customHeight="1" x14ac:dyDescent="0.25">
      <c r="B99" s="33"/>
      <c r="C99" s="3"/>
      <c r="D99" s="97" t="s">
        <v>0</v>
      </c>
      <c r="E99" s="97"/>
      <c r="F99" s="97"/>
      <c r="G99" s="97"/>
      <c r="H99" s="97"/>
      <c r="I99" s="97"/>
      <c r="J99" s="105" t="s">
        <v>60</v>
      </c>
      <c r="K99" s="105"/>
      <c r="L99" s="3"/>
      <c r="M99" s="34"/>
    </row>
    <row r="100" spans="2:13" ht="15" customHeight="1" x14ac:dyDescent="0.25">
      <c r="B100" s="33"/>
      <c r="C100" s="3"/>
      <c r="D100" s="97"/>
      <c r="E100" s="97"/>
      <c r="F100" s="97"/>
      <c r="G100" s="97"/>
      <c r="H100" s="97"/>
      <c r="I100" s="97"/>
      <c r="J100" s="105"/>
      <c r="K100" s="105"/>
      <c r="L100" s="3"/>
      <c r="M100" s="34"/>
    </row>
    <row r="101" spans="2:13" ht="15" customHeight="1" x14ac:dyDescent="0.25">
      <c r="B101" s="33"/>
      <c r="C101" s="3"/>
      <c r="D101" s="97"/>
      <c r="E101" s="97"/>
      <c r="F101" s="97"/>
      <c r="G101" s="97"/>
      <c r="H101" s="97"/>
      <c r="I101" s="97"/>
      <c r="J101" s="105"/>
      <c r="K101" s="105"/>
      <c r="L101" s="3"/>
      <c r="M101" s="34"/>
    </row>
    <row r="102" spans="2:13" ht="15" customHeight="1" x14ac:dyDescent="0.25">
      <c r="B102" s="33"/>
      <c r="C102" s="3"/>
      <c r="D102" s="127" t="s">
        <v>151</v>
      </c>
      <c r="E102" s="123" t="s">
        <v>152</v>
      </c>
      <c r="F102" s="124"/>
      <c r="G102" s="124"/>
      <c r="H102" s="124"/>
      <c r="I102" s="125"/>
      <c r="J102" s="98" t="str">
        <f>+IF(FamAnual!$K$32=0,"",FamAnual!$F$87)</f>
        <v/>
      </c>
      <c r="K102" s="98"/>
      <c r="L102" s="3"/>
      <c r="M102" s="34"/>
    </row>
    <row r="103" spans="2:13" ht="15" customHeight="1" x14ac:dyDescent="0.25">
      <c r="B103" s="33"/>
      <c r="C103" s="3"/>
      <c r="D103" s="128"/>
      <c r="E103" s="123" t="s">
        <v>153</v>
      </c>
      <c r="F103" s="124"/>
      <c r="G103" s="124"/>
      <c r="H103" s="124"/>
      <c r="I103" s="125"/>
      <c r="J103" s="98" t="str">
        <f>+IF(FamAnual!$K$32=0,"",FamAnual!$F$88)</f>
        <v/>
      </c>
      <c r="K103" s="98"/>
      <c r="L103" s="3"/>
      <c r="M103" s="34"/>
    </row>
    <row r="104" spans="2:13" ht="15" customHeight="1" x14ac:dyDescent="0.25">
      <c r="B104" s="33"/>
      <c r="C104" s="3"/>
      <c r="D104" s="129"/>
      <c r="E104" s="131" t="s">
        <v>23</v>
      </c>
      <c r="F104" s="132"/>
      <c r="G104" s="133"/>
      <c r="H104" s="95" t="s">
        <v>24</v>
      </c>
      <c r="I104" s="95"/>
      <c r="J104" s="104" t="str">
        <f>+IF(FamAnual!$K$32=0,"",FamAnual!$F$90)</f>
        <v/>
      </c>
      <c r="K104" s="104"/>
      <c r="L104" s="3"/>
      <c r="M104" s="34"/>
    </row>
    <row r="105" spans="2:13" ht="15" customHeight="1" x14ac:dyDescent="0.25">
      <c r="B105" s="33"/>
      <c r="C105" s="3"/>
      <c r="D105" s="129"/>
      <c r="E105" s="134"/>
      <c r="F105" s="135"/>
      <c r="G105" s="136"/>
      <c r="H105" s="2" t="s">
        <v>57</v>
      </c>
      <c r="I105" s="2"/>
      <c r="J105" s="98" t="str">
        <f>+IF(FamAnual!$K$32=0,"",FamAnual!$F$89)</f>
        <v/>
      </c>
      <c r="K105" s="98"/>
      <c r="L105" s="3"/>
      <c r="M105" s="34"/>
    </row>
    <row r="106" spans="2:13" ht="15" customHeight="1" x14ac:dyDescent="0.25">
      <c r="B106" s="33"/>
      <c r="C106" s="3"/>
      <c r="D106" s="130"/>
      <c r="E106" s="123" t="s">
        <v>59</v>
      </c>
      <c r="F106" s="124"/>
      <c r="G106" s="124"/>
      <c r="H106" s="124"/>
      <c r="I106" s="125"/>
      <c r="J106" s="98" t="str">
        <f>+IF(FamAnual!$K$32=0,"",FamAnual!$F$91)</f>
        <v/>
      </c>
      <c r="K106" s="98"/>
      <c r="L106" s="3"/>
      <c r="M106" s="34"/>
    </row>
    <row r="107" spans="2:13" ht="15" customHeight="1" x14ac:dyDescent="0.25">
      <c r="B107" s="33"/>
      <c r="C107" s="3"/>
      <c r="D107" s="3"/>
      <c r="E107" s="3"/>
      <c r="F107" s="3"/>
      <c r="G107" s="3"/>
      <c r="H107" s="3"/>
      <c r="I107" s="3"/>
      <c r="J107" s="41"/>
      <c r="K107" s="41"/>
      <c r="L107" s="3"/>
      <c r="M107" s="34"/>
    </row>
    <row r="108" spans="2:13" ht="15" customHeight="1" x14ac:dyDescent="0.25">
      <c r="B108" s="33"/>
      <c r="C108" s="35" t="s">
        <v>63</v>
      </c>
      <c r="D108" s="3"/>
      <c r="E108" s="3"/>
      <c r="F108" s="3"/>
      <c r="G108" s="3"/>
      <c r="H108" s="3"/>
      <c r="I108" s="3"/>
      <c r="J108" s="3"/>
      <c r="K108" s="3"/>
      <c r="L108" s="3"/>
      <c r="M108" s="34"/>
    </row>
    <row r="109" spans="2:13" ht="7.5" customHeight="1" x14ac:dyDescent="0.25">
      <c r="B109" s="33"/>
      <c r="C109" s="3"/>
      <c r="D109" s="3"/>
      <c r="E109" s="3"/>
      <c r="F109" s="3"/>
      <c r="G109" s="3"/>
      <c r="H109" s="3"/>
      <c r="I109" s="3"/>
      <c r="J109" s="3"/>
      <c r="K109" s="3"/>
      <c r="L109" s="3"/>
      <c r="M109" s="34"/>
    </row>
    <row r="110" spans="2:13" ht="15" customHeight="1" x14ac:dyDescent="0.25">
      <c r="B110" s="33"/>
      <c r="C110" s="3"/>
      <c r="D110" s="3"/>
      <c r="E110" s="97" t="s">
        <v>67</v>
      </c>
      <c r="F110" s="97"/>
      <c r="G110" s="97"/>
      <c r="H110" s="97" t="s">
        <v>68</v>
      </c>
      <c r="I110" s="97"/>
      <c r="J110" s="97"/>
      <c r="K110" s="3"/>
      <c r="L110" s="3"/>
      <c r="M110" s="34"/>
    </row>
    <row r="111" spans="2:13" ht="15" customHeight="1" x14ac:dyDescent="0.25">
      <c r="B111" s="33"/>
      <c r="C111" s="3"/>
      <c r="D111" s="3"/>
      <c r="E111" s="97"/>
      <c r="F111" s="97"/>
      <c r="G111" s="97"/>
      <c r="H111" s="97"/>
      <c r="I111" s="97"/>
      <c r="J111" s="97"/>
      <c r="K111" s="3"/>
      <c r="L111" s="3"/>
      <c r="M111" s="34"/>
    </row>
    <row r="112" spans="2:13" ht="15" customHeight="1" x14ac:dyDescent="0.25">
      <c r="B112" s="33"/>
      <c r="C112" s="3"/>
      <c r="D112" s="3"/>
      <c r="E112" s="97"/>
      <c r="F112" s="97"/>
      <c r="G112" s="97"/>
      <c r="H112" s="97"/>
      <c r="I112" s="97"/>
      <c r="J112" s="97"/>
      <c r="K112" s="3"/>
      <c r="L112" s="3"/>
      <c r="M112" s="34"/>
    </row>
    <row r="113" spans="2:16" ht="15" customHeight="1" x14ac:dyDescent="0.25">
      <c r="B113" s="33"/>
      <c r="C113" s="3"/>
      <c r="D113" s="3"/>
      <c r="E113" s="95" t="s">
        <v>51</v>
      </c>
      <c r="F113" s="95"/>
      <c r="G113" s="95"/>
      <c r="H113" s="98" t="str">
        <f>+IF(FamAnual!$E$48=0,"",FamAnual!$M$85)</f>
        <v/>
      </c>
      <c r="I113" s="98"/>
      <c r="J113" s="98"/>
      <c r="K113" s="3"/>
      <c r="L113" s="3"/>
      <c r="M113" s="34"/>
    </row>
    <row r="114" spans="2:16" ht="15" customHeight="1" x14ac:dyDescent="0.25">
      <c r="B114" s="33"/>
      <c r="C114" s="3"/>
      <c r="D114" s="3"/>
      <c r="E114" s="95" t="s">
        <v>69</v>
      </c>
      <c r="F114" s="95"/>
      <c r="G114" s="95"/>
      <c r="H114" s="98" t="str">
        <f>+IF(FamAnual!$E$48=0,"",FamAnual!$M$86)</f>
        <v/>
      </c>
      <c r="I114" s="98"/>
      <c r="J114" s="98"/>
      <c r="K114" s="3"/>
      <c r="L114" s="3"/>
      <c r="M114" s="34"/>
    </row>
    <row r="115" spans="2:16" ht="15" customHeight="1" x14ac:dyDescent="0.25">
      <c r="B115" s="33"/>
      <c r="C115" s="3"/>
      <c r="D115" s="3"/>
      <c r="E115" s="95" t="s">
        <v>64</v>
      </c>
      <c r="F115" s="95"/>
      <c r="G115" s="95"/>
      <c r="H115" s="98" t="str">
        <f>+IF(FamAnual!$E$48=0,"",FamAnual!$M$87)</f>
        <v/>
      </c>
      <c r="I115" s="98"/>
      <c r="J115" s="98"/>
      <c r="K115" s="3"/>
      <c r="L115" s="3"/>
      <c r="M115" s="34"/>
    </row>
    <row r="116" spans="2:16" ht="15" customHeight="1" x14ac:dyDescent="0.25">
      <c r="B116" s="33"/>
      <c r="C116" s="3"/>
      <c r="D116" s="3"/>
      <c r="E116" s="95" t="s">
        <v>65</v>
      </c>
      <c r="F116" s="95"/>
      <c r="G116" s="95"/>
      <c r="H116" s="98" t="str">
        <f>+IF(FamAnual!$E$48=0,"",FamAnual!$M$88)</f>
        <v/>
      </c>
      <c r="I116" s="98"/>
      <c r="J116" s="98"/>
      <c r="K116" s="3"/>
      <c r="L116" s="3"/>
      <c r="M116" s="34"/>
    </row>
    <row r="117" spans="2:16" ht="15" customHeight="1" x14ac:dyDescent="0.25">
      <c r="B117" s="33"/>
      <c r="C117" s="3"/>
      <c r="D117" s="3"/>
      <c r="E117" s="96" t="s">
        <v>66</v>
      </c>
      <c r="F117" s="96"/>
      <c r="G117" s="96"/>
      <c r="H117" s="103" t="str">
        <f>+IF(FamAnual!$E$48=0,"",FamAnual!$M$89)</f>
        <v/>
      </c>
      <c r="I117" s="103"/>
      <c r="J117" s="103"/>
      <c r="K117" s="3"/>
      <c r="L117" s="3"/>
      <c r="M117" s="34"/>
    </row>
    <row r="118" spans="2:16" ht="5.25" customHeight="1" thickBot="1" x14ac:dyDescent="0.3">
      <c r="B118" s="36"/>
      <c r="C118" s="37"/>
      <c r="D118" s="37"/>
      <c r="E118" s="37"/>
      <c r="F118" s="37"/>
      <c r="G118" s="37"/>
      <c r="H118" s="37"/>
      <c r="I118" s="37"/>
      <c r="J118" s="37"/>
      <c r="K118" s="37"/>
      <c r="L118" s="37"/>
      <c r="M118" s="38"/>
    </row>
    <row r="119" spans="2:16" ht="7.5" customHeight="1" thickTop="1" x14ac:dyDescent="0.25"/>
    <row r="120" spans="2:16" ht="24" customHeight="1" thickBot="1" x14ac:dyDescent="0.3"/>
    <row r="121" spans="2:16" ht="5.25" customHeight="1" thickTop="1" x14ac:dyDescent="0.25">
      <c r="B121" s="30"/>
      <c r="C121" s="31"/>
      <c r="D121" s="31"/>
      <c r="E121" s="31"/>
      <c r="F121" s="31"/>
      <c r="G121" s="31"/>
      <c r="H121" s="31"/>
      <c r="I121" s="31"/>
      <c r="J121" s="31"/>
      <c r="K121" s="31"/>
      <c r="L121" s="31"/>
      <c r="M121" s="32"/>
    </row>
    <row r="122" spans="2:16" ht="15" customHeight="1" x14ac:dyDescent="0.25">
      <c r="B122" s="33"/>
      <c r="C122" s="49" t="s">
        <v>104</v>
      </c>
      <c r="D122" s="3"/>
      <c r="E122" s="3"/>
      <c r="F122" s="3"/>
      <c r="G122" s="3"/>
      <c r="H122" s="3"/>
      <c r="I122" s="3"/>
      <c r="J122" s="3"/>
      <c r="K122" s="3"/>
      <c r="L122" s="3"/>
      <c r="M122" s="34"/>
    </row>
    <row r="123" spans="2:16" ht="15" customHeight="1" x14ac:dyDescent="0.25">
      <c r="B123" s="33"/>
      <c r="C123" s="3"/>
      <c r="D123" s="3"/>
      <c r="E123" s="3"/>
      <c r="F123" s="3"/>
      <c r="G123" s="3"/>
      <c r="H123" s="3"/>
      <c r="I123" s="3"/>
      <c r="J123" s="3"/>
      <c r="K123" s="3"/>
      <c r="L123" s="3"/>
      <c r="M123" s="34"/>
    </row>
    <row r="124" spans="2:16" ht="15" customHeight="1" x14ac:dyDescent="0.2">
      <c r="B124" s="33"/>
      <c r="C124" s="51" t="s">
        <v>103</v>
      </c>
      <c r="D124" s="92" t="s">
        <v>166</v>
      </c>
      <c r="E124" s="92"/>
      <c r="F124" s="92"/>
      <c r="G124" s="92"/>
      <c r="H124" s="92"/>
      <c r="I124" s="92"/>
      <c r="J124" s="92"/>
      <c r="K124" s="92"/>
      <c r="L124" s="92"/>
      <c r="M124" s="34"/>
      <c r="P124" s="50"/>
    </row>
    <row r="125" spans="2:16" ht="15" customHeight="1" x14ac:dyDescent="0.2">
      <c r="B125" s="33"/>
      <c r="C125" s="51" t="s">
        <v>103</v>
      </c>
      <c r="D125" s="94" t="s">
        <v>105</v>
      </c>
      <c r="E125" s="94"/>
      <c r="F125" s="94"/>
      <c r="G125" s="94"/>
      <c r="H125" s="94"/>
      <c r="I125" s="94"/>
      <c r="J125" s="94"/>
      <c r="K125" s="94"/>
      <c r="L125" s="94"/>
      <c r="M125" s="34"/>
    </row>
    <row r="126" spans="2:16" ht="15" customHeight="1" x14ac:dyDescent="0.25">
      <c r="B126" s="33"/>
      <c r="C126" s="3"/>
      <c r="D126" s="94"/>
      <c r="E126" s="94"/>
      <c r="F126" s="94"/>
      <c r="G126" s="94"/>
      <c r="H126" s="94"/>
      <c r="I126" s="94"/>
      <c r="J126" s="94"/>
      <c r="K126" s="94"/>
      <c r="L126" s="94"/>
      <c r="M126" s="34"/>
    </row>
    <row r="127" spans="2:16" ht="15" customHeight="1" x14ac:dyDescent="0.25">
      <c r="B127" s="33"/>
      <c r="C127" s="50" t="s">
        <v>103</v>
      </c>
      <c r="D127" s="92" t="s">
        <v>108</v>
      </c>
      <c r="E127" s="92"/>
      <c r="F127" s="92"/>
      <c r="G127" s="92"/>
      <c r="H127" s="92"/>
      <c r="I127" s="92"/>
      <c r="J127" s="92"/>
      <c r="K127" s="92"/>
      <c r="L127" s="92"/>
      <c r="M127" s="34"/>
    </row>
    <row r="128" spans="2:16" ht="15" customHeight="1" x14ac:dyDescent="0.25">
      <c r="B128" s="33"/>
      <c r="C128" s="50" t="s">
        <v>103</v>
      </c>
      <c r="D128" s="92" t="s">
        <v>109</v>
      </c>
      <c r="E128" s="92"/>
      <c r="F128" s="92"/>
      <c r="G128" s="92"/>
      <c r="H128" s="92"/>
      <c r="I128" s="92"/>
      <c r="J128" s="92"/>
      <c r="K128" s="92"/>
      <c r="L128" s="92"/>
      <c r="M128" s="34"/>
    </row>
    <row r="129" spans="2:13" ht="15" customHeight="1" x14ac:dyDescent="0.25">
      <c r="B129" s="33"/>
      <c r="C129" s="50" t="s">
        <v>103</v>
      </c>
      <c r="D129" s="92" t="s">
        <v>158</v>
      </c>
      <c r="E129" s="92"/>
      <c r="F129" s="92"/>
      <c r="G129" s="92"/>
      <c r="H129" s="92"/>
      <c r="I129" s="92"/>
      <c r="J129" s="92"/>
      <c r="K129" s="92"/>
      <c r="L129" s="92"/>
      <c r="M129" s="34"/>
    </row>
    <row r="130" spans="2:13" ht="5.25" customHeight="1" thickBot="1" x14ac:dyDescent="0.3">
      <c r="B130" s="36"/>
      <c r="C130" s="37"/>
      <c r="D130" s="37"/>
      <c r="E130" s="37"/>
      <c r="F130" s="37"/>
      <c r="G130" s="37"/>
      <c r="H130" s="37"/>
      <c r="I130" s="37"/>
      <c r="J130" s="37"/>
      <c r="K130" s="37"/>
      <c r="L130" s="37"/>
      <c r="M130" s="38"/>
    </row>
    <row r="131" spans="2:13" ht="15" customHeight="1" thickTop="1" x14ac:dyDescent="0.25"/>
    <row r="132" spans="2:13" ht="15" customHeight="1" x14ac:dyDescent="0.25">
      <c r="B132" s="126"/>
      <c r="C132" s="126"/>
      <c r="D132" s="126"/>
      <c r="E132" s="126"/>
      <c r="F132" s="126"/>
      <c r="G132" s="126"/>
      <c r="H132" s="126"/>
      <c r="I132" s="126"/>
      <c r="J132" s="126"/>
      <c r="K132" s="126"/>
      <c r="L132" s="126"/>
      <c r="M132" s="126"/>
    </row>
    <row r="133" spans="2:13" ht="15" customHeight="1" x14ac:dyDescent="0.25">
      <c r="B133" s="25"/>
      <c r="C133" s="25"/>
      <c r="D133" s="25"/>
      <c r="E133" s="25"/>
      <c r="F133" s="25"/>
      <c r="G133" s="25"/>
      <c r="H133" s="25"/>
      <c r="I133" s="25"/>
      <c r="J133" s="25"/>
      <c r="K133" s="25"/>
      <c r="L133" s="25"/>
      <c r="M133" s="25"/>
    </row>
    <row r="134" spans="2:13" ht="15" customHeight="1" x14ac:dyDescent="0.25"/>
    <row r="135" spans="2:13" ht="15" customHeight="1" x14ac:dyDescent="0.25"/>
    <row r="136" spans="2:13" ht="15" hidden="1" customHeight="1" x14ac:dyDescent="0.25"/>
    <row r="137" spans="2:13" ht="15" hidden="1" customHeight="1" x14ac:dyDescent="0.25"/>
    <row r="138" spans="2:13" ht="15" customHeight="1" x14ac:dyDescent="0.25"/>
    <row r="139" spans="2:13" ht="15" customHeight="1" x14ac:dyDescent="0.25"/>
    <row r="140" spans="2:13" ht="15" customHeight="1" x14ac:dyDescent="0.25"/>
    <row r="141" spans="2:13" ht="15" customHeight="1" x14ac:dyDescent="0.25"/>
    <row r="142" spans="2:13" ht="15" customHeight="1" x14ac:dyDescent="0.25"/>
    <row r="143" spans="2:13" ht="15" customHeight="1" x14ac:dyDescent="0.25"/>
    <row r="144" spans="2:13" ht="15" customHeight="1" x14ac:dyDescent="0.25"/>
    <row r="145" spans="2:13" ht="15" customHeight="1" x14ac:dyDescent="0.25"/>
    <row r="146" spans="2:13" ht="15" customHeight="1" x14ac:dyDescent="0.25">
      <c r="B146" s="91" t="s">
        <v>110</v>
      </c>
      <c r="C146" s="91"/>
      <c r="D146" s="91"/>
      <c r="E146" s="91"/>
      <c r="F146" s="91"/>
      <c r="G146" s="91"/>
      <c r="H146" s="91"/>
      <c r="I146" s="91"/>
      <c r="J146" s="91"/>
      <c r="K146" s="91"/>
      <c r="L146" s="91"/>
      <c r="M146" s="91"/>
    </row>
    <row r="147" spans="2:13" ht="15" customHeight="1" x14ac:dyDescent="0.25">
      <c r="B147" s="91" t="s">
        <v>111</v>
      </c>
      <c r="C147" s="91"/>
      <c r="D147" s="91"/>
      <c r="E147" s="91"/>
      <c r="F147" s="91"/>
      <c r="G147" s="91"/>
      <c r="H147" s="91"/>
      <c r="I147" s="91"/>
      <c r="J147" s="91"/>
      <c r="K147" s="91"/>
      <c r="L147" s="91"/>
      <c r="M147" s="91"/>
    </row>
    <row r="148" spans="2:13" ht="15" customHeight="1" x14ac:dyDescent="0.25">
      <c r="B148" s="91"/>
      <c r="C148" s="91"/>
      <c r="D148" s="91"/>
      <c r="E148" s="91"/>
      <c r="F148" s="91"/>
      <c r="G148" s="91"/>
      <c r="H148" s="91"/>
      <c r="I148" s="91"/>
      <c r="J148" s="91"/>
      <c r="K148" s="91"/>
      <c r="L148" s="91"/>
      <c r="M148" s="91"/>
    </row>
    <row r="149" spans="2:13" ht="15" hidden="1" customHeight="1" x14ac:dyDescent="0.25"/>
    <row r="150" spans="2:13" ht="15" hidden="1" customHeight="1" x14ac:dyDescent="0.25"/>
    <row r="151" spans="2:13" ht="15" hidden="1" customHeight="1" x14ac:dyDescent="0.25"/>
    <row r="152" spans="2:13" ht="15" hidden="1" customHeight="1" x14ac:dyDescent="0.25"/>
    <row r="153" spans="2:13" ht="15" hidden="1" customHeight="1" x14ac:dyDescent="0.25"/>
    <row r="154" spans="2:13" ht="15" hidden="1" customHeight="1" x14ac:dyDescent="0.25"/>
    <row r="155" spans="2:13" ht="15" hidden="1" customHeight="1" x14ac:dyDescent="0.25"/>
    <row r="156" spans="2:13" ht="15" hidden="1" customHeight="1" x14ac:dyDescent="0.25"/>
    <row r="157" spans="2:13" ht="15" hidden="1" customHeight="1" x14ac:dyDescent="0.25"/>
    <row r="158" spans="2:13" ht="15" hidden="1" customHeight="1" x14ac:dyDescent="0.25"/>
    <row r="159" spans="2:13" ht="15" hidden="1" customHeight="1" x14ac:dyDescent="0.25"/>
    <row r="160" spans="2:13" ht="15" hidden="1" customHeight="1" x14ac:dyDescent="0.25"/>
    <row r="161" ht="15" customHeight="1" x14ac:dyDescent="0.25"/>
    <row r="162" ht="15" customHeight="1" x14ac:dyDescent="0.25"/>
  </sheetData>
  <mergeCells count="88">
    <mergeCell ref="D54:L56"/>
    <mergeCell ref="F6:H6"/>
    <mergeCell ref="J6:L6"/>
    <mergeCell ref="G8:L8"/>
    <mergeCell ref="G10:L10"/>
    <mergeCell ref="G12:L12"/>
    <mergeCell ref="K14:L14"/>
    <mergeCell ref="E36:L36"/>
    <mergeCell ref="E38:F38"/>
    <mergeCell ref="J38:L38"/>
    <mergeCell ref="C42:L43"/>
    <mergeCell ref="C45:L46"/>
    <mergeCell ref="K28:L28"/>
    <mergeCell ref="K29:L29"/>
    <mergeCell ref="K30:L30"/>
    <mergeCell ref="K26:L26"/>
    <mergeCell ref="D99:I101"/>
    <mergeCell ref="D57:L58"/>
    <mergeCell ref="D59:L62"/>
    <mergeCell ref="D68:L69"/>
    <mergeCell ref="D70:L71"/>
    <mergeCell ref="E89:G90"/>
    <mergeCell ref="D73:L74"/>
    <mergeCell ref="D75:L76"/>
    <mergeCell ref="D77:L77"/>
    <mergeCell ref="D85:I87"/>
    <mergeCell ref="J85:K87"/>
    <mergeCell ref="J88:K88"/>
    <mergeCell ref="E88:I88"/>
    <mergeCell ref="D88:D91"/>
    <mergeCell ref="E91:I91"/>
    <mergeCell ref="J91:K91"/>
    <mergeCell ref="H89:I89"/>
    <mergeCell ref="J89:K89"/>
    <mergeCell ref="J90:K90"/>
    <mergeCell ref="H113:J113"/>
    <mergeCell ref="H104:I104"/>
    <mergeCell ref="J104:K104"/>
    <mergeCell ref="J105:K105"/>
    <mergeCell ref="J102:K102"/>
    <mergeCell ref="B148:M148"/>
    <mergeCell ref="D20:I20"/>
    <mergeCell ref="D21:I21"/>
    <mergeCell ref="D22:I22"/>
    <mergeCell ref="D23:I23"/>
    <mergeCell ref="E117:G117"/>
    <mergeCell ref="H117:J117"/>
    <mergeCell ref="D127:L127"/>
    <mergeCell ref="D128:L128"/>
    <mergeCell ref="E114:G114"/>
    <mergeCell ref="H114:J114"/>
    <mergeCell ref="E115:G115"/>
    <mergeCell ref="H115:J115"/>
    <mergeCell ref="E116:G116"/>
    <mergeCell ref="E113:G113"/>
    <mergeCell ref="H110:J112"/>
    <mergeCell ref="D72:L72"/>
    <mergeCell ref="K21:L21"/>
    <mergeCell ref="K20:L20"/>
    <mergeCell ref="K22:L22"/>
    <mergeCell ref="K23:L23"/>
    <mergeCell ref="K24:L24"/>
    <mergeCell ref="D30:I30"/>
    <mergeCell ref="K25:L25"/>
    <mergeCell ref="D24:I24"/>
    <mergeCell ref="D25:I25"/>
    <mergeCell ref="D26:I26"/>
    <mergeCell ref="D27:I27"/>
    <mergeCell ref="D28:I28"/>
    <mergeCell ref="D29:I29"/>
    <mergeCell ref="K27:L27"/>
    <mergeCell ref="D52:L53"/>
    <mergeCell ref="J99:K101"/>
    <mergeCell ref="B147:M147"/>
    <mergeCell ref="J106:K106"/>
    <mergeCell ref="J103:K103"/>
    <mergeCell ref="E103:I103"/>
    <mergeCell ref="E106:I106"/>
    <mergeCell ref="B132:M132"/>
    <mergeCell ref="B146:M146"/>
    <mergeCell ref="D102:D106"/>
    <mergeCell ref="D129:L129"/>
    <mergeCell ref="D125:L126"/>
    <mergeCell ref="D124:L124"/>
    <mergeCell ref="E102:I102"/>
    <mergeCell ref="E104:G105"/>
    <mergeCell ref="E110:G112"/>
    <mergeCell ref="H116:J116"/>
  </mergeCells>
  <pageMargins left="0.31496062992125984" right="0.31496062992125984" top="0.55118110236220474" bottom="0.55118110236220474" header="0.31496062992125984" footer="0.31496062992125984"/>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Q76"/>
  <sheetViews>
    <sheetView showGridLines="0" topLeftCell="A28" workbookViewId="0">
      <selection activeCell="E69" sqref="E69:F69"/>
    </sheetView>
  </sheetViews>
  <sheetFormatPr baseColWidth="10" defaultColWidth="0" defaultRowHeight="15" customHeight="1" zeroHeight="1" x14ac:dyDescent="0.25"/>
  <cols>
    <col min="1" max="1" width="1.7109375" style="8" customWidth="1"/>
    <col min="2" max="2" width="1.7109375" style="7" customWidth="1"/>
    <col min="3" max="3" width="24.5703125" style="7" bestFit="1" customWidth="1"/>
    <col min="4" max="4" width="15.7109375" style="7" customWidth="1"/>
    <col min="5" max="5" width="9.140625" style="7" customWidth="1"/>
    <col min="6" max="6" width="15.7109375" style="7" customWidth="1"/>
    <col min="7" max="8" width="1.7109375" style="7" customWidth="1"/>
    <col min="9" max="16384" width="11.42578125" style="8" hidden="1"/>
  </cols>
  <sheetData>
    <row r="1" spans="15:16" ht="15" hidden="1" customHeight="1" x14ac:dyDescent="0.25">
      <c r="O1" s="9">
        <v>0</v>
      </c>
      <c r="P1" s="8" t="s">
        <v>1</v>
      </c>
    </row>
    <row r="2" spans="15:16" ht="15" hidden="1" customHeight="1" x14ac:dyDescent="0.25">
      <c r="O2" s="9">
        <f>+O1+0.01</f>
        <v>0.01</v>
      </c>
      <c r="P2" s="8" t="s">
        <v>2</v>
      </c>
    </row>
    <row r="3" spans="15:16" ht="15" hidden="1" customHeight="1" x14ac:dyDescent="0.25">
      <c r="O3" s="9">
        <f t="shared" ref="O3:O26" si="0">+O2+0.01</f>
        <v>0.02</v>
      </c>
      <c r="P3" s="8" t="s">
        <v>3</v>
      </c>
    </row>
    <row r="4" spans="15:16" ht="15" hidden="1" customHeight="1" x14ac:dyDescent="0.25">
      <c r="O4" s="9">
        <f t="shared" si="0"/>
        <v>0.03</v>
      </c>
      <c r="P4" s="8" t="s">
        <v>4</v>
      </c>
    </row>
    <row r="5" spans="15:16" ht="15" hidden="1" customHeight="1" x14ac:dyDescent="0.25">
      <c r="O5" s="9">
        <f t="shared" si="0"/>
        <v>0.04</v>
      </c>
      <c r="P5" s="8" t="s">
        <v>5</v>
      </c>
    </row>
    <row r="6" spans="15:16" ht="15" hidden="1" customHeight="1" x14ac:dyDescent="0.25">
      <c r="O6" s="9">
        <f t="shared" si="0"/>
        <v>0.05</v>
      </c>
      <c r="P6" s="8" t="s">
        <v>6</v>
      </c>
    </row>
    <row r="7" spans="15:16" ht="15" hidden="1" customHeight="1" x14ac:dyDescent="0.25">
      <c r="O7" s="9">
        <f t="shared" si="0"/>
        <v>6.0000000000000005E-2</v>
      </c>
      <c r="P7" s="8" t="s">
        <v>7</v>
      </c>
    </row>
    <row r="8" spans="15:16" ht="15" hidden="1" customHeight="1" x14ac:dyDescent="0.25">
      <c r="O8" s="9">
        <f t="shared" si="0"/>
        <v>7.0000000000000007E-2</v>
      </c>
      <c r="P8" s="8" t="s">
        <v>8</v>
      </c>
    </row>
    <row r="9" spans="15:16" ht="15" hidden="1" customHeight="1" x14ac:dyDescent="0.25">
      <c r="O9" s="9">
        <f t="shared" si="0"/>
        <v>0.08</v>
      </c>
      <c r="P9" s="8" t="s">
        <v>9</v>
      </c>
    </row>
    <row r="10" spans="15:16" ht="15" hidden="1" customHeight="1" x14ac:dyDescent="0.25">
      <c r="O10" s="9">
        <f t="shared" si="0"/>
        <v>0.09</v>
      </c>
      <c r="P10" s="8" t="s">
        <v>10</v>
      </c>
    </row>
    <row r="11" spans="15:16" ht="15" hidden="1" customHeight="1" x14ac:dyDescent="0.25">
      <c r="O11" s="9">
        <f t="shared" si="0"/>
        <v>9.9999999999999992E-2</v>
      </c>
    </row>
    <row r="12" spans="15:16" ht="15" hidden="1" customHeight="1" x14ac:dyDescent="0.25">
      <c r="O12" s="9">
        <f t="shared" si="0"/>
        <v>0.10999999999999999</v>
      </c>
    </row>
    <row r="13" spans="15:16" ht="15" hidden="1" customHeight="1" x14ac:dyDescent="0.25">
      <c r="O13" s="9">
        <f t="shared" si="0"/>
        <v>0.11999999999999998</v>
      </c>
    </row>
    <row r="14" spans="15:16" ht="15" hidden="1" customHeight="1" x14ac:dyDescent="0.25">
      <c r="O14" s="9">
        <f t="shared" si="0"/>
        <v>0.12999999999999998</v>
      </c>
    </row>
    <row r="15" spans="15:16" ht="15" hidden="1" customHeight="1" x14ac:dyDescent="0.25">
      <c r="O15" s="9">
        <f t="shared" si="0"/>
        <v>0.13999999999999999</v>
      </c>
    </row>
    <row r="16" spans="15:16" ht="15" hidden="1" customHeight="1" x14ac:dyDescent="0.25">
      <c r="O16" s="9">
        <f t="shared" si="0"/>
        <v>0.15</v>
      </c>
    </row>
    <row r="17" spans="2:15" ht="15" hidden="1" customHeight="1" x14ac:dyDescent="0.25">
      <c r="O17" s="9">
        <f t="shared" si="0"/>
        <v>0.16</v>
      </c>
    </row>
    <row r="18" spans="2:15" ht="15" hidden="1" customHeight="1" x14ac:dyDescent="0.25">
      <c r="O18" s="9">
        <f t="shared" si="0"/>
        <v>0.17</v>
      </c>
    </row>
    <row r="19" spans="2:15" ht="15" hidden="1" customHeight="1" x14ac:dyDescent="0.25">
      <c r="O19" s="9">
        <f t="shared" si="0"/>
        <v>0.18000000000000002</v>
      </c>
    </row>
    <row r="20" spans="2:15" ht="15" hidden="1" customHeight="1" x14ac:dyDescent="0.25">
      <c r="O20" s="9">
        <f t="shared" si="0"/>
        <v>0.19000000000000003</v>
      </c>
    </row>
    <row r="21" spans="2:15" ht="15" hidden="1" customHeight="1" x14ac:dyDescent="0.25">
      <c r="O21" s="9">
        <f t="shared" si="0"/>
        <v>0.20000000000000004</v>
      </c>
    </row>
    <row r="22" spans="2:15" ht="15" hidden="1" customHeight="1" x14ac:dyDescent="0.25">
      <c r="O22" s="9">
        <f t="shared" si="0"/>
        <v>0.21000000000000005</v>
      </c>
    </row>
    <row r="23" spans="2:15" ht="15" hidden="1" customHeight="1" x14ac:dyDescent="0.25">
      <c r="O23" s="9">
        <f t="shared" si="0"/>
        <v>0.22000000000000006</v>
      </c>
    </row>
    <row r="24" spans="2:15" ht="15" hidden="1" customHeight="1" x14ac:dyDescent="0.25">
      <c r="O24" s="9">
        <f t="shared" si="0"/>
        <v>0.23000000000000007</v>
      </c>
    </row>
    <row r="25" spans="2:15" ht="15" hidden="1" customHeight="1" x14ac:dyDescent="0.25">
      <c r="O25" s="9">
        <f t="shared" si="0"/>
        <v>0.24000000000000007</v>
      </c>
    </row>
    <row r="26" spans="2:15" ht="15" hidden="1" customHeight="1" x14ac:dyDescent="0.25">
      <c r="O26" s="9">
        <f t="shared" si="0"/>
        <v>0.25000000000000006</v>
      </c>
    </row>
    <row r="27" spans="2:15" ht="15" hidden="1" customHeight="1" x14ac:dyDescent="0.25">
      <c r="O27" s="9"/>
    </row>
    <row r="28" spans="2:15" ht="5.25" customHeight="1" thickBot="1" x14ac:dyDescent="0.3">
      <c r="O28" s="9"/>
    </row>
    <row r="29" spans="2:15" ht="5.25" customHeight="1" thickTop="1" x14ac:dyDescent="0.25">
      <c r="B29" s="57"/>
      <c r="C29" s="58"/>
      <c r="D29" s="58"/>
      <c r="E29" s="58"/>
      <c r="F29" s="58"/>
      <c r="G29" s="59"/>
      <c r="O29" s="9"/>
    </row>
    <row r="30" spans="2:15" ht="15" customHeight="1" x14ac:dyDescent="0.25">
      <c r="B30" s="60"/>
      <c r="G30" s="61"/>
      <c r="J30" s="71">
        <f ca="1">+IF(D44="",1,0)+IF(D45="",1,0)+IF(D46="",1,0)+IF(D47="",1,0)+IF(D48="",1,0)+IF(D52="",1,0)+IF(D53="",1,0)+IF(D54="",1,0)+IF(D58="",1,0)+IF(F58="",1,0)</f>
        <v>9</v>
      </c>
      <c r="O30" s="9"/>
    </row>
    <row r="31" spans="2:15" ht="15" customHeight="1" x14ac:dyDescent="0.25">
      <c r="B31" s="60"/>
      <c r="G31" s="61"/>
      <c r="O31" s="9"/>
    </row>
    <row r="32" spans="2:15" ht="15" customHeight="1" x14ac:dyDescent="0.25">
      <c r="B32" s="60"/>
      <c r="G32" s="61"/>
      <c r="O32" s="9"/>
    </row>
    <row r="33" spans="2:15" ht="15" customHeight="1" x14ac:dyDescent="0.25">
      <c r="B33" s="60"/>
      <c r="G33" s="61"/>
      <c r="O33" s="9"/>
    </row>
    <row r="34" spans="2:15" ht="15" customHeight="1" x14ac:dyDescent="0.25">
      <c r="B34" s="60"/>
      <c r="G34" s="61"/>
      <c r="O34" s="9"/>
    </row>
    <row r="35" spans="2:15" ht="15" customHeight="1" x14ac:dyDescent="0.25">
      <c r="B35" s="60"/>
      <c r="G35" s="61"/>
      <c r="O35" s="9"/>
    </row>
    <row r="36" spans="2:15" ht="15" customHeight="1" x14ac:dyDescent="0.25">
      <c r="B36" s="60"/>
      <c r="E36" s="55" t="s">
        <v>107</v>
      </c>
      <c r="F36" s="56">
        <f ca="1">+TODAY()</f>
        <v>43103</v>
      </c>
      <c r="G36" s="61"/>
      <c r="O36" s="9"/>
    </row>
    <row r="37" spans="2:15" ht="15" customHeight="1" thickBot="1" x14ac:dyDescent="0.3">
      <c r="B37" s="60"/>
      <c r="G37" s="61"/>
      <c r="O37" s="9"/>
    </row>
    <row r="38" spans="2:15" ht="5.25" customHeight="1" thickTop="1" x14ac:dyDescent="0.25">
      <c r="B38" s="57"/>
      <c r="C38" s="58"/>
      <c r="D38" s="58"/>
      <c r="E38" s="58"/>
      <c r="F38" s="58"/>
      <c r="G38" s="59"/>
      <c r="O38" s="9"/>
    </row>
    <row r="39" spans="2:15" ht="15" customHeight="1" x14ac:dyDescent="0.25">
      <c r="B39" s="60"/>
      <c r="C39" s="79" t="s">
        <v>157</v>
      </c>
      <c r="D39" s="79"/>
      <c r="E39" s="79"/>
      <c r="F39" s="79"/>
      <c r="G39" s="61"/>
      <c r="O39" s="9"/>
    </row>
    <row r="40" spans="2:15" ht="5.25" customHeight="1" thickBot="1" x14ac:dyDescent="0.3">
      <c r="B40" s="62"/>
      <c r="C40" s="63"/>
      <c r="D40" s="63"/>
      <c r="E40" s="63"/>
      <c r="F40" s="63"/>
      <c r="G40" s="64"/>
      <c r="O40" s="9"/>
    </row>
    <row r="41" spans="2:15" ht="15" customHeight="1" thickTop="1" x14ac:dyDescent="0.25">
      <c r="B41" s="60"/>
      <c r="G41" s="61"/>
      <c r="O41" s="9"/>
    </row>
    <row r="42" spans="2:15" ht="15" customHeight="1" x14ac:dyDescent="0.25">
      <c r="B42" s="60"/>
      <c r="C42" s="10" t="s">
        <v>26</v>
      </c>
      <c r="G42" s="61"/>
      <c r="O42" s="9"/>
    </row>
    <row r="43" spans="2:15" ht="5.25" customHeight="1" x14ac:dyDescent="0.25">
      <c r="B43" s="60"/>
      <c r="G43" s="61"/>
      <c r="O43" s="9"/>
    </row>
    <row r="44" spans="2:15" ht="15" customHeight="1" x14ac:dyDescent="0.25">
      <c r="B44" s="60"/>
      <c r="C44" s="24" t="s">
        <v>13</v>
      </c>
      <c r="D44" s="86"/>
      <c r="E44" s="86"/>
      <c r="F44" s="86"/>
      <c r="G44" s="61"/>
    </row>
    <row r="45" spans="2:15" ht="15" customHeight="1" x14ac:dyDescent="0.25">
      <c r="B45" s="60"/>
      <c r="C45" s="24" t="s">
        <v>14</v>
      </c>
      <c r="D45" s="86"/>
      <c r="E45" s="86"/>
      <c r="F45" s="86"/>
      <c r="G45" s="61"/>
    </row>
    <row r="46" spans="2:15" ht="15" customHeight="1" x14ac:dyDescent="0.25">
      <c r="B46" s="60"/>
      <c r="C46" s="24" t="s">
        <v>21</v>
      </c>
      <c r="D46" s="80"/>
      <c r="E46" s="81"/>
      <c r="F46" s="82"/>
      <c r="G46" s="61"/>
    </row>
    <row r="47" spans="2:15" ht="15" customHeight="1" x14ac:dyDescent="0.25">
      <c r="B47" s="60"/>
      <c r="C47" s="24" t="s">
        <v>15</v>
      </c>
      <c r="D47" s="86"/>
      <c r="E47" s="86"/>
      <c r="F47" s="86"/>
      <c r="G47" s="61"/>
    </row>
    <row r="48" spans="2:15" ht="15" customHeight="1" x14ac:dyDescent="0.25">
      <c r="B48" s="60"/>
      <c r="C48" s="24" t="s">
        <v>16</v>
      </c>
      <c r="D48" s="86"/>
      <c r="E48" s="86"/>
      <c r="F48" s="86"/>
      <c r="G48" s="61"/>
    </row>
    <row r="49" spans="2:17" ht="15" customHeight="1" x14ac:dyDescent="0.25">
      <c r="B49" s="60"/>
      <c r="G49" s="61"/>
    </row>
    <row r="50" spans="2:17" ht="15" customHeight="1" x14ac:dyDescent="0.25">
      <c r="B50" s="60"/>
      <c r="C50" s="10" t="s">
        <v>18</v>
      </c>
      <c r="G50" s="61"/>
    </row>
    <row r="51" spans="2:17" ht="5.25" customHeight="1" x14ac:dyDescent="0.25">
      <c r="B51" s="60"/>
      <c r="G51" s="61"/>
      <c r="O51" s="9"/>
    </row>
    <row r="52" spans="2:17" ht="15" customHeight="1" x14ac:dyDescent="0.25">
      <c r="B52" s="60"/>
      <c r="C52" s="24" t="s">
        <v>17</v>
      </c>
      <c r="D52" s="86"/>
      <c r="E52" s="86"/>
      <c r="F52" s="86"/>
      <c r="G52" s="61"/>
    </row>
    <row r="53" spans="2:17" ht="15" customHeight="1" x14ac:dyDescent="0.25">
      <c r="B53" s="60"/>
      <c r="C53" s="24" t="s">
        <v>20</v>
      </c>
      <c r="D53" s="86"/>
      <c r="E53" s="86"/>
      <c r="F53" s="86"/>
      <c r="G53" s="61"/>
    </row>
    <row r="54" spans="2:17" ht="15" customHeight="1" x14ac:dyDescent="0.25">
      <c r="B54" s="60"/>
      <c r="C54" s="24" t="s">
        <v>19</v>
      </c>
      <c r="D54" s="86"/>
      <c r="E54" s="86"/>
      <c r="F54" s="86"/>
      <c r="G54" s="61"/>
    </row>
    <row r="55" spans="2:17" ht="15" customHeight="1" x14ac:dyDescent="0.25">
      <c r="B55" s="60"/>
      <c r="G55" s="61"/>
    </row>
    <row r="56" spans="2:17" ht="15" customHeight="1" x14ac:dyDescent="0.25">
      <c r="B56" s="60"/>
      <c r="C56" s="10" t="s">
        <v>27</v>
      </c>
      <c r="G56" s="61"/>
    </row>
    <row r="57" spans="2:17" ht="5.25" customHeight="1" x14ac:dyDescent="0.25">
      <c r="B57" s="60"/>
      <c r="G57" s="61"/>
      <c r="O57" s="9"/>
    </row>
    <row r="58" spans="2:17" ht="15" customHeight="1" x14ac:dyDescent="0.25">
      <c r="B58" s="60"/>
      <c r="C58" s="22" t="s">
        <v>28</v>
      </c>
      <c r="D58" s="21">
        <f ca="1">+TODAY()</f>
        <v>43103</v>
      </c>
      <c r="E58" s="23" t="s">
        <v>22</v>
      </c>
      <c r="F58" s="21"/>
      <c r="G58" s="61"/>
    </row>
    <row r="59" spans="2:17" ht="15" customHeight="1" x14ac:dyDescent="0.25">
      <c r="B59" s="60"/>
      <c r="G59" s="61"/>
    </row>
    <row r="60" spans="2:17" ht="15" customHeight="1" x14ac:dyDescent="0.25">
      <c r="B60" s="60"/>
      <c r="C60" s="10" t="s">
        <v>30</v>
      </c>
      <c r="G60" s="61"/>
    </row>
    <row r="61" spans="2:17" ht="5.25" customHeight="1" x14ac:dyDescent="0.25">
      <c r="B61" s="60"/>
      <c r="G61" s="61"/>
      <c r="O61" s="9"/>
    </row>
    <row r="62" spans="2:17" ht="15" customHeight="1" x14ac:dyDescent="0.25">
      <c r="B62" s="60"/>
      <c r="C62" s="87" t="s">
        <v>0</v>
      </c>
      <c r="D62" s="87"/>
      <c r="E62" s="87" t="s">
        <v>25</v>
      </c>
      <c r="F62" s="87"/>
      <c r="G62" s="61"/>
    </row>
    <row r="63" spans="2:17" ht="15" customHeight="1" x14ac:dyDescent="0.25">
      <c r="B63" s="60"/>
      <c r="C63" s="87"/>
      <c r="D63" s="87"/>
      <c r="E63" s="87"/>
      <c r="F63" s="87"/>
      <c r="G63" s="61"/>
      <c r="P63" s="8" t="s">
        <v>163</v>
      </c>
      <c r="Q63" s="75">
        <f ca="1">+$F$58-$D$58</f>
        <v>-43103</v>
      </c>
    </row>
    <row r="64" spans="2:17" ht="15" customHeight="1" x14ac:dyDescent="0.25">
      <c r="B64" s="60"/>
      <c r="C64" s="87"/>
      <c r="D64" s="87"/>
      <c r="E64" s="87"/>
      <c r="F64" s="87"/>
      <c r="G64" s="61"/>
      <c r="J64" s="12" t="s">
        <v>44</v>
      </c>
      <c r="K64" s="12" t="s">
        <v>32</v>
      </c>
      <c r="L64" s="12" t="s">
        <v>42</v>
      </c>
      <c r="M64" s="12" t="s">
        <v>33</v>
      </c>
      <c r="N64" s="12" t="s">
        <v>43</v>
      </c>
      <c r="P64" s="8" t="s">
        <v>164</v>
      </c>
      <c r="Q64" s="76" t="e">
        <f ca="1">+VLOOKUP($Q$63,Tarifas!$AD$9:$AE$46,2)</f>
        <v>#N/A</v>
      </c>
    </row>
    <row r="65" spans="2:15" ht="15" customHeight="1" x14ac:dyDescent="0.25">
      <c r="B65" s="60"/>
      <c r="C65" s="85" t="s">
        <v>11</v>
      </c>
      <c r="D65" s="85"/>
      <c r="E65" s="90"/>
      <c r="F65" s="90"/>
      <c r="G65" s="61"/>
      <c r="J65" s="13" t="s">
        <v>45</v>
      </c>
      <c r="K65" s="13">
        <v>1</v>
      </c>
      <c r="L65" s="13"/>
      <c r="M65" s="14" t="e">
        <f>+E65/1000*HLOOKUP($D$48,Tarifas!$F$8:$O$15,K65+1,FALSE)</f>
        <v>#N/A</v>
      </c>
      <c r="N65" s="14">
        <f>+IF($D$46&lt;12,0,M65)</f>
        <v>0</v>
      </c>
    </row>
    <row r="66" spans="2:15" ht="15" customHeight="1" x14ac:dyDescent="0.25">
      <c r="B66" s="60"/>
      <c r="C66" s="88" t="s">
        <v>23</v>
      </c>
      <c r="D66" s="24" t="s">
        <v>29</v>
      </c>
      <c r="E66" s="84">
        <f>+E65</f>
        <v>0</v>
      </c>
      <c r="F66" s="84"/>
      <c r="G66" s="61"/>
      <c r="J66" s="13" t="s">
        <v>46</v>
      </c>
      <c r="K66" s="13">
        <f>+IF($E$67="A",2,3)</f>
        <v>2</v>
      </c>
      <c r="L66" s="13"/>
      <c r="M66" s="14" t="e">
        <f>+E66/1000*HLOOKUP($D$48,Tarifas!$F$8:$O$15,K66+1,FALSE)</f>
        <v>#N/A</v>
      </c>
      <c r="N66" s="14" t="e">
        <f>+M66</f>
        <v>#N/A</v>
      </c>
    </row>
    <row r="67" spans="2:15" ht="15" customHeight="1" x14ac:dyDescent="0.25">
      <c r="B67" s="60"/>
      <c r="C67" s="89"/>
      <c r="D67" s="24" t="s">
        <v>24</v>
      </c>
      <c r="E67" s="106" t="s">
        <v>1</v>
      </c>
      <c r="F67" s="106"/>
      <c r="G67" s="61"/>
      <c r="N67" s="15"/>
    </row>
    <row r="68" spans="2:15" ht="15" customHeight="1" x14ac:dyDescent="0.25">
      <c r="B68" s="60"/>
      <c r="C68" s="85" t="s">
        <v>37</v>
      </c>
      <c r="D68" s="24" t="s">
        <v>31</v>
      </c>
      <c r="E68" s="83">
        <v>0.25000000000000006</v>
      </c>
      <c r="F68" s="83"/>
      <c r="G68" s="61"/>
      <c r="J68" s="8" t="s">
        <v>48</v>
      </c>
      <c r="K68" s="8">
        <v>5</v>
      </c>
      <c r="L68" s="8">
        <v>5.0000000000000001E-3</v>
      </c>
      <c r="M68" s="15" t="e">
        <f>+HLOOKUP($D$48,Tarifas!$F$8:$O$15,K68+1,FALSE)*L68</f>
        <v>#N/A</v>
      </c>
    </row>
    <row r="69" spans="2:15" ht="15" customHeight="1" x14ac:dyDescent="0.25">
      <c r="B69" s="60"/>
      <c r="C69" s="85"/>
      <c r="D69" s="24" t="s">
        <v>29</v>
      </c>
      <c r="E69" s="84">
        <f>+MIN(800000,$E$65*$E$68)</f>
        <v>0</v>
      </c>
      <c r="F69" s="84"/>
      <c r="G69" s="61"/>
      <c r="K69" s="8">
        <v>6</v>
      </c>
      <c r="L69" s="8">
        <v>1.4999999999999999E-2</v>
      </c>
      <c r="M69" s="15" t="e">
        <f>+HLOOKUP($D$48,Tarifas!$F$8:$O$15,K69+1,FALSE)*L69</f>
        <v>#N/A</v>
      </c>
      <c r="N69" s="15"/>
    </row>
    <row r="70" spans="2:15" ht="15" customHeight="1" x14ac:dyDescent="0.25">
      <c r="B70" s="60"/>
      <c r="G70" s="61"/>
      <c r="J70" s="16"/>
      <c r="K70" s="16">
        <v>7</v>
      </c>
      <c r="L70" s="16"/>
      <c r="M70" s="17" t="e">
        <f>+($E$69-20)/1000*HLOOKUP($D$48,Tarifas!$F$8:$O$15,K70+1,FALSE)</f>
        <v>#N/A</v>
      </c>
      <c r="N70" s="17" t="e">
        <f>+SUM(M68:M70)</f>
        <v>#N/A</v>
      </c>
    </row>
    <row r="71" spans="2:15" ht="15" customHeight="1" x14ac:dyDescent="0.25">
      <c r="B71" s="60"/>
      <c r="G71" s="61"/>
      <c r="J71" s="7"/>
      <c r="K71" s="7"/>
      <c r="L71" s="7"/>
      <c r="M71" s="18"/>
      <c r="N71" s="18"/>
    </row>
    <row r="72" spans="2:15" ht="15" customHeight="1" x14ac:dyDescent="0.25">
      <c r="B72" s="60"/>
      <c r="G72" s="61"/>
      <c r="J72" s="7"/>
      <c r="K72" s="7"/>
      <c r="L72" s="7"/>
      <c r="M72" s="26" t="s">
        <v>52</v>
      </c>
      <c r="N72" s="19" t="e">
        <f ca="1">+TRUNC(SUM(N65:N70)*100*$Q$64+0.5)/100</f>
        <v>#N/A</v>
      </c>
    </row>
    <row r="73" spans="2:15" ht="15" customHeight="1" x14ac:dyDescent="0.25">
      <c r="B73" s="60"/>
      <c r="G73" s="61"/>
      <c r="M73" s="26" t="s">
        <v>61</v>
      </c>
      <c r="N73" s="19" t="e">
        <f ca="1">+$N$72*IF($D$46&lt;60,1,1.25)</f>
        <v>#N/A</v>
      </c>
    </row>
    <row r="74" spans="2:15" ht="15" customHeight="1" x14ac:dyDescent="0.25">
      <c r="B74" s="60"/>
      <c r="G74" s="61"/>
      <c r="M74" s="26" t="s">
        <v>64</v>
      </c>
      <c r="N74" s="19" t="e">
        <f ca="1">+VLOOKUP($N$73,Tarifas!$B$27:$C$31,2)</f>
        <v>#N/A</v>
      </c>
      <c r="O74" s="15"/>
    </row>
    <row r="75" spans="2:15" ht="15" customHeight="1" thickBot="1" x14ac:dyDescent="0.3">
      <c r="B75" s="62"/>
      <c r="C75" s="63"/>
      <c r="D75" s="63"/>
      <c r="E75" s="63"/>
      <c r="F75" s="63"/>
      <c r="G75" s="64"/>
      <c r="M75" s="26" t="s">
        <v>65</v>
      </c>
      <c r="N75" s="19" t="e">
        <f ca="1">+(N73+N74)*0.16</f>
        <v>#N/A</v>
      </c>
    </row>
    <row r="76" spans="2:15" ht="15" customHeight="1" thickTop="1" x14ac:dyDescent="0.25">
      <c r="M76" s="27" t="s">
        <v>66</v>
      </c>
      <c r="N76" s="28" t="e">
        <f ca="1">+SUM(N73:N75)</f>
        <v>#N/A</v>
      </c>
    </row>
  </sheetData>
  <sheetProtection password="B7F5" sheet="1" objects="1" scenarios="1"/>
  <mergeCells count="19">
    <mergeCell ref="C65:D65"/>
    <mergeCell ref="E65:F65"/>
    <mergeCell ref="C39:F39"/>
    <mergeCell ref="D44:F44"/>
    <mergeCell ref="D45:F45"/>
    <mergeCell ref="D46:F46"/>
    <mergeCell ref="D47:F47"/>
    <mergeCell ref="D48:F48"/>
    <mergeCell ref="D52:F52"/>
    <mergeCell ref="D53:F53"/>
    <mergeCell ref="D54:F54"/>
    <mergeCell ref="C62:D64"/>
    <mergeCell ref="E62:F64"/>
    <mergeCell ref="C66:C67"/>
    <mergeCell ref="E66:F66"/>
    <mergeCell ref="E67:F67"/>
    <mergeCell ref="C68:C69"/>
    <mergeCell ref="E68:F68"/>
    <mergeCell ref="E69:F69"/>
  </mergeCells>
  <dataValidations count="7">
    <dataValidation type="whole" allowBlank="1" showInputMessage="1" showErrorMessage="1" errorTitle="Valor Incorrecto" error="Se puede cotizar con máxima retroactividad / anticipación de 30 días." sqref="D58">
      <formula1>F36-30</formula1>
      <formula2>F36+30</formula2>
    </dataValidation>
    <dataValidation type="whole" allowBlank="1" showInputMessage="1" showErrorMessage="1" errorTitle="Valor Incorrecto" error="Las edades de aceptación van de 3 a 64 años" sqref="D46">
      <formula1>3</formula1>
      <formula2>64</formula2>
    </dataValidation>
    <dataValidation type="whole" allowBlank="1" showInputMessage="1" showErrorMessage="1" errorTitle="Valor Incorrecto" error="La Suma Asegurada máxima de contratación para esta cobertura es $7,500,000 pesos." sqref="E65:F65">
      <formula1>0</formula1>
      <formula2>7500000</formula2>
    </dataValidation>
    <dataValidation type="list" allowBlank="1" showInputMessage="1" showErrorMessage="1" sqref="D48:F48">
      <formula1>$P$1:$P$10</formula1>
    </dataValidation>
    <dataValidation type="list" allowBlank="1" showInputMessage="1" showErrorMessage="1" sqref="I67">
      <formula1>$P$1:$P$2</formula1>
    </dataValidation>
    <dataValidation type="list" allowBlank="1" showInputMessage="1" showErrorMessage="1" sqref="E68:F68 I68">
      <formula1>$O$1:$O$26</formula1>
    </dataValidation>
    <dataValidation type="whole" allowBlank="1" showInputMessage="1" showErrorMessage="1" errorTitle="Valor Incorrecto" error="La duración de la vigencia debe ser mínimo por 1 día y máximo por 330 días" sqref="F58">
      <formula1>D58+1</formula1>
      <formula2>F58+330</formula2>
    </dataValidation>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P108"/>
  <sheetViews>
    <sheetView showGridLines="0" view="pageBreakPreview" zoomScaleNormal="100" zoomScaleSheetLayoutView="100" workbookViewId="0">
      <selection activeCell="D17" sqref="D17"/>
    </sheetView>
  </sheetViews>
  <sheetFormatPr baseColWidth="10" defaultColWidth="0" defaultRowHeight="15" customHeight="1" zeroHeight="1" x14ac:dyDescent="0.25"/>
  <cols>
    <col min="1" max="1" width="1.7109375" style="1" customWidth="1"/>
    <col min="2" max="2" width="2.42578125" style="1" customWidth="1"/>
    <col min="3" max="3" width="3.7109375" style="1" customWidth="1"/>
    <col min="4" max="11" width="10.5703125" style="1" customWidth="1"/>
    <col min="12" max="12" width="3.7109375" style="1" customWidth="1"/>
    <col min="13" max="13" width="2.42578125" style="1" customWidth="1"/>
    <col min="14" max="14" width="1.7109375" style="1" customWidth="1"/>
    <col min="15" max="15" width="18.42578125" style="1" customWidth="1"/>
    <col min="16" max="16" width="0" style="1" hidden="1" customWidth="1"/>
    <col min="17" max="16384" width="11.42578125" style="1" hidden="1"/>
  </cols>
  <sheetData>
    <row r="1" spans="2:16" ht="5.25" customHeight="1" thickBot="1" x14ac:dyDescent="0.3"/>
    <row r="2" spans="2:16" ht="5.25" customHeight="1" thickTop="1" x14ac:dyDescent="0.25">
      <c r="B2" s="30"/>
      <c r="C2" s="31"/>
      <c r="D2" s="31"/>
      <c r="E2" s="31"/>
      <c r="F2" s="31"/>
      <c r="G2" s="31"/>
      <c r="H2" s="31"/>
      <c r="I2" s="31"/>
      <c r="J2" s="31"/>
      <c r="K2" s="31"/>
      <c r="L2" s="31"/>
      <c r="M2" s="32"/>
    </row>
    <row r="3" spans="2:16" ht="25.5" customHeight="1" x14ac:dyDescent="0.25">
      <c r="B3" s="33"/>
      <c r="C3" s="3"/>
      <c r="D3" s="3"/>
      <c r="E3" s="3"/>
      <c r="F3" s="3"/>
      <c r="H3" s="48" t="s">
        <v>55</v>
      </c>
      <c r="I3" s="3"/>
      <c r="J3" s="3"/>
      <c r="K3" s="3"/>
      <c r="L3" s="3"/>
      <c r="M3" s="34"/>
    </row>
    <row r="4" spans="2:16" ht="25.5" customHeight="1" x14ac:dyDescent="0.25">
      <c r="B4" s="33"/>
      <c r="C4" s="3"/>
      <c r="D4" s="3"/>
      <c r="E4" s="3"/>
      <c r="F4" s="3"/>
      <c r="H4" s="48" t="s">
        <v>56</v>
      </c>
      <c r="I4" s="3"/>
      <c r="J4" s="3"/>
      <c r="K4" s="3"/>
      <c r="L4" s="3"/>
      <c r="M4" s="34"/>
    </row>
    <row r="5" spans="2:16" ht="15" customHeight="1" x14ac:dyDescent="0.25">
      <c r="B5" s="33"/>
      <c r="C5" s="3"/>
      <c r="D5" s="3"/>
      <c r="E5" s="3"/>
      <c r="F5" s="3"/>
      <c r="G5" s="3"/>
      <c r="H5" s="3"/>
      <c r="I5" s="3"/>
      <c r="J5" s="3"/>
      <c r="K5" s="3"/>
      <c r="L5" s="3"/>
      <c r="M5" s="34"/>
    </row>
    <row r="6" spans="2:16" s="6" customFormat="1" ht="15" customHeight="1" x14ac:dyDescent="0.25">
      <c r="B6" s="42"/>
      <c r="C6" s="43" t="s">
        <v>54</v>
      </c>
      <c r="D6" s="43"/>
      <c r="E6" s="43"/>
      <c r="F6" s="100" t="s">
        <v>165</v>
      </c>
      <c r="G6" s="100"/>
      <c r="H6" s="100"/>
      <c r="I6" s="44" t="s">
        <v>70</v>
      </c>
      <c r="J6" s="99" t="str">
        <f ca="1">+TEXT(IndCPlzo!$D$58,"dd/mm/aaaa")&amp;" AL "&amp;TEXT(IndCPlzo!$F$58,"dd/mm/aaaa")</f>
        <v>03/01/2018 AL 00/01/1900</v>
      </c>
      <c r="K6" s="99"/>
      <c r="L6" s="99"/>
      <c r="M6" s="45"/>
    </row>
    <row r="7" spans="2:16" s="6" customFormat="1" ht="3" customHeight="1" x14ac:dyDescent="0.25">
      <c r="B7" s="42"/>
      <c r="C7" s="43"/>
      <c r="D7" s="43"/>
      <c r="E7" s="43"/>
      <c r="F7" s="43"/>
      <c r="G7" s="43"/>
      <c r="H7" s="43"/>
      <c r="I7" s="43"/>
      <c r="J7" s="43"/>
      <c r="K7" s="43"/>
      <c r="L7" s="43"/>
      <c r="M7" s="45"/>
    </row>
    <row r="8" spans="2:16" s="6" customFormat="1" ht="15" customHeight="1" x14ac:dyDescent="0.25">
      <c r="B8" s="42"/>
      <c r="C8" s="43" t="s">
        <v>13</v>
      </c>
      <c r="D8" s="43"/>
      <c r="E8" s="43"/>
      <c r="G8" s="99" t="str">
        <f>+IF(IndCPlzo!$D$44="","",IndCPlzo!$D$44)</f>
        <v/>
      </c>
      <c r="H8" s="99"/>
      <c r="I8" s="99"/>
      <c r="J8" s="99"/>
      <c r="K8" s="99"/>
      <c r="L8" s="99"/>
      <c r="M8" s="45"/>
    </row>
    <row r="9" spans="2:16" s="6" customFormat="1" ht="3" customHeight="1" x14ac:dyDescent="0.25">
      <c r="B9" s="42"/>
      <c r="C9" s="43"/>
      <c r="D9" s="43"/>
      <c r="E9" s="43"/>
      <c r="F9" s="44"/>
      <c r="G9" s="44"/>
      <c r="H9" s="44"/>
      <c r="I9" s="44"/>
      <c r="J9" s="44"/>
      <c r="K9" s="44"/>
      <c r="L9" s="44"/>
      <c r="M9" s="45"/>
    </row>
    <row r="10" spans="2:16" s="6" customFormat="1" ht="15" customHeight="1" x14ac:dyDescent="0.25">
      <c r="B10" s="42"/>
      <c r="C10" s="43" t="s">
        <v>14</v>
      </c>
      <c r="D10" s="43"/>
      <c r="E10" s="43"/>
      <c r="G10" s="99" t="str">
        <f>+IF(IndCPlzo!$D$44="","",IndCPlzo!$D$44)</f>
        <v/>
      </c>
      <c r="H10" s="99"/>
      <c r="I10" s="99"/>
      <c r="J10" s="99"/>
      <c r="K10" s="99"/>
      <c r="L10" s="99"/>
      <c r="M10" s="45"/>
    </row>
    <row r="11" spans="2:16" s="6" customFormat="1" ht="3" customHeight="1" x14ac:dyDescent="0.25">
      <c r="B11" s="42"/>
      <c r="C11" s="43"/>
      <c r="D11" s="43"/>
      <c r="E11" s="43"/>
      <c r="F11" s="43"/>
      <c r="G11" s="43"/>
      <c r="H11" s="43"/>
      <c r="I11" s="43"/>
      <c r="J11" s="43"/>
      <c r="K11" s="43"/>
      <c r="L11" s="43"/>
      <c r="M11" s="45"/>
    </row>
    <row r="12" spans="2:16" s="6" customFormat="1" ht="15" customHeight="1" x14ac:dyDescent="0.25">
      <c r="B12" s="42"/>
      <c r="C12" s="43" t="s">
        <v>71</v>
      </c>
      <c r="D12" s="43"/>
      <c r="E12" s="43"/>
      <c r="G12" s="99" t="str">
        <f>+IF(IndCPlzo!$D$47="","",IndCPlzo!$D$47)</f>
        <v/>
      </c>
      <c r="H12" s="99"/>
      <c r="I12" s="99"/>
      <c r="J12" s="99"/>
      <c r="K12" s="99"/>
      <c r="L12" s="99"/>
      <c r="M12" s="45"/>
    </row>
    <row r="13" spans="2:16" s="6" customFormat="1" ht="3" customHeight="1" x14ac:dyDescent="0.25">
      <c r="B13" s="42"/>
      <c r="C13" s="43"/>
      <c r="D13" s="43"/>
      <c r="E13" s="43"/>
      <c r="F13" s="43"/>
      <c r="G13" s="43"/>
      <c r="H13" s="43"/>
      <c r="I13" s="43"/>
      <c r="J13" s="43"/>
      <c r="K13" s="43"/>
      <c r="L13" s="43"/>
      <c r="M13" s="45"/>
    </row>
    <row r="14" spans="2:16" ht="15" customHeight="1" x14ac:dyDescent="0.25">
      <c r="B14" s="33"/>
      <c r="C14" s="43" t="s">
        <v>16</v>
      </c>
      <c r="E14" s="47" t="str">
        <f>+IF(IndCPlzo!$D$48="","",IndCPlzo!$D$48)</f>
        <v/>
      </c>
      <c r="G14" s="44" t="s">
        <v>73</v>
      </c>
      <c r="H14" s="47" t="str">
        <f>+IndCPlzo!$D$46&amp;IF(IndCPlzo!$D$46=0,""," AÑOS")</f>
        <v/>
      </c>
      <c r="I14" s="46"/>
      <c r="J14" s="44" t="s">
        <v>106</v>
      </c>
      <c r="K14" s="101">
        <f ca="1">+IndCPlzo!$F$36</f>
        <v>43103</v>
      </c>
      <c r="L14" s="102"/>
      <c r="M14" s="34"/>
      <c r="P14" s="46"/>
    </row>
    <row r="15" spans="2:16" ht="5.25" customHeight="1" thickBot="1" x14ac:dyDescent="0.3">
      <c r="B15" s="36"/>
      <c r="C15" s="37"/>
      <c r="D15" s="37"/>
      <c r="E15" s="37"/>
      <c r="F15" s="37"/>
      <c r="G15" s="37"/>
      <c r="H15" s="37"/>
      <c r="I15" s="37"/>
      <c r="J15" s="37"/>
      <c r="K15" s="37"/>
      <c r="L15" s="37"/>
      <c r="M15" s="38"/>
    </row>
    <row r="16" spans="2:16" ht="10.5" customHeight="1" thickTop="1" thickBot="1" x14ac:dyDescent="0.3"/>
    <row r="17" spans="2:13" ht="5.25" customHeight="1" thickTop="1" x14ac:dyDescent="0.25">
      <c r="B17" s="30"/>
      <c r="C17" s="31"/>
      <c r="D17" s="31"/>
      <c r="E17" s="31"/>
      <c r="F17" s="31"/>
      <c r="G17" s="31"/>
      <c r="H17" s="31"/>
      <c r="I17" s="31"/>
      <c r="J17" s="31"/>
      <c r="K17" s="31"/>
      <c r="L17" s="31"/>
      <c r="M17" s="32"/>
    </row>
    <row r="18" spans="2:13" ht="15" customHeight="1" x14ac:dyDescent="0.25">
      <c r="B18" s="33"/>
      <c r="C18" s="49" t="s">
        <v>87</v>
      </c>
      <c r="D18" s="3"/>
      <c r="E18" s="3"/>
      <c r="F18" s="3"/>
      <c r="G18" s="3"/>
      <c r="H18" s="3"/>
      <c r="I18" s="3"/>
      <c r="J18" s="3"/>
      <c r="K18" s="3"/>
      <c r="L18" s="3"/>
      <c r="M18" s="34"/>
    </row>
    <row r="19" spans="2:13" ht="15" customHeight="1" x14ac:dyDescent="0.25">
      <c r="B19" s="33"/>
      <c r="C19" s="3"/>
      <c r="D19" s="3"/>
      <c r="E19" s="3"/>
      <c r="F19" s="3"/>
      <c r="G19" s="3"/>
      <c r="H19" s="3"/>
      <c r="I19" s="3"/>
      <c r="J19" s="3"/>
      <c r="K19" s="3"/>
      <c r="L19" s="3"/>
      <c r="M19" s="34"/>
    </row>
    <row r="20" spans="2:13" ht="15" customHeight="1" x14ac:dyDescent="0.25">
      <c r="B20" s="33"/>
      <c r="C20" s="43" t="s">
        <v>88</v>
      </c>
      <c r="D20" s="3"/>
      <c r="E20" s="99" t="str">
        <f>+IF(IndCPlzo!$D$52="","",IndCPlzo!$D$52)</f>
        <v/>
      </c>
      <c r="F20" s="99"/>
      <c r="G20" s="99"/>
      <c r="H20" s="99"/>
      <c r="I20" s="99"/>
      <c r="J20" s="99"/>
      <c r="K20" s="99"/>
      <c r="L20" s="99"/>
      <c r="M20" s="34"/>
    </row>
    <row r="21" spans="2:13" s="6" customFormat="1" ht="3" customHeight="1" x14ac:dyDescent="0.25">
      <c r="B21" s="42"/>
      <c r="C21" s="43"/>
      <c r="D21" s="43"/>
      <c r="E21" s="43"/>
      <c r="F21" s="44"/>
      <c r="G21" s="44"/>
      <c r="H21" s="44"/>
      <c r="I21" s="44"/>
      <c r="J21" s="44"/>
      <c r="K21" s="44"/>
      <c r="L21" s="44"/>
      <c r="M21" s="45"/>
    </row>
    <row r="22" spans="2:13" ht="15" customHeight="1" x14ac:dyDescent="0.25">
      <c r="B22" s="33"/>
      <c r="C22" s="43" t="s">
        <v>89</v>
      </c>
      <c r="D22" s="3"/>
      <c r="E22" s="99" t="str">
        <f>+IF(IndCPlzo!$D$53="","",IndCPlzo!$D$53)</f>
        <v/>
      </c>
      <c r="F22" s="99"/>
      <c r="G22" s="3"/>
      <c r="H22" s="3"/>
      <c r="I22" s="44" t="s">
        <v>19</v>
      </c>
      <c r="J22" s="99" t="str">
        <f>+IF(IndCPlzo!$D$54="","",IndCPlzo!$D$54)</f>
        <v/>
      </c>
      <c r="K22" s="99"/>
      <c r="L22" s="99"/>
      <c r="M22" s="34"/>
    </row>
    <row r="23" spans="2:13" ht="5.25" customHeight="1" thickBot="1" x14ac:dyDescent="0.3">
      <c r="B23" s="36"/>
      <c r="C23" s="37"/>
      <c r="D23" s="37"/>
      <c r="E23" s="37"/>
      <c r="F23" s="37"/>
      <c r="G23" s="37"/>
      <c r="H23" s="37"/>
      <c r="I23" s="37"/>
      <c r="J23" s="37"/>
      <c r="K23" s="37"/>
      <c r="L23" s="37"/>
      <c r="M23" s="38"/>
    </row>
    <row r="24" spans="2:13" ht="10.5" customHeight="1" thickTop="1" thickBot="1" x14ac:dyDescent="0.3"/>
    <row r="25" spans="2:13" ht="5.25" customHeight="1" thickTop="1" x14ac:dyDescent="0.25">
      <c r="B25" s="30"/>
      <c r="C25" s="31"/>
      <c r="D25" s="31"/>
      <c r="E25" s="31"/>
      <c r="F25" s="31"/>
      <c r="G25" s="31"/>
      <c r="H25" s="31"/>
      <c r="I25" s="31"/>
      <c r="J25" s="31"/>
      <c r="K25" s="31"/>
      <c r="L25" s="31"/>
      <c r="M25" s="32"/>
    </row>
    <row r="26" spans="2:13" ht="15" customHeight="1" x14ac:dyDescent="0.25">
      <c r="B26" s="33"/>
      <c r="C26" s="92" t="s">
        <v>92</v>
      </c>
      <c r="D26" s="92"/>
      <c r="E26" s="92"/>
      <c r="F26" s="92"/>
      <c r="G26" s="92"/>
      <c r="H26" s="92"/>
      <c r="I26" s="92"/>
      <c r="J26" s="92"/>
      <c r="K26" s="92"/>
      <c r="L26" s="92"/>
      <c r="M26" s="34"/>
    </row>
    <row r="27" spans="2:13" ht="15" customHeight="1" x14ac:dyDescent="0.25">
      <c r="B27" s="33"/>
      <c r="C27" s="92"/>
      <c r="D27" s="92"/>
      <c r="E27" s="92"/>
      <c r="F27" s="92"/>
      <c r="G27" s="92"/>
      <c r="H27" s="92"/>
      <c r="I27" s="92"/>
      <c r="J27" s="92"/>
      <c r="K27" s="92"/>
      <c r="L27" s="92"/>
      <c r="M27" s="34"/>
    </row>
    <row r="28" spans="2:13" ht="3" customHeight="1" x14ac:dyDescent="0.25">
      <c r="B28" s="33"/>
      <c r="C28" s="3"/>
      <c r="D28" s="3"/>
      <c r="E28" s="3"/>
      <c r="F28" s="3"/>
      <c r="G28" s="3"/>
      <c r="H28" s="3"/>
      <c r="I28" s="3"/>
      <c r="J28" s="3"/>
      <c r="K28" s="3"/>
      <c r="L28" s="3"/>
      <c r="M28" s="34"/>
    </row>
    <row r="29" spans="2:13" ht="15" customHeight="1" x14ac:dyDescent="0.25">
      <c r="B29" s="33"/>
      <c r="C29" s="92" t="str">
        <f ca="1">+"Por ello, servimos presentar la cotización generada el "&amp;DAY(TODAY())&amp;" de "&amp;VLOOKUP(MONTH(TODAY()),Tarifas!$B$9:$C$20,2,FALSE)&amp;" de "&amp;YEAR(TODAY())&amp;", correspondiente al ramo de Accidentes Personales Individual de acuerdo con las siguientes condiciones:"</f>
        <v>Por ello, servimos presentar la cotización generada el 3 de Enero de 2018, correspondiente al ramo de Accidentes Personales Individual de acuerdo con las siguientes condiciones:</v>
      </c>
      <c r="D29" s="92"/>
      <c r="E29" s="92"/>
      <c r="F29" s="92"/>
      <c r="G29" s="92"/>
      <c r="H29" s="92"/>
      <c r="I29" s="92"/>
      <c r="J29" s="92"/>
      <c r="K29" s="92"/>
      <c r="L29" s="92"/>
      <c r="M29" s="34"/>
    </row>
    <row r="30" spans="2:13" ht="15" customHeight="1" x14ac:dyDescent="0.25">
      <c r="B30" s="33"/>
      <c r="C30" s="92"/>
      <c r="D30" s="92"/>
      <c r="E30" s="92"/>
      <c r="F30" s="92"/>
      <c r="G30" s="92"/>
      <c r="H30" s="92"/>
      <c r="I30" s="92"/>
      <c r="J30" s="92"/>
      <c r="K30" s="92"/>
      <c r="L30" s="92"/>
      <c r="M30" s="34"/>
    </row>
    <row r="31" spans="2:13" ht="5.25" customHeight="1" thickBot="1" x14ac:dyDescent="0.3">
      <c r="B31" s="36"/>
      <c r="C31" s="37"/>
      <c r="D31" s="37"/>
      <c r="E31" s="37"/>
      <c r="F31" s="37"/>
      <c r="G31" s="37"/>
      <c r="H31" s="37"/>
      <c r="I31" s="37"/>
      <c r="J31" s="37"/>
      <c r="K31" s="37"/>
      <c r="L31" s="37"/>
      <c r="M31" s="38"/>
    </row>
    <row r="32" spans="2:13" ht="10.5" customHeight="1" thickTop="1" thickBot="1" x14ac:dyDescent="0.3"/>
    <row r="33" spans="2:13" ht="5.25" customHeight="1" thickTop="1" x14ac:dyDescent="0.25">
      <c r="B33" s="30"/>
      <c r="C33" s="31"/>
      <c r="D33" s="31"/>
      <c r="E33" s="31"/>
      <c r="F33" s="31"/>
      <c r="G33" s="31"/>
      <c r="H33" s="31"/>
      <c r="I33" s="31"/>
      <c r="J33" s="31"/>
      <c r="K33" s="31"/>
      <c r="L33" s="31"/>
      <c r="M33" s="32"/>
    </row>
    <row r="34" spans="2:13" ht="15" customHeight="1" x14ac:dyDescent="0.25">
      <c r="B34" s="33"/>
      <c r="C34" s="49" t="s">
        <v>90</v>
      </c>
      <c r="D34" s="3"/>
      <c r="E34" s="3"/>
      <c r="F34" s="3"/>
      <c r="G34" s="3"/>
      <c r="H34" s="3"/>
      <c r="I34" s="3"/>
      <c r="J34" s="3"/>
      <c r="K34" s="3"/>
      <c r="L34" s="3"/>
      <c r="M34" s="34"/>
    </row>
    <row r="35" spans="2:13" ht="15" customHeight="1" x14ac:dyDescent="0.25">
      <c r="B35" s="33"/>
      <c r="C35" s="3"/>
      <c r="D35" s="3"/>
      <c r="E35" s="3"/>
      <c r="F35" s="3"/>
      <c r="G35" s="3"/>
      <c r="H35" s="3"/>
      <c r="I35" s="3"/>
      <c r="J35" s="3"/>
      <c r="K35" s="3"/>
      <c r="L35" s="3"/>
      <c r="M35" s="34"/>
    </row>
    <row r="36" spans="2:13" ht="15" customHeight="1" x14ac:dyDescent="0.2">
      <c r="B36" s="33"/>
      <c r="C36" s="51" t="s">
        <v>91</v>
      </c>
      <c r="D36" s="92" t="s">
        <v>145</v>
      </c>
      <c r="E36" s="92"/>
      <c r="F36" s="92"/>
      <c r="G36" s="92"/>
      <c r="H36" s="92"/>
      <c r="I36" s="92"/>
      <c r="J36" s="92"/>
      <c r="K36" s="92"/>
      <c r="L36" s="92"/>
      <c r="M36" s="34"/>
    </row>
    <row r="37" spans="2:13" ht="15" customHeight="1" x14ac:dyDescent="0.25">
      <c r="B37" s="33"/>
      <c r="C37" s="3"/>
      <c r="D37" s="92"/>
      <c r="E37" s="92"/>
      <c r="F37" s="92"/>
      <c r="G37" s="92"/>
      <c r="H37" s="92"/>
      <c r="I37" s="92"/>
      <c r="J37" s="92"/>
      <c r="K37" s="92"/>
      <c r="L37" s="92"/>
      <c r="M37" s="34"/>
    </row>
    <row r="38" spans="2:13" ht="15" customHeight="1" x14ac:dyDescent="0.2">
      <c r="B38" s="33"/>
      <c r="C38" s="51" t="s">
        <v>91</v>
      </c>
      <c r="D38" s="92" t="s">
        <v>142</v>
      </c>
      <c r="E38" s="92"/>
      <c r="F38" s="92"/>
      <c r="G38" s="92"/>
      <c r="H38" s="92"/>
      <c r="I38" s="92"/>
      <c r="J38" s="92"/>
      <c r="K38" s="92"/>
      <c r="L38" s="92"/>
      <c r="M38" s="34"/>
    </row>
    <row r="39" spans="2:13" ht="15" customHeight="1" x14ac:dyDescent="0.25">
      <c r="B39" s="33"/>
      <c r="C39" s="3"/>
      <c r="D39" s="92"/>
      <c r="E39" s="92"/>
      <c r="F39" s="92"/>
      <c r="G39" s="92"/>
      <c r="H39" s="92"/>
      <c r="I39" s="92"/>
      <c r="J39" s="92"/>
      <c r="K39" s="92"/>
      <c r="L39" s="92"/>
      <c r="M39" s="34"/>
    </row>
    <row r="40" spans="2:13" ht="15" customHeight="1" x14ac:dyDescent="0.2">
      <c r="B40" s="33"/>
      <c r="C40" s="51" t="s">
        <v>91</v>
      </c>
      <c r="D40" s="92" t="s">
        <v>94</v>
      </c>
      <c r="E40" s="92"/>
      <c r="F40" s="92"/>
      <c r="G40" s="92"/>
      <c r="H40" s="92"/>
      <c r="I40" s="92"/>
      <c r="J40" s="92"/>
      <c r="K40" s="92"/>
      <c r="L40" s="92"/>
      <c r="M40" s="34"/>
    </row>
    <row r="41" spans="2:13" ht="15" customHeight="1" x14ac:dyDescent="0.25">
      <c r="B41" s="33"/>
      <c r="C41" s="3"/>
      <c r="D41" s="92"/>
      <c r="E41" s="92"/>
      <c r="F41" s="92"/>
      <c r="G41" s="92"/>
      <c r="H41" s="92"/>
      <c r="I41" s="92"/>
      <c r="J41" s="92"/>
      <c r="K41" s="92"/>
      <c r="L41" s="92"/>
      <c r="M41" s="34"/>
    </row>
    <row r="42" spans="2:13" ht="15" customHeight="1" x14ac:dyDescent="0.25">
      <c r="B42" s="33"/>
      <c r="C42" s="3"/>
      <c r="D42" s="92"/>
      <c r="E42" s="92"/>
      <c r="F42" s="92"/>
      <c r="G42" s="92"/>
      <c r="H42" s="92"/>
      <c r="I42" s="92"/>
      <c r="J42" s="92"/>
      <c r="K42" s="92"/>
      <c r="L42" s="92"/>
      <c r="M42" s="34"/>
    </row>
    <row r="43" spans="2:13" ht="15" customHeight="1" x14ac:dyDescent="0.25">
      <c r="B43" s="33"/>
      <c r="C43" s="3"/>
      <c r="D43" s="92"/>
      <c r="E43" s="92"/>
      <c r="F43" s="92"/>
      <c r="G43" s="92"/>
      <c r="H43" s="92"/>
      <c r="I43" s="92"/>
      <c r="J43" s="92"/>
      <c r="K43" s="92"/>
      <c r="L43" s="92"/>
      <c r="M43" s="34"/>
    </row>
    <row r="44" spans="2:13" ht="5.25" customHeight="1" thickBot="1" x14ac:dyDescent="0.3">
      <c r="B44" s="36"/>
      <c r="C44" s="37"/>
      <c r="D44" s="37"/>
      <c r="E44" s="37"/>
      <c r="F44" s="37"/>
      <c r="G44" s="37"/>
      <c r="H44" s="37"/>
      <c r="I44" s="37"/>
      <c r="J44" s="37"/>
      <c r="K44" s="37"/>
      <c r="L44" s="37"/>
      <c r="M44" s="38"/>
    </row>
    <row r="45" spans="2:13" ht="10.5" customHeight="1" thickTop="1" thickBot="1" x14ac:dyDescent="0.3"/>
    <row r="46" spans="2:13" ht="5.25" customHeight="1" thickTop="1" x14ac:dyDescent="0.25">
      <c r="B46" s="30"/>
      <c r="C46" s="31"/>
      <c r="D46" s="31"/>
      <c r="E46" s="31"/>
      <c r="F46" s="31"/>
      <c r="G46" s="31"/>
      <c r="H46" s="31"/>
      <c r="I46" s="31"/>
      <c r="J46" s="31"/>
      <c r="K46" s="31"/>
      <c r="L46" s="31"/>
      <c r="M46" s="32"/>
    </row>
    <row r="47" spans="2:13" ht="15" customHeight="1" x14ac:dyDescent="0.25">
      <c r="B47" s="33"/>
      <c r="C47" s="49" t="s">
        <v>95</v>
      </c>
      <c r="D47" s="3"/>
      <c r="E47" s="3"/>
      <c r="F47" s="3"/>
      <c r="G47" s="3"/>
      <c r="H47" s="3"/>
      <c r="I47" s="3"/>
      <c r="J47" s="3"/>
      <c r="K47" s="3"/>
      <c r="L47" s="3"/>
      <c r="M47" s="34"/>
    </row>
    <row r="48" spans="2:13" ht="15" customHeight="1" x14ac:dyDescent="0.25">
      <c r="B48" s="33"/>
      <c r="C48" s="3"/>
      <c r="D48" s="3"/>
      <c r="E48" s="3"/>
      <c r="F48" s="3"/>
      <c r="G48" s="3"/>
      <c r="H48" s="3"/>
      <c r="I48" s="3"/>
      <c r="J48" s="3"/>
      <c r="K48" s="3"/>
      <c r="L48" s="3"/>
      <c r="M48" s="34"/>
    </row>
    <row r="49" spans="2:13" ht="15" customHeight="1" x14ac:dyDescent="0.2">
      <c r="B49" s="33"/>
      <c r="C49" s="53" t="s">
        <v>96</v>
      </c>
      <c r="D49" s="92" t="s">
        <v>97</v>
      </c>
      <c r="E49" s="92"/>
      <c r="F49" s="92"/>
      <c r="G49" s="92"/>
      <c r="H49" s="92"/>
      <c r="I49" s="92"/>
      <c r="J49" s="92"/>
      <c r="K49" s="92"/>
      <c r="L49" s="92"/>
      <c r="M49" s="34"/>
    </row>
    <row r="50" spans="2:13" ht="15" customHeight="1" x14ac:dyDescent="0.25">
      <c r="B50" s="33"/>
      <c r="C50" s="3"/>
      <c r="D50" s="92"/>
      <c r="E50" s="92"/>
      <c r="F50" s="92"/>
      <c r="G50" s="92"/>
      <c r="H50" s="92"/>
      <c r="I50" s="92"/>
      <c r="J50" s="92"/>
      <c r="K50" s="92"/>
      <c r="L50" s="92"/>
      <c r="M50" s="34"/>
    </row>
    <row r="51" spans="2:13" ht="15" customHeight="1" x14ac:dyDescent="0.2">
      <c r="B51" s="33"/>
      <c r="C51" s="53" t="s">
        <v>96</v>
      </c>
      <c r="D51" s="92" t="s">
        <v>98</v>
      </c>
      <c r="E51" s="92"/>
      <c r="F51" s="92"/>
      <c r="G51" s="92"/>
      <c r="H51" s="92"/>
      <c r="I51" s="92"/>
      <c r="J51" s="92"/>
      <c r="K51" s="92"/>
      <c r="L51" s="92"/>
      <c r="M51" s="34"/>
    </row>
    <row r="52" spans="2:13" ht="15" customHeight="1" x14ac:dyDescent="0.25">
      <c r="B52" s="33"/>
      <c r="C52" s="3"/>
      <c r="D52" s="92"/>
      <c r="E52" s="92"/>
      <c r="F52" s="92"/>
      <c r="G52" s="92"/>
      <c r="H52" s="92"/>
      <c r="I52" s="92"/>
      <c r="J52" s="92"/>
      <c r="K52" s="92"/>
      <c r="L52" s="92"/>
      <c r="M52" s="34"/>
    </row>
    <row r="53" spans="2:13" ht="15" customHeight="1" x14ac:dyDescent="0.25">
      <c r="B53" s="33"/>
      <c r="C53" s="52" t="s">
        <v>96</v>
      </c>
      <c r="D53" s="93" t="s">
        <v>99</v>
      </c>
      <c r="E53" s="93"/>
      <c r="F53" s="93"/>
      <c r="G53" s="93"/>
      <c r="H53" s="93"/>
      <c r="I53" s="93"/>
      <c r="J53" s="93"/>
      <c r="K53" s="93"/>
      <c r="L53" s="93"/>
      <c r="M53" s="34"/>
    </row>
    <row r="54" spans="2:13" ht="15" customHeight="1" x14ac:dyDescent="0.2">
      <c r="B54" s="33"/>
      <c r="C54" s="53" t="s">
        <v>96</v>
      </c>
      <c r="D54" s="92" t="s">
        <v>100</v>
      </c>
      <c r="E54" s="92"/>
      <c r="F54" s="92"/>
      <c r="G54" s="92"/>
      <c r="H54" s="92"/>
      <c r="I54" s="92"/>
      <c r="J54" s="92"/>
      <c r="K54" s="92"/>
      <c r="L54" s="92"/>
      <c r="M54" s="34"/>
    </row>
    <row r="55" spans="2:13" ht="15" customHeight="1" x14ac:dyDescent="0.25">
      <c r="B55" s="33"/>
      <c r="C55" s="52"/>
      <c r="D55" s="92"/>
      <c r="E55" s="92"/>
      <c r="F55" s="92"/>
      <c r="G55" s="92"/>
      <c r="H55" s="92"/>
      <c r="I55" s="92"/>
      <c r="J55" s="92"/>
      <c r="K55" s="92"/>
      <c r="L55" s="92"/>
      <c r="M55" s="34"/>
    </row>
    <row r="56" spans="2:13" ht="15" customHeight="1" x14ac:dyDescent="0.2">
      <c r="B56" s="33"/>
      <c r="C56" s="53" t="s">
        <v>96</v>
      </c>
      <c r="D56" s="92" t="s">
        <v>101</v>
      </c>
      <c r="E56" s="92"/>
      <c r="F56" s="92"/>
      <c r="G56" s="92"/>
      <c r="H56" s="92"/>
      <c r="I56" s="92"/>
      <c r="J56" s="92"/>
      <c r="K56" s="92"/>
      <c r="L56" s="92"/>
      <c r="M56" s="34"/>
    </row>
    <row r="57" spans="2:13" ht="15" customHeight="1" x14ac:dyDescent="0.25">
      <c r="B57" s="33"/>
      <c r="C57" s="3"/>
      <c r="D57" s="92"/>
      <c r="E57" s="92"/>
      <c r="F57" s="92"/>
      <c r="G57" s="92"/>
      <c r="H57" s="92"/>
      <c r="I57" s="92"/>
      <c r="J57" s="92"/>
      <c r="K57" s="92"/>
      <c r="L57" s="92"/>
      <c r="M57" s="34"/>
    </row>
    <row r="58" spans="2:13" ht="15" customHeight="1" x14ac:dyDescent="0.25">
      <c r="B58" s="33"/>
      <c r="C58" s="52" t="s">
        <v>96</v>
      </c>
      <c r="D58" s="93" t="s">
        <v>102</v>
      </c>
      <c r="E58" s="93"/>
      <c r="F58" s="93"/>
      <c r="G58" s="93"/>
      <c r="H58" s="93"/>
      <c r="I58" s="93"/>
      <c r="J58" s="93"/>
      <c r="K58" s="93"/>
      <c r="L58" s="93"/>
      <c r="M58" s="34"/>
    </row>
    <row r="59" spans="2:13" ht="5.25" customHeight="1" thickBot="1" x14ac:dyDescent="0.3">
      <c r="B59" s="36"/>
      <c r="C59" s="37"/>
      <c r="D59" s="37"/>
      <c r="E59" s="37"/>
      <c r="F59" s="37"/>
      <c r="G59" s="37"/>
      <c r="H59" s="37"/>
      <c r="I59" s="37"/>
      <c r="J59" s="37"/>
      <c r="K59" s="37"/>
      <c r="L59" s="37"/>
      <c r="M59" s="38"/>
    </row>
    <row r="60" spans="2:13" ht="7.5" customHeight="1" thickTop="1" x14ac:dyDescent="0.25">
      <c r="D60" s="54"/>
      <c r="E60" s="54"/>
      <c r="F60" s="54"/>
      <c r="G60" s="54"/>
      <c r="H60" s="54"/>
      <c r="I60" s="54"/>
      <c r="J60" s="54"/>
      <c r="K60" s="54"/>
      <c r="L60" s="54"/>
    </row>
    <row r="61" spans="2:13" ht="18" customHeight="1" thickBot="1" x14ac:dyDescent="0.3">
      <c r="D61" s="54"/>
      <c r="E61" s="54"/>
      <c r="F61" s="54"/>
      <c r="G61" s="54"/>
      <c r="H61" s="54"/>
      <c r="I61" s="54"/>
      <c r="J61" s="54"/>
      <c r="K61" s="54"/>
      <c r="L61" s="54"/>
    </row>
    <row r="62" spans="2:13" ht="5.25" customHeight="1" thickTop="1" x14ac:dyDescent="0.25">
      <c r="B62" s="30"/>
      <c r="C62" s="31"/>
      <c r="D62" s="31"/>
      <c r="E62" s="31"/>
      <c r="F62" s="31"/>
      <c r="G62" s="31"/>
      <c r="H62" s="31"/>
      <c r="I62" s="31"/>
      <c r="J62" s="31"/>
      <c r="K62" s="31"/>
      <c r="L62" s="31"/>
      <c r="M62" s="32"/>
    </row>
    <row r="63" spans="2:13" ht="15" customHeight="1" x14ac:dyDescent="0.25">
      <c r="B63" s="33"/>
      <c r="C63" s="49" t="s">
        <v>62</v>
      </c>
      <c r="D63" s="3"/>
      <c r="E63" s="3"/>
      <c r="F63" s="3"/>
      <c r="G63" s="3"/>
      <c r="H63" s="3"/>
      <c r="I63" s="3"/>
      <c r="J63" s="3"/>
      <c r="K63" s="3"/>
      <c r="L63" s="3"/>
      <c r="M63" s="34"/>
    </row>
    <row r="64" spans="2:13" ht="15" customHeight="1" x14ac:dyDescent="0.25">
      <c r="B64" s="33"/>
      <c r="C64" s="3"/>
      <c r="D64" s="3"/>
      <c r="E64" s="3"/>
      <c r="F64" s="3"/>
      <c r="G64" s="3"/>
      <c r="H64" s="3"/>
      <c r="I64" s="3"/>
      <c r="J64" s="3"/>
      <c r="K64" s="3"/>
      <c r="L64" s="3"/>
      <c r="M64" s="34"/>
    </row>
    <row r="65" spans="2:13" ht="15" customHeight="1" x14ac:dyDescent="0.25">
      <c r="B65" s="33"/>
      <c r="C65" s="35" t="s">
        <v>30</v>
      </c>
      <c r="D65" s="3"/>
      <c r="E65" s="3"/>
      <c r="F65" s="3"/>
      <c r="G65" s="3"/>
      <c r="H65" s="3"/>
      <c r="I65" s="3"/>
      <c r="J65" s="3"/>
      <c r="K65" s="3"/>
      <c r="L65" s="3"/>
      <c r="M65" s="34"/>
    </row>
    <row r="66" spans="2:13" ht="7.5" customHeight="1" x14ac:dyDescent="0.25">
      <c r="B66" s="33"/>
      <c r="C66" s="3"/>
      <c r="D66" s="3"/>
      <c r="E66" s="3"/>
      <c r="F66" s="3"/>
      <c r="G66" s="3"/>
      <c r="H66" s="3"/>
      <c r="I66" s="3"/>
      <c r="J66" s="3"/>
      <c r="K66" s="3"/>
      <c r="L66" s="3"/>
      <c r="M66" s="34"/>
    </row>
    <row r="67" spans="2:13" ht="15" customHeight="1" x14ac:dyDescent="0.25">
      <c r="B67" s="33"/>
      <c r="C67" s="3"/>
      <c r="D67" s="97" t="s">
        <v>0</v>
      </c>
      <c r="E67" s="97"/>
      <c r="F67" s="97"/>
      <c r="G67" s="97"/>
      <c r="H67" s="97"/>
      <c r="I67" s="97"/>
      <c r="J67" s="105" t="s">
        <v>60</v>
      </c>
      <c r="K67" s="105"/>
      <c r="L67" s="3"/>
      <c r="M67" s="34"/>
    </row>
    <row r="68" spans="2:13" ht="15" customHeight="1" x14ac:dyDescent="0.25">
      <c r="B68" s="33"/>
      <c r="C68" s="3"/>
      <c r="D68" s="97"/>
      <c r="E68" s="97"/>
      <c r="F68" s="97"/>
      <c r="G68" s="97"/>
      <c r="H68" s="97"/>
      <c r="I68" s="97"/>
      <c r="J68" s="105"/>
      <c r="K68" s="105"/>
      <c r="L68" s="3"/>
      <c r="M68" s="34"/>
    </row>
    <row r="69" spans="2:13" ht="15" customHeight="1" x14ac:dyDescent="0.25">
      <c r="B69" s="33"/>
      <c r="C69" s="3"/>
      <c r="D69" s="97"/>
      <c r="E69" s="97"/>
      <c r="F69" s="97"/>
      <c r="G69" s="97"/>
      <c r="H69" s="97"/>
      <c r="I69" s="97"/>
      <c r="J69" s="105"/>
      <c r="K69" s="105"/>
      <c r="L69" s="3"/>
      <c r="M69" s="34"/>
    </row>
    <row r="70" spans="2:13" ht="15" customHeight="1" x14ac:dyDescent="0.25">
      <c r="B70" s="33"/>
      <c r="C70" s="3"/>
      <c r="D70" s="95" t="s">
        <v>11</v>
      </c>
      <c r="E70" s="95"/>
      <c r="F70" s="95"/>
      <c r="G70" s="95"/>
      <c r="H70" s="95"/>
      <c r="I70" s="95"/>
      <c r="J70" s="98" t="str">
        <f ca="1">+IF(IndCPlzo!$J$30&gt;0,"",IndCPlzo!$E$65)</f>
        <v/>
      </c>
      <c r="K70" s="98"/>
      <c r="L70" s="3"/>
      <c r="M70" s="34"/>
    </row>
    <row r="71" spans="2:13" ht="15" customHeight="1" x14ac:dyDescent="0.25">
      <c r="B71" s="33"/>
      <c r="C71" s="3"/>
      <c r="D71" s="95" t="s">
        <v>23</v>
      </c>
      <c r="E71" s="95"/>
      <c r="F71" s="95"/>
      <c r="G71" s="95"/>
      <c r="H71" s="95" t="s">
        <v>24</v>
      </c>
      <c r="I71" s="95"/>
      <c r="J71" s="104" t="str">
        <f ca="1">+IF(IndCPlzo!$J$30&gt;0,"",IndCPlzo!$E$67)</f>
        <v/>
      </c>
      <c r="K71" s="104"/>
      <c r="L71" s="3"/>
      <c r="M71" s="34"/>
    </row>
    <row r="72" spans="2:13" ht="15" customHeight="1" x14ac:dyDescent="0.25">
      <c r="B72" s="33"/>
      <c r="C72" s="3"/>
      <c r="D72" s="95"/>
      <c r="E72" s="95"/>
      <c r="F72" s="95"/>
      <c r="G72" s="95"/>
      <c r="H72" s="2" t="s">
        <v>57</v>
      </c>
      <c r="I72" s="2"/>
      <c r="J72" s="98" t="str">
        <f ca="1">+IF(IndCPlzo!$J$30&gt;0,"",IndCPlzo!$E$66)</f>
        <v/>
      </c>
      <c r="K72" s="98"/>
      <c r="L72" s="3"/>
      <c r="M72" s="34"/>
    </row>
    <row r="73" spans="2:13" ht="15" customHeight="1" x14ac:dyDescent="0.25">
      <c r="B73" s="33"/>
      <c r="C73" s="3"/>
      <c r="D73" s="95" t="s">
        <v>59</v>
      </c>
      <c r="E73" s="95"/>
      <c r="F73" s="95"/>
      <c r="G73" s="95"/>
      <c r="H73" s="95"/>
      <c r="I73" s="95"/>
      <c r="J73" s="98" t="str">
        <f ca="1">+IF(IndCPlzo!$J$30&gt;0,"",IndCPlzo!$E$69)</f>
        <v/>
      </c>
      <c r="K73" s="98"/>
      <c r="L73" s="3"/>
      <c r="M73" s="34"/>
    </row>
    <row r="74" spans="2:13" ht="15" customHeight="1" x14ac:dyDescent="0.25">
      <c r="B74" s="33"/>
      <c r="C74" s="3"/>
      <c r="D74" s="3"/>
      <c r="E74" s="3"/>
      <c r="F74" s="3"/>
      <c r="G74" s="3"/>
      <c r="H74" s="3"/>
      <c r="I74" s="3"/>
      <c r="J74" s="3"/>
      <c r="K74" s="3"/>
      <c r="L74" s="3"/>
      <c r="M74" s="34"/>
    </row>
    <row r="75" spans="2:13" ht="15" customHeight="1" x14ac:dyDescent="0.25">
      <c r="B75" s="33"/>
      <c r="C75" s="35" t="s">
        <v>63</v>
      </c>
      <c r="D75" s="3"/>
      <c r="E75" s="3"/>
      <c r="F75" s="3"/>
      <c r="G75" s="3"/>
      <c r="H75" s="3"/>
      <c r="I75" s="3"/>
      <c r="J75" s="3"/>
      <c r="K75" s="3"/>
      <c r="L75" s="3"/>
      <c r="M75" s="34"/>
    </row>
    <row r="76" spans="2:13" ht="7.5" customHeight="1" x14ac:dyDescent="0.25">
      <c r="B76" s="33"/>
      <c r="C76" s="3"/>
      <c r="D76" s="3"/>
      <c r="E76" s="3"/>
      <c r="F76" s="3"/>
      <c r="G76" s="3"/>
      <c r="H76" s="3"/>
      <c r="I76" s="3"/>
      <c r="J76" s="3"/>
      <c r="K76" s="3"/>
      <c r="L76" s="3"/>
      <c r="M76" s="34"/>
    </row>
    <row r="77" spans="2:13" ht="15" customHeight="1" x14ac:dyDescent="0.25">
      <c r="B77" s="33"/>
      <c r="C77" s="3"/>
      <c r="D77" s="3"/>
      <c r="E77" s="97" t="s">
        <v>67</v>
      </c>
      <c r="F77" s="97"/>
      <c r="G77" s="97"/>
      <c r="H77" s="97" t="s">
        <v>68</v>
      </c>
      <c r="I77" s="97"/>
      <c r="J77" s="97"/>
      <c r="K77" s="3"/>
      <c r="L77" s="3"/>
      <c r="M77" s="34"/>
    </row>
    <row r="78" spans="2:13" ht="15" customHeight="1" x14ac:dyDescent="0.25">
      <c r="B78" s="33"/>
      <c r="C78" s="3"/>
      <c r="D78" s="3"/>
      <c r="E78" s="97"/>
      <c r="F78" s="97"/>
      <c r="G78" s="97"/>
      <c r="H78" s="97"/>
      <c r="I78" s="97"/>
      <c r="J78" s="97"/>
      <c r="K78" s="3"/>
      <c r="L78" s="3"/>
      <c r="M78" s="34"/>
    </row>
    <row r="79" spans="2:13" ht="15" customHeight="1" x14ac:dyDescent="0.25">
      <c r="B79" s="33"/>
      <c r="C79" s="3"/>
      <c r="D79" s="3"/>
      <c r="E79" s="97"/>
      <c r="F79" s="97"/>
      <c r="G79" s="97"/>
      <c r="H79" s="97"/>
      <c r="I79" s="97"/>
      <c r="J79" s="97"/>
      <c r="K79" s="3"/>
      <c r="L79" s="3"/>
      <c r="M79" s="34"/>
    </row>
    <row r="80" spans="2:13" ht="15" customHeight="1" x14ac:dyDescent="0.25">
      <c r="B80" s="33"/>
      <c r="C80" s="3"/>
      <c r="D80" s="3"/>
      <c r="E80" s="95" t="s">
        <v>51</v>
      </c>
      <c r="F80" s="95"/>
      <c r="G80" s="95"/>
      <c r="H80" s="98" t="e">
        <f ca="1">+IF(IndAnual!$J$30&gt;0,IndCPlzo!$N$72,"")</f>
        <v>#N/A</v>
      </c>
      <c r="I80" s="98"/>
      <c r="J80" s="98"/>
      <c r="K80" s="3"/>
      <c r="L80" s="3"/>
      <c r="M80" s="34"/>
    </row>
    <row r="81" spans="2:16" ht="15" customHeight="1" x14ac:dyDescent="0.25">
      <c r="B81" s="33"/>
      <c r="C81" s="3"/>
      <c r="D81" s="3"/>
      <c r="E81" s="95" t="s">
        <v>69</v>
      </c>
      <c r="F81" s="95"/>
      <c r="G81" s="95"/>
      <c r="H81" s="98" t="e">
        <f ca="1">+IF(IndAnual!$J$30&gt;0,IndCPlzo!$N$73,"")</f>
        <v>#N/A</v>
      </c>
      <c r="I81" s="98"/>
      <c r="J81" s="98"/>
      <c r="K81" s="3"/>
      <c r="L81" s="3"/>
      <c r="M81" s="34"/>
    </row>
    <row r="82" spans="2:16" ht="15" customHeight="1" x14ac:dyDescent="0.25">
      <c r="B82" s="33"/>
      <c r="C82" s="3"/>
      <c r="D82" s="3"/>
      <c r="E82" s="95" t="s">
        <v>64</v>
      </c>
      <c r="F82" s="95"/>
      <c r="G82" s="95"/>
      <c r="H82" s="98" t="e">
        <f ca="1">+IF(IndAnual!$J$30&gt;0,IndCPlzo!$N$74,"")</f>
        <v>#N/A</v>
      </c>
      <c r="I82" s="98"/>
      <c r="J82" s="98"/>
      <c r="K82" s="3"/>
      <c r="L82" s="3"/>
      <c r="M82" s="34"/>
    </row>
    <row r="83" spans="2:16" ht="15" customHeight="1" x14ac:dyDescent="0.25">
      <c r="B83" s="33"/>
      <c r="C83" s="3"/>
      <c r="D83" s="3"/>
      <c r="E83" s="95" t="s">
        <v>65</v>
      </c>
      <c r="F83" s="95"/>
      <c r="G83" s="95"/>
      <c r="H83" s="98" t="e">
        <f ca="1">+IF(IndAnual!$J$30&gt;0,IndCPlzo!$N$75,"")</f>
        <v>#N/A</v>
      </c>
      <c r="I83" s="98"/>
      <c r="J83" s="98"/>
      <c r="K83" s="3"/>
      <c r="L83" s="3"/>
      <c r="M83" s="34"/>
    </row>
    <row r="84" spans="2:16" ht="15" customHeight="1" x14ac:dyDescent="0.25">
      <c r="B84" s="33"/>
      <c r="C84" s="3"/>
      <c r="D84" s="3"/>
      <c r="E84" s="96" t="s">
        <v>66</v>
      </c>
      <c r="F84" s="96"/>
      <c r="G84" s="96"/>
      <c r="H84" s="103" t="e">
        <f ca="1">+IF(IndAnual!$J$30&gt;0,IndCPlzo!$N$76,"")</f>
        <v>#N/A</v>
      </c>
      <c r="I84" s="103"/>
      <c r="J84" s="103"/>
      <c r="K84" s="3"/>
      <c r="L84" s="3"/>
      <c r="M84" s="34"/>
    </row>
    <row r="85" spans="2:16" ht="5.25" customHeight="1" thickBot="1" x14ac:dyDescent="0.3">
      <c r="B85" s="36"/>
      <c r="C85" s="37"/>
      <c r="D85" s="37"/>
      <c r="E85" s="37"/>
      <c r="F85" s="37"/>
      <c r="G85" s="37"/>
      <c r="H85" s="37"/>
      <c r="I85" s="37"/>
      <c r="J85" s="37"/>
      <c r="K85" s="37"/>
      <c r="L85" s="37"/>
      <c r="M85" s="38"/>
    </row>
    <row r="86" spans="2:16" ht="10.5" customHeight="1" thickTop="1" thickBot="1" x14ac:dyDescent="0.3"/>
    <row r="87" spans="2:16" ht="5.25" customHeight="1" thickTop="1" x14ac:dyDescent="0.25">
      <c r="B87" s="30"/>
      <c r="C87" s="31"/>
      <c r="D87" s="31"/>
      <c r="E87" s="31"/>
      <c r="F87" s="31"/>
      <c r="G87" s="31"/>
      <c r="H87" s="31"/>
      <c r="I87" s="31"/>
      <c r="J87" s="31"/>
      <c r="K87" s="31"/>
      <c r="L87" s="31"/>
      <c r="M87" s="32"/>
    </row>
    <row r="88" spans="2:16" ht="15" customHeight="1" x14ac:dyDescent="0.25">
      <c r="B88" s="33"/>
      <c r="C88" s="49" t="s">
        <v>104</v>
      </c>
      <c r="D88" s="3"/>
      <c r="E88" s="3"/>
      <c r="F88" s="3"/>
      <c r="G88" s="3"/>
      <c r="H88" s="3"/>
      <c r="I88" s="3"/>
      <c r="J88" s="3"/>
      <c r="K88" s="3"/>
      <c r="L88" s="3"/>
      <c r="M88" s="34"/>
    </row>
    <row r="89" spans="2:16" ht="15" customHeight="1" x14ac:dyDescent="0.25">
      <c r="B89" s="33"/>
      <c r="C89" s="3"/>
      <c r="D89" s="3"/>
      <c r="E89" s="3"/>
      <c r="F89" s="3"/>
      <c r="G89" s="3"/>
      <c r="H89" s="3"/>
      <c r="I89" s="3"/>
      <c r="J89" s="3"/>
      <c r="K89" s="3"/>
      <c r="L89" s="3"/>
      <c r="M89" s="34"/>
    </row>
    <row r="90" spans="2:16" ht="15" customHeight="1" x14ac:dyDescent="0.2">
      <c r="B90" s="33"/>
      <c r="C90" s="51" t="s">
        <v>103</v>
      </c>
      <c r="D90" s="94" t="s">
        <v>105</v>
      </c>
      <c r="E90" s="94"/>
      <c r="F90" s="94"/>
      <c r="G90" s="94"/>
      <c r="H90" s="94"/>
      <c r="I90" s="94"/>
      <c r="J90" s="94"/>
      <c r="K90" s="94"/>
      <c r="L90" s="94"/>
      <c r="M90" s="34"/>
      <c r="P90" s="50"/>
    </row>
    <row r="91" spans="2:16" ht="15" customHeight="1" x14ac:dyDescent="0.25">
      <c r="B91" s="33"/>
      <c r="C91" s="3"/>
      <c r="D91" s="94"/>
      <c r="E91" s="94"/>
      <c r="F91" s="94"/>
      <c r="G91" s="94"/>
      <c r="H91" s="94"/>
      <c r="I91" s="94"/>
      <c r="J91" s="94"/>
      <c r="K91" s="94"/>
      <c r="L91" s="94"/>
      <c r="M91" s="34"/>
    </row>
    <row r="92" spans="2:16" ht="15" customHeight="1" x14ac:dyDescent="0.25">
      <c r="B92" s="33"/>
      <c r="C92" s="50" t="s">
        <v>103</v>
      </c>
      <c r="D92" s="92" t="s">
        <v>108</v>
      </c>
      <c r="E92" s="92"/>
      <c r="F92" s="92"/>
      <c r="G92" s="92"/>
      <c r="H92" s="92"/>
      <c r="I92" s="92"/>
      <c r="J92" s="92"/>
      <c r="K92" s="92"/>
      <c r="L92" s="92"/>
      <c r="M92" s="34"/>
    </row>
    <row r="93" spans="2:16" ht="15" customHeight="1" x14ac:dyDescent="0.25">
      <c r="B93" s="33"/>
      <c r="C93" s="50" t="s">
        <v>103</v>
      </c>
      <c r="D93" s="92" t="s">
        <v>109</v>
      </c>
      <c r="E93" s="92"/>
      <c r="F93" s="92"/>
      <c r="G93" s="92"/>
      <c r="H93" s="92"/>
      <c r="I93" s="92"/>
      <c r="J93" s="92"/>
      <c r="K93" s="92"/>
      <c r="L93" s="92"/>
      <c r="M93" s="34"/>
    </row>
    <row r="94" spans="2:16" ht="15" customHeight="1" x14ac:dyDescent="0.25">
      <c r="B94" s="33"/>
      <c r="C94" s="50" t="s">
        <v>103</v>
      </c>
      <c r="D94" s="92" t="s">
        <v>158</v>
      </c>
      <c r="E94" s="92"/>
      <c r="F94" s="92"/>
      <c r="G94" s="92"/>
      <c r="H94" s="92"/>
      <c r="I94" s="92"/>
      <c r="J94" s="92"/>
      <c r="K94" s="92"/>
      <c r="L94" s="92"/>
      <c r="M94" s="34"/>
    </row>
    <row r="95" spans="2:16" ht="5.25" customHeight="1" thickBot="1" x14ac:dyDescent="0.3">
      <c r="B95" s="36"/>
      <c r="C95" s="37"/>
      <c r="D95" s="37"/>
      <c r="E95" s="37"/>
      <c r="F95" s="37"/>
      <c r="G95" s="37"/>
      <c r="H95" s="37"/>
      <c r="I95" s="37"/>
      <c r="J95" s="37"/>
      <c r="K95" s="37"/>
      <c r="L95" s="37"/>
      <c r="M95" s="38"/>
    </row>
    <row r="96" spans="2:16" ht="15" customHeight="1" thickTop="1" x14ac:dyDescent="0.25"/>
    <row r="97" spans="2:13" ht="15" customHeight="1" x14ac:dyDescent="0.25"/>
    <row r="98" spans="2:13" ht="15" customHeight="1" x14ac:dyDescent="0.25"/>
    <row r="99" spans="2:13" ht="15" customHeight="1" x14ac:dyDescent="0.25">
      <c r="B99" s="91" t="s">
        <v>110</v>
      </c>
      <c r="C99" s="91"/>
      <c r="D99" s="91"/>
      <c r="E99" s="91"/>
      <c r="F99" s="91"/>
      <c r="G99" s="91"/>
      <c r="H99" s="91"/>
      <c r="I99" s="91"/>
      <c r="J99" s="91"/>
      <c r="K99" s="91"/>
      <c r="L99" s="91"/>
      <c r="M99" s="91"/>
    </row>
    <row r="100" spans="2:13" ht="15" customHeight="1" x14ac:dyDescent="0.25">
      <c r="B100" s="91" t="s">
        <v>111</v>
      </c>
      <c r="C100" s="91"/>
      <c r="D100" s="91"/>
      <c r="E100" s="91"/>
      <c r="F100" s="91"/>
      <c r="G100" s="91"/>
      <c r="H100" s="91"/>
      <c r="I100" s="91"/>
      <c r="J100" s="91"/>
      <c r="K100" s="91"/>
      <c r="L100" s="91"/>
      <c r="M100" s="91"/>
    </row>
    <row r="101" spans="2:13" ht="15" customHeight="1" x14ac:dyDescent="0.25"/>
    <row r="102" spans="2:13" ht="15" hidden="1" customHeight="1" x14ac:dyDescent="0.25"/>
    <row r="103" spans="2:13" ht="15" hidden="1" customHeight="1" x14ac:dyDescent="0.25"/>
    <row r="104" spans="2:13" ht="15" hidden="1" customHeight="1" x14ac:dyDescent="0.25"/>
    <row r="105" spans="2:13" ht="15" hidden="1" customHeight="1" x14ac:dyDescent="0.25"/>
    <row r="106" spans="2:13" ht="15" hidden="1" customHeight="1" x14ac:dyDescent="0.25"/>
    <row r="107" spans="2:13" ht="15" hidden="1" customHeight="1" x14ac:dyDescent="0.25"/>
    <row r="108" spans="2:13" ht="15" hidden="1" customHeight="1" x14ac:dyDescent="0.25"/>
  </sheetData>
  <mergeCells count="48">
    <mergeCell ref="D36:L37"/>
    <mergeCell ref="F6:H6"/>
    <mergeCell ref="J6:L6"/>
    <mergeCell ref="G8:L8"/>
    <mergeCell ref="G10:L10"/>
    <mergeCell ref="G12:L12"/>
    <mergeCell ref="K14:L14"/>
    <mergeCell ref="E20:L20"/>
    <mergeCell ref="E22:F22"/>
    <mergeCell ref="J22:L22"/>
    <mergeCell ref="C26:L27"/>
    <mergeCell ref="C29:L30"/>
    <mergeCell ref="D38:L39"/>
    <mergeCell ref="D40:L43"/>
    <mergeCell ref="D49:L50"/>
    <mergeCell ref="D51:L52"/>
    <mergeCell ref="D53:L53"/>
    <mergeCell ref="D71:G72"/>
    <mergeCell ref="H71:I71"/>
    <mergeCell ref="J71:K71"/>
    <mergeCell ref="J72:K72"/>
    <mergeCell ref="D54:L55"/>
    <mergeCell ref="D56:L57"/>
    <mergeCell ref="D58:L58"/>
    <mergeCell ref="D67:I69"/>
    <mergeCell ref="J67:K69"/>
    <mergeCell ref="D70:I70"/>
    <mergeCell ref="J70:K70"/>
    <mergeCell ref="D73:I73"/>
    <mergeCell ref="J73:K73"/>
    <mergeCell ref="E77:G79"/>
    <mergeCell ref="H77:J79"/>
    <mergeCell ref="E80:G80"/>
    <mergeCell ref="H80:J80"/>
    <mergeCell ref="E81:G81"/>
    <mergeCell ref="H81:J81"/>
    <mergeCell ref="E82:G82"/>
    <mergeCell ref="H82:J82"/>
    <mergeCell ref="E83:G83"/>
    <mergeCell ref="H83:J83"/>
    <mergeCell ref="B99:M99"/>
    <mergeCell ref="B100:M100"/>
    <mergeCell ref="E84:G84"/>
    <mergeCell ref="H84:J84"/>
    <mergeCell ref="D90:L91"/>
    <mergeCell ref="D92:L92"/>
    <mergeCell ref="D93:L93"/>
    <mergeCell ref="D94:L94"/>
  </mergeCells>
  <pageMargins left="0.31496062992125984" right="0.31496062992125984" top="0.55118110236220474" bottom="0.55118110236220474" header="0.31496062992125984" footer="0.31496062992125984"/>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FF0000"/>
  </sheetPr>
  <dimension ref="B2:AE47"/>
  <sheetViews>
    <sheetView topLeftCell="T24" workbookViewId="0">
      <selection activeCell="AD9" sqref="AD9"/>
    </sheetView>
  </sheetViews>
  <sheetFormatPr baseColWidth="10" defaultRowHeight="15" customHeight="1" x14ac:dyDescent="0.25"/>
  <cols>
    <col min="1" max="1" width="3.140625" style="1" customWidth="1"/>
    <col min="2" max="2" width="10.7109375" style="1" customWidth="1"/>
    <col min="3" max="3" width="11.42578125" style="1"/>
    <col min="4" max="4" width="12" style="1" customWidth="1"/>
    <col min="5" max="5" width="21.28515625" style="1" bestFit="1" customWidth="1"/>
    <col min="6" max="16384" width="11.42578125" style="1"/>
  </cols>
  <sheetData>
    <row r="2" spans="2:31" ht="15" customHeight="1" x14ac:dyDescent="0.25">
      <c r="B2" s="29" t="s">
        <v>114</v>
      </c>
      <c r="E2" s="29" t="s">
        <v>159</v>
      </c>
      <c r="Q2" s="29" t="s">
        <v>160</v>
      </c>
      <c r="AD2" s="29" t="s">
        <v>161</v>
      </c>
    </row>
    <row r="3" spans="2:31" ht="15" customHeight="1" x14ac:dyDescent="0.25">
      <c r="E3" s="6"/>
    </row>
    <row r="4" spans="2:31" ht="15" customHeight="1" x14ac:dyDescent="0.25">
      <c r="E4" s="6"/>
    </row>
    <row r="5" spans="2:31" ht="15" customHeight="1" x14ac:dyDescent="0.25">
      <c r="B5" s="6" t="s">
        <v>74</v>
      </c>
      <c r="E5" s="6" t="s">
        <v>49</v>
      </c>
      <c r="Q5" s="6" t="s">
        <v>51</v>
      </c>
      <c r="AD5" s="6" t="s">
        <v>162</v>
      </c>
    </row>
    <row r="7" spans="2:31" ht="15" customHeight="1" x14ac:dyDescent="0.25">
      <c r="B7" s="142" t="s">
        <v>113</v>
      </c>
      <c r="C7" s="141" t="s">
        <v>112</v>
      </c>
      <c r="E7" s="141" t="s">
        <v>0</v>
      </c>
      <c r="F7" s="141" t="s">
        <v>36</v>
      </c>
      <c r="G7" s="141"/>
      <c r="H7" s="141"/>
      <c r="I7" s="141"/>
      <c r="J7" s="141"/>
      <c r="K7" s="141"/>
      <c r="L7" s="141"/>
      <c r="M7" s="141"/>
      <c r="N7" s="141"/>
      <c r="O7" s="141"/>
      <c r="Q7" s="141" t="s">
        <v>130</v>
      </c>
      <c r="R7" s="141"/>
      <c r="S7" s="141"/>
      <c r="T7" s="141"/>
      <c r="U7" s="141"/>
      <c r="V7" s="141" t="s">
        <v>36</v>
      </c>
      <c r="W7" s="141"/>
      <c r="X7" s="141"/>
      <c r="Y7" s="141"/>
      <c r="Z7" s="141"/>
      <c r="AA7" s="141"/>
      <c r="AB7" s="141"/>
      <c r="AD7" s="142" t="s">
        <v>163</v>
      </c>
      <c r="AE7" s="141" t="s">
        <v>42</v>
      </c>
    </row>
    <row r="8" spans="2:31" ht="15" customHeight="1" x14ac:dyDescent="0.25">
      <c r="B8" s="141"/>
      <c r="C8" s="141"/>
      <c r="E8" s="141"/>
      <c r="F8" s="5" t="s">
        <v>1</v>
      </c>
      <c r="G8" s="5" t="s">
        <v>2</v>
      </c>
      <c r="H8" s="5" t="s">
        <v>3</v>
      </c>
      <c r="I8" s="5" t="s">
        <v>4</v>
      </c>
      <c r="J8" s="5" t="s">
        <v>5</v>
      </c>
      <c r="K8" s="5" t="s">
        <v>6</v>
      </c>
      <c r="L8" s="5" t="s">
        <v>7</v>
      </c>
      <c r="M8" s="5" t="s">
        <v>8</v>
      </c>
      <c r="N8" s="5" t="s">
        <v>9</v>
      </c>
      <c r="O8" s="5" t="s">
        <v>10</v>
      </c>
      <c r="Q8" s="5" t="s">
        <v>125</v>
      </c>
      <c r="R8" s="5" t="s">
        <v>126</v>
      </c>
      <c r="S8" s="5" t="s">
        <v>127</v>
      </c>
      <c r="T8" s="5" t="s">
        <v>128</v>
      </c>
      <c r="U8" s="5" t="s">
        <v>129</v>
      </c>
      <c r="V8" s="5" t="s">
        <v>1</v>
      </c>
      <c r="W8" s="5" t="s">
        <v>2</v>
      </c>
      <c r="X8" s="5" t="s">
        <v>3</v>
      </c>
      <c r="Y8" s="5" t="s">
        <v>4</v>
      </c>
      <c r="Z8" s="5" t="s">
        <v>5</v>
      </c>
      <c r="AA8" s="5" t="s">
        <v>6</v>
      </c>
      <c r="AB8" s="5" t="s">
        <v>7</v>
      </c>
      <c r="AD8" s="141"/>
      <c r="AE8" s="141"/>
    </row>
    <row r="9" spans="2:31" ht="15" customHeight="1" x14ac:dyDescent="0.25">
      <c r="B9" s="40">
        <v>1</v>
      </c>
      <c r="C9" s="2" t="s">
        <v>75</v>
      </c>
      <c r="E9" s="2" t="s">
        <v>11</v>
      </c>
      <c r="F9" s="4">
        <v>1.67</v>
      </c>
      <c r="G9" s="4">
        <v>2</v>
      </c>
      <c r="H9" s="4">
        <v>2.34</v>
      </c>
      <c r="I9" s="4">
        <v>2.84</v>
      </c>
      <c r="J9" s="4">
        <v>3.67</v>
      </c>
      <c r="K9" s="4">
        <v>4.51</v>
      </c>
      <c r="L9" s="4">
        <v>5.34</v>
      </c>
      <c r="M9" s="4">
        <v>7</v>
      </c>
      <c r="N9" s="4">
        <v>8.68</v>
      </c>
      <c r="O9" s="4">
        <v>10.35</v>
      </c>
      <c r="Q9" s="4">
        <v>50000</v>
      </c>
      <c r="R9" s="4">
        <f>+Q9*0.5</f>
        <v>25000</v>
      </c>
      <c r="S9" s="4">
        <v>25000</v>
      </c>
      <c r="T9" s="4">
        <v>25000</v>
      </c>
      <c r="U9" s="4">
        <v>35000</v>
      </c>
      <c r="V9" s="4">
        <v>987.69093750000013</v>
      </c>
      <c r="W9" s="4">
        <v>1183.648545</v>
      </c>
      <c r="X9" s="4">
        <v>1379.40858</v>
      </c>
      <c r="Y9" s="4">
        <v>1673.2462050000001</v>
      </c>
      <c r="Z9" s="4">
        <v>2163.0414375</v>
      </c>
      <c r="AA9" s="4">
        <v>2652.6390974999999</v>
      </c>
      <c r="AB9" s="4">
        <v>3142.43433</v>
      </c>
      <c r="AD9" s="74">
        <v>1</v>
      </c>
      <c r="AE9" s="4">
        <v>0.05</v>
      </c>
    </row>
    <row r="10" spans="2:31" ht="15" customHeight="1" x14ac:dyDescent="0.25">
      <c r="B10" s="40">
        <f>+B9+1</f>
        <v>2</v>
      </c>
      <c r="C10" s="2" t="s">
        <v>76</v>
      </c>
      <c r="E10" s="2" t="s">
        <v>34</v>
      </c>
      <c r="F10" s="4">
        <v>0.83</v>
      </c>
      <c r="G10" s="4">
        <v>1</v>
      </c>
      <c r="H10" s="4">
        <v>1.1599999999999999</v>
      </c>
      <c r="I10" s="4">
        <v>1.41</v>
      </c>
      <c r="J10" s="4">
        <v>1.83</v>
      </c>
      <c r="K10" s="4">
        <v>2.2400000000000002</v>
      </c>
      <c r="L10" s="4">
        <v>2.66</v>
      </c>
      <c r="M10" s="4">
        <v>3.5</v>
      </c>
      <c r="N10" s="4">
        <v>4.32</v>
      </c>
      <c r="O10" s="4">
        <v>5.15</v>
      </c>
      <c r="Q10" s="4">
        <v>75000</v>
      </c>
      <c r="R10" s="4">
        <f t="shared" ref="R10:R36" si="0">+Q10*0.5</f>
        <v>37500</v>
      </c>
      <c r="S10" s="4">
        <v>25000</v>
      </c>
      <c r="T10" s="4">
        <v>25000</v>
      </c>
      <c r="U10" s="4">
        <v>35000</v>
      </c>
      <c r="V10" s="4">
        <v>1094.9323837500001</v>
      </c>
      <c r="W10" s="4">
        <v>1312.3777950000001</v>
      </c>
      <c r="X10" s="4">
        <v>1529.5268475</v>
      </c>
      <c r="Y10" s="4">
        <v>1855.5467849999998</v>
      </c>
      <c r="Z10" s="4">
        <v>2399.01213375</v>
      </c>
      <c r="AA10" s="4">
        <v>2942.1811237500006</v>
      </c>
      <c r="AB10" s="4">
        <v>3485.6464725000001</v>
      </c>
      <c r="AD10" s="74">
        <v>2</v>
      </c>
      <c r="AE10" s="4">
        <v>0.05</v>
      </c>
    </row>
    <row r="11" spans="2:31" ht="15" customHeight="1" x14ac:dyDescent="0.25">
      <c r="B11" s="40">
        <f t="shared" ref="B11:B20" si="1">+B10+1</f>
        <v>3</v>
      </c>
      <c r="C11" s="2" t="s">
        <v>77</v>
      </c>
      <c r="E11" s="2" t="s">
        <v>35</v>
      </c>
      <c r="F11" s="4">
        <v>1.25</v>
      </c>
      <c r="G11" s="4">
        <v>1.5</v>
      </c>
      <c r="H11" s="4">
        <v>1.75</v>
      </c>
      <c r="I11" s="4">
        <v>2.13</v>
      </c>
      <c r="J11" s="4">
        <v>2.75</v>
      </c>
      <c r="K11" s="4">
        <v>3.38</v>
      </c>
      <c r="L11" s="4">
        <v>4</v>
      </c>
      <c r="M11" s="4">
        <v>5.25</v>
      </c>
      <c r="N11" s="4">
        <v>6.5</v>
      </c>
      <c r="O11" s="4">
        <v>7.75</v>
      </c>
      <c r="Q11" s="4">
        <v>100000</v>
      </c>
      <c r="R11" s="4">
        <f t="shared" si="0"/>
        <v>50000</v>
      </c>
      <c r="S11" s="4">
        <v>25000</v>
      </c>
      <c r="T11" s="4">
        <v>25000</v>
      </c>
      <c r="U11" s="4">
        <v>35000</v>
      </c>
      <c r="V11" s="4">
        <v>1202.1738300000002</v>
      </c>
      <c r="W11" s="4">
        <v>1441.1070450000002</v>
      </c>
      <c r="X11" s="4">
        <v>1679.645115</v>
      </c>
      <c r="Y11" s="4">
        <v>2037.8473650000001</v>
      </c>
      <c r="Z11" s="4">
        <v>2634.9828300000004</v>
      </c>
      <c r="AA11" s="4">
        <v>3231.7231500000003</v>
      </c>
      <c r="AB11" s="4">
        <v>3828.8586149999996</v>
      </c>
      <c r="AD11" s="74">
        <v>3</v>
      </c>
      <c r="AE11" s="4">
        <v>0.05</v>
      </c>
    </row>
    <row r="12" spans="2:31" ht="15" customHeight="1" x14ac:dyDescent="0.25">
      <c r="B12" s="40">
        <f t="shared" si="1"/>
        <v>4</v>
      </c>
      <c r="C12" s="2" t="s">
        <v>78</v>
      </c>
      <c r="E12" s="2" t="s">
        <v>12</v>
      </c>
      <c r="F12" s="4">
        <v>3.75</v>
      </c>
      <c r="G12" s="4">
        <v>4.5</v>
      </c>
      <c r="H12" s="4">
        <v>5.25</v>
      </c>
      <c r="I12" s="4">
        <v>6.4</v>
      </c>
      <c r="J12" s="4">
        <v>8.25</v>
      </c>
      <c r="K12" s="4">
        <v>10.1</v>
      </c>
      <c r="L12" s="4">
        <v>12</v>
      </c>
      <c r="M12" s="4">
        <v>15.75</v>
      </c>
      <c r="N12" s="4">
        <v>19.5</v>
      </c>
      <c r="O12" s="4">
        <v>23.25</v>
      </c>
      <c r="Q12" s="4">
        <v>125000</v>
      </c>
      <c r="R12" s="4">
        <f t="shared" si="0"/>
        <v>62500</v>
      </c>
      <c r="S12" s="4">
        <v>25000</v>
      </c>
      <c r="T12" s="4">
        <v>25000</v>
      </c>
      <c r="U12" s="4">
        <v>35000</v>
      </c>
      <c r="V12" s="4">
        <v>1309.41527625</v>
      </c>
      <c r="W12" s="4">
        <v>1569.8362950000001</v>
      </c>
      <c r="X12" s="4">
        <v>1829.7633825</v>
      </c>
      <c r="Y12" s="4">
        <v>2220.1479449999997</v>
      </c>
      <c r="Z12" s="4">
        <v>2870.9535262499999</v>
      </c>
      <c r="AA12" s="4">
        <v>3521.26517625</v>
      </c>
      <c r="AB12" s="4">
        <v>4172.0707575000006</v>
      </c>
      <c r="AD12" s="74">
        <v>4</v>
      </c>
      <c r="AE12" s="4">
        <v>0.06</v>
      </c>
    </row>
    <row r="13" spans="2:31" ht="15" customHeight="1" x14ac:dyDescent="0.25">
      <c r="B13" s="40">
        <f t="shared" si="1"/>
        <v>5</v>
      </c>
      <c r="C13" s="2" t="s">
        <v>79</v>
      </c>
      <c r="E13" s="2" t="s">
        <v>40</v>
      </c>
      <c r="F13" s="4">
        <v>20</v>
      </c>
      <c r="G13" s="4">
        <v>24</v>
      </c>
      <c r="H13" s="4">
        <v>28</v>
      </c>
      <c r="I13" s="4">
        <v>34</v>
      </c>
      <c r="J13" s="4">
        <v>44</v>
      </c>
      <c r="K13" s="4">
        <v>54</v>
      </c>
      <c r="L13" s="4">
        <v>64</v>
      </c>
      <c r="M13" s="4">
        <v>84</v>
      </c>
      <c r="N13" s="4">
        <v>104</v>
      </c>
      <c r="O13" s="4">
        <v>124</v>
      </c>
      <c r="Q13" s="4">
        <v>150000</v>
      </c>
      <c r="R13" s="4">
        <f t="shared" si="0"/>
        <v>75000</v>
      </c>
      <c r="S13" s="4">
        <v>25000</v>
      </c>
      <c r="T13" s="4">
        <v>25000</v>
      </c>
      <c r="U13" s="4">
        <v>35000</v>
      </c>
      <c r="V13" s="4">
        <v>1416.6567224999999</v>
      </c>
      <c r="W13" s="4">
        <v>1698.5655450000002</v>
      </c>
      <c r="X13" s="4">
        <v>1979.88165</v>
      </c>
      <c r="Y13" s="4">
        <v>2402.4485250000002</v>
      </c>
      <c r="Z13" s="4">
        <v>3106.9242224999998</v>
      </c>
      <c r="AA13" s="4">
        <v>3810.8072024999997</v>
      </c>
      <c r="AB13" s="4">
        <v>4515.2829000000002</v>
      </c>
      <c r="AD13" s="74">
        <v>5</v>
      </c>
      <c r="AE13" s="4">
        <v>7.0000000000000007E-2</v>
      </c>
    </row>
    <row r="14" spans="2:31" ht="15" customHeight="1" x14ac:dyDescent="0.25">
      <c r="B14" s="40">
        <f t="shared" si="1"/>
        <v>6</v>
      </c>
      <c r="C14" s="2" t="s">
        <v>80</v>
      </c>
      <c r="E14" s="2" t="s">
        <v>41</v>
      </c>
      <c r="F14" s="4">
        <v>15</v>
      </c>
      <c r="G14" s="4">
        <v>18</v>
      </c>
      <c r="H14" s="4">
        <v>21</v>
      </c>
      <c r="I14" s="4">
        <v>25.5</v>
      </c>
      <c r="J14" s="4">
        <v>33</v>
      </c>
      <c r="K14" s="4">
        <v>40.5</v>
      </c>
      <c r="L14" s="4">
        <v>48</v>
      </c>
      <c r="M14" s="4">
        <v>63</v>
      </c>
      <c r="N14" s="4">
        <v>78</v>
      </c>
      <c r="O14" s="4">
        <v>93</v>
      </c>
      <c r="Q14" s="4">
        <v>175000</v>
      </c>
      <c r="R14" s="4">
        <f t="shared" si="0"/>
        <v>87500</v>
      </c>
      <c r="S14" s="4">
        <v>25000</v>
      </c>
      <c r="T14" s="4">
        <v>25000</v>
      </c>
      <c r="U14" s="4">
        <v>35000</v>
      </c>
      <c r="V14" s="4">
        <v>1523.8981687500002</v>
      </c>
      <c r="W14" s="4">
        <v>1827.294795</v>
      </c>
      <c r="X14" s="4">
        <v>2129.9999175000003</v>
      </c>
      <c r="Y14" s="4">
        <v>2584.7491049999999</v>
      </c>
      <c r="Z14" s="4">
        <v>3342.8949187500002</v>
      </c>
      <c r="AA14" s="4">
        <v>4100.3492287500003</v>
      </c>
      <c r="AB14" s="4">
        <v>4858.4950425000006</v>
      </c>
      <c r="AD14" s="74">
        <v>6</v>
      </c>
      <c r="AE14" s="4">
        <v>0.08</v>
      </c>
    </row>
    <row r="15" spans="2:31" ht="15" customHeight="1" x14ac:dyDescent="0.25">
      <c r="B15" s="40">
        <f t="shared" si="1"/>
        <v>7</v>
      </c>
      <c r="C15" s="2" t="s">
        <v>81</v>
      </c>
      <c r="E15" s="2" t="s">
        <v>39</v>
      </c>
      <c r="F15" s="4">
        <v>10</v>
      </c>
      <c r="G15" s="4">
        <v>12</v>
      </c>
      <c r="H15" s="4">
        <v>14</v>
      </c>
      <c r="I15" s="4">
        <v>17</v>
      </c>
      <c r="J15" s="4">
        <v>22</v>
      </c>
      <c r="K15" s="4">
        <v>27</v>
      </c>
      <c r="L15" s="4">
        <v>32</v>
      </c>
      <c r="M15" s="4">
        <v>42</v>
      </c>
      <c r="N15" s="4">
        <v>52</v>
      </c>
      <c r="O15" s="4">
        <v>62</v>
      </c>
      <c r="Q15" s="4">
        <v>200000</v>
      </c>
      <c r="R15" s="4">
        <f t="shared" si="0"/>
        <v>100000</v>
      </c>
      <c r="S15" s="4">
        <v>25000</v>
      </c>
      <c r="T15" s="4">
        <v>25000</v>
      </c>
      <c r="U15" s="4">
        <v>35000</v>
      </c>
      <c r="V15" s="4">
        <v>1631.1396150000003</v>
      </c>
      <c r="W15" s="4">
        <v>1956.0240450000003</v>
      </c>
      <c r="X15" s="4">
        <v>2280.1181849999998</v>
      </c>
      <c r="Y15" s="4">
        <v>2767.049685</v>
      </c>
      <c r="Z15" s="4">
        <v>3578.8656150000002</v>
      </c>
      <c r="AA15" s="4">
        <v>4389.8912549999995</v>
      </c>
      <c r="AB15" s="4">
        <v>5201.7071850000002</v>
      </c>
      <c r="AD15" s="74">
        <v>7</v>
      </c>
      <c r="AE15" s="4">
        <v>0.09</v>
      </c>
    </row>
    <row r="16" spans="2:31" ht="15" customHeight="1" x14ac:dyDescent="0.25">
      <c r="B16" s="40">
        <f t="shared" si="1"/>
        <v>8</v>
      </c>
      <c r="C16" s="2" t="s">
        <v>82</v>
      </c>
      <c r="Q16" s="4">
        <v>225000</v>
      </c>
      <c r="R16" s="4">
        <f t="shared" si="0"/>
        <v>112500</v>
      </c>
      <c r="S16" s="4">
        <v>25000</v>
      </c>
      <c r="T16" s="4">
        <v>25000</v>
      </c>
      <c r="U16" s="4">
        <v>35000</v>
      </c>
      <c r="V16" s="4">
        <v>1738.3810612500001</v>
      </c>
      <c r="W16" s="4">
        <v>2084.753295</v>
      </c>
      <c r="X16" s="4">
        <v>2430.2364525000003</v>
      </c>
      <c r="Y16" s="4">
        <v>2949.350265</v>
      </c>
      <c r="Z16" s="4">
        <v>3814.8363112499997</v>
      </c>
      <c r="AA16" s="4">
        <v>4679.4332812500006</v>
      </c>
      <c r="AB16" s="4">
        <v>5544.9193274999998</v>
      </c>
      <c r="AD16" s="74">
        <v>8</v>
      </c>
      <c r="AE16" s="4">
        <v>0.1</v>
      </c>
    </row>
    <row r="17" spans="2:31" ht="15" customHeight="1" x14ac:dyDescent="0.25">
      <c r="B17" s="40">
        <f t="shared" si="1"/>
        <v>9</v>
      </c>
      <c r="C17" s="2" t="s">
        <v>83</v>
      </c>
      <c r="F17" s="72">
        <f>+'[1]CORTO PLAZO'!L18-F9</f>
        <v>0</v>
      </c>
      <c r="G17" s="72">
        <f>+'[1]CORTO PLAZO'!M18-G9</f>
        <v>0</v>
      </c>
      <c r="H17" s="72">
        <f>+'[1]CORTO PLAZO'!N18-H9</f>
        <v>0</v>
      </c>
      <c r="I17" s="72">
        <f>+'[1]CORTO PLAZO'!O18-I9</f>
        <v>0</v>
      </c>
      <c r="J17" s="72">
        <f>+'[1]CORTO PLAZO'!P18-J9</f>
        <v>0</v>
      </c>
      <c r="K17" s="72">
        <f>+'[1]CORTO PLAZO'!Q18-K9</f>
        <v>0</v>
      </c>
      <c r="L17" s="72">
        <f>+'[1]CORTO PLAZO'!R18-L9</f>
        <v>0</v>
      </c>
      <c r="M17" s="72">
        <f>+'[1]CORTO PLAZO'!S18-M9</f>
        <v>0</v>
      </c>
      <c r="N17" s="72">
        <f>+'[1]CORTO PLAZO'!T18-N9</f>
        <v>0</v>
      </c>
      <c r="O17" s="72">
        <f>+'[1]CORTO PLAZO'!U18-O9</f>
        <v>0</v>
      </c>
      <c r="Q17" s="4">
        <v>250000</v>
      </c>
      <c r="R17" s="4">
        <f t="shared" si="0"/>
        <v>125000</v>
      </c>
      <c r="S17" s="4">
        <v>25000</v>
      </c>
      <c r="T17" s="4">
        <v>25000</v>
      </c>
      <c r="U17" s="4">
        <v>35000</v>
      </c>
      <c r="V17" s="4">
        <v>1845.6225075</v>
      </c>
      <c r="W17" s="4">
        <v>2213.4825449999998</v>
      </c>
      <c r="X17" s="4">
        <v>2580.3547199999998</v>
      </c>
      <c r="Y17" s="4">
        <v>3131.6508449999997</v>
      </c>
      <c r="Z17" s="4">
        <v>4050.8070075000005</v>
      </c>
      <c r="AA17" s="4">
        <v>4968.9753074999999</v>
      </c>
      <c r="AB17" s="4">
        <v>5888.1314700000012</v>
      </c>
      <c r="AD17" s="74">
        <v>9</v>
      </c>
      <c r="AE17" s="4">
        <v>0.11</v>
      </c>
    </row>
    <row r="18" spans="2:31" ht="15" customHeight="1" x14ac:dyDescent="0.25">
      <c r="B18" s="40">
        <f t="shared" si="1"/>
        <v>10</v>
      </c>
      <c r="C18" s="2" t="s">
        <v>84</v>
      </c>
      <c r="F18" s="72">
        <f>+'[1]CORTO PLAZO'!L20-F10</f>
        <v>0</v>
      </c>
      <c r="G18" s="72">
        <f>+'[1]CORTO PLAZO'!M20-G10</f>
        <v>0</v>
      </c>
      <c r="H18" s="72">
        <f>+'[1]CORTO PLAZO'!N20-H10</f>
        <v>0</v>
      </c>
      <c r="I18" s="72">
        <f>+'[1]CORTO PLAZO'!O20-I10</f>
        <v>0</v>
      </c>
      <c r="J18" s="72">
        <f>+'[1]CORTO PLAZO'!P20-J10</f>
        <v>0</v>
      </c>
      <c r="K18" s="72">
        <f>+'[1]CORTO PLAZO'!Q20-K10</f>
        <v>0</v>
      </c>
      <c r="L18" s="72">
        <f>+'[1]CORTO PLAZO'!R20-L10</f>
        <v>0</v>
      </c>
      <c r="M18" s="72">
        <f>+'[1]CORTO PLAZO'!S20-M10</f>
        <v>0</v>
      </c>
      <c r="N18" s="72">
        <f>+'[1]CORTO PLAZO'!T20-N10</f>
        <v>0</v>
      </c>
      <c r="O18" s="72">
        <f>+'[1]CORTO PLAZO'!U20-O10</f>
        <v>0</v>
      </c>
      <c r="Q18" s="4">
        <v>300000</v>
      </c>
      <c r="R18" s="4">
        <f t="shared" si="0"/>
        <v>150000</v>
      </c>
      <c r="S18" s="4">
        <v>25000</v>
      </c>
      <c r="T18" s="4">
        <v>25000</v>
      </c>
      <c r="U18" s="4">
        <v>35000</v>
      </c>
      <c r="V18" s="4">
        <v>2060.1054000000004</v>
      </c>
      <c r="W18" s="4">
        <v>2470.941045</v>
      </c>
      <c r="X18" s="4">
        <v>2880.5912549999998</v>
      </c>
      <c r="Y18" s="4">
        <v>3496.2520050000003</v>
      </c>
      <c r="Z18" s="4">
        <v>4522.7484000000004</v>
      </c>
      <c r="AA18" s="4">
        <v>5548.0593600000011</v>
      </c>
      <c r="AB18" s="4">
        <v>6574.5557550000012</v>
      </c>
      <c r="AD18" s="74">
        <v>10</v>
      </c>
      <c r="AE18" s="4">
        <v>0.12</v>
      </c>
    </row>
    <row r="19" spans="2:31" ht="15" customHeight="1" x14ac:dyDescent="0.25">
      <c r="B19" s="40">
        <f t="shared" si="1"/>
        <v>11</v>
      </c>
      <c r="C19" s="2" t="s">
        <v>85</v>
      </c>
      <c r="F19" s="72">
        <f>+'[1]CORTO PLAZO'!L21-F11</f>
        <v>0</v>
      </c>
      <c r="G19" s="72">
        <f>+'[1]CORTO PLAZO'!M21-G11</f>
        <v>0</v>
      </c>
      <c r="H19" s="72">
        <f>+'[1]CORTO PLAZO'!N21-H11</f>
        <v>0</v>
      </c>
      <c r="I19" s="72">
        <f>+'[1]CORTO PLAZO'!O21-I11</f>
        <v>0</v>
      </c>
      <c r="J19" s="72">
        <f>+'[1]CORTO PLAZO'!P21-J11</f>
        <v>0</v>
      </c>
      <c r="K19" s="72">
        <f>+'[1]CORTO PLAZO'!Q21-K11</f>
        <v>0</v>
      </c>
      <c r="L19" s="72">
        <f>+'[1]CORTO PLAZO'!R21-L11</f>
        <v>0</v>
      </c>
      <c r="M19" s="72">
        <f>+'[1]CORTO PLAZO'!S21-M11</f>
        <v>0</v>
      </c>
      <c r="N19" s="72">
        <f>+'[1]CORTO PLAZO'!T21-N11</f>
        <v>0</v>
      </c>
      <c r="O19" s="72">
        <f>+'[1]CORTO PLAZO'!U21-O11</f>
        <v>0</v>
      </c>
      <c r="Q19" s="4">
        <v>325000</v>
      </c>
      <c r="R19" s="4">
        <f t="shared" si="0"/>
        <v>162500</v>
      </c>
      <c r="S19" s="4">
        <v>25000</v>
      </c>
      <c r="T19" s="4">
        <v>25000</v>
      </c>
      <c r="U19" s="4">
        <v>35000</v>
      </c>
      <c r="V19" s="4">
        <v>2167.34684625</v>
      </c>
      <c r="W19" s="4">
        <v>2599.6702950000004</v>
      </c>
      <c r="X19" s="4">
        <v>3030.7095224999998</v>
      </c>
      <c r="Y19" s="4">
        <v>3678.5525849999999</v>
      </c>
      <c r="Z19" s="4">
        <v>4758.7190962499999</v>
      </c>
      <c r="AA19" s="4">
        <v>5837.6013862500004</v>
      </c>
      <c r="AB19" s="4">
        <v>6917.7678974999999</v>
      </c>
      <c r="AD19" s="74">
        <v>12</v>
      </c>
      <c r="AE19" s="4">
        <v>0.13</v>
      </c>
    </row>
    <row r="20" spans="2:31" ht="15" customHeight="1" x14ac:dyDescent="0.25">
      <c r="B20" s="40">
        <f t="shared" si="1"/>
        <v>12</v>
      </c>
      <c r="C20" s="2" t="s">
        <v>86</v>
      </c>
      <c r="Q20" s="4">
        <v>350000</v>
      </c>
      <c r="R20" s="4">
        <f t="shared" si="0"/>
        <v>175000</v>
      </c>
      <c r="S20" s="4">
        <v>25000</v>
      </c>
      <c r="T20" s="4">
        <v>25000</v>
      </c>
      <c r="U20" s="4">
        <v>35000</v>
      </c>
      <c r="V20" s="4">
        <v>2274.5882924999996</v>
      </c>
      <c r="W20" s="4">
        <v>2728.3995449999998</v>
      </c>
      <c r="X20" s="4">
        <v>3180.8277899999998</v>
      </c>
      <c r="Y20" s="4">
        <v>3860.8531649999995</v>
      </c>
      <c r="Z20" s="4">
        <v>4994.6897925000003</v>
      </c>
      <c r="AA20" s="4">
        <v>6127.1434125000005</v>
      </c>
      <c r="AB20" s="4">
        <v>7260.9800400000004</v>
      </c>
      <c r="AD20" s="74">
        <v>14</v>
      </c>
      <c r="AE20" s="4">
        <v>0.14000000000000001</v>
      </c>
    </row>
    <row r="21" spans="2:31" ht="15" customHeight="1" x14ac:dyDescent="0.25">
      <c r="Q21" s="4">
        <v>375000</v>
      </c>
      <c r="R21" s="4">
        <f t="shared" si="0"/>
        <v>187500</v>
      </c>
      <c r="S21" s="4">
        <v>25000</v>
      </c>
      <c r="T21" s="4">
        <v>25000</v>
      </c>
      <c r="U21" s="4">
        <v>35000</v>
      </c>
      <c r="V21" s="4">
        <v>2381.8297387500002</v>
      </c>
      <c r="W21" s="4">
        <v>2857.1287950000001</v>
      </c>
      <c r="X21" s="4">
        <v>3330.9460574999998</v>
      </c>
      <c r="Y21" s="4">
        <v>4043.1537450000001</v>
      </c>
      <c r="Z21" s="4">
        <v>5230.6604887500007</v>
      </c>
      <c r="AA21" s="4">
        <v>6416.6854387499998</v>
      </c>
      <c r="AB21" s="4">
        <v>7604.1921824999999</v>
      </c>
      <c r="AD21" s="74">
        <v>16</v>
      </c>
      <c r="AE21" s="4">
        <v>0.15</v>
      </c>
    </row>
    <row r="22" spans="2:31" ht="15" customHeight="1" x14ac:dyDescent="0.25">
      <c r="Q22" s="4">
        <v>400000</v>
      </c>
      <c r="R22" s="4">
        <f t="shared" si="0"/>
        <v>200000</v>
      </c>
      <c r="S22" s="4">
        <v>25000</v>
      </c>
      <c r="T22" s="4">
        <v>25000</v>
      </c>
      <c r="U22" s="4">
        <v>35000</v>
      </c>
      <c r="V22" s="4">
        <v>2489.0711850000002</v>
      </c>
      <c r="W22" s="4">
        <v>2985.8580450000004</v>
      </c>
      <c r="X22" s="4">
        <v>3481.0643250000003</v>
      </c>
      <c r="Y22" s="4">
        <v>4225.4543249999997</v>
      </c>
      <c r="Z22" s="4">
        <v>5466.6311850000002</v>
      </c>
      <c r="AA22" s="4">
        <v>6706.2274649999999</v>
      </c>
      <c r="AB22" s="4">
        <v>7947.4043249999995</v>
      </c>
      <c r="AD22" s="74">
        <v>18</v>
      </c>
      <c r="AE22" s="4">
        <v>0.16</v>
      </c>
    </row>
    <row r="23" spans="2:31" ht="15" customHeight="1" x14ac:dyDescent="0.25">
      <c r="B23" s="6" t="s">
        <v>50</v>
      </c>
      <c r="Q23" s="4">
        <v>425000</v>
      </c>
      <c r="R23" s="4">
        <f t="shared" si="0"/>
        <v>212500</v>
      </c>
      <c r="S23" s="4">
        <v>25000</v>
      </c>
      <c r="T23" s="4">
        <v>25000</v>
      </c>
      <c r="U23" s="4">
        <v>35000</v>
      </c>
      <c r="V23" s="4">
        <v>2596.3126312500003</v>
      </c>
      <c r="W23" s="4">
        <v>3114.5872949999998</v>
      </c>
      <c r="X23" s="4">
        <v>3631.1825924999998</v>
      </c>
      <c r="Y23" s="4">
        <v>4407.7549050000007</v>
      </c>
      <c r="Z23" s="4">
        <v>5702.6018812500006</v>
      </c>
      <c r="AA23" s="4">
        <v>6995.7694912500001</v>
      </c>
      <c r="AB23" s="4">
        <v>8290.6164675</v>
      </c>
      <c r="AD23" s="74">
        <v>20</v>
      </c>
      <c r="AE23" s="4">
        <v>0.17</v>
      </c>
    </row>
    <row r="24" spans="2:31" ht="15" customHeight="1" x14ac:dyDescent="0.25">
      <c r="Q24" s="4">
        <v>450000</v>
      </c>
      <c r="R24" s="4">
        <f t="shared" si="0"/>
        <v>225000</v>
      </c>
      <c r="S24" s="4">
        <v>25000</v>
      </c>
      <c r="T24" s="4">
        <v>25000</v>
      </c>
      <c r="U24" s="4">
        <v>35000</v>
      </c>
      <c r="V24" s="4">
        <v>2703.5540774999999</v>
      </c>
      <c r="W24" s="4">
        <v>3243.3165449999997</v>
      </c>
      <c r="X24" s="4">
        <v>3781.3008599999998</v>
      </c>
      <c r="Y24" s="4">
        <v>4590.0554849999999</v>
      </c>
      <c r="Z24" s="4">
        <v>5938.5725775000001</v>
      </c>
      <c r="AA24" s="4">
        <v>7285.3115175000012</v>
      </c>
      <c r="AB24" s="4">
        <v>8633.8286099999987</v>
      </c>
      <c r="AD24" s="74">
        <v>24</v>
      </c>
      <c r="AE24" s="4">
        <v>0.18</v>
      </c>
    </row>
    <row r="25" spans="2:31" ht="15" customHeight="1" x14ac:dyDescent="0.25">
      <c r="B25" s="143" t="s">
        <v>116</v>
      </c>
      <c r="C25" s="145" t="s">
        <v>115</v>
      </c>
      <c r="Q25" s="4">
        <v>475000</v>
      </c>
      <c r="R25" s="4">
        <f t="shared" si="0"/>
        <v>237500</v>
      </c>
      <c r="S25" s="4">
        <v>25000</v>
      </c>
      <c r="T25" s="4">
        <v>25000</v>
      </c>
      <c r="U25" s="4">
        <v>35000</v>
      </c>
      <c r="V25" s="4">
        <v>2810.79552375</v>
      </c>
      <c r="W25" s="4">
        <v>3372.0457950000005</v>
      </c>
      <c r="X25" s="4">
        <v>3931.4191274999998</v>
      </c>
      <c r="Y25" s="4">
        <v>4772.3560650000009</v>
      </c>
      <c r="Z25" s="4">
        <v>6174.5432737500005</v>
      </c>
      <c r="AA25" s="4">
        <v>7574.8535437500013</v>
      </c>
      <c r="AB25" s="4">
        <v>8977.0407524999991</v>
      </c>
      <c r="AD25" s="74">
        <v>28</v>
      </c>
      <c r="AE25" s="4">
        <v>0.19</v>
      </c>
    </row>
    <row r="26" spans="2:31" ht="15" customHeight="1" x14ac:dyDescent="0.25">
      <c r="B26" s="144"/>
      <c r="C26" s="146"/>
      <c r="Q26" s="4">
        <v>500000</v>
      </c>
      <c r="R26" s="4">
        <f t="shared" si="0"/>
        <v>250000</v>
      </c>
      <c r="S26" s="4">
        <v>25000</v>
      </c>
      <c r="T26" s="4">
        <v>25000</v>
      </c>
      <c r="U26" s="4">
        <v>35000</v>
      </c>
      <c r="V26" s="4">
        <v>2918.0369699999997</v>
      </c>
      <c r="W26" s="4">
        <v>3500.7750450000003</v>
      </c>
      <c r="X26" s="4">
        <v>4081.5373950000003</v>
      </c>
      <c r="Y26" s="4">
        <v>4954.6566450000009</v>
      </c>
      <c r="Z26" s="4">
        <v>6410.51397</v>
      </c>
      <c r="AA26" s="4">
        <v>7864.3955700000006</v>
      </c>
      <c r="AB26" s="4">
        <v>9320.2528949999996</v>
      </c>
      <c r="AD26" s="74">
        <v>30</v>
      </c>
      <c r="AE26" s="4">
        <v>0.2</v>
      </c>
    </row>
    <row r="27" spans="2:31" ht="15" customHeight="1" x14ac:dyDescent="0.25">
      <c r="B27" s="4">
        <v>0</v>
      </c>
      <c r="C27" s="4">
        <v>100</v>
      </c>
      <c r="Q27" s="4">
        <v>550000</v>
      </c>
      <c r="R27" s="4">
        <f t="shared" si="0"/>
        <v>275000</v>
      </c>
      <c r="S27" s="4">
        <v>25000</v>
      </c>
      <c r="T27" s="4">
        <v>25000</v>
      </c>
      <c r="U27" s="4">
        <v>35000</v>
      </c>
      <c r="V27" s="4">
        <v>3132.5198624999998</v>
      </c>
      <c r="W27" s="4">
        <v>3758.233545</v>
      </c>
      <c r="X27" s="4">
        <v>4381.7739299999994</v>
      </c>
      <c r="Y27" s="4">
        <v>5319.2578050000002</v>
      </c>
      <c r="Z27" s="4">
        <v>6882.4553624999999</v>
      </c>
      <c r="AA27" s="4">
        <v>8443.4796224999991</v>
      </c>
      <c r="AB27" s="4">
        <v>10006.677179999999</v>
      </c>
      <c r="AD27" s="74">
        <v>40</v>
      </c>
      <c r="AE27" s="4">
        <v>0.24</v>
      </c>
    </row>
    <row r="28" spans="2:31" ht="15" customHeight="1" x14ac:dyDescent="0.25">
      <c r="B28" s="4">
        <v>500.01</v>
      </c>
      <c r="C28" s="4">
        <v>200</v>
      </c>
      <c r="Q28" s="4">
        <v>600000</v>
      </c>
      <c r="R28" s="4">
        <f t="shared" si="0"/>
        <v>300000</v>
      </c>
      <c r="S28" s="4">
        <v>25000</v>
      </c>
      <c r="T28" s="4">
        <v>25000</v>
      </c>
      <c r="U28" s="4">
        <v>35000</v>
      </c>
      <c r="V28" s="4">
        <v>3347.0027550000004</v>
      </c>
      <c r="W28" s="4">
        <v>4015.6920449999998</v>
      </c>
      <c r="X28" s="4">
        <v>4682.0104649999994</v>
      </c>
      <c r="Y28" s="4">
        <v>5683.8589649999994</v>
      </c>
      <c r="Z28" s="4">
        <v>7354.3967549999998</v>
      </c>
      <c r="AA28" s="4">
        <v>9022.5636749999994</v>
      </c>
      <c r="AB28" s="4">
        <v>10693.101465</v>
      </c>
      <c r="AD28" s="74">
        <v>50</v>
      </c>
      <c r="AE28" s="4">
        <v>0.27</v>
      </c>
    </row>
    <row r="29" spans="2:31" ht="15" customHeight="1" x14ac:dyDescent="0.25">
      <c r="B29" s="4">
        <v>2000.01</v>
      </c>
      <c r="C29" s="4">
        <v>300</v>
      </c>
      <c r="Q29" s="4">
        <v>650000</v>
      </c>
      <c r="R29" s="4">
        <f t="shared" si="0"/>
        <v>325000</v>
      </c>
      <c r="S29" s="4">
        <v>25000</v>
      </c>
      <c r="T29" s="4">
        <v>25000</v>
      </c>
      <c r="U29" s="4">
        <v>35000</v>
      </c>
      <c r="V29" s="4">
        <v>3561.4856475000001</v>
      </c>
      <c r="W29" s="4">
        <v>4273.1505450000004</v>
      </c>
      <c r="X29" s="4">
        <v>4982.2470000000003</v>
      </c>
      <c r="Y29" s="4">
        <v>6048.4601249999996</v>
      </c>
      <c r="Z29" s="4">
        <v>7826.3381475000006</v>
      </c>
      <c r="AA29" s="4">
        <v>9601.6477274999997</v>
      </c>
      <c r="AB29" s="4">
        <v>11379.525749999999</v>
      </c>
      <c r="AD29" s="74">
        <v>60</v>
      </c>
      <c r="AE29" s="4">
        <v>0.3</v>
      </c>
    </row>
    <row r="30" spans="2:31" ht="15" customHeight="1" x14ac:dyDescent="0.25">
      <c r="B30" s="4">
        <v>5000.01</v>
      </c>
      <c r="C30" s="4">
        <v>400</v>
      </c>
      <c r="Q30" s="4">
        <v>700000</v>
      </c>
      <c r="R30" s="4">
        <f t="shared" si="0"/>
        <v>350000</v>
      </c>
      <c r="S30" s="4">
        <v>25000</v>
      </c>
      <c r="T30" s="4">
        <v>25000</v>
      </c>
      <c r="U30" s="4">
        <v>35000</v>
      </c>
      <c r="V30" s="4">
        <v>3775.9685399999998</v>
      </c>
      <c r="W30" s="4">
        <v>4530.6090450000002</v>
      </c>
      <c r="X30" s="4">
        <v>5282.4835350000003</v>
      </c>
      <c r="Y30" s="4">
        <v>6413.0612849999998</v>
      </c>
      <c r="Z30" s="4">
        <v>8298.2795400000014</v>
      </c>
      <c r="AA30" s="4">
        <v>10180.731780000002</v>
      </c>
      <c r="AB30" s="4">
        <v>12065.950035000002</v>
      </c>
      <c r="AD30" s="74">
        <v>70</v>
      </c>
      <c r="AE30" s="4">
        <v>0.34</v>
      </c>
    </row>
    <row r="31" spans="2:31" ht="15" customHeight="1" x14ac:dyDescent="0.25">
      <c r="B31" s="4">
        <v>15000.01</v>
      </c>
      <c r="C31" s="4">
        <v>500</v>
      </c>
      <c r="Q31" s="4">
        <v>750000</v>
      </c>
      <c r="R31" s="4">
        <f t="shared" si="0"/>
        <v>375000</v>
      </c>
      <c r="S31" s="4">
        <v>25000</v>
      </c>
      <c r="T31" s="4">
        <v>25000</v>
      </c>
      <c r="U31" s="4">
        <v>35000</v>
      </c>
      <c r="V31" s="4">
        <v>3990.4514324999996</v>
      </c>
      <c r="W31" s="4">
        <v>4788.0675449999999</v>
      </c>
      <c r="X31" s="4">
        <v>5582.7200700000003</v>
      </c>
      <c r="Y31" s="4">
        <v>6777.6624449999999</v>
      </c>
      <c r="Z31" s="4">
        <v>8770.2209325000003</v>
      </c>
      <c r="AA31" s="4">
        <v>10759.8158325</v>
      </c>
      <c r="AB31" s="4">
        <v>12752.374320000003</v>
      </c>
      <c r="AD31" s="74">
        <v>80</v>
      </c>
      <c r="AE31" s="4">
        <v>0.37</v>
      </c>
    </row>
    <row r="32" spans="2:31" ht="15" customHeight="1" x14ac:dyDescent="0.25">
      <c r="Q32" s="4">
        <v>800000</v>
      </c>
      <c r="R32" s="4">
        <f t="shared" si="0"/>
        <v>400000</v>
      </c>
      <c r="S32" s="4">
        <v>25000</v>
      </c>
      <c r="T32" s="4">
        <v>25000</v>
      </c>
      <c r="U32" s="4">
        <v>35000</v>
      </c>
      <c r="V32" s="4">
        <v>4204.9343250000002</v>
      </c>
      <c r="W32" s="4">
        <v>5045.5260450000005</v>
      </c>
      <c r="X32" s="4">
        <v>5882.9566050000003</v>
      </c>
      <c r="Y32" s="4">
        <v>7142.2636050000001</v>
      </c>
      <c r="Z32" s="4">
        <v>9242.1623250000011</v>
      </c>
      <c r="AA32" s="4">
        <v>11338.899885000001</v>
      </c>
      <c r="AB32" s="4">
        <v>13438.798605</v>
      </c>
      <c r="AD32" s="74">
        <v>90</v>
      </c>
      <c r="AE32" s="4">
        <v>0.4</v>
      </c>
    </row>
    <row r="33" spans="17:31" ht="15" customHeight="1" x14ac:dyDescent="0.25">
      <c r="Q33" s="4">
        <v>850000</v>
      </c>
      <c r="R33" s="4">
        <f t="shared" si="0"/>
        <v>425000</v>
      </c>
      <c r="S33" s="4">
        <v>25000</v>
      </c>
      <c r="T33" s="4">
        <v>25000</v>
      </c>
      <c r="U33" s="4">
        <v>35000</v>
      </c>
      <c r="V33" s="4">
        <v>4419.4172175000003</v>
      </c>
      <c r="W33" s="4">
        <v>5302.9845450000003</v>
      </c>
      <c r="X33" s="4">
        <v>6183.1931399999994</v>
      </c>
      <c r="Y33" s="4">
        <v>7506.8647649999994</v>
      </c>
      <c r="Z33" s="4">
        <v>9714.1037174999983</v>
      </c>
      <c r="AA33" s="4">
        <v>11917.983937499999</v>
      </c>
      <c r="AB33" s="4">
        <v>14125.222890000003</v>
      </c>
      <c r="AD33" s="74">
        <v>100</v>
      </c>
      <c r="AE33" s="4">
        <v>0.44</v>
      </c>
    </row>
    <row r="34" spans="17:31" ht="15" customHeight="1" x14ac:dyDescent="0.25">
      <c r="Q34" s="4">
        <v>900000</v>
      </c>
      <c r="R34" s="4">
        <f t="shared" si="0"/>
        <v>450000</v>
      </c>
      <c r="S34" s="4">
        <v>25000</v>
      </c>
      <c r="T34" s="4">
        <v>25000</v>
      </c>
      <c r="U34" s="4">
        <v>35000</v>
      </c>
      <c r="V34" s="4">
        <v>4633.9001099999996</v>
      </c>
      <c r="W34" s="4">
        <v>5560.4430449999991</v>
      </c>
      <c r="X34" s="4">
        <v>6483.4296749999994</v>
      </c>
      <c r="Y34" s="4">
        <v>7871.4659249999995</v>
      </c>
      <c r="Z34" s="4">
        <v>10186.045110000001</v>
      </c>
      <c r="AA34" s="4">
        <v>12497.06799</v>
      </c>
      <c r="AB34" s="4">
        <v>14811.647174999998</v>
      </c>
      <c r="AD34" s="74">
        <v>110</v>
      </c>
      <c r="AE34" s="4">
        <v>0.47</v>
      </c>
    </row>
    <row r="35" spans="17:31" ht="15" customHeight="1" x14ac:dyDescent="0.25">
      <c r="Q35" s="4">
        <v>950000</v>
      </c>
      <c r="R35" s="4">
        <f t="shared" si="0"/>
        <v>475000</v>
      </c>
      <c r="S35" s="4">
        <v>25000</v>
      </c>
      <c r="T35" s="4">
        <v>25000</v>
      </c>
      <c r="U35" s="4">
        <v>35000</v>
      </c>
      <c r="V35" s="4">
        <v>4848.3830025000007</v>
      </c>
      <c r="W35" s="4">
        <v>5817.9015449999997</v>
      </c>
      <c r="X35" s="4">
        <v>6783.6662100000003</v>
      </c>
      <c r="Y35" s="4">
        <v>8236.0670850000006</v>
      </c>
      <c r="Z35" s="4">
        <v>10657.986502500002</v>
      </c>
      <c r="AA35" s="4">
        <v>13076.1520425</v>
      </c>
      <c r="AB35" s="4">
        <v>15498.071460000003</v>
      </c>
      <c r="AD35" s="74">
        <v>120</v>
      </c>
      <c r="AE35" s="4">
        <v>0.5</v>
      </c>
    </row>
    <row r="36" spans="17:31" ht="15" customHeight="1" x14ac:dyDescent="0.25">
      <c r="Q36" s="4">
        <v>1000000</v>
      </c>
      <c r="R36" s="4">
        <f t="shared" si="0"/>
        <v>500000</v>
      </c>
      <c r="S36" s="4">
        <v>25000</v>
      </c>
      <c r="T36" s="4">
        <v>25000</v>
      </c>
      <c r="U36" s="4">
        <v>35000</v>
      </c>
      <c r="V36" s="4">
        <v>5062.8658949999999</v>
      </c>
      <c r="W36" s="4">
        <v>6075.3600450000004</v>
      </c>
      <c r="X36" s="4">
        <v>7083.9027449999994</v>
      </c>
      <c r="Y36" s="4">
        <v>8600.6682449999989</v>
      </c>
      <c r="Z36" s="4">
        <v>11129.927894999999</v>
      </c>
      <c r="AA36" s="4">
        <v>13655.236095000002</v>
      </c>
      <c r="AB36" s="4">
        <v>16184.495745</v>
      </c>
      <c r="AD36" s="74">
        <v>130</v>
      </c>
      <c r="AE36" s="4">
        <v>0.54</v>
      </c>
    </row>
    <row r="37" spans="17:31" ht="15" customHeight="1" x14ac:dyDescent="0.25">
      <c r="AD37" s="74">
        <v>140</v>
      </c>
      <c r="AE37" s="4">
        <v>0.56999999999999995</v>
      </c>
    </row>
    <row r="38" spans="17:31" ht="15" customHeight="1" x14ac:dyDescent="0.25">
      <c r="AD38" s="74">
        <v>150</v>
      </c>
      <c r="AE38" s="4">
        <v>0.6</v>
      </c>
    </row>
    <row r="39" spans="17:31" ht="15" customHeight="1" x14ac:dyDescent="0.25">
      <c r="AD39" s="74">
        <v>160</v>
      </c>
      <c r="AE39" s="4">
        <v>0.64</v>
      </c>
    </row>
    <row r="40" spans="17:31" ht="15" customHeight="1" x14ac:dyDescent="0.25">
      <c r="AD40" s="74">
        <v>170</v>
      </c>
      <c r="AE40" s="4">
        <v>0.67</v>
      </c>
    </row>
    <row r="41" spans="17:31" ht="15" customHeight="1" x14ac:dyDescent="0.25">
      <c r="AD41" s="74">
        <v>180</v>
      </c>
      <c r="AE41" s="4">
        <v>0.7</v>
      </c>
    </row>
    <row r="42" spans="17:31" ht="15" customHeight="1" x14ac:dyDescent="0.25">
      <c r="AD42" s="74">
        <v>210</v>
      </c>
      <c r="AE42" s="4">
        <v>0.75</v>
      </c>
    </row>
    <row r="43" spans="17:31" ht="15" customHeight="1" x14ac:dyDescent="0.25">
      <c r="AD43" s="74">
        <v>240</v>
      </c>
      <c r="AE43" s="4">
        <v>0.8</v>
      </c>
    </row>
    <row r="44" spans="17:31" ht="15" customHeight="1" x14ac:dyDescent="0.25">
      <c r="AD44" s="74">
        <v>270</v>
      </c>
      <c r="AE44" s="4">
        <v>0.85</v>
      </c>
    </row>
    <row r="45" spans="17:31" ht="15" customHeight="1" x14ac:dyDescent="0.25">
      <c r="AD45" s="74">
        <v>300</v>
      </c>
      <c r="AE45" s="4">
        <v>0.9</v>
      </c>
    </row>
    <row r="46" spans="17:31" ht="15" customHeight="1" x14ac:dyDescent="0.25">
      <c r="AD46" s="74">
        <v>330</v>
      </c>
      <c r="AE46" s="4">
        <v>0.95</v>
      </c>
    </row>
    <row r="47" spans="17:31" ht="15" customHeight="1" x14ac:dyDescent="0.25">
      <c r="AE47" s="73"/>
    </row>
  </sheetData>
  <mergeCells count="10">
    <mergeCell ref="B25:B26"/>
    <mergeCell ref="C25:C26"/>
    <mergeCell ref="V7:AB7"/>
    <mergeCell ref="Q7:U7"/>
    <mergeCell ref="AD7:AD8"/>
    <mergeCell ref="AE7:AE8"/>
    <mergeCell ref="E7:E8"/>
    <mergeCell ref="F7:O7"/>
    <mergeCell ref="B7:B8"/>
    <mergeCell ref="C7:C8"/>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X1223"/>
  <sheetViews>
    <sheetView showGridLines="0" topLeftCell="D1" workbookViewId="0">
      <selection activeCell="M4" sqref="M4"/>
    </sheetView>
  </sheetViews>
  <sheetFormatPr baseColWidth="10" defaultColWidth="0" defaultRowHeight="12.75" x14ac:dyDescent="0.2"/>
  <cols>
    <col min="1" max="1" width="1.7109375" style="8" customWidth="1"/>
    <col min="2" max="2" width="3.7109375" style="8" customWidth="1"/>
    <col min="3" max="3" width="13.85546875" style="8" customWidth="1"/>
    <col min="4" max="11" width="11.42578125" style="8" customWidth="1"/>
    <col min="12" max="12" width="2.5703125" style="8" customWidth="1"/>
    <col min="13" max="13" width="50.28515625" style="192" bestFit="1" customWidth="1"/>
    <col min="14" max="22" width="3.28515625" style="192" bestFit="1" customWidth="1"/>
    <col min="23" max="23" width="3.7109375" style="8" customWidth="1"/>
    <col min="24" max="24" width="1.7109375" style="8" customWidth="1"/>
    <col min="25" max="16384" width="11.42578125" style="8" hidden="1"/>
  </cols>
  <sheetData>
    <row r="1" spans="2:23" ht="13.5" thickBot="1" x14ac:dyDescent="0.25">
      <c r="M1" s="194"/>
      <c r="N1" s="194"/>
      <c r="O1" s="194"/>
      <c r="P1" s="194"/>
      <c r="Q1" s="194"/>
      <c r="R1" s="194"/>
      <c r="S1" s="194"/>
      <c r="T1" s="194"/>
      <c r="U1" s="194"/>
      <c r="V1" s="194"/>
    </row>
    <row r="2" spans="2:23" ht="13.5" thickTop="1" x14ac:dyDescent="0.2">
      <c r="B2" s="57"/>
      <c r="C2" s="58"/>
      <c r="D2" s="58"/>
      <c r="E2" s="58"/>
      <c r="F2" s="58"/>
      <c r="G2" s="58"/>
      <c r="H2" s="58"/>
      <c r="I2" s="58"/>
      <c r="J2" s="58"/>
      <c r="K2" s="58"/>
      <c r="L2" s="58"/>
      <c r="M2" s="194"/>
      <c r="N2" s="194"/>
      <c r="O2" s="194"/>
      <c r="P2" s="194"/>
      <c r="Q2" s="194"/>
      <c r="R2" s="194"/>
      <c r="S2" s="194"/>
      <c r="T2" s="194"/>
      <c r="U2" s="194"/>
      <c r="V2" s="194"/>
      <c r="W2" s="59"/>
    </row>
    <row r="3" spans="2:23" x14ac:dyDescent="0.2">
      <c r="B3" s="60"/>
      <c r="C3" s="7"/>
      <c r="D3" s="7"/>
      <c r="E3" s="7"/>
      <c r="F3" s="7"/>
      <c r="G3" s="7"/>
      <c r="H3" s="7"/>
      <c r="I3" s="7"/>
      <c r="J3" s="7"/>
      <c r="K3" s="7"/>
      <c r="L3" s="7"/>
      <c r="M3" s="194"/>
      <c r="N3" s="194"/>
      <c r="O3" s="194"/>
      <c r="P3" s="194"/>
      <c r="Q3" s="194"/>
      <c r="R3" s="194"/>
      <c r="S3" s="194"/>
      <c r="T3" s="194"/>
      <c r="U3" s="194"/>
      <c r="V3" s="194"/>
      <c r="W3" s="61"/>
    </row>
    <row r="4" spans="2:23" x14ac:dyDescent="0.2">
      <c r="B4" s="60"/>
      <c r="C4" s="7"/>
      <c r="D4" s="7"/>
      <c r="E4" s="7"/>
      <c r="F4" s="7"/>
      <c r="G4" s="7"/>
      <c r="H4" s="7"/>
      <c r="I4" s="7"/>
      <c r="J4" s="7"/>
      <c r="K4" s="7"/>
      <c r="L4" s="7"/>
      <c r="M4" s="194"/>
      <c r="N4" s="194"/>
      <c r="O4" s="194"/>
      <c r="P4" s="194"/>
      <c r="Q4" s="194"/>
      <c r="R4" s="194"/>
      <c r="S4" s="194"/>
      <c r="T4" s="194"/>
      <c r="U4" s="194"/>
      <c r="V4" s="194"/>
      <c r="W4" s="61"/>
    </row>
    <row r="5" spans="2:23" x14ac:dyDescent="0.2">
      <c r="B5" s="60"/>
      <c r="C5" s="7"/>
      <c r="D5" s="7"/>
      <c r="E5" s="7"/>
      <c r="F5" s="7"/>
      <c r="G5" s="7"/>
      <c r="H5" s="7"/>
      <c r="I5" s="7"/>
      <c r="J5" s="7"/>
      <c r="K5" s="7"/>
      <c r="L5" s="7"/>
      <c r="M5" s="194"/>
      <c r="N5" s="194"/>
      <c r="O5" s="194"/>
      <c r="P5" s="194"/>
      <c r="Q5" s="194"/>
      <c r="R5" s="194"/>
      <c r="S5" s="194"/>
      <c r="T5" s="194"/>
      <c r="U5" s="194"/>
      <c r="V5" s="194"/>
      <c r="W5" s="61"/>
    </row>
    <row r="6" spans="2:23" x14ac:dyDescent="0.2">
      <c r="B6" s="60"/>
      <c r="C6" s="7"/>
      <c r="D6" s="7"/>
      <c r="E6" s="7"/>
      <c r="F6" s="7"/>
      <c r="G6" s="7"/>
      <c r="H6" s="7"/>
      <c r="I6" s="7"/>
      <c r="J6" s="7"/>
      <c r="K6" s="7"/>
      <c r="L6" s="7"/>
      <c r="M6" s="194"/>
      <c r="N6" s="194"/>
      <c r="O6" s="194"/>
      <c r="P6" s="194"/>
      <c r="Q6" s="194"/>
      <c r="R6" s="194"/>
      <c r="S6" s="194"/>
      <c r="T6" s="194"/>
      <c r="U6" s="194"/>
      <c r="V6" s="194"/>
      <c r="W6" s="61"/>
    </row>
    <row r="7" spans="2:23" x14ac:dyDescent="0.2">
      <c r="B7" s="60"/>
      <c r="C7" s="7"/>
      <c r="D7" s="7"/>
      <c r="E7" s="7"/>
      <c r="F7" s="7"/>
      <c r="G7" s="7"/>
      <c r="H7" s="7"/>
      <c r="I7" s="7"/>
      <c r="J7" s="7"/>
      <c r="K7" s="7"/>
      <c r="L7" s="61"/>
      <c r="M7" s="194"/>
      <c r="N7" s="194"/>
      <c r="O7" s="194"/>
      <c r="P7" s="194"/>
      <c r="Q7" s="194"/>
      <c r="R7" s="194"/>
      <c r="S7" s="194"/>
      <c r="T7" s="194"/>
      <c r="U7" s="194"/>
      <c r="V7" s="194"/>
      <c r="W7" s="61"/>
    </row>
    <row r="8" spans="2:23" ht="19.5" x14ac:dyDescent="0.2">
      <c r="B8" s="60"/>
      <c r="C8" s="78" t="s">
        <v>190</v>
      </c>
      <c r="D8" s="7"/>
      <c r="E8" s="7"/>
      <c r="F8" s="7"/>
      <c r="G8" s="7"/>
      <c r="H8" s="7"/>
      <c r="I8" s="7"/>
      <c r="J8" s="7"/>
      <c r="K8" s="7"/>
      <c r="L8" s="61"/>
      <c r="M8" s="194"/>
      <c r="N8" s="194"/>
      <c r="O8" s="194"/>
      <c r="P8" s="194"/>
      <c r="Q8" s="194"/>
      <c r="R8" s="194"/>
      <c r="S8" s="194"/>
      <c r="T8" s="194"/>
      <c r="U8" s="194"/>
      <c r="V8" s="194"/>
      <c r="W8" s="61"/>
    </row>
    <row r="9" spans="2:23" ht="13.5" thickBot="1" x14ac:dyDescent="0.25">
      <c r="B9" s="60"/>
      <c r="C9" s="7"/>
      <c r="D9" s="7"/>
      <c r="E9" s="7"/>
      <c r="F9" s="7"/>
      <c r="G9" s="7"/>
      <c r="H9" s="7"/>
      <c r="I9" s="7"/>
      <c r="J9" s="7"/>
      <c r="K9" s="7"/>
      <c r="L9" s="61"/>
      <c r="M9" s="195"/>
      <c r="N9" s="195"/>
      <c r="O9" s="195"/>
      <c r="P9" s="195"/>
      <c r="Q9" s="195"/>
      <c r="R9" s="195"/>
      <c r="S9" s="195"/>
      <c r="T9" s="195"/>
      <c r="U9" s="195"/>
      <c r="V9" s="195"/>
      <c r="W9" s="61"/>
    </row>
    <row r="10" spans="2:23" ht="15.75" x14ac:dyDescent="0.25">
      <c r="B10" s="60"/>
      <c r="C10" s="164" t="s">
        <v>191</v>
      </c>
      <c r="D10" s="164" t="s">
        <v>192</v>
      </c>
      <c r="E10" s="164"/>
      <c r="F10" s="164"/>
      <c r="G10" s="164"/>
      <c r="H10" s="164"/>
      <c r="I10" s="164"/>
      <c r="J10" s="164"/>
      <c r="K10" s="164"/>
      <c r="L10" s="61"/>
      <c r="M10" s="196"/>
      <c r="N10" s="197" t="s">
        <v>193</v>
      </c>
      <c r="O10" s="198"/>
      <c r="P10" s="198"/>
      <c r="Q10" s="198"/>
      <c r="R10" s="198"/>
      <c r="S10" s="198"/>
      <c r="T10" s="198"/>
      <c r="U10" s="198"/>
      <c r="V10" s="199"/>
      <c r="W10" s="61"/>
    </row>
    <row r="11" spans="2:23" x14ac:dyDescent="0.2">
      <c r="B11" s="60"/>
      <c r="C11" s="164"/>
      <c r="D11" s="164"/>
      <c r="E11" s="164"/>
      <c r="F11" s="164"/>
      <c r="G11" s="164"/>
      <c r="H11" s="164"/>
      <c r="I11" s="164"/>
      <c r="J11" s="164"/>
      <c r="K11" s="164"/>
      <c r="L11" s="61"/>
      <c r="M11" s="200"/>
      <c r="N11" s="168" t="s">
        <v>194</v>
      </c>
      <c r="O11" s="169"/>
      <c r="P11" s="170" t="s">
        <v>195</v>
      </c>
      <c r="Q11" s="169"/>
      <c r="R11" s="169"/>
      <c r="S11" s="169"/>
      <c r="T11" s="169"/>
      <c r="U11" s="169"/>
      <c r="V11" s="171"/>
      <c r="W11" s="61"/>
    </row>
    <row r="12" spans="2:23" x14ac:dyDescent="0.2">
      <c r="B12" s="60"/>
      <c r="C12" s="164"/>
      <c r="D12" s="164"/>
      <c r="E12" s="164"/>
      <c r="F12" s="164"/>
      <c r="G12" s="164"/>
      <c r="H12" s="164"/>
      <c r="I12" s="164"/>
      <c r="J12" s="164"/>
      <c r="K12" s="164"/>
      <c r="L12" s="61"/>
      <c r="M12" s="200"/>
      <c r="N12" s="168" t="s">
        <v>196</v>
      </c>
      <c r="O12" s="169"/>
      <c r="P12" s="172"/>
      <c r="Q12" s="173"/>
      <c r="R12" s="173"/>
      <c r="S12" s="173"/>
      <c r="T12" s="173"/>
      <c r="U12" s="173"/>
      <c r="V12" s="174"/>
      <c r="W12" s="61"/>
    </row>
    <row r="13" spans="2:23" ht="243" thickBot="1" x14ac:dyDescent="0.3">
      <c r="B13" s="60"/>
      <c r="C13" s="147" t="s">
        <v>1</v>
      </c>
      <c r="D13" s="148" t="s">
        <v>167</v>
      </c>
      <c r="E13" s="148"/>
      <c r="F13" s="148"/>
      <c r="G13" s="148"/>
      <c r="H13" s="148"/>
      <c r="I13" s="148"/>
      <c r="J13" s="148"/>
      <c r="K13" s="148"/>
      <c r="L13" s="61"/>
      <c r="M13" s="201" t="s">
        <v>197</v>
      </c>
      <c r="N13" s="175" t="s">
        <v>198</v>
      </c>
      <c r="O13" s="176" t="s">
        <v>199</v>
      </c>
      <c r="P13" s="177" t="s">
        <v>200</v>
      </c>
      <c r="Q13" s="178" t="s">
        <v>201</v>
      </c>
      <c r="R13" s="178" t="s">
        <v>202</v>
      </c>
      <c r="S13" s="177" t="s">
        <v>203</v>
      </c>
      <c r="T13" s="178" t="s">
        <v>204</v>
      </c>
      <c r="U13" s="177" t="s">
        <v>205</v>
      </c>
      <c r="V13" s="179" t="s">
        <v>206</v>
      </c>
      <c r="W13" s="61"/>
    </row>
    <row r="14" spans="2:23" x14ac:dyDescent="0.2">
      <c r="B14" s="60"/>
      <c r="C14" s="147"/>
      <c r="D14" s="148"/>
      <c r="E14" s="148"/>
      <c r="F14" s="148"/>
      <c r="G14" s="148"/>
      <c r="H14" s="148"/>
      <c r="I14" s="148"/>
      <c r="J14" s="148"/>
      <c r="K14" s="148"/>
      <c r="L14" s="61"/>
      <c r="M14" s="180" t="s">
        <v>207</v>
      </c>
      <c r="N14" s="181" t="s">
        <v>2</v>
      </c>
      <c r="O14" s="182" t="s">
        <v>3</v>
      </c>
      <c r="P14" s="182" t="s">
        <v>1</v>
      </c>
      <c r="Q14" s="182" t="s">
        <v>208</v>
      </c>
      <c r="R14" s="182" t="s">
        <v>209</v>
      </c>
      <c r="S14" s="182" t="s">
        <v>208</v>
      </c>
      <c r="T14" s="182" t="s">
        <v>208</v>
      </c>
      <c r="U14" s="182" t="s">
        <v>208</v>
      </c>
      <c r="V14" s="183" t="s">
        <v>208</v>
      </c>
      <c r="W14" s="61"/>
    </row>
    <row r="15" spans="2:23" x14ac:dyDescent="0.2">
      <c r="B15" s="60"/>
      <c r="C15" s="147" t="s">
        <v>2</v>
      </c>
      <c r="D15" s="149" t="s">
        <v>168</v>
      </c>
      <c r="E15" s="150"/>
      <c r="F15" s="150"/>
      <c r="G15" s="150"/>
      <c r="H15" s="150"/>
      <c r="I15" s="150"/>
      <c r="J15" s="150"/>
      <c r="K15" s="151"/>
      <c r="L15" s="61"/>
      <c r="M15" s="180" t="s">
        <v>210</v>
      </c>
      <c r="N15" s="181" t="s">
        <v>2</v>
      </c>
      <c r="O15" s="182" t="s">
        <v>3</v>
      </c>
      <c r="P15" s="182" t="s">
        <v>1</v>
      </c>
      <c r="Q15" s="182" t="s">
        <v>208</v>
      </c>
      <c r="R15" s="182" t="s">
        <v>209</v>
      </c>
      <c r="S15" s="182" t="s">
        <v>208</v>
      </c>
      <c r="T15" s="182" t="s">
        <v>208</v>
      </c>
      <c r="U15" s="182" t="s">
        <v>208</v>
      </c>
      <c r="V15" s="183" t="s">
        <v>208</v>
      </c>
      <c r="W15" s="61"/>
    </row>
    <row r="16" spans="2:23" x14ac:dyDescent="0.2">
      <c r="B16" s="60"/>
      <c r="C16" s="147"/>
      <c r="D16" s="152"/>
      <c r="E16" s="153"/>
      <c r="F16" s="153"/>
      <c r="G16" s="153"/>
      <c r="H16" s="153"/>
      <c r="I16" s="153"/>
      <c r="J16" s="153"/>
      <c r="K16" s="154"/>
      <c r="L16" s="61"/>
      <c r="M16" s="180" t="s">
        <v>211</v>
      </c>
      <c r="N16" s="181" t="s">
        <v>208</v>
      </c>
      <c r="O16" s="182" t="s">
        <v>208</v>
      </c>
      <c r="P16" s="182" t="s">
        <v>1</v>
      </c>
      <c r="Q16" s="182" t="s">
        <v>208</v>
      </c>
      <c r="R16" s="182" t="s">
        <v>209</v>
      </c>
      <c r="S16" s="182" t="s">
        <v>208</v>
      </c>
      <c r="T16" s="182" t="s">
        <v>208</v>
      </c>
      <c r="U16" s="182" t="s">
        <v>208</v>
      </c>
      <c r="V16" s="183" t="s">
        <v>208</v>
      </c>
      <c r="W16" s="61"/>
    </row>
    <row r="17" spans="2:23" x14ac:dyDescent="0.2">
      <c r="B17" s="60"/>
      <c r="C17" s="147"/>
      <c r="D17" s="152" t="s">
        <v>169</v>
      </c>
      <c r="E17" s="153"/>
      <c r="F17" s="153"/>
      <c r="G17" s="153"/>
      <c r="H17" s="153"/>
      <c r="I17" s="153"/>
      <c r="J17" s="153"/>
      <c r="K17" s="154"/>
      <c r="L17" s="61"/>
      <c r="M17" s="180" t="s">
        <v>212</v>
      </c>
      <c r="N17" s="181" t="s">
        <v>2</v>
      </c>
      <c r="O17" s="182" t="s">
        <v>3</v>
      </c>
      <c r="P17" s="182" t="s">
        <v>1</v>
      </c>
      <c r="Q17" s="182" t="s">
        <v>208</v>
      </c>
      <c r="R17" s="182" t="s">
        <v>209</v>
      </c>
      <c r="S17" s="182" t="s">
        <v>208</v>
      </c>
      <c r="T17" s="182" t="s">
        <v>208</v>
      </c>
      <c r="U17" s="182" t="s">
        <v>208</v>
      </c>
      <c r="V17" s="183" t="s">
        <v>208</v>
      </c>
      <c r="W17" s="61"/>
    </row>
    <row r="18" spans="2:23" x14ac:dyDescent="0.2">
      <c r="B18" s="60"/>
      <c r="C18" s="147"/>
      <c r="D18" s="165" t="s">
        <v>170</v>
      </c>
      <c r="E18" s="166"/>
      <c r="F18" s="166"/>
      <c r="G18" s="166"/>
      <c r="H18" s="166"/>
      <c r="I18" s="166"/>
      <c r="J18" s="166"/>
      <c r="K18" s="167"/>
      <c r="L18" s="61"/>
      <c r="M18" s="180" t="s">
        <v>213</v>
      </c>
      <c r="N18" s="181" t="s">
        <v>208</v>
      </c>
      <c r="O18" s="182" t="s">
        <v>208</v>
      </c>
      <c r="P18" s="182" t="s">
        <v>208</v>
      </c>
      <c r="Q18" s="182" t="s">
        <v>208</v>
      </c>
      <c r="R18" s="182" t="s">
        <v>209</v>
      </c>
      <c r="S18" s="182" t="s">
        <v>208</v>
      </c>
      <c r="T18" s="182" t="s">
        <v>208</v>
      </c>
      <c r="U18" s="182" t="s">
        <v>208</v>
      </c>
      <c r="V18" s="183" t="s">
        <v>8</v>
      </c>
      <c r="W18" s="61"/>
    </row>
    <row r="19" spans="2:23" x14ac:dyDescent="0.2">
      <c r="B19" s="60"/>
      <c r="C19" s="147" t="s">
        <v>3</v>
      </c>
      <c r="D19" s="149" t="s">
        <v>171</v>
      </c>
      <c r="E19" s="150"/>
      <c r="F19" s="150"/>
      <c r="G19" s="150"/>
      <c r="H19" s="150"/>
      <c r="I19" s="150"/>
      <c r="J19" s="150"/>
      <c r="K19" s="151"/>
      <c r="L19" s="61"/>
      <c r="M19" s="184" t="s">
        <v>214</v>
      </c>
      <c r="N19" s="181" t="s">
        <v>2</v>
      </c>
      <c r="O19" s="182" t="s">
        <v>3</v>
      </c>
      <c r="P19" s="182" t="s">
        <v>208</v>
      </c>
      <c r="Q19" s="182" t="s">
        <v>208</v>
      </c>
      <c r="R19" s="182" t="s">
        <v>209</v>
      </c>
      <c r="S19" s="182" t="s">
        <v>208</v>
      </c>
      <c r="T19" s="182" t="s">
        <v>208</v>
      </c>
      <c r="U19" s="182" t="s">
        <v>208</v>
      </c>
      <c r="V19" s="183" t="s">
        <v>208</v>
      </c>
      <c r="W19" s="61"/>
    </row>
    <row r="20" spans="2:23" x14ac:dyDescent="0.2">
      <c r="B20" s="60"/>
      <c r="C20" s="147"/>
      <c r="D20" s="152" t="s">
        <v>172</v>
      </c>
      <c r="E20" s="153"/>
      <c r="F20" s="153"/>
      <c r="G20" s="153"/>
      <c r="H20" s="153"/>
      <c r="I20" s="153"/>
      <c r="J20" s="153"/>
      <c r="K20" s="154"/>
      <c r="L20" s="61"/>
      <c r="M20" s="180" t="s">
        <v>215</v>
      </c>
      <c r="N20" s="181" t="s">
        <v>2</v>
      </c>
      <c r="O20" s="182" t="s">
        <v>3</v>
      </c>
      <c r="P20" s="182" t="s">
        <v>208</v>
      </c>
      <c r="Q20" s="182" t="s">
        <v>4</v>
      </c>
      <c r="R20" s="182" t="s">
        <v>209</v>
      </c>
      <c r="S20" s="182" t="s">
        <v>3</v>
      </c>
      <c r="T20" s="182" t="s">
        <v>4</v>
      </c>
      <c r="U20" s="182" t="s">
        <v>208</v>
      </c>
      <c r="V20" s="183" t="s">
        <v>208</v>
      </c>
      <c r="W20" s="61"/>
    </row>
    <row r="21" spans="2:23" x14ac:dyDescent="0.2">
      <c r="B21" s="60"/>
      <c r="C21" s="147"/>
      <c r="D21" s="152" t="s">
        <v>173</v>
      </c>
      <c r="E21" s="153"/>
      <c r="F21" s="153"/>
      <c r="G21" s="153"/>
      <c r="H21" s="153"/>
      <c r="I21" s="153"/>
      <c r="J21" s="153"/>
      <c r="K21" s="154"/>
      <c r="L21" s="61"/>
      <c r="M21" s="180" t="s">
        <v>216</v>
      </c>
      <c r="N21" s="181" t="s">
        <v>2</v>
      </c>
      <c r="O21" s="182" t="s">
        <v>3</v>
      </c>
      <c r="P21" s="182" t="s">
        <v>208</v>
      </c>
      <c r="Q21" s="182" t="s">
        <v>208</v>
      </c>
      <c r="R21" s="182" t="s">
        <v>209</v>
      </c>
      <c r="S21" s="182" t="s">
        <v>208</v>
      </c>
      <c r="T21" s="182" t="s">
        <v>208</v>
      </c>
      <c r="U21" s="182" t="s">
        <v>208</v>
      </c>
      <c r="V21" s="183" t="s">
        <v>208</v>
      </c>
      <c r="W21" s="61"/>
    </row>
    <row r="22" spans="2:23" x14ac:dyDescent="0.2">
      <c r="B22" s="60"/>
      <c r="C22" s="147"/>
      <c r="D22" s="165" t="s">
        <v>174</v>
      </c>
      <c r="E22" s="166"/>
      <c r="F22" s="166"/>
      <c r="G22" s="166"/>
      <c r="H22" s="166"/>
      <c r="I22" s="166"/>
      <c r="J22" s="166"/>
      <c r="K22" s="167"/>
      <c r="L22" s="61"/>
      <c r="M22" s="180" t="s">
        <v>217</v>
      </c>
      <c r="N22" s="181" t="s">
        <v>208</v>
      </c>
      <c r="O22" s="182" t="s">
        <v>208</v>
      </c>
      <c r="P22" s="182" t="s">
        <v>208</v>
      </c>
      <c r="Q22" s="182" t="s">
        <v>6</v>
      </c>
      <c r="R22" s="182" t="s">
        <v>6</v>
      </c>
      <c r="S22" s="182" t="s">
        <v>7</v>
      </c>
      <c r="T22" s="182" t="s">
        <v>7</v>
      </c>
      <c r="U22" s="182" t="s">
        <v>208</v>
      </c>
      <c r="V22" s="183" t="s">
        <v>208</v>
      </c>
      <c r="W22" s="61"/>
    </row>
    <row r="23" spans="2:23" x14ac:dyDescent="0.2">
      <c r="B23" s="60"/>
      <c r="C23" s="147" t="s">
        <v>4</v>
      </c>
      <c r="D23" s="161" t="s">
        <v>175</v>
      </c>
      <c r="E23" s="162"/>
      <c r="F23" s="162"/>
      <c r="G23" s="162"/>
      <c r="H23" s="162"/>
      <c r="I23" s="162"/>
      <c r="J23" s="162"/>
      <c r="K23" s="163"/>
      <c r="L23" s="61"/>
      <c r="M23" s="180" t="s">
        <v>218</v>
      </c>
      <c r="N23" s="181" t="s">
        <v>2</v>
      </c>
      <c r="O23" s="182" t="s">
        <v>3</v>
      </c>
      <c r="P23" s="182" t="s">
        <v>1</v>
      </c>
      <c r="Q23" s="182" t="s">
        <v>208</v>
      </c>
      <c r="R23" s="182" t="s">
        <v>209</v>
      </c>
      <c r="S23" s="182" t="s">
        <v>208</v>
      </c>
      <c r="T23" s="182" t="s">
        <v>208</v>
      </c>
      <c r="U23" s="182" t="s">
        <v>208</v>
      </c>
      <c r="V23" s="183" t="s">
        <v>208</v>
      </c>
      <c r="W23" s="61"/>
    </row>
    <row r="24" spans="2:23" x14ac:dyDescent="0.2">
      <c r="B24" s="60"/>
      <c r="C24" s="147"/>
      <c r="D24" s="158" t="s">
        <v>176</v>
      </c>
      <c r="E24" s="159"/>
      <c r="F24" s="159"/>
      <c r="G24" s="159"/>
      <c r="H24" s="159"/>
      <c r="I24" s="159"/>
      <c r="J24" s="159"/>
      <c r="K24" s="160"/>
      <c r="L24" s="61"/>
      <c r="M24" s="180" t="s">
        <v>219</v>
      </c>
      <c r="N24" s="181" t="s">
        <v>2</v>
      </c>
      <c r="O24" s="182" t="s">
        <v>3</v>
      </c>
      <c r="P24" s="182" t="s">
        <v>1</v>
      </c>
      <c r="Q24" s="182" t="s">
        <v>208</v>
      </c>
      <c r="R24" s="182" t="s">
        <v>2</v>
      </c>
      <c r="S24" s="182" t="s">
        <v>3</v>
      </c>
      <c r="T24" s="182" t="s">
        <v>5</v>
      </c>
      <c r="U24" s="182" t="s">
        <v>6</v>
      </c>
      <c r="V24" s="183" t="s">
        <v>208</v>
      </c>
      <c r="W24" s="61"/>
    </row>
    <row r="25" spans="2:23" x14ac:dyDescent="0.2">
      <c r="B25" s="60"/>
      <c r="C25" s="147"/>
      <c r="D25" s="158" t="s">
        <v>177</v>
      </c>
      <c r="E25" s="159"/>
      <c r="F25" s="159"/>
      <c r="G25" s="159"/>
      <c r="H25" s="159"/>
      <c r="I25" s="159"/>
      <c r="J25" s="159"/>
      <c r="K25" s="160"/>
      <c r="L25" s="61"/>
      <c r="M25" s="180" t="s">
        <v>220</v>
      </c>
      <c r="N25" s="181" t="s">
        <v>208</v>
      </c>
      <c r="O25" s="182" t="s">
        <v>208</v>
      </c>
      <c r="P25" s="182" t="s">
        <v>208</v>
      </c>
      <c r="Q25" s="182" t="s">
        <v>208</v>
      </c>
      <c r="R25" s="182" t="s">
        <v>6</v>
      </c>
      <c r="S25" s="182" t="s">
        <v>208</v>
      </c>
      <c r="T25" s="182" t="s">
        <v>6</v>
      </c>
      <c r="U25" s="182" t="s">
        <v>208</v>
      </c>
      <c r="V25" s="183" t="s">
        <v>208</v>
      </c>
      <c r="W25" s="61"/>
    </row>
    <row r="26" spans="2:23" x14ac:dyDescent="0.2">
      <c r="B26" s="60"/>
      <c r="C26" s="147"/>
      <c r="D26" s="155" t="s">
        <v>178</v>
      </c>
      <c r="E26" s="156"/>
      <c r="F26" s="156"/>
      <c r="G26" s="156"/>
      <c r="H26" s="156"/>
      <c r="I26" s="156"/>
      <c r="J26" s="156"/>
      <c r="K26" s="157"/>
      <c r="L26" s="61"/>
      <c r="M26" s="180" t="s">
        <v>221</v>
      </c>
      <c r="N26" s="181" t="s">
        <v>208</v>
      </c>
      <c r="O26" s="182" t="s">
        <v>208</v>
      </c>
      <c r="P26" s="182" t="s">
        <v>208</v>
      </c>
      <c r="Q26" s="182" t="s">
        <v>208</v>
      </c>
      <c r="R26" s="182" t="s">
        <v>209</v>
      </c>
      <c r="S26" s="182" t="s">
        <v>208</v>
      </c>
      <c r="T26" s="182" t="s">
        <v>208</v>
      </c>
      <c r="U26" s="182" t="s">
        <v>208</v>
      </c>
      <c r="V26" s="183" t="s">
        <v>9</v>
      </c>
      <c r="W26" s="61"/>
    </row>
    <row r="27" spans="2:23" x14ac:dyDescent="0.2">
      <c r="B27" s="60"/>
      <c r="C27" s="147" t="s">
        <v>5</v>
      </c>
      <c r="D27" s="149" t="s">
        <v>179</v>
      </c>
      <c r="E27" s="150"/>
      <c r="F27" s="150"/>
      <c r="G27" s="150"/>
      <c r="H27" s="150"/>
      <c r="I27" s="150"/>
      <c r="J27" s="150"/>
      <c r="K27" s="151"/>
      <c r="L27" s="61"/>
      <c r="M27" s="180" t="s">
        <v>222</v>
      </c>
      <c r="N27" s="181" t="s">
        <v>208</v>
      </c>
      <c r="O27" s="182" t="s">
        <v>208</v>
      </c>
      <c r="P27" s="182" t="s">
        <v>1</v>
      </c>
      <c r="Q27" s="182" t="s">
        <v>208</v>
      </c>
      <c r="R27" s="182" t="s">
        <v>209</v>
      </c>
      <c r="S27" s="182" t="s">
        <v>208</v>
      </c>
      <c r="T27" s="182" t="s">
        <v>208</v>
      </c>
      <c r="U27" s="182" t="s">
        <v>208</v>
      </c>
      <c r="V27" s="183" t="s">
        <v>208</v>
      </c>
      <c r="W27" s="61"/>
    </row>
    <row r="28" spans="2:23" x14ac:dyDescent="0.2">
      <c r="B28" s="60"/>
      <c r="C28" s="147"/>
      <c r="D28" s="152"/>
      <c r="E28" s="153"/>
      <c r="F28" s="153"/>
      <c r="G28" s="153"/>
      <c r="H28" s="153"/>
      <c r="I28" s="153"/>
      <c r="J28" s="153"/>
      <c r="K28" s="154"/>
      <c r="L28" s="61"/>
      <c r="M28" s="180" t="s">
        <v>223</v>
      </c>
      <c r="N28" s="181" t="s">
        <v>2</v>
      </c>
      <c r="O28" s="182" t="s">
        <v>3</v>
      </c>
      <c r="P28" s="182" t="s">
        <v>208</v>
      </c>
      <c r="Q28" s="182" t="s">
        <v>208</v>
      </c>
      <c r="R28" s="182" t="s">
        <v>209</v>
      </c>
      <c r="S28" s="182" t="s">
        <v>208</v>
      </c>
      <c r="T28" s="182" t="s">
        <v>208</v>
      </c>
      <c r="U28" s="182" t="s">
        <v>208</v>
      </c>
      <c r="V28" s="183" t="s">
        <v>2</v>
      </c>
      <c r="W28" s="61"/>
    </row>
    <row r="29" spans="2:23" x14ac:dyDescent="0.2">
      <c r="B29" s="60"/>
      <c r="C29" s="147"/>
      <c r="D29" s="158" t="s">
        <v>180</v>
      </c>
      <c r="E29" s="159"/>
      <c r="F29" s="159"/>
      <c r="G29" s="159"/>
      <c r="H29" s="159"/>
      <c r="I29" s="159"/>
      <c r="J29" s="159"/>
      <c r="K29" s="160"/>
      <c r="L29" s="61"/>
      <c r="M29" s="180" t="s">
        <v>224</v>
      </c>
      <c r="N29" s="181" t="s">
        <v>2</v>
      </c>
      <c r="O29" s="182" t="s">
        <v>3</v>
      </c>
      <c r="P29" s="182" t="s">
        <v>1</v>
      </c>
      <c r="Q29" s="182" t="s">
        <v>208</v>
      </c>
      <c r="R29" s="182" t="s">
        <v>209</v>
      </c>
      <c r="S29" s="182" t="s">
        <v>208</v>
      </c>
      <c r="T29" s="182" t="s">
        <v>208</v>
      </c>
      <c r="U29" s="182" t="s">
        <v>208</v>
      </c>
      <c r="V29" s="183" t="s">
        <v>208</v>
      </c>
      <c r="W29" s="61"/>
    </row>
    <row r="30" spans="2:23" x14ac:dyDescent="0.2">
      <c r="B30" s="60"/>
      <c r="C30" s="147"/>
      <c r="D30" s="155" t="s">
        <v>181</v>
      </c>
      <c r="E30" s="156"/>
      <c r="F30" s="156"/>
      <c r="G30" s="156"/>
      <c r="H30" s="156"/>
      <c r="I30" s="156"/>
      <c r="J30" s="156"/>
      <c r="K30" s="157"/>
      <c r="L30" s="61"/>
      <c r="M30" s="180" t="s">
        <v>225</v>
      </c>
      <c r="N30" s="181" t="s">
        <v>2</v>
      </c>
      <c r="O30" s="182" t="s">
        <v>3</v>
      </c>
      <c r="P30" s="182" t="s">
        <v>208</v>
      </c>
      <c r="Q30" s="182" t="s">
        <v>208</v>
      </c>
      <c r="R30" s="182" t="s">
        <v>2</v>
      </c>
      <c r="S30" s="182" t="s">
        <v>2</v>
      </c>
      <c r="T30" s="182" t="s">
        <v>208</v>
      </c>
      <c r="U30" s="182" t="s">
        <v>208</v>
      </c>
      <c r="V30" s="183" t="s">
        <v>208</v>
      </c>
      <c r="W30" s="61"/>
    </row>
    <row r="31" spans="2:23" x14ac:dyDescent="0.2">
      <c r="B31" s="60"/>
      <c r="C31" s="147" t="s">
        <v>6</v>
      </c>
      <c r="D31" s="149" t="s">
        <v>182</v>
      </c>
      <c r="E31" s="150"/>
      <c r="F31" s="150"/>
      <c r="G31" s="150"/>
      <c r="H31" s="150"/>
      <c r="I31" s="150"/>
      <c r="J31" s="150"/>
      <c r="K31" s="151"/>
      <c r="L31" s="61"/>
      <c r="M31" s="180" t="s">
        <v>226</v>
      </c>
      <c r="N31" s="181" t="s">
        <v>2</v>
      </c>
      <c r="O31" s="182" t="s">
        <v>3</v>
      </c>
      <c r="P31" s="182" t="s">
        <v>2</v>
      </c>
      <c r="Q31" s="182" t="s">
        <v>4</v>
      </c>
      <c r="R31" s="182" t="s">
        <v>3</v>
      </c>
      <c r="S31" s="182" t="s">
        <v>208</v>
      </c>
      <c r="T31" s="182" t="s">
        <v>4</v>
      </c>
      <c r="U31" s="182" t="s">
        <v>208</v>
      </c>
      <c r="V31" s="183" t="s">
        <v>208</v>
      </c>
      <c r="W31" s="61"/>
    </row>
    <row r="32" spans="2:23" x14ac:dyDescent="0.2">
      <c r="B32" s="60"/>
      <c r="C32" s="147"/>
      <c r="D32" s="152"/>
      <c r="E32" s="153"/>
      <c r="F32" s="153"/>
      <c r="G32" s="153"/>
      <c r="H32" s="153"/>
      <c r="I32" s="153"/>
      <c r="J32" s="153"/>
      <c r="K32" s="154"/>
      <c r="L32" s="61"/>
      <c r="M32" s="180" t="s">
        <v>227</v>
      </c>
      <c r="N32" s="181" t="s">
        <v>2</v>
      </c>
      <c r="O32" s="182" t="s">
        <v>3</v>
      </c>
      <c r="P32" s="182" t="s">
        <v>208</v>
      </c>
      <c r="Q32" s="182" t="s">
        <v>208</v>
      </c>
      <c r="R32" s="182" t="s">
        <v>4</v>
      </c>
      <c r="S32" s="182" t="s">
        <v>208</v>
      </c>
      <c r="T32" s="182" t="s">
        <v>208</v>
      </c>
      <c r="U32" s="182" t="s">
        <v>208</v>
      </c>
      <c r="V32" s="183" t="s">
        <v>208</v>
      </c>
      <c r="W32" s="61"/>
    </row>
    <row r="33" spans="2:23" x14ac:dyDescent="0.2">
      <c r="B33" s="60"/>
      <c r="C33" s="147"/>
      <c r="D33" s="158" t="s">
        <v>183</v>
      </c>
      <c r="E33" s="159"/>
      <c r="F33" s="159"/>
      <c r="G33" s="159"/>
      <c r="H33" s="159"/>
      <c r="I33" s="159"/>
      <c r="J33" s="159"/>
      <c r="K33" s="160"/>
      <c r="L33" s="61"/>
      <c r="M33" s="180" t="s">
        <v>228</v>
      </c>
      <c r="N33" s="181" t="s">
        <v>208</v>
      </c>
      <c r="O33" s="182" t="s">
        <v>208</v>
      </c>
      <c r="P33" s="182" t="s">
        <v>1</v>
      </c>
      <c r="Q33" s="182" t="s">
        <v>208</v>
      </c>
      <c r="R33" s="182" t="s">
        <v>209</v>
      </c>
      <c r="S33" s="182" t="s">
        <v>208</v>
      </c>
      <c r="T33" s="182" t="s">
        <v>208</v>
      </c>
      <c r="U33" s="182" t="s">
        <v>208</v>
      </c>
      <c r="V33" s="183" t="s">
        <v>208</v>
      </c>
      <c r="W33" s="61"/>
    </row>
    <row r="34" spans="2:23" x14ac:dyDescent="0.2">
      <c r="B34" s="60"/>
      <c r="C34" s="147"/>
      <c r="D34" s="155" t="s">
        <v>184</v>
      </c>
      <c r="E34" s="156"/>
      <c r="F34" s="156"/>
      <c r="G34" s="156"/>
      <c r="H34" s="156"/>
      <c r="I34" s="156"/>
      <c r="J34" s="156"/>
      <c r="K34" s="157"/>
      <c r="L34" s="61"/>
      <c r="M34" s="180" t="s">
        <v>229</v>
      </c>
      <c r="N34" s="181" t="s">
        <v>2</v>
      </c>
      <c r="O34" s="182" t="s">
        <v>3</v>
      </c>
      <c r="P34" s="182" t="s">
        <v>1</v>
      </c>
      <c r="Q34" s="182" t="s">
        <v>4</v>
      </c>
      <c r="R34" s="182" t="s">
        <v>209</v>
      </c>
      <c r="S34" s="182" t="s">
        <v>208</v>
      </c>
      <c r="T34" s="182" t="s">
        <v>208</v>
      </c>
      <c r="U34" s="182" t="s">
        <v>208</v>
      </c>
      <c r="V34" s="183" t="s">
        <v>208</v>
      </c>
      <c r="W34" s="61"/>
    </row>
    <row r="35" spans="2:23" x14ac:dyDescent="0.2">
      <c r="B35" s="60"/>
      <c r="C35" s="147" t="s">
        <v>7</v>
      </c>
      <c r="D35" s="161" t="s">
        <v>185</v>
      </c>
      <c r="E35" s="162"/>
      <c r="F35" s="162"/>
      <c r="G35" s="162"/>
      <c r="H35" s="162"/>
      <c r="I35" s="162"/>
      <c r="J35" s="162"/>
      <c r="K35" s="163"/>
      <c r="L35" s="61"/>
      <c r="M35" s="180" t="s">
        <v>230</v>
      </c>
      <c r="N35" s="181" t="s">
        <v>2</v>
      </c>
      <c r="O35" s="182" t="s">
        <v>3</v>
      </c>
      <c r="P35" s="182" t="s">
        <v>1</v>
      </c>
      <c r="Q35" s="182" t="s">
        <v>3</v>
      </c>
      <c r="R35" s="182" t="s">
        <v>4</v>
      </c>
      <c r="S35" s="182" t="s">
        <v>3</v>
      </c>
      <c r="T35" s="182" t="s">
        <v>4</v>
      </c>
      <c r="U35" s="182" t="s">
        <v>5</v>
      </c>
      <c r="V35" s="183" t="s">
        <v>208</v>
      </c>
      <c r="W35" s="61"/>
    </row>
    <row r="36" spans="2:23" x14ac:dyDescent="0.2">
      <c r="B36" s="60"/>
      <c r="C36" s="147"/>
      <c r="D36" s="158" t="s">
        <v>186</v>
      </c>
      <c r="E36" s="159"/>
      <c r="F36" s="159"/>
      <c r="G36" s="159"/>
      <c r="H36" s="159"/>
      <c r="I36" s="159"/>
      <c r="J36" s="159"/>
      <c r="K36" s="160"/>
      <c r="L36" s="61"/>
      <c r="M36" s="185" t="s">
        <v>231</v>
      </c>
      <c r="N36" s="181" t="s">
        <v>208</v>
      </c>
      <c r="O36" s="182" t="s">
        <v>208</v>
      </c>
      <c r="P36" s="182" t="s">
        <v>208</v>
      </c>
      <c r="Q36" s="182" t="s">
        <v>208</v>
      </c>
      <c r="R36" s="182" t="s">
        <v>209</v>
      </c>
      <c r="S36" s="182" t="s">
        <v>208</v>
      </c>
      <c r="T36" s="182" t="s">
        <v>208</v>
      </c>
      <c r="U36" s="182" t="s">
        <v>208</v>
      </c>
      <c r="V36" s="183" t="s">
        <v>3</v>
      </c>
      <c r="W36" s="61"/>
    </row>
    <row r="37" spans="2:23" x14ac:dyDescent="0.2">
      <c r="B37" s="60"/>
      <c r="C37" s="147"/>
      <c r="D37" s="155" t="s">
        <v>187</v>
      </c>
      <c r="E37" s="156"/>
      <c r="F37" s="156"/>
      <c r="G37" s="156"/>
      <c r="H37" s="156"/>
      <c r="I37" s="156"/>
      <c r="J37" s="156"/>
      <c r="K37" s="157"/>
      <c r="L37" s="61"/>
      <c r="M37" s="180" t="s">
        <v>232</v>
      </c>
      <c r="N37" s="181" t="s">
        <v>208</v>
      </c>
      <c r="O37" s="182" t="s">
        <v>208</v>
      </c>
      <c r="P37" s="182" t="s">
        <v>208</v>
      </c>
      <c r="Q37" s="182" t="s">
        <v>208</v>
      </c>
      <c r="R37" s="182" t="s">
        <v>209</v>
      </c>
      <c r="S37" s="182" t="s">
        <v>208</v>
      </c>
      <c r="T37" s="182" t="s">
        <v>208</v>
      </c>
      <c r="U37" s="182" t="s">
        <v>208</v>
      </c>
      <c r="V37" s="183" t="s">
        <v>1</v>
      </c>
      <c r="W37" s="61"/>
    </row>
    <row r="38" spans="2:23" x14ac:dyDescent="0.2">
      <c r="B38" s="60"/>
      <c r="C38" s="147" t="s">
        <v>8</v>
      </c>
      <c r="D38" s="161" t="s">
        <v>188</v>
      </c>
      <c r="E38" s="162"/>
      <c r="F38" s="162"/>
      <c r="G38" s="162"/>
      <c r="H38" s="162"/>
      <c r="I38" s="162"/>
      <c r="J38" s="162"/>
      <c r="K38" s="163"/>
      <c r="L38" s="61"/>
      <c r="M38" s="180" t="s">
        <v>233</v>
      </c>
      <c r="N38" s="181" t="s">
        <v>2</v>
      </c>
      <c r="O38" s="182" t="s">
        <v>3</v>
      </c>
      <c r="P38" s="182" t="s">
        <v>1</v>
      </c>
      <c r="Q38" s="182" t="s">
        <v>208</v>
      </c>
      <c r="R38" s="182" t="s">
        <v>209</v>
      </c>
      <c r="S38" s="182" t="s">
        <v>208</v>
      </c>
      <c r="T38" s="182" t="s">
        <v>208</v>
      </c>
      <c r="U38" s="182" t="s">
        <v>208</v>
      </c>
      <c r="V38" s="183" t="s">
        <v>208</v>
      </c>
      <c r="W38" s="61"/>
    </row>
    <row r="39" spans="2:23" x14ac:dyDescent="0.2">
      <c r="B39" s="60"/>
      <c r="C39" s="147"/>
      <c r="D39" s="155" t="s">
        <v>189</v>
      </c>
      <c r="E39" s="156"/>
      <c r="F39" s="156"/>
      <c r="G39" s="156"/>
      <c r="H39" s="156"/>
      <c r="I39" s="156"/>
      <c r="J39" s="156"/>
      <c r="K39" s="157"/>
      <c r="L39" s="61"/>
      <c r="M39" s="180" t="s">
        <v>234</v>
      </c>
      <c r="N39" s="181" t="s">
        <v>2</v>
      </c>
      <c r="O39" s="182" t="s">
        <v>3</v>
      </c>
      <c r="P39" s="182" t="s">
        <v>1</v>
      </c>
      <c r="Q39" s="182" t="s">
        <v>3</v>
      </c>
      <c r="R39" s="182" t="s">
        <v>2</v>
      </c>
      <c r="S39" s="182" t="s">
        <v>208</v>
      </c>
      <c r="T39" s="182" t="s">
        <v>3</v>
      </c>
      <c r="U39" s="182" t="s">
        <v>208</v>
      </c>
      <c r="V39" s="183" t="s">
        <v>208</v>
      </c>
      <c r="W39" s="61"/>
    </row>
    <row r="40" spans="2:23" ht="13.5" thickBot="1" x14ac:dyDescent="0.25">
      <c r="B40" s="62"/>
      <c r="C40" s="63"/>
      <c r="D40" s="63"/>
      <c r="E40" s="63"/>
      <c r="F40" s="63"/>
      <c r="G40" s="63"/>
      <c r="H40" s="63"/>
      <c r="I40" s="63"/>
      <c r="J40" s="63"/>
      <c r="K40" s="63"/>
      <c r="L40" s="63"/>
      <c r="M40" s="180" t="s">
        <v>235</v>
      </c>
      <c r="N40" s="181" t="s">
        <v>208</v>
      </c>
      <c r="O40" s="182" t="s">
        <v>208</v>
      </c>
      <c r="P40" s="182" t="s">
        <v>2</v>
      </c>
      <c r="Q40" s="182" t="s">
        <v>208</v>
      </c>
      <c r="R40" s="182" t="s">
        <v>209</v>
      </c>
      <c r="S40" s="182" t="s">
        <v>208</v>
      </c>
      <c r="T40" s="182" t="s">
        <v>208</v>
      </c>
      <c r="U40" s="182" t="s">
        <v>208</v>
      </c>
      <c r="V40" s="183" t="s">
        <v>208</v>
      </c>
      <c r="W40" s="64"/>
    </row>
    <row r="41" spans="2:23" ht="13.5" thickTop="1" x14ac:dyDescent="0.2">
      <c r="M41" s="180" t="s">
        <v>236</v>
      </c>
      <c r="N41" s="181" t="s">
        <v>208</v>
      </c>
      <c r="O41" s="182" t="s">
        <v>3</v>
      </c>
      <c r="P41" s="182" t="s">
        <v>208</v>
      </c>
      <c r="Q41" s="182" t="s">
        <v>208</v>
      </c>
      <c r="R41" s="182" t="s">
        <v>209</v>
      </c>
      <c r="S41" s="182" t="s">
        <v>208</v>
      </c>
      <c r="T41" s="182" t="s">
        <v>208</v>
      </c>
      <c r="U41" s="182" t="s">
        <v>208</v>
      </c>
      <c r="V41" s="183" t="s">
        <v>4</v>
      </c>
    </row>
    <row r="42" spans="2:23" x14ac:dyDescent="0.2">
      <c r="M42" s="180" t="s">
        <v>237</v>
      </c>
      <c r="N42" s="181" t="s">
        <v>208</v>
      </c>
      <c r="O42" s="182" t="s">
        <v>208</v>
      </c>
      <c r="P42" s="182" t="s">
        <v>208</v>
      </c>
      <c r="Q42" s="182" t="s">
        <v>208</v>
      </c>
      <c r="R42" s="182" t="s">
        <v>209</v>
      </c>
      <c r="S42" s="182" t="s">
        <v>208</v>
      </c>
      <c r="T42" s="182" t="s">
        <v>208</v>
      </c>
      <c r="U42" s="182" t="s">
        <v>208</v>
      </c>
      <c r="V42" s="183" t="s">
        <v>10</v>
      </c>
    </row>
    <row r="43" spans="2:23" x14ac:dyDescent="0.2">
      <c r="M43" s="180" t="s">
        <v>238</v>
      </c>
      <c r="N43" s="181" t="s">
        <v>208</v>
      </c>
      <c r="O43" s="182" t="s">
        <v>208</v>
      </c>
      <c r="P43" s="182" t="s">
        <v>1</v>
      </c>
      <c r="Q43" s="182" t="s">
        <v>208</v>
      </c>
      <c r="R43" s="182" t="s">
        <v>209</v>
      </c>
      <c r="S43" s="182" t="s">
        <v>208</v>
      </c>
      <c r="T43" s="182" t="s">
        <v>208</v>
      </c>
      <c r="U43" s="182" t="s">
        <v>208</v>
      </c>
      <c r="V43" s="183" t="s">
        <v>208</v>
      </c>
    </row>
    <row r="44" spans="2:23" x14ac:dyDescent="0.2">
      <c r="M44" s="180" t="s">
        <v>239</v>
      </c>
      <c r="N44" s="181" t="s">
        <v>208</v>
      </c>
      <c r="O44" s="182" t="s">
        <v>208</v>
      </c>
      <c r="P44" s="182" t="s">
        <v>208</v>
      </c>
      <c r="Q44" s="182" t="s">
        <v>208</v>
      </c>
      <c r="R44" s="182" t="s">
        <v>209</v>
      </c>
      <c r="S44" s="182" t="s">
        <v>208</v>
      </c>
      <c r="T44" s="182" t="s">
        <v>208</v>
      </c>
      <c r="U44" s="182" t="s">
        <v>208</v>
      </c>
      <c r="V44" s="183" t="s">
        <v>4</v>
      </c>
    </row>
    <row r="45" spans="2:23" x14ac:dyDescent="0.2">
      <c r="M45" s="180" t="s">
        <v>240</v>
      </c>
      <c r="N45" s="181" t="s">
        <v>208</v>
      </c>
      <c r="O45" s="182" t="s">
        <v>208</v>
      </c>
      <c r="P45" s="182" t="s">
        <v>1</v>
      </c>
      <c r="Q45" s="182" t="s">
        <v>208</v>
      </c>
      <c r="R45" s="182" t="s">
        <v>209</v>
      </c>
      <c r="S45" s="182" t="s">
        <v>208</v>
      </c>
      <c r="T45" s="182" t="s">
        <v>208</v>
      </c>
      <c r="U45" s="182" t="s">
        <v>208</v>
      </c>
      <c r="V45" s="183" t="s">
        <v>208</v>
      </c>
    </row>
    <row r="46" spans="2:23" x14ac:dyDescent="0.2">
      <c r="M46" s="180" t="s">
        <v>241</v>
      </c>
      <c r="N46" s="181" t="s">
        <v>208</v>
      </c>
      <c r="O46" s="182" t="s">
        <v>208</v>
      </c>
      <c r="P46" s="182" t="s">
        <v>2</v>
      </c>
      <c r="Q46" s="182" t="s">
        <v>208</v>
      </c>
      <c r="R46" s="182" t="s">
        <v>209</v>
      </c>
      <c r="S46" s="182" t="s">
        <v>208</v>
      </c>
      <c r="T46" s="182" t="s">
        <v>208</v>
      </c>
      <c r="U46" s="182" t="s">
        <v>208</v>
      </c>
      <c r="V46" s="183" t="s">
        <v>208</v>
      </c>
    </row>
    <row r="47" spans="2:23" x14ac:dyDescent="0.2">
      <c r="M47" s="186" t="s">
        <v>242</v>
      </c>
      <c r="N47" s="181" t="s">
        <v>208</v>
      </c>
      <c r="O47" s="182" t="s">
        <v>208</v>
      </c>
      <c r="P47" s="182" t="s">
        <v>208</v>
      </c>
      <c r="Q47" s="182" t="s">
        <v>208</v>
      </c>
      <c r="R47" s="182" t="s">
        <v>3</v>
      </c>
      <c r="S47" s="182" t="s">
        <v>4</v>
      </c>
      <c r="T47" s="182" t="s">
        <v>5</v>
      </c>
      <c r="U47" s="182" t="s">
        <v>208</v>
      </c>
      <c r="V47" s="183" t="s">
        <v>208</v>
      </c>
    </row>
    <row r="48" spans="2:23" x14ac:dyDescent="0.2">
      <c r="M48" s="180" t="s">
        <v>243</v>
      </c>
      <c r="N48" s="181" t="s">
        <v>208</v>
      </c>
      <c r="O48" s="182" t="s">
        <v>208</v>
      </c>
      <c r="P48" s="182" t="s">
        <v>208</v>
      </c>
      <c r="Q48" s="182" t="s">
        <v>208</v>
      </c>
      <c r="R48" s="182" t="s">
        <v>209</v>
      </c>
      <c r="S48" s="182" t="s">
        <v>208</v>
      </c>
      <c r="T48" s="182" t="s">
        <v>208</v>
      </c>
      <c r="U48" s="182" t="s">
        <v>208</v>
      </c>
      <c r="V48" s="183" t="s">
        <v>9</v>
      </c>
    </row>
    <row r="49" spans="13:22" x14ac:dyDescent="0.2">
      <c r="M49" s="180" t="s">
        <v>244</v>
      </c>
      <c r="N49" s="181" t="s">
        <v>208</v>
      </c>
      <c r="O49" s="182" t="s">
        <v>3</v>
      </c>
      <c r="P49" s="182" t="s">
        <v>2</v>
      </c>
      <c r="Q49" s="182" t="s">
        <v>208</v>
      </c>
      <c r="R49" s="182" t="s">
        <v>209</v>
      </c>
      <c r="S49" s="182" t="s">
        <v>208</v>
      </c>
      <c r="T49" s="182" t="s">
        <v>208</v>
      </c>
      <c r="U49" s="182" t="s">
        <v>208</v>
      </c>
      <c r="V49" s="183" t="s">
        <v>208</v>
      </c>
    </row>
    <row r="50" spans="13:22" x14ac:dyDescent="0.2">
      <c r="M50" s="187" t="s">
        <v>245</v>
      </c>
      <c r="N50" s="181" t="s">
        <v>208</v>
      </c>
      <c r="O50" s="182" t="s">
        <v>208</v>
      </c>
      <c r="P50" s="182" t="s">
        <v>208</v>
      </c>
      <c r="Q50" s="182" t="s">
        <v>208</v>
      </c>
      <c r="R50" s="182" t="s">
        <v>209</v>
      </c>
      <c r="S50" s="182" t="s">
        <v>208</v>
      </c>
      <c r="T50" s="182" t="s">
        <v>208</v>
      </c>
      <c r="U50" s="182" t="s">
        <v>208</v>
      </c>
      <c r="V50" s="183" t="s">
        <v>10</v>
      </c>
    </row>
    <row r="51" spans="13:22" x14ac:dyDescent="0.2">
      <c r="M51" s="187" t="s">
        <v>246</v>
      </c>
      <c r="N51" s="181" t="s">
        <v>208</v>
      </c>
      <c r="O51" s="182" t="s">
        <v>208</v>
      </c>
      <c r="P51" s="182" t="s">
        <v>208</v>
      </c>
      <c r="Q51" s="182" t="s">
        <v>208</v>
      </c>
      <c r="R51" s="182" t="s">
        <v>209</v>
      </c>
      <c r="S51" s="182" t="s">
        <v>208</v>
      </c>
      <c r="T51" s="182" t="s">
        <v>208</v>
      </c>
      <c r="U51" s="182" t="s">
        <v>208</v>
      </c>
      <c r="V51" s="183" t="s">
        <v>10</v>
      </c>
    </row>
    <row r="52" spans="13:22" x14ac:dyDescent="0.2">
      <c r="M52" s="180" t="s">
        <v>247</v>
      </c>
      <c r="N52" s="181" t="s">
        <v>208</v>
      </c>
      <c r="O52" s="182" t="s">
        <v>208</v>
      </c>
      <c r="P52" s="182" t="s">
        <v>1</v>
      </c>
      <c r="Q52" s="182" t="s">
        <v>208</v>
      </c>
      <c r="R52" s="182" t="s">
        <v>209</v>
      </c>
      <c r="S52" s="182" t="s">
        <v>208</v>
      </c>
      <c r="T52" s="182" t="s">
        <v>208</v>
      </c>
      <c r="U52" s="182" t="s">
        <v>208</v>
      </c>
      <c r="V52" s="183" t="s">
        <v>208</v>
      </c>
    </row>
    <row r="53" spans="13:22" x14ac:dyDescent="0.2">
      <c r="M53" s="180" t="s">
        <v>248</v>
      </c>
      <c r="N53" s="181" t="s">
        <v>208</v>
      </c>
      <c r="O53" s="182" t="s">
        <v>208</v>
      </c>
      <c r="P53" s="182" t="s">
        <v>208</v>
      </c>
      <c r="Q53" s="182" t="s">
        <v>208</v>
      </c>
      <c r="R53" s="182" t="s">
        <v>1</v>
      </c>
      <c r="S53" s="182" t="s">
        <v>208</v>
      </c>
      <c r="T53" s="182" t="s">
        <v>208</v>
      </c>
      <c r="U53" s="182" t="s">
        <v>208</v>
      </c>
      <c r="V53" s="183" t="s">
        <v>208</v>
      </c>
    </row>
    <row r="54" spans="13:22" x14ac:dyDescent="0.2">
      <c r="M54" s="180" t="s">
        <v>249</v>
      </c>
      <c r="N54" s="181" t="s">
        <v>208</v>
      </c>
      <c r="O54" s="182" t="s">
        <v>208</v>
      </c>
      <c r="P54" s="182" t="s">
        <v>4</v>
      </c>
      <c r="Q54" s="182" t="s">
        <v>208</v>
      </c>
      <c r="R54" s="182" t="s">
        <v>209</v>
      </c>
      <c r="S54" s="182" t="s">
        <v>208</v>
      </c>
      <c r="T54" s="182" t="s">
        <v>208</v>
      </c>
      <c r="U54" s="182" t="s">
        <v>208</v>
      </c>
      <c r="V54" s="183" t="s">
        <v>208</v>
      </c>
    </row>
    <row r="55" spans="13:22" x14ac:dyDescent="0.2">
      <c r="M55" s="180" t="s">
        <v>250</v>
      </c>
      <c r="N55" s="181" t="s">
        <v>2</v>
      </c>
      <c r="O55" s="182" t="s">
        <v>3</v>
      </c>
      <c r="P55" s="182" t="s">
        <v>208</v>
      </c>
      <c r="Q55" s="182" t="s">
        <v>3</v>
      </c>
      <c r="R55" s="182" t="s">
        <v>209</v>
      </c>
      <c r="S55" s="182" t="s">
        <v>4</v>
      </c>
      <c r="T55" s="182" t="s">
        <v>5</v>
      </c>
      <c r="U55" s="182" t="s">
        <v>6</v>
      </c>
      <c r="V55" s="183" t="s">
        <v>208</v>
      </c>
    </row>
    <row r="56" spans="13:22" x14ac:dyDescent="0.2">
      <c r="M56" s="180" t="s">
        <v>251</v>
      </c>
      <c r="N56" s="181" t="s">
        <v>2</v>
      </c>
      <c r="O56" s="182" t="s">
        <v>3</v>
      </c>
      <c r="P56" s="182" t="s">
        <v>208</v>
      </c>
      <c r="Q56" s="182" t="s">
        <v>208</v>
      </c>
      <c r="R56" s="182" t="s">
        <v>209</v>
      </c>
      <c r="S56" s="182" t="s">
        <v>208</v>
      </c>
      <c r="T56" s="182" t="s">
        <v>208</v>
      </c>
      <c r="U56" s="182" t="s">
        <v>208</v>
      </c>
      <c r="V56" s="183" t="s">
        <v>208</v>
      </c>
    </row>
    <row r="57" spans="13:22" x14ac:dyDescent="0.2">
      <c r="M57" s="180" t="s">
        <v>252</v>
      </c>
      <c r="N57" s="181" t="s">
        <v>208</v>
      </c>
      <c r="O57" s="182" t="s">
        <v>208</v>
      </c>
      <c r="P57" s="182" t="s">
        <v>208</v>
      </c>
      <c r="Q57" s="182" t="s">
        <v>208</v>
      </c>
      <c r="R57" s="182" t="s">
        <v>209</v>
      </c>
      <c r="S57" s="182" t="s">
        <v>208</v>
      </c>
      <c r="T57" s="182" t="s">
        <v>208</v>
      </c>
      <c r="U57" s="182" t="s">
        <v>208</v>
      </c>
      <c r="V57" s="183" t="s">
        <v>8</v>
      </c>
    </row>
    <row r="58" spans="13:22" x14ac:dyDescent="0.2">
      <c r="M58" s="180" t="s">
        <v>253</v>
      </c>
      <c r="N58" s="181" t="s">
        <v>208</v>
      </c>
      <c r="O58" s="182" t="s">
        <v>208</v>
      </c>
      <c r="P58" s="182" t="s">
        <v>208</v>
      </c>
      <c r="Q58" s="182" t="s">
        <v>208</v>
      </c>
      <c r="R58" s="182" t="s">
        <v>209</v>
      </c>
      <c r="S58" s="182" t="s">
        <v>208</v>
      </c>
      <c r="T58" s="182" t="s">
        <v>208</v>
      </c>
      <c r="U58" s="182" t="s">
        <v>208</v>
      </c>
      <c r="V58" s="183" t="s">
        <v>4</v>
      </c>
    </row>
    <row r="59" spans="13:22" x14ac:dyDescent="0.2">
      <c r="M59" s="180" t="s">
        <v>254</v>
      </c>
      <c r="N59" s="181" t="s">
        <v>2</v>
      </c>
      <c r="O59" s="182" t="s">
        <v>3</v>
      </c>
      <c r="P59" s="182" t="s">
        <v>208</v>
      </c>
      <c r="Q59" s="182" t="s">
        <v>2</v>
      </c>
      <c r="R59" s="182" t="s">
        <v>209</v>
      </c>
      <c r="S59" s="182" t="s">
        <v>3</v>
      </c>
      <c r="T59" s="182" t="s">
        <v>4</v>
      </c>
      <c r="U59" s="182" t="s">
        <v>208</v>
      </c>
      <c r="V59" s="183" t="s">
        <v>208</v>
      </c>
    </row>
    <row r="60" spans="13:22" x14ac:dyDescent="0.2">
      <c r="M60" s="180" t="s">
        <v>255</v>
      </c>
      <c r="N60" s="181" t="s">
        <v>2</v>
      </c>
      <c r="O60" s="182" t="s">
        <v>3</v>
      </c>
      <c r="P60" s="182" t="s">
        <v>3</v>
      </c>
      <c r="Q60" s="182" t="s">
        <v>209</v>
      </c>
      <c r="R60" s="182" t="s">
        <v>209</v>
      </c>
      <c r="S60" s="182" t="s">
        <v>208</v>
      </c>
      <c r="T60" s="182" t="s">
        <v>208</v>
      </c>
      <c r="U60" s="182" t="s">
        <v>208</v>
      </c>
      <c r="V60" s="183" t="s">
        <v>208</v>
      </c>
    </row>
    <row r="61" spans="13:22" x14ac:dyDescent="0.2">
      <c r="M61" s="180" t="s">
        <v>256</v>
      </c>
      <c r="N61" s="181" t="s">
        <v>2</v>
      </c>
      <c r="O61" s="182" t="s">
        <v>3</v>
      </c>
      <c r="P61" s="182" t="s">
        <v>208</v>
      </c>
      <c r="Q61" s="182" t="s">
        <v>208</v>
      </c>
      <c r="R61" s="182" t="s">
        <v>209</v>
      </c>
      <c r="S61" s="182" t="s">
        <v>208</v>
      </c>
      <c r="T61" s="182" t="s">
        <v>208</v>
      </c>
      <c r="U61" s="182" t="s">
        <v>208</v>
      </c>
      <c r="V61" s="183" t="s">
        <v>208</v>
      </c>
    </row>
    <row r="62" spans="13:22" x14ac:dyDescent="0.2">
      <c r="M62" s="187" t="s">
        <v>257</v>
      </c>
      <c r="N62" s="181" t="s">
        <v>7</v>
      </c>
      <c r="O62" s="182" t="s">
        <v>7</v>
      </c>
      <c r="P62" s="182" t="s">
        <v>208</v>
      </c>
      <c r="Q62" s="182" t="s">
        <v>208</v>
      </c>
      <c r="R62" s="182" t="s">
        <v>209</v>
      </c>
      <c r="S62" s="182" t="s">
        <v>208</v>
      </c>
      <c r="T62" s="182" t="s">
        <v>208</v>
      </c>
      <c r="U62" s="182" t="s">
        <v>208</v>
      </c>
      <c r="V62" s="183" t="s">
        <v>208</v>
      </c>
    </row>
    <row r="63" spans="13:22" x14ac:dyDescent="0.2">
      <c r="M63" s="180" t="s">
        <v>258</v>
      </c>
      <c r="N63" s="181" t="s">
        <v>208</v>
      </c>
      <c r="O63" s="182" t="s">
        <v>208</v>
      </c>
      <c r="P63" s="182" t="s">
        <v>3</v>
      </c>
      <c r="Q63" s="182" t="s">
        <v>208</v>
      </c>
      <c r="R63" s="182" t="s">
        <v>209</v>
      </c>
      <c r="S63" s="182" t="s">
        <v>208</v>
      </c>
      <c r="T63" s="182" t="s">
        <v>208</v>
      </c>
      <c r="U63" s="182" t="s">
        <v>208</v>
      </c>
      <c r="V63" s="183" t="s">
        <v>208</v>
      </c>
    </row>
    <row r="64" spans="13:22" x14ac:dyDescent="0.2">
      <c r="M64" s="180" t="s">
        <v>259</v>
      </c>
      <c r="N64" s="181" t="s">
        <v>208</v>
      </c>
      <c r="O64" s="182" t="s">
        <v>208</v>
      </c>
      <c r="P64" s="182" t="s">
        <v>2</v>
      </c>
      <c r="Q64" s="182" t="s">
        <v>208</v>
      </c>
      <c r="R64" s="182" t="s">
        <v>209</v>
      </c>
      <c r="S64" s="182" t="s">
        <v>208</v>
      </c>
      <c r="T64" s="182" t="s">
        <v>208</v>
      </c>
      <c r="U64" s="182" t="s">
        <v>208</v>
      </c>
      <c r="V64" s="183" t="s">
        <v>208</v>
      </c>
    </row>
    <row r="65" spans="13:22" x14ac:dyDescent="0.2">
      <c r="M65" s="180" t="s">
        <v>260</v>
      </c>
      <c r="N65" s="181" t="s">
        <v>2</v>
      </c>
      <c r="O65" s="182" t="s">
        <v>3</v>
      </c>
      <c r="P65" s="182" t="s">
        <v>1</v>
      </c>
      <c r="Q65" s="182" t="s">
        <v>208</v>
      </c>
      <c r="R65" s="182" t="s">
        <v>209</v>
      </c>
      <c r="S65" s="182" t="s">
        <v>208</v>
      </c>
      <c r="T65" s="182" t="s">
        <v>208</v>
      </c>
      <c r="U65" s="182" t="s">
        <v>208</v>
      </c>
      <c r="V65" s="183" t="s">
        <v>208</v>
      </c>
    </row>
    <row r="66" spans="13:22" x14ac:dyDescent="0.2">
      <c r="M66" s="180" t="s">
        <v>261</v>
      </c>
      <c r="N66" s="181" t="s">
        <v>2</v>
      </c>
      <c r="O66" s="182" t="s">
        <v>3</v>
      </c>
      <c r="P66" s="182" t="s">
        <v>1</v>
      </c>
      <c r="Q66" s="182" t="s">
        <v>4</v>
      </c>
      <c r="R66" s="182" t="s">
        <v>209</v>
      </c>
      <c r="S66" s="182" t="s">
        <v>208</v>
      </c>
      <c r="T66" s="182" t="s">
        <v>208</v>
      </c>
      <c r="U66" s="182" t="s">
        <v>208</v>
      </c>
      <c r="V66" s="183" t="s">
        <v>208</v>
      </c>
    </row>
    <row r="67" spans="13:22" x14ac:dyDescent="0.2">
      <c r="M67" s="180" t="s">
        <v>262</v>
      </c>
      <c r="N67" s="181" t="s">
        <v>208</v>
      </c>
      <c r="O67" s="182" t="s">
        <v>208</v>
      </c>
      <c r="P67" s="182" t="s">
        <v>1</v>
      </c>
      <c r="Q67" s="182" t="s">
        <v>208</v>
      </c>
      <c r="R67" s="182" t="s">
        <v>209</v>
      </c>
      <c r="S67" s="182" t="s">
        <v>208</v>
      </c>
      <c r="T67" s="182" t="s">
        <v>208</v>
      </c>
      <c r="U67" s="182" t="s">
        <v>208</v>
      </c>
      <c r="V67" s="183" t="s">
        <v>208</v>
      </c>
    </row>
    <row r="68" spans="13:22" x14ac:dyDescent="0.2">
      <c r="M68" s="180" t="s">
        <v>263</v>
      </c>
      <c r="N68" s="181" t="s">
        <v>2</v>
      </c>
      <c r="O68" s="182" t="s">
        <v>3</v>
      </c>
      <c r="P68" s="182" t="s">
        <v>208</v>
      </c>
      <c r="Q68" s="182" t="s">
        <v>4</v>
      </c>
      <c r="R68" s="182" t="s">
        <v>209</v>
      </c>
      <c r="S68" s="182" t="s">
        <v>208</v>
      </c>
      <c r="T68" s="182" t="s">
        <v>5</v>
      </c>
      <c r="U68" s="182" t="s">
        <v>6</v>
      </c>
      <c r="V68" s="183" t="s">
        <v>208</v>
      </c>
    </row>
    <row r="69" spans="13:22" x14ac:dyDescent="0.2">
      <c r="M69" s="180" t="s">
        <v>264</v>
      </c>
      <c r="N69" s="181" t="s">
        <v>2</v>
      </c>
      <c r="O69" s="182" t="s">
        <v>3</v>
      </c>
      <c r="P69" s="182" t="s">
        <v>208</v>
      </c>
      <c r="Q69" s="182" t="s">
        <v>3</v>
      </c>
      <c r="R69" s="182" t="s">
        <v>209</v>
      </c>
      <c r="S69" s="182" t="s">
        <v>208</v>
      </c>
      <c r="T69" s="182" t="s">
        <v>208</v>
      </c>
      <c r="U69" s="182" t="s">
        <v>208</v>
      </c>
      <c r="V69" s="183" t="s">
        <v>4</v>
      </c>
    </row>
    <row r="70" spans="13:22" ht="24.75" x14ac:dyDescent="0.2">
      <c r="M70" s="187" t="s">
        <v>265</v>
      </c>
      <c r="N70" s="181" t="s">
        <v>208</v>
      </c>
      <c r="O70" s="182" t="s">
        <v>208</v>
      </c>
      <c r="P70" s="182" t="s">
        <v>208</v>
      </c>
      <c r="Q70" s="182" t="s">
        <v>208</v>
      </c>
      <c r="R70" s="182" t="s">
        <v>209</v>
      </c>
      <c r="S70" s="182" t="s">
        <v>208</v>
      </c>
      <c r="T70" s="182" t="s">
        <v>208</v>
      </c>
      <c r="U70" s="182" t="s">
        <v>208</v>
      </c>
      <c r="V70" s="183" t="s">
        <v>10</v>
      </c>
    </row>
    <row r="71" spans="13:22" x14ac:dyDescent="0.2">
      <c r="M71" s="180" t="s">
        <v>266</v>
      </c>
      <c r="N71" s="181" t="s">
        <v>2</v>
      </c>
      <c r="O71" s="182" t="s">
        <v>3</v>
      </c>
      <c r="P71" s="182" t="s">
        <v>1</v>
      </c>
      <c r="Q71" s="182" t="s">
        <v>208</v>
      </c>
      <c r="R71" s="182" t="s">
        <v>209</v>
      </c>
      <c r="S71" s="182" t="s">
        <v>208</v>
      </c>
      <c r="T71" s="182" t="s">
        <v>208</v>
      </c>
      <c r="U71" s="182" t="s">
        <v>208</v>
      </c>
      <c r="V71" s="183" t="s">
        <v>10</v>
      </c>
    </row>
    <row r="72" spans="13:22" x14ac:dyDescent="0.2">
      <c r="M72" s="184" t="s">
        <v>267</v>
      </c>
      <c r="N72" s="181" t="s">
        <v>208</v>
      </c>
      <c r="O72" s="182" t="s">
        <v>208</v>
      </c>
      <c r="P72" s="182" t="s">
        <v>208</v>
      </c>
      <c r="Q72" s="182" t="s">
        <v>208</v>
      </c>
      <c r="R72" s="182" t="s">
        <v>209</v>
      </c>
      <c r="S72" s="182" t="s">
        <v>208</v>
      </c>
      <c r="T72" s="182" t="s">
        <v>208</v>
      </c>
      <c r="U72" s="182" t="s">
        <v>208</v>
      </c>
      <c r="V72" s="183" t="s">
        <v>10</v>
      </c>
    </row>
    <row r="73" spans="13:22" x14ac:dyDescent="0.2">
      <c r="M73" s="180" t="s">
        <v>268</v>
      </c>
      <c r="N73" s="181" t="s">
        <v>208</v>
      </c>
      <c r="O73" s="182" t="s">
        <v>208</v>
      </c>
      <c r="P73" s="182" t="s">
        <v>1</v>
      </c>
      <c r="Q73" s="182" t="s">
        <v>2</v>
      </c>
      <c r="R73" s="182" t="s">
        <v>209</v>
      </c>
      <c r="S73" s="182" t="s">
        <v>208</v>
      </c>
      <c r="T73" s="182" t="s">
        <v>3</v>
      </c>
      <c r="U73" s="182" t="s">
        <v>208</v>
      </c>
      <c r="V73" s="183" t="s">
        <v>208</v>
      </c>
    </row>
    <row r="74" spans="13:22" x14ac:dyDescent="0.2">
      <c r="M74" s="180" t="s">
        <v>269</v>
      </c>
      <c r="N74" s="181" t="s">
        <v>2</v>
      </c>
      <c r="O74" s="182" t="s">
        <v>3</v>
      </c>
      <c r="P74" s="182" t="s">
        <v>2</v>
      </c>
      <c r="Q74" s="182" t="s">
        <v>208</v>
      </c>
      <c r="R74" s="182" t="s">
        <v>209</v>
      </c>
      <c r="S74" s="182" t="s">
        <v>208</v>
      </c>
      <c r="T74" s="182" t="s">
        <v>208</v>
      </c>
      <c r="U74" s="182" t="s">
        <v>208</v>
      </c>
      <c r="V74" s="183" t="s">
        <v>208</v>
      </c>
    </row>
    <row r="75" spans="13:22" x14ac:dyDescent="0.2">
      <c r="M75" s="180" t="s">
        <v>270</v>
      </c>
      <c r="N75" s="181" t="s">
        <v>6</v>
      </c>
      <c r="O75" s="182" t="s">
        <v>6</v>
      </c>
      <c r="P75" s="182" t="s">
        <v>208</v>
      </c>
      <c r="Q75" s="182" t="s">
        <v>208</v>
      </c>
      <c r="R75" s="182" t="s">
        <v>209</v>
      </c>
      <c r="S75" s="182" t="s">
        <v>208</v>
      </c>
      <c r="T75" s="182" t="s">
        <v>208</v>
      </c>
      <c r="U75" s="182" t="s">
        <v>208</v>
      </c>
      <c r="V75" s="183" t="s">
        <v>208</v>
      </c>
    </row>
    <row r="76" spans="13:22" x14ac:dyDescent="0.2">
      <c r="M76" s="184" t="s">
        <v>271</v>
      </c>
      <c r="N76" s="181" t="s">
        <v>4</v>
      </c>
      <c r="O76" s="182" t="s">
        <v>6</v>
      </c>
      <c r="P76" s="182" t="s">
        <v>208</v>
      </c>
      <c r="Q76" s="182" t="s">
        <v>208</v>
      </c>
      <c r="R76" s="182" t="s">
        <v>209</v>
      </c>
      <c r="S76" s="182" t="s">
        <v>208</v>
      </c>
      <c r="T76" s="182" t="s">
        <v>208</v>
      </c>
      <c r="U76" s="182" t="s">
        <v>208</v>
      </c>
      <c r="V76" s="183" t="s">
        <v>208</v>
      </c>
    </row>
    <row r="77" spans="13:22" x14ac:dyDescent="0.2">
      <c r="M77" s="184" t="s">
        <v>272</v>
      </c>
      <c r="N77" s="181" t="s">
        <v>4</v>
      </c>
      <c r="O77" s="182" t="s">
        <v>5</v>
      </c>
      <c r="P77" s="182" t="s">
        <v>208</v>
      </c>
      <c r="Q77" s="182" t="s">
        <v>208</v>
      </c>
      <c r="R77" s="182" t="s">
        <v>209</v>
      </c>
      <c r="S77" s="182" t="s">
        <v>208</v>
      </c>
      <c r="T77" s="182" t="s">
        <v>208</v>
      </c>
      <c r="U77" s="182" t="s">
        <v>208</v>
      </c>
      <c r="V77" s="183" t="s">
        <v>208</v>
      </c>
    </row>
    <row r="78" spans="13:22" x14ac:dyDescent="0.2">
      <c r="M78" s="184" t="s">
        <v>273</v>
      </c>
      <c r="N78" s="181" t="s">
        <v>6</v>
      </c>
      <c r="O78" s="182" t="s">
        <v>7</v>
      </c>
      <c r="P78" s="182" t="s">
        <v>208</v>
      </c>
      <c r="Q78" s="182" t="s">
        <v>208</v>
      </c>
      <c r="R78" s="182" t="s">
        <v>209</v>
      </c>
      <c r="S78" s="182" t="s">
        <v>208</v>
      </c>
      <c r="T78" s="182" t="s">
        <v>208</v>
      </c>
      <c r="U78" s="182" t="s">
        <v>208</v>
      </c>
      <c r="V78" s="183" t="s">
        <v>208</v>
      </c>
    </row>
    <row r="79" spans="13:22" x14ac:dyDescent="0.2">
      <c r="M79" s="184" t="s">
        <v>274</v>
      </c>
      <c r="N79" s="181" t="s">
        <v>3</v>
      </c>
      <c r="O79" s="182" t="s">
        <v>4</v>
      </c>
      <c r="P79" s="182" t="s">
        <v>208</v>
      </c>
      <c r="Q79" s="182" t="s">
        <v>208</v>
      </c>
      <c r="R79" s="182" t="s">
        <v>209</v>
      </c>
      <c r="S79" s="182" t="s">
        <v>208</v>
      </c>
      <c r="T79" s="182" t="s">
        <v>208</v>
      </c>
      <c r="U79" s="182" t="s">
        <v>208</v>
      </c>
      <c r="V79" s="183" t="s">
        <v>208</v>
      </c>
    </row>
    <row r="80" spans="13:22" x14ac:dyDescent="0.2">
      <c r="M80" s="184" t="s">
        <v>275</v>
      </c>
      <c r="N80" s="181" t="s">
        <v>4</v>
      </c>
      <c r="O80" s="182" t="s">
        <v>4</v>
      </c>
      <c r="P80" s="182" t="s">
        <v>208</v>
      </c>
      <c r="Q80" s="182" t="s">
        <v>208</v>
      </c>
      <c r="R80" s="182" t="s">
        <v>209</v>
      </c>
      <c r="S80" s="182" t="s">
        <v>208</v>
      </c>
      <c r="T80" s="182" t="s">
        <v>208</v>
      </c>
      <c r="U80" s="182" t="s">
        <v>208</v>
      </c>
      <c r="V80" s="183" t="s">
        <v>208</v>
      </c>
    </row>
    <row r="81" spans="13:22" x14ac:dyDescent="0.2">
      <c r="M81" s="184" t="s">
        <v>276</v>
      </c>
      <c r="N81" s="181" t="s">
        <v>4</v>
      </c>
      <c r="O81" s="182" t="s">
        <v>4</v>
      </c>
      <c r="P81" s="182" t="s">
        <v>208</v>
      </c>
      <c r="Q81" s="182" t="s">
        <v>208</v>
      </c>
      <c r="R81" s="182" t="s">
        <v>209</v>
      </c>
      <c r="S81" s="182" t="s">
        <v>208</v>
      </c>
      <c r="T81" s="182" t="s">
        <v>208</v>
      </c>
      <c r="U81" s="182" t="s">
        <v>208</v>
      </c>
      <c r="V81" s="183" t="s">
        <v>208</v>
      </c>
    </row>
    <row r="82" spans="13:22" x14ac:dyDescent="0.2">
      <c r="M82" s="184" t="s">
        <v>277</v>
      </c>
      <c r="N82" s="181" t="s">
        <v>4</v>
      </c>
      <c r="O82" s="182" t="s">
        <v>4</v>
      </c>
      <c r="P82" s="182" t="s">
        <v>208</v>
      </c>
      <c r="Q82" s="182" t="s">
        <v>208</v>
      </c>
      <c r="R82" s="182" t="s">
        <v>209</v>
      </c>
      <c r="S82" s="182" t="s">
        <v>208</v>
      </c>
      <c r="T82" s="182" t="s">
        <v>208</v>
      </c>
      <c r="U82" s="182" t="s">
        <v>208</v>
      </c>
      <c r="V82" s="183" t="s">
        <v>208</v>
      </c>
    </row>
    <row r="83" spans="13:22" x14ac:dyDescent="0.2">
      <c r="M83" s="184" t="s">
        <v>278</v>
      </c>
      <c r="N83" s="181" t="s">
        <v>5</v>
      </c>
      <c r="O83" s="182" t="s">
        <v>6</v>
      </c>
      <c r="P83" s="182" t="s">
        <v>208</v>
      </c>
      <c r="Q83" s="182" t="s">
        <v>208</v>
      </c>
      <c r="R83" s="182" t="s">
        <v>209</v>
      </c>
      <c r="S83" s="182" t="s">
        <v>208</v>
      </c>
      <c r="T83" s="182" t="s">
        <v>208</v>
      </c>
      <c r="U83" s="182" t="s">
        <v>208</v>
      </c>
      <c r="V83" s="183" t="s">
        <v>208</v>
      </c>
    </row>
    <row r="84" spans="13:22" x14ac:dyDescent="0.2">
      <c r="M84" s="184" t="s">
        <v>279</v>
      </c>
      <c r="N84" s="181" t="s">
        <v>3</v>
      </c>
      <c r="O84" s="182" t="s">
        <v>4</v>
      </c>
      <c r="P84" s="182" t="s">
        <v>208</v>
      </c>
      <c r="Q84" s="182" t="s">
        <v>208</v>
      </c>
      <c r="R84" s="182" t="s">
        <v>209</v>
      </c>
      <c r="S84" s="182" t="s">
        <v>208</v>
      </c>
      <c r="T84" s="182" t="s">
        <v>208</v>
      </c>
      <c r="U84" s="182" t="s">
        <v>208</v>
      </c>
      <c r="V84" s="183" t="s">
        <v>208</v>
      </c>
    </row>
    <row r="85" spans="13:22" x14ac:dyDescent="0.2">
      <c r="M85" s="180" t="s">
        <v>280</v>
      </c>
      <c r="N85" s="181" t="s">
        <v>2</v>
      </c>
      <c r="O85" s="182" t="s">
        <v>3</v>
      </c>
      <c r="P85" s="182" t="s">
        <v>1</v>
      </c>
      <c r="Q85" s="182" t="s">
        <v>208</v>
      </c>
      <c r="R85" s="182" t="s">
        <v>209</v>
      </c>
      <c r="S85" s="182" t="s">
        <v>2</v>
      </c>
      <c r="T85" s="182" t="s">
        <v>208</v>
      </c>
      <c r="U85" s="182" t="s">
        <v>208</v>
      </c>
      <c r="V85" s="183" t="s">
        <v>208</v>
      </c>
    </row>
    <row r="86" spans="13:22" x14ac:dyDescent="0.2">
      <c r="M86" s="180" t="s">
        <v>281</v>
      </c>
      <c r="N86" s="181" t="s">
        <v>208</v>
      </c>
      <c r="O86" s="182" t="s">
        <v>208</v>
      </c>
      <c r="P86" s="182" t="s">
        <v>3</v>
      </c>
      <c r="Q86" s="182" t="s">
        <v>208</v>
      </c>
      <c r="R86" s="182" t="s">
        <v>209</v>
      </c>
      <c r="S86" s="182" t="s">
        <v>208</v>
      </c>
      <c r="T86" s="182" t="s">
        <v>208</v>
      </c>
      <c r="U86" s="182" t="s">
        <v>208</v>
      </c>
      <c r="V86" s="183" t="s">
        <v>208</v>
      </c>
    </row>
    <row r="87" spans="13:22" x14ac:dyDescent="0.2">
      <c r="M87" s="184" t="s">
        <v>282</v>
      </c>
      <c r="N87" s="181" t="s">
        <v>208</v>
      </c>
      <c r="O87" s="182" t="s">
        <v>208</v>
      </c>
      <c r="P87" s="182" t="s">
        <v>2</v>
      </c>
      <c r="Q87" s="182" t="s">
        <v>208</v>
      </c>
      <c r="R87" s="182" t="s">
        <v>209</v>
      </c>
      <c r="S87" s="182" t="s">
        <v>208</v>
      </c>
      <c r="T87" s="182" t="s">
        <v>208</v>
      </c>
      <c r="U87" s="182" t="s">
        <v>208</v>
      </c>
      <c r="V87" s="183" t="s">
        <v>208</v>
      </c>
    </row>
    <row r="88" spans="13:22" x14ac:dyDescent="0.2">
      <c r="M88" s="180" t="s">
        <v>283</v>
      </c>
      <c r="N88" s="181" t="s">
        <v>2</v>
      </c>
      <c r="O88" s="182" t="s">
        <v>3</v>
      </c>
      <c r="P88" s="182" t="s">
        <v>1</v>
      </c>
      <c r="Q88" s="182" t="s">
        <v>208</v>
      </c>
      <c r="R88" s="182" t="s">
        <v>209</v>
      </c>
      <c r="S88" s="182" t="s">
        <v>208</v>
      </c>
      <c r="T88" s="182" t="s">
        <v>208</v>
      </c>
      <c r="U88" s="182" t="s">
        <v>208</v>
      </c>
      <c r="V88" s="183" t="s">
        <v>208</v>
      </c>
    </row>
    <row r="89" spans="13:22" x14ac:dyDescent="0.2">
      <c r="M89" s="180" t="s">
        <v>284</v>
      </c>
      <c r="N89" s="181" t="s">
        <v>208</v>
      </c>
      <c r="O89" s="182" t="s">
        <v>3</v>
      </c>
      <c r="P89" s="182" t="s">
        <v>1</v>
      </c>
      <c r="Q89" s="182" t="s">
        <v>208</v>
      </c>
      <c r="R89" s="182" t="s">
        <v>209</v>
      </c>
      <c r="S89" s="182" t="s">
        <v>208</v>
      </c>
      <c r="T89" s="182" t="s">
        <v>208</v>
      </c>
      <c r="U89" s="182" t="s">
        <v>208</v>
      </c>
      <c r="V89" s="183" t="s">
        <v>208</v>
      </c>
    </row>
    <row r="90" spans="13:22" x14ac:dyDescent="0.2">
      <c r="M90" s="180" t="s">
        <v>285</v>
      </c>
      <c r="N90" s="181" t="s">
        <v>2</v>
      </c>
      <c r="O90" s="182" t="s">
        <v>3</v>
      </c>
      <c r="P90" s="182" t="s">
        <v>208</v>
      </c>
      <c r="Q90" s="182" t="s">
        <v>208</v>
      </c>
      <c r="R90" s="182" t="s">
        <v>209</v>
      </c>
      <c r="S90" s="182" t="s">
        <v>208</v>
      </c>
      <c r="T90" s="182" t="s">
        <v>208</v>
      </c>
      <c r="U90" s="182" t="s">
        <v>208</v>
      </c>
      <c r="V90" s="183" t="s">
        <v>208</v>
      </c>
    </row>
    <row r="91" spans="13:22" x14ac:dyDescent="0.2">
      <c r="M91" s="180" t="s">
        <v>286</v>
      </c>
      <c r="N91" s="181" t="s">
        <v>208</v>
      </c>
      <c r="O91" s="182" t="s">
        <v>208</v>
      </c>
      <c r="P91" s="182" t="s">
        <v>1</v>
      </c>
      <c r="Q91" s="182" t="s">
        <v>208</v>
      </c>
      <c r="R91" s="182" t="s">
        <v>209</v>
      </c>
      <c r="S91" s="182" t="s">
        <v>208</v>
      </c>
      <c r="T91" s="182" t="s">
        <v>208</v>
      </c>
      <c r="U91" s="182" t="s">
        <v>208</v>
      </c>
      <c r="V91" s="183" t="s">
        <v>208</v>
      </c>
    </row>
    <row r="92" spans="13:22" x14ac:dyDescent="0.2">
      <c r="M92" s="180" t="s">
        <v>287</v>
      </c>
      <c r="N92" s="181" t="s">
        <v>208</v>
      </c>
      <c r="O92" s="182" t="s">
        <v>208</v>
      </c>
      <c r="P92" s="182" t="s">
        <v>208</v>
      </c>
      <c r="Q92" s="182" t="s">
        <v>208</v>
      </c>
      <c r="R92" s="182" t="s">
        <v>209</v>
      </c>
      <c r="S92" s="182" t="s">
        <v>208</v>
      </c>
      <c r="T92" s="182" t="s">
        <v>208</v>
      </c>
      <c r="U92" s="182" t="s">
        <v>208</v>
      </c>
      <c r="V92" s="183" t="s">
        <v>10</v>
      </c>
    </row>
    <row r="93" spans="13:22" x14ac:dyDescent="0.2">
      <c r="M93" s="180" t="s">
        <v>288</v>
      </c>
      <c r="N93" s="181" t="s">
        <v>2</v>
      </c>
      <c r="O93" s="182" t="s">
        <v>3</v>
      </c>
      <c r="P93" s="182" t="s">
        <v>1</v>
      </c>
      <c r="Q93" s="182" t="s">
        <v>208</v>
      </c>
      <c r="R93" s="182" t="s">
        <v>209</v>
      </c>
      <c r="S93" s="182" t="s">
        <v>208</v>
      </c>
      <c r="T93" s="182" t="s">
        <v>2</v>
      </c>
      <c r="U93" s="182" t="s">
        <v>3</v>
      </c>
      <c r="V93" s="183" t="s">
        <v>208</v>
      </c>
    </row>
    <row r="94" spans="13:22" x14ac:dyDescent="0.2">
      <c r="M94" s="180" t="s">
        <v>289</v>
      </c>
      <c r="N94" s="181" t="s">
        <v>2</v>
      </c>
      <c r="O94" s="182" t="s">
        <v>3</v>
      </c>
      <c r="P94" s="182" t="s">
        <v>1</v>
      </c>
      <c r="Q94" s="182" t="s">
        <v>208</v>
      </c>
      <c r="R94" s="182" t="s">
        <v>209</v>
      </c>
      <c r="S94" s="182" t="s">
        <v>208</v>
      </c>
      <c r="T94" s="182" t="s">
        <v>208</v>
      </c>
      <c r="U94" s="182" t="s">
        <v>208</v>
      </c>
      <c r="V94" s="183" t="s">
        <v>208</v>
      </c>
    </row>
    <row r="95" spans="13:22" x14ac:dyDescent="0.2">
      <c r="M95" s="180" t="s">
        <v>290</v>
      </c>
      <c r="N95" s="181" t="s">
        <v>2</v>
      </c>
      <c r="O95" s="182" t="s">
        <v>3</v>
      </c>
      <c r="P95" s="182" t="s">
        <v>208</v>
      </c>
      <c r="Q95" s="182" t="s">
        <v>4</v>
      </c>
      <c r="R95" s="182" t="s">
        <v>209</v>
      </c>
      <c r="S95" s="182" t="s">
        <v>5</v>
      </c>
      <c r="T95" s="182" t="s">
        <v>5</v>
      </c>
      <c r="U95" s="182" t="s">
        <v>6</v>
      </c>
      <c r="V95" s="183" t="s">
        <v>208</v>
      </c>
    </row>
    <row r="96" spans="13:22" x14ac:dyDescent="0.2">
      <c r="M96" s="180" t="s">
        <v>291</v>
      </c>
      <c r="N96" s="181" t="s">
        <v>208</v>
      </c>
      <c r="O96" s="182" t="s">
        <v>208</v>
      </c>
      <c r="P96" s="182" t="s">
        <v>208</v>
      </c>
      <c r="Q96" s="182" t="s">
        <v>208</v>
      </c>
      <c r="R96" s="182" t="s">
        <v>209</v>
      </c>
      <c r="S96" s="182" t="s">
        <v>208</v>
      </c>
      <c r="T96" s="182" t="s">
        <v>208</v>
      </c>
      <c r="U96" s="182" t="s">
        <v>208</v>
      </c>
      <c r="V96" s="183" t="s">
        <v>2</v>
      </c>
    </row>
    <row r="97" spans="13:22" x14ac:dyDescent="0.2">
      <c r="M97" s="180" t="s">
        <v>292</v>
      </c>
      <c r="N97" s="181" t="s">
        <v>208</v>
      </c>
      <c r="O97" s="182" t="s">
        <v>3</v>
      </c>
      <c r="P97" s="182" t="s">
        <v>1</v>
      </c>
      <c r="Q97" s="182" t="s">
        <v>208</v>
      </c>
      <c r="R97" s="182" t="s">
        <v>209</v>
      </c>
      <c r="S97" s="182" t="s">
        <v>208</v>
      </c>
      <c r="T97" s="182" t="s">
        <v>208</v>
      </c>
      <c r="U97" s="182" t="s">
        <v>208</v>
      </c>
      <c r="V97" s="183" t="s">
        <v>208</v>
      </c>
    </row>
    <row r="98" spans="13:22" x14ac:dyDescent="0.2">
      <c r="M98" s="180" t="s">
        <v>293</v>
      </c>
      <c r="N98" s="181" t="s">
        <v>208</v>
      </c>
      <c r="O98" s="182" t="s">
        <v>208</v>
      </c>
      <c r="P98" s="182" t="s">
        <v>208</v>
      </c>
      <c r="Q98" s="182" t="s">
        <v>3</v>
      </c>
      <c r="R98" s="182" t="s">
        <v>209</v>
      </c>
      <c r="S98" s="182" t="s">
        <v>3</v>
      </c>
      <c r="T98" s="182" t="s">
        <v>208</v>
      </c>
      <c r="U98" s="182" t="s">
        <v>208</v>
      </c>
      <c r="V98" s="183" t="s">
        <v>208</v>
      </c>
    </row>
    <row r="99" spans="13:22" x14ac:dyDescent="0.2">
      <c r="M99" s="187" t="s">
        <v>294</v>
      </c>
      <c r="N99" s="181" t="s">
        <v>2</v>
      </c>
      <c r="O99" s="182" t="s">
        <v>3</v>
      </c>
      <c r="P99" s="182" t="s">
        <v>1</v>
      </c>
      <c r="Q99" s="182" t="s">
        <v>3</v>
      </c>
      <c r="R99" s="182" t="s">
        <v>209</v>
      </c>
      <c r="S99" s="182" t="s">
        <v>208</v>
      </c>
      <c r="T99" s="182" t="s">
        <v>5</v>
      </c>
      <c r="U99" s="182" t="s">
        <v>5</v>
      </c>
      <c r="V99" s="183" t="s">
        <v>208</v>
      </c>
    </row>
    <row r="100" spans="13:22" x14ac:dyDescent="0.2">
      <c r="M100" s="180" t="s">
        <v>295</v>
      </c>
      <c r="N100" s="181" t="s">
        <v>2</v>
      </c>
      <c r="O100" s="182" t="s">
        <v>3</v>
      </c>
      <c r="P100" s="182" t="s">
        <v>1</v>
      </c>
      <c r="Q100" s="182" t="s">
        <v>4</v>
      </c>
      <c r="R100" s="182" t="s">
        <v>3</v>
      </c>
      <c r="S100" s="182" t="s">
        <v>6</v>
      </c>
      <c r="T100" s="182" t="s">
        <v>4</v>
      </c>
      <c r="U100" s="182" t="s">
        <v>6</v>
      </c>
      <c r="V100" s="183" t="s">
        <v>208</v>
      </c>
    </row>
    <row r="101" spans="13:22" x14ac:dyDescent="0.2">
      <c r="M101" s="180" t="s">
        <v>296</v>
      </c>
      <c r="N101" s="181" t="s">
        <v>2</v>
      </c>
      <c r="O101" s="182" t="s">
        <v>3</v>
      </c>
      <c r="P101" s="182" t="s">
        <v>1</v>
      </c>
      <c r="Q101" s="182" t="s">
        <v>3</v>
      </c>
      <c r="R101" s="182" t="s">
        <v>3</v>
      </c>
      <c r="S101" s="182" t="s">
        <v>4</v>
      </c>
      <c r="T101" s="182" t="s">
        <v>4</v>
      </c>
      <c r="U101" s="182" t="s">
        <v>5</v>
      </c>
      <c r="V101" s="183" t="s">
        <v>208</v>
      </c>
    </row>
    <row r="102" spans="13:22" x14ac:dyDescent="0.2">
      <c r="M102" s="180" t="s">
        <v>297</v>
      </c>
      <c r="N102" s="181" t="s">
        <v>2</v>
      </c>
      <c r="O102" s="182" t="s">
        <v>3</v>
      </c>
      <c r="P102" s="182" t="s">
        <v>2</v>
      </c>
      <c r="Q102" s="182" t="s">
        <v>208</v>
      </c>
      <c r="R102" s="182" t="s">
        <v>209</v>
      </c>
      <c r="S102" s="182" t="s">
        <v>3</v>
      </c>
      <c r="T102" s="182" t="s">
        <v>208</v>
      </c>
      <c r="U102" s="182" t="s">
        <v>208</v>
      </c>
      <c r="V102" s="183" t="s">
        <v>208</v>
      </c>
    </row>
    <row r="103" spans="13:22" x14ac:dyDescent="0.2">
      <c r="M103" s="180" t="s">
        <v>298</v>
      </c>
      <c r="N103" s="181" t="s">
        <v>2</v>
      </c>
      <c r="O103" s="182" t="s">
        <v>3</v>
      </c>
      <c r="P103" s="182" t="s">
        <v>1</v>
      </c>
      <c r="Q103" s="182" t="s">
        <v>208</v>
      </c>
      <c r="R103" s="182" t="s">
        <v>209</v>
      </c>
      <c r="S103" s="182" t="s">
        <v>208</v>
      </c>
      <c r="T103" s="182" t="s">
        <v>208</v>
      </c>
      <c r="U103" s="182" t="s">
        <v>208</v>
      </c>
      <c r="V103" s="183" t="s">
        <v>208</v>
      </c>
    </row>
    <row r="104" spans="13:22" x14ac:dyDescent="0.2">
      <c r="M104" s="180" t="s">
        <v>299</v>
      </c>
      <c r="N104" s="181" t="s">
        <v>2</v>
      </c>
      <c r="O104" s="182" t="s">
        <v>3</v>
      </c>
      <c r="P104" s="182" t="s">
        <v>1</v>
      </c>
      <c r="Q104" s="182" t="s">
        <v>208</v>
      </c>
      <c r="R104" s="182" t="s">
        <v>209</v>
      </c>
      <c r="S104" s="182" t="s">
        <v>3</v>
      </c>
      <c r="T104" s="182" t="s">
        <v>208</v>
      </c>
      <c r="U104" s="182" t="s">
        <v>208</v>
      </c>
      <c r="V104" s="183" t="s">
        <v>208</v>
      </c>
    </row>
    <row r="105" spans="13:22" x14ac:dyDescent="0.2">
      <c r="M105" s="180" t="s">
        <v>300</v>
      </c>
      <c r="N105" s="181" t="s">
        <v>2</v>
      </c>
      <c r="O105" s="182" t="s">
        <v>3</v>
      </c>
      <c r="P105" s="182" t="s">
        <v>1</v>
      </c>
      <c r="Q105" s="182" t="s">
        <v>3</v>
      </c>
      <c r="R105" s="182" t="s">
        <v>209</v>
      </c>
      <c r="S105" s="182" t="s">
        <v>4</v>
      </c>
      <c r="T105" s="182" t="s">
        <v>208</v>
      </c>
      <c r="U105" s="182" t="s">
        <v>208</v>
      </c>
      <c r="V105" s="183" t="s">
        <v>208</v>
      </c>
    </row>
    <row r="106" spans="13:22" x14ac:dyDescent="0.2">
      <c r="M106" s="180" t="s">
        <v>301</v>
      </c>
      <c r="N106" s="181" t="s">
        <v>208</v>
      </c>
      <c r="O106" s="182" t="s">
        <v>208</v>
      </c>
      <c r="P106" s="182" t="s">
        <v>208</v>
      </c>
      <c r="Q106" s="182" t="s">
        <v>208</v>
      </c>
      <c r="R106" s="182" t="s">
        <v>6</v>
      </c>
      <c r="S106" s="182" t="s">
        <v>6</v>
      </c>
      <c r="T106" s="182" t="s">
        <v>208</v>
      </c>
      <c r="U106" s="182" t="s">
        <v>208</v>
      </c>
      <c r="V106" s="183" t="s">
        <v>208</v>
      </c>
    </row>
    <row r="107" spans="13:22" x14ac:dyDescent="0.2">
      <c r="M107" s="180" t="s">
        <v>302</v>
      </c>
      <c r="N107" s="181" t="s">
        <v>208</v>
      </c>
      <c r="O107" s="182" t="s">
        <v>208</v>
      </c>
      <c r="P107" s="182" t="s">
        <v>208</v>
      </c>
      <c r="Q107" s="182" t="s">
        <v>208</v>
      </c>
      <c r="R107" s="182" t="s">
        <v>209</v>
      </c>
      <c r="S107" s="182" t="s">
        <v>208</v>
      </c>
      <c r="T107" s="182" t="s">
        <v>208</v>
      </c>
      <c r="U107" s="182" t="s">
        <v>208</v>
      </c>
      <c r="V107" s="183" t="s">
        <v>2</v>
      </c>
    </row>
    <row r="108" spans="13:22" x14ac:dyDescent="0.2">
      <c r="M108" s="180" t="s">
        <v>303</v>
      </c>
      <c r="N108" s="181" t="s">
        <v>2</v>
      </c>
      <c r="O108" s="182" t="s">
        <v>3</v>
      </c>
      <c r="P108" s="182" t="s">
        <v>1</v>
      </c>
      <c r="Q108" s="182" t="s">
        <v>208</v>
      </c>
      <c r="R108" s="182" t="s">
        <v>209</v>
      </c>
      <c r="S108" s="182" t="s">
        <v>208</v>
      </c>
      <c r="T108" s="182" t="s">
        <v>208</v>
      </c>
      <c r="U108" s="182" t="s">
        <v>208</v>
      </c>
      <c r="V108" s="183" t="s">
        <v>208</v>
      </c>
    </row>
    <row r="109" spans="13:22" x14ac:dyDescent="0.2">
      <c r="M109" s="180" t="s">
        <v>304</v>
      </c>
      <c r="N109" s="181" t="s">
        <v>208</v>
      </c>
      <c r="O109" s="182" t="s">
        <v>208</v>
      </c>
      <c r="P109" s="182" t="s">
        <v>1</v>
      </c>
      <c r="Q109" s="182" t="s">
        <v>208</v>
      </c>
      <c r="R109" s="182" t="s">
        <v>209</v>
      </c>
      <c r="S109" s="182" t="s">
        <v>208</v>
      </c>
      <c r="T109" s="182" t="s">
        <v>208</v>
      </c>
      <c r="U109" s="182" t="s">
        <v>208</v>
      </c>
      <c r="V109" s="183" t="s">
        <v>208</v>
      </c>
    </row>
    <row r="110" spans="13:22" x14ac:dyDescent="0.2">
      <c r="M110" s="180" t="s">
        <v>305</v>
      </c>
      <c r="N110" s="181" t="s">
        <v>2</v>
      </c>
      <c r="O110" s="182" t="s">
        <v>3</v>
      </c>
      <c r="P110" s="182" t="s">
        <v>3</v>
      </c>
      <c r="Q110" s="182" t="s">
        <v>208</v>
      </c>
      <c r="R110" s="182" t="s">
        <v>209</v>
      </c>
      <c r="S110" s="182" t="s">
        <v>208</v>
      </c>
      <c r="T110" s="182" t="s">
        <v>208</v>
      </c>
      <c r="U110" s="182" t="s">
        <v>208</v>
      </c>
      <c r="V110" s="183" t="s">
        <v>208</v>
      </c>
    </row>
    <row r="111" spans="13:22" x14ac:dyDescent="0.2">
      <c r="M111" s="180" t="s">
        <v>306</v>
      </c>
      <c r="N111" s="181" t="s">
        <v>2</v>
      </c>
      <c r="O111" s="182" t="s">
        <v>3</v>
      </c>
      <c r="P111" s="182" t="s">
        <v>1</v>
      </c>
      <c r="Q111" s="182" t="s">
        <v>3</v>
      </c>
      <c r="R111" s="182" t="s">
        <v>4</v>
      </c>
      <c r="S111" s="182" t="s">
        <v>7</v>
      </c>
      <c r="T111" s="182" t="s">
        <v>7</v>
      </c>
      <c r="U111" s="182" t="s">
        <v>8</v>
      </c>
      <c r="V111" s="183" t="s">
        <v>208</v>
      </c>
    </row>
    <row r="112" spans="13:22" x14ac:dyDescent="0.2">
      <c r="M112" s="184" t="s">
        <v>307</v>
      </c>
      <c r="N112" s="181" t="s">
        <v>2</v>
      </c>
      <c r="O112" s="182" t="s">
        <v>3</v>
      </c>
      <c r="P112" s="182" t="s">
        <v>1</v>
      </c>
      <c r="Q112" s="182" t="s">
        <v>208</v>
      </c>
      <c r="R112" s="182" t="s">
        <v>209</v>
      </c>
      <c r="S112" s="182" t="s">
        <v>208</v>
      </c>
      <c r="T112" s="182" t="s">
        <v>208</v>
      </c>
      <c r="U112" s="182" t="s">
        <v>208</v>
      </c>
      <c r="V112" s="183" t="s">
        <v>4</v>
      </c>
    </row>
    <row r="113" spans="13:22" x14ac:dyDescent="0.2">
      <c r="M113" s="180" t="s">
        <v>308</v>
      </c>
      <c r="N113" s="181" t="s">
        <v>2</v>
      </c>
      <c r="O113" s="182" t="s">
        <v>3</v>
      </c>
      <c r="P113" s="182" t="s">
        <v>2</v>
      </c>
      <c r="Q113" s="182" t="s">
        <v>208</v>
      </c>
      <c r="R113" s="182" t="s">
        <v>209</v>
      </c>
      <c r="S113" s="182" t="s">
        <v>208</v>
      </c>
      <c r="T113" s="182" t="s">
        <v>208</v>
      </c>
      <c r="U113" s="182" t="s">
        <v>208</v>
      </c>
      <c r="V113" s="183" t="s">
        <v>208</v>
      </c>
    </row>
    <row r="114" spans="13:22" x14ac:dyDescent="0.2">
      <c r="M114" s="180" t="s">
        <v>309</v>
      </c>
      <c r="N114" s="181" t="s">
        <v>2</v>
      </c>
      <c r="O114" s="182" t="s">
        <v>3</v>
      </c>
      <c r="P114" s="182" t="s">
        <v>1</v>
      </c>
      <c r="Q114" s="182" t="s">
        <v>208</v>
      </c>
      <c r="R114" s="182" t="s">
        <v>209</v>
      </c>
      <c r="S114" s="182" t="s">
        <v>208</v>
      </c>
      <c r="T114" s="182" t="s">
        <v>208</v>
      </c>
      <c r="U114" s="182" t="s">
        <v>208</v>
      </c>
      <c r="V114" s="183" t="s">
        <v>208</v>
      </c>
    </row>
    <row r="115" spans="13:22" x14ac:dyDescent="0.2">
      <c r="M115" s="180" t="s">
        <v>310</v>
      </c>
      <c r="N115" s="181" t="s">
        <v>208</v>
      </c>
      <c r="O115" s="182" t="s">
        <v>208</v>
      </c>
      <c r="P115" s="182" t="s">
        <v>208</v>
      </c>
      <c r="Q115" s="182" t="s">
        <v>208</v>
      </c>
      <c r="R115" s="182" t="s">
        <v>209</v>
      </c>
      <c r="S115" s="182" t="s">
        <v>208</v>
      </c>
      <c r="T115" s="182" t="s">
        <v>208</v>
      </c>
      <c r="U115" s="182" t="s">
        <v>7</v>
      </c>
      <c r="V115" s="183" t="s">
        <v>208</v>
      </c>
    </row>
    <row r="116" spans="13:22" x14ac:dyDescent="0.2">
      <c r="M116" s="180" t="s">
        <v>311</v>
      </c>
      <c r="N116" s="181" t="s">
        <v>2</v>
      </c>
      <c r="O116" s="182" t="s">
        <v>3</v>
      </c>
      <c r="P116" s="182" t="s">
        <v>1</v>
      </c>
      <c r="Q116" s="182" t="s">
        <v>3</v>
      </c>
      <c r="R116" s="182" t="s">
        <v>3</v>
      </c>
      <c r="S116" s="182" t="s">
        <v>3</v>
      </c>
      <c r="T116" s="182" t="s">
        <v>4</v>
      </c>
      <c r="U116" s="182" t="s">
        <v>7</v>
      </c>
      <c r="V116" s="183" t="s">
        <v>208</v>
      </c>
    </row>
    <row r="117" spans="13:22" x14ac:dyDescent="0.2">
      <c r="M117" s="180" t="s">
        <v>312</v>
      </c>
      <c r="N117" s="181" t="s">
        <v>2</v>
      </c>
      <c r="O117" s="182" t="s">
        <v>3</v>
      </c>
      <c r="P117" s="182" t="s">
        <v>1</v>
      </c>
      <c r="Q117" s="182" t="s">
        <v>4</v>
      </c>
      <c r="R117" s="182" t="s">
        <v>3</v>
      </c>
      <c r="S117" s="182" t="s">
        <v>3</v>
      </c>
      <c r="T117" s="182" t="s">
        <v>5</v>
      </c>
      <c r="U117" s="182" t="s">
        <v>7</v>
      </c>
      <c r="V117" s="183" t="s">
        <v>208</v>
      </c>
    </row>
    <row r="118" spans="13:22" x14ac:dyDescent="0.2">
      <c r="M118" s="184" t="s">
        <v>313</v>
      </c>
      <c r="N118" s="181" t="s">
        <v>2</v>
      </c>
      <c r="O118" s="182" t="s">
        <v>3</v>
      </c>
      <c r="P118" s="182" t="s">
        <v>1</v>
      </c>
      <c r="Q118" s="182" t="s">
        <v>208</v>
      </c>
      <c r="R118" s="182" t="s">
        <v>209</v>
      </c>
      <c r="S118" s="182" t="s">
        <v>208</v>
      </c>
      <c r="T118" s="182" t="s">
        <v>208</v>
      </c>
      <c r="U118" s="182" t="s">
        <v>208</v>
      </c>
      <c r="V118" s="183" t="s">
        <v>208</v>
      </c>
    </row>
    <row r="119" spans="13:22" x14ac:dyDescent="0.2">
      <c r="M119" s="180" t="s">
        <v>314</v>
      </c>
      <c r="N119" s="181" t="s">
        <v>2</v>
      </c>
      <c r="O119" s="182" t="s">
        <v>3</v>
      </c>
      <c r="P119" s="182" t="s">
        <v>2</v>
      </c>
      <c r="Q119" s="182" t="s">
        <v>208</v>
      </c>
      <c r="R119" s="182" t="s">
        <v>209</v>
      </c>
      <c r="S119" s="182" t="s">
        <v>208</v>
      </c>
      <c r="T119" s="182" t="s">
        <v>208</v>
      </c>
      <c r="U119" s="182" t="s">
        <v>208</v>
      </c>
      <c r="V119" s="183" t="s">
        <v>208</v>
      </c>
    </row>
    <row r="120" spans="13:22" x14ac:dyDescent="0.2">
      <c r="M120" s="180" t="s">
        <v>315</v>
      </c>
      <c r="N120" s="181" t="s">
        <v>209</v>
      </c>
      <c r="O120" s="182" t="s">
        <v>209</v>
      </c>
      <c r="P120" s="182" t="s">
        <v>209</v>
      </c>
      <c r="Q120" s="182" t="s">
        <v>208</v>
      </c>
      <c r="R120" s="182" t="s">
        <v>209</v>
      </c>
      <c r="S120" s="182" t="s">
        <v>208</v>
      </c>
      <c r="T120" s="182" t="s">
        <v>208</v>
      </c>
      <c r="U120" s="182" t="s">
        <v>208</v>
      </c>
      <c r="V120" s="183" t="s">
        <v>6</v>
      </c>
    </row>
    <row r="121" spans="13:22" x14ac:dyDescent="0.2">
      <c r="M121" s="180" t="s">
        <v>316</v>
      </c>
      <c r="N121" s="181" t="s">
        <v>2</v>
      </c>
      <c r="O121" s="182" t="s">
        <v>3</v>
      </c>
      <c r="P121" s="182" t="s">
        <v>1</v>
      </c>
      <c r="Q121" s="182" t="s">
        <v>208</v>
      </c>
      <c r="R121" s="182" t="s">
        <v>209</v>
      </c>
      <c r="S121" s="182" t="s">
        <v>3</v>
      </c>
      <c r="T121" s="182" t="s">
        <v>208</v>
      </c>
      <c r="U121" s="182" t="s">
        <v>208</v>
      </c>
      <c r="V121" s="183" t="s">
        <v>208</v>
      </c>
    </row>
    <row r="122" spans="13:22" x14ac:dyDescent="0.2">
      <c r="M122" s="180" t="s">
        <v>317</v>
      </c>
      <c r="N122" s="181" t="s">
        <v>2</v>
      </c>
      <c r="O122" s="182" t="s">
        <v>3</v>
      </c>
      <c r="P122" s="182" t="s">
        <v>1</v>
      </c>
      <c r="Q122" s="182" t="s">
        <v>208</v>
      </c>
      <c r="R122" s="182" t="s">
        <v>209</v>
      </c>
      <c r="S122" s="182" t="s">
        <v>3</v>
      </c>
      <c r="T122" s="182" t="s">
        <v>4</v>
      </c>
      <c r="U122" s="182" t="s">
        <v>208</v>
      </c>
      <c r="V122" s="183" t="s">
        <v>208</v>
      </c>
    </row>
    <row r="123" spans="13:22" x14ac:dyDescent="0.2">
      <c r="M123" s="180" t="s">
        <v>318</v>
      </c>
      <c r="N123" s="181" t="s">
        <v>2</v>
      </c>
      <c r="O123" s="182" t="s">
        <v>3</v>
      </c>
      <c r="P123" s="182" t="s">
        <v>3</v>
      </c>
      <c r="Q123" s="182" t="s">
        <v>208</v>
      </c>
      <c r="R123" s="182" t="s">
        <v>209</v>
      </c>
      <c r="S123" s="182" t="s">
        <v>208</v>
      </c>
      <c r="T123" s="182" t="s">
        <v>7</v>
      </c>
      <c r="U123" s="182" t="s">
        <v>7</v>
      </c>
      <c r="V123" s="183" t="s">
        <v>208</v>
      </c>
    </row>
    <row r="124" spans="13:22" x14ac:dyDescent="0.2">
      <c r="M124" s="180" t="s">
        <v>319</v>
      </c>
      <c r="N124" s="181" t="s">
        <v>209</v>
      </c>
      <c r="O124" s="182" t="s">
        <v>209</v>
      </c>
      <c r="P124" s="182" t="s">
        <v>209</v>
      </c>
      <c r="Q124" s="182" t="s">
        <v>208</v>
      </c>
      <c r="R124" s="182" t="s">
        <v>209</v>
      </c>
      <c r="S124" s="182" t="s">
        <v>208</v>
      </c>
      <c r="T124" s="182" t="s">
        <v>208</v>
      </c>
      <c r="U124" s="182" t="s">
        <v>208</v>
      </c>
      <c r="V124" s="183" t="s">
        <v>4</v>
      </c>
    </row>
    <row r="125" spans="13:22" x14ac:dyDescent="0.2">
      <c r="M125" s="180" t="s">
        <v>320</v>
      </c>
      <c r="N125" s="181" t="s">
        <v>2</v>
      </c>
      <c r="O125" s="182" t="s">
        <v>3</v>
      </c>
      <c r="P125" s="182" t="s">
        <v>208</v>
      </c>
      <c r="Q125" s="182" t="s">
        <v>4</v>
      </c>
      <c r="R125" s="182" t="s">
        <v>209</v>
      </c>
      <c r="S125" s="182" t="s">
        <v>208</v>
      </c>
      <c r="T125" s="182" t="s">
        <v>208</v>
      </c>
      <c r="U125" s="182" t="s">
        <v>208</v>
      </c>
      <c r="V125" s="183" t="s">
        <v>208</v>
      </c>
    </row>
    <row r="126" spans="13:22" x14ac:dyDescent="0.2">
      <c r="M126" s="180" t="s">
        <v>321</v>
      </c>
      <c r="N126" s="181" t="s">
        <v>2</v>
      </c>
      <c r="O126" s="182" t="s">
        <v>3</v>
      </c>
      <c r="P126" s="182" t="s">
        <v>1</v>
      </c>
      <c r="Q126" s="182" t="s">
        <v>208</v>
      </c>
      <c r="R126" s="182" t="s">
        <v>209</v>
      </c>
      <c r="S126" s="182" t="s">
        <v>208</v>
      </c>
      <c r="T126" s="182" t="s">
        <v>208</v>
      </c>
      <c r="U126" s="182" t="s">
        <v>208</v>
      </c>
      <c r="V126" s="183" t="s">
        <v>3</v>
      </c>
    </row>
    <row r="127" spans="13:22" x14ac:dyDescent="0.2">
      <c r="M127" s="180" t="s">
        <v>322</v>
      </c>
      <c r="N127" s="181" t="s">
        <v>2</v>
      </c>
      <c r="O127" s="182" t="s">
        <v>3</v>
      </c>
      <c r="P127" s="182" t="s">
        <v>1</v>
      </c>
      <c r="Q127" s="182" t="s">
        <v>4</v>
      </c>
      <c r="R127" s="182" t="s">
        <v>3</v>
      </c>
      <c r="S127" s="182" t="s">
        <v>4</v>
      </c>
      <c r="T127" s="182" t="s">
        <v>4</v>
      </c>
      <c r="U127" s="182" t="s">
        <v>208</v>
      </c>
      <c r="V127" s="183" t="s">
        <v>208</v>
      </c>
    </row>
    <row r="128" spans="13:22" x14ac:dyDescent="0.2">
      <c r="M128" s="180" t="s">
        <v>323</v>
      </c>
      <c r="N128" s="181" t="s">
        <v>208</v>
      </c>
      <c r="O128" s="182" t="s">
        <v>208</v>
      </c>
      <c r="P128" s="182" t="s">
        <v>208</v>
      </c>
      <c r="Q128" s="182" t="s">
        <v>208</v>
      </c>
      <c r="R128" s="182" t="s">
        <v>209</v>
      </c>
      <c r="S128" s="182" t="s">
        <v>208</v>
      </c>
      <c r="T128" s="182" t="s">
        <v>208</v>
      </c>
      <c r="U128" s="182" t="s">
        <v>208</v>
      </c>
      <c r="V128" s="183" t="s">
        <v>5</v>
      </c>
    </row>
    <row r="129" spans="13:22" x14ac:dyDescent="0.2">
      <c r="M129" s="180" t="s">
        <v>324</v>
      </c>
      <c r="N129" s="181" t="s">
        <v>2</v>
      </c>
      <c r="O129" s="182" t="s">
        <v>3</v>
      </c>
      <c r="P129" s="182" t="s">
        <v>1</v>
      </c>
      <c r="Q129" s="182" t="s">
        <v>208</v>
      </c>
      <c r="R129" s="182" t="s">
        <v>209</v>
      </c>
      <c r="S129" s="182" t="s">
        <v>208</v>
      </c>
      <c r="T129" s="182" t="s">
        <v>208</v>
      </c>
      <c r="U129" s="182" t="s">
        <v>208</v>
      </c>
      <c r="V129" s="183" t="s">
        <v>208</v>
      </c>
    </row>
    <row r="130" spans="13:22" x14ac:dyDescent="0.2">
      <c r="M130" s="180" t="s">
        <v>325</v>
      </c>
      <c r="N130" s="181" t="s">
        <v>2</v>
      </c>
      <c r="O130" s="182" t="s">
        <v>3</v>
      </c>
      <c r="P130" s="182" t="s">
        <v>1</v>
      </c>
      <c r="Q130" s="182" t="s">
        <v>4</v>
      </c>
      <c r="R130" s="182" t="s">
        <v>209</v>
      </c>
      <c r="S130" s="182" t="s">
        <v>7</v>
      </c>
      <c r="T130" s="182" t="s">
        <v>4</v>
      </c>
      <c r="U130" s="182" t="s">
        <v>4</v>
      </c>
      <c r="V130" s="183" t="s">
        <v>208</v>
      </c>
    </row>
    <row r="131" spans="13:22" x14ac:dyDescent="0.2">
      <c r="M131" s="180" t="s">
        <v>326</v>
      </c>
      <c r="N131" s="181" t="s">
        <v>2</v>
      </c>
      <c r="O131" s="182" t="s">
        <v>3</v>
      </c>
      <c r="P131" s="182" t="s">
        <v>1</v>
      </c>
      <c r="Q131" s="182" t="s">
        <v>4</v>
      </c>
      <c r="R131" s="182" t="s">
        <v>209</v>
      </c>
      <c r="S131" s="182" t="s">
        <v>7</v>
      </c>
      <c r="T131" s="182" t="s">
        <v>4</v>
      </c>
      <c r="U131" s="182" t="s">
        <v>4</v>
      </c>
      <c r="V131" s="183" t="s">
        <v>208</v>
      </c>
    </row>
    <row r="132" spans="13:22" x14ac:dyDescent="0.2">
      <c r="M132" s="180" t="s">
        <v>327</v>
      </c>
      <c r="N132" s="181" t="s">
        <v>2</v>
      </c>
      <c r="O132" s="182" t="s">
        <v>3</v>
      </c>
      <c r="P132" s="182" t="s">
        <v>1</v>
      </c>
      <c r="Q132" s="182" t="s">
        <v>208</v>
      </c>
      <c r="R132" s="182" t="s">
        <v>209</v>
      </c>
      <c r="S132" s="182" t="s">
        <v>3</v>
      </c>
      <c r="T132" s="182" t="s">
        <v>4</v>
      </c>
      <c r="U132" s="182" t="s">
        <v>208</v>
      </c>
      <c r="V132" s="183" t="s">
        <v>208</v>
      </c>
    </row>
    <row r="133" spans="13:22" x14ac:dyDescent="0.2">
      <c r="M133" s="180" t="s">
        <v>328</v>
      </c>
      <c r="N133" s="181" t="s">
        <v>2</v>
      </c>
      <c r="O133" s="182" t="s">
        <v>3</v>
      </c>
      <c r="P133" s="182" t="s">
        <v>1</v>
      </c>
      <c r="Q133" s="182" t="s">
        <v>208</v>
      </c>
      <c r="R133" s="182" t="s">
        <v>209</v>
      </c>
      <c r="S133" s="182" t="s">
        <v>208</v>
      </c>
      <c r="T133" s="182" t="s">
        <v>208</v>
      </c>
      <c r="U133" s="182" t="s">
        <v>208</v>
      </c>
      <c r="V133" s="183" t="s">
        <v>208</v>
      </c>
    </row>
    <row r="134" spans="13:22" x14ac:dyDescent="0.2">
      <c r="M134" s="180" t="s">
        <v>329</v>
      </c>
      <c r="N134" s="181" t="s">
        <v>2</v>
      </c>
      <c r="O134" s="182" t="s">
        <v>3</v>
      </c>
      <c r="P134" s="182" t="s">
        <v>1</v>
      </c>
      <c r="Q134" s="182" t="s">
        <v>3</v>
      </c>
      <c r="R134" s="182" t="s">
        <v>209</v>
      </c>
      <c r="S134" s="182" t="s">
        <v>208</v>
      </c>
      <c r="T134" s="182" t="s">
        <v>3</v>
      </c>
      <c r="U134" s="182" t="s">
        <v>5</v>
      </c>
      <c r="V134" s="183" t="s">
        <v>208</v>
      </c>
    </row>
    <row r="135" spans="13:22" x14ac:dyDescent="0.2">
      <c r="M135" s="180" t="s">
        <v>330</v>
      </c>
      <c r="N135" s="181" t="s">
        <v>2</v>
      </c>
      <c r="O135" s="182" t="s">
        <v>3</v>
      </c>
      <c r="P135" s="182" t="s">
        <v>1</v>
      </c>
      <c r="Q135" s="182" t="s">
        <v>4</v>
      </c>
      <c r="R135" s="182" t="s">
        <v>209</v>
      </c>
      <c r="S135" s="182" t="s">
        <v>208</v>
      </c>
      <c r="T135" s="182" t="s">
        <v>5</v>
      </c>
      <c r="U135" s="182" t="s">
        <v>6</v>
      </c>
      <c r="V135" s="183" t="s">
        <v>208</v>
      </c>
    </row>
    <row r="136" spans="13:22" x14ac:dyDescent="0.2">
      <c r="M136" s="180" t="s">
        <v>331</v>
      </c>
      <c r="N136" s="181" t="s">
        <v>2</v>
      </c>
      <c r="O136" s="182" t="s">
        <v>3</v>
      </c>
      <c r="P136" s="182" t="s">
        <v>1</v>
      </c>
      <c r="Q136" s="182" t="s">
        <v>208</v>
      </c>
      <c r="R136" s="182" t="s">
        <v>209</v>
      </c>
      <c r="S136" s="182" t="s">
        <v>208</v>
      </c>
      <c r="T136" s="182" t="s">
        <v>208</v>
      </c>
      <c r="U136" s="182" t="s">
        <v>208</v>
      </c>
      <c r="V136" s="183" t="s">
        <v>208</v>
      </c>
    </row>
    <row r="137" spans="13:22" x14ac:dyDescent="0.2">
      <c r="M137" s="180" t="s">
        <v>332</v>
      </c>
      <c r="N137" s="181" t="s">
        <v>2</v>
      </c>
      <c r="O137" s="182" t="s">
        <v>3</v>
      </c>
      <c r="P137" s="182" t="s">
        <v>1</v>
      </c>
      <c r="Q137" s="182" t="s">
        <v>4</v>
      </c>
      <c r="R137" s="182" t="s">
        <v>209</v>
      </c>
      <c r="S137" s="182" t="s">
        <v>208</v>
      </c>
      <c r="T137" s="182" t="s">
        <v>5</v>
      </c>
      <c r="U137" s="182" t="s">
        <v>6</v>
      </c>
      <c r="V137" s="183" t="s">
        <v>208</v>
      </c>
    </row>
    <row r="138" spans="13:22" x14ac:dyDescent="0.2">
      <c r="M138" s="180" t="s">
        <v>333</v>
      </c>
      <c r="N138" s="181" t="s">
        <v>208</v>
      </c>
      <c r="O138" s="182" t="s">
        <v>208</v>
      </c>
      <c r="P138" s="182" t="s">
        <v>208</v>
      </c>
      <c r="Q138" s="182" t="s">
        <v>208</v>
      </c>
      <c r="R138" s="182" t="s">
        <v>2</v>
      </c>
      <c r="S138" s="182" t="s">
        <v>3</v>
      </c>
      <c r="T138" s="182" t="s">
        <v>208</v>
      </c>
      <c r="U138" s="182" t="s">
        <v>208</v>
      </c>
      <c r="V138" s="183" t="s">
        <v>208</v>
      </c>
    </row>
    <row r="139" spans="13:22" x14ac:dyDescent="0.2">
      <c r="M139" s="180" t="s">
        <v>334</v>
      </c>
      <c r="N139" s="181" t="s">
        <v>208</v>
      </c>
      <c r="O139" s="182" t="s">
        <v>208</v>
      </c>
      <c r="P139" s="182" t="s">
        <v>208</v>
      </c>
      <c r="Q139" s="182" t="s">
        <v>208</v>
      </c>
      <c r="R139" s="182" t="s">
        <v>209</v>
      </c>
      <c r="S139" s="182" t="s">
        <v>208</v>
      </c>
      <c r="T139" s="182" t="s">
        <v>208</v>
      </c>
      <c r="U139" s="182" t="s">
        <v>208</v>
      </c>
      <c r="V139" s="183" t="s">
        <v>10</v>
      </c>
    </row>
    <row r="140" spans="13:22" x14ac:dyDescent="0.2">
      <c r="M140" s="180" t="s">
        <v>335</v>
      </c>
      <c r="N140" s="181" t="s">
        <v>2</v>
      </c>
      <c r="O140" s="182" t="s">
        <v>3</v>
      </c>
      <c r="P140" s="182" t="s">
        <v>1</v>
      </c>
      <c r="Q140" s="182" t="s">
        <v>208</v>
      </c>
      <c r="R140" s="182" t="s">
        <v>209</v>
      </c>
      <c r="S140" s="182" t="s">
        <v>3</v>
      </c>
      <c r="T140" s="182" t="s">
        <v>208</v>
      </c>
      <c r="U140" s="182" t="s">
        <v>208</v>
      </c>
      <c r="V140" s="183" t="s">
        <v>208</v>
      </c>
    </row>
    <row r="141" spans="13:22" x14ac:dyDescent="0.2">
      <c r="M141" s="180" t="s">
        <v>336</v>
      </c>
      <c r="N141" s="181" t="s">
        <v>2</v>
      </c>
      <c r="O141" s="182" t="s">
        <v>209</v>
      </c>
      <c r="P141" s="182" t="s">
        <v>1</v>
      </c>
      <c r="Q141" s="182" t="s">
        <v>4</v>
      </c>
      <c r="R141" s="182" t="s">
        <v>209</v>
      </c>
      <c r="S141" s="182" t="s">
        <v>208</v>
      </c>
      <c r="T141" s="182" t="s">
        <v>4</v>
      </c>
      <c r="U141" s="182" t="s">
        <v>208</v>
      </c>
      <c r="V141" s="183" t="s">
        <v>208</v>
      </c>
    </row>
    <row r="142" spans="13:22" x14ac:dyDescent="0.2">
      <c r="M142" s="180" t="s">
        <v>337</v>
      </c>
      <c r="N142" s="181" t="s">
        <v>208</v>
      </c>
      <c r="O142" s="182" t="s">
        <v>208</v>
      </c>
      <c r="P142" s="182" t="s">
        <v>208</v>
      </c>
      <c r="Q142" s="182" t="s">
        <v>208</v>
      </c>
      <c r="R142" s="182" t="s">
        <v>209</v>
      </c>
      <c r="S142" s="182" t="s">
        <v>208</v>
      </c>
      <c r="T142" s="182" t="s">
        <v>4</v>
      </c>
      <c r="U142" s="182" t="s">
        <v>208</v>
      </c>
      <c r="V142" s="183" t="s">
        <v>208</v>
      </c>
    </row>
    <row r="143" spans="13:22" x14ac:dyDescent="0.2">
      <c r="M143" s="180" t="s">
        <v>338</v>
      </c>
      <c r="N143" s="181" t="s">
        <v>208</v>
      </c>
      <c r="O143" s="182" t="s">
        <v>208</v>
      </c>
      <c r="P143" s="182" t="s">
        <v>208</v>
      </c>
      <c r="Q143" s="182" t="s">
        <v>208</v>
      </c>
      <c r="R143" s="182" t="s">
        <v>209</v>
      </c>
      <c r="S143" s="182" t="s">
        <v>208</v>
      </c>
      <c r="T143" s="182" t="s">
        <v>208</v>
      </c>
      <c r="U143" s="182" t="s">
        <v>208</v>
      </c>
      <c r="V143" s="183" t="s">
        <v>2</v>
      </c>
    </row>
    <row r="144" spans="13:22" x14ac:dyDescent="0.2">
      <c r="M144" s="187" t="s">
        <v>339</v>
      </c>
      <c r="N144" s="181" t="s">
        <v>2</v>
      </c>
      <c r="O144" s="182" t="s">
        <v>3</v>
      </c>
      <c r="P144" s="182" t="s">
        <v>1</v>
      </c>
      <c r="Q144" s="182" t="s">
        <v>4</v>
      </c>
      <c r="R144" s="182" t="s">
        <v>209</v>
      </c>
      <c r="S144" s="182" t="s">
        <v>208</v>
      </c>
      <c r="T144" s="182" t="s">
        <v>6</v>
      </c>
      <c r="U144" s="182" t="s">
        <v>7</v>
      </c>
      <c r="V144" s="183" t="s">
        <v>208</v>
      </c>
    </row>
    <row r="145" spans="13:22" x14ac:dyDescent="0.2">
      <c r="M145" s="180" t="s">
        <v>340</v>
      </c>
      <c r="N145" s="181" t="s">
        <v>2</v>
      </c>
      <c r="O145" s="182" t="s">
        <v>3</v>
      </c>
      <c r="P145" s="182" t="s">
        <v>1</v>
      </c>
      <c r="Q145" s="182" t="s">
        <v>208</v>
      </c>
      <c r="R145" s="182" t="s">
        <v>209</v>
      </c>
      <c r="S145" s="182" t="s">
        <v>208</v>
      </c>
      <c r="T145" s="182" t="s">
        <v>208</v>
      </c>
      <c r="U145" s="182" t="s">
        <v>208</v>
      </c>
      <c r="V145" s="183" t="s">
        <v>208</v>
      </c>
    </row>
    <row r="146" spans="13:22" x14ac:dyDescent="0.2">
      <c r="M146" s="187" t="s">
        <v>341</v>
      </c>
      <c r="N146" s="181" t="s">
        <v>3</v>
      </c>
      <c r="O146" s="182" t="s">
        <v>5</v>
      </c>
      <c r="P146" s="182" t="s">
        <v>1</v>
      </c>
      <c r="Q146" s="182" t="s">
        <v>4</v>
      </c>
      <c r="R146" s="182" t="s">
        <v>209</v>
      </c>
      <c r="S146" s="182" t="s">
        <v>208</v>
      </c>
      <c r="T146" s="182" t="s">
        <v>5</v>
      </c>
      <c r="U146" s="182" t="s">
        <v>6</v>
      </c>
      <c r="V146" s="183" t="s">
        <v>208</v>
      </c>
    </row>
    <row r="147" spans="13:22" x14ac:dyDescent="0.2">
      <c r="M147" s="180" t="s">
        <v>342</v>
      </c>
      <c r="N147" s="181" t="s">
        <v>2</v>
      </c>
      <c r="O147" s="182" t="s">
        <v>3</v>
      </c>
      <c r="P147" s="182" t="s">
        <v>1</v>
      </c>
      <c r="Q147" s="182" t="s">
        <v>208</v>
      </c>
      <c r="R147" s="182" t="s">
        <v>209</v>
      </c>
      <c r="S147" s="182" t="s">
        <v>208</v>
      </c>
      <c r="T147" s="182" t="s">
        <v>208</v>
      </c>
      <c r="U147" s="182" t="s">
        <v>208</v>
      </c>
      <c r="V147" s="183" t="s">
        <v>208</v>
      </c>
    </row>
    <row r="148" spans="13:22" x14ac:dyDescent="0.2">
      <c r="M148" s="180" t="s">
        <v>343</v>
      </c>
      <c r="N148" s="181" t="s">
        <v>208</v>
      </c>
      <c r="O148" s="182" t="s">
        <v>208</v>
      </c>
      <c r="P148" s="182" t="s">
        <v>208</v>
      </c>
      <c r="Q148" s="182" t="s">
        <v>208</v>
      </c>
      <c r="R148" s="182" t="s">
        <v>209</v>
      </c>
      <c r="S148" s="182" t="s">
        <v>208</v>
      </c>
      <c r="T148" s="182" t="s">
        <v>208</v>
      </c>
      <c r="U148" s="182" t="s">
        <v>208</v>
      </c>
      <c r="V148" s="183" t="s">
        <v>8</v>
      </c>
    </row>
    <row r="149" spans="13:22" x14ac:dyDescent="0.2">
      <c r="M149" s="180" t="s">
        <v>344</v>
      </c>
      <c r="N149" s="181" t="s">
        <v>208</v>
      </c>
      <c r="O149" s="182" t="s">
        <v>208</v>
      </c>
      <c r="P149" s="182" t="s">
        <v>1</v>
      </c>
      <c r="Q149" s="182" t="s">
        <v>3</v>
      </c>
      <c r="R149" s="182" t="s">
        <v>209</v>
      </c>
      <c r="S149" s="182" t="s">
        <v>208</v>
      </c>
      <c r="T149" s="182" t="s">
        <v>208</v>
      </c>
      <c r="U149" s="182" t="s">
        <v>5</v>
      </c>
      <c r="V149" s="183" t="s">
        <v>208</v>
      </c>
    </row>
    <row r="150" spans="13:22" x14ac:dyDescent="0.2">
      <c r="M150" s="180" t="s">
        <v>345</v>
      </c>
      <c r="N150" s="181" t="s">
        <v>2</v>
      </c>
      <c r="O150" s="182" t="s">
        <v>3</v>
      </c>
      <c r="P150" s="182" t="s">
        <v>1</v>
      </c>
      <c r="Q150" s="182" t="s">
        <v>208</v>
      </c>
      <c r="R150" s="182" t="s">
        <v>209</v>
      </c>
      <c r="S150" s="182" t="s">
        <v>208</v>
      </c>
      <c r="T150" s="182" t="s">
        <v>208</v>
      </c>
      <c r="U150" s="182" t="s">
        <v>208</v>
      </c>
      <c r="V150" s="183" t="s">
        <v>208</v>
      </c>
    </row>
    <row r="151" spans="13:22" x14ac:dyDescent="0.2">
      <c r="M151" s="180" t="s">
        <v>346</v>
      </c>
      <c r="N151" s="181" t="s">
        <v>2</v>
      </c>
      <c r="O151" s="182" t="s">
        <v>3</v>
      </c>
      <c r="P151" s="182" t="s">
        <v>1</v>
      </c>
      <c r="Q151" s="182" t="s">
        <v>4</v>
      </c>
      <c r="R151" s="182" t="s">
        <v>209</v>
      </c>
      <c r="S151" s="182" t="s">
        <v>208</v>
      </c>
      <c r="T151" s="182" t="s">
        <v>7</v>
      </c>
      <c r="U151" s="182" t="s">
        <v>7</v>
      </c>
      <c r="V151" s="183" t="s">
        <v>208</v>
      </c>
    </row>
    <row r="152" spans="13:22" x14ac:dyDescent="0.2">
      <c r="M152" s="180" t="s">
        <v>347</v>
      </c>
      <c r="N152" s="181" t="s">
        <v>208</v>
      </c>
      <c r="O152" s="182" t="s">
        <v>208</v>
      </c>
      <c r="P152" s="182" t="s">
        <v>1</v>
      </c>
      <c r="Q152" s="182" t="s">
        <v>208</v>
      </c>
      <c r="R152" s="182" t="s">
        <v>209</v>
      </c>
      <c r="S152" s="182" t="s">
        <v>208</v>
      </c>
      <c r="T152" s="182" t="s">
        <v>208</v>
      </c>
      <c r="U152" s="182" t="s">
        <v>208</v>
      </c>
      <c r="V152" s="183" t="s">
        <v>208</v>
      </c>
    </row>
    <row r="153" spans="13:22" x14ac:dyDescent="0.2">
      <c r="M153" s="180" t="s">
        <v>348</v>
      </c>
      <c r="N153" s="181" t="s">
        <v>208</v>
      </c>
      <c r="O153" s="182" t="s">
        <v>208</v>
      </c>
      <c r="P153" s="182" t="s">
        <v>208</v>
      </c>
      <c r="Q153" s="182" t="s">
        <v>208</v>
      </c>
      <c r="R153" s="182" t="s">
        <v>209</v>
      </c>
      <c r="S153" s="182" t="s">
        <v>208</v>
      </c>
      <c r="T153" s="182" t="s">
        <v>208</v>
      </c>
      <c r="U153" s="182" t="s">
        <v>208</v>
      </c>
      <c r="V153" s="183" t="s">
        <v>4</v>
      </c>
    </row>
    <row r="154" spans="13:22" x14ac:dyDescent="0.2">
      <c r="M154" s="180" t="s">
        <v>349</v>
      </c>
      <c r="N154" s="181" t="s">
        <v>208</v>
      </c>
      <c r="O154" s="182" t="s">
        <v>208</v>
      </c>
      <c r="P154" s="182" t="s">
        <v>208</v>
      </c>
      <c r="Q154" s="182" t="s">
        <v>208</v>
      </c>
      <c r="R154" s="182" t="s">
        <v>209</v>
      </c>
      <c r="S154" s="182" t="s">
        <v>208</v>
      </c>
      <c r="T154" s="182" t="s">
        <v>208</v>
      </c>
      <c r="U154" s="182" t="s">
        <v>208</v>
      </c>
      <c r="V154" s="183" t="s">
        <v>7</v>
      </c>
    </row>
    <row r="155" spans="13:22" x14ac:dyDescent="0.2">
      <c r="M155" s="180" t="s">
        <v>350</v>
      </c>
      <c r="N155" s="181" t="s">
        <v>208</v>
      </c>
      <c r="O155" s="182" t="s">
        <v>208</v>
      </c>
      <c r="P155" s="182" t="s">
        <v>208</v>
      </c>
      <c r="Q155" s="182" t="s">
        <v>208</v>
      </c>
      <c r="R155" s="182" t="s">
        <v>209</v>
      </c>
      <c r="S155" s="182" t="s">
        <v>208</v>
      </c>
      <c r="T155" s="182" t="s">
        <v>208</v>
      </c>
      <c r="U155" s="182" t="s">
        <v>208</v>
      </c>
      <c r="V155" s="183" t="s">
        <v>3</v>
      </c>
    </row>
    <row r="156" spans="13:22" x14ac:dyDescent="0.2">
      <c r="M156" s="180" t="s">
        <v>351</v>
      </c>
      <c r="N156" s="181" t="s">
        <v>2</v>
      </c>
      <c r="O156" s="182" t="s">
        <v>3</v>
      </c>
      <c r="P156" s="182" t="s">
        <v>1</v>
      </c>
      <c r="Q156" s="182" t="s">
        <v>208</v>
      </c>
      <c r="R156" s="182" t="s">
        <v>209</v>
      </c>
      <c r="S156" s="182" t="s">
        <v>208</v>
      </c>
      <c r="T156" s="182" t="s">
        <v>208</v>
      </c>
      <c r="U156" s="182" t="s">
        <v>208</v>
      </c>
      <c r="V156" s="183" t="s">
        <v>208</v>
      </c>
    </row>
    <row r="157" spans="13:22" x14ac:dyDescent="0.2">
      <c r="M157" s="180" t="s">
        <v>352</v>
      </c>
      <c r="N157" s="181" t="s">
        <v>2</v>
      </c>
      <c r="O157" s="182" t="s">
        <v>3</v>
      </c>
      <c r="P157" s="182" t="s">
        <v>2</v>
      </c>
      <c r="Q157" s="182" t="s">
        <v>3</v>
      </c>
      <c r="R157" s="182" t="s">
        <v>209</v>
      </c>
      <c r="S157" s="182" t="s">
        <v>208</v>
      </c>
      <c r="T157" s="182" t="s">
        <v>7</v>
      </c>
      <c r="U157" s="182" t="s">
        <v>7</v>
      </c>
      <c r="V157" s="183" t="s">
        <v>208</v>
      </c>
    </row>
    <row r="158" spans="13:22" x14ac:dyDescent="0.2">
      <c r="M158" s="180" t="s">
        <v>353</v>
      </c>
      <c r="N158" s="181" t="s">
        <v>2</v>
      </c>
      <c r="O158" s="182" t="s">
        <v>3</v>
      </c>
      <c r="P158" s="182" t="s">
        <v>1</v>
      </c>
      <c r="Q158" s="182" t="s">
        <v>4</v>
      </c>
      <c r="R158" s="182" t="s">
        <v>209</v>
      </c>
      <c r="S158" s="182" t="s">
        <v>208</v>
      </c>
      <c r="T158" s="182" t="s">
        <v>208</v>
      </c>
      <c r="U158" s="182" t="s">
        <v>208</v>
      </c>
      <c r="V158" s="183" t="s">
        <v>208</v>
      </c>
    </row>
    <row r="159" spans="13:22" x14ac:dyDescent="0.2">
      <c r="M159" s="180" t="s">
        <v>354</v>
      </c>
      <c r="N159" s="181" t="s">
        <v>2</v>
      </c>
      <c r="O159" s="182" t="s">
        <v>3</v>
      </c>
      <c r="P159" s="182" t="s">
        <v>1</v>
      </c>
      <c r="Q159" s="182" t="s">
        <v>4</v>
      </c>
      <c r="R159" s="182" t="s">
        <v>4</v>
      </c>
      <c r="S159" s="182" t="s">
        <v>5</v>
      </c>
      <c r="T159" s="182" t="s">
        <v>6</v>
      </c>
      <c r="U159" s="182" t="s">
        <v>7</v>
      </c>
      <c r="V159" s="183" t="s">
        <v>208</v>
      </c>
    </row>
    <row r="160" spans="13:22" x14ac:dyDescent="0.2">
      <c r="M160" s="180" t="s">
        <v>355</v>
      </c>
      <c r="N160" s="181" t="s">
        <v>2</v>
      </c>
      <c r="O160" s="182" t="s">
        <v>3</v>
      </c>
      <c r="P160" s="182" t="s">
        <v>2</v>
      </c>
      <c r="Q160" s="182" t="s">
        <v>208</v>
      </c>
      <c r="R160" s="182" t="s">
        <v>209</v>
      </c>
      <c r="S160" s="182" t="s">
        <v>208</v>
      </c>
      <c r="T160" s="182" t="s">
        <v>208</v>
      </c>
      <c r="U160" s="182" t="s">
        <v>208</v>
      </c>
      <c r="V160" s="183" t="s">
        <v>208</v>
      </c>
    </row>
    <row r="161" spans="13:22" x14ac:dyDescent="0.2">
      <c r="M161" s="180" t="s">
        <v>356</v>
      </c>
      <c r="N161" s="181" t="s">
        <v>2</v>
      </c>
      <c r="O161" s="182" t="s">
        <v>3</v>
      </c>
      <c r="P161" s="182" t="s">
        <v>1</v>
      </c>
      <c r="Q161" s="182" t="s">
        <v>208</v>
      </c>
      <c r="R161" s="182" t="s">
        <v>209</v>
      </c>
      <c r="S161" s="182" t="s">
        <v>208</v>
      </c>
      <c r="T161" s="182" t="s">
        <v>208</v>
      </c>
      <c r="U161" s="182" t="s">
        <v>208</v>
      </c>
      <c r="V161" s="183" t="s">
        <v>208</v>
      </c>
    </row>
    <row r="162" spans="13:22" x14ac:dyDescent="0.2">
      <c r="M162" s="180" t="s">
        <v>357</v>
      </c>
      <c r="N162" s="181" t="s">
        <v>208</v>
      </c>
      <c r="O162" s="182" t="s">
        <v>208</v>
      </c>
      <c r="P162" s="182" t="s">
        <v>2</v>
      </c>
      <c r="Q162" s="182" t="s">
        <v>1</v>
      </c>
      <c r="R162" s="182" t="s">
        <v>209</v>
      </c>
      <c r="S162" s="182" t="s">
        <v>208</v>
      </c>
      <c r="T162" s="182" t="s">
        <v>208</v>
      </c>
      <c r="U162" s="182" t="s">
        <v>208</v>
      </c>
      <c r="V162" s="183" t="s">
        <v>3</v>
      </c>
    </row>
    <row r="163" spans="13:22" x14ac:dyDescent="0.2">
      <c r="M163" s="180" t="s">
        <v>358</v>
      </c>
      <c r="N163" s="181" t="s">
        <v>2</v>
      </c>
      <c r="O163" s="182" t="s">
        <v>3</v>
      </c>
      <c r="P163" s="182" t="s">
        <v>1</v>
      </c>
      <c r="Q163" s="182" t="s">
        <v>208</v>
      </c>
      <c r="R163" s="182" t="s">
        <v>209</v>
      </c>
      <c r="S163" s="182" t="s">
        <v>208</v>
      </c>
      <c r="T163" s="182" t="s">
        <v>208</v>
      </c>
      <c r="U163" s="182" t="s">
        <v>208</v>
      </c>
      <c r="V163" s="183" t="s">
        <v>208</v>
      </c>
    </row>
    <row r="164" spans="13:22" x14ac:dyDescent="0.2">
      <c r="M164" s="184" t="s">
        <v>359</v>
      </c>
      <c r="N164" s="181" t="s">
        <v>2</v>
      </c>
      <c r="O164" s="182" t="s">
        <v>3</v>
      </c>
      <c r="P164" s="182" t="s">
        <v>1</v>
      </c>
      <c r="Q164" s="182" t="s">
        <v>208</v>
      </c>
      <c r="R164" s="182" t="s">
        <v>209</v>
      </c>
      <c r="S164" s="182" t="s">
        <v>208</v>
      </c>
      <c r="T164" s="182" t="s">
        <v>208</v>
      </c>
      <c r="U164" s="182" t="s">
        <v>208</v>
      </c>
      <c r="V164" s="183" t="s">
        <v>208</v>
      </c>
    </row>
    <row r="165" spans="13:22" x14ac:dyDescent="0.2">
      <c r="M165" s="180" t="s">
        <v>360</v>
      </c>
      <c r="N165" s="181" t="s">
        <v>2</v>
      </c>
      <c r="O165" s="182" t="s">
        <v>3</v>
      </c>
      <c r="P165" s="182" t="s">
        <v>2</v>
      </c>
      <c r="Q165" s="182" t="s">
        <v>208</v>
      </c>
      <c r="R165" s="182" t="s">
        <v>209</v>
      </c>
      <c r="S165" s="182" t="s">
        <v>208</v>
      </c>
      <c r="T165" s="182" t="s">
        <v>208</v>
      </c>
      <c r="U165" s="182" t="s">
        <v>208</v>
      </c>
      <c r="V165" s="183" t="s">
        <v>208</v>
      </c>
    </row>
    <row r="166" spans="13:22" x14ac:dyDescent="0.2">
      <c r="M166" s="180" t="s">
        <v>361</v>
      </c>
      <c r="N166" s="181" t="s">
        <v>2</v>
      </c>
      <c r="O166" s="182" t="s">
        <v>3</v>
      </c>
      <c r="P166" s="182" t="s">
        <v>2</v>
      </c>
      <c r="Q166" s="182" t="s">
        <v>208</v>
      </c>
      <c r="R166" s="182" t="s">
        <v>209</v>
      </c>
      <c r="S166" s="182" t="s">
        <v>208</v>
      </c>
      <c r="T166" s="182" t="s">
        <v>208</v>
      </c>
      <c r="U166" s="182" t="s">
        <v>208</v>
      </c>
      <c r="V166" s="183" t="s">
        <v>208</v>
      </c>
    </row>
    <row r="167" spans="13:22" x14ac:dyDescent="0.2">
      <c r="M167" s="180" t="s">
        <v>362</v>
      </c>
      <c r="N167" s="181" t="s">
        <v>2</v>
      </c>
      <c r="O167" s="182" t="s">
        <v>3</v>
      </c>
      <c r="P167" s="182" t="s">
        <v>1</v>
      </c>
      <c r="Q167" s="182" t="s">
        <v>208</v>
      </c>
      <c r="R167" s="182" t="s">
        <v>209</v>
      </c>
      <c r="S167" s="182" t="s">
        <v>208</v>
      </c>
      <c r="T167" s="182" t="s">
        <v>208</v>
      </c>
      <c r="U167" s="182" t="s">
        <v>208</v>
      </c>
      <c r="V167" s="183" t="s">
        <v>208</v>
      </c>
    </row>
    <row r="168" spans="13:22" x14ac:dyDescent="0.2">
      <c r="M168" s="180" t="s">
        <v>363</v>
      </c>
      <c r="N168" s="181" t="s">
        <v>2</v>
      </c>
      <c r="O168" s="182" t="s">
        <v>3</v>
      </c>
      <c r="P168" s="182" t="s">
        <v>1</v>
      </c>
      <c r="Q168" s="182" t="s">
        <v>3</v>
      </c>
      <c r="R168" s="182" t="s">
        <v>209</v>
      </c>
      <c r="S168" s="182" t="s">
        <v>208</v>
      </c>
      <c r="T168" s="182" t="s">
        <v>4</v>
      </c>
      <c r="U168" s="182" t="s">
        <v>5</v>
      </c>
      <c r="V168" s="183" t="s">
        <v>208</v>
      </c>
    </row>
    <row r="169" spans="13:22" x14ac:dyDescent="0.2">
      <c r="M169" s="180" t="s">
        <v>364</v>
      </c>
      <c r="N169" s="181" t="s">
        <v>208</v>
      </c>
      <c r="O169" s="182" t="s">
        <v>208</v>
      </c>
      <c r="P169" s="182" t="s">
        <v>208</v>
      </c>
      <c r="Q169" s="182" t="s">
        <v>208</v>
      </c>
      <c r="R169" s="182" t="s">
        <v>209</v>
      </c>
      <c r="S169" s="182" t="s">
        <v>208</v>
      </c>
      <c r="T169" s="182" t="s">
        <v>208</v>
      </c>
      <c r="U169" s="182" t="s">
        <v>208</v>
      </c>
      <c r="V169" s="183" t="s">
        <v>7</v>
      </c>
    </row>
    <row r="170" spans="13:22" x14ac:dyDescent="0.2">
      <c r="M170" s="180" t="s">
        <v>365</v>
      </c>
      <c r="N170" s="181" t="s">
        <v>208</v>
      </c>
      <c r="O170" s="182" t="s">
        <v>208</v>
      </c>
      <c r="P170" s="182" t="s">
        <v>3</v>
      </c>
      <c r="Q170" s="182" t="s">
        <v>208</v>
      </c>
      <c r="R170" s="182" t="s">
        <v>209</v>
      </c>
      <c r="S170" s="182" t="s">
        <v>208</v>
      </c>
      <c r="T170" s="182" t="s">
        <v>208</v>
      </c>
      <c r="U170" s="182" t="s">
        <v>208</v>
      </c>
      <c r="V170" s="183" t="s">
        <v>208</v>
      </c>
    </row>
    <row r="171" spans="13:22" x14ac:dyDescent="0.2">
      <c r="M171" s="180" t="s">
        <v>366</v>
      </c>
      <c r="N171" s="181" t="s">
        <v>2</v>
      </c>
      <c r="O171" s="182" t="s">
        <v>3</v>
      </c>
      <c r="P171" s="182" t="s">
        <v>1</v>
      </c>
      <c r="Q171" s="182" t="s">
        <v>3</v>
      </c>
      <c r="R171" s="182" t="s">
        <v>3</v>
      </c>
      <c r="S171" s="182" t="s">
        <v>4</v>
      </c>
      <c r="T171" s="182" t="s">
        <v>5</v>
      </c>
      <c r="U171" s="182" t="s">
        <v>7</v>
      </c>
      <c r="V171" s="183" t="s">
        <v>208</v>
      </c>
    </row>
    <row r="172" spans="13:22" x14ac:dyDescent="0.2">
      <c r="M172" s="180" t="s">
        <v>367</v>
      </c>
      <c r="N172" s="181" t="s">
        <v>2</v>
      </c>
      <c r="O172" s="182" t="s">
        <v>3</v>
      </c>
      <c r="P172" s="182" t="s">
        <v>3</v>
      </c>
      <c r="Q172" s="182" t="s">
        <v>208</v>
      </c>
      <c r="R172" s="182" t="s">
        <v>209</v>
      </c>
      <c r="S172" s="182" t="s">
        <v>208</v>
      </c>
      <c r="T172" s="182" t="s">
        <v>208</v>
      </c>
      <c r="U172" s="182" t="s">
        <v>208</v>
      </c>
      <c r="V172" s="183" t="s">
        <v>208</v>
      </c>
    </row>
    <row r="173" spans="13:22" x14ac:dyDescent="0.2">
      <c r="M173" s="184" t="s">
        <v>368</v>
      </c>
      <c r="N173" s="181" t="s">
        <v>2</v>
      </c>
      <c r="O173" s="182" t="s">
        <v>3</v>
      </c>
      <c r="P173" s="182" t="s">
        <v>1</v>
      </c>
      <c r="Q173" s="182" t="s">
        <v>208</v>
      </c>
      <c r="R173" s="182" t="s">
        <v>209</v>
      </c>
      <c r="S173" s="182" t="s">
        <v>208</v>
      </c>
      <c r="T173" s="182" t="s">
        <v>208</v>
      </c>
      <c r="U173" s="182" t="s">
        <v>208</v>
      </c>
      <c r="V173" s="183" t="s">
        <v>208</v>
      </c>
    </row>
    <row r="174" spans="13:22" x14ac:dyDescent="0.2">
      <c r="M174" s="180" t="s">
        <v>369</v>
      </c>
      <c r="N174" s="181" t="s">
        <v>2</v>
      </c>
      <c r="O174" s="182" t="s">
        <v>3</v>
      </c>
      <c r="P174" s="182" t="s">
        <v>1</v>
      </c>
      <c r="Q174" s="182" t="s">
        <v>208</v>
      </c>
      <c r="R174" s="182" t="s">
        <v>209</v>
      </c>
      <c r="S174" s="182" t="s">
        <v>208</v>
      </c>
      <c r="T174" s="182" t="s">
        <v>208</v>
      </c>
      <c r="U174" s="182" t="s">
        <v>208</v>
      </c>
      <c r="V174" s="183" t="s">
        <v>208</v>
      </c>
    </row>
    <row r="175" spans="13:22" x14ac:dyDescent="0.2">
      <c r="M175" s="180" t="s">
        <v>370</v>
      </c>
      <c r="N175" s="181" t="s">
        <v>208</v>
      </c>
      <c r="O175" s="182" t="s">
        <v>208</v>
      </c>
      <c r="P175" s="182" t="s">
        <v>1</v>
      </c>
      <c r="Q175" s="182" t="s">
        <v>208</v>
      </c>
      <c r="R175" s="182" t="s">
        <v>209</v>
      </c>
      <c r="S175" s="182" t="s">
        <v>208</v>
      </c>
      <c r="T175" s="182" t="s">
        <v>208</v>
      </c>
      <c r="U175" s="182" t="s">
        <v>208</v>
      </c>
      <c r="V175" s="183" t="s">
        <v>208</v>
      </c>
    </row>
    <row r="176" spans="13:22" x14ac:dyDescent="0.2">
      <c r="M176" s="180" t="s">
        <v>371</v>
      </c>
      <c r="N176" s="181" t="s">
        <v>208</v>
      </c>
      <c r="O176" s="182" t="s">
        <v>208</v>
      </c>
      <c r="P176" s="182" t="s">
        <v>3</v>
      </c>
      <c r="Q176" s="182" t="s">
        <v>208</v>
      </c>
      <c r="R176" s="182" t="s">
        <v>209</v>
      </c>
      <c r="S176" s="182" t="s">
        <v>208</v>
      </c>
      <c r="T176" s="182" t="s">
        <v>208</v>
      </c>
      <c r="U176" s="182" t="s">
        <v>208</v>
      </c>
      <c r="V176" s="183" t="s">
        <v>208</v>
      </c>
    </row>
    <row r="177" spans="13:22" x14ac:dyDescent="0.2">
      <c r="M177" s="180" t="s">
        <v>372</v>
      </c>
      <c r="N177" s="181" t="s">
        <v>208</v>
      </c>
      <c r="O177" s="182" t="s">
        <v>208</v>
      </c>
      <c r="P177" s="182" t="s">
        <v>1</v>
      </c>
      <c r="Q177" s="182" t="s">
        <v>208</v>
      </c>
      <c r="R177" s="182" t="s">
        <v>209</v>
      </c>
      <c r="S177" s="182" t="s">
        <v>208</v>
      </c>
      <c r="T177" s="182" t="s">
        <v>208</v>
      </c>
      <c r="U177" s="182" t="s">
        <v>208</v>
      </c>
      <c r="V177" s="183" t="s">
        <v>208</v>
      </c>
    </row>
    <row r="178" spans="13:22" x14ac:dyDescent="0.2">
      <c r="M178" s="180" t="s">
        <v>373</v>
      </c>
      <c r="N178" s="181" t="s">
        <v>2</v>
      </c>
      <c r="O178" s="182" t="s">
        <v>3</v>
      </c>
      <c r="P178" s="182" t="s">
        <v>3</v>
      </c>
      <c r="Q178" s="182" t="s">
        <v>208</v>
      </c>
      <c r="R178" s="182" t="s">
        <v>209</v>
      </c>
      <c r="S178" s="182" t="s">
        <v>208</v>
      </c>
      <c r="T178" s="182" t="s">
        <v>208</v>
      </c>
      <c r="U178" s="182" t="s">
        <v>208</v>
      </c>
      <c r="V178" s="183" t="s">
        <v>208</v>
      </c>
    </row>
    <row r="179" spans="13:22" x14ac:dyDescent="0.2">
      <c r="M179" s="180" t="s">
        <v>374</v>
      </c>
      <c r="N179" s="181" t="s">
        <v>4</v>
      </c>
      <c r="O179" s="182" t="s">
        <v>4</v>
      </c>
      <c r="P179" s="182" t="s">
        <v>1</v>
      </c>
      <c r="Q179" s="182" t="s">
        <v>208</v>
      </c>
      <c r="R179" s="182" t="s">
        <v>209</v>
      </c>
      <c r="S179" s="182" t="s">
        <v>208</v>
      </c>
      <c r="T179" s="182" t="s">
        <v>208</v>
      </c>
      <c r="U179" s="182" t="s">
        <v>208</v>
      </c>
      <c r="V179" s="183" t="s">
        <v>208</v>
      </c>
    </row>
    <row r="180" spans="13:22" x14ac:dyDescent="0.2">
      <c r="M180" s="180" t="s">
        <v>375</v>
      </c>
      <c r="N180" s="181" t="s">
        <v>2</v>
      </c>
      <c r="O180" s="182" t="s">
        <v>3</v>
      </c>
      <c r="P180" s="182" t="s">
        <v>1</v>
      </c>
      <c r="Q180" s="182" t="s">
        <v>3</v>
      </c>
      <c r="R180" s="182" t="s">
        <v>209</v>
      </c>
      <c r="S180" s="182" t="s">
        <v>208</v>
      </c>
      <c r="T180" s="182" t="s">
        <v>4</v>
      </c>
      <c r="U180" s="182" t="s">
        <v>5</v>
      </c>
      <c r="V180" s="183" t="s">
        <v>208</v>
      </c>
    </row>
    <row r="181" spans="13:22" x14ac:dyDescent="0.2">
      <c r="M181" s="180" t="s">
        <v>376</v>
      </c>
      <c r="N181" s="181" t="s">
        <v>2</v>
      </c>
      <c r="O181" s="182" t="s">
        <v>3</v>
      </c>
      <c r="P181" s="182" t="s">
        <v>2</v>
      </c>
      <c r="Q181" s="182" t="s">
        <v>208</v>
      </c>
      <c r="R181" s="182" t="s">
        <v>209</v>
      </c>
      <c r="S181" s="182" t="s">
        <v>208</v>
      </c>
      <c r="T181" s="182" t="s">
        <v>208</v>
      </c>
      <c r="U181" s="182" t="s">
        <v>208</v>
      </c>
      <c r="V181" s="183" t="s">
        <v>208</v>
      </c>
    </row>
    <row r="182" spans="13:22" x14ac:dyDescent="0.2">
      <c r="M182" s="184" t="s">
        <v>377</v>
      </c>
      <c r="N182" s="181" t="s">
        <v>2</v>
      </c>
      <c r="O182" s="182" t="s">
        <v>3</v>
      </c>
      <c r="P182" s="182" t="s">
        <v>2</v>
      </c>
      <c r="Q182" s="182" t="s">
        <v>208</v>
      </c>
      <c r="R182" s="182" t="s">
        <v>209</v>
      </c>
      <c r="S182" s="182" t="s">
        <v>208</v>
      </c>
      <c r="T182" s="182" t="s">
        <v>208</v>
      </c>
      <c r="U182" s="182" t="s">
        <v>208</v>
      </c>
      <c r="V182" s="183" t="s">
        <v>208</v>
      </c>
    </row>
    <row r="183" spans="13:22" x14ac:dyDescent="0.2">
      <c r="M183" s="180" t="s">
        <v>378</v>
      </c>
      <c r="N183" s="181" t="s">
        <v>2</v>
      </c>
      <c r="O183" s="182" t="s">
        <v>3</v>
      </c>
      <c r="P183" s="182" t="s">
        <v>1</v>
      </c>
      <c r="Q183" s="182" t="s">
        <v>3</v>
      </c>
      <c r="R183" s="182" t="s">
        <v>4</v>
      </c>
      <c r="S183" s="182" t="s">
        <v>5</v>
      </c>
      <c r="T183" s="182" t="s">
        <v>6</v>
      </c>
      <c r="U183" s="182" t="s">
        <v>7</v>
      </c>
      <c r="V183" s="183" t="s">
        <v>208</v>
      </c>
    </row>
    <row r="184" spans="13:22" x14ac:dyDescent="0.2">
      <c r="M184" s="180" t="s">
        <v>379</v>
      </c>
      <c r="N184" s="181" t="s">
        <v>208</v>
      </c>
      <c r="O184" s="182" t="s">
        <v>208</v>
      </c>
      <c r="P184" s="182" t="s">
        <v>3</v>
      </c>
      <c r="Q184" s="182" t="s">
        <v>208</v>
      </c>
      <c r="R184" s="182" t="s">
        <v>209</v>
      </c>
      <c r="S184" s="182" t="s">
        <v>208</v>
      </c>
      <c r="T184" s="182" t="s">
        <v>208</v>
      </c>
      <c r="U184" s="182" t="s">
        <v>208</v>
      </c>
      <c r="V184" s="183" t="s">
        <v>208</v>
      </c>
    </row>
    <row r="185" spans="13:22" x14ac:dyDescent="0.2">
      <c r="M185" s="180" t="s">
        <v>380</v>
      </c>
      <c r="N185" s="181" t="s">
        <v>208</v>
      </c>
      <c r="O185" s="182" t="s">
        <v>3</v>
      </c>
      <c r="P185" s="182" t="s">
        <v>208</v>
      </c>
      <c r="Q185" s="182" t="s">
        <v>5</v>
      </c>
      <c r="R185" s="182" t="s">
        <v>7</v>
      </c>
      <c r="S185" s="182" t="s">
        <v>7</v>
      </c>
      <c r="T185" s="182" t="s">
        <v>7</v>
      </c>
      <c r="U185" s="182" t="s">
        <v>7</v>
      </c>
      <c r="V185" s="183" t="s">
        <v>208</v>
      </c>
    </row>
    <row r="186" spans="13:22" x14ac:dyDescent="0.2">
      <c r="M186" s="184" t="s">
        <v>381</v>
      </c>
      <c r="N186" s="181" t="s">
        <v>208</v>
      </c>
      <c r="O186" s="182" t="s">
        <v>3</v>
      </c>
      <c r="P186" s="182" t="s">
        <v>208</v>
      </c>
      <c r="Q186" s="182" t="s">
        <v>4</v>
      </c>
      <c r="R186" s="182" t="s">
        <v>7</v>
      </c>
      <c r="S186" s="182" t="s">
        <v>7</v>
      </c>
      <c r="T186" s="182" t="s">
        <v>7</v>
      </c>
      <c r="U186" s="182" t="s">
        <v>7</v>
      </c>
      <c r="V186" s="183" t="s">
        <v>208</v>
      </c>
    </row>
    <row r="187" spans="13:22" x14ac:dyDescent="0.2">
      <c r="M187" s="180" t="s">
        <v>382</v>
      </c>
      <c r="N187" s="181" t="s">
        <v>2</v>
      </c>
      <c r="O187" s="182" t="s">
        <v>3</v>
      </c>
      <c r="P187" s="182" t="s">
        <v>1</v>
      </c>
      <c r="Q187" s="182" t="s">
        <v>208</v>
      </c>
      <c r="R187" s="182" t="s">
        <v>209</v>
      </c>
      <c r="S187" s="182" t="s">
        <v>208</v>
      </c>
      <c r="T187" s="182" t="s">
        <v>208</v>
      </c>
      <c r="U187" s="182" t="s">
        <v>208</v>
      </c>
      <c r="V187" s="183" t="s">
        <v>208</v>
      </c>
    </row>
    <row r="188" spans="13:22" x14ac:dyDescent="0.2">
      <c r="M188" s="184" t="s">
        <v>383</v>
      </c>
      <c r="N188" s="181" t="s">
        <v>208</v>
      </c>
      <c r="O188" s="182" t="s">
        <v>208</v>
      </c>
      <c r="P188" s="182" t="s">
        <v>208</v>
      </c>
      <c r="Q188" s="182" t="s">
        <v>208</v>
      </c>
      <c r="R188" s="182" t="s">
        <v>209</v>
      </c>
      <c r="S188" s="182" t="s">
        <v>208</v>
      </c>
      <c r="T188" s="182" t="s">
        <v>208</v>
      </c>
      <c r="U188" s="182" t="s">
        <v>208</v>
      </c>
      <c r="V188" s="183" t="s">
        <v>7</v>
      </c>
    </row>
    <row r="189" spans="13:22" x14ac:dyDescent="0.2">
      <c r="M189" s="180" t="s">
        <v>384</v>
      </c>
      <c r="N189" s="181" t="s">
        <v>2</v>
      </c>
      <c r="O189" s="182" t="s">
        <v>3</v>
      </c>
      <c r="P189" s="182" t="s">
        <v>1</v>
      </c>
      <c r="Q189" s="182" t="s">
        <v>4</v>
      </c>
      <c r="R189" s="182" t="s">
        <v>209</v>
      </c>
      <c r="S189" s="182" t="s">
        <v>5</v>
      </c>
      <c r="T189" s="182" t="s">
        <v>6</v>
      </c>
      <c r="U189" s="182" t="s">
        <v>7</v>
      </c>
      <c r="V189" s="183" t="s">
        <v>208</v>
      </c>
    </row>
    <row r="190" spans="13:22" x14ac:dyDescent="0.2">
      <c r="M190" s="180" t="s">
        <v>385</v>
      </c>
      <c r="N190" s="181" t="s">
        <v>208</v>
      </c>
      <c r="O190" s="182" t="s">
        <v>208</v>
      </c>
      <c r="P190" s="182" t="s">
        <v>208</v>
      </c>
      <c r="Q190" s="182" t="s">
        <v>208</v>
      </c>
      <c r="R190" s="182" t="s">
        <v>209</v>
      </c>
      <c r="S190" s="182" t="s">
        <v>208</v>
      </c>
      <c r="T190" s="182" t="s">
        <v>208</v>
      </c>
      <c r="U190" s="182" t="s">
        <v>208</v>
      </c>
      <c r="V190" s="183" t="s">
        <v>208</v>
      </c>
    </row>
    <row r="191" spans="13:22" x14ac:dyDescent="0.2">
      <c r="M191" s="180" t="s">
        <v>386</v>
      </c>
      <c r="N191" s="181" t="s">
        <v>2</v>
      </c>
      <c r="O191" s="182" t="s">
        <v>3</v>
      </c>
      <c r="P191" s="182" t="s">
        <v>2</v>
      </c>
      <c r="Q191" s="182" t="s">
        <v>208</v>
      </c>
      <c r="R191" s="182" t="s">
        <v>209</v>
      </c>
      <c r="S191" s="182" t="s">
        <v>208</v>
      </c>
      <c r="T191" s="182" t="s">
        <v>208</v>
      </c>
      <c r="U191" s="182" t="s">
        <v>208</v>
      </c>
      <c r="V191" s="183" t="s">
        <v>208</v>
      </c>
    </row>
    <row r="192" spans="13:22" x14ac:dyDescent="0.2">
      <c r="M192" s="187" t="s">
        <v>387</v>
      </c>
      <c r="N192" s="181" t="s">
        <v>2</v>
      </c>
      <c r="O192" s="182" t="s">
        <v>3</v>
      </c>
      <c r="P192" s="182" t="s">
        <v>1</v>
      </c>
      <c r="Q192" s="182" t="s">
        <v>4</v>
      </c>
      <c r="R192" s="182" t="s">
        <v>209</v>
      </c>
      <c r="S192" s="182" t="s">
        <v>208</v>
      </c>
      <c r="T192" s="182" t="s">
        <v>5</v>
      </c>
      <c r="U192" s="182" t="s">
        <v>208</v>
      </c>
      <c r="V192" s="183" t="s">
        <v>208</v>
      </c>
    </row>
    <row r="193" spans="13:22" x14ac:dyDescent="0.2">
      <c r="M193" s="180" t="s">
        <v>388</v>
      </c>
      <c r="N193" s="181" t="s">
        <v>2</v>
      </c>
      <c r="O193" s="182" t="s">
        <v>3</v>
      </c>
      <c r="P193" s="182" t="s">
        <v>1</v>
      </c>
      <c r="Q193" s="182" t="s">
        <v>2</v>
      </c>
      <c r="R193" s="182" t="s">
        <v>2</v>
      </c>
      <c r="S193" s="182" t="s">
        <v>3</v>
      </c>
      <c r="T193" s="182" t="s">
        <v>4</v>
      </c>
      <c r="U193" s="182" t="s">
        <v>5</v>
      </c>
      <c r="V193" s="183" t="s">
        <v>208</v>
      </c>
    </row>
    <row r="194" spans="13:22" x14ac:dyDescent="0.2">
      <c r="M194" s="180" t="s">
        <v>389</v>
      </c>
      <c r="N194" s="181" t="s">
        <v>2</v>
      </c>
      <c r="O194" s="182" t="s">
        <v>3</v>
      </c>
      <c r="P194" s="182" t="s">
        <v>1</v>
      </c>
      <c r="Q194" s="182" t="s">
        <v>4</v>
      </c>
      <c r="R194" s="182" t="s">
        <v>209</v>
      </c>
      <c r="S194" s="182" t="s">
        <v>5</v>
      </c>
      <c r="T194" s="182" t="s">
        <v>6</v>
      </c>
      <c r="U194" s="182" t="s">
        <v>7</v>
      </c>
      <c r="V194" s="183" t="s">
        <v>208</v>
      </c>
    </row>
    <row r="195" spans="13:22" x14ac:dyDescent="0.2">
      <c r="M195" s="180" t="s">
        <v>390</v>
      </c>
      <c r="N195" s="181" t="s">
        <v>208</v>
      </c>
      <c r="O195" s="182" t="s">
        <v>208</v>
      </c>
      <c r="P195" s="182" t="s">
        <v>208</v>
      </c>
      <c r="Q195" s="182" t="s">
        <v>208</v>
      </c>
      <c r="R195" s="182" t="s">
        <v>209</v>
      </c>
      <c r="S195" s="182" t="s">
        <v>208</v>
      </c>
      <c r="T195" s="182" t="s">
        <v>208</v>
      </c>
      <c r="U195" s="182" t="s">
        <v>208</v>
      </c>
      <c r="V195" s="183" t="s">
        <v>5</v>
      </c>
    </row>
    <row r="196" spans="13:22" x14ac:dyDescent="0.2">
      <c r="M196" s="180" t="s">
        <v>391</v>
      </c>
      <c r="N196" s="181" t="s">
        <v>2</v>
      </c>
      <c r="O196" s="182" t="s">
        <v>3</v>
      </c>
      <c r="P196" s="182" t="s">
        <v>1</v>
      </c>
      <c r="Q196" s="182" t="s">
        <v>208</v>
      </c>
      <c r="R196" s="182" t="s">
        <v>209</v>
      </c>
      <c r="S196" s="182" t="s">
        <v>208</v>
      </c>
      <c r="T196" s="182" t="s">
        <v>208</v>
      </c>
      <c r="U196" s="182" t="s">
        <v>208</v>
      </c>
      <c r="V196" s="183" t="s">
        <v>208</v>
      </c>
    </row>
    <row r="197" spans="13:22" x14ac:dyDescent="0.2">
      <c r="M197" s="180" t="s">
        <v>392</v>
      </c>
      <c r="N197" s="181" t="s">
        <v>2</v>
      </c>
      <c r="O197" s="182" t="s">
        <v>3</v>
      </c>
      <c r="P197" s="182" t="s">
        <v>1</v>
      </c>
      <c r="Q197" s="182" t="s">
        <v>208</v>
      </c>
      <c r="R197" s="182" t="s">
        <v>209</v>
      </c>
      <c r="S197" s="182" t="s">
        <v>208</v>
      </c>
      <c r="T197" s="182" t="s">
        <v>208</v>
      </c>
      <c r="U197" s="182" t="s">
        <v>208</v>
      </c>
      <c r="V197" s="183" t="s">
        <v>208</v>
      </c>
    </row>
    <row r="198" spans="13:22" x14ac:dyDescent="0.2">
      <c r="M198" s="180" t="s">
        <v>393</v>
      </c>
      <c r="N198" s="181" t="s">
        <v>2</v>
      </c>
      <c r="O198" s="182" t="s">
        <v>3</v>
      </c>
      <c r="P198" s="182" t="s">
        <v>1</v>
      </c>
      <c r="Q198" s="182" t="s">
        <v>3</v>
      </c>
      <c r="R198" s="182" t="s">
        <v>209</v>
      </c>
      <c r="S198" s="182" t="s">
        <v>3</v>
      </c>
      <c r="T198" s="182" t="s">
        <v>4</v>
      </c>
      <c r="U198" s="182" t="s">
        <v>5</v>
      </c>
      <c r="V198" s="183" t="s">
        <v>208</v>
      </c>
    </row>
    <row r="199" spans="13:22" x14ac:dyDescent="0.2">
      <c r="M199" s="180" t="s">
        <v>394</v>
      </c>
      <c r="N199" s="181" t="s">
        <v>2</v>
      </c>
      <c r="O199" s="182" t="s">
        <v>3</v>
      </c>
      <c r="P199" s="182" t="s">
        <v>1</v>
      </c>
      <c r="Q199" s="182" t="s">
        <v>3</v>
      </c>
      <c r="R199" s="182" t="s">
        <v>209</v>
      </c>
      <c r="S199" s="182" t="s">
        <v>208</v>
      </c>
      <c r="T199" s="182" t="s">
        <v>208</v>
      </c>
      <c r="U199" s="182" t="s">
        <v>208</v>
      </c>
      <c r="V199" s="183" t="s">
        <v>208</v>
      </c>
    </row>
    <row r="200" spans="13:22" x14ac:dyDescent="0.2">
      <c r="M200" s="180" t="s">
        <v>395</v>
      </c>
      <c r="N200" s="181" t="s">
        <v>2</v>
      </c>
      <c r="O200" s="182" t="s">
        <v>3</v>
      </c>
      <c r="P200" s="182" t="s">
        <v>2</v>
      </c>
      <c r="Q200" s="182" t="s">
        <v>3</v>
      </c>
      <c r="R200" s="182" t="s">
        <v>209</v>
      </c>
      <c r="S200" s="182" t="s">
        <v>208</v>
      </c>
      <c r="T200" s="182" t="s">
        <v>208</v>
      </c>
      <c r="U200" s="182" t="s">
        <v>208</v>
      </c>
      <c r="V200" s="183" t="s">
        <v>208</v>
      </c>
    </row>
    <row r="201" spans="13:22" x14ac:dyDescent="0.2">
      <c r="M201" s="180" t="s">
        <v>396</v>
      </c>
      <c r="N201" s="181" t="s">
        <v>2</v>
      </c>
      <c r="O201" s="182" t="s">
        <v>3</v>
      </c>
      <c r="P201" s="182" t="s">
        <v>3</v>
      </c>
      <c r="Q201" s="182" t="s">
        <v>208</v>
      </c>
      <c r="R201" s="182" t="s">
        <v>209</v>
      </c>
      <c r="S201" s="182" t="s">
        <v>208</v>
      </c>
      <c r="T201" s="182" t="s">
        <v>208</v>
      </c>
      <c r="U201" s="182" t="s">
        <v>208</v>
      </c>
      <c r="V201" s="183" t="s">
        <v>208</v>
      </c>
    </row>
    <row r="202" spans="13:22" x14ac:dyDescent="0.2">
      <c r="M202" s="180" t="s">
        <v>397</v>
      </c>
      <c r="N202" s="181" t="s">
        <v>2</v>
      </c>
      <c r="O202" s="182" t="s">
        <v>3</v>
      </c>
      <c r="P202" s="182" t="s">
        <v>4</v>
      </c>
      <c r="Q202" s="182" t="s">
        <v>208</v>
      </c>
      <c r="R202" s="182" t="s">
        <v>209</v>
      </c>
      <c r="S202" s="182" t="s">
        <v>208</v>
      </c>
      <c r="T202" s="182" t="s">
        <v>208</v>
      </c>
      <c r="U202" s="182" t="s">
        <v>208</v>
      </c>
      <c r="V202" s="183" t="s">
        <v>208</v>
      </c>
    </row>
    <row r="203" spans="13:22" x14ac:dyDescent="0.2">
      <c r="M203" s="180" t="s">
        <v>398</v>
      </c>
      <c r="N203" s="181" t="s">
        <v>2</v>
      </c>
      <c r="O203" s="182" t="s">
        <v>3</v>
      </c>
      <c r="P203" s="182" t="s">
        <v>1</v>
      </c>
      <c r="Q203" s="182" t="s">
        <v>3</v>
      </c>
      <c r="R203" s="182" t="s">
        <v>209</v>
      </c>
      <c r="S203" s="182" t="s">
        <v>3</v>
      </c>
      <c r="T203" s="182" t="s">
        <v>5</v>
      </c>
      <c r="U203" s="182" t="s">
        <v>6</v>
      </c>
      <c r="V203" s="183" t="s">
        <v>208</v>
      </c>
    </row>
    <row r="204" spans="13:22" x14ac:dyDescent="0.2">
      <c r="M204" s="184" t="s">
        <v>399</v>
      </c>
      <c r="N204" s="181" t="s">
        <v>208</v>
      </c>
      <c r="O204" s="182" t="s">
        <v>208</v>
      </c>
      <c r="P204" s="182" t="s">
        <v>208</v>
      </c>
      <c r="Q204" s="182" t="s">
        <v>208</v>
      </c>
      <c r="R204" s="182" t="s">
        <v>209</v>
      </c>
      <c r="S204" s="182" t="s">
        <v>208</v>
      </c>
      <c r="T204" s="182" t="s">
        <v>208</v>
      </c>
      <c r="U204" s="182" t="s">
        <v>208</v>
      </c>
      <c r="V204" s="183" t="s">
        <v>6</v>
      </c>
    </row>
    <row r="205" spans="13:22" x14ac:dyDescent="0.2">
      <c r="M205" s="184" t="s">
        <v>400</v>
      </c>
      <c r="N205" s="181" t="s">
        <v>2</v>
      </c>
      <c r="O205" s="182" t="s">
        <v>3</v>
      </c>
      <c r="P205" s="182" t="s">
        <v>1</v>
      </c>
      <c r="Q205" s="182" t="s">
        <v>208</v>
      </c>
      <c r="R205" s="182" t="s">
        <v>209</v>
      </c>
      <c r="S205" s="182" t="s">
        <v>208</v>
      </c>
      <c r="T205" s="182" t="s">
        <v>208</v>
      </c>
      <c r="U205" s="182" t="s">
        <v>208</v>
      </c>
      <c r="V205" s="183" t="s">
        <v>208</v>
      </c>
    </row>
    <row r="206" spans="13:22" x14ac:dyDescent="0.2">
      <c r="M206" s="180" t="s">
        <v>401</v>
      </c>
      <c r="N206" s="181" t="s">
        <v>2</v>
      </c>
      <c r="O206" s="182" t="s">
        <v>3</v>
      </c>
      <c r="P206" s="182" t="s">
        <v>4</v>
      </c>
      <c r="Q206" s="182" t="s">
        <v>208</v>
      </c>
      <c r="R206" s="182" t="s">
        <v>209</v>
      </c>
      <c r="S206" s="182" t="s">
        <v>208</v>
      </c>
      <c r="T206" s="182" t="s">
        <v>208</v>
      </c>
      <c r="U206" s="182" t="s">
        <v>208</v>
      </c>
      <c r="V206" s="183" t="s">
        <v>208</v>
      </c>
    </row>
    <row r="207" spans="13:22" x14ac:dyDescent="0.2">
      <c r="M207" s="180" t="s">
        <v>402</v>
      </c>
      <c r="N207" s="181" t="s">
        <v>2</v>
      </c>
      <c r="O207" s="182" t="s">
        <v>3</v>
      </c>
      <c r="P207" s="182" t="s">
        <v>1</v>
      </c>
      <c r="Q207" s="182" t="s">
        <v>208</v>
      </c>
      <c r="R207" s="182" t="s">
        <v>209</v>
      </c>
      <c r="S207" s="182" t="s">
        <v>208</v>
      </c>
      <c r="T207" s="182" t="s">
        <v>208</v>
      </c>
      <c r="U207" s="182" t="s">
        <v>208</v>
      </c>
      <c r="V207" s="183" t="s">
        <v>208</v>
      </c>
    </row>
    <row r="208" spans="13:22" x14ac:dyDescent="0.2">
      <c r="M208" s="180" t="s">
        <v>403</v>
      </c>
      <c r="N208" s="181" t="s">
        <v>2</v>
      </c>
      <c r="O208" s="182" t="s">
        <v>3</v>
      </c>
      <c r="P208" s="182" t="s">
        <v>1</v>
      </c>
      <c r="Q208" s="182" t="s">
        <v>208</v>
      </c>
      <c r="R208" s="182" t="s">
        <v>209</v>
      </c>
      <c r="S208" s="182" t="s">
        <v>208</v>
      </c>
      <c r="T208" s="182" t="s">
        <v>208</v>
      </c>
      <c r="U208" s="182" t="s">
        <v>208</v>
      </c>
      <c r="V208" s="183" t="s">
        <v>208</v>
      </c>
    </row>
    <row r="209" spans="13:22" x14ac:dyDescent="0.2">
      <c r="M209" s="180" t="s">
        <v>404</v>
      </c>
      <c r="N209" s="181" t="s">
        <v>208</v>
      </c>
      <c r="O209" s="182" t="s">
        <v>208</v>
      </c>
      <c r="P209" s="182" t="s">
        <v>208</v>
      </c>
      <c r="Q209" s="182" t="s">
        <v>208</v>
      </c>
      <c r="R209" s="182" t="s">
        <v>209</v>
      </c>
      <c r="S209" s="182" t="s">
        <v>208</v>
      </c>
      <c r="T209" s="182" t="s">
        <v>208</v>
      </c>
      <c r="U209" s="182" t="s">
        <v>208</v>
      </c>
      <c r="V209" s="183" t="s">
        <v>7</v>
      </c>
    </row>
    <row r="210" spans="13:22" x14ac:dyDescent="0.2">
      <c r="M210" s="180" t="s">
        <v>405</v>
      </c>
      <c r="N210" s="181" t="s">
        <v>2</v>
      </c>
      <c r="O210" s="182" t="s">
        <v>3</v>
      </c>
      <c r="P210" s="182" t="s">
        <v>1</v>
      </c>
      <c r="Q210" s="182" t="s">
        <v>208</v>
      </c>
      <c r="R210" s="182" t="s">
        <v>209</v>
      </c>
      <c r="S210" s="182" t="s">
        <v>208</v>
      </c>
      <c r="T210" s="182" t="s">
        <v>208</v>
      </c>
      <c r="U210" s="182" t="s">
        <v>208</v>
      </c>
      <c r="V210" s="183" t="s">
        <v>208</v>
      </c>
    </row>
    <row r="211" spans="13:22" x14ac:dyDescent="0.2">
      <c r="M211" s="180" t="s">
        <v>406</v>
      </c>
      <c r="N211" s="181" t="s">
        <v>2</v>
      </c>
      <c r="O211" s="182" t="s">
        <v>3</v>
      </c>
      <c r="P211" s="182" t="s">
        <v>1</v>
      </c>
      <c r="Q211" s="182" t="s">
        <v>4</v>
      </c>
      <c r="R211" s="182" t="s">
        <v>209</v>
      </c>
      <c r="S211" s="182" t="s">
        <v>208</v>
      </c>
      <c r="T211" s="182" t="s">
        <v>5</v>
      </c>
      <c r="U211" s="182" t="s">
        <v>6</v>
      </c>
      <c r="V211" s="183" t="s">
        <v>208</v>
      </c>
    </row>
    <row r="212" spans="13:22" x14ac:dyDescent="0.2">
      <c r="M212" s="184" t="s">
        <v>407</v>
      </c>
      <c r="N212" s="181" t="s">
        <v>208</v>
      </c>
      <c r="O212" s="182" t="s">
        <v>208</v>
      </c>
      <c r="P212" s="182" t="s">
        <v>208</v>
      </c>
      <c r="Q212" s="182" t="s">
        <v>208</v>
      </c>
      <c r="R212" s="182" t="s">
        <v>209</v>
      </c>
      <c r="S212" s="182" t="s">
        <v>208</v>
      </c>
      <c r="T212" s="182" t="s">
        <v>208</v>
      </c>
      <c r="U212" s="182" t="s">
        <v>208</v>
      </c>
      <c r="V212" s="183" t="s">
        <v>6</v>
      </c>
    </row>
    <row r="213" spans="13:22" x14ac:dyDescent="0.2">
      <c r="M213" s="180" t="s">
        <v>408</v>
      </c>
      <c r="N213" s="181" t="s">
        <v>2</v>
      </c>
      <c r="O213" s="182" t="s">
        <v>3</v>
      </c>
      <c r="P213" s="182" t="s">
        <v>1</v>
      </c>
      <c r="Q213" s="182" t="s">
        <v>208</v>
      </c>
      <c r="R213" s="182" t="s">
        <v>209</v>
      </c>
      <c r="S213" s="182" t="s">
        <v>3</v>
      </c>
      <c r="T213" s="182" t="s">
        <v>208</v>
      </c>
      <c r="U213" s="182" t="s">
        <v>208</v>
      </c>
      <c r="V213" s="183" t="s">
        <v>208</v>
      </c>
    </row>
    <row r="214" spans="13:22" x14ac:dyDescent="0.2">
      <c r="M214" s="180" t="s">
        <v>409</v>
      </c>
      <c r="N214" s="181" t="s">
        <v>208</v>
      </c>
      <c r="O214" s="182" t="s">
        <v>208</v>
      </c>
      <c r="P214" s="182" t="s">
        <v>208</v>
      </c>
      <c r="Q214" s="182" t="s">
        <v>208</v>
      </c>
      <c r="R214" s="182" t="s">
        <v>209</v>
      </c>
      <c r="S214" s="182" t="s">
        <v>208</v>
      </c>
      <c r="T214" s="182" t="s">
        <v>208</v>
      </c>
      <c r="U214" s="182" t="s">
        <v>208</v>
      </c>
      <c r="V214" s="183" t="s">
        <v>3</v>
      </c>
    </row>
    <row r="215" spans="13:22" x14ac:dyDescent="0.2">
      <c r="M215" s="180" t="s">
        <v>410</v>
      </c>
      <c r="N215" s="181" t="s">
        <v>2</v>
      </c>
      <c r="O215" s="182" t="s">
        <v>3</v>
      </c>
      <c r="P215" s="182" t="s">
        <v>208</v>
      </c>
      <c r="Q215" s="182" t="s">
        <v>4</v>
      </c>
      <c r="R215" s="182" t="s">
        <v>209</v>
      </c>
      <c r="S215" s="182" t="s">
        <v>6</v>
      </c>
      <c r="T215" s="182" t="s">
        <v>5</v>
      </c>
      <c r="U215" s="182" t="s">
        <v>7</v>
      </c>
      <c r="V215" s="183" t="s">
        <v>208</v>
      </c>
    </row>
    <row r="216" spans="13:22" x14ac:dyDescent="0.2">
      <c r="M216" s="180" t="s">
        <v>411</v>
      </c>
      <c r="N216" s="181" t="s">
        <v>208</v>
      </c>
      <c r="O216" s="182" t="s">
        <v>208</v>
      </c>
      <c r="P216" s="182" t="s">
        <v>208</v>
      </c>
      <c r="Q216" s="182" t="s">
        <v>208</v>
      </c>
      <c r="R216" s="182" t="s">
        <v>209</v>
      </c>
      <c r="S216" s="182" t="s">
        <v>208</v>
      </c>
      <c r="T216" s="182" t="s">
        <v>208</v>
      </c>
      <c r="U216" s="182" t="s">
        <v>208</v>
      </c>
      <c r="V216" s="183" t="s">
        <v>208</v>
      </c>
    </row>
    <row r="217" spans="13:22" x14ac:dyDescent="0.2">
      <c r="M217" s="180" t="s">
        <v>412</v>
      </c>
      <c r="N217" s="181" t="s">
        <v>208</v>
      </c>
      <c r="O217" s="182" t="s">
        <v>3</v>
      </c>
      <c r="P217" s="182" t="s">
        <v>208</v>
      </c>
      <c r="Q217" s="182" t="s">
        <v>3</v>
      </c>
      <c r="R217" s="182" t="s">
        <v>209</v>
      </c>
      <c r="S217" s="182" t="s">
        <v>208</v>
      </c>
      <c r="T217" s="182" t="s">
        <v>208</v>
      </c>
      <c r="U217" s="182" t="s">
        <v>208</v>
      </c>
      <c r="V217" s="183" t="s">
        <v>208</v>
      </c>
    </row>
    <row r="218" spans="13:22" x14ac:dyDescent="0.2">
      <c r="M218" s="180" t="s">
        <v>413</v>
      </c>
      <c r="N218" s="181" t="s">
        <v>2</v>
      </c>
      <c r="O218" s="182" t="s">
        <v>3</v>
      </c>
      <c r="P218" s="182" t="s">
        <v>1</v>
      </c>
      <c r="Q218" s="182" t="s">
        <v>3</v>
      </c>
      <c r="R218" s="182" t="s">
        <v>209</v>
      </c>
      <c r="S218" s="182" t="s">
        <v>208</v>
      </c>
      <c r="T218" s="182" t="s">
        <v>5</v>
      </c>
      <c r="U218" s="182" t="s">
        <v>6</v>
      </c>
      <c r="V218" s="183" t="s">
        <v>208</v>
      </c>
    </row>
    <row r="219" spans="13:22" x14ac:dyDescent="0.2">
      <c r="M219" s="180" t="s">
        <v>414</v>
      </c>
      <c r="N219" s="181" t="s">
        <v>2</v>
      </c>
      <c r="O219" s="182" t="s">
        <v>3</v>
      </c>
      <c r="P219" s="182" t="s">
        <v>1</v>
      </c>
      <c r="Q219" s="182" t="s">
        <v>3</v>
      </c>
      <c r="R219" s="182" t="s">
        <v>209</v>
      </c>
      <c r="S219" s="182" t="s">
        <v>208</v>
      </c>
      <c r="T219" s="182" t="s">
        <v>5</v>
      </c>
      <c r="U219" s="182" t="s">
        <v>6</v>
      </c>
      <c r="V219" s="183" t="s">
        <v>208</v>
      </c>
    </row>
    <row r="220" spans="13:22" x14ac:dyDescent="0.2">
      <c r="M220" s="180" t="s">
        <v>415</v>
      </c>
      <c r="N220" s="181" t="s">
        <v>208</v>
      </c>
      <c r="O220" s="182" t="s">
        <v>208</v>
      </c>
      <c r="P220" s="182" t="s">
        <v>1</v>
      </c>
      <c r="Q220" s="182" t="s">
        <v>3</v>
      </c>
      <c r="R220" s="182" t="s">
        <v>2</v>
      </c>
      <c r="S220" s="182" t="s">
        <v>4</v>
      </c>
      <c r="T220" s="182" t="s">
        <v>208</v>
      </c>
      <c r="U220" s="182" t="s">
        <v>208</v>
      </c>
      <c r="V220" s="183" t="s">
        <v>208</v>
      </c>
    </row>
    <row r="221" spans="13:22" x14ac:dyDescent="0.2">
      <c r="M221" s="180" t="s">
        <v>416</v>
      </c>
      <c r="N221" s="181" t="s">
        <v>2</v>
      </c>
      <c r="O221" s="182" t="s">
        <v>3</v>
      </c>
      <c r="P221" s="182" t="s">
        <v>1</v>
      </c>
      <c r="Q221" s="182" t="s">
        <v>3</v>
      </c>
      <c r="R221" s="182" t="s">
        <v>4</v>
      </c>
      <c r="S221" s="182" t="s">
        <v>208</v>
      </c>
      <c r="T221" s="182" t="s">
        <v>4</v>
      </c>
      <c r="U221" s="182" t="s">
        <v>208</v>
      </c>
      <c r="V221" s="183" t="s">
        <v>208</v>
      </c>
    </row>
    <row r="222" spans="13:22" x14ac:dyDescent="0.2">
      <c r="M222" s="187" t="s">
        <v>417</v>
      </c>
      <c r="N222" s="181" t="s">
        <v>2</v>
      </c>
      <c r="O222" s="182" t="s">
        <v>3</v>
      </c>
      <c r="P222" s="182" t="s">
        <v>1</v>
      </c>
      <c r="Q222" s="182" t="s">
        <v>3</v>
      </c>
      <c r="R222" s="182" t="s">
        <v>7</v>
      </c>
      <c r="S222" s="182" t="s">
        <v>7</v>
      </c>
      <c r="T222" s="182" t="s">
        <v>6</v>
      </c>
      <c r="U222" s="182" t="s">
        <v>7</v>
      </c>
      <c r="V222" s="183" t="s">
        <v>208</v>
      </c>
    </row>
    <row r="223" spans="13:22" x14ac:dyDescent="0.2">
      <c r="M223" s="180" t="s">
        <v>418</v>
      </c>
      <c r="N223" s="181" t="s">
        <v>2</v>
      </c>
      <c r="O223" s="182" t="s">
        <v>3</v>
      </c>
      <c r="P223" s="182" t="s">
        <v>1</v>
      </c>
      <c r="Q223" s="182" t="s">
        <v>3</v>
      </c>
      <c r="R223" s="182" t="s">
        <v>7</v>
      </c>
      <c r="S223" s="182" t="s">
        <v>7</v>
      </c>
      <c r="T223" s="182" t="s">
        <v>6</v>
      </c>
      <c r="U223" s="182" t="s">
        <v>7</v>
      </c>
      <c r="V223" s="183" t="s">
        <v>208</v>
      </c>
    </row>
    <row r="224" spans="13:22" x14ac:dyDescent="0.2">
      <c r="M224" s="180" t="s">
        <v>419</v>
      </c>
      <c r="N224" s="181" t="s">
        <v>2</v>
      </c>
      <c r="O224" s="182" t="s">
        <v>3</v>
      </c>
      <c r="P224" s="182" t="s">
        <v>1</v>
      </c>
      <c r="Q224" s="182" t="s">
        <v>3</v>
      </c>
      <c r="R224" s="182" t="s">
        <v>3</v>
      </c>
      <c r="S224" s="182" t="s">
        <v>4</v>
      </c>
      <c r="T224" s="182" t="s">
        <v>6</v>
      </c>
      <c r="U224" s="182" t="s">
        <v>7</v>
      </c>
      <c r="V224" s="183" t="s">
        <v>208</v>
      </c>
    </row>
    <row r="225" spans="13:22" x14ac:dyDescent="0.2">
      <c r="M225" s="180" t="s">
        <v>420</v>
      </c>
      <c r="N225" s="181" t="s">
        <v>208</v>
      </c>
      <c r="O225" s="182" t="s">
        <v>3</v>
      </c>
      <c r="P225" s="182" t="s">
        <v>1</v>
      </c>
      <c r="Q225" s="182" t="s">
        <v>208</v>
      </c>
      <c r="R225" s="182" t="s">
        <v>209</v>
      </c>
      <c r="S225" s="182" t="s">
        <v>208</v>
      </c>
      <c r="T225" s="182" t="s">
        <v>208</v>
      </c>
      <c r="U225" s="182" t="s">
        <v>208</v>
      </c>
      <c r="V225" s="183" t="s">
        <v>208</v>
      </c>
    </row>
    <row r="226" spans="13:22" x14ac:dyDescent="0.2">
      <c r="M226" s="180" t="s">
        <v>421</v>
      </c>
      <c r="N226" s="181" t="s">
        <v>208</v>
      </c>
      <c r="O226" s="182" t="s">
        <v>208</v>
      </c>
      <c r="P226" s="182" t="s">
        <v>208</v>
      </c>
      <c r="Q226" s="182" t="s">
        <v>208</v>
      </c>
      <c r="R226" s="182" t="s">
        <v>209</v>
      </c>
      <c r="S226" s="182" t="s">
        <v>208</v>
      </c>
      <c r="T226" s="182" t="s">
        <v>208</v>
      </c>
      <c r="U226" s="182" t="s">
        <v>208</v>
      </c>
      <c r="V226" s="183" t="s">
        <v>3</v>
      </c>
    </row>
    <row r="227" spans="13:22" x14ac:dyDescent="0.2">
      <c r="M227" s="180" t="s">
        <v>422</v>
      </c>
      <c r="N227" s="181" t="s">
        <v>2</v>
      </c>
      <c r="O227" s="182" t="s">
        <v>3</v>
      </c>
      <c r="P227" s="182" t="s">
        <v>1</v>
      </c>
      <c r="Q227" s="182" t="s">
        <v>3</v>
      </c>
      <c r="R227" s="182" t="s">
        <v>209</v>
      </c>
      <c r="S227" s="182" t="s">
        <v>208</v>
      </c>
      <c r="T227" s="182" t="s">
        <v>5</v>
      </c>
      <c r="U227" s="182" t="s">
        <v>208</v>
      </c>
      <c r="V227" s="183" t="s">
        <v>208</v>
      </c>
    </row>
    <row r="228" spans="13:22" x14ac:dyDescent="0.2">
      <c r="M228" s="180" t="s">
        <v>423</v>
      </c>
      <c r="N228" s="181" t="s">
        <v>208</v>
      </c>
      <c r="O228" s="182" t="s">
        <v>208</v>
      </c>
      <c r="P228" s="182" t="s">
        <v>3</v>
      </c>
      <c r="Q228" s="182" t="s">
        <v>208</v>
      </c>
      <c r="R228" s="182" t="s">
        <v>209</v>
      </c>
      <c r="S228" s="182" t="s">
        <v>208</v>
      </c>
      <c r="T228" s="182" t="s">
        <v>208</v>
      </c>
      <c r="U228" s="182" t="s">
        <v>208</v>
      </c>
      <c r="V228" s="183" t="s">
        <v>208</v>
      </c>
    </row>
    <row r="229" spans="13:22" x14ac:dyDescent="0.2">
      <c r="M229" s="184" t="s">
        <v>424</v>
      </c>
      <c r="N229" s="181" t="s">
        <v>2</v>
      </c>
      <c r="O229" s="182" t="s">
        <v>3</v>
      </c>
      <c r="P229" s="182" t="s">
        <v>1</v>
      </c>
      <c r="Q229" s="182" t="s">
        <v>208</v>
      </c>
      <c r="R229" s="182" t="s">
        <v>209</v>
      </c>
      <c r="S229" s="182" t="s">
        <v>208</v>
      </c>
      <c r="T229" s="182" t="s">
        <v>208</v>
      </c>
      <c r="U229" s="182" t="s">
        <v>208</v>
      </c>
      <c r="V229" s="183" t="s">
        <v>3</v>
      </c>
    </row>
    <row r="230" spans="13:22" x14ac:dyDescent="0.2">
      <c r="M230" s="180" t="s">
        <v>425</v>
      </c>
      <c r="N230" s="181" t="s">
        <v>208</v>
      </c>
      <c r="O230" s="182" t="s">
        <v>208</v>
      </c>
      <c r="P230" s="182" t="s">
        <v>208</v>
      </c>
      <c r="Q230" s="182" t="s">
        <v>208</v>
      </c>
      <c r="R230" s="182" t="s">
        <v>209</v>
      </c>
      <c r="S230" s="182" t="s">
        <v>208</v>
      </c>
      <c r="T230" s="182" t="s">
        <v>208</v>
      </c>
      <c r="U230" s="182" t="s">
        <v>208</v>
      </c>
      <c r="V230" s="183" t="s">
        <v>10</v>
      </c>
    </row>
    <row r="231" spans="13:22" x14ac:dyDescent="0.2">
      <c r="M231" s="180" t="s">
        <v>426</v>
      </c>
      <c r="N231" s="181" t="s">
        <v>2</v>
      </c>
      <c r="O231" s="182" t="s">
        <v>3</v>
      </c>
      <c r="P231" s="182" t="s">
        <v>1</v>
      </c>
      <c r="Q231" s="182" t="s">
        <v>4</v>
      </c>
      <c r="R231" s="182" t="s">
        <v>209</v>
      </c>
      <c r="S231" s="182" t="s">
        <v>208</v>
      </c>
      <c r="T231" s="182" t="s">
        <v>6</v>
      </c>
      <c r="U231" s="182" t="s">
        <v>7</v>
      </c>
      <c r="V231" s="183" t="s">
        <v>208</v>
      </c>
    </row>
    <row r="232" spans="13:22" x14ac:dyDescent="0.2">
      <c r="M232" s="180" t="s">
        <v>427</v>
      </c>
      <c r="N232" s="181" t="s">
        <v>208</v>
      </c>
      <c r="O232" s="182" t="s">
        <v>208</v>
      </c>
      <c r="P232" s="182" t="s">
        <v>208</v>
      </c>
      <c r="Q232" s="182" t="s">
        <v>208</v>
      </c>
      <c r="R232" s="182" t="s">
        <v>209</v>
      </c>
      <c r="S232" s="182" t="s">
        <v>208</v>
      </c>
      <c r="T232" s="182" t="s">
        <v>208</v>
      </c>
      <c r="U232" s="182" t="s">
        <v>208</v>
      </c>
      <c r="V232" s="183" t="s">
        <v>10</v>
      </c>
    </row>
    <row r="233" spans="13:22" x14ac:dyDescent="0.2">
      <c r="M233" s="180" t="s">
        <v>428</v>
      </c>
      <c r="N233" s="181" t="s">
        <v>2</v>
      </c>
      <c r="O233" s="182" t="s">
        <v>3</v>
      </c>
      <c r="P233" s="182" t="s">
        <v>1</v>
      </c>
      <c r="Q233" s="182" t="s">
        <v>4</v>
      </c>
      <c r="R233" s="182" t="s">
        <v>209</v>
      </c>
      <c r="S233" s="182" t="s">
        <v>208</v>
      </c>
      <c r="T233" s="182" t="s">
        <v>6</v>
      </c>
      <c r="U233" s="182" t="s">
        <v>7</v>
      </c>
      <c r="V233" s="183" t="s">
        <v>208</v>
      </c>
    </row>
    <row r="234" spans="13:22" x14ac:dyDescent="0.2">
      <c r="M234" s="180" t="s">
        <v>429</v>
      </c>
      <c r="N234" s="181" t="s">
        <v>2</v>
      </c>
      <c r="O234" s="182" t="s">
        <v>3</v>
      </c>
      <c r="P234" s="182" t="s">
        <v>1</v>
      </c>
      <c r="Q234" s="182" t="s">
        <v>208</v>
      </c>
      <c r="R234" s="182" t="s">
        <v>209</v>
      </c>
      <c r="S234" s="182" t="s">
        <v>208</v>
      </c>
      <c r="T234" s="182" t="s">
        <v>208</v>
      </c>
      <c r="U234" s="182" t="s">
        <v>208</v>
      </c>
      <c r="V234" s="183" t="s">
        <v>208</v>
      </c>
    </row>
    <row r="235" spans="13:22" x14ac:dyDescent="0.2">
      <c r="M235" s="180" t="s">
        <v>430</v>
      </c>
      <c r="N235" s="181" t="s">
        <v>208</v>
      </c>
      <c r="O235" s="182" t="s">
        <v>208</v>
      </c>
      <c r="P235" s="182" t="s">
        <v>208</v>
      </c>
      <c r="Q235" s="182" t="s">
        <v>208</v>
      </c>
      <c r="R235" s="182" t="s">
        <v>209</v>
      </c>
      <c r="S235" s="182" t="s">
        <v>208</v>
      </c>
      <c r="T235" s="182" t="s">
        <v>208</v>
      </c>
      <c r="U235" s="182" t="s">
        <v>208</v>
      </c>
      <c r="V235" s="183" t="s">
        <v>5</v>
      </c>
    </row>
    <row r="236" spans="13:22" x14ac:dyDescent="0.2">
      <c r="M236" s="180" t="s">
        <v>431</v>
      </c>
      <c r="N236" s="181" t="s">
        <v>208</v>
      </c>
      <c r="O236" s="182" t="s">
        <v>208</v>
      </c>
      <c r="P236" s="182" t="s">
        <v>4</v>
      </c>
      <c r="Q236" s="182" t="s">
        <v>208</v>
      </c>
      <c r="R236" s="182" t="s">
        <v>209</v>
      </c>
      <c r="S236" s="182" t="s">
        <v>208</v>
      </c>
      <c r="T236" s="182" t="s">
        <v>208</v>
      </c>
      <c r="U236" s="182" t="s">
        <v>208</v>
      </c>
      <c r="V236" s="183" t="s">
        <v>208</v>
      </c>
    </row>
    <row r="237" spans="13:22" x14ac:dyDescent="0.2">
      <c r="M237" s="180" t="s">
        <v>432</v>
      </c>
      <c r="N237" s="181" t="s">
        <v>2</v>
      </c>
      <c r="O237" s="182" t="s">
        <v>3</v>
      </c>
      <c r="P237" s="182" t="s">
        <v>1</v>
      </c>
      <c r="Q237" s="182" t="s">
        <v>4</v>
      </c>
      <c r="R237" s="182" t="s">
        <v>209</v>
      </c>
      <c r="S237" s="182" t="s">
        <v>208</v>
      </c>
      <c r="T237" s="182" t="s">
        <v>208</v>
      </c>
      <c r="U237" s="182" t="s">
        <v>208</v>
      </c>
      <c r="V237" s="183" t="s">
        <v>208</v>
      </c>
    </row>
    <row r="238" spans="13:22" x14ac:dyDescent="0.2">
      <c r="M238" s="180" t="s">
        <v>433</v>
      </c>
      <c r="N238" s="181" t="s">
        <v>2</v>
      </c>
      <c r="O238" s="182" t="s">
        <v>3</v>
      </c>
      <c r="P238" s="182" t="s">
        <v>1</v>
      </c>
      <c r="Q238" s="182" t="s">
        <v>4</v>
      </c>
      <c r="R238" s="182" t="s">
        <v>5</v>
      </c>
      <c r="S238" s="182" t="s">
        <v>5</v>
      </c>
      <c r="T238" s="182" t="s">
        <v>6</v>
      </c>
      <c r="U238" s="182" t="s">
        <v>7</v>
      </c>
      <c r="V238" s="183" t="s">
        <v>208</v>
      </c>
    </row>
    <row r="239" spans="13:22" x14ac:dyDescent="0.2">
      <c r="M239" s="180" t="s">
        <v>434</v>
      </c>
      <c r="N239" s="181" t="s">
        <v>2</v>
      </c>
      <c r="O239" s="182" t="s">
        <v>3</v>
      </c>
      <c r="P239" s="182" t="s">
        <v>1</v>
      </c>
      <c r="Q239" s="182" t="s">
        <v>3</v>
      </c>
      <c r="R239" s="182" t="s">
        <v>209</v>
      </c>
      <c r="S239" s="182" t="s">
        <v>208</v>
      </c>
      <c r="T239" s="182" t="s">
        <v>6</v>
      </c>
      <c r="U239" s="182" t="s">
        <v>208</v>
      </c>
      <c r="V239" s="183" t="s">
        <v>208</v>
      </c>
    </row>
    <row r="240" spans="13:22" x14ac:dyDescent="0.2">
      <c r="M240" s="180" t="s">
        <v>435</v>
      </c>
      <c r="N240" s="181" t="s">
        <v>2</v>
      </c>
      <c r="O240" s="182" t="s">
        <v>3</v>
      </c>
      <c r="P240" s="182" t="s">
        <v>1</v>
      </c>
      <c r="Q240" s="182" t="s">
        <v>4</v>
      </c>
      <c r="R240" s="182" t="s">
        <v>4</v>
      </c>
      <c r="S240" s="182" t="s">
        <v>5</v>
      </c>
      <c r="T240" s="182" t="s">
        <v>6</v>
      </c>
      <c r="U240" s="182" t="s">
        <v>7</v>
      </c>
      <c r="V240" s="183" t="s">
        <v>208</v>
      </c>
    </row>
    <row r="241" spans="13:22" x14ac:dyDescent="0.2">
      <c r="M241" s="180" t="s">
        <v>436</v>
      </c>
      <c r="N241" s="181" t="s">
        <v>208</v>
      </c>
      <c r="O241" s="182" t="s">
        <v>208</v>
      </c>
      <c r="P241" s="182" t="s">
        <v>208</v>
      </c>
      <c r="Q241" s="182" t="s">
        <v>208</v>
      </c>
      <c r="R241" s="182" t="s">
        <v>209</v>
      </c>
      <c r="S241" s="182" t="s">
        <v>208</v>
      </c>
      <c r="T241" s="182" t="s">
        <v>208</v>
      </c>
      <c r="U241" s="182" t="s">
        <v>208</v>
      </c>
      <c r="V241" s="183" t="s">
        <v>8</v>
      </c>
    </row>
    <row r="242" spans="13:22" x14ac:dyDescent="0.2">
      <c r="M242" s="180" t="s">
        <v>437</v>
      </c>
      <c r="N242" s="181" t="s">
        <v>2</v>
      </c>
      <c r="O242" s="182" t="s">
        <v>3</v>
      </c>
      <c r="P242" s="182" t="s">
        <v>1</v>
      </c>
      <c r="Q242" s="182" t="s">
        <v>3</v>
      </c>
      <c r="R242" s="182" t="s">
        <v>4</v>
      </c>
      <c r="S242" s="182" t="s">
        <v>5</v>
      </c>
      <c r="T242" s="182" t="s">
        <v>6</v>
      </c>
      <c r="U242" s="182" t="s">
        <v>7</v>
      </c>
      <c r="V242" s="183" t="s">
        <v>208</v>
      </c>
    </row>
    <row r="243" spans="13:22" ht="13.5" thickBot="1" x14ac:dyDescent="0.25">
      <c r="M243" s="188" t="s">
        <v>438</v>
      </c>
      <c r="N243" s="189" t="s">
        <v>208</v>
      </c>
      <c r="O243" s="190" t="s">
        <v>3</v>
      </c>
      <c r="P243" s="190" t="s">
        <v>209</v>
      </c>
      <c r="Q243" s="190" t="s">
        <v>208</v>
      </c>
      <c r="R243" s="190" t="s">
        <v>209</v>
      </c>
      <c r="S243" s="190" t="s">
        <v>208</v>
      </c>
      <c r="T243" s="190" t="s">
        <v>208</v>
      </c>
      <c r="U243" s="190" t="s">
        <v>208</v>
      </c>
      <c r="V243" s="191" t="s">
        <v>6</v>
      </c>
    </row>
    <row r="244" spans="13:22" ht="13.5" thickBot="1" x14ac:dyDescent="0.25">
      <c r="M244" s="188" t="s">
        <v>439</v>
      </c>
      <c r="N244" s="202" t="s">
        <v>3</v>
      </c>
      <c r="O244" s="202"/>
      <c r="P244" s="202"/>
      <c r="Q244" s="202"/>
      <c r="R244" s="202"/>
      <c r="S244" s="202"/>
      <c r="T244" s="202"/>
      <c r="U244" s="202"/>
      <c r="V244" s="191" t="s">
        <v>4</v>
      </c>
    </row>
    <row r="245" spans="13:22" x14ac:dyDescent="0.2">
      <c r="N245" s="193"/>
      <c r="O245" s="193"/>
      <c r="P245" s="193"/>
      <c r="Q245" s="193"/>
      <c r="R245" s="193"/>
      <c r="S245" s="193"/>
      <c r="T245" s="193"/>
      <c r="U245" s="193"/>
      <c r="V245" s="193"/>
    </row>
    <row r="246" spans="13:22" x14ac:dyDescent="0.2">
      <c r="N246" s="193"/>
      <c r="O246" s="193"/>
      <c r="P246" s="193"/>
      <c r="Q246" s="193"/>
      <c r="R246" s="193"/>
      <c r="S246" s="193"/>
      <c r="T246" s="193"/>
      <c r="U246" s="193"/>
      <c r="V246" s="193"/>
    </row>
    <row r="247" spans="13:22" x14ac:dyDescent="0.2">
      <c r="N247" s="193"/>
      <c r="O247" s="193"/>
      <c r="P247" s="193"/>
      <c r="Q247" s="193"/>
      <c r="R247" s="193"/>
      <c r="S247" s="193"/>
      <c r="T247" s="193"/>
      <c r="U247" s="193"/>
      <c r="V247" s="193"/>
    </row>
    <row r="248" spans="13:22" x14ac:dyDescent="0.2">
      <c r="N248" s="193"/>
      <c r="O248" s="193"/>
      <c r="P248" s="193"/>
      <c r="Q248" s="193"/>
      <c r="R248" s="193"/>
      <c r="S248" s="193"/>
      <c r="T248" s="193"/>
      <c r="U248" s="193"/>
      <c r="V248" s="193"/>
    </row>
    <row r="249" spans="13:22" x14ac:dyDescent="0.2">
      <c r="N249" s="193"/>
      <c r="O249" s="193"/>
      <c r="P249" s="193"/>
      <c r="Q249" s="193"/>
      <c r="R249" s="193"/>
      <c r="S249" s="193"/>
      <c r="T249" s="193"/>
      <c r="U249" s="193"/>
      <c r="V249" s="193"/>
    </row>
    <row r="250" spans="13:22" x14ac:dyDescent="0.2">
      <c r="N250" s="193"/>
      <c r="O250" s="193"/>
      <c r="P250" s="193"/>
      <c r="Q250" s="193"/>
      <c r="R250" s="193"/>
      <c r="S250" s="193"/>
      <c r="T250" s="193"/>
      <c r="U250" s="193"/>
      <c r="V250" s="193"/>
    </row>
    <row r="251" spans="13:22" x14ac:dyDescent="0.2">
      <c r="N251" s="193"/>
      <c r="O251" s="193"/>
      <c r="P251" s="193"/>
      <c r="Q251" s="193"/>
      <c r="R251" s="193"/>
      <c r="S251" s="193"/>
      <c r="T251" s="193"/>
      <c r="U251" s="193"/>
      <c r="V251" s="193"/>
    </row>
    <row r="252" spans="13:22" x14ac:dyDescent="0.2">
      <c r="N252" s="193"/>
      <c r="O252" s="193"/>
      <c r="P252" s="193"/>
      <c r="Q252" s="193"/>
      <c r="R252" s="193"/>
      <c r="S252" s="193"/>
      <c r="T252" s="193"/>
      <c r="U252" s="193"/>
      <c r="V252" s="193"/>
    </row>
    <row r="253" spans="13:22" x14ac:dyDescent="0.2">
      <c r="N253" s="193"/>
      <c r="O253" s="193"/>
      <c r="P253" s="193"/>
      <c r="Q253" s="193"/>
      <c r="R253" s="193"/>
      <c r="S253" s="193"/>
      <c r="T253" s="193"/>
      <c r="U253" s="193"/>
      <c r="V253" s="193"/>
    </row>
    <row r="254" spans="13:22" x14ac:dyDescent="0.2">
      <c r="N254" s="193"/>
      <c r="O254" s="193"/>
      <c r="P254" s="193"/>
      <c r="Q254" s="193"/>
      <c r="R254" s="193"/>
      <c r="S254" s="193"/>
      <c r="T254" s="193"/>
      <c r="U254" s="193"/>
      <c r="V254" s="193"/>
    </row>
    <row r="255" spans="13:22" x14ac:dyDescent="0.2">
      <c r="N255" s="193"/>
      <c r="O255" s="193"/>
      <c r="P255" s="193"/>
      <c r="Q255" s="193"/>
      <c r="R255" s="193"/>
      <c r="S255" s="193"/>
      <c r="T255" s="193"/>
      <c r="U255" s="193"/>
      <c r="V255" s="193"/>
    </row>
    <row r="256" spans="13:22" x14ac:dyDescent="0.2">
      <c r="N256" s="193"/>
      <c r="O256" s="193"/>
      <c r="P256" s="193"/>
      <c r="Q256" s="193"/>
      <c r="R256" s="193"/>
      <c r="S256" s="193"/>
      <c r="T256" s="193"/>
      <c r="U256" s="193"/>
      <c r="V256" s="193"/>
    </row>
    <row r="257" spans="14:22" x14ac:dyDescent="0.2">
      <c r="N257" s="193"/>
      <c r="O257" s="193"/>
      <c r="P257" s="193"/>
      <c r="Q257" s="193"/>
      <c r="R257" s="193"/>
      <c r="S257" s="193"/>
      <c r="T257" s="193"/>
      <c r="U257" s="193"/>
      <c r="V257" s="193"/>
    </row>
    <row r="258" spans="14:22" x14ac:dyDescent="0.2">
      <c r="N258" s="193"/>
      <c r="O258" s="193"/>
      <c r="P258" s="193"/>
      <c r="Q258" s="193"/>
      <c r="R258" s="193"/>
      <c r="S258" s="193"/>
      <c r="T258" s="193"/>
      <c r="U258" s="193"/>
      <c r="V258" s="193"/>
    </row>
    <row r="259" spans="14:22" x14ac:dyDescent="0.2">
      <c r="N259" s="193"/>
      <c r="O259" s="193"/>
      <c r="P259" s="193"/>
      <c r="Q259" s="193"/>
      <c r="R259" s="193"/>
      <c r="S259" s="193"/>
      <c r="T259" s="193"/>
      <c r="U259" s="193"/>
      <c r="V259" s="193"/>
    </row>
    <row r="260" spans="14:22" x14ac:dyDescent="0.2">
      <c r="N260" s="193"/>
      <c r="O260" s="193"/>
      <c r="P260" s="193"/>
      <c r="Q260" s="193"/>
      <c r="R260" s="193"/>
      <c r="S260" s="193"/>
      <c r="T260" s="193"/>
      <c r="U260" s="193"/>
      <c r="V260" s="193"/>
    </row>
    <row r="261" spans="14:22" x14ac:dyDescent="0.2">
      <c r="N261" s="193"/>
      <c r="O261" s="193"/>
      <c r="P261" s="193"/>
      <c r="Q261" s="193"/>
      <c r="R261" s="193"/>
      <c r="S261" s="193"/>
      <c r="T261" s="193"/>
      <c r="U261" s="193"/>
      <c r="V261" s="193"/>
    </row>
    <row r="262" spans="14:22" x14ac:dyDescent="0.2">
      <c r="N262" s="193"/>
      <c r="O262" s="193"/>
      <c r="P262" s="193"/>
      <c r="Q262" s="193"/>
      <c r="R262" s="193"/>
      <c r="S262" s="193"/>
      <c r="T262" s="193"/>
      <c r="U262" s="193"/>
      <c r="V262" s="193"/>
    </row>
    <row r="263" spans="14:22" x14ac:dyDescent="0.2">
      <c r="N263" s="193"/>
      <c r="O263" s="193"/>
      <c r="P263" s="193"/>
      <c r="Q263" s="193"/>
      <c r="R263" s="193"/>
      <c r="S263" s="193"/>
      <c r="T263" s="193"/>
      <c r="U263" s="193"/>
      <c r="V263" s="193"/>
    </row>
    <row r="264" spans="14:22" x14ac:dyDescent="0.2">
      <c r="N264" s="193"/>
      <c r="O264" s="193"/>
      <c r="P264" s="193"/>
      <c r="Q264" s="193"/>
      <c r="R264" s="193"/>
      <c r="S264" s="193"/>
      <c r="T264" s="193"/>
      <c r="U264" s="193"/>
      <c r="V264" s="193"/>
    </row>
    <row r="265" spans="14:22" x14ac:dyDescent="0.2">
      <c r="N265" s="193"/>
      <c r="O265" s="193"/>
      <c r="P265" s="193"/>
      <c r="Q265" s="193"/>
      <c r="R265" s="193"/>
      <c r="S265" s="193"/>
      <c r="T265" s="193"/>
      <c r="U265" s="193"/>
      <c r="V265" s="193"/>
    </row>
    <row r="266" spans="14:22" x14ac:dyDescent="0.2">
      <c r="N266" s="193"/>
      <c r="O266" s="193"/>
      <c r="P266" s="193"/>
      <c r="Q266" s="193"/>
      <c r="R266" s="193"/>
      <c r="S266" s="193"/>
      <c r="T266" s="193"/>
      <c r="U266" s="193"/>
      <c r="V266" s="193"/>
    </row>
    <row r="267" spans="14:22" x14ac:dyDescent="0.2">
      <c r="N267" s="193"/>
      <c r="O267" s="193"/>
      <c r="P267" s="193"/>
      <c r="Q267" s="193"/>
      <c r="R267" s="193"/>
      <c r="S267" s="193"/>
      <c r="T267" s="193"/>
      <c r="U267" s="193"/>
      <c r="V267" s="193"/>
    </row>
    <row r="268" spans="14:22" x14ac:dyDescent="0.2">
      <c r="N268" s="193"/>
      <c r="O268" s="193"/>
      <c r="P268" s="193"/>
      <c r="Q268" s="193"/>
      <c r="R268" s="193"/>
      <c r="S268" s="193"/>
      <c r="T268" s="193"/>
      <c r="U268" s="193"/>
      <c r="V268" s="193"/>
    </row>
    <row r="269" spans="14:22" x14ac:dyDescent="0.2">
      <c r="N269" s="193"/>
      <c r="O269" s="193"/>
      <c r="P269" s="193"/>
      <c r="Q269" s="193"/>
      <c r="R269" s="193"/>
      <c r="S269" s="193"/>
      <c r="T269" s="193"/>
      <c r="U269" s="193"/>
      <c r="V269" s="193"/>
    </row>
    <row r="270" spans="14:22" x14ac:dyDescent="0.2">
      <c r="N270" s="193"/>
      <c r="O270" s="193"/>
      <c r="P270" s="193"/>
      <c r="Q270" s="193"/>
      <c r="R270" s="193"/>
      <c r="S270" s="193"/>
      <c r="T270" s="193"/>
      <c r="U270" s="193"/>
      <c r="V270" s="193"/>
    </row>
    <row r="271" spans="14:22" x14ac:dyDescent="0.2">
      <c r="N271" s="193"/>
      <c r="O271" s="193"/>
      <c r="P271" s="193"/>
      <c r="Q271" s="193"/>
      <c r="R271" s="193"/>
      <c r="S271" s="193"/>
      <c r="T271" s="193"/>
      <c r="U271" s="193"/>
      <c r="V271" s="193"/>
    </row>
    <row r="272" spans="14:22" x14ac:dyDescent="0.2">
      <c r="N272" s="193"/>
      <c r="O272" s="193"/>
      <c r="P272" s="193"/>
      <c r="Q272" s="193"/>
      <c r="R272" s="193"/>
      <c r="S272" s="193"/>
      <c r="T272" s="193"/>
      <c r="U272" s="193"/>
      <c r="V272" s="193"/>
    </row>
    <row r="273" spans="14:22" x14ac:dyDescent="0.2">
      <c r="N273" s="193"/>
      <c r="O273" s="193"/>
      <c r="P273" s="193"/>
      <c r="Q273" s="193"/>
      <c r="R273" s="193"/>
      <c r="S273" s="193"/>
      <c r="T273" s="193"/>
      <c r="U273" s="193"/>
      <c r="V273" s="193"/>
    </row>
    <row r="274" spans="14:22" x14ac:dyDescent="0.2">
      <c r="N274" s="193"/>
      <c r="O274" s="193"/>
      <c r="P274" s="193"/>
      <c r="Q274" s="193"/>
      <c r="R274" s="193"/>
      <c r="S274" s="193"/>
      <c r="T274" s="193"/>
      <c r="U274" s="193"/>
      <c r="V274" s="193"/>
    </row>
    <row r="275" spans="14:22" x14ac:dyDescent="0.2">
      <c r="N275" s="193"/>
      <c r="O275" s="193"/>
      <c r="P275" s="193"/>
      <c r="Q275" s="193"/>
      <c r="R275" s="193"/>
      <c r="S275" s="193"/>
      <c r="T275" s="193"/>
      <c r="U275" s="193"/>
      <c r="V275" s="193"/>
    </row>
    <row r="276" spans="14:22" x14ac:dyDescent="0.2">
      <c r="N276" s="193"/>
      <c r="O276" s="193"/>
      <c r="P276" s="193"/>
      <c r="Q276" s="193"/>
      <c r="R276" s="193"/>
      <c r="S276" s="193"/>
      <c r="T276" s="193"/>
      <c r="U276" s="193"/>
      <c r="V276" s="193"/>
    </row>
    <row r="277" spans="14:22" x14ac:dyDescent="0.2">
      <c r="N277" s="193"/>
      <c r="O277" s="193"/>
      <c r="P277" s="193"/>
      <c r="Q277" s="193"/>
      <c r="R277" s="193"/>
      <c r="S277" s="193"/>
      <c r="T277" s="193"/>
      <c r="U277" s="193"/>
      <c r="V277" s="193"/>
    </row>
    <row r="278" spans="14:22" x14ac:dyDescent="0.2">
      <c r="N278" s="193"/>
      <c r="O278" s="193"/>
      <c r="P278" s="193"/>
      <c r="Q278" s="193"/>
      <c r="R278" s="193"/>
      <c r="S278" s="193"/>
      <c r="T278" s="193"/>
      <c r="U278" s="193"/>
      <c r="V278" s="193"/>
    </row>
    <row r="279" spans="14:22" x14ac:dyDescent="0.2">
      <c r="N279" s="193"/>
      <c r="O279" s="193"/>
      <c r="P279" s="193"/>
      <c r="Q279" s="193"/>
      <c r="R279" s="193"/>
      <c r="S279" s="193"/>
      <c r="T279" s="193"/>
      <c r="U279" s="193"/>
      <c r="V279" s="193"/>
    </row>
    <row r="280" spans="14:22" x14ac:dyDescent="0.2">
      <c r="N280" s="193"/>
      <c r="O280" s="193"/>
      <c r="P280" s="193"/>
      <c r="Q280" s="193"/>
      <c r="R280" s="193"/>
      <c r="S280" s="193"/>
      <c r="T280" s="193"/>
      <c r="U280" s="193"/>
      <c r="V280" s="193"/>
    </row>
    <row r="281" spans="14:22" x14ac:dyDescent="0.2">
      <c r="N281" s="193"/>
      <c r="O281" s="193"/>
      <c r="P281" s="193"/>
      <c r="Q281" s="193"/>
      <c r="R281" s="193"/>
      <c r="S281" s="193"/>
      <c r="T281" s="193"/>
      <c r="U281" s="193"/>
      <c r="V281" s="193"/>
    </row>
    <row r="282" spans="14:22" x14ac:dyDescent="0.2">
      <c r="N282" s="193"/>
      <c r="O282" s="193"/>
      <c r="P282" s="193"/>
      <c r="Q282" s="193"/>
      <c r="R282" s="193"/>
      <c r="S282" s="193"/>
      <c r="T282" s="193"/>
      <c r="U282" s="193"/>
      <c r="V282" s="193"/>
    </row>
    <row r="283" spans="14:22" x14ac:dyDescent="0.2">
      <c r="N283" s="193"/>
      <c r="O283" s="193"/>
      <c r="P283" s="193"/>
      <c r="Q283" s="193"/>
      <c r="R283" s="193"/>
      <c r="S283" s="193"/>
      <c r="T283" s="193"/>
      <c r="U283" s="193"/>
      <c r="V283" s="193"/>
    </row>
    <row r="284" spans="14:22" x14ac:dyDescent="0.2">
      <c r="N284" s="193"/>
      <c r="O284" s="193"/>
      <c r="P284" s="193"/>
      <c r="Q284" s="193"/>
      <c r="R284" s="193"/>
      <c r="S284" s="193"/>
      <c r="T284" s="193"/>
      <c r="U284" s="193"/>
      <c r="V284" s="193"/>
    </row>
    <row r="285" spans="14:22" x14ac:dyDescent="0.2">
      <c r="N285" s="193"/>
      <c r="O285" s="193"/>
      <c r="P285" s="193"/>
      <c r="Q285" s="193"/>
      <c r="R285" s="193"/>
      <c r="S285" s="193"/>
      <c r="T285" s="193"/>
      <c r="U285" s="193"/>
      <c r="V285" s="193"/>
    </row>
    <row r="286" spans="14:22" x14ac:dyDescent="0.2">
      <c r="N286" s="193"/>
      <c r="O286" s="193"/>
      <c r="P286" s="193"/>
      <c r="Q286" s="193"/>
      <c r="R286" s="193"/>
      <c r="S286" s="193"/>
      <c r="T286" s="193"/>
      <c r="U286" s="193"/>
      <c r="V286" s="193"/>
    </row>
    <row r="287" spans="14:22" x14ac:dyDescent="0.2">
      <c r="N287" s="193"/>
      <c r="O287" s="193"/>
      <c r="P287" s="193"/>
      <c r="Q287" s="193"/>
      <c r="R287" s="193"/>
      <c r="S287" s="193"/>
      <c r="T287" s="193"/>
      <c r="U287" s="193"/>
      <c r="V287" s="193"/>
    </row>
    <row r="288" spans="14:22" x14ac:dyDescent="0.2">
      <c r="N288" s="193"/>
      <c r="O288" s="193"/>
      <c r="P288" s="193"/>
      <c r="Q288" s="193"/>
      <c r="R288" s="193"/>
      <c r="S288" s="193"/>
      <c r="T288" s="193"/>
      <c r="U288" s="193"/>
      <c r="V288" s="193"/>
    </row>
    <row r="289" spans="14:22" x14ac:dyDescent="0.2">
      <c r="N289" s="193"/>
      <c r="O289" s="193"/>
      <c r="P289" s="193"/>
      <c r="Q289" s="193"/>
      <c r="R289" s="193"/>
      <c r="S289" s="193"/>
      <c r="T289" s="193"/>
      <c r="U289" s="193"/>
      <c r="V289" s="193"/>
    </row>
    <row r="290" spans="14:22" x14ac:dyDescent="0.2">
      <c r="N290" s="193"/>
      <c r="O290" s="193"/>
      <c r="P290" s="193"/>
      <c r="Q290" s="193"/>
      <c r="R290" s="193"/>
      <c r="S290" s="193"/>
      <c r="T290" s="193"/>
      <c r="U290" s="193"/>
      <c r="V290" s="193"/>
    </row>
    <row r="291" spans="14:22" x14ac:dyDescent="0.2">
      <c r="N291" s="193"/>
      <c r="O291" s="193"/>
      <c r="P291" s="193"/>
      <c r="Q291" s="193"/>
      <c r="R291" s="193"/>
      <c r="S291" s="193"/>
      <c r="T291" s="193"/>
      <c r="U291" s="193"/>
      <c r="V291" s="193"/>
    </row>
    <row r="292" spans="14:22" x14ac:dyDescent="0.2">
      <c r="N292" s="193"/>
      <c r="O292" s="193"/>
      <c r="P292" s="193"/>
      <c r="Q292" s="193"/>
      <c r="R292" s="193"/>
      <c r="S292" s="193"/>
      <c r="T292" s="193"/>
      <c r="U292" s="193"/>
      <c r="V292" s="193"/>
    </row>
    <row r="293" spans="14:22" x14ac:dyDescent="0.2">
      <c r="N293" s="193"/>
      <c r="O293" s="193"/>
      <c r="P293" s="193"/>
      <c r="Q293" s="193"/>
      <c r="R293" s="193"/>
      <c r="S293" s="193"/>
      <c r="T293" s="193"/>
      <c r="U293" s="193"/>
      <c r="V293" s="193"/>
    </row>
    <row r="294" spans="14:22" x14ac:dyDescent="0.2">
      <c r="N294" s="193"/>
      <c r="O294" s="193"/>
      <c r="P294" s="193"/>
      <c r="Q294" s="193"/>
      <c r="R294" s="193"/>
      <c r="S294" s="193"/>
      <c r="T294" s="193"/>
      <c r="U294" s="193"/>
      <c r="V294" s="193"/>
    </row>
    <row r="295" spans="14:22" x14ac:dyDescent="0.2">
      <c r="N295" s="193"/>
      <c r="O295" s="193"/>
      <c r="P295" s="193"/>
      <c r="Q295" s="193"/>
      <c r="R295" s="193"/>
      <c r="S295" s="193"/>
      <c r="T295" s="193"/>
      <c r="U295" s="193"/>
      <c r="V295" s="193"/>
    </row>
    <row r="296" spans="14:22" x14ac:dyDescent="0.2">
      <c r="N296" s="193"/>
      <c r="O296" s="193"/>
      <c r="P296" s="193"/>
      <c r="Q296" s="193"/>
      <c r="R296" s="193"/>
      <c r="S296" s="193"/>
      <c r="T296" s="193"/>
      <c r="U296" s="193"/>
      <c r="V296" s="193"/>
    </row>
    <row r="297" spans="14:22" x14ac:dyDescent="0.2">
      <c r="N297" s="193"/>
      <c r="O297" s="193"/>
      <c r="P297" s="193"/>
      <c r="Q297" s="193"/>
      <c r="R297" s="193"/>
      <c r="S297" s="193"/>
      <c r="T297" s="193"/>
      <c r="U297" s="193"/>
      <c r="V297" s="193"/>
    </row>
    <row r="298" spans="14:22" x14ac:dyDescent="0.2">
      <c r="N298" s="193"/>
      <c r="O298" s="193"/>
      <c r="P298" s="193"/>
      <c r="Q298" s="193"/>
      <c r="R298" s="193"/>
      <c r="S298" s="193"/>
      <c r="T298" s="193"/>
      <c r="U298" s="193"/>
      <c r="V298" s="193"/>
    </row>
    <row r="299" spans="14:22" x14ac:dyDescent="0.2">
      <c r="N299" s="193"/>
      <c r="O299" s="193"/>
      <c r="P299" s="193"/>
      <c r="Q299" s="193"/>
      <c r="R299" s="193"/>
      <c r="S299" s="193"/>
      <c r="T299" s="193"/>
      <c r="U299" s="193"/>
      <c r="V299" s="193"/>
    </row>
    <row r="300" spans="14:22" x14ac:dyDescent="0.2">
      <c r="N300" s="193"/>
      <c r="O300" s="193"/>
      <c r="P300" s="193"/>
      <c r="Q300" s="193"/>
      <c r="R300" s="193"/>
      <c r="S300" s="193"/>
      <c r="T300" s="193"/>
      <c r="U300" s="193"/>
      <c r="V300" s="193"/>
    </row>
    <row r="301" spans="14:22" x14ac:dyDescent="0.2">
      <c r="N301" s="193"/>
      <c r="O301" s="193"/>
      <c r="P301" s="193"/>
      <c r="Q301" s="193"/>
      <c r="R301" s="193"/>
      <c r="S301" s="193"/>
      <c r="T301" s="193"/>
      <c r="U301" s="193"/>
      <c r="V301" s="193"/>
    </row>
    <row r="302" spans="14:22" x14ac:dyDescent="0.2">
      <c r="N302" s="193"/>
      <c r="O302" s="193"/>
      <c r="P302" s="193"/>
      <c r="Q302" s="193"/>
      <c r="R302" s="193"/>
      <c r="S302" s="193"/>
      <c r="T302" s="193"/>
      <c r="U302" s="193"/>
      <c r="V302" s="193"/>
    </row>
    <row r="303" spans="14:22" x14ac:dyDescent="0.2">
      <c r="N303" s="193"/>
      <c r="O303" s="193"/>
      <c r="P303" s="193"/>
      <c r="Q303" s="193"/>
      <c r="R303" s="193"/>
      <c r="S303" s="193"/>
      <c r="T303" s="193"/>
      <c r="U303" s="193"/>
      <c r="V303" s="193"/>
    </row>
    <row r="304" spans="14:22" x14ac:dyDescent="0.2">
      <c r="N304" s="193"/>
      <c r="O304" s="193"/>
      <c r="P304" s="193"/>
      <c r="Q304" s="193"/>
      <c r="R304" s="193"/>
      <c r="S304" s="193"/>
      <c r="T304" s="193"/>
      <c r="U304" s="193"/>
      <c r="V304" s="193"/>
    </row>
    <row r="305" spans="14:22" x14ac:dyDescent="0.2">
      <c r="N305" s="193"/>
      <c r="O305" s="193"/>
      <c r="P305" s="193"/>
      <c r="Q305" s="193"/>
      <c r="R305" s="193"/>
      <c r="S305" s="193"/>
      <c r="T305" s="193"/>
      <c r="U305" s="193"/>
      <c r="V305" s="193"/>
    </row>
    <row r="306" spans="14:22" x14ac:dyDescent="0.2">
      <c r="N306" s="193"/>
      <c r="O306" s="193"/>
      <c r="P306" s="193"/>
      <c r="Q306" s="193"/>
      <c r="R306" s="193"/>
      <c r="S306" s="193"/>
      <c r="T306" s="193"/>
      <c r="U306" s="193"/>
      <c r="V306" s="193"/>
    </row>
    <row r="307" spans="14:22" x14ac:dyDescent="0.2">
      <c r="N307" s="193"/>
      <c r="O307" s="193"/>
      <c r="P307" s="193"/>
      <c r="Q307" s="193"/>
      <c r="R307" s="193"/>
      <c r="S307" s="193"/>
      <c r="T307" s="193"/>
      <c r="U307" s="193"/>
      <c r="V307" s="193"/>
    </row>
    <row r="308" spans="14:22" x14ac:dyDescent="0.2">
      <c r="N308" s="193"/>
      <c r="O308" s="193"/>
      <c r="P308" s="193"/>
      <c r="Q308" s="193"/>
      <c r="R308" s="193"/>
      <c r="S308" s="193"/>
      <c r="T308" s="193"/>
      <c r="U308" s="193"/>
      <c r="V308" s="193"/>
    </row>
    <row r="309" spans="14:22" x14ac:dyDescent="0.2">
      <c r="N309" s="193"/>
      <c r="O309" s="193"/>
      <c r="P309" s="193"/>
      <c r="Q309" s="193"/>
      <c r="R309" s="193"/>
      <c r="S309" s="193"/>
      <c r="T309" s="193"/>
      <c r="U309" s="193"/>
      <c r="V309" s="193"/>
    </row>
    <row r="310" spans="14:22" x14ac:dyDescent="0.2">
      <c r="N310" s="193"/>
      <c r="O310" s="193"/>
      <c r="P310" s="193"/>
      <c r="Q310" s="193"/>
      <c r="R310" s="193"/>
      <c r="S310" s="193"/>
      <c r="T310" s="193"/>
      <c r="U310" s="193"/>
      <c r="V310" s="193"/>
    </row>
    <row r="311" spans="14:22" x14ac:dyDescent="0.2">
      <c r="N311" s="193"/>
      <c r="O311" s="193"/>
      <c r="P311" s="193"/>
      <c r="Q311" s="193"/>
      <c r="R311" s="193"/>
      <c r="S311" s="193"/>
      <c r="T311" s="193"/>
      <c r="U311" s="193"/>
      <c r="V311" s="193"/>
    </row>
    <row r="312" spans="14:22" x14ac:dyDescent="0.2">
      <c r="N312" s="193"/>
      <c r="O312" s="193"/>
      <c r="P312" s="193"/>
      <c r="Q312" s="193"/>
      <c r="R312" s="193"/>
      <c r="S312" s="193"/>
      <c r="T312" s="193"/>
      <c r="U312" s="193"/>
      <c r="V312" s="193"/>
    </row>
    <row r="313" spans="14:22" x14ac:dyDescent="0.2">
      <c r="N313" s="193"/>
      <c r="O313" s="193"/>
      <c r="P313" s="193"/>
      <c r="Q313" s="193"/>
      <c r="R313" s="193"/>
      <c r="S313" s="193"/>
      <c r="T313" s="193"/>
      <c r="U313" s="193"/>
      <c r="V313" s="193"/>
    </row>
    <row r="314" spans="14:22" x14ac:dyDescent="0.2">
      <c r="N314" s="193"/>
      <c r="O314" s="193"/>
      <c r="P314" s="193"/>
      <c r="Q314" s="193"/>
      <c r="R314" s="193"/>
      <c r="S314" s="193"/>
      <c r="T314" s="193"/>
      <c r="U314" s="193"/>
      <c r="V314" s="193"/>
    </row>
    <row r="315" spans="14:22" x14ac:dyDescent="0.2">
      <c r="N315" s="193"/>
      <c r="O315" s="193"/>
      <c r="P315" s="193"/>
      <c r="Q315" s="193"/>
      <c r="R315" s="193"/>
      <c r="S315" s="193"/>
      <c r="T315" s="193"/>
      <c r="U315" s="193"/>
      <c r="V315" s="193"/>
    </row>
    <row r="316" spans="14:22" x14ac:dyDescent="0.2">
      <c r="N316" s="193"/>
      <c r="O316" s="193"/>
      <c r="P316" s="193"/>
      <c r="Q316" s="193"/>
      <c r="R316" s="193"/>
      <c r="S316" s="193"/>
      <c r="T316" s="193"/>
      <c r="U316" s="193"/>
      <c r="V316" s="193"/>
    </row>
    <row r="317" spans="14:22" x14ac:dyDescent="0.2">
      <c r="N317" s="193"/>
      <c r="O317" s="193"/>
      <c r="P317" s="193"/>
      <c r="Q317" s="193"/>
      <c r="R317" s="193"/>
      <c r="S317" s="193"/>
      <c r="T317" s="193"/>
      <c r="U317" s="193"/>
      <c r="V317" s="193"/>
    </row>
    <row r="318" spans="14:22" x14ac:dyDescent="0.2">
      <c r="N318" s="193"/>
      <c r="O318" s="193"/>
      <c r="P318" s="193"/>
      <c r="Q318" s="193"/>
      <c r="R318" s="193"/>
      <c r="S318" s="193"/>
      <c r="T318" s="193"/>
      <c r="U318" s="193"/>
      <c r="V318" s="193"/>
    </row>
    <row r="319" spans="14:22" x14ac:dyDescent="0.2">
      <c r="N319" s="193"/>
      <c r="O319" s="193"/>
      <c r="P319" s="193"/>
      <c r="Q319" s="193"/>
      <c r="R319" s="193"/>
      <c r="S319" s="193"/>
      <c r="T319" s="193"/>
      <c r="U319" s="193"/>
      <c r="V319" s="193"/>
    </row>
    <row r="320" spans="14:22" x14ac:dyDescent="0.2">
      <c r="N320" s="193"/>
      <c r="O320" s="193"/>
      <c r="P320" s="193"/>
      <c r="Q320" s="193"/>
      <c r="R320" s="193"/>
      <c r="S320" s="193"/>
      <c r="T320" s="193"/>
      <c r="U320" s="193"/>
      <c r="V320" s="193"/>
    </row>
    <row r="321" spans="14:22" x14ac:dyDescent="0.2">
      <c r="N321" s="193"/>
      <c r="O321" s="193"/>
      <c r="P321" s="193"/>
      <c r="Q321" s="193"/>
      <c r="R321" s="193"/>
      <c r="S321" s="193"/>
      <c r="T321" s="193"/>
      <c r="U321" s="193"/>
      <c r="V321" s="193"/>
    </row>
    <row r="322" spans="14:22" x14ac:dyDescent="0.2">
      <c r="N322" s="193"/>
      <c r="O322" s="193"/>
      <c r="P322" s="193"/>
      <c r="Q322" s="193"/>
      <c r="R322" s="193"/>
      <c r="S322" s="193"/>
      <c r="T322" s="193"/>
      <c r="U322" s="193"/>
      <c r="V322" s="193"/>
    </row>
    <row r="323" spans="14:22" x14ac:dyDescent="0.2">
      <c r="N323" s="193"/>
      <c r="O323" s="193"/>
      <c r="P323" s="193"/>
      <c r="Q323" s="193"/>
      <c r="R323" s="193"/>
      <c r="S323" s="193"/>
      <c r="T323" s="193"/>
      <c r="U323" s="193"/>
      <c r="V323" s="193"/>
    </row>
    <row r="324" spans="14:22" x14ac:dyDescent="0.2">
      <c r="N324" s="193"/>
      <c r="O324" s="193"/>
      <c r="P324" s="193"/>
      <c r="Q324" s="193"/>
      <c r="R324" s="193"/>
      <c r="S324" s="193"/>
      <c r="T324" s="193"/>
      <c r="U324" s="193"/>
      <c r="V324" s="193"/>
    </row>
    <row r="325" spans="14:22" x14ac:dyDescent="0.2">
      <c r="N325" s="193"/>
      <c r="O325" s="193"/>
      <c r="P325" s="193"/>
      <c r="Q325" s="193"/>
      <c r="R325" s="193"/>
      <c r="S325" s="193"/>
      <c r="T325" s="193"/>
      <c r="U325" s="193"/>
      <c r="V325" s="193"/>
    </row>
    <row r="326" spans="14:22" x14ac:dyDescent="0.2">
      <c r="N326" s="193"/>
      <c r="O326" s="193"/>
      <c r="P326" s="193"/>
      <c r="Q326" s="193"/>
      <c r="R326" s="193"/>
      <c r="S326" s="193"/>
      <c r="T326" s="193"/>
      <c r="U326" s="193"/>
      <c r="V326" s="193"/>
    </row>
    <row r="327" spans="14:22" x14ac:dyDescent="0.2">
      <c r="N327" s="193"/>
      <c r="O327" s="193"/>
      <c r="P327" s="193"/>
      <c r="Q327" s="193"/>
      <c r="R327" s="193"/>
      <c r="S327" s="193"/>
      <c r="T327" s="193"/>
      <c r="U327" s="193"/>
      <c r="V327" s="193"/>
    </row>
    <row r="328" spans="14:22" x14ac:dyDescent="0.2">
      <c r="N328" s="193"/>
      <c r="O328" s="193"/>
      <c r="P328" s="193"/>
      <c r="Q328" s="193"/>
      <c r="R328" s="193"/>
      <c r="S328" s="193"/>
      <c r="T328" s="193"/>
      <c r="U328" s="193"/>
      <c r="V328" s="193"/>
    </row>
    <row r="329" spans="14:22" x14ac:dyDescent="0.2">
      <c r="N329" s="193"/>
      <c r="O329" s="193"/>
      <c r="P329" s="193"/>
      <c r="Q329" s="193"/>
      <c r="R329" s="193"/>
      <c r="S329" s="193"/>
      <c r="T329" s="193"/>
      <c r="U329" s="193"/>
      <c r="V329" s="193"/>
    </row>
    <row r="330" spans="14:22" x14ac:dyDescent="0.2">
      <c r="N330" s="193"/>
      <c r="O330" s="193"/>
      <c r="P330" s="193"/>
      <c r="Q330" s="193"/>
      <c r="R330" s="193"/>
      <c r="S330" s="193"/>
      <c r="T330" s="193"/>
      <c r="U330" s="193"/>
      <c r="V330" s="193"/>
    </row>
    <row r="331" spans="14:22" x14ac:dyDescent="0.2">
      <c r="N331" s="193"/>
      <c r="O331" s="193"/>
      <c r="P331" s="193"/>
      <c r="Q331" s="193"/>
      <c r="R331" s="193"/>
      <c r="S331" s="193"/>
      <c r="T331" s="193"/>
      <c r="U331" s="193"/>
      <c r="V331" s="193"/>
    </row>
    <row r="332" spans="14:22" x14ac:dyDescent="0.2">
      <c r="N332" s="193"/>
      <c r="O332" s="193"/>
      <c r="P332" s="193"/>
      <c r="Q332" s="193"/>
      <c r="R332" s="193"/>
      <c r="S332" s="193"/>
      <c r="T332" s="193"/>
      <c r="U332" s="193"/>
      <c r="V332" s="193"/>
    </row>
    <row r="333" spans="14:22" x14ac:dyDescent="0.2">
      <c r="N333" s="193"/>
      <c r="O333" s="193"/>
      <c r="P333" s="193"/>
      <c r="Q333" s="193"/>
      <c r="R333" s="193"/>
      <c r="S333" s="193"/>
      <c r="T333" s="193"/>
      <c r="U333" s="193"/>
      <c r="V333" s="193"/>
    </row>
    <row r="334" spans="14:22" x14ac:dyDescent="0.2">
      <c r="N334" s="193"/>
      <c r="O334" s="193"/>
      <c r="P334" s="193"/>
      <c r="Q334" s="193"/>
      <c r="R334" s="193"/>
      <c r="S334" s="193"/>
      <c r="T334" s="193"/>
      <c r="U334" s="193"/>
      <c r="V334" s="193"/>
    </row>
    <row r="335" spans="14:22" x14ac:dyDescent="0.2">
      <c r="N335" s="193"/>
      <c r="O335" s="193"/>
      <c r="P335" s="193"/>
      <c r="Q335" s="193"/>
      <c r="R335" s="193"/>
      <c r="S335" s="193"/>
      <c r="T335" s="193"/>
      <c r="U335" s="193"/>
      <c r="V335" s="193"/>
    </row>
    <row r="336" spans="14:22" x14ac:dyDescent="0.2">
      <c r="N336" s="193"/>
      <c r="O336" s="193"/>
      <c r="P336" s="193"/>
      <c r="Q336" s="193"/>
      <c r="R336" s="193"/>
      <c r="S336" s="193"/>
      <c r="T336" s="193"/>
      <c r="U336" s="193"/>
      <c r="V336" s="193"/>
    </row>
    <row r="337" spans="14:22" x14ac:dyDescent="0.2">
      <c r="N337" s="193"/>
      <c r="O337" s="193"/>
      <c r="P337" s="193"/>
      <c r="Q337" s="193"/>
      <c r="R337" s="193"/>
      <c r="S337" s="193"/>
      <c r="T337" s="193"/>
      <c r="U337" s="193"/>
      <c r="V337" s="193"/>
    </row>
    <row r="338" spans="14:22" x14ac:dyDescent="0.2">
      <c r="N338" s="193"/>
      <c r="O338" s="193"/>
      <c r="P338" s="193"/>
      <c r="Q338" s="193"/>
      <c r="R338" s="193"/>
      <c r="S338" s="193"/>
      <c r="T338" s="193"/>
      <c r="U338" s="193"/>
      <c r="V338" s="193"/>
    </row>
    <row r="339" spans="14:22" x14ac:dyDescent="0.2">
      <c r="N339" s="193"/>
      <c r="O339" s="193"/>
      <c r="P339" s="193"/>
      <c r="Q339" s="193"/>
      <c r="R339" s="193"/>
      <c r="S339" s="193"/>
      <c r="T339" s="193"/>
      <c r="U339" s="193"/>
      <c r="V339" s="193"/>
    </row>
    <row r="340" spans="14:22" x14ac:dyDescent="0.2">
      <c r="N340" s="193"/>
      <c r="O340" s="193"/>
      <c r="P340" s="193"/>
      <c r="Q340" s="193"/>
      <c r="R340" s="193"/>
      <c r="S340" s="193"/>
      <c r="T340" s="193"/>
      <c r="U340" s="193"/>
      <c r="V340" s="193"/>
    </row>
    <row r="341" spans="14:22" x14ac:dyDescent="0.2">
      <c r="N341" s="193"/>
      <c r="O341" s="193"/>
      <c r="P341" s="193"/>
      <c r="Q341" s="193"/>
      <c r="R341" s="193"/>
      <c r="S341" s="193"/>
      <c r="T341" s="193"/>
      <c r="U341" s="193"/>
      <c r="V341" s="193"/>
    </row>
    <row r="342" spans="14:22" x14ac:dyDescent="0.2">
      <c r="N342" s="193"/>
      <c r="O342" s="193"/>
      <c r="P342" s="193"/>
      <c r="Q342" s="193"/>
      <c r="R342" s="193"/>
      <c r="S342" s="193"/>
      <c r="T342" s="193"/>
      <c r="U342" s="193"/>
      <c r="V342" s="193"/>
    </row>
    <row r="343" spans="14:22" x14ac:dyDescent="0.2">
      <c r="N343" s="193"/>
      <c r="O343" s="193"/>
      <c r="P343" s="193"/>
      <c r="Q343" s="193"/>
      <c r="R343" s="193"/>
      <c r="S343" s="193"/>
      <c r="T343" s="193"/>
      <c r="U343" s="193"/>
      <c r="V343" s="193"/>
    </row>
    <row r="344" spans="14:22" x14ac:dyDescent="0.2">
      <c r="N344" s="193"/>
      <c r="O344" s="193"/>
      <c r="P344" s="193"/>
      <c r="Q344" s="193"/>
      <c r="R344" s="193"/>
      <c r="S344" s="193"/>
      <c r="T344" s="193"/>
      <c r="U344" s="193"/>
      <c r="V344" s="193"/>
    </row>
    <row r="345" spans="14:22" x14ac:dyDescent="0.2">
      <c r="N345" s="193"/>
      <c r="O345" s="193"/>
      <c r="P345" s="193"/>
      <c r="Q345" s="193"/>
      <c r="R345" s="193"/>
      <c r="S345" s="193"/>
      <c r="T345" s="193"/>
      <c r="U345" s="193"/>
      <c r="V345" s="193"/>
    </row>
    <row r="346" spans="14:22" x14ac:dyDescent="0.2">
      <c r="N346" s="193"/>
      <c r="O346" s="193"/>
      <c r="P346" s="193"/>
      <c r="Q346" s="193"/>
      <c r="R346" s="193"/>
      <c r="S346" s="193"/>
      <c r="T346" s="193"/>
      <c r="U346" s="193"/>
      <c r="V346" s="193"/>
    </row>
    <row r="347" spans="14:22" x14ac:dyDescent="0.2">
      <c r="N347" s="193"/>
      <c r="O347" s="193"/>
      <c r="P347" s="193"/>
      <c r="Q347" s="193"/>
      <c r="R347" s="193"/>
      <c r="S347" s="193"/>
      <c r="T347" s="193"/>
      <c r="U347" s="193"/>
      <c r="V347" s="193"/>
    </row>
    <row r="348" spans="14:22" x14ac:dyDescent="0.2">
      <c r="N348" s="193"/>
      <c r="O348" s="193"/>
      <c r="P348" s="193"/>
      <c r="Q348" s="193"/>
      <c r="R348" s="193"/>
      <c r="S348" s="193"/>
      <c r="T348" s="193"/>
      <c r="U348" s="193"/>
      <c r="V348" s="193"/>
    </row>
    <row r="349" spans="14:22" x14ac:dyDescent="0.2">
      <c r="N349" s="193"/>
      <c r="O349" s="193"/>
      <c r="P349" s="193"/>
      <c r="Q349" s="193"/>
      <c r="R349" s="193"/>
      <c r="S349" s="193"/>
      <c r="T349" s="193"/>
      <c r="U349" s="193"/>
      <c r="V349" s="193"/>
    </row>
    <row r="350" spans="14:22" x14ac:dyDescent="0.2">
      <c r="N350" s="193"/>
      <c r="O350" s="193"/>
      <c r="P350" s="193"/>
      <c r="Q350" s="193"/>
      <c r="R350" s="193"/>
      <c r="S350" s="193"/>
      <c r="T350" s="193"/>
      <c r="U350" s="193"/>
      <c r="V350" s="193"/>
    </row>
    <row r="351" spans="14:22" x14ac:dyDescent="0.2">
      <c r="N351" s="193"/>
      <c r="O351" s="193"/>
      <c r="P351" s="193"/>
      <c r="Q351" s="193"/>
      <c r="R351" s="193"/>
      <c r="S351" s="193"/>
      <c r="T351" s="193"/>
      <c r="U351" s="193"/>
      <c r="V351" s="193"/>
    </row>
    <row r="352" spans="14:22" x14ac:dyDescent="0.2">
      <c r="N352" s="193"/>
      <c r="O352" s="193"/>
      <c r="P352" s="193"/>
      <c r="Q352" s="193"/>
      <c r="R352" s="193"/>
      <c r="S352" s="193"/>
      <c r="T352" s="193"/>
      <c r="U352" s="193"/>
      <c r="V352" s="193"/>
    </row>
    <row r="353" spans="14:22" x14ac:dyDescent="0.2">
      <c r="N353" s="193"/>
      <c r="O353" s="193"/>
      <c r="P353" s="193"/>
      <c r="Q353" s="193"/>
      <c r="R353" s="193"/>
      <c r="S353" s="193"/>
      <c r="T353" s="193"/>
      <c r="U353" s="193"/>
      <c r="V353" s="193"/>
    </row>
    <row r="354" spans="14:22" x14ac:dyDescent="0.2">
      <c r="N354" s="193"/>
      <c r="O354" s="193"/>
      <c r="P354" s="193"/>
      <c r="Q354" s="193"/>
      <c r="R354" s="193"/>
      <c r="S354" s="193"/>
      <c r="T354" s="193"/>
      <c r="U354" s="193"/>
      <c r="V354" s="193"/>
    </row>
    <row r="355" spans="14:22" x14ac:dyDescent="0.2">
      <c r="N355" s="193"/>
      <c r="O355" s="193"/>
      <c r="P355" s="193"/>
      <c r="Q355" s="193"/>
      <c r="R355" s="193"/>
      <c r="S355" s="193"/>
      <c r="T355" s="193"/>
      <c r="U355" s="193"/>
      <c r="V355" s="193"/>
    </row>
    <row r="356" spans="14:22" x14ac:dyDescent="0.2">
      <c r="N356" s="193"/>
      <c r="O356" s="193"/>
      <c r="P356" s="193"/>
      <c r="Q356" s="193"/>
      <c r="R356" s="193"/>
      <c r="S356" s="193"/>
      <c r="T356" s="193"/>
      <c r="U356" s="193"/>
      <c r="V356" s="193"/>
    </row>
    <row r="357" spans="14:22" x14ac:dyDescent="0.2">
      <c r="N357" s="193"/>
      <c r="O357" s="193"/>
      <c r="P357" s="193"/>
      <c r="Q357" s="193"/>
      <c r="R357" s="193"/>
      <c r="S357" s="193"/>
      <c r="T357" s="193"/>
      <c r="U357" s="193"/>
      <c r="V357" s="193"/>
    </row>
    <row r="358" spans="14:22" x14ac:dyDescent="0.2">
      <c r="N358" s="193"/>
      <c r="O358" s="193"/>
      <c r="P358" s="193"/>
      <c r="Q358" s="193"/>
      <c r="R358" s="193"/>
      <c r="S358" s="193"/>
      <c r="T358" s="193"/>
      <c r="U358" s="193"/>
      <c r="V358" s="193"/>
    </row>
    <row r="359" spans="14:22" x14ac:dyDescent="0.2">
      <c r="N359" s="193"/>
      <c r="O359" s="193"/>
      <c r="P359" s="193"/>
      <c r="Q359" s="193"/>
      <c r="R359" s="193"/>
      <c r="S359" s="193"/>
      <c r="T359" s="193"/>
      <c r="U359" s="193"/>
      <c r="V359" s="193"/>
    </row>
    <row r="360" spans="14:22" x14ac:dyDescent="0.2">
      <c r="N360" s="193"/>
      <c r="O360" s="193"/>
      <c r="P360" s="193"/>
      <c r="Q360" s="193"/>
      <c r="R360" s="193"/>
      <c r="S360" s="193"/>
      <c r="T360" s="193"/>
      <c r="U360" s="193"/>
      <c r="V360" s="193"/>
    </row>
    <row r="361" spans="14:22" x14ac:dyDescent="0.2">
      <c r="N361" s="193"/>
      <c r="O361" s="193"/>
      <c r="P361" s="193"/>
      <c r="Q361" s="193"/>
      <c r="R361" s="193"/>
      <c r="S361" s="193"/>
      <c r="T361" s="193"/>
      <c r="U361" s="193"/>
      <c r="V361" s="193"/>
    </row>
    <row r="362" spans="14:22" x14ac:dyDescent="0.2">
      <c r="N362" s="193"/>
      <c r="O362" s="193"/>
      <c r="P362" s="193"/>
      <c r="Q362" s="193"/>
      <c r="R362" s="193"/>
      <c r="S362" s="193"/>
      <c r="T362" s="193"/>
      <c r="U362" s="193"/>
      <c r="V362" s="193"/>
    </row>
    <row r="363" spans="14:22" x14ac:dyDescent="0.2">
      <c r="N363" s="193"/>
      <c r="O363" s="193"/>
      <c r="P363" s="193"/>
      <c r="Q363" s="193"/>
      <c r="R363" s="193"/>
      <c r="S363" s="193"/>
      <c r="T363" s="193"/>
      <c r="U363" s="193"/>
      <c r="V363" s="193"/>
    </row>
    <row r="364" spans="14:22" x14ac:dyDescent="0.2">
      <c r="N364" s="193"/>
      <c r="O364" s="193"/>
      <c r="P364" s="193"/>
      <c r="Q364" s="193"/>
      <c r="R364" s="193"/>
      <c r="S364" s="193"/>
      <c r="T364" s="193"/>
      <c r="U364" s="193"/>
      <c r="V364" s="193"/>
    </row>
    <row r="365" spans="14:22" x14ac:dyDescent="0.2">
      <c r="N365" s="193"/>
      <c r="O365" s="193"/>
      <c r="P365" s="193"/>
      <c r="Q365" s="193"/>
      <c r="R365" s="193"/>
      <c r="S365" s="193"/>
      <c r="T365" s="193"/>
      <c r="U365" s="193"/>
      <c r="V365" s="193"/>
    </row>
    <row r="366" spans="14:22" x14ac:dyDescent="0.2">
      <c r="N366" s="193"/>
      <c r="O366" s="193"/>
      <c r="P366" s="193"/>
      <c r="Q366" s="193"/>
      <c r="R366" s="193"/>
      <c r="S366" s="193"/>
      <c r="T366" s="193"/>
      <c r="U366" s="193"/>
      <c r="V366" s="193"/>
    </row>
    <row r="367" spans="14:22" x14ac:dyDescent="0.2">
      <c r="N367" s="193"/>
      <c r="O367" s="193"/>
      <c r="P367" s="193"/>
      <c r="Q367" s="193"/>
      <c r="R367" s="193"/>
      <c r="S367" s="193"/>
      <c r="T367" s="193"/>
      <c r="U367" s="193"/>
      <c r="V367" s="193"/>
    </row>
    <row r="368" spans="14:22" x14ac:dyDescent="0.2">
      <c r="N368" s="193"/>
      <c r="O368" s="193"/>
      <c r="P368" s="193"/>
      <c r="Q368" s="193"/>
      <c r="R368" s="193"/>
      <c r="S368" s="193"/>
      <c r="T368" s="193"/>
      <c r="U368" s="193"/>
      <c r="V368" s="193"/>
    </row>
    <row r="369" spans="14:22" x14ac:dyDescent="0.2">
      <c r="N369" s="193"/>
      <c r="O369" s="193"/>
      <c r="P369" s="193"/>
      <c r="Q369" s="193"/>
      <c r="R369" s="193"/>
      <c r="S369" s="193"/>
      <c r="T369" s="193"/>
      <c r="U369" s="193"/>
      <c r="V369" s="193"/>
    </row>
    <row r="370" spans="14:22" x14ac:dyDescent="0.2">
      <c r="N370" s="193"/>
      <c r="O370" s="193"/>
      <c r="P370" s="193"/>
      <c r="Q370" s="193"/>
      <c r="R370" s="193"/>
      <c r="S370" s="193"/>
      <c r="T370" s="193"/>
      <c r="U370" s="193"/>
      <c r="V370" s="193"/>
    </row>
    <row r="371" spans="14:22" x14ac:dyDescent="0.2">
      <c r="N371" s="193"/>
      <c r="O371" s="193"/>
      <c r="P371" s="193"/>
      <c r="Q371" s="193"/>
      <c r="R371" s="193"/>
      <c r="S371" s="193"/>
      <c r="T371" s="193"/>
      <c r="U371" s="193"/>
      <c r="V371" s="193"/>
    </row>
    <row r="372" spans="14:22" x14ac:dyDescent="0.2">
      <c r="N372" s="193"/>
      <c r="O372" s="193"/>
      <c r="P372" s="193"/>
      <c r="Q372" s="193"/>
      <c r="R372" s="193"/>
      <c r="S372" s="193"/>
      <c r="T372" s="193"/>
      <c r="U372" s="193"/>
      <c r="V372" s="193"/>
    </row>
    <row r="373" spans="14:22" x14ac:dyDescent="0.2">
      <c r="N373" s="193"/>
      <c r="O373" s="193"/>
      <c r="P373" s="193"/>
      <c r="Q373" s="193"/>
      <c r="R373" s="193"/>
      <c r="S373" s="193"/>
      <c r="T373" s="193"/>
      <c r="U373" s="193"/>
      <c r="V373" s="193"/>
    </row>
    <row r="374" spans="14:22" x14ac:dyDescent="0.2">
      <c r="N374" s="193"/>
      <c r="O374" s="193"/>
      <c r="P374" s="193"/>
      <c r="Q374" s="193"/>
      <c r="R374" s="193"/>
      <c r="S374" s="193"/>
      <c r="T374" s="193"/>
      <c r="U374" s="193"/>
      <c r="V374" s="193"/>
    </row>
    <row r="375" spans="14:22" x14ac:dyDescent="0.2">
      <c r="N375" s="193"/>
      <c r="O375" s="193"/>
      <c r="P375" s="193"/>
      <c r="Q375" s="193"/>
      <c r="R375" s="193"/>
      <c r="S375" s="193"/>
      <c r="T375" s="193"/>
      <c r="U375" s="193"/>
      <c r="V375" s="193"/>
    </row>
    <row r="376" spans="14:22" x14ac:dyDescent="0.2">
      <c r="N376" s="193"/>
      <c r="O376" s="193"/>
      <c r="P376" s="193"/>
      <c r="Q376" s="193"/>
      <c r="R376" s="193"/>
      <c r="S376" s="193"/>
      <c r="T376" s="193"/>
      <c r="U376" s="193"/>
      <c r="V376" s="193"/>
    </row>
    <row r="377" spans="14:22" x14ac:dyDescent="0.2">
      <c r="N377" s="193"/>
      <c r="O377" s="193"/>
      <c r="P377" s="193"/>
      <c r="Q377" s="193"/>
      <c r="R377" s="193"/>
      <c r="S377" s="193"/>
      <c r="T377" s="193"/>
      <c r="U377" s="193"/>
      <c r="V377" s="193"/>
    </row>
    <row r="378" spans="14:22" x14ac:dyDescent="0.2">
      <c r="N378" s="193"/>
      <c r="O378" s="193"/>
      <c r="P378" s="193"/>
      <c r="Q378" s="193"/>
      <c r="R378" s="193"/>
      <c r="S378" s="193"/>
      <c r="T378" s="193"/>
      <c r="U378" s="193"/>
      <c r="V378" s="193"/>
    </row>
    <row r="379" spans="14:22" x14ac:dyDescent="0.2">
      <c r="N379" s="193"/>
      <c r="O379" s="193"/>
      <c r="P379" s="193"/>
      <c r="Q379" s="193"/>
      <c r="R379" s="193"/>
      <c r="S379" s="193"/>
      <c r="T379" s="193"/>
      <c r="U379" s="193"/>
      <c r="V379" s="193"/>
    </row>
    <row r="380" spans="14:22" x14ac:dyDescent="0.2">
      <c r="N380" s="193"/>
      <c r="O380" s="193"/>
      <c r="P380" s="193"/>
      <c r="Q380" s="193"/>
      <c r="R380" s="193"/>
      <c r="S380" s="193"/>
      <c r="T380" s="193"/>
      <c r="U380" s="193"/>
      <c r="V380" s="193"/>
    </row>
    <row r="381" spans="14:22" x14ac:dyDescent="0.2">
      <c r="N381" s="193"/>
      <c r="O381" s="193"/>
      <c r="P381" s="193"/>
      <c r="Q381" s="193"/>
      <c r="R381" s="193"/>
      <c r="S381" s="193"/>
      <c r="T381" s="193"/>
      <c r="U381" s="193"/>
      <c r="V381" s="193"/>
    </row>
    <row r="382" spans="14:22" x14ac:dyDescent="0.2">
      <c r="N382" s="193"/>
      <c r="O382" s="193"/>
      <c r="P382" s="193"/>
      <c r="Q382" s="193"/>
      <c r="R382" s="193"/>
      <c r="S382" s="193"/>
      <c r="T382" s="193"/>
      <c r="U382" s="193"/>
      <c r="V382" s="193"/>
    </row>
    <row r="383" spans="14:22" x14ac:dyDescent="0.2">
      <c r="N383" s="193"/>
      <c r="O383" s="193"/>
      <c r="P383" s="193"/>
      <c r="Q383" s="193"/>
      <c r="R383" s="193"/>
      <c r="S383" s="193"/>
      <c r="T383" s="193"/>
      <c r="U383" s="193"/>
      <c r="V383" s="193"/>
    </row>
    <row r="384" spans="14:22" x14ac:dyDescent="0.2">
      <c r="N384" s="193"/>
      <c r="O384" s="193"/>
      <c r="P384" s="193"/>
      <c r="Q384" s="193"/>
      <c r="R384" s="193"/>
      <c r="S384" s="193"/>
      <c r="T384" s="193"/>
      <c r="U384" s="193"/>
      <c r="V384" s="193"/>
    </row>
    <row r="385" spans="14:22" x14ac:dyDescent="0.2">
      <c r="N385" s="193"/>
      <c r="O385" s="193"/>
      <c r="P385" s="193"/>
      <c r="Q385" s="193"/>
      <c r="R385" s="193"/>
      <c r="S385" s="193"/>
      <c r="T385" s="193"/>
      <c r="U385" s="193"/>
      <c r="V385" s="193"/>
    </row>
    <row r="386" spans="14:22" x14ac:dyDescent="0.2">
      <c r="N386" s="193"/>
      <c r="O386" s="193"/>
      <c r="P386" s="193"/>
      <c r="Q386" s="193"/>
      <c r="R386" s="193"/>
      <c r="S386" s="193"/>
      <c r="T386" s="193"/>
      <c r="U386" s="193"/>
      <c r="V386" s="193"/>
    </row>
    <row r="387" spans="14:22" x14ac:dyDescent="0.2">
      <c r="N387" s="193"/>
      <c r="O387" s="193"/>
      <c r="P387" s="193"/>
      <c r="Q387" s="193"/>
      <c r="R387" s="193"/>
      <c r="S387" s="193"/>
      <c r="T387" s="193"/>
      <c r="U387" s="193"/>
      <c r="V387" s="193"/>
    </row>
    <row r="388" spans="14:22" x14ac:dyDescent="0.2">
      <c r="N388" s="193"/>
      <c r="O388" s="193"/>
      <c r="P388" s="193"/>
      <c r="Q388" s="193"/>
      <c r="R388" s="193"/>
      <c r="S388" s="193"/>
      <c r="T388" s="193"/>
      <c r="U388" s="193"/>
      <c r="V388" s="193"/>
    </row>
    <row r="389" spans="14:22" x14ac:dyDescent="0.2">
      <c r="N389" s="193"/>
      <c r="O389" s="193"/>
      <c r="P389" s="193"/>
      <c r="Q389" s="193"/>
      <c r="R389" s="193"/>
      <c r="S389" s="193"/>
      <c r="T389" s="193"/>
      <c r="U389" s="193"/>
      <c r="V389" s="193"/>
    </row>
    <row r="390" spans="14:22" x14ac:dyDescent="0.2">
      <c r="N390" s="193"/>
      <c r="O390" s="193"/>
      <c r="P390" s="193"/>
      <c r="Q390" s="193"/>
      <c r="R390" s="193"/>
      <c r="S390" s="193"/>
      <c r="T390" s="193"/>
      <c r="U390" s="193"/>
      <c r="V390" s="193"/>
    </row>
    <row r="391" spans="14:22" x14ac:dyDescent="0.2">
      <c r="N391" s="193"/>
      <c r="O391" s="193"/>
      <c r="P391" s="193"/>
      <c r="Q391" s="193"/>
      <c r="R391" s="193"/>
      <c r="S391" s="193"/>
      <c r="T391" s="193"/>
      <c r="U391" s="193"/>
      <c r="V391" s="193"/>
    </row>
    <row r="392" spans="14:22" x14ac:dyDescent="0.2">
      <c r="N392" s="193"/>
      <c r="O392" s="193"/>
      <c r="P392" s="193"/>
      <c r="Q392" s="193"/>
      <c r="R392" s="193"/>
      <c r="S392" s="193"/>
      <c r="T392" s="193"/>
      <c r="U392" s="193"/>
      <c r="V392" s="193"/>
    </row>
    <row r="393" spans="14:22" x14ac:dyDescent="0.2">
      <c r="N393" s="193"/>
      <c r="O393" s="193"/>
      <c r="P393" s="193"/>
      <c r="Q393" s="193"/>
      <c r="R393" s="193"/>
      <c r="S393" s="193"/>
      <c r="T393" s="193"/>
      <c r="U393" s="193"/>
      <c r="V393" s="193"/>
    </row>
    <row r="394" spans="14:22" x14ac:dyDescent="0.2">
      <c r="N394" s="193"/>
      <c r="O394" s="193"/>
      <c r="P394" s="193"/>
      <c r="Q394" s="193"/>
      <c r="R394" s="193"/>
      <c r="S394" s="193"/>
      <c r="T394" s="193"/>
      <c r="U394" s="193"/>
      <c r="V394" s="193"/>
    </row>
    <row r="395" spans="14:22" x14ac:dyDescent="0.2">
      <c r="N395" s="193"/>
      <c r="O395" s="193"/>
      <c r="P395" s="193"/>
      <c r="Q395" s="193"/>
      <c r="R395" s="193"/>
      <c r="S395" s="193"/>
      <c r="T395" s="193"/>
      <c r="U395" s="193"/>
      <c r="V395" s="193"/>
    </row>
    <row r="396" spans="14:22" x14ac:dyDescent="0.2">
      <c r="N396" s="193"/>
      <c r="O396" s="193"/>
      <c r="P396" s="193"/>
      <c r="Q396" s="193"/>
      <c r="R396" s="193"/>
      <c r="S396" s="193"/>
      <c r="T396" s="193"/>
      <c r="U396" s="193"/>
      <c r="V396" s="193"/>
    </row>
    <row r="397" spans="14:22" x14ac:dyDescent="0.2">
      <c r="N397" s="193"/>
      <c r="O397" s="193"/>
      <c r="P397" s="193"/>
      <c r="Q397" s="193"/>
      <c r="R397" s="193"/>
      <c r="S397" s="193"/>
      <c r="T397" s="193"/>
      <c r="U397" s="193"/>
      <c r="V397" s="193"/>
    </row>
    <row r="398" spans="14:22" x14ac:dyDescent="0.2">
      <c r="N398" s="193"/>
      <c r="O398" s="193"/>
      <c r="P398" s="193"/>
      <c r="Q398" s="193"/>
      <c r="R398" s="193"/>
      <c r="S398" s="193"/>
      <c r="T398" s="193"/>
      <c r="U398" s="193"/>
      <c r="V398" s="193"/>
    </row>
    <row r="399" spans="14:22" x14ac:dyDescent="0.2">
      <c r="N399" s="193"/>
      <c r="O399" s="193"/>
      <c r="P399" s="193"/>
      <c r="Q399" s="193"/>
      <c r="R399" s="193"/>
      <c r="S399" s="193"/>
      <c r="T399" s="193"/>
      <c r="U399" s="193"/>
      <c r="V399" s="193"/>
    </row>
    <row r="400" spans="14:22" x14ac:dyDescent="0.2">
      <c r="N400" s="193"/>
      <c r="O400" s="193"/>
      <c r="P400" s="193"/>
      <c r="Q400" s="193"/>
      <c r="R400" s="193"/>
      <c r="S400" s="193"/>
      <c r="T400" s="193"/>
      <c r="U400" s="193"/>
      <c r="V400" s="193"/>
    </row>
    <row r="401" spans="14:22" x14ac:dyDescent="0.2">
      <c r="N401" s="193"/>
      <c r="O401" s="193"/>
      <c r="P401" s="193"/>
      <c r="Q401" s="193"/>
      <c r="R401" s="193"/>
      <c r="S401" s="193"/>
      <c r="T401" s="193"/>
      <c r="U401" s="193"/>
      <c r="V401" s="193"/>
    </row>
    <row r="402" spans="14:22" x14ac:dyDescent="0.2">
      <c r="N402" s="193"/>
      <c r="O402" s="193"/>
      <c r="P402" s="193"/>
      <c r="Q402" s="193"/>
      <c r="R402" s="193"/>
      <c r="S402" s="193"/>
      <c r="T402" s="193"/>
      <c r="U402" s="193"/>
      <c r="V402" s="193"/>
    </row>
    <row r="403" spans="14:22" x14ac:dyDescent="0.2">
      <c r="N403" s="193"/>
      <c r="O403" s="193"/>
      <c r="P403" s="193"/>
      <c r="Q403" s="193"/>
      <c r="R403" s="193"/>
      <c r="S403" s="193"/>
      <c r="T403" s="193"/>
      <c r="U403" s="193"/>
      <c r="V403" s="193"/>
    </row>
    <row r="404" spans="14:22" x14ac:dyDescent="0.2">
      <c r="N404" s="193"/>
      <c r="O404" s="193"/>
      <c r="P404" s="193"/>
      <c r="Q404" s="193"/>
      <c r="R404" s="193"/>
      <c r="S404" s="193"/>
      <c r="T404" s="193"/>
      <c r="U404" s="193"/>
      <c r="V404" s="193"/>
    </row>
    <row r="405" spans="14:22" x14ac:dyDescent="0.2">
      <c r="N405" s="193"/>
      <c r="O405" s="193"/>
      <c r="P405" s="193"/>
      <c r="Q405" s="193"/>
      <c r="R405" s="193"/>
      <c r="S405" s="193"/>
      <c r="T405" s="193"/>
      <c r="U405" s="193"/>
      <c r="V405" s="193"/>
    </row>
    <row r="406" spans="14:22" x14ac:dyDescent="0.2">
      <c r="N406" s="193"/>
      <c r="O406" s="193"/>
      <c r="P406" s="193"/>
      <c r="Q406" s="193"/>
      <c r="R406" s="193"/>
      <c r="S406" s="193"/>
      <c r="T406" s="193"/>
      <c r="U406" s="193"/>
      <c r="V406" s="193"/>
    </row>
    <row r="407" spans="14:22" x14ac:dyDescent="0.2">
      <c r="N407" s="193"/>
      <c r="O407" s="193"/>
      <c r="P407" s="193"/>
      <c r="Q407" s="193"/>
      <c r="R407" s="193"/>
      <c r="S407" s="193"/>
      <c r="T407" s="193"/>
      <c r="U407" s="193"/>
      <c r="V407" s="193"/>
    </row>
    <row r="408" spans="14:22" x14ac:dyDescent="0.2">
      <c r="N408" s="193"/>
      <c r="O408" s="193"/>
      <c r="P408" s="193"/>
      <c r="Q408" s="193"/>
      <c r="R408" s="193"/>
      <c r="S408" s="193"/>
      <c r="T408" s="193"/>
      <c r="U408" s="193"/>
      <c r="V408" s="193"/>
    </row>
    <row r="409" spans="14:22" x14ac:dyDescent="0.2">
      <c r="N409" s="193"/>
      <c r="O409" s="193"/>
      <c r="P409" s="193"/>
      <c r="Q409" s="193"/>
      <c r="R409" s="193"/>
      <c r="S409" s="193"/>
      <c r="T409" s="193"/>
      <c r="U409" s="193"/>
      <c r="V409" s="193"/>
    </row>
    <row r="410" spans="14:22" x14ac:dyDescent="0.2">
      <c r="N410" s="193"/>
      <c r="O410" s="193"/>
      <c r="P410" s="193"/>
      <c r="Q410" s="193"/>
      <c r="R410" s="193"/>
      <c r="S410" s="193"/>
      <c r="T410" s="193"/>
      <c r="U410" s="193"/>
      <c r="V410" s="193"/>
    </row>
    <row r="411" spans="14:22" x14ac:dyDescent="0.2">
      <c r="N411" s="193"/>
      <c r="O411" s="193"/>
      <c r="P411" s="193"/>
      <c r="Q411" s="193"/>
      <c r="R411" s="193"/>
      <c r="S411" s="193"/>
      <c r="T411" s="193"/>
      <c r="U411" s="193"/>
      <c r="V411" s="193"/>
    </row>
    <row r="412" spans="14:22" x14ac:dyDescent="0.2">
      <c r="N412" s="193"/>
      <c r="O412" s="193"/>
      <c r="P412" s="193"/>
      <c r="Q412" s="193"/>
      <c r="R412" s="193"/>
      <c r="S412" s="193"/>
      <c r="T412" s="193"/>
      <c r="U412" s="193"/>
      <c r="V412" s="193"/>
    </row>
    <row r="413" spans="14:22" x14ac:dyDescent="0.2">
      <c r="N413" s="193"/>
      <c r="O413" s="193"/>
      <c r="P413" s="193"/>
      <c r="Q413" s="193"/>
      <c r="R413" s="193"/>
      <c r="S413" s="193"/>
      <c r="T413" s="193"/>
      <c r="U413" s="193"/>
      <c r="V413" s="193"/>
    </row>
    <row r="414" spans="14:22" x14ac:dyDescent="0.2">
      <c r="N414" s="193"/>
      <c r="O414" s="193"/>
      <c r="P414" s="193"/>
      <c r="Q414" s="193"/>
      <c r="R414" s="193"/>
      <c r="S414" s="193"/>
      <c r="T414" s="193"/>
      <c r="U414" s="193"/>
      <c r="V414" s="193"/>
    </row>
    <row r="415" spans="14:22" x14ac:dyDescent="0.2">
      <c r="N415" s="193"/>
      <c r="O415" s="193"/>
      <c r="P415" s="193"/>
      <c r="Q415" s="193"/>
      <c r="R415" s="193"/>
      <c r="S415" s="193"/>
      <c r="T415" s="193"/>
      <c r="U415" s="193"/>
      <c r="V415" s="193"/>
    </row>
    <row r="416" spans="14:22" x14ac:dyDescent="0.2">
      <c r="N416" s="193"/>
      <c r="O416" s="193"/>
      <c r="P416" s="193"/>
      <c r="Q416" s="193"/>
      <c r="R416" s="193"/>
      <c r="S416" s="193"/>
      <c r="T416" s="193"/>
      <c r="U416" s="193"/>
      <c r="V416" s="193"/>
    </row>
    <row r="417" spans="14:22" x14ac:dyDescent="0.2">
      <c r="N417" s="193"/>
      <c r="O417" s="193"/>
      <c r="P417" s="193"/>
      <c r="Q417" s="193"/>
      <c r="R417" s="193"/>
      <c r="S417" s="193"/>
      <c r="T417" s="193"/>
      <c r="U417" s="193"/>
      <c r="V417" s="193"/>
    </row>
    <row r="418" spans="14:22" x14ac:dyDescent="0.2">
      <c r="N418" s="193"/>
      <c r="O418" s="193"/>
      <c r="P418" s="193"/>
      <c r="Q418" s="193"/>
      <c r="R418" s="193"/>
      <c r="S418" s="193"/>
      <c r="T418" s="193"/>
      <c r="U418" s="193"/>
      <c r="V418" s="193"/>
    </row>
    <row r="419" spans="14:22" x14ac:dyDescent="0.2">
      <c r="N419" s="193"/>
      <c r="O419" s="193"/>
      <c r="P419" s="193"/>
      <c r="Q419" s="193"/>
      <c r="R419" s="193"/>
      <c r="S419" s="193"/>
      <c r="T419" s="193"/>
      <c r="U419" s="193"/>
      <c r="V419" s="193"/>
    </row>
    <row r="420" spans="14:22" x14ac:dyDescent="0.2">
      <c r="N420" s="193"/>
      <c r="O420" s="193"/>
      <c r="P420" s="193"/>
      <c r="Q420" s="193"/>
      <c r="R420" s="193"/>
      <c r="S420" s="193"/>
      <c r="T420" s="193"/>
      <c r="U420" s="193"/>
      <c r="V420" s="193"/>
    </row>
    <row r="421" spans="14:22" x14ac:dyDescent="0.2">
      <c r="N421" s="193"/>
      <c r="O421" s="193"/>
      <c r="P421" s="193"/>
      <c r="Q421" s="193"/>
      <c r="R421" s="193"/>
      <c r="S421" s="193"/>
      <c r="T421" s="193"/>
      <c r="U421" s="193"/>
      <c r="V421" s="193"/>
    </row>
    <row r="422" spans="14:22" x14ac:dyDescent="0.2">
      <c r="N422" s="193"/>
      <c r="O422" s="193"/>
      <c r="P422" s="193"/>
      <c r="Q422" s="193"/>
      <c r="R422" s="193"/>
      <c r="S422" s="193"/>
      <c r="T422" s="193"/>
      <c r="U422" s="193"/>
      <c r="V422" s="193"/>
    </row>
    <row r="423" spans="14:22" x14ac:dyDescent="0.2">
      <c r="N423" s="193"/>
      <c r="O423" s="193"/>
      <c r="P423" s="193"/>
      <c r="Q423" s="193"/>
      <c r="R423" s="193"/>
      <c r="S423" s="193"/>
      <c r="T423" s="193"/>
      <c r="U423" s="193"/>
      <c r="V423" s="193"/>
    </row>
    <row r="424" spans="14:22" x14ac:dyDescent="0.2">
      <c r="N424" s="193"/>
      <c r="O424" s="193"/>
      <c r="P424" s="193"/>
      <c r="Q424" s="193"/>
      <c r="R424" s="193"/>
      <c r="S424" s="193"/>
      <c r="T424" s="193"/>
      <c r="U424" s="193"/>
      <c r="V424" s="193"/>
    </row>
    <row r="425" spans="14:22" x14ac:dyDescent="0.2">
      <c r="N425" s="193"/>
      <c r="O425" s="193"/>
      <c r="P425" s="193"/>
      <c r="Q425" s="193"/>
      <c r="R425" s="193"/>
      <c r="S425" s="193"/>
      <c r="T425" s="193"/>
      <c r="U425" s="193"/>
      <c r="V425" s="193"/>
    </row>
    <row r="426" spans="14:22" x14ac:dyDescent="0.2">
      <c r="N426" s="193"/>
      <c r="O426" s="193"/>
      <c r="P426" s="193"/>
      <c r="Q426" s="193"/>
      <c r="R426" s="193"/>
      <c r="S426" s="193"/>
      <c r="T426" s="193"/>
      <c r="U426" s="193"/>
      <c r="V426" s="193"/>
    </row>
    <row r="427" spans="14:22" x14ac:dyDescent="0.2">
      <c r="N427" s="193"/>
      <c r="O427" s="193"/>
      <c r="P427" s="193"/>
      <c r="Q427" s="193"/>
      <c r="R427" s="193"/>
      <c r="S427" s="193"/>
      <c r="T427" s="193"/>
      <c r="U427" s="193"/>
      <c r="V427" s="193"/>
    </row>
    <row r="428" spans="14:22" x14ac:dyDescent="0.2">
      <c r="N428" s="193"/>
      <c r="O428" s="193"/>
      <c r="P428" s="193"/>
      <c r="Q428" s="193"/>
      <c r="R428" s="193"/>
      <c r="S428" s="193"/>
      <c r="T428" s="193"/>
      <c r="U428" s="193"/>
      <c r="V428" s="193"/>
    </row>
    <row r="429" spans="14:22" x14ac:dyDescent="0.2">
      <c r="N429" s="193"/>
      <c r="O429" s="193"/>
      <c r="P429" s="193"/>
      <c r="Q429" s="193"/>
      <c r="R429" s="193"/>
      <c r="S429" s="193"/>
      <c r="T429" s="193"/>
      <c r="U429" s="193"/>
      <c r="V429" s="193"/>
    </row>
    <row r="430" spans="14:22" x14ac:dyDescent="0.2">
      <c r="N430" s="193"/>
      <c r="O430" s="193"/>
      <c r="P430" s="193"/>
      <c r="Q430" s="193"/>
      <c r="R430" s="193"/>
      <c r="S430" s="193"/>
      <c r="T430" s="193"/>
      <c r="U430" s="193"/>
      <c r="V430" s="193"/>
    </row>
    <row r="431" spans="14:22" x14ac:dyDescent="0.2">
      <c r="N431" s="193"/>
      <c r="O431" s="193"/>
      <c r="P431" s="193"/>
      <c r="Q431" s="193"/>
      <c r="R431" s="193"/>
      <c r="S431" s="193"/>
      <c r="T431" s="193"/>
      <c r="U431" s="193"/>
      <c r="V431" s="193"/>
    </row>
    <row r="432" spans="14:22" x14ac:dyDescent="0.2">
      <c r="N432" s="193"/>
      <c r="O432" s="193"/>
      <c r="P432" s="193"/>
      <c r="Q432" s="193"/>
      <c r="R432" s="193"/>
      <c r="S432" s="193"/>
      <c r="T432" s="193"/>
      <c r="U432" s="193"/>
      <c r="V432" s="193"/>
    </row>
    <row r="433" spans="14:22" x14ac:dyDescent="0.2">
      <c r="N433" s="193"/>
      <c r="O433" s="193"/>
      <c r="P433" s="193"/>
      <c r="Q433" s="193"/>
      <c r="R433" s="193"/>
      <c r="S433" s="193"/>
      <c r="T433" s="193"/>
      <c r="U433" s="193"/>
      <c r="V433" s="193"/>
    </row>
    <row r="434" spans="14:22" x14ac:dyDescent="0.2">
      <c r="N434" s="193"/>
      <c r="O434" s="193"/>
      <c r="P434" s="193"/>
      <c r="Q434" s="193"/>
      <c r="R434" s="193"/>
      <c r="S434" s="193"/>
      <c r="T434" s="193"/>
      <c r="U434" s="193"/>
      <c r="V434" s="193"/>
    </row>
    <row r="435" spans="14:22" x14ac:dyDescent="0.2">
      <c r="N435" s="193"/>
      <c r="O435" s="193"/>
      <c r="P435" s="193"/>
      <c r="Q435" s="193"/>
      <c r="R435" s="193"/>
      <c r="S435" s="193"/>
      <c r="T435" s="193"/>
      <c r="U435" s="193"/>
      <c r="V435" s="193"/>
    </row>
    <row r="436" spans="14:22" x14ac:dyDescent="0.2">
      <c r="N436" s="193"/>
      <c r="O436" s="193"/>
      <c r="P436" s="193"/>
      <c r="Q436" s="193"/>
      <c r="R436" s="193"/>
      <c r="S436" s="193"/>
      <c r="T436" s="193"/>
      <c r="U436" s="193"/>
      <c r="V436" s="193"/>
    </row>
    <row r="437" spans="14:22" x14ac:dyDescent="0.2">
      <c r="N437" s="193"/>
      <c r="O437" s="193"/>
      <c r="P437" s="193"/>
      <c r="Q437" s="193"/>
      <c r="R437" s="193"/>
      <c r="S437" s="193"/>
      <c r="T437" s="193"/>
      <c r="U437" s="193"/>
      <c r="V437" s="193"/>
    </row>
    <row r="438" spans="14:22" x14ac:dyDescent="0.2">
      <c r="N438" s="193"/>
      <c r="O438" s="193"/>
      <c r="P438" s="193"/>
      <c r="Q438" s="193"/>
      <c r="R438" s="193"/>
      <c r="S438" s="193"/>
      <c r="T438" s="193"/>
      <c r="U438" s="193"/>
      <c r="V438" s="193"/>
    </row>
    <row r="439" spans="14:22" x14ac:dyDescent="0.2">
      <c r="N439" s="193"/>
      <c r="O439" s="193"/>
      <c r="P439" s="193"/>
      <c r="Q439" s="193"/>
      <c r="R439" s="193"/>
      <c r="S439" s="193"/>
      <c r="T439" s="193"/>
      <c r="U439" s="193"/>
      <c r="V439" s="193"/>
    </row>
    <row r="440" spans="14:22" x14ac:dyDescent="0.2">
      <c r="N440" s="193"/>
      <c r="O440" s="193"/>
      <c r="P440" s="193"/>
      <c r="Q440" s="193"/>
      <c r="R440" s="193"/>
      <c r="S440" s="193"/>
      <c r="T440" s="193"/>
      <c r="U440" s="193"/>
      <c r="V440" s="193"/>
    </row>
    <row r="441" spans="14:22" x14ac:dyDescent="0.2">
      <c r="N441" s="193"/>
      <c r="O441" s="193"/>
      <c r="P441" s="193"/>
      <c r="Q441" s="193"/>
      <c r="R441" s="193"/>
      <c r="S441" s="193"/>
      <c r="T441" s="193"/>
      <c r="U441" s="193"/>
      <c r="V441" s="193"/>
    </row>
    <row r="442" spans="14:22" x14ac:dyDescent="0.2">
      <c r="N442" s="193"/>
      <c r="O442" s="193"/>
      <c r="P442" s="193"/>
      <c r="Q442" s="193"/>
      <c r="R442" s="193"/>
      <c r="S442" s="193"/>
      <c r="T442" s="193"/>
      <c r="U442" s="193"/>
      <c r="V442" s="193"/>
    </row>
    <row r="443" spans="14:22" x14ac:dyDescent="0.2">
      <c r="N443" s="193"/>
      <c r="O443" s="193"/>
      <c r="P443" s="193"/>
      <c r="Q443" s="193"/>
      <c r="R443" s="193"/>
      <c r="S443" s="193"/>
      <c r="T443" s="193"/>
      <c r="U443" s="193"/>
      <c r="V443" s="193"/>
    </row>
    <row r="444" spans="14:22" x14ac:dyDescent="0.2">
      <c r="N444" s="193"/>
      <c r="O444" s="193"/>
      <c r="P444" s="193"/>
      <c r="Q444" s="193"/>
      <c r="R444" s="193"/>
      <c r="S444" s="193"/>
      <c r="T444" s="193"/>
      <c r="U444" s="193"/>
      <c r="V444" s="193"/>
    </row>
    <row r="445" spans="14:22" x14ac:dyDescent="0.2">
      <c r="N445" s="193"/>
      <c r="O445" s="193"/>
      <c r="P445" s="193"/>
      <c r="Q445" s="193"/>
      <c r="R445" s="193"/>
      <c r="S445" s="193"/>
      <c r="T445" s="193"/>
      <c r="U445" s="193"/>
      <c r="V445" s="193"/>
    </row>
    <row r="446" spans="14:22" x14ac:dyDescent="0.2">
      <c r="N446" s="193"/>
      <c r="O446" s="193"/>
      <c r="P446" s="193"/>
      <c r="Q446" s="193"/>
      <c r="R446" s="193"/>
      <c r="S446" s="193"/>
      <c r="T446" s="193"/>
      <c r="U446" s="193"/>
      <c r="V446" s="193"/>
    </row>
    <row r="447" spans="14:22" x14ac:dyDescent="0.2">
      <c r="N447" s="193"/>
      <c r="O447" s="193"/>
      <c r="P447" s="193"/>
      <c r="Q447" s="193"/>
      <c r="R447" s="193"/>
      <c r="S447" s="193"/>
      <c r="T447" s="193"/>
      <c r="U447" s="193"/>
      <c r="V447" s="193"/>
    </row>
    <row r="448" spans="14:22" x14ac:dyDescent="0.2">
      <c r="N448" s="193"/>
      <c r="O448" s="193"/>
      <c r="P448" s="193"/>
      <c r="Q448" s="193"/>
      <c r="R448" s="193"/>
      <c r="S448" s="193"/>
      <c r="T448" s="193"/>
      <c r="U448" s="193"/>
      <c r="V448" s="193"/>
    </row>
    <row r="449" spans="14:22" x14ac:dyDescent="0.2">
      <c r="N449" s="193"/>
      <c r="O449" s="193"/>
      <c r="P449" s="193"/>
      <c r="Q449" s="193"/>
      <c r="R449" s="193"/>
      <c r="S449" s="193"/>
      <c r="T449" s="193"/>
      <c r="U449" s="193"/>
      <c r="V449" s="193"/>
    </row>
    <row r="450" spans="14:22" x14ac:dyDescent="0.2">
      <c r="N450" s="193"/>
      <c r="O450" s="193"/>
      <c r="P450" s="193"/>
      <c r="Q450" s="193"/>
      <c r="R450" s="193"/>
      <c r="S450" s="193"/>
      <c r="T450" s="193"/>
      <c r="U450" s="193"/>
      <c r="V450" s="193"/>
    </row>
    <row r="451" spans="14:22" x14ac:dyDescent="0.2">
      <c r="N451" s="193"/>
      <c r="O451" s="193"/>
      <c r="P451" s="193"/>
      <c r="Q451" s="193"/>
      <c r="R451" s="193"/>
      <c r="S451" s="193"/>
      <c r="T451" s="193"/>
      <c r="U451" s="193"/>
      <c r="V451" s="193"/>
    </row>
    <row r="452" spans="14:22" x14ac:dyDescent="0.2">
      <c r="N452" s="193"/>
      <c r="O452" s="193"/>
      <c r="P452" s="193"/>
      <c r="Q452" s="193"/>
      <c r="R452" s="193"/>
      <c r="S452" s="193"/>
      <c r="T452" s="193"/>
      <c r="U452" s="193"/>
      <c r="V452" s="193"/>
    </row>
    <row r="453" spans="14:22" x14ac:dyDescent="0.2">
      <c r="N453" s="193"/>
      <c r="O453" s="193"/>
      <c r="P453" s="193"/>
      <c r="Q453" s="193"/>
      <c r="R453" s="193"/>
      <c r="S453" s="193"/>
      <c r="T453" s="193"/>
      <c r="U453" s="193"/>
      <c r="V453" s="193"/>
    </row>
    <row r="454" spans="14:22" x14ac:dyDescent="0.2">
      <c r="N454" s="193"/>
      <c r="O454" s="193"/>
      <c r="P454" s="193"/>
      <c r="Q454" s="193"/>
      <c r="R454" s="193"/>
      <c r="S454" s="193"/>
      <c r="T454" s="193"/>
      <c r="U454" s="193"/>
      <c r="V454" s="193"/>
    </row>
    <row r="455" spans="14:22" x14ac:dyDescent="0.2">
      <c r="N455" s="193"/>
      <c r="O455" s="193"/>
      <c r="P455" s="193"/>
      <c r="Q455" s="193"/>
      <c r="R455" s="193"/>
      <c r="S455" s="193"/>
      <c r="T455" s="193"/>
      <c r="U455" s="193"/>
      <c r="V455" s="193"/>
    </row>
    <row r="456" spans="14:22" x14ac:dyDescent="0.2">
      <c r="N456" s="193"/>
      <c r="O456" s="193"/>
      <c r="P456" s="193"/>
      <c r="Q456" s="193"/>
      <c r="R456" s="193"/>
      <c r="S456" s="193"/>
      <c r="T456" s="193"/>
      <c r="U456" s="193"/>
      <c r="V456" s="193"/>
    </row>
    <row r="457" spans="14:22" x14ac:dyDescent="0.2">
      <c r="N457" s="193"/>
      <c r="O457" s="193"/>
      <c r="P457" s="193"/>
      <c r="Q457" s="193"/>
      <c r="R457" s="193"/>
      <c r="S457" s="193"/>
      <c r="T457" s="193"/>
      <c r="U457" s="193"/>
      <c r="V457" s="193"/>
    </row>
    <row r="458" spans="14:22" x14ac:dyDescent="0.2">
      <c r="N458" s="193"/>
      <c r="O458" s="193"/>
      <c r="P458" s="193"/>
      <c r="Q458" s="193"/>
      <c r="R458" s="193"/>
      <c r="S458" s="193"/>
      <c r="T458" s="193"/>
      <c r="U458" s="193"/>
      <c r="V458" s="193"/>
    </row>
    <row r="459" spans="14:22" x14ac:dyDescent="0.2">
      <c r="N459" s="193"/>
      <c r="O459" s="193"/>
      <c r="P459" s="193"/>
      <c r="Q459" s="193"/>
      <c r="R459" s="193"/>
      <c r="S459" s="193"/>
      <c r="T459" s="193"/>
      <c r="U459" s="193"/>
      <c r="V459" s="193"/>
    </row>
    <row r="460" spans="14:22" x14ac:dyDescent="0.2">
      <c r="N460" s="193"/>
      <c r="O460" s="193"/>
      <c r="P460" s="193"/>
      <c r="Q460" s="193"/>
      <c r="R460" s="193"/>
      <c r="S460" s="193"/>
      <c r="T460" s="193"/>
      <c r="U460" s="193"/>
      <c r="V460" s="193"/>
    </row>
    <row r="461" spans="14:22" x14ac:dyDescent="0.2">
      <c r="N461" s="193"/>
      <c r="O461" s="193"/>
      <c r="P461" s="193"/>
      <c r="Q461" s="193"/>
      <c r="R461" s="193"/>
      <c r="S461" s="193"/>
      <c r="T461" s="193"/>
      <c r="U461" s="193"/>
      <c r="V461" s="193"/>
    </row>
    <row r="462" spans="14:22" x14ac:dyDescent="0.2">
      <c r="N462" s="193"/>
      <c r="O462" s="193"/>
      <c r="P462" s="193"/>
      <c r="Q462" s="193"/>
      <c r="R462" s="193"/>
      <c r="S462" s="193"/>
      <c r="T462" s="193"/>
      <c r="U462" s="193"/>
      <c r="V462" s="193"/>
    </row>
    <row r="463" spans="14:22" x14ac:dyDescent="0.2">
      <c r="N463" s="193"/>
      <c r="O463" s="193"/>
      <c r="P463" s="193"/>
      <c r="Q463" s="193"/>
      <c r="R463" s="193"/>
      <c r="S463" s="193"/>
      <c r="T463" s="193"/>
      <c r="U463" s="193"/>
      <c r="V463" s="193"/>
    </row>
    <row r="464" spans="14:22" x14ac:dyDescent="0.2">
      <c r="N464" s="193"/>
      <c r="O464" s="193"/>
      <c r="P464" s="193"/>
      <c r="Q464" s="193"/>
      <c r="R464" s="193"/>
      <c r="S464" s="193"/>
      <c r="T464" s="193"/>
      <c r="U464" s="193"/>
      <c r="V464" s="193"/>
    </row>
    <row r="465" spans="14:22" x14ac:dyDescent="0.2">
      <c r="N465" s="193"/>
      <c r="O465" s="193"/>
      <c r="P465" s="193"/>
      <c r="Q465" s="193"/>
      <c r="R465" s="193"/>
      <c r="S465" s="193"/>
      <c r="T465" s="193"/>
      <c r="U465" s="193"/>
      <c r="V465" s="193"/>
    </row>
    <row r="466" spans="14:22" x14ac:dyDescent="0.2">
      <c r="N466" s="193"/>
      <c r="O466" s="193"/>
      <c r="P466" s="193"/>
      <c r="Q466" s="193"/>
      <c r="R466" s="193"/>
      <c r="S466" s="193"/>
      <c r="T466" s="193"/>
      <c r="U466" s="193"/>
      <c r="V466" s="193"/>
    </row>
    <row r="467" spans="14:22" x14ac:dyDescent="0.2">
      <c r="N467" s="193"/>
      <c r="O467" s="193"/>
      <c r="P467" s="193"/>
      <c r="Q467" s="193"/>
      <c r="R467" s="193"/>
      <c r="S467" s="193"/>
      <c r="T467" s="193"/>
      <c r="U467" s="193"/>
      <c r="V467" s="193"/>
    </row>
    <row r="468" spans="14:22" x14ac:dyDescent="0.2">
      <c r="N468" s="193"/>
      <c r="O468" s="193"/>
      <c r="P468" s="193"/>
      <c r="Q468" s="193"/>
      <c r="R468" s="193"/>
      <c r="S468" s="193"/>
      <c r="T468" s="193"/>
      <c r="U468" s="193"/>
      <c r="V468" s="193"/>
    </row>
    <row r="469" spans="14:22" x14ac:dyDescent="0.2">
      <c r="N469" s="193"/>
      <c r="O469" s="193"/>
      <c r="P469" s="193"/>
      <c r="Q469" s="193"/>
      <c r="R469" s="193"/>
      <c r="S469" s="193"/>
      <c r="T469" s="193"/>
      <c r="U469" s="193"/>
      <c r="V469" s="193"/>
    </row>
    <row r="470" spans="14:22" x14ac:dyDescent="0.2">
      <c r="N470" s="193"/>
      <c r="O470" s="193"/>
      <c r="P470" s="193"/>
      <c r="Q470" s="193"/>
      <c r="R470" s="193"/>
      <c r="S470" s="193"/>
      <c r="T470" s="193"/>
      <c r="U470" s="193"/>
      <c r="V470" s="193"/>
    </row>
    <row r="471" spans="14:22" x14ac:dyDescent="0.2">
      <c r="N471" s="193"/>
      <c r="O471" s="193"/>
      <c r="P471" s="193"/>
      <c r="Q471" s="193"/>
      <c r="R471" s="193"/>
      <c r="S471" s="193"/>
      <c r="T471" s="193"/>
      <c r="U471" s="193"/>
      <c r="V471" s="193"/>
    </row>
    <row r="472" spans="14:22" x14ac:dyDescent="0.2">
      <c r="N472" s="193"/>
      <c r="O472" s="193"/>
      <c r="P472" s="193"/>
      <c r="Q472" s="193"/>
      <c r="R472" s="193"/>
      <c r="S472" s="193"/>
      <c r="T472" s="193"/>
      <c r="U472" s="193"/>
      <c r="V472" s="193"/>
    </row>
    <row r="473" spans="14:22" x14ac:dyDescent="0.2">
      <c r="N473" s="193"/>
      <c r="O473" s="193"/>
      <c r="P473" s="193"/>
      <c r="Q473" s="193"/>
      <c r="R473" s="193"/>
      <c r="S473" s="193"/>
      <c r="T473" s="193"/>
      <c r="U473" s="193"/>
      <c r="V473" s="193"/>
    </row>
    <row r="474" spans="14:22" x14ac:dyDescent="0.2">
      <c r="N474" s="193"/>
      <c r="O474" s="193"/>
      <c r="P474" s="193"/>
      <c r="Q474" s="193"/>
      <c r="R474" s="193"/>
      <c r="S474" s="193"/>
      <c r="T474" s="193"/>
      <c r="U474" s="193"/>
      <c r="V474" s="193"/>
    </row>
    <row r="475" spans="14:22" x14ac:dyDescent="0.2">
      <c r="N475" s="193"/>
      <c r="O475" s="193"/>
      <c r="P475" s="193"/>
      <c r="Q475" s="193"/>
      <c r="R475" s="193"/>
      <c r="S475" s="193"/>
      <c r="T475" s="193"/>
      <c r="U475" s="193"/>
      <c r="V475" s="193"/>
    </row>
    <row r="476" spans="14:22" x14ac:dyDescent="0.2">
      <c r="N476" s="193"/>
      <c r="O476" s="193"/>
      <c r="P476" s="193"/>
      <c r="Q476" s="193"/>
      <c r="R476" s="193"/>
      <c r="S476" s="193"/>
      <c r="T476" s="193"/>
      <c r="U476" s="193"/>
      <c r="V476" s="193"/>
    </row>
    <row r="477" spans="14:22" x14ac:dyDescent="0.2">
      <c r="N477" s="193"/>
      <c r="O477" s="193"/>
      <c r="P477" s="193"/>
      <c r="Q477" s="193"/>
      <c r="R477" s="193"/>
      <c r="S477" s="193"/>
      <c r="T477" s="193"/>
      <c r="U477" s="193"/>
      <c r="V477" s="193"/>
    </row>
    <row r="478" spans="14:22" x14ac:dyDescent="0.2">
      <c r="N478" s="193"/>
      <c r="O478" s="193"/>
      <c r="P478" s="193"/>
      <c r="Q478" s="193"/>
      <c r="R478" s="193"/>
      <c r="S478" s="193"/>
      <c r="T478" s="193"/>
      <c r="U478" s="193"/>
      <c r="V478" s="193"/>
    </row>
    <row r="479" spans="14:22" x14ac:dyDescent="0.2">
      <c r="N479" s="193"/>
      <c r="O479" s="193"/>
      <c r="P479" s="193"/>
      <c r="Q479" s="193"/>
      <c r="R479" s="193"/>
      <c r="S479" s="193"/>
      <c r="T479" s="193"/>
      <c r="U479" s="193"/>
      <c r="V479" s="193"/>
    </row>
    <row r="480" spans="14:22" x14ac:dyDescent="0.2">
      <c r="N480" s="193"/>
      <c r="O480" s="193"/>
      <c r="P480" s="193"/>
      <c r="Q480" s="193"/>
      <c r="R480" s="193"/>
      <c r="S480" s="193"/>
      <c r="T480" s="193"/>
      <c r="U480" s="193"/>
      <c r="V480" s="193"/>
    </row>
    <row r="481" spans="14:22" x14ac:dyDescent="0.2">
      <c r="N481" s="193"/>
      <c r="O481" s="193"/>
      <c r="P481" s="193"/>
      <c r="Q481" s="193"/>
      <c r="R481" s="193"/>
      <c r="S481" s="193"/>
      <c r="T481" s="193"/>
      <c r="U481" s="193"/>
      <c r="V481" s="193"/>
    </row>
    <row r="482" spans="14:22" x14ac:dyDescent="0.2">
      <c r="N482" s="193"/>
      <c r="O482" s="193"/>
      <c r="P482" s="193"/>
      <c r="Q482" s="193"/>
      <c r="R482" s="193"/>
      <c r="S482" s="193"/>
      <c r="T482" s="193"/>
      <c r="U482" s="193"/>
      <c r="V482" s="193"/>
    </row>
    <row r="483" spans="14:22" x14ac:dyDescent="0.2">
      <c r="N483" s="193"/>
      <c r="O483" s="193"/>
      <c r="P483" s="193"/>
      <c r="Q483" s="193"/>
      <c r="R483" s="193"/>
      <c r="S483" s="193"/>
      <c r="T483" s="193"/>
      <c r="U483" s="193"/>
      <c r="V483" s="193"/>
    </row>
    <row r="484" spans="14:22" x14ac:dyDescent="0.2">
      <c r="N484" s="193"/>
      <c r="O484" s="193"/>
      <c r="P484" s="193"/>
      <c r="Q484" s="193"/>
      <c r="R484" s="193"/>
      <c r="S484" s="193"/>
      <c r="T484" s="193"/>
      <c r="U484" s="193"/>
      <c r="V484" s="193"/>
    </row>
    <row r="485" spans="14:22" x14ac:dyDescent="0.2">
      <c r="N485" s="193"/>
      <c r="O485" s="193"/>
      <c r="P485" s="193"/>
      <c r="Q485" s="193"/>
      <c r="R485" s="193"/>
      <c r="S485" s="193"/>
      <c r="T485" s="193"/>
      <c r="U485" s="193"/>
      <c r="V485" s="193"/>
    </row>
    <row r="486" spans="14:22" x14ac:dyDescent="0.2">
      <c r="N486" s="193"/>
      <c r="O486" s="193"/>
      <c r="P486" s="193"/>
      <c r="Q486" s="193"/>
      <c r="R486" s="193"/>
      <c r="S486" s="193"/>
      <c r="T486" s="193"/>
      <c r="U486" s="193"/>
      <c r="V486" s="193"/>
    </row>
    <row r="487" spans="14:22" x14ac:dyDescent="0.2">
      <c r="N487" s="193"/>
      <c r="O487" s="193"/>
      <c r="P487" s="193"/>
      <c r="Q487" s="193"/>
      <c r="R487" s="193"/>
      <c r="S487" s="193"/>
      <c r="T487" s="193"/>
      <c r="U487" s="193"/>
      <c r="V487" s="193"/>
    </row>
    <row r="488" spans="14:22" x14ac:dyDescent="0.2">
      <c r="N488" s="193"/>
      <c r="O488" s="193"/>
      <c r="P488" s="193"/>
      <c r="Q488" s="193"/>
      <c r="R488" s="193"/>
      <c r="S488" s="193"/>
      <c r="T488" s="193"/>
      <c r="U488" s="193"/>
      <c r="V488" s="193"/>
    </row>
    <row r="489" spans="14:22" x14ac:dyDescent="0.2">
      <c r="N489" s="193"/>
      <c r="O489" s="193"/>
      <c r="P489" s="193"/>
      <c r="Q489" s="193"/>
      <c r="R489" s="193"/>
      <c r="S489" s="193"/>
      <c r="T489" s="193"/>
      <c r="U489" s="193"/>
      <c r="V489" s="193"/>
    </row>
    <row r="490" spans="14:22" x14ac:dyDescent="0.2">
      <c r="N490" s="193"/>
      <c r="O490" s="193"/>
      <c r="P490" s="193"/>
      <c r="Q490" s="193"/>
      <c r="R490" s="193"/>
      <c r="S490" s="193"/>
      <c r="T490" s="193"/>
      <c r="U490" s="193"/>
      <c r="V490" s="193"/>
    </row>
    <row r="491" spans="14:22" x14ac:dyDescent="0.2">
      <c r="N491" s="193"/>
      <c r="O491" s="193"/>
      <c r="P491" s="193"/>
      <c r="Q491" s="193"/>
      <c r="R491" s="193"/>
      <c r="S491" s="193"/>
      <c r="T491" s="193"/>
      <c r="U491" s="193"/>
      <c r="V491" s="193"/>
    </row>
    <row r="492" spans="14:22" x14ac:dyDescent="0.2">
      <c r="N492" s="193"/>
      <c r="O492" s="193"/>
      <c r="P492" s="193"/>
      <c r="Q492" s="193"/>
      <c r="R492" s="193"/>
      <c r="S492" s="193"/>
      <c r="T492" s="193"/>
      <c r="U492" s="193"/>
      <c r="V492" s="193"/>
    </row>
    <row r="493" spans="14:22" x14ac:dyDescent="0.2">
      <c r="N493" s="193"/>
      <c r="O493" s="193"/>
      <c r="P493" s="193"/>
      <c r="Q493" s="193"/>
      <c r="R493" s="193"/>
      <c r="S493" s="193"/>
      <c r="T493" s="193"/>
      <c r="U493" s="193"/>
      <c r="V493" s="193"/>
    </row>
    <row r="494" spans="14:22" x14ac:dyDescent="0.2">
      <c r="N494" s="193"/>
      <c r="O494" s="193"/>
      <c r="P494" s="193"/>
      <c r="Q494" s="193"/>
      <c r="R494" s="193"/>
      <c r="S494" s="193"/>
      <c r="T494" s="193"/>
      <c r="U494" s="193"/>
      <c r="V494" s="193"/>
    </row>
    <row r="495" spans="14:22" x14ac:dyDescent="0.2">
      <c r="N495" s="193"/>
      <c r="O495" s="193"/>
      <c r="P495" s="193"/>
      <c r="Q495" s="193"/>
      <c r="R495" s="193"/>
      <c r="S495" s="193"/>
      <c r="T495" s="193"/>
      <c r="U495" s="193"/>
      <c r="V495" s="193"/>
    </row>
    <row r="496" spans="14:22" x14ac:dyDescent="0.2">
      <c r="N496" s="193"/>
      <c r="O496" s="193"/>
      <c r="P496" s="193"/>
      <c r="Q496" s="193"/>
      <c r="R496" s="193"/>
      <c r="S496" s="193"/>
      <c r="T496" s="193"/>
      <c r="U496" s="193"/>
      <c r="V496" s="193"/>
    </row>
    <row r="497" spans="14:22" x14ac:dyDescent="0.2">
      <c r="N497" s="193"/>
      <c r="O497" s="193"/>
      <c r="P497" s="193"/>
      <c r="Q497" s="193"/>
      <c r="R497" s="193"/>
      <c r="S497" s="193"/>
      <c r="T497" s="193"/>
      <c r="U497" s="193"/>
      <c r="V497" s="193"/>
    </row>
    <row r="498" spans="14:22" x14ac:dyDescent="0.2">
      <c r="N498" s="193"/>
      <c r="O498" s="193"/>
      <c r="P498" s="193"/>
      <c r="Q498" s="193"/>
      <c r="R498" s="193"/>
      <c r="S498" s="193"/>
      <c r="T498" s="193"/>
      <c r="U498" s="193"/>
      <c r="V498" s="193"/>
    </row>
    <row r="499" spans="14:22" x14ac:dyDescent="0.2">
      <c r="N499" s="193"/>
      <c r="O499" s="193"/>
      <c r="P499" s="193"/>
      <c r="Q499" s="193"/>
      <c r="R499" s="193"/>
      <c r="S499" s="193"/>
      <c r="T499" s="193"/>
      <c r="U499" s="193"/>
      <c r="V499" s="193"/>
    </row>
    <row r="500" spans="14:22" x14ac:dyDescent="0.2">
      <c r="N500" s="193"/>
      <c r="O500" s="193"/>
      <c r="P500" s="193"/>
      <c r="Q500" s="193"/>
      <c r="R500" s="193"/>
      <c r="S500" s="193"/>
      <c r="T500" s="193"/>
      <c r="U500" s="193"/>
      <c r="V500" s="193"/>
    </row>
    <row r="501" spans="14:22" x14ac:dyDescent="0.2">
      <c r="N501" s="193"/>
      <c r="O501" s="193"/>
      <c r="P501" s="193"/>
      <c r="Q501" s="193"/>
      <c r="R501" s="193"/>
      <c r="S501" s="193"/>
      <c r="T501" s="193"/>
      <c r="U501" s="193"/>
      <c r="V501" s="193"/>
    </row>
    <row r="502" spans="14:22" x14ac:dyDescent="0.2">
      <c r="N502" s="193"/>
      <c r="O502" s="193"/>
      <c r="P502" s="193"/>
      <c r="Q502" s="193"/>
      <c r="R502" s="193"/>
      <c r="S502" s="193"/>
      <c r="T502" s="193"/>
      <c r="U502" s="193"/>
      <c r="V502" s="193"/>
    </row>
    <row r="503" spans="14:22" x14ac:dyDescent="0.2">
      <c r="N503" s="193"/>
      <c r="O503" s="193"/>
      <c r="P503" s="193"/>
      <c r="Q503" s="193"/>
      <c r="R503" s="193"/>
      <c r="S503" s="193"/>
      <c r="T503" s="193"/>
      <c r="U503" s="193"/>
      <c r="V503" s="193"/>
    </row>
    <row r="504" spans="14:22" x14ac:dyDescent="0.2">
      <c r="N504" s="193"/>
      <c r="O504" s="193"/>
      <c r="P504" s="193"/>
      <c r="Q504" s="193"/>
      <c r="R504" s="193"/>
      <c r="S504" s="193"/>
      <c r="T504" s="193"/>
      <c r="U504" s="193"/>
      <c r="V504" s="193"/>
    </row>
    <row r="505" spans="14:22" x14ac:dyDescent="0.2">
      <c r="N505" s="193"/>
      <c r="O505" s="193"/>
      <c r="P505" s="193"/>
      <c r="Q505" s="193"/>
      <c r="R505" s="193"/>
      <c r="S505" s="193"/>
      <c r="T505" s="193"/>
      <c r="U505" s="193"/>
      <c r="V505" s="193"/>
    </row>
    <row r="506" spans="14:22" x14ac:dyDescent="0.2">
      <c r="N506" s="193"/>
      <c r="O506" s="193"/>
      <c r="P506" s="193"/>
      <c r="Q506" s="193"/>
      <c r="R506" s="193"/>
      <c r="S506" s="193"/>
      <c r="T506" s="193"/>
      <c r="U506" s="193"/>
      <c r="V506" s="193"/>
    </row>
    <row r="507" spans="14:22" x14ac:dyDescent="0.2">
      <c r="N507" s="193"/>
      <c r="O507" s="193"/>
      <c r="P507" s="193"/>
      <c r="Q507" s="193"/>
      <c r="R507" s="193"/>
      <c r="S507" s="193"/>
      <c r="T507" s="193"/>
      <c r="U507" s="193"/>
      <c r="V507" s="193"/>
    </row>
    <row r="508" spans="14:22" x14ac:dyDescent="0.2">
      <c r="N508" s="193"/>
      <c r="O508" s="193"/>
      <c r="P508" s="193"/>
      <c r="Q508" s="193"/>
      <c r="R508" s="193"/>
      <c r="S508" s="193"/>
      <c r="T508" s="193"/>
      <c r="U508" s="193"/>
      <c r="V508" s="193"/>
    </row>
    <row r="509" spans="14:22" x14ac:dyDescent="0.2">
      <c r="N509" s="193"/>
      <c r="O509" s="193"/>
      <c r="P509" s="193"/>
      <c r="Q509" s="193"/>
      <c r="R509" s="193"/>
      <c r="S509" s="193"/>
      <c r="T509" s="193"/>
      <c r="U509" s="193"/>
      <c r="V509" s="193"/>
    </row>
    <row r="510" spans="14:22" x14ac:dyDescent="0.2">
      <c r="N510" s="193"/>
      <c r="O510" s="193"/>
      <c r="P510" s="193"/>
      <c r="Q510" s="193"/>
      <c r="R510" s="193"/>
      <c r="S510" s="193"/>
      <c r="T510" s="193"/>
      <c r="U510" s="193"/>
      <c r="V510" s="193"/>
    </row>
    <row r="511" spans="14:22" x14ac:dyDescent="0.2">
      <c r="N511" s="193"/>
      <c r="O511" s="193"/>
      <c r="P511" s="193"/>
      <c r="Q511" s="193"/>
      <c r="R511" s="193"/>
      <c r="S511" s="193"/>
      <c r="T511" s="193"/>
      <c r="U511" s="193"/>
      <c r="V511" s="193"/>
    </row>
    <row r="512" spans="14:22" x14ac:dyDescent="0.2">
      <c r="N512" s="193"/>
      <c r="O512" s="193"/>
      <c r="P512" s="193"/>
      <c r="Q512" s="193"/>
      <c r="R512" s="193"/>
      <c r="S512" s="193"/>
      <c r="T512" s="193"/>
      <c r="U512" s="193"/>
      <c r="V512" s="193"/>
    </row>
    <row r="513" spans="14:22" x14ac:dyDescent="0.2">
      <c r="N513" s="193"/>
      <c r="O513" s="193"/>
      <c r="P513" s="193"/>
      <c r="Q513" s="193"/>
      <c r="R513" s="193"/>
      <c r="S513" s="193"/>
      <c r="T513" s="193"/>
      <c r="U513" s="193"/>
      <c r="V513" s="193"/>
    </row>
    <row r="514" spans="14:22" x14ac:dyDescent="0.2">
      <c r="N514" s="193"/>
      <c r="O514" s="193"/>
      <c r="P514" s="193"/>
      <c r="Q514" s="193"/>
      <c r="R514" s="193"/>
      <c r="S514" s="193"/>
      <c r="T514" s="193"/>
      <c r="U514" s="193"/>
      <c r="V514" s="193"/>
    </row>
    <row r="515" spans="14:22" x14ac:dyDescent="0.2">
      <c r="N515" s="193"/>
      <c r="O515" s="193"/>
      <c r="P515" s="193"/>
      <c r="Q515" s="193"/>
      <c r="R515" s="193"/>
      <c r="S515" s="193"/>
      <c r="T515" s="193"/>
      <c r="U515" s="193"/>
      <c r="V515" s="193"/>
    </row>
    <row r="516" spans="14:22" x14ac:dyDescent="0.2">
      <c r="N516" s="193"/>
      <c r="O516" s="193"/>
      <c r="P516" s="193"/>
      <c r="Q516" s="193"/>
      <c r="R516" s="193"/>
      <c r="S516" s="193"/>
      <c r="T516" s="193"/>
      <c r="U516" s="193"/>
      <c r="V516" s="193"/>
    </row>
    <row r="517" spans="14:22" x14ac:dyDescent="0.2">
      <c r="N517" s="193"/>
      <c r="O517" s="193"/>
      <c r="P517" s="193"/>
      <c r="Q517" s="193"/>
      <c r="R517" s="193"/>
      <c r="S517" s="193"/>
      <c r="T517" s="193"/>
      <c r="U517" s="193"/>
      <c r="V517" s="193"/>
    </row>
    <row r="518" spans="14:22" x14ac:dyDescent="0.2">
      <c r="N518" s="193"/>
      <c r="O518" s="193"/>
      <c r="P518" s="193"/>
      <c r="Q518" s="193"/>
      <c r="R518" s="193"/>
      <c r="S518" s="193"/>
      <c r="T518" s="193"/>
      <c r="U518" s="193"/>
      <c r="V518" s="193"/>
    </row>
    <row r="519" spans="14:22" x14ac:dyDescent="0.2">
      <c r="N519" s="193"/>
      <c r="O519" s="193"/>
      <c r="P519" s="193"/>
      <c r="Q519" s="193"/>
      <c r="R519" s="193"/>
      <c r="S519" s="193"/>
      <c r="T519" s="193"/>
      <c r="U519" s="193"/>
      <c r="V519" s="193"/>
    </row>
    <row r="520" spans="14:22" x14ac:dyDescent="0.2">
      <c r="N520" s="193"/>
      <c r="O520" s="193"/>
      <c r="P520" s="193"/>
      <c r="Q520" s="193"/>
      <c r="R520" s="193"/>
      <c r="S520" s="193"/>
      <c r="T520" s="193"/>
      <c r="U520" s="193"/>
      <c r="V520" s="193"/>
    </row>
    <row r="521" spans="14:22" x14ac:dyDescent="0.2">
      <c r="N521" s="193"/>
      <c r="O521" s="193"/>
      <c r="P521" s="193"/>
      <c r="Q521" s="193"/>
      <c r="R521" s="193"/>
      <c r="S521" s="193"/>
      <c r="T521" s="193"/>
      <c r="U521" s="193"/>
      <c r="V521" s="193"/>
    </row>
    <row r="522" spans="14:22" x14ac:dyDescent="0.2">
      <c r="N522" s="193"/>
      <c r="O522" s="193"/>
      <c r="P522" s="193"/>
      <c r="Q522" s="193"/>
      <c r="R522" s="193"/>
      <c r="S522" s="193"/>
      <c r="T522" s="193"/>
      <c r="U522" s="193"/>
      <c r="V522" s="193"/>
    </row>
    <row r="523" spans="14:22" x14ac:dyDescent="0.2">
      <c r="N523" s="193"/>
      <c r="O523" s="193"/>
      <c r="P523" s="193"/>
      <c r="Q523" s="193"/>
      <c r="R523" s="193"/>
      <c r="S523" s="193"/>
      <c r="T523" s="193"/>
      <c r="U523" s="193"/>
      <c r="V523" s="193"/>
    </row>
    <row r="524" spans="14:22" x14ac:dyDescent="0.2">
      <c r="N524" s="193"/>
      <c r="O524" s="193"/>
      <c r="P524" s="193"/>
      <c r="Q524" s="193"/>
      <c r="R524" s="193"/>
      <c r="S524" s="193"/>
      <c r="T524" s="193"/>
      <c r="U524" s="193"/>
      <c r="V524" s="193"/>
    </row>
    <row r="525" spans="14:22" x14ac:dyDescent="0.2">
      <c r="N525" s="193"/>
      <c r="O525" s="193"/>
      <c r="P525" s="193"/>
      <c r="Q525" s="193"/>
      <c r="R525" s="193"/>
      <c r="S525" s="193"/>
      <c r="T525" s="193"/>
      <c r="U525" s="193"/>
      <c r="V525" s="193"/>
    </row>
    <row r="526" spans="14:22" x14ac:dyDescent="0.2">
      <c r="N526" s="193"/>
      <c r="O526" s="193"/>
      <c r="P526" s="193"/>
      <c r="Q526" s="193"/>
      <c r="R526" s="193"/>
      <c r="S526" s="193"/>
      <c r="T526" s="193"/>
      <c r="U526" s="193"/>
      <c r="V526" s="193"/>
    </row>
    <row r="527" spans="14:22" x14ac:dyDescent="0.2">
      <c r="N527" s="193"/>
      <c r="O527" s="193"/>
      <c r="P527" s="193"/>
      <c r="Q527" s="193"/>
      <c r="R527" s="193"/>
      <c r="S527" s="193"/>
      <c r="T527" s="193"/>
      <c r="U527" s="193"/>
      <c r="V527" s="193"/>
    </row>
    <row r="528" spans="14:22" x14ac:dyDescent="0.2">
      <c r="N528" s="193"/>
      <c r="O528" s="193"/>
      <c r="P528" s="193"/>
      <c r="Q528" s="193"/>
      <c r="R528" s="193"/>
      <c r="S528" s="193"/>
      <c r="T528" s="193"/>
      <c r="U528" s="193"/>
      <c r="V528" s="193"/>
    </row>
    <row r="529" spans="14:22" x14ac:dyDescent="0.2">
      <c r="N529" s="193"/>
      <c r="O529" s="193"/>
      <c r="P529" s="193"/>
      <c r="Q529" s="193"/>
      <c r="R529" s="193"/>
      <c r="S529" s="193"/>
      <c r="T529" s="193"/>
      <c r="U529" s="193"/>
      <c r="V529" s="193"/>
    </row>
    <row r="530" spans="14:22" x14ac:dyDescent="0.2">
      <c r="N530" s="193"/>
      <c r="O530" s="193"/>
      <c r="P530" s="193"/>
      <c r="Q530" s="193"/>
      <c r="R530" s="193"/>
      <c r="S530" s="193"/>
      <c r="T530" s="193"/>
      <c r="U530" s="193"/>
      <c r="V530" s="193"/>
    </row>
    <row r="531" spans="14:22" x14ac:dyDescent="0.2">
      <c r="N531" s="193"/>
      <c r="O531" s="193"/>
      <c r="P531" s="193"/>
      <c r="Q531" s="193"/>
      <c r="R531" s="193"/>
      <c r="S531" s="193"/>
      <c r="T531" s="193"/>
      <c r="U531" s="193"/>
      <c r="V531" s="193"/>
    </row>
    <row r="532" spans="14:22" x14ac:dyDescent="0.2">
      <c r="N532" s="193"/>
      <c r="O532" s="193"/>
      <c r="P532" s="193"/>
      <c r="Q532" s="193"/>
      <c r="R532" s="193"/>
      <c r="S532" s="193"/>
      <c r="T532" s="193"/>
      <c r="U532" s="193"/>
      <c r="V532" s="193"/>
    </row>
    <row r="533" spans="14:22" x14ac:dyDescent="0.2">
      <c r="N533" s="193"/>
      <c r="O533" s="193"/>
      <c r="P533" s="193"/>
      <c r="Q533" s="193"/>
      <c r="R533" s="193"/>
      <c r="S533" s="193"/>
      <c r="T533" s="193"/>
      <c r="U533" s="193"/>
      <c r="V533" s="193"/>
    </row>
    <row r="534" spans="14:22" x14ac:dyDescent="0.2">
      <c r="N534" s="193"/>
      <c r="O534" s="193"/>
      <c r="P534" s="193"/>
      <c r="Q534" s="193"/>
      <c r="R534" s="193"/>
      <c r="S534" s="193"/>
      <c r="T534" s="193"/>
      <c r="U534" s="193"/>
      <c r="V534" s="193"/>
    </row>
    <row r="535" spans="14:22" x14ac:dyDescent="0.2">
      <c r="N535" s="193"/>
      <c r="O535" s="193"/>
      <c r="P535" s="193"/>
      <c r="Q535" s="193"/>
      <c r="R535" s="193"/>
      <c r="S535" s="193"/>
      <c r="T535" s="193"/>
      <c r="U535" s="193"/>
      <c r="V535" s="193"/>
    </row>
    <row r="536" spans="14:22" x14ac:dyDescent="0.2">
      <c r="N536" s="193"/>
      <c r="O536" s="193"/>
      <c r="P536" s="193"/>
      <c r="Q536" s="193"/>
      <c r="R536" s="193"/>
      <c r="S536" s="193"/>
      <c r="T536" s="193"/>
      <c r="U536" s="193"/>
      <c r="V536" s="193"/>
    </row>
    <row r="537" spans="14:22" x14ac:dyDescent="0.2">
      <c r="N537" s="193"/>
      <c r="O537" s="193"/>
      <c r="P537" s="193"/>
      <c r="Q537" s="193"/>
      <c r="R537" s="193"/>
      <c r="S537" s="193"/>
      <c r="T537" s="193"/>
      <c r="U537" s="193"/>
      <c r="V537" s="193"/>
    </row>
    <row r="538" spans="14:22" x14ac:dyDescent="0.2">
      <c r="N538" s="193"/>
      <c r="O538" s="193"/>
      <c r="P538" s="193"/>
      <c r="Q538" s="193"/>
      <c r="R538" s="193"/>
      <c r="S538" s="193"/>
      <c r="T538" s="193"/>
      <c r="U538" s="193"/>
      <c r="V538" s="193"/>
    </row>
    <row r="539" spans="14:22" x14ac:dyDescent="0.2">
      <c r="N539" s="193"/>
      <c r="O539" s="193"/>
      <c r="P539" s="193"/>
      <c r="Q539" s="193"/>
      <c r="R539" s="193"/>
      <c r="S539" s="193"/>
      <c r="T539" s="193"/>
      <c r="U539" s="193"/>
      <c r="V539" s="193"/>
    </row>
    <row r="540" spans="14:22" x14ac:dyDescent="0.2">
      <c r="N540" s="193"/>
      <c r="O540" s="193"/>
      <c r="P540" s="193"/>
      <c r="Q540" s="193"/>
      <c r="R540" s="193"/>
      <c r="S540" s="193"/>
      <c r="T540" s="193"/>
      <c r="U540" s="193"/>
      <c r="V540" s="193"/>
    </row>
    <row r="541" spans="14:22" x14ac:dyDescent="0.2">
      <c r="N541" s="193"/>
      <c r="O541" s="193"/>
      <c r="P541" s="193"/>
      <c r="Q541" s="193"/>
      <c r="R541" s="193"/>
      <c r="S541" s="193"/>
      <c r="T541" s="193"/>
      <c r="U541" s="193"/>
      <c r="V541" s="193"/>
    </row>
    <row r="542" spans="14:22" x14ac:dyDescent="0.2">
      <c r="N542" s="193"/>
      <c r="O542" s="193"/>
      <c r="P542" s="193"/>
      <c r="Q542" s="193"/>
      <c r="R542" s="193"/>
      <c r="S542" s="193"/>
      <c r="T542" s="193"/>
      <c r="U542" s="193"/>
      <c r="V542" s="193"/>
    </row>
    <row r="543" spans="14:22" x14ac:dyDescent="0.2">
      <c r="N543" s="193"/>
      <c r="O543" s="193"/>
      <c r="P543" s="193"/>
      <c r="Q543" s="193"/>
      <c r="R543" s="193"/>
      <c r="S543" s="193"/>
      <c r="T543" s="193"/>
      <c r="U543" s="193"/>
      <c r="V543" s="193"/>
    </row>
    <row r="544" spans="14:22" x14ac:dyDescent="0.2">
      <c r="N544" s="193"/>
      <c r="O544" s="193"/>
      <c r="P544" s="193"/>
      <c r="Q544" s="193"/>
      <c r="R544" s="193"/>
      <c r="S544" s="193"/>
      <c r="T544" s="193"/>
      <c r="U544" s="193"/>
      <c r="V544" s="193"/>
    </row>
    <row r="545" spans="14:22" x14ac:dyDescent="0.2">
      <c r="N545" s="193"/>
      <c r="O545" s="193"/>
      <c r="P545" s="193"/>
      <c r="Q545" s="193"/>
      <c r="R545" s="193"/>
      <c r="S545" s="193"/>
      <c r="T545" s="193"/>
      <c r="U545" s="193"/>
      <c r="V545" s="193"/>
    </row>
    <row r="546" spans="14:22" x14ac:dyDescent="0.2">
      <c r="N546" s="193"/>
      <c r="O546" s="193"/>
      <c r="P546" s="193"/>
      <c r="Q546" s="193"/>
      <c r="R546" s="193"/>
      <c r="S546" s="193"/>
      <c r="T546" s="193"/>
      <c r="U546" s="193"/>
      <c r="V546" s="193"/>
    </row>
    <row r="547" spans="14:22" x14ac:dyDescent="0.2">
      <c r="N547" s="193"/>
      <c r="O547" s="193"/>
      <c r="P547" s="193"/>
      <c r="Q547" s="193"/>
      <c r="R547" s="193"/>
      <c r="S547" s="193"/>
      <c r="T547" s="193"/>
      <c r="U547" s="193"/>
      <c r="V547" s="193"/>
    </row>
    <row r="548" spans="14:22" x14ac:dyDescent="0.2">
      <c r="N548" s="193"/>
      <c r="O548" s="193"/>
      <c r="P548" s="193"/>
      <c r="Q548" s="193"/>
      <c r="R548" s="193"/>
      <c r="S548" s="193"/>
      <c r="T548" s="193"/>
      <c r="U548" s="193"/>
      <c r="V548" s="193"/>
    </row>
    <row r="549" spans="14:22" x14ac:dyDescent="0.2">
      <c r="N549" s="193"/>
      <c r="O549" s="193"/>
      <c r="P549" s="193"/>
      <c r="Q549" s="193"/>
      <c r="R549" s="193"/>
      <c r="S549" s="193"/>
      <c r="T549" s="193"/>
      <c r="U549" s="193"/>
      <c r="V549" s="193"/>
    </row>
    <row r="550" spans="14:22" x14ac:dyDescent="0.2">
      <c r="N550" s="193"/>
      <c r="O550" s="193"/>
      <c r="P550" s="193"/>
      <c r="Q550" s="193"/>
      <c r="R550" s="193"/>
      <c r="S550" s="193"/>
      <c r="T550" s="193"/>
      <c r="U550" s="193"/>
      <c r="V550" s="193"/>
    </row>
    <row r="551" spans="14:22" x14ac:dyDescent="0.2">
      <c r="N551" s="193"/>
      <c r="O551" s="193"/>
      <c r="P551" s="193"/>
      <c r="Q551" s="193"/>
      <c r="R551" s="193"/>
      <c r="S551" s="193"/>
      <c r="T551" s="193"/>
      <c r="U551" s="193"/>
      <c r="V551" s="193"/>
    </row>
    <row r="552" spans="14:22" x14ac:dyDescent="0.2">
      <c r="N552" s="193"/>
      <c r="O552" s="193"/>
      <c r="P552" s="193"/>
      <c r="Q552" s="193"/>
      <c r="R552" s="193"/>
      <c r="S552" s="193"/>
      <c r="T552" s="193"/>
      <c r="U552" s="193"/>
      <c r="V552" s="193"/>
    </row>
    <row r="553" spans="14:22" x14ac:dyDescent="0.2">
      <c r="N553" s="193"/>
      <c r="O553" s="193"/>
      <c r="P553" s="193"/>
      <c r="Q553" s="193"/>
      <c r="R553" s="193"/>
      <c r="S553" s="193"/>
      <c r="T553" s="193"/>
      <c r="U553" s="193"/>
      <c r="V553" s="193"/>
    </row>
    <row r="554" spans="14:22" x14ac:dyDescent="0.2">
      <c r="N554" s="193"/>
      <c r="O554" s="193"/>
      <c r="P554" s="193"/>
      <c r="Q554" s="193"/>
      <c r="R554" s="193"/>
      <c r="S554" s="193"/>
      <c r="T554" s="193"/>
      <c r="U554" s="193"/>
      <c r="V554" s="193"/>
    </row>
    <row r="555" spans="14:22" x14ac:dyDescent="0.2">
      <c r="N555" s="193"/>
      <c r="O555" s="193"/>
      <c r="P555" s="193"/>
      <c r="Q555" s="193"/>
      <c r="R555" s="193"/>
      <c r="S555" s="193"/>
      <c r="T555" s="193"/>
      <c r="U555" s="193"/>
      <c r="V555" s="193"/>
    </row>
    <row r="556" spans="14:22" x14ac:dyDescent="0.2">
      <c r="N556" s="193"/>
      <c r="O556" s="193"/>
      <c r="P556" s="193"/>
      <c r="Q556" s="193"/>
      <c r="R556" s="193"/>
      <c r="S556" s="193"/>
      <c r="T556" s="193"/>
      <c r="U556" s="193"/>
      <c r="V556" s="193"/>
    </row>
    <row r="557" spans="14:22" x14ac:dyDescent="0.2">
      <c r="N557" s="193"/>
      <c r="O557" s="193"/>
      <c r="P557" s="193"/>
      <c r="Q557" s="193"/>
      <c r="R557" s="193"/>
      <c r="S557" s="193"/>
      <c r="T557" s="193"/>
      <c r="U557" s="193"/>
      <c r="V557" s="193"/>
    </row>
    <row r="558" spans="14:22" x14ac:dyDescent="0.2">
      <c r="N558" s="193"/>
      <c r="O558" s="193"/>
      <c r="P558" s="193"/>
      <c r="Q558" s="193"/>
      <c r="R558" s="193"/>
      <c r="S558" s="193"/>
      <c r="T558" s="193"/>
      <c r="U558" s="193"/>
      <c r="V558" s="193"/>
    </row>
    <row r="559" spans="14:22" x14ac:dyDescent="0.2">
      <c r="N559" s="193"/>
      <c r="O559" s="193"/>
      <c r="P559" s="193"/>
      <c r="Q559" s="193"/>
      <c r="R559" s="193"/>
      <c r="S559" s="193"/>
      <c r="T559" s="193"/>
      <c r="U559" s="193"/>
      <c r="V559" s="193"/>
    </row>
    <row r="560" spans="14:22" x14ac:dyDescent="0.2">
      <c r="N560" s="193"/>
      <c r="O560" s="193"/>
      <c r="P560" s="193"/>
      <c r="Q560" s="193"/>
      <c r="R560" s="193"/>
      <c r="S560" s="193"/>
      <c r="T560" s="193"/>
      <c r="U560" s="193"/>
      <c r="V560" s="193"/>
    </row>
    <row r="561" spans="14:22" x14ac:dyDescent="0.2">
      <c r="N561" s="193"/>
      <c r="O561" s="193"/>
      <c r="P561" s="193"/>
      <c r="Q561" s="193"/>
      <c r="R561" s="193"/>
      <c r="S561" s="193"/>
      <c r="T561" s="193"/>
      <c r="U561" s="193"/>
      <c r="V561" s="193"/>
    </row>
    <row r="562" spans="14:22" x14ac:dyDescent="0.2">
      <c r="N562" s="193"/>
      <c r="O562" s="193"/>
      <c r="P562" s="193"/>
      <c r="Q562" s="193"/>
      <c r="R562" s="193"/>
      <c r="S562" s="193"/>
      <c r="T562" s="193"/>
      <c r="U562" s="193"/>
      <c r="V562" s="193"/>
    </row>
    <row r="563" spans="14:22" x14ac:dyDescent="0.2">
      <c r="N563" s="193"/>
      <c r="O563" s="193"/>
      <c r="P563" s="193"/>
      <c r="Q563" s="193"/>
      <c r="R563" s="193"/>
      <c r="S563" s="193"/>
      <c r="T563" s="193"/>
      <c r="U563" s="193"/>
      <c r="V563" s="193"/>
    </row>
    <row r="564" spans="14:22" x14ac:dyDescent="0.2">
      <c r="N564" s="193"/>
      <c r="O564" s="193"/>
      <c r="P564" s="193"/>
      <c r="Q564" s="193"/>
      <c r="R564" s="193"/>
      <c r="S564" s="193"/>
      <c r="T564" s="193"/>
      <c r="U564" s="193"/>
      <c r="V564" s="193"/>
    </row>
    <row r="565" spans="14:22" x14ac:dyDescent="0.2">
      <c r="N565" s="193"/>
      <c r="O565" s="193"/>
      <c r="P565" s="193"/>
      <c r="Q565" s="193"/>
      <c r="R565" s="193"/>
      <c r="S565" s="193"/>
      <c r="T565" s="193"/>
      <c r="U565" s="193"/>
      <c r="V565" s="193"/>
    </row>
    <row r="566" spans="14:22" x14ac:dyDescent="0.2">
      <c r="N566" s="193"/>
      <c r="O566" s="193"/>
      <c r="P566" s="193"/>
      <c r="Q566" s="193"/>
      <c r="R566" s="193"/>
      <c r="S566" s="193"/>
      <c r="T566" s="193"/>
      <c r="U566" s="193"/>
      <c r="V566" s="193"/>
    </row>
    <row r="567" spans="14:22" x14ac:dyDescent="0.2">
      <c r="N567" s="193"/>
      <c r="O567" s="193"/>
      <c r="P567" s="193"/>
      <c r="Q567" s="193"/>
      <c r="R567" s="193"/>
      <c r="S567" s="193"/>
      <c r="T567" s="193"/>
      <c r="U567" s="193"/>
      <c r="V567" s="193"/>
    </row>
    <row r="568" spans="14:22" x14ac:dyDescent="0.2">
      <c r="N568" s="193"/>
      <c r="O568" s="193"/>
      <c r="P568" s="193"/>
      <c r="Q568" s="193"/>
      <c r="R568" s="193"/>
      <c r="S568" s="193"/>
      <c r="T568" s="193"/>
      <c r="U568" s="193"/>
      <c r="V568" s="193"/>
    </row>
    <row r="569" spans="14:22" x14ac:dyDescent="0.2">
      <c r="N569" s="193"/>
      <c r="O569" s="193"/>
      <c r="P569" s="193"/>
      <c r="Q569" s="193"/>
      <c r="R569" s="193"/>
      <c r="S569" s="193"/>
      <c r="T569" s="193"/>
      <c r="U569" s="193"/>
      <c r="V569" s="193"/>
    </row>
    <row r="570" spans="14:22" x14ac:dyDescent="0.2">
      <c r="N570" s="193"/>
      <c r="O570" s="193"/>
      <c r="P570" s="193"/>
      <c r="Q570" s="193"/>
      <c r="R570" s="193"/>
      <c r="S570" s="193"/>
      <c r="T570" s="193"/>
      <c r="U570" s="193"/>
      <c r="V570" s="193"/>
    </row>
    <row r="571" spans="14:22" x14ac:dyDescent="0.2">
      <c r="N571" s="193"/>
      <c r="O571" s="193"/>
      <c r="P571" s="193"/>
      <c r="Q571" s="193"/>
      <c r="R571" s="193"/>
      <c r="S571" s="193"/>
      <c r="T571" s="193"/>
      <c r="U571" s="193"/>
      <c r="V571" s="193"/>
    </row>
    <row r="572" spans="14:22" x14ac:dyDescent="0.2">
      <c r="N572" s="193"/>
      <c r="O572" s="193"/>
      <c r="P572" s="193"/>
      <c r="Q572" s="193"/>
      <c r="R572" s="193"/>
      <c r="S572" s="193"/>
      <c r="T572" s="193"/>
      <c r="U572" s="193"/>
      <c r="V572" s="193"/>
    </row>
    <row r="573" spans="14:22" x14ac:dyDescent="0.2">
      <c r="N573" s="193"/>
      <c r="O573" s="193"/>
      <c r="P573" s="193"/>
      <c r="Q573" s="193"/>
      <c r="R573" s="193"/>
      <c r="S573" s="193"/>
      <c r="T573" s="193"/>
      <c r="U573" s="193"/>
      <c r="V573" s="193"/>
    </row>
    <row r="574" spans="14:22" x14ac:dyDescent="0.2">
      <c r="N574" s="193"/>
      <c r="O574" s="193"/>
      <c r="P574" s="193"/>
      <c r="Q574" s="193"/>
      <c r="R574" s="193"/>
      <c r="S574" s="193"/>
      <c r="T574" s="193"/>
      <c r="U574" s="193"/>
      <c r="V574" s="193"/>
    </row>
    <row r="575" spans="14:22" x14ac:dyDescent="0.2">
      <c r="N575" s="193"/>
      <c r="O575" s="193"/>
      <c r="P575" s="193"/>
      <c r="Q575" s="193"/>
      <c r="R575" s="193"/>
      <c r="S575" s="193"/>
      <c r="T575" s="193"/>
      <c r="U575" s="193"/>
      <c r="V575" s="193"/>
    </row>
    <row r="576" spans="14:22" x14ac:dyDescent="0.2">
      <c r="N576" s="193"/>
      <c r="O576" s="193"/>
      <c r="P576" s="193"/>
      <c r="Q576" s="193"/>
      <c r="R576" s="193"/>
      <c r="S576" s="193"/>
      <c r="T576" s="193"/>
      <c r="U576" s="193"/>
      <c r="V576" s="193"/>
    </row>
    <row r="577" spans="14:22" x14ac:dyDescent="0.2">
      <c r="N577" s="193"/>
      <c r="O577" s="193"/>
      <c r="P577" s="193"/>
      <c r="Q577" s="193"/>
      <c r="R577" s="193"/>
      <c r="S577" s="193"/>
      <c r="T577" s="193"/>
      <c r="U577" s="193"/>
      <c r="V577" s="193"/>
    </row>
    <row r="578" spans="14:22" x14ac:dyDescent="0.2">
      <c r="N578" s="193"/>
      <c r="O578" s="193"/>
      <c r="P578" s="193"/>
      <c r="Q578" s="193"/>
      <c r="R578" s="193"/>
      <c r="S578" s="193"/>
      <c r="T578" s="193"/>
      <c r="U578" s="193"/>
      <c r="V578" s="193"/>
    </row>
    <row r="579" spans="14:22" x14ac:dyDescent="0.2">
      <c r="N579" s="193"/>
      <c r="O579" s="193"/>
      <c r="P579" s="193"/>
      <c r="Q579" s="193"/>
      <c r="R579" s="193"/>
      <c r="S579" s="193"/>
      <c r="T579" s="193"/>
      <c r="U579" s="193"/>
      <c r="V579" s="193"/>
    </row>
    <row r="580" spans="14:22" x14ac:dyDescent="0.2">
      <c r="N580" s="193"/>
      <c r="O580" s="193"/>
      <c r="P580" s="193"/>
      <c r="Q580" s="193"/>
      <c r="R580" s="193"/>
      <c r="S580" s="193"/>
      <c r="T580" s="193"/>
      <c r="U580" s="193"/>
      <c r="V580" s="193"/>
    </row>
    <row r="581" spans="14:22" x14ac:dyDescent="0.2">
      <c r="N581" s="193"/>
      <c r="O581" s="193"/>
      <c r="P581" s="193"/>
      <c r="Q581" s="193"/>
      <c r="R581" s="193"/>
      <c r="S581" s="193"/>
      <c r="T581" s="193"/>
      <c r="U581" s="193"/>
      <c r="V581" s="193"/>
    </row>
    <row r="582" spans="14:22" x14ac:dyDescent="0.2">
      <c r="N582" s="193"/>
      <c r="O582" s="193"/>
      <c r="P582" s="193"/>
      <c r="Q582" s="193"/>
      <c r="R582" s="193"/>
      <c r="S582" s="193"/>
      <c r="T582" s="193"/>
      <c r="U582" s="193"/>
      <c r="V582" s="193"/>
    </row>
    <row r="583" spans="14:22" x14ac:dyDescent="0.2">
      <c r="N583" s="193"/>
      <c r="O583" s="193"/>
      <c r="P583" s="193"/>
      <c r="Q583" s="193"/>
      <c r="R583" s="193"/>
      <c r="S583" s="193"/>
      <c r="T583" s="193"/>
      <c r="U583" s="193"/>
      <c r="V583" s="193"/>
    </row>
    <row r="584" spans="14:22" x14ac:dyDescent="0.2">
      <c r="N584" s="193"/>
      <c r="O584" s="193"/>
      <c r="P584" s="193"/>
      <c r="Q584" s="193"/>
      <c r="R584" s="193"/>
      <c r="S584" s="193"/>
      <c r="T584" s="193"/>
      <c r="U584" s="193"/>
      <c r="V584" s="193"/>
    </row>
    <row r="585" spans="14:22" x14ac:dyDescent="0.2">
      <c r="N585" s="193"/>
      <c r="O585" s="193"/>
      <c r="P585" s="193"/>
      <c r="Q585" s="193"/>
      <c r="R585" s="193"/>
      <c r="S585" s="193"/>
      <c r="T585" s="193"/>
      <c r="U585" s="193"/>
      <c r="V585" s="193"/>
    </row>
    <row r="586" spans="14:22" x14ac:dyDescent="0.2">
      <c r="N586" s="193"/>
      <c r="O586" s="193"/>
      <c r="P586" s="193"/>
      <c r="Q586" s="193"/>
      <c r="R586" s="193"/>
      <c r="S586" s="193"/>
      <c r="T586" s="193"/>
      <c r="U586" s="193"/>
      <c r="V586" s="193"/>
    </row>
    <row r="587" spans="14:22" x14ac:dyDescent="0.2">
      <c r="N587" s="193"/>
      <c r="O587" s="193"/>
      <c r="P587" s="193"/>
      <c r="Q587" s="193"/>
      <c r="R587" s="193"/>
      <c r="S587" s="193"/>
      <c r="T587" s="193"/>
      <c r="U587" s="193"/>
      <c r="V587" s="193"/>
    </row>
    <row r="588" spans="14:22" x14ac:dyDescent="0.2">
      <c r="N588" s="193"/>
      <c r="O588" s="193"/>
      <c r="P588" s="193"/>
      <c r="Q588" s="193"/>
      <c r="R588" s="193"/>
      <c r="S588" s="193"/>
      <c r="T588" s="193"/>
      <c r="U588" s="193"/>
      <c r="V588" s="193"/>
    </row>
    <row r="589" spans="14:22" x14ac:dyDescent="0.2">
      <c r="N589" s="193"/>
      <c r="O589" s="193"/>
      <c r="P589" s="193"/>
      <c r="Q589" s="193"/>
      <c r="R589" s="193"/>
      <c r="S589" s="193"/>
      <c r="T589" s="193"/>
      <c r="U589" s="193"/>
      <c r="V589" s="193"/>
    </row>
    <row r="590" spans="14:22" x14ac:dyDescent="0.2">
      <c r="N590" s="193"/>
      <c r="O590" s="193"/>
      <c r="P590" s="193"/>
      <c r="Q590" s="193"/>
      <c r="R590" s="193"/>
      <c r="S590" s="193"/>
      <c r="T590" s="193"/>
      <c r="U590" s="193"/>
      <c r="V590" s="193"/>
    </row>
    <row r="591" spans="14:22" x14ac:dyDescent="0.2">
      <c r="N591" s="193"/>
      <c r="O591" s="193"/>
      <c r="P591" s="193"/>
      <c r="Q591" s="193"/>
      <c r="R591" s="193"/>
      <c r="S591" s="193"/>
      <c r="T591" s="193"/>
      <c r="U591" s="193"/>
      <c r="V591" s="193"/>
    </row>
    <row r="592" spans="14:22" x14ac:dyDescent="0.2">
      <c r="N592" s="193"/>
      <c r="O592" s="193"/>
      <c r="P592" s="193"/>
      <c r="Q592" s="193"/>
      <c r="R592" s="193"/>
      <c r="S592" s="193"/>
      <c r="T592" s="193"/>
      <c r="U592" s="193"/>
      <c r="V592" s="193"/>
    </row>
    <row r="593" spans="14:22" x14ac:dyDescent="0.2">
      <c r="N593" s="193"/>
      <c r="O593" s="193"/>
      <c r="P593" s="193"/>
      <c r="Q593" s="193"/>
      <c r="R593" s="193"/>
      <c r="S593" s="193"/>
      <c r="T593" s="193"/>
      <c r="U593" s="193"/>
      <c r="V593" s="193"/>
    </row>
    <row r="594" spans="14:22" x14ac:dyDescent="0.2">
      <c r="N594" s="193"/>
      <c r="O594" s="193"/>
      <c r="P594" s="193"/>
      <c r="Q594" s="193"/>
      <c r="R594" s="193"/>
      <c r="S594" s="193"/>
      <c r="T594" s="193"/>
      <c r="U594" s="193"/>
      <c r="V594" s="193"/>
    </row>
    <row r="595" spans="14:22" x14ac:dyDescent="0.2">
      <c r="N595" s="193"/>
      <c r="O595" s="193"/>
      <c r="P595" s="193"/>
      <c r="Q595" s="193"/>
      <c r="R595" s="193"/>
      <c r="S595" s="193"/>
      <c r="T595" s="193"/>
      <c r="U595" s="193"/>
      <c r="V595" s="193"/>
    </row>
    <row r="596" spans="14:22" x14ac:dyDescent="0.2">
      <c r="N596" s="193"/>
      <c r="O596" s="193"/>
      <c r="P596" s="193"/>
      <c r="Q596" s="193"/>
      <c r="R596" s="193"/>
      <c r="S596" s="193"/>
      <c r="T596" s="193"/>
      <c r="U596" s="193"/>
      <c r="V596" s="193"/>
    </row>
    <row r="597" spans="14:22" x14ac:dyDescent="0.2">
      <c r="N597" s="193"/>
      <c r="O597" s="193"/>
      <c r="P597" s="193"/>
      <c r="Q597" s="193"/>
      <c r="R597" s="193"/>
      <c r="S597" s="193"/>
      <c r="T597" s="193"/>
      <c r="U597" s="193"/>
      <c r="V597" s="193"/>
    </row>
    <row r="598" spans="14:22" x14ac:dyDescent="0.2">
      <c r="N598" s="193"/>
      <c r="O598" s="193"/>
      <c r="P598" s="193"/>
      <c r="Q598" s="193"/>
      <c r="R598" s="193"/>
      <c r="S598" s="193"/>
      <c r="T598" s="193"/>
      <c r="U598" s="193"/>
      <c r="V598" s="193"/>
    </row>
    <row r="599" spans="14:22" x14ac:dyDescent="0.2">
      <c r="N599" s="193"/>
      <c r="O599" s="193"/>
      <c r="P599" s="193"/>
      <c r="Q599" s="193"/>
      <c r="R599" s="193"/>
      <c r="S599" s="193"/>
      <c r="T599" s="193"/>
      <c r="U599" s="193"/>
      <c r="V599" s="193"/>
    </row>
    <row r="600" spans="14:22" x14ac:dyDescent="0.2">
      <c r="N600" s="193"/>
      <c r="O600" s="193"/>
      <c r="P600" s="193"/>
      <c r="Q600" s="193"/>
      <c r="R600" s="193"/>
      <c r="S600" s="193"/>
      <c r="T600" s="193"/>
      <c r="U600" s="193"/>
      <c r="V600" s="193"/>
    </row>
    <row r="601" spans="14:22" x14ac:dyDescent="0.2">
      <c r="N601" s="193"/>
      <c r="O601" s="193"/>
      <c r="P601" s="193"/>
      <c r="Q601" s="193"/>
      <c r="R601" s="193"/>
      <c r="S601" s="193"/>
      <c r="T601" s="193"/>
      <c r="U601" s="193"/>
      <c r="V601" s="193"/>
    </row>
    <row r="602" spans="14:22" x14ac:dyDescent="0.2">
      <c r="N602" s="193"/>
      <c r="O602" s="193"/>
      <c r="P602" s="193"/>
      <c r="Q602" s="193"/>
      <c r="R602" s="193"/>
      <c r="S602" s="193"/>
      <c r="T602" s="193"/>
      <c r="U602" s="193"/>
      <c r="V602" s="193"/>
    </row>
    <row r="603" spans="14:22" x14ac:dyDescent="0.2">
      <c r="N603" s="193"/>
      <c r="O603" s="193"/>
      <c r="P603" s="193"/>
      <c r="Q603" s="193"/>
      <c r="R603" s="193"/>
      <c r="S603" s="193"/>
      <c r="T603" s="193"/>
      <c r="U603" s="193"/>
      <c r="V603" s="193"/>
    </row>
    <row r="604" spans="14:22" x14ac:dyDescent="0.2">
      <c r="N604" s="193"/>
      <c r="O604" s="193"/>
      <c r="P604" s="193"/>
      <c r="Q604" s="193"/>
      <c r="R604" s="193"/>
      <c r="S604" s="193"/>
      <c r="T604" s="193"/>
      <c r="U604" s="193"/>
      <c r="V604" s="193"/>
    </row>
    <row r="605" spans="14:22" x14ac:dyDescent="0.2">
      <c r="N605" s="193"/>
      <c r="O605" s="193"/>
      <c r="P605" s="193"/>
      <c r="Q605" s="193"/>
      <c r="R605" s="193"/>
      <c r="S605" s="193"/>
      <c r="T605" s="193"/>
      <c r="U605" s="193"/>
      <c r="V605" s="193"/>
    </row>
    <row r="606" spans="14:22" x14ac:dyDescent="0.2">
      <c r="N606" s="193"/>
      <c r="O606" s="193"/>
      <c r="P606" s="193"/>
      <c r="Q606" s="193"/>
      <c r="R606" s="193"/>
      <c r="S606" s="193"/>
      <c r="T606" s="193"/>
      <c r="U606" s="193"/>
      <c r="V606" s="193"/>
    </row>
    <row r="607" spans="14:22" x14ac:dyDescent="0.2">
      <c r="N607" s="193"/>
      <c r="O607" s="193"/>
      <c r="P607" s="193"/>
      <c r="Q607" s="193"/>
      <c r="R607" s="193"/>
      <c r="S607" s="193"/>
      <c r="T607" s="193"/>
      <c r="U607" s="193"/>
      <c r="V607" s="193"/>
    </row>
    <row r="608" spans="14:22" x14ac:dyDescent="0.2">
      <c r="N608" s="193"/>
      <c r="O608" s="193"/>
      <c r="P608" s="193"/>
      <c r="Q608" s="193"/>
      <c r="R608" s="193"/>
      <c r="S608" s="193"/>
      <c r="T608" s="193"/>
      <c r="U608" s="193"/>
      <c r="V608" s="193"/>
    </row>
    <row r="609" spans="14:22" x14ac:dyDescent="0.2">
      <c r="N609" s="193"/>
      <c r="O609" s="193"/>
      <c r="P609" s="193"/>
      <c r="Q609" s="193"/>
      <c r="R609" s="193"/>
      <c r="S609" s="193"/>
      <c r="T609" s="193"/>
      <c r="U609" s="193"/>
      <c r="V609" s="193"/>
    </row>
    <row r="610" spans="14:22" x14ac:dyDescent="0.2">
      <c r="N610" s="193"/>
      <c r="O610" s="193"/>
      <c r="P610" s="193"/>
      <c r="Q610" s="193"/>
      <c r="R610" s="193"/>
      <c r="S610" s="193"/>
      <c r="T610" s="193"/>
      <c r="U610" s="193"/>
      <c r="V610" s="193"/>
    </row>
    <row r="611" spans="14:22" x14ac:dyDescent="0.2">
      <c r="N611" s="193"/>
      <c r="O611" s="193"/>
      <c r="P611" s="193"/>
      <c r="Q611" s="193"/>
      <c r="R611" s="193"/>
      <c r="S611" s="193"/>
      <c r="T611" s="193"/>
      <c r="U611" s="193"/>
      <c r="V611" s="193"/>
    </row>
    <row r="612" spans="14:22" x14ac:dyDescent="0.2">
      <c r="N612" s="193"/>
      <c r="O612" s="193"/>
      <c r="P612" s="193"/>
      <c r="Q612" s="193"/>
      <c r="R612" s="193"/>
      <c r="S612" s="193"/>
      <c r="T612" s="193"/>
      <c r="U612" s="193"/>
      <c r="V612" s="193"/>
    </row>
    <row r="613" spans="14:22" x14ac:dyDescent="0.2">
      <c r="N613" s="193"/>
      <c r="O613" s="193"/>
      <c r="P613" s="193"/>
      <c r="Q613" s="193"/>
      <c r="R613" s="193"/>
      <c r="S613" s="193"/>
      <c r="T613" s="193"/>
      <c r="U613" s="193"/>
      <c r="V613" s="193"/>
    </row>
    <row r="614" spans="14:22" x14ac:dyDescent="0.2">
      <c r="N614" s="193"/>
      <c r="O614" s="193"/>
      <c r="P614" s="193"/>
      <c r="Q614" s="193"/>
      <c r="R614" s="193"/>
      <c r="S614" s="193"/>
      <c r="T614" s="193"/>
      <c r="U614" s="193"/>
      <c r="V614" s="193"/>
    </row>
    <row r="615" spans="14:22" x14ac:dyDescent="0.2">
      <c r="N615" s="193"/>
      <c r="O615" s="193"/>
      <c r="P615" s="193"/>
      <c r="Q615" s="193"/>
      <c r="R615" s="193"/>
      <c r="S615" s="193"/>
      <c r="T615" s="193"/>
      <c r="U615" s="193"/>
      <c r="V615" s="193"/>
    </row>
    <row r="616" spans="14:22" x14ac:dyDescent="0.2">
      <c r="N616" s="193"/>
      <c r="O616" s="193"/>
      <c r="P616" s="193"/>
      <c r="Q616" s="193"/>
      <c r="R616" s="193"/>
      <c r="S616" s="193"/>
      <c r="T616" s="193"/>
      <c r="U616" s="193"/>
      <c r="V616" s="193"/>
    </row>
    <row r="617" spans="14:22" x14ac:dyDescent="0.2">
      <c r="N617" s="193"/>
      <c r="O617" s="193"/>
      <c r="P617" s="193"/>
      <c r="Q617" s="193"/>
      <c r="R617" s="193"/>
      <c r="S617" s="193"/>
      <c r="T617" s="193"/>
      <c r="U617" s="193"/>
      <c r="V617" s="193"/>
    </row>
    <row r="618" spans="14:22" x14ac:dyDescent="0.2">
      <c r="N618" s="193"/>
      <c r="O618" s="193"/>
      <c r="P618" s="193"/>
      <c r="Q618" s="193"/>
      <c r="R618" s="193"/>
      <c r="S618" s="193"/>
      <c r="T618" s="193"/>
      <c r="U618" s="193"/>
      <c r="V618" s="193"/>
    </row>
    <row r="619" spans="14:22" x14ac:dyDescent="0.2">
      <c r="N619" s="193"/>
      <c r="O619" s="193"/>
      <c r="P619" s="193"/>
      <c r="Q619" s="193"/>
      <c r="R619" s="193"/>
      <c r="S619" s="193"/>
      <c r="T619" s="193"/>
      <c r="U619" s="193"/>
      <c r="V619" s="193"/>
    </row>
    <row r="620" spans="14:22" x14ac:dyDescent="0.2">
      <c r="N620" s="193"/>
      <c r="O620" s="193"/>
      <c r="P620" s="193"/>
      <c r="Q620" s="193"/>
      <c r="R620" s="193"/>
      <c r="S620" s="193"/>
      <c r="T620" s="193"/>
      <c r="U620" s="193"/>
      <c r="V620" s="193"/>
    </row>
    <row r="621" spans="14:22" x14ac:dyDescent="0.2">
      <c r="N621" s="193"/>
      <c r="O621" s="193"/>
      <c r="P621" s="193"/>
      <c r="Q621" s="193"/>
      <c r="R621" s="193"/>
      <c r="S621" s="193"/>
      <c r="T621" s="193"/>
      <c r="U621" s="193"/>
      <c r="V621" s="193"/>
    </row>
    <row r="622" spans="14:22" x14ac:dyDescent="0.2">
      <c r="N622" s="193"/>
      <c r="O622" s="193"/>
      <c r="P622" s="193"/>
      <c r="Q622" s="193"/>
      <c r="R622" s="193"/>
      <c r="S622" s="193"/>
      <c r="T622" s="193"/>
      <c r="U622" s="193"/>
      <c r="V622" s="193"/>
    </row>
    <row r="623" spans="14:22" x14ac:dyDescent="0.2">
      <c r="N623" s="193"/>
      <c r="O623" s="193"/>
      <c r="P623" s="193"/>
      <c r="Q623" s="193"/>
      <c r="R623" s="193"/>
      <c r="S623" s="193"/>
      <c r="T623" s="193"/>
      <c r="U623" s="193"/>
      <c r="V623" s="193"/>
    </row>
    <row r="624" spans="14:22" x14ac:dyDescent="0.2">
      <c r="N624" s="193"/>
      <c r="O624" s="193"/>
      <c r="P624" s="193"/>
      <c r="Q624" s="193"/>
      <c r="R624" s="193"/>
      <c r="S624" s="193"/>
      <c r="T624" s="193"/>
      <c r="U624" s="193"/>
      <c r="V624" s="193"/>
    </row>
    <row r="625" spans="14:22" x14ac:dyDescent="0.2">
      <c r="N625" s="193"/>
      <c r="O625" s="193"/>
      <c r="P625" s="193"/>
      <c r="Q625" s="193"/>
      <c r="R625" s="193"/>
      <c r="S625" s="193"/>
      <c r="T625" s="193"/>
      <c r="U625" s="193"/>
      <c r="V625" s="193"/>
    </row>
    <row r="626" spans="14:22" x14ac:dyDescent="0.2">
      <c r="N626" s="193"/>
      <c r="O626" s="193"/>
      <c r="P626" s="193"/>
      <c r="Q626" s="193"/>
      <c r="R626" s="193"/>
      <c r="S626" s="193"/>
      <c r="T626" s="193"/>
      <c r="U626" s="193"/>
      <c r="V626" s="193"/>
    </row>
    <row r="627" spans="14:22" x14ac:dyDescent="0.2">
      <c r="N627" s="193"/>
      <c r="O627" s="193"/>
      <c r="P627" s="193"/>
      <c r="Q627" s="193"/>
      <c r="R627" s="193"/>
      <c r="S627" s="193"/>
      <c r="T627" s="193"/>
      <c r="U627" s="193"/>
      <c r="V627" s="193"/>
    </row>
    <row r="628" spans="14:22" x14ac:dyDescent="0.2">
      <c r="N628" s="193"/>
      <c r="O628" s="193"/>
      <c r="P628" s="193"/>
      <c r="Q628" s="193"/>
      <c r="R628" s="193"/>
      <c r="S628" s="193"/>
      <c r="T628" s="193"/>
      <c r="U628" s="193"/>
      <c r="V628" s="193"/>
    </row>
    <row r="629" spans="14:22" x14ac:dyDescent="0.2">
      <c r="N629" s="193"/>
      <c r="O629" s="193"/>
      <c r="P629" s="193"/>
      <c r="Q629" s="193"/>
      <c r="R629" s="193"/>
      <c r="S629" s="193"/>
      <c r="T629" s="193"/>
      <c r="U629" s="193"/>
      <c r="V629" s="193"/>
    </row>
    <row r="630" spans="14:22" x14ac:dyDescent="0.2">
      <c r="N630" s="193"/>
      <c r="O630" s="193"/>
      <c r="P630" s="193"/>
      <c r="Q630" s="193"/>
      <c r="R630" s="193"/>
      <c r="S630" s="193"/>
      <c r="T630" s="193"/>
      <c r="U630" s="193"/>
      <c r="V630" s="193"/>
    </row>
    <row r="631" spans="14:22" x14ac:dyDescent="0.2">
      <c r="N631" s="193"/>
      <c r="O631" s="193"/>
      <c r="P631" s="193"/>
      <c r="Q631" s="193"/>
      <c r="R631" s="193"/>
      <c r="S631" s="193"/>
      <c r="T631" s="193"/>
      <c r="U631" s="193"/>
      <c r="V631" s="193"/>
    </row>
    <row r="632" spans="14:22" x14ac:dyDescent="0.2">
      <c r="N632" s="193"/>
      <c r="O632" s="193"/>
      <c r="P632" s="193"/>
      <c r="Q632" s="193"/>
      <c r="R632" s="193"/>
      <c r="S632" s="193"/>
      <c r="T632" s="193"/>
      <c r="U632" s="193"/>
      <c r="V632" s="193"/>
    </row>
    <row r="633" spans="14:22" x14ac:dyDescent="0.2">
      <c r="N633" s="193"/>
      <c r="O633" s="193"/>
      <c r="P633" s="193"/>
      <c r="Q633" s="193"/>
      <c r="R633" s="193"/>
      <c r="S633" s="193"/>
      <c r="T633" s="193"/>
      <c r="U633" s="193"/>
      <c r="V633" s="193"/>
    </row>
    <row r="634" spans="14:22" x14ac:dyDescent="0.2">
      <c r="N634" s="193"/>
      <c r="O634" s="193"/>
      <c r="P634" s="193"/>
      <c r="Q634" s="193"/>
      <c r="R634" s="193"/>
      <c r="S634" s="193"/>
      <c r="T634" s="193"/>
      <c r="U634" s="193"/>
      <c r="V634" s="193"/>
    </row>
    <row r="635" spans="14:22" x14ac:dyDescent="0.2">
      <c r="N635" s="193"/>
      <c r="O635" s="193"/>
      <c r="P635" s="193"/>
      <c r="Q635" s="193"/>
      <c r="R635" s="193"/>
      <c r="S635" s="193"/>
      <c r="T635" s="193"/>
      <c r="U635" s="193"/>
      <c r="V635" s="193"/>
    </row>
    <row r="636" spans="14:22" x14ac:dyDescent="0.2">
      <c r="N636" s="193"/>
      <c r="O636" s="193"/>
      <c r="P636" s="193"/>
      <c r="Q636" s="193"/>
      <c r="R636" s="193"/>
      <c r="S636" s="193"/>
      <c r="T636" s="193"/>
      <c r="U636" s="193"/>
      <c r="V636" s="193"/>
    </row>
    <row r="637" spans="14:22" x14ac:dyDescent="0.2">
      <c r="N637" s="193"/>
      <c r="O637" s="193"/>
      <c r="P637" s="193"/>
      <c r="Q637" s="193"/>
      <c r="R637" s="193"/>
      <c r="S637" s="193"/>
      <c r="T637" s="193"/>
      <c r="U637" s="193"/>
      <c r="V637" s="193"/>
    </row>
    <row r="638" spans="14:22" x14ac:dyDescent="0.2">
      <c r="N638" s="193"/>
      <c r="O638" s="193"/>
      <c r="P638" s="193"/>
      <c r="Q638" s="193"/>
      <c r="R638" s="193"/>
      <c r="S638" s="193"/>
      <c r="T638" s="193"/>
      <c r="U638" s="193"/>
      <c r="V638" s="193"/>
    </row>
    <row r="639" spans="14:22" x14ac:dyDescent="0.2">
      <c r="N639" s="193"/>
      <c r="O639" s="193"/>
      <c r="P639" s="193"/>
      <c r="Q639" s="193"/>
      <c r="R639" s="193"/>
      <c r="S639" s="193"/>
      <c r="T639" s="193"/>
      <c r="U639" s="193"/>
      <c r="V639" s="193"/>
    </row>
    <row r="640" spans="14:22" x14ac:dyDescent="0.2">
      <c r="N640" s="193"/>
      <c r="O640" s="193"/>
      <c r="P640" s="193"/>
      <c r="Q640" s="193"/>
      <c r="R640" s="193"/>
      <c r="S640" s="193"/>
      <c r="T640" s="193"/>
      <c r="U640" s="193"/>
      <c r="V640" s="193"/>
    </row>
    <row r="641" spans="14:22" x14ac:dyDescent="0.2">
      <c r="N641" s="193"/>
      <c r="O641" s="193"/>
      <c r="P641" s="193"/>
      <c r="Q641" s="193"/>
      <c r="R641" s="193"/>
      <c r="S641" s="193"/>
      <c r="T641" s="193"/>
      <c r="U641" s="193"/>
      <c r="V641" s="193"/>
    </row>
    <row r="642" spans="14:22" x14ac:dyDescent="0.2">
      <c r="N642" s="193"/>
      <c r="O642" s="193"/>
      <c r="P642" s="193"/>
      <c r="Q642" s="193"/>
      <c r="R642" s="193"/>
      <c r="S642" s="193"/>
      <c r="T642" s="193"/>
      <c r="U642" s="193"/>
      <c r="V642" s="193"/>
    </row>
    <row r="643" spans="14:22" x14ac:dyDescent="0.2">
      <c r="N643" s="193"/>
      <c r="O643" s="193"/>
      <c r="P643" s="193"/>
      <c r="Q643" s="193"/>
      <c r="R643" s="193"/>
      <c r="S643" s="193"/>
      <c r="T643" s="193"/>
      <c r="U643" s="193"/>
      <c r="V643" s="193"/>
    </row>
    <row r="644" spans="14:22" x14ac:dyDescent="0.2">
      <c r="N644" s="193"/>
      <c r="O644" s="193"/>
      <c r="P644" s="193"/>
      <c r="Q644" s="193"/>
      <c r="R644" s="193"/>
      <c r="S644" s="193"/>
      <c r="T644" s="193"/>
      <c r="U644" s="193"/>
      <c r="V644" s="193"/>
    </row>
    <row r="645" spans="14:22" x14ac:dyDescent="0.2">
      <c r="N645" s="193"/>
      <c r="O645" s="193"/>
      <c r="P645" s="193"/>
      <c r="Q645" s="193"/>
      <c r="R645" s="193"/>
      <c r="S645" s="193"/>
      <c r="T645" s="193"/>
      <c r="U645" s="193"/>
      <c r="V645" s="193"/>
    </row>
    <row r="646" spans="14:22" x14ac:dyDescent="0.2">
      <c r="N646" s="193"/>
      <c r="O646" s="193"/>
      <c r="P646" s="193"/>
      <c r="Q646" s="193"/>
      <c r="R646" s="193"/>
      <c r="S646" s="193"/>
      <c r="T646" s="193"/>
      <c r="U646" s="193"/>
      <c r="V646" s="193"/>
    </row>
    <row r="647" spans="14:22" x14ac:dyDescent="0.2">
      <c r="N647" s="193"/>
      <c r="O647" s="193"/>
      <c r="P647" s="193"/>
      <c r="Q647" s="193"/>
      <c r="R647" s="193"/>
      <c r="S647" s="193"/>
      <c r="T647" s="193"/>
      <c r="U647" s="193"/>
      <c r="V647" s="193"/>
    </row>
    <row r="648" spans="14:22" x14ac:dyDescent="0.2">
      <c r="N648" s="193"/>
      <c r="O648" s="193"/>
      <c r="P648" s="193"/>
      <c r="Q648" s="193"/>
      <c r="R648" s="193"/>
      <c r="S648" s="193"/>
      <c r="T648" s="193"/>
      <c r="U648" s="193"/>
      <c r="V648" s="193"/>
    </row>
    <row r="649" spans="14:22" x14ac:dyDescent="0.2">
      <c r="N649" s="193"/>
      <c r="O649" s="193"/>
      <c r="P649" s="193"/>
      <c r="Q649" s="193"/>
      <c r="R649" s="193"/>
      <c r="S649" s="193"/>
      <c r="T649" s="193"/>
      <c r="U649" s="193"/>
      <c r="V649" s="193"/>
    </row>
    <row r="650" spans="14:22" x14ac:dyDescent="0.2">
      <c r="N650" s="193"/>
      <c r="O650" s="193"/>
      <c r="P650" s="193"/>
      <c r="Q650" s="193"/>
      <c r="R650" s="193"/>
      <c r="S650" s="193"/>
      <c r="T650" s="193"/>
      <c r="U650" s="193"/>
      <c r="V650" s="193"/>
    </row>
    <row r="651" spans="14:22" x14ac:dyDescent="0.2">
      <c r="N651" s="193"/>
      <c r="O651" s="193"/>
      <c r="P651" s="193"/>
      <c r="Q651" s="193"/>
      <c r="R651" s="193"/>
      <c r="S651" s="193"/>
      <c r="T651" s="193"/>
      <c r="U651" s="193"/>
      <c r="V651" s="193"/>
    </row>
    <row r="652" spans="14:22" x14ac:dyDescent="0.2">
      <c r="N652" s="193"/>
      <c r="O652" s="193"/>
      <c r="P652" s="193"/>
      <c r="Q652" s="193"/>
      <c r="R652" s="193"/>
      <c r="S652" s="193"/>
      <c r="T652" s="193"/>
      <c r="U652" s="193"/>
      <c r="V652" s="193"/>
    </row>
    <row r="653" spans="14:22" x14ac:dyDescent="0.2">
      <c r="N653" s="193"/>
      <c r="O653" s="193"/>
      <c r="P653" s="193"/>
      <c r="Q653" s="193"/>
      <c r="R653" s="193"/>
      <c r="S653" s="193"/>
      <c r="T653" s="193"/>
      <c r="U653" s="193"/>
      <c r="V653" s="193"/>
    </row>
    <row r="654" spans="14:22" x14ac:dyDescent="0.2">
      <c r="N654" s="193"/>
      <c r="O654" s="193"/>
      <c r="P654" s="193"/>
      <c r="Q654" s="193"/>
      <c r="R654" s="193"/>
      <c r="S654" s="193"/>
      <c r="T654" s="193"/>
      <c r="U654" s="193"/>
      <c r="V654" s="193"/>
    </row>
    <row r="655" spans="14:22" x14ac:dyDescent="0.2">
      <c r="N655" s="193"/>
      <c r="O655" s="193"/>
      <c r="P655" s="193"/>
      <c r="Q655" s="193"/>
      <c r="R655" s="193"/>
      <c r="S655" s="193"/>
      <c r="T655" s="193"/>
      <c r="U655" s="193"/>
      <c r="V655" s="193"/>
    </row>
    <row r="656" spans="14:22" x14ac:dyDescent="0.2">
      <c r="N656" s="193"/>
      <c r="O656" s="193"/>
      <c r="P656" s="193"/>
      <c r="Q656" s="193"/>
      <c r="R656" s="193"/>
      <c r="S656" s="193"/>
      <c r="T656" s="193"/>
      <c r="U656" s="193"/>
      <c r="V656" s="193"/>
    </row>
    <row r="657" spans="14:22" x14ac:dyDescent="0.2">
      <c r="N657" s="193"/>
      <c r="O657" s="193"/>
      <c r="P657" s="193"/>
      <c r="Q657" s="193"/>
      <c r="R657" s="193"/>
      <c r="S657" s="193"/>
      <c r="T657" s="193"/>
      <c r="U657" s="193"/>
      <c r="V657" s="193"/>
    </row>
    <row r="658" spans="14:22" x14ac:dyDescent="0.2">
      <c r="N658" s="193"/>
      <c r="O658" s="193"/>
      <c r="P658" s="193"/>
      <c r="Q658" s="193"/>
      <c r="R658" s="193"/>
      <c r="S658" s="193"/>
      <c r="T658" s="193"/>
      <c r="U658" s="193"/>
      <c r="V658" s="193"/>
    </row>
    <row r="659" spans="14:22" x14ac:dyDescent="0.2">
      <c r="N659" s="193"/>
      <c r="O659" s="193"/>
      <c r="P659" s="193"/>
      <c r="Q659" s="193"/>
      <c r="R659" s="193"/>
      <c r="S659" s="193"/>
      <c r="T659" s="193"/>
      <c r="U659" s="193"/>
      <c r="V659" s="193"/>
    </row>
    <row r="660" spans="14:22" x14ac:dyDescent="0.2">
      <c r="N660" s="193"/>
      <c r="O660" s="193"/>
      <c r="P660" s="193"/>
      <c r="Q660" s="193"/>
      <c r="R660" s="193"/>
      <c r="S660" s="193"/>
      <c r="T660" s="193"/>
      <c r="U660" s="193"/>
      <c r="V660" s="193"/>
    </row>
    <row r="661" spans="14:22" x14ac:dyDescent="0.2">
      <c r="N661" s="193"/>
      <c r="O661" s="193"/>
      <c r="P661" s="193"/>
      <c r="Q661" s="193"/>
      <c r="R661" s="193"/>
      <c r="S661" s="193"/>
      <c r="T661" s="193"/>
      <c r="U661" s="193"/>
      <c r="V661" s="193"/>
    </row>
    <row r="662" spans="14:22" x14ac:dyDescent="0.2">
      <c r="N662" s="193"/>
      <c r="O662" s="193"/>
      <c r="P662" s="193"/>
      <c r="Q662" s="193"/>
      <c r="R662" s="193"/>
      <c r="S662" s="193"/>
      <c r="T662" s="193"/>
      <c r="U662" s="193"/>
      <c r="V662" s="193"/>
    </row>
    <row r="663" spans="14:22" x14ac:dyDescent="0.2">
      <c r="N663" s="193"/>
      <c r="O663" s="193"/>
      <c r="P663" s="193"/>
      <c r="Q663" s="193"/>
      <c r="R663" s="193"/>
      <c r="S663" s="193"/>
      <c r="T663" s="193"/>
      <c r="U663" s="193"/>
      <c r="V663" s="193"/>
    </row>
    <row r="664" spans="14:22" x14ac:dyDescent="0.2">
      <c r="N664" s="193"/>
      <c r="O664" s="193"/>
      <c r="P664" s="193"/>
      <c r="Q664" s="193"/>
      <c r="R664" s="193"/>
      <c r="S664" s="193"/>
      <c r="T664" s="193"/>
      <c r="U664" s="193"/>
      <c r="V664" s="193"/>
    </row>
    <row r="665" spans="14:22" x14ac:dyDescent="0.2">
      <c r="N665" s="193"/>
      <c r="O665" s="193"/>
      <c r="P665" s="193"/>
      <c r="Q665" s="193"/>
      <c r="R665" s="193"/>
      <c r="S665" s="193"/>
      <c r="T665" s="193"/>
      <c r="U665" s="193"/>
      <c r="V665" s="193"/>
    </row>
    <row r="666" spans="14:22" x14ac:dyDescent="0.2">
      <c r="N666" s="193"/>
      <c r="O666" s="193"/>
      <c r="P666" s="193"/>
      <c r="Q666" s="193"/>
      <c r="R666" s="193"/>
      <c r="S666" s="193"/>
      <c r="T666" s="193"/>
      <c r="U666" s="193"/>
      <c r="V666" s="193"/>
    </row>
    <row r="667" spans="14:22" x14ac:dyDescent="0.2">
      <c r="N667" s="193"/>
      <c r="O667" s="193"/>
      <c r="P667" s="193"/>
      <c r="Q667" s="193"/>
      <c r="R667" s="193"/>
      <c r="S667" s="193"/>
      <c r="T667" s="193"/>
      <c r="U667" s="193"/>
      <c r="V667" s="193"/>
    </row>
    <row r="668" spans="14:22" x14ac:dyDescent="0.2">
      <c r="N668" s="193"/>
      <c r="O668" s="193"/>
      <c r="P668" s="193"/>
      <c r="Q668" s="193"/>
      <c r="R668" s="193"/>
      <c r="S668" s="193"/>
      <c r="T668" s="193"/>
      <c r="U668" s="193"/>
      <c r="V668" s="193"/>
    </row>
    <row r="669" spans="14:22" x14ac:dyDescent="0.2">
      <c r="N669" s="193"/>
      <c r="O669" s="193"/>
      <c r="P669" s="193"/>
      <c r="Q669" s="193"/>
      <c r="R669" s="193"/>
      <c r="S669" s="193"/>
      <c r="T669" s="193"/>
      <c r="U669" s="193"/>
      <c r="V669" s="193"/>
    </row>
    <row r="670" spans="14:22" x14ac:dyDescent="0.2">
      <c r="N670" s="193"/>
      <c r="O670" s="193"/>
      <c r="P670" s="193"/>
      <c r="Q670" s="193"/>
      <c r="R670" s="193"/>
      <c r="S670" s="193"/>
      <c r="T670" s="193"/>
      <c r="U670" s="193"/>
      <c r="V670" s="193"/>
    </row>
    <row r="671" spans="14:22" x14ac:dyDescent="0.2">
      <c r="N671" s="193"/>
      <c r="O671" s="193"/>
      <c r="P671" s="193"/>
      <c r="Q671" s="193"/>
      <c r="R671" s="193"/>
      <c r="S671" s="193"/>
      <c r="T671" s="193"/>
      <c r="U671" s="193"/>
      <c r="V671" s="193"/>
    </row>
    <row r="672" spans="14:22" x14ac:dyDescent="0.2">
      <c r="N672" s="193"/>
      <c r="O672" s="193"/>
      <c r="P672" s="193"/>
      <c r="Q672" s="193"/>
      <c r="R672" s="193"/>
      <c r="S672" s="193"/>
      <c r="T672" s="193"/>
      <c r="U672" s="193"/>
      <c r="V672" s="193"/>
    </row>
    <row r="673" spans="14:22" x14ac:dyDescent="0.2">
      <c r="N673" s="193"/>
      <c r="O673" s="193"/>
      <c r="P673" s="193"/>
      <c r="Q673" s="193"/>
      <c r="R673" s="193"/>
      <c r="S673" s="193"/>
      <c r="T673" s="193"/>
      <c r="U673" s="193"/>
      <c r="V673" s="193"/>
    </row>
    <row r="674" spans="14:22" x14ac:dyDescent="0.2">
      <c r="N674" s="193"/>
      <c r="O674" s="193"/>
      <c r="P674" s="193"/>
      <c r="Q674" s="193"/>
      <c r="R674" s="193"/>
      <c r="S674" s="193"/>
      <c r="T674" s="193"/>
      <c r="U674" s="193"/>
      <c r="V674" s="193"/>
    </row>
    <row r="675" spans="14:22" x14ac:dyDescent="0.2">
      <c r="N675" s="193"/>
      <c r="O675" s="193"/>
      <c r="P675" s="193"/>
      <c r="Q675" s="193"/>
      <c r="R675" s="193"/>
      <c r="S675" s="193"/>
      <c r="T675" s="193"/>
      <c r="U675" s="193"/>
      <c r="V675" s="193"/>
    </row>
    <row r="676" spans="14:22" x14ac:dyDescent="0.2">
      <c r="N676" s="193"/>
      <c r="O676" s="193"/>
      <c r="P676" s="193"/>
      <c r="Q676" s="193"/>
      <c r="R676" s="193"/>
      <c r="S676" s="193"/>
      <c r="T676" s="193"/>
      <c r="U676" s="193"/>
      <c r="V676" s="193"/>
    </row>
    <row r="677" spans="14:22" x14ac:dyDescent="0.2">
      <c r="N677" s="193"/>
      <c r="O677" s="193"/>
      <c r="P677" s="193"/>
      <c r="Q677" s="193"/>
      <c r="R677" s="193"/>
      <c r="S677" s="193"/>
      <c r="T677" s="193"/>
      <c r="U677" s="193"/>
      <c r="V677" s="193"/>
    </row>
    <row r="678" spans="14:22" x14ac:dyDescent="0.2">
      <c r="N678" s="193"/>
      <c r="O678" s="193"/>
      <c r="P678" s="193"/>
      <c r="Q678" s="193"/>
      <c r="R678" s="193"/>
      <c r="S678" s="193"/>
      <c r="T678" s="193"/>
      <c r="U678" s="193"/>
      <c r="V678" s="193"/>
    </row>
    <row r="679" spans="14:22" x14ac:dyDescent="0.2">
      <c r="N679" s="193"/>
      <c r="O679" s="193"/>
      <c r="P679" s="193"/>
      <c r="Q679" s="193"/>
      <c r="R679" s="193"/>
      <c r="S679" s="193"/>
      <c r="T679" s="193"/>
      <c r="U679" s="193"/>
      <c r="V679" s="193"/>
    </row>
    <row r="680" spans="14:22" x14ac:dyDescent="0.2">
      <c r="N680" s="193"/>
      <c r="O680" s="193"/>
      <c r="P680" s="193"/>
      <c r="Q680" s="193"/>
      <c r="R680" s="193"/>
      <c r="S680" s="193"/>
      <c r="T680" s="193"/>
      <c r="U680" s="193"/>
      <c r="V680" s="193"/>
    </row>
    <row r="681" spans="14:22" x14ac:dyDescent="0.2">
      <c r="N681" s="193"/>
      <c r="O681" s="193"/>
      <c r="P681" s="193"/>
      <c r="Q681" s="193"/>
      <c r="R681" s="193"/>
      <c r="S681" s="193"/>
      <c r="T681" s="193"/>
      <c r="U681" s="193"/>
      <c r="V681" s="193"/>
    </row>
    <row r="682" spans="14:22" x14ac:dyDescent="0.2">
      <c r="N682" s="193"/>
      <c r="O682" s="193"/>
      <c r="P682" s="193"/>
      <c r="Q682" s="193"/>
      <c r="R682" s="193"/>
      <c r="S682" s="193"/>
      <c r="T682" s="193"/>
      <c r="U682" s="193"/>
      <c r="V682" s="193"/>
    </row>
    <row r="683" spans="14:22" x14ac:dyDescent="0.2">
      <c r="N683" s="193"/>
      <c r="O683" s="193"/>
      <c r="P683" s="193"/>
      <c r="Q683" s="193"/>
      <c r="R683" s="193"/>
      <c r="S683" s="193"/>
      <c r="T683" s="193"/>
      <c r="U683" s="193"/>
      <c r="V683" s="193"/>
    </row>
    <row r="684" spans="14:22" x14ac:dyDescent="0.2">
      <c r="N684" s="193"/>
      <c r="O684" s="193"/>
      <c r="P684" s="193"/>
      <c r="Q684" s="193"/>
      <c r="R684" s="193"/>
      <c r="S684" s="193"/>
      <c r="T684" s="193"/>
      <c r="U684" s="193"/>
      <c r="V684" s="193"/>
    </row>
    <row r="685" spans="14:22" x14ac:dyDescent="0.2">
      <c r="N685" s="193"/>
      <c r="O685" s="193"/>
      <c r="P685" s="193"/>
      <c r="Q685" s="193"/>
      <c r="R685" s="193"/>
      <c r="S685" s="193"/>
      <c r="T685" s="193"/>
      <c r="U685" s="193"/>
      <c r="V685" s="193"/>
    </row>
    <row r="686" spans="14:22" x14ac:dyDescent="0.2">
      <c r="N686" s="193"/>
      <c r="O686" s="193"/>
      <c r="P686" s="193"/>
      <c r="Q686" s="193"/>
      <c r="R686" s="193"/>
      <c r="S686" s="193"/>
      <c r="T686" s="193"/>
      <c r="U686" s="193"/>
      <c r="V686" s="193"/>
    </row>
    <row r="687" spans="14:22" x14ac:dyDescent="0.2">
      <c r="N687" s="193"/>
      <c r="O687" s="193"/>
      <c r="P687" s="193"/>
      <c r="Q687" s="193"/>
      <c r="R687" s="193"/>
      <c r="S687" s="193"/>
      <c r="T687" s="193"/>
      <c r="U687" s="193"/>
      <c r="V687" s="193"/>
    </row>
    <row r="688" spans="14:22" x14ac:dyDescent="0.2">
      <c r="N688" s="193"/>
      <c r="O688" s="193"/>
      <c r="P688" s="193"/>
      <c r="Q688" s="193"/>
      <c r="R688" s="193"/>
      <c r="S688" s="193"/>
      <c r="T688" s="193"/>
      <c r="U688" s="193"/>
      <c r="V688" s="193"/>
    </row>
    <row r="689" spans="14:22" x14ac:dyDescent="0.2">
      <c r="N689" s="193"/>
      <c r="O689" s="193"/>
      <c r="P689" s="193"/>
      <c r="Q689" s="193"/>
      <c r="R689" s="193"/>
      <c r="S689" s="193"/>
      <c r="T689" s="193"/>
      <c r="U689" s="193"/>
      <c r="V689" s="193"/>
    </row>
    <row r="690" spans="14:22" x14ac:dyDescent="0.2">
      <c r="N690" s="193"/>
      <c r="O690" s="193"/>
      <c r="P690" s="193"/>
      <c r="Q690" s="193"/>
      <c r="R690" s="193"/>
      <c r="S690" s="193"/>
      <c r="T690" s="193"/>
      <c r="U690" s="193"/>
      <c r="V690" s="193"/>
    </row>
    <row r="691" spans="14:22" x14ac:dyDescent="0.2">
      <c r="N691" s="193"/>
      <c r="O691" s="193"/>
      <c r="P691" s="193"/>
      <c r="Q691" s="193"/>
      <c r="R691" s="193"/>
      <c r="S691" s="193"/>
      <c r="T691" s="193"/>
      <c r="U691" s="193"/>
      <c r="V691" s="193"/>
    </row>
    <row r="692" spans="14:22" x14ac:dyDescent="0.2">
      <c r="N692" s="193"/>
      <c r="O692" s="193"/>
      <c r="P692" s="193"/>
      <c r="Q692" s="193"/>
      <c r="R692" s="193"/>
      <c r="S692" s="193"/>
      <c r="T692" s="193"/>
      <c r="U692" s="193"/>
      <c r="V692" s="193"/>
    </row>
    <row r="693" spans="14:22" x14ac:dyDescent="0.2">
      <c r="N693" s="193"/>
      <c r="O693" s="193"/>
      <c r="P693" s="193"/>
      <c r="Q693" s="193"/>
      <c r="R693" s="193"/>
      <c r="S693" s="193"/>
      <c r="T693" s="193"/>
      <c r="U693" s="193"/>
      <c r="V693" s="193"/>
    </row>
    <row r="694" spans="14:22" x14ac:dyDescent="0.2">
      <c r="N694" s="193"/>
      <c r="O694" s="193"/>
      <c r="P694" s="193"/>
      <c r="Q694" s="193"/>
      <c r="R694" s="193"/>
      <c r="S694" s="193"/>
      <c r="T694" s="193"/>
      <c r="U694" s="193"/>
      <c r="V694" s="193"/>
    </row>
    <row r="695" spans="14:22" x14ac:dyDescent="0.2">
      <c r="N695" s="193"/>
      <c r="O695" s="193"/>
      <c r="P695" s="193"/>
      <c r="Q695" s="193"/>
      <c r="R695" s="193"/>
      <c r="S695" s="193"/>
      <c r="T695" s="193"/>
      <c r="U695" s="193"/>
      <c r="V695" s="193"/>
    </row>
    <row r="696" spans="14:22" x14ac:dyDescent="0.2">
      <c r="N696" s="193"/>
      <c r="O696" s="193"/>
      <c r="P696" s="193"/>
      <c r="Q696" s="193"/>
      <c r="R696" s="193"/>
      <c r="S696" s="193"/>
      <c r="T696" s="193"/>
      <c r="U696" s="193"/>
      <c r="V696" s="193"/>
    </row>
    <row r="697" spans="14:22" x14ac:dyDescent="0.2">
      <c r="N697" s="193"/>
      <c r="O697" s="193"/>
      <c r="P697" s="193"/>
      <c r="Q697" s="193"/>
      <c r="R697" s="193"/>
      <c r="S697" s="193"/>
      <c r="T697" s="193"/>
      <c r="U697" s="193"/>
      <c r="V697" s="193"/>
    </row>
    <row r="698" spans="14:22" x14ac:dyDescent="0.2">
      <c r="N698" s="193"/>
      <c r="O698" s="193"/>
      <c r="P698" s="193"/>
      <c r="Q698" s="193"/>
      <c r="R698" s="193"/>
      <c r="S698" s="193"/>
      <c r="T698" s="193"/>
      <c r="U698" s="193"/>
      <c r="V698" s="193"/>
    </row>
    <row r="699" spans="14:22" x14ac:dyDescent="0.2">
      <c r="N699" s="193"/>
      <c r="O699" s="193"/>
      <c r="P699" s="193"/>
      <c r="Q699" s="193"/>
      <c r="R699" s="193"/>
      <c r="S699" s="193"/>
      <c r="T699" s="193"/>
      <c r="U699" s="193"/>
      <c r="V699" s="193"/>
    </row>
    <row r="700" spans="14:22" x14ac:dyDescent="0.2">
      <c r="N700" s="193"/>
      <c r="O700" s="193"/>
      <c r="P700" s="193"/>
      <c r="Q700" s="193"/>
      <c r="R700" s="193"/>
      <c r="S700" s="193"/>
      <c r="T700" s="193"/>
      <c r="U700" s="193"/>
      <c r="V700" s="193"/>
    </row>
    <row r="701" spans="14:22" x14ac:dyDescent="0.2">
      <c r="N701" s="193"/>
      <c r="O701" s="193"/>
      <c r="P701" s="193"/>
      <c r="Q701" s="193"/>
      <c r="R701" s="193"/>
      <c r="S701" s="193"/>
      <c r="T701" s="193"/>
      <c r="U701" s="193"/>
      <c r="V701" s="193"/>
    </row>
    <row r="702" spans="14:22" x14ac:dyDescent="0.2">
      <c r="N702" s="193"/>
      <c r="O702" s="193"/>
      <c r="P702" s="193"/>
      <c r="Q702" s="193"/>
      <c r="R702" s="193"/>
      <c r="S702" s="193"/>
      <c r="T702" s="193"/>
      <c r="U702" s="193"/>
      <c r="V702" s="193"/>
    </row>
    <row r="703" spans="14:22" x14ac:dyDescent="0.2">
      <c r="N703" s="193"/>
      <c r="O703" s="193"/>
      <c r="P703" s="193"/>
      <c r="Q703" s="193"/>
      <c r="R703" s="193"/>
      <c r="S703" s="193"/>
      <c r="T703" s="193"/>
      <c r="U703" s="193"/>
      <c r="V703" s="193"/>
    </row>
    <row r="704" spans="14:22" x14ac:dyDescent="0.2">
      <c r="N704" s="193"/>
      <c r="O704" s="193"/>
      <c r="P704" s="193"/>
      <c r="Q704" s="193"/>
      <c r="R704" s="193"/>
      <c r="S704" s="193"/>
      <c r="T704" s="193"/>
      <c r="U704" s="193"/>
      <c r="V704" s="193"/>
    </row>
    <row r="705" spans="14:22" x14ac:dyDescent="0.2">
      <c r="N705" s="193"/>
      <c r="O705" s="193"/>
      <c r="P705" s="193"/>
      <c r="Q705" s="193"/>
      <c r="R705" s="193"/>
      <c r="S705" s="193"/>
      <c r="T705" s="193"/>
      <c r="U705" s="193"/>
      <c r="V705" s="193"/>
    </row>
    <row r="706" spans="14:22" x14ac:dyDescent="0.2">
      <c r="N706" s="193"/>
      <c r="O706" s="193"/>
      <c r="P706" s="193"/>
      <c r="Q706" s="193"/>
      <c r="R706" s="193"/>
      <c r="S706" s="193"/>
      <c r="T706" s="193"/>
      <c r="U706" s="193"/>
      <c r="V706" s="193"/>
    </row>
    <row r="707" spans="14:22" x14ac:dyDescent="0.2">
      <c r="N707" s="193"/>
      <c r="O707" s="193"/>
      <c r="P707" s="193"/>
      <c r="Q707" s="193"/>
      <c r="R707" s="193"/>
      <c r="S707" s="193"/>
      <c r="T707" s="193"/>
      <c r="U707" s="193"/>
      <c r="V707" s="193"/>
    </row>
    <row r="708" spans="14:22" x14ac:dyDescent="0.2">
      <c r="N708" s="193"/>
      <c r="O708" s="193"/>
      <c r="P708" s="193"/>
      <c r="Q708" s="193"/>
      <c r="R708" s="193"/>
      <c r="S708" s="193"/>
      <c r="T708" s="193"/>
      <c r="U708" s="193"/>
      <c r="V708" s="193"/>
    </row>
    <row r="709" spans="14:22" x14ac:dyDescent="0.2">
      <c r="N709" s="193"/>
      <c r="O709" s="193"/>
      <c r="P709" s="193"/>
      <c r="Q709" s="193"/>
      <c r="R709" s="193"/>
      <c r="S709" s="193"/>
      <c r="T709" s="193"/>
      <c r="U709" s="193"/>
      <c r="V709" s="193"/>
    </row>
    <row r="710" spans="14:22" x14ac:dyDescent="0.2">
      <c r="N710" s="193"/>
      <c r="O710" s="193"/>
      <c r="P710" s="193"/>
      <c r="Q710" s="193"/>
      <c r="R710" s="193"/>
      <c r="S710" s="193"/>
      <c r="T710" s="193"/>
      <c r="U710" s="193"/>
      <c r="V710" s="193"/>
    </row>
    <row r="711" spans="14:22" x14ac:dyDescent="0.2">
      <c r="N711" s="193"/>
      <c r="O711" s="193"/>
      <c r="P711" s="193"/>
      <c r="Q711" s="193"/>
      <c r="R711" s="193"/>
      <c r="S711" s="193"/>
      <c r="T711" s="193"/>
      <c r="U711" s="193"/>
      <c r="V711" s="193"/>
    </row>
    <row r="712" spans="14:22" x14ac:dyDescent="0.2">
      <c r="N712" s="193"/>
      <c r="O712" s="193"/>
      <c r="P712" s="193"/>
      <c r="Q712" s="193"/>
      <c r="R712" s="193"/>
      <c r="S712" s="193"/>
      <c r="T712" s="193"/>
      <c r="U712" s="193"/>
      <c r="V712" s="193"/>
    </row>
    <row r="713" spans="14:22" x14ac:dyDescent="0.2">
      <c r="N713" s="193"/>
      <c r="O713" s="193"/>
      <c r="P713" s="193"/>
      <c r="Q713" s="193"/>
      <c r="R713" s="193"/>
      <c r="S713" s="193"/>
      <c r="T713" s="193"/>
      <c r="U713" s="193"/>
      <c r="V713" s="193"/>
    </row>
    <row r="714" spans="14:22" x14ac:dyDescent="0.2">
      <c r="N714" s="193"/>
      <c r="O714" s="193"/>
      <c r="P714" s="193"/>
      <c r="Q714" s="193"/>
      <c r="R714" s="193"/>
      <c r="S714" s="193"/>
      <c r="T714" s="193"/>
      <c r="U714" s="193"/>
      <c r="V714" s="193"/>
    </row>
    <row r="715" spans="14:22" x14ac:dyDescent="0.2">
      <c r="N715" s="193"/>
      <c r="O715" s="193"/>
      <c r="P715" s="193"/>
      <c r="Q715" s="193"/>
      <c r="R715" s="193"/>
      <c r="S715" s="193"/>
      <c r="T715" s="193"/>
      <c r="U715" s="193"/>
      <c r="V715" s="193"/>
    </row>
    <row r="716" spans="14:22" x14ac:dyDescent="0.2">
      <c r="N716" s="193"/>
      <c r="O716" s="193"/>
      <c r="P716" s="193"/>
      <c r="Q716" s="193"/>
      <c r="R716" s="193"/>
      <c r="S716" s="193"/>
      <c r="T716" s="193"/>
      <c r="U716" s="193"/>
      <c r="V716" s="193"/>
    </row>
    <row r="717" spans="14:22" x14ac:dyDescent="0.2">
      <c r="N717" s="193"/>
      <c r="O717" s="193"/>
      <c r="P717" s="193"/>
      <c r="Q717" s="193"/>
      <c r="R717" s="193"/>
      <c r="S717" s="193"/>
      <c r="T717" s="193"/>
      <c r="U717" s="193"/>
      <c r="V717" s="193"/>
    </row>
    <row r="718" spans="14:22" x14ac:dyDescent="0.2">
      <c r="N718" s="193"/>
      <c r="O718" s="193"/>
      <c r="P718" s="193"/>
      <c r="Q718" s="193"/>
      <c r="R718" s="193"/>
      <c r="S718" s="193"/>
      <c r="T718" s="193"/>
      <c r="U718" s="193"/>
      <c r="V718" s="193"/>
    </row>
    <row r="719" spans="14:22" x14ac:dyDescent="0.2">
      <c r="N719" s="193"/>
      <c r="O719" s="193"/>
      <c r="P719" s="193"/>
      <c r="Q719" s="193"/>
      <c r="R719" s="193"/>
      <c r="S719" s="193"/>
      <c r="T719" s="193"/>
      <c r="U719" s="193"/>
      <c r="V719" s="193"/>
    </row>
    <row r="720" spans="14:22" x14ac:dyDescent="0.2">
      <c r="N720" s="193"/>
      <c r="O720" s="193"/>
      <c r="P720" s="193"/>
      <c r="Q720" s="193"/>
      <c r="R720" s="193"/>
      <c r="S720" s="193"/>
      <c r="T720" s="193"/>
      <c r="U720" s="193"/>
      <c r="V720" s="193"/>
    </row>
    <row r="721" spans="14:22" x14ac:dyDescent="0.2">
      <c r="N721" s="193"/>
      <c r="O721" s="193"/>
      <c r="P721" s="193"/>
      <c r="Q721" s="193"/>
      <c r="R721" s="193"/>
      <c r="S721" s="193"/>
      <c r="T721" s="193"/>
      <c r="U721" s="193"/>
      <c r="V721" s="193"/>
    </row>
    <row r="722" spans="14:22" x14ac:dyDescent="0.2">
      <c r="N722" s="193"/>
      <c r="O722" s="193"/>
      <c r="P722" s="193"/>
      <c r="Q722" s="193"/>
      <c r="R722" s="193"/>
      <c r="S722" s="193"/>
      <c r="T722" s="193"/>
      <c r="U722" s="193"/>
      <c r="V722" s="193"/>
    </row>
    <row r="723" spans="14:22" x14ac:dyDescent="0.2">
      <c r="N723" s="193"/>
      <c r="O723" s="193"/>
      <c r="P723" s="193"/>
      <c r="Q723" s="193"/>
      <c r="R723" s="193"/>
      <c r="S723" s="193"/>
      <c r="T723" s="193"/>
      <c r="U723" s="193"/>
      <c r="V723" s="193"/>
    </row>
    <row r="724" spans="14:22" x14ac:dyDescent="0.2">
      <c r="N724" s="193"/>
      <c r="O724" s="193"/>
      <c r="P724" s="193"/>
      <c r="Q724" s="193"/>
      <c r="R724" s="193"/>
      <c r="S724" s="193"/>
      <c r="T724" s="193"/>
      <c r="U724" s="193"/>
      <c r="V724" s="193"/>
    </row>
    <row r="725" spans="14:22" x14ac:dyDescent="0.2">
      <c r="N725" s="193"/>
      <c r="O725" s="193"/>
      <c r="P725" s="193"/>
      <c r="Q725" s="193"/>
      <c r="R725" s="193"/>
      <c r="S725" s="193"/>
      <c r="T725" s="193"/>
      <c r="U725" s="193"/>
      <c r="V725" s="193"/>
    </row>
    <row r="726" spans="14:22" x14ac:dyDescent="0.2">
      <c r="N726" s="193"/>
      <c r="O726" s="193"/>
      <c r="P726" s="193"/>
      <c r="Q726" s="193"/>
      <c r="R726" s="193"/>
      <c r="S726" s="193"/>
      <c r="T726" s="193"/>
      <c r="U726" s="193"/>
      <c r="V726" s="193"/>
    </row>
    <row r="727" spans="14:22" x14ac:dyDescent="0.2">
      <c r="N727" s="193"/>
      <c r="O727" s="193"/>
      <c r="P727" s="193"/>
      <c r="Q727" s="193"/>
      <c r="R727" s="193"/>
      <c r="S727" s="193"/>
      <c r="T727" s="193"/>
      <c r="U727" s="193"/>
      <c r="V727" s="193"/>
    </row>
    <row r="728" spans="14:22" x14ac:dyDescent="0.2">
      <c r="N728" s="193"/>
      <c r="O728" s="193"/>
      <c r="P728" s="193"/>
      <c r="Q728" s="193"/>
      <c r="R728" s="193"/>
      <c r="S728" s="193"/>
      <c r="T728" s="193"/>
      <c r="U728" s="193"/>
      <c r="V728" s="193"/>
    </row>
    <row r="729" spans="14:22" x14ac:dyDescent="0.2">
      <c r="N729" s="193"/>
      <c r="O729" s="193"/>
      <c r="P729" s="193"/>
      <c r="Q729" s="193"/>
      <c r="R729" s="193"/>
      <c r="S729" s="193"/>
      <c r="T729" s="193"/>
      <c r="U729" s="193"/>
      <c r="V729" s="193"/>
    </row>
    <row r="730" spans="14:22" x14ac:dyDescent="0.2">
      <c r="N730" s="193"/>
      <c r="O730" s="193"/>
      <c r="P730" s="193"/>
      <c r="Q730" s="193"/>
      <c r="R730" s="193"/>
      <c r="S730" s="193"/>
      <c r="T730" s="193"/>
      <c r="U730" s="193"/>
      <c r="V730" s="193"/>
    </row>
    <row r="731" spans="14:22" x14ac:dyDescent="0.2">
      <c r="N731" s="193"/>
      <c r="O731" s="193"/>
      <c r="P731" s="193"/>
      <c r="Q731" s="193"/>
      <c r="R731" s="193"/>
      <c r="S731" s="193"/>
      <c r="T731" s="193"/>
      <c r="U731" s="193"/>
      <c r="V731" s="193"/>
    </row>
    <row r="732" spans="14:22" x14ac:dyDescent="0.2">
      <c r="N732" s="193"/>
      <c r="O732" s="193"/>
      <c r="P732" s="193"/>
      <c r="Q732" s="193"/>
      <c r="R732" s="193"/>
      <c r="S732" s="193"/>
      <c r="T732" s="193"/>
      <c r="U732" s="193"/>
      <c r="V732" s="193"/>
    </row>
    <row r="733" spans="14:22" x14ac:dyDescent="0.2">
      <c r="N733" s="193"/>
      <c r="O733" s="193"/>
      <c r="P733" s="193"/>
      <c r="Q733" s="193"/>
      <c r="R733" s="193"/>
      <c r="S733" s="193"/>
      <c r="T733" s="193"/>
      <c r="U733" s="193"/>
      <c r="V733" s="193"/>
    </row>
    <row r="734" spans="14:22" x14ac:dyDescent="0.2">
      <c r="N734" s="193"/>
      <c r="O734" s="193"/>
      <c r="P734" s="193"/>
      <c r="Q734" s="193"/>
      <c r="R734" s="193"/>
      <c r="S734" s="193"/>
      <c r="T734" s="193"/>
      <c r="U734" s="193"/>
      <c r="V734" s="193"/>
    </row>
    <row r="735" spans="14:22" x14ac:dyDescent="0.2">
      <c r="N735" s="193"/>
      <c r="O735" s="193"/>
      <c r="P735" s="193"/>
      <c r="Q735" s="193"/>
      <c r="R735" s="193"/>
      <c r="S735" s="193"/>
      <c r="T735" s="193"/>
      <c r="U735" s="193"/>
      <c r="V735" s="193"/>
    </row>
    <row r="736" spans="14:22" x14ac:dyDescent="0.2">
      <c r="N736" s="193"/>
      <c r="O736" s="193"/>
      <c r="P736" s="193"/>
      <c r="Q736" s="193"/>
      <c r="R736" s="193"/>
      <c r="S736" s="193"/>
      <c r="T736" s="193"/>
      <c r="U736" s="193"/>
      <c r="V736" s="193"/>
    </row>
    <row r="737" spans="14:22" x14ac:dyDescent="0.2">
      <c r="N737" s="193"/>
      <c r="O737" s="193"/>
      <c r="P737" s="193"/>
      <c r="Q737" s="193"/>
      <c r="R737" s="193"/>
      <c r="S737" s="193"/>
      <c r="T737" s="193"/>
      <c r="U737" s="193"/>
      <c r="V737" s="193"/>
    </row>
    <row r="738" spans="14:22" x14ac:dyDescent="0.2">
      <c r="N738" s="193"/>
      <c r="O738" s="193"/>
      <c r="P738" s="193"/>
      <c r="Q738" s="193"/>
      <c r="R738" s="193"/>
      <c r="S738" s="193"/>
      <c r="T738" s="193"/>
      <c r="U738" s="193"/>
      <c r="V738" s="193"/>
    </row>
    <row r="739" spans="14:22" x14ac:dyDescent="0.2">
      <c r="N739" s="193"/>
      <c r="O739" s="193"/>
      <c r="P739" s="193"/>
      <c r="Q739" s="193"/>
      <c r="R739" s="193"/>
      <c r="S739" s="193"/>
      <c r="T739" s="193"/>
      <c r="U739" s="193"/>
      <c r="V739" s="193"/>
    </row>
    <row r="740" spans="14:22" x14ac:dyDescent="0.2">
      <c r="N740" s="193"/>
      <c r="O740" s="193"/>
      <c r="P740" s="193"/>
      <c r="Q740" s="193"/>
      <c r="R740" s="193"/>
      <c r="S740" s="193"/>
      <c r="T740" s="193"/>
      <c r="U740" s="193"/>
      <c r="V740" s="193"/>
    </row>
    <row r="741" spans="14:22" x14ac:dyDescent="0.2">
      <c r="N741" s="193"/>
      <c r="O741" s="193"/>
      <c r="P741" s="193"/>
      <c r="Q741" s="193"/>
      <c r="R741" s="193"/>
      <c r="S741" s="193"/>
      <c r="T741" s="193"/>
      <c r="U741" s="193"/>
      <c r="V741" s="193"/>
    </row>
    <row r="742" spans="14:22" x14ac:dyDescent="0.2">
      <c r="N742" s="193"/>
      <c r="O742" s="193"/>
      <c r="P742" s="193"/>
      <c r="Q742" s="193"/>
      <c r="R742" s="193"/>
      <c r="S742" s="193"/>
      <c r="T742" s="193"/>
      <c r="U742" s="193"/>
      <c r="V742" s="193"/>
    </row>
    <row r="743" spans="14:22" x14ac:dyDescent="0.2">
      <c r="N743" s="193"/>
      <c r="O743" s="193"/>
      <c r="P743" s="193"/>
      <c r="Q743" s="193"/>
      <c r="R743" s="193"/>
      <c r="S743" s="193"/>
      <c r="T743" s="193"/>
      <c r="U743" s="193"/>
      <c r="V743" s="193"/>
    </row>
    <row r="744" spans="14:22" x14ac:dyDescent="0.2">
      <c r="N744" s="193"/>
      <c r="O744" s="193"/>
      <c r="P744" s="193"/>
      <c r="Q744" s="193"/>
      <c r="R744" s="193"/>
      <c r="S744" s="193"/>
      <c r="T744" s="193"/>
      <c r="U744" s="193"/>
      <c r="V744" s="193"/>
    </row>
    <row r="745" spans="14:22" x14ac:dyDescent="0.2">
      <c r="N745" s="193"/>
      <c r="O745" s="193"/>
      <c r="P745" s="193"/>
      <c r="Q745" s="193"/>
      <c r="R745" s="193"/>
      <c r="S745" s="193"/>
      <c r="T745" s="193"/>
      <c r="U745" s="193"/>
      <c r="V745" s="193"/>
    </row>
    <row r="746" spans="14:22" x14ac:dyDescent="0.2">
      <c r="N746" s="193"/>
      <c r="O746" s="193"/>
      <c r="P746" s="193"/>
      <c r="Q746" s="193"/>
      <c r="R746" s="193"/>
      <c r="S746" s="193"/>
      <c r="T746" s="193"/>
      <c r="U746" s="193"/>
      <c r="V746" s="193"/>
    </row>
    <row r="747" spans="14:22" x14ac:dyDescent="0.2">
      <c r="N747" s="193"/>
      <c r="O747" s="193"/>
      <c r="P747" s="193"/>
      <c r="Q747" s="193"/>
      <c r="R747" s="193"/>
      <c r="S747" s="193"/>
      <c r="T747" s="193"/>
      <c r="U747" s="193"/>
      <c r="V747" s="193"/>
    </row>
    <row r="748" spans="14:22" x14ac:dyDescent="0.2">
      <c r="N748" s="193"/>
      <c r="O748" s="193"/>
      <c r="P748" s="193"/>
      <c r="Q748" s="193"/>
      <c r="R748" s="193"/>
      <c r="S748" s="193"/>
      <c r="T748" s="193"/>
      <c r="U748" s="193"/>
      <c r="V748" s="193"/>
    </row>
    <row r="749" spans="14:22" x14ac:dyDescent="0.2">
      <c r="N749" s="193"/>
      <c r="O749" s="193"/>
      <c r="P749" s="193"/>
      <c r="Q749" s="193"/>
      <c r="R749" s="193"/>
      <c r="S749" s="193"/>
      <c r="T749" s="193"/>
      <c r="U749" s="193"/>
      <c r="V749" s="193"/>
    </row>
    <row r="750" spans="14:22" x14ac:dyDescent="0.2">
      <c r="N750" s="193"/>
      <c r="O750" s="193"/>
      <c r="P750" s="193"/>
      <c r="Q750" s="193"/>
      <c r="R750" s="193"/>
      <c r="S750" s="193"/>
      <c r="T750" s="193"/>
      <c r="U750" s="193"/>
      <c r="V750" s="193"/>
    </row>
    <row r="751" spans="14:22" x14ac:dyDescent="0.2">
      <c r="N751" s="193"/>
      <c r="O751" s="193"/>
      <c r="P751" s="193"/>
      <c r="Q751" s="193"/>
      <c r="R751" s="193"/>
      <c r="S751" s="193"/>
      <c r="T751" s="193"/>
      <c r="U751" s="193"/>
      <c r="V751" s="193"/>
    </row>
    <row r="752" spans="14:22" x14ac:dyDescent="0.2">
      <c r="N752" s="193"/>
      <c r="O752" s="193"/>
      <c r="P752" s="193"/>
      <c r="Q752" s="193"/>
      <c r="R752" s="193"/>
      <c r="S752" s="193"/>
      <c r="T752" s="193"/>
      <c r="U752" s="193"/>
      <c r="V752" s="193"/>
    </row>
    <row r="753" spans="14:22" x14ac:dyDescent="0.2">
      <c r="N753" s="193"/>
      <c r="O753" s="193"/>
      <c r="P753" s="193"/>
      <c r="Q753" s="193"/>
      <c r="R753" s="193"/>
      <c r="S753" s="193"/>
      <c r="T753" s="193"/>
      <c r="U753" s="193"/>
      <c r="V753" s="193"/>
    </row>
    <row r="754" spans="14:22" x14ac:dyDescent="0.2">
      <c r="N754" s="193"/>
      <c r="O754" s="193"/>
      <c r="P754" s="193"/>
      <c r="Q754" s="193"/>
      <c r="R754" s="193"/>
      <c r="S754" s="193"/>
      <c r="T754" s="193"/>
      <c r="U754" s="193"/>
      <c r="V754" s="193"/>
    </row>
    <row r="755" spans="14:22" x14ac:dyDescent="0.2">
      <c r="N755" s="193"/>
      <c r="O755" s="193"/>
      <c r="P755" s="193"/>
      <c r="Q755" s="193"/>
      <c r="R755" s="193"/>
      <c r="S755" s="193"/>
      <c r="T755" s="193"/>
      <c r="U755" s="193"/>
      <c r="V755" s="193"/>
    </row>
    <row r="756" spans="14:22" x14ac:dyDescent="0.2">
      <c r="N756" s="193"/>
      <c r="O756" s="193"/>
      <c r="P756" s="193"/>
      <c r="Q756" s="193"/>
      <c r="R756" s="193"/>
      <c r="S756" s="193"/>
      <c r="T756" s="193"/>
      <c r="U756" s="193"/>
      <c r="V756" s="193"/>
    </row>
    <row r="757" spans="14:22" x14ac:dyDescent="0.2">
      <c r="N757" s="193"/>
      <c r="O757" s="193"/>
      <c r="P757" s="193"/>
      <c r="Q757" s="193"/>
      <c r="R757" s="193"/>
      <c r="S757" s="193"/>
      <c r="T757" s="193"/>
      <c r="U757" s="193"/>
      <c r="V757" s="193"/>
    </row>
    <row r="758" spans="14:22" x14ac:dyDescent="0.2">
      <c r="N758" s="193"/>
      <c r="O758" s="193"/>
      <c r="P758" s="193"/>
      <c r="Q758" s="193"/>
      <c r="R758" s="193"/>
      <c r="S758" s="193"/>
      <c r="T758" s="193"/>
      <c r="U758" s="193"/>
      <c r="V758" s="193"/>
    </row>
    <row r="759" spans="14:22" x14ac:dyDescent="0.2">
      <c r="N759" s="193"/>
      <c r="O759" s="193"/>
      <c r="P759" s="193"/>
      <c r="Q759" s="193"/>
      <c r="R759" s="193"/>
      <c r="S759" s="193"/>
      <c r="T759" s="193"/>
      <c r="U759" s="193"/>
      <c r="V759" s="193"/>
    </row>
    <row r="760" spans="14:22" x14ac:dyDescent="0.2">
      <c r="N760" s="193"/>
      <c r="O760" s="193"/>
      <c r="P760" s="193"/>
      <c r="Q760" s="193"/>
      <c r="R760" s="193"/>
      <c r="S760" s="193"/>
      <c r="T760" s="193"/>
      <c r="U760" s="193"/>
      <c r="V760" s="193"/>
    </row>
    <row r="761" spans="14:22" x14ac:dyDescent="0.2">
      <c r="N761" s="193"/>
      <c r="O761" s="193"/>
      <c r="P761" s="193"/>
      <c r="Q761" s="193"/>
      <c r="R761" s="193"/>
      <c r="S761" s="193"/>
      <c r="T761" s="193"/>
      <c r="U761" s="193"/>
      <c r="V761" s="193"/>
    </row>
    <row r="762" spans="14:22" x14ac:dyDescent="0.2">
      <c r="N762" s="193"/>
      <c r="O762" s="193"/>
      <c r="P762" s="193"/>
      <c r="Q762" s="193"/>
      <c r="R762" s="193"/>
      <c r="S762" s="193"/>
      <c r="T762" s="193"/>
      <c r="U762" s="193"/>
      <c r="V762" s="193"/>
    </row>
    <row r="763" spans="14:22" x14ac:dyDescent="0.2">
      <c r="N763" s="193"/>
      <c r="O763" s="193"/>
      <c r="P763" s="193"/>
      <c r="Q763" s="193"/>
      <c r="R763" s="193"/>
      <c r="S763" s="193"/>
      <c r="T763" s="193"/>
      <c r="U763" s="193"/>
      <c r="V763" s="193"/>
    </row>
    <row r="764" spans="14:22" x14ac:dyDescent="0.2">
      <c r="N764" s="193"/>
      <c r="O764" s="193"/>
      <c r="P764" s="193"/>
      <c r="Q764" s="193"/>
      <c r="R764" s="193"/>
      <c r="S764" s="193"/>
      <c r="T764" s="193"/>
      <c r="U764" s="193"/>
      <c r="V764" s="193"/>
    </row>
    <row r="765" spans="14:22" x14ac:dyDescent="0.2">
      <c r="N765" s="193"/>
      <c r="O765" s="193"/>
      <c r="P765" s="193"/>
      <c r="Q765" s="193"/>
      <c r="R765" s="193"/>
      <c r="S765" s="193"/>
      <c r="T765" s="193"/>
      <c r="U765" s="193"/>
      <c r="V765" s="193"/>
    </row>
    <row r="766" spans="14:22" x14ac:dyDescent="0.2">
      <c r="N766" s="193"/>
      <c r="O766" s="193"/>
      <c r="P766" s="193"/>
      <c r="Q766" s="193"/>
      <c r="R766" s="193"/>
      <c r="S766" s="193"/>
      <c r="T766" s="193"/>
      <c r="U766" s="193"/>
      <c r="V766" s="193"/>
    </row>
    <row r="767" spans="14:22" x14ac:dyDescent="0.2">
      <c r="N767" s="193"/>
      <c r="O767" s="193"/>
      <c r="P767" s="193"/>
      <c r="Q767" s="193"/>
      <c r="R767" s="193"/>
      <c r="S767" s="193"/>
      <c r="T767" s="193"/>
      <c r="U767" s="193"/>
      <c r="V767" s="193"/>
    </row>
    <row r="768" spans="14:22" x14ac:dyDescent="0.2">
      <c r="N768" s="193"/>
      <c r="O768" s="193"/>
      <c r="P768" s="193"/>
      <c r="Q768" s="193"/>
      <c r="R768" s="193"/>
      <c r="S768" s="193"/>
      <c r="T768" s="193"/>
      <c r="U768" s="193"/>
      <c r="V768" s="193"/>
    </row>
    <row r="769" spans="14:22" x14ac:dyDescent="0.2">
      <c r="N769" s="193"/>
      <c r="O769" s="193"/>
      <c r="P769" s="193"/>
      <c r="Q769" s="193"/>
      <c r="R769" s="193"/>
      <c r="S769" s="193"/>
      <c r="T769" s="193"/>
      <c r="U769" s="193"/>
      <c r="V769" s="193"/>
    </row>
    <row r="770" spans="14:22" x14ac:dyDescent="0.2">
      <c r="N770" s="193"/>
      <c r="O770" s="193"/>
      <c r="P770" s="193"/>
      <c r="Q770" s="193"/>
      <c r="R770" s="193"/>
      <c r="S770" s="193"/>
      <c r="T770" s="193"/>
      <c r="U770" s="193"/>
      <c r="V770" s="193"/>
    </row>
    <row r="771" spans="14:22" x14ac:dyDescent="0.2">
      <c r="N771" s="193"/>
      <c r="O771" s="193"/>
      <c r="P771" s="193"/>
      <c r="Q771" s="193"/>
      <c r="R771" s="193"/>
      <c r="S771" s="193"/>
      <c r="T771" s="193"/>
      <c r="U771" s="193"/>
      <c r="V771" s="193"/>
    </row>
    <row r="772" spans="14:22" x14ac:dyDescent="0.2">
      <c r="N772" s="193"/>
      <c r="O772" s="193"/>
      <c r="P772" s="193"/>
      <c r="Q772" s="193"/>
      <c r="R772" s="193"/>
      <c r="S772" s="193"/>
      <c r="T772" s="193"/>
      <c r="U772" s="193"/>
      <c r="V772" s="193"/>
    </row>
    <row r="773" spans="14:22" x14ac:dyDescent="0.2">
      <c r="N773" s="193"/>
      <c r="O773" s="193"/>
      <c r="P773" s="193"/>
      <c r="Q773" s="193"/>
      <c r="R773" s="193"/>
      <c r="S773" s="193"/>
      <c r="T773" s="193"/>
      <c r="U773" s="193"/>
      <c r="V773" s="193"/>
    </row>
    <row r="774" spans="14:22" x14ac:dyDescent="0.2">
      <c r="N774" s="193"/>
      <c r="O774" s="193"/>
      <c r="P774" s="193"/>
      <c r="Q774" s="193"/>
      <c r="R774" s="193"/>
      <c r="S774" s="193"/>
      <c r="T774" s="193"/>
      <c r="U774" s="193"/>
      <c r="V774" s="193"/>
    </row>
    <row r="775" spans="14:22" x14ac:dyDescent="0.2">
      <c r="N775" s="193"/>
      <c r="O775" s="193"/>
      <c r="P775" s="193"/>
      <c r="Q775" s="193"/>
      <c r="R775" s="193"/>
      <c r="S775" s="193"/>
      <c r="T775" s="193"/>
      <c r="U775" s="193"/>
      <c r="V775" s="193"/>
    </row>
    <row r="776" spans="14:22" x14ac:dyDescent="0.2">
      <c r="N776" s="193"/>
      <c r="O776" s="193"/>
      <c r="P776" s="193"/>
      <c r="Q776" s="193"/>
      <c r="R776" s="193"/>
      <c r="S776" s="193"/>
      <c r="T776" s="193"/>
      <c r="U776" s="193"/>
      <c r="V776" s="193"/>
    </row>
    <row r="777" spans="14:22" x14ac:dyDescent="0.2">
      <c r="N777" s="193"/>
      <c r="O777" s="193"/>
      <c r="P777" s="193"/>
      <c r="Q777" s="193"/>
      <c r="R777" s="193"/>
      <c r="S777" s="193"/>
      <c r="T777" s="193"/>
      <c r="U777" s="193"/>
      <c r="V777" s="193"/>
    </row>
    <row r="778" spans="14:22" x14ac:dyDescent="0.2">
      <c r="N778" s="193"/>
      <c r="O778" s="193"/>
      <c r="P778" s="193"/>
      <c r="Q778" s="193"/>
      <c r="R778" s="193"/>
      <c r="S778" s="193"/>
      <c r="T778" s="193"/>
      <c r="U778" s="193"/>
      <c r="V778" s="193"/>
    </row>
    <row r="779" spans="14:22" x14ac:dyDescent="0.2">
      <c r="N779" s="193"/>
      <c r="O779" s="193"/>
      <c r="P779" s="193"/>
      <c r="Q779" s="193"/>
      <c r="R779" s="193"/>
      <c r="S779" s="193"/>
      <c r="T779" s="193"/>
      <c r="U779" s="193"/>
      <c r="V779" s="193"/>
    </row>
    <row r="780" spans="14:22" x14ac:dyDescent="0.2">
      <c r="N780" s="193"/>
      <c r="O780" s="193"/>
      <c r="P780" s="193"/>
      <c r="Q780" s="193"/>
      <c r="R780" s="193"/>
      <c r="S780" s="193"/>
      <c r="T780" s="193"/>
      <c r="U780" s="193"/>
      <c r="V780" s="193"/>
    </row>
    <row r="781" spans="14:22" x14ac:dyDescent="0.2">
      <c r="N781" s="193"/>
      <c r="O781" s="193"/>
      <c r="P781" s="193"/>
      <c r="Q781" s="193"/>
      <c r="R781" s="193"/>
      <c r="S781" s="193"/>
      <c r="T781" s="193"/>
      <c r="U781" s="193"/>
      <c r="V781" s="193"/>
    </row>
    <row r="782" spans="14:22" x14ac:dyDescent="0.2">
      <c r="N782" s="193"/>
      <c r="O782" s="193"/>
      <c r="P782" s="193"/>
      <c r="Q782" s="193"/>
      <c r="R782" s="193"/>
      <c r="S782" s="193"/>
      <c r="T782" s="193"/>
      <c r="U782" s="193"/>
      <c r="V782" s="193"/>
    </row>
    <row r="783" spans="14:22" x14ac:dyDescent="0.2">
      <c r="N783" s="193"/>
      <c r="O783" s="193"/>
      <c r="P783" s="193"/>
      <c r="Q783" s="193"/>
      <c r="R783" s="193"/>
      <c r="S783" s="193"/>
      <c r="T783" s="193"/>
      <c r="U783" s="193"/>
      <c r="V783" s="193"/>
    </row>
    <row r="784" spans="14:22" x14ac:dyDescent="0.2">
      <c r="N784" s="193"/>
      <c r="O784" s="193"/>
      <c r="P784" s="193"/>
      <c r="Q784" s="193"/>
      <c r="R784" s="193"/>
      <c r="S784" s="193"/>
      <c r="T784" s="193"/>
      <c r="U784" s="193"/>
      <c r="V784" s="193"/>
    </row>
    <row r="785" spans="14:22" x14ac:dyDescent="0.2">
      <c r="N785" s="193"/>
      <c r="O785" s="193"/>
      <c r="P785" s="193"/>
      <c r="Q785" s="193"/>
      <c r="R785" s="193"/>
      <c r="S785" s="193"/>
      <c r="T785" s="193"/>
      <c r="U785" s="193"/>
      <c r="V785" s="193"/>
    </row>
    <row r="786" spans="14:22" x14ac:dyDescent="0.2">
      <c r="N786" s="193"/>
      <c r="O786" s="193"/>
      <c r="P786" s="193"/>
      <c r="Q786" s="193"/>
      <c r="R786" s="193"/>
      <c r="S786" s="193"/>
      <c r="T786" s="193"/>
      <c r="U786" s="193"/>
      <c r="V786" s="193"/>
    </row>
    <row r="787" spans="14:22" x14ac:dyDescent="0.2">
      <c r="N787" s="193"/>
      <c r="O787" s="193"/>
      <c r="P787" s="193"/>
      <c r="Q787" s="193"/>
      <c r="R787" s="193"/>
      <c r="S787" s="193"/>
      <c r="T787" s="193"/>
      <c r="U787" s="193"/>
      <c r="V787" s="193"/>
    </row>
    <row r="788" spans="14:22" x14ac:dyDescent="0.2">
      <c r="N788" s="193"/>
      <c r="O788" s="193"/>
      <c r="P788" s="193"/>
      <c r="Q788" s="193"/>
      <c r="R788" s="193"/>
      <c r="S788" s="193"/>
      <c r="T788" s="193"/>
      <c r="U788" s="193"/>
      <c r="V788" s="193"/>
    </row>
    <row r="789" spans="14:22" x14ac:dyDescent="0.2">
      <c r="N789" s="193"/>
      <c r="O789" s="193"/>
      <c r="P789" s="193"/>
      <c r="Q789" s="193"/>
      <c r="R789" s="193"/>
      <c r="S789" s="193"/>
      <c r="T789" s="193"/>
      <c r="U789" s="193"/>
      <c r="V789" s="193"/>
    </row>
    <row r="790" spans="14:22" x14ac:dyDescent="0.2">
      <c r="N790" s="193"/>
      <c r="O790" s="193"/>
      <c r="P790" s="193"/>
      <c r="Q790" s="193"/>
      <c r="R790" s="193"/>
      <c r="S790" s="193"/>
      <c r="T790" s="193"/>
      <c r="U790" s="193"/>
      <c r="V790" s="193"/>
    </row>
    <row r="791" spans="14:22" x14ac:dyDescent="0.2">
      <c r="N791" s="193"/>
      <c r="O791" s="193"/>
      <c r="P791" s="193"/>
      <c r="Q791" s="193"/>
      <c r="R791" s="193"/>
      <c r="S791" s="193"/>
      <c r="T791" s="193"/>
      <c r="U791" s="193"/>
      <c r="V791" s="193"/>
    </row>
    <row r="792" spans="14:22" x14ac:dyDescent="0.2">
      <c r="N792" s="193"/>
      <c r="O792" s="193"/>
      <c r="P792" s="193"/>
      <c r="Q792" s="193"/>
      <c r="R792" s="193"/>
      <c r="S792" s="193"/>
      <c r="T792" s="193"/>
      <c r="U792" s="193"/>
      <c r="V792" s="193"/>
    </row>
    <row r="793" spans="14:22" x14ac:dyDescent="0.2">
      <c r="N793" s="193"/>
      <c r="O793" s="193"/>
      <c r="P793" s="193"/>
      <c r="Q793" s="193"/>
      <c r="R793" s="193"/>
      <c r="S793" s="193"/>
      <c r="T793" s="193"/>
      <c r="U793" s="193"/>
      <c r="V793" s="193"/>
    </row>
    <row r="794" spans="14:22" x14ac:dyDescent="0.2">
      <c r="N794" s="193"/>
      <c r="O794" s="193"/>
      <c r="P794" s="193"/>
      <c r="Q794" s="193"/>
      <c r="R794" s="193"/>
      <c r="S794" s="193"/>
      <c r="T794" s="193"/>
      <c r="U794" s="193"/>
      <c r="V794" s="193"/>
    </row>
    <row r="795" spans="14:22" x14ac:dyDescent="0.2">
      <c r="N795" s="193"/>
      <c r="O795" s="193"/>
      <c r="P795" s="193"/>
      <c r="Q795" s="193"/>
      <c r="R795" s="193"/>
      <c r="S795" s="193"/>
      <c r="T795" s="193"/>
      <c r="U795" s="193"/>
      <c r="V795" s="193"/>
    </row>
    <row r="796" spans="14:22" x14ac:dyDescent="0.2">
      <c r="N796" s="193"/>
      <c r="O796" s="193"/>
      <c r="P796" s="193"/>
      <c r="Q796" s="193"/>
      <c r="R796" s="193"/>
      <c r="S796" s="193"/>
      <c r="T796" s="193"/>
      <c r="U796" s="193"/>
      <c r="V796" s="193"/>
    </row>
    <row r="797" spans="14:22" x14ac:dyDescent="0.2">
      <c r="N797" s="193"/>
      <c r="O797" s="193"/>
      <c r="P797" s="193"/>
      <c r="Q797" s="193"/>
      <c r="R797" s="193"/>
      <c r="S797" s="193"/>
      <c r="T797" s="193"/>
      <c r="U797" s="193"/>
      <c r="V797" s="193"/>
    </row>
    <row r="798" spans="14:22" x14ac:dyDescent="0.2">
      <c r="N798" s="193"/>
      <c r="O798" s="193"/>
      <c r="P798" s="193"/>
      <c r="Q798" s="193"/>
      <c r="R798" s="193"/>
      <c r="S798" s="193"/>
      <c r="T798" s="193"/>
      <c r="U798" s="193"/>
      <c r="V798" s="193"/>
    </row>
    <row r="799" spans="14:22" x14ac:dyDescent="0.2">
      <c r="N799" s="193"/>
      <c r="O799" s="193"/>
      <c r="P799" s="193"/>
      <c r="Q799" s="193"/>
      <c r="R799" s="193"/>
      <c r="S799" s="193"/>
      <c r="T799" s="193"/>
      <c r="U799" s="193"/>
      <c r="V799" s="193"/>
    </row>
    <row r="800" spans="14:22" x14ac:dyDescent="0.2">
      <c r="N800" s="193"/>
      <c r="O800" s="193"/>
      <c r="P800" s="193"/>
      <c r="Q800" s="193"/>
      <c r="R800" s="193"/>
      <c r="S800" s="193"/>
      <c r="T800" s="193"/>
      <c r="U800" s="193"/>
      <c r="V800" s="193"/>
    </row>
    <row r="801" spans="14:22" x14ac:dyDescent="0.2">
      <c r="N801" s="193"/>
      <c r="O801" s="193"/>
      <c r="P801" s="193"/>
      <c r="Q801" s="193"/>
      <c r="R801" s="193"/>
      <c r="S801" s="193"/>
      <c r="T801" s="193"/>
      <c r="U801" s="193"/>
      <c r="V801" s="193"/>
    </row>
    <row r="802" spans="14:22" x14ac:dyDescent="0.2">
      <c r="N802" s="193"/>
      <c r="O802" s="193"/>
      <c r="P802" s="193"/>
      <c r="Q802" s="193"/>
      <c r="R802" s="193"/>
      <c r="S802" s="193"/>
      <c r="T802" s="193"/>
      <c r="U802" s="193"/>
      <c r="V802" s="193"/>
    </row>
    <row r="803" spans="14:22" x14ac:dyDescent="0.2">
      <c r="N803" s="193"/>
      <c r="O803" s="193"/>
      <c r="P803" s="193"/>
      <c r="Q803" s="193"/>
      <c r="R803" s="193"/>
      <c r="S803" s="193"/>
      <c r="T803" s="193"/>
      <c r="U803" s="193"/>
      <c r="V803" s="193"/>
    </row>
    <row r="804" spans="14:22" x14ac:dyDescent="0.2">
      <c r="N804" s="193"/>
      <c r="O804" s="193"/>
      <c r="P804" s="193"/>
      <c r="Q804" s="193"/>
      <c r="R804" s="193"/>
      <c r="S804" s="193"/>
      <c r="T804" s="193"/>
      <c r="U804" s="193"/>
      <c r="V804" s="193"/>
    </row>
    <row r="805" spans="14:22" x14ac:dyDescent="0.2">
      <c r="N805" s="193"/>
      <c r="O805" s="193"/>
      <c r="P805" s="193"/>
      <c r="Q805" s="193"/>
      <c r="R805" s="193"/>
      <c r="S805" s="193"/>
      <c r="T805" s="193"/>
      <c r="U805" s="193"/>
      <c r="V805" s="193"/>
    </row>
    <row r="806" spans="14:22" x14ac:dyDescent="0.2">
      <c r="N806" s="193"/>
      <c r="O806" s="193"/>
      <c r="P806" s="193"/>
      <c r="Q806" s="193"/>
      <c r="R806" s="193"/>
      <c r="S806" s="193"/>
      <c r="T806" s="193"/>
      <c r="U806" s="193"/>
      <c r="V806" s="193"/>
    </row>
    <row r="807" spans="14:22" x14ac:dyDescent="0.2">
      <c r="N807" s="193"/>
      <c r="O807" s="193"/>
      <c r="P807" s="193"/>
      <c r="Q807" s="193"/>
      <c r="R807" s="193"/>
      <c r="S807" s="193"/>
      <c r="T807" s="193"/>
      <c r="U807" s="193"/>
      <c r="V807" s="193"/>
    </row>
    <row r="808" spans="14:22" x14ac:dyDescent="0.2">
      <c r="N808" s="193"/>
      <c r="O808" s="193"/>
      <c r="P808" s="193"/>
      <c r="Q808" s="193"/>
      <c r="R808" s="193"/>
      <c r="S808" s="193"/>
      <c r="T808" s="193"/>
      <c r="U808" s="193"/>
      <c r="V808" s="193"/>
    </row>
    <row r="809" spans="14:22" x14ac:dyDescent="0.2">
      <c r="N809" s="193"/>
      <c r="O809" s="193"/>
      <c r="P809" s="193"/>
      <c r="Q809" s="193"/>
      <c r="R809" s="193"/>
      <c r="S809" s="193"/>
      <c r="T809" s="193"/>
      <c r="U809" s="193"/>
      <c r="V809" s="193"/>
    </row>
    <row r="810" spans="14:22" x14ac:dyDescent="0.2">
      <c r="N810" s="193"/>
      <c r="O810" s="193"/>
      <c r="P810" s="193"/>
      <c r="Q810" s="193"/>
      <c r="R810" s="193"/>
      <c r="S810" s="193"/>
      <c r="T810" s="193"/>
      <c r="U810" s="193"/>
      <c r="V810" s="193"/>
    </row>
    <row r="811" spans="14:22" x14ac:dyDescent="0.2">
      <c r="N811" s="193"/>
      <c r="O811" s="193"/>
      <c r="P811" s="193"/>
      <c r="Q811" s="193"/>
      <c r="R811" s="193"/>
      <c r="S811" s="193"/>
      <c r="T811" s="193"/>
      <c r="U811" s="193"/>
      <c r="V811" s="193"/>
    </row>
    <row r="812" spans="14:22" x14ac:dyDescent="0.2">
      <c r="N812" s="193"/>
      <c r="O812" s="193"/>
      <c r="P812" s="193"/>
      <c r="Q812" s="193"/>
      <c r="R812" s="193"/>
      <c r="S812" s="193"/>
      <c r="T812" s="193"/>
      <c r="U812" s="193"/>
      <c r="V812" s="193"/>
    </row>
    <row r="813" spans="14:22" x14ac:dyDescent="0.2">
      <c r="N813" s="193"/>
      <c r="O813" s="193"/>
      <c r="P813" s="193"/>
      <c r="Q813" s="193"/>
      <c r="R813" s="193"/>
      <c r="S813" s="193"/>
      <c r="T813" s="193"/>
      <c r="U813" s="193"/>
      <c r="V813" s="193"/>
    </row>
    <row r="814" spans="14:22" x14ac:dyDescent="0.2">
      <c r="N814" s="193"/>
      <c r="O814" s="193"/>
      <c r="P814" s="193"/>
      <c r="Q814" s="193"/>
      <c r="R814" s="193"/>
      <c r="S814" s="193"/>
      <c r="T814" s="193"/>
      <c r="U814" s="193"/>
      <c r="V814" s="193"/>
    </row>
    <row r="815" spans="14:22" x14ac:dyDescent="0.2">
      <c r="N815" s="193"/>
      <c r="O815" s="193"/>
      <c r="P815" s="193"/>
      <c r="Q815" s="193"/>
      <c r="R815" s="193"/>
      <c r="S815" s="193"/>
      <c r="T815" s="193"/>
      <c r="U815" s="193"/>
      <c r="V815" s="193"/>
    </row>
    <row r="816" spans="14:22" x14ac:dyDescent="0.2">
      <c r="N816" s="193"/>
      <c r="O816" s="193"/>
      <c r="P816" s="193"/>
      <c r="Q816" s="193"/>
      <c r="R816" s="193"/>
      <c r="S816" s="193"/>
      <c r="T816" s="193"/>
      <c r="U816" s="193"/>
      <c r="V816" s="193"/>
    </row>
    <row r="817" spans="14:22" x14ac:dyDescent="0.2">
      <c r="N817" s="193"/>
      <c r="O817" s="193"/>
      <c r="P817" s="193"/>
      <c r="Q817" s="193"/>
      <c r="R817" s="193"/>
      <c r="S817" s="193"/>
      <c r="T817" s="193"/>
      <c r="U817" s="193"/>
      <c r="V817" s="193"/>
    </row>
    <row r="818" spans="14:22" x14ac:dyDescent="0.2">
      <c r="N818" s="193"/>
      <c r="O818" s="193"/>
      <c r="P818" s="193"/>
      <c r="Q818" s="193"/>
      <c r="R818" s="193"/>
      <c r="S818" s="193"/>
      <c r="T818" s="193"/>
      <c r="U818" s="193"/>
      <c r="V818" s="193"/>
    </row>
    <row r="819" spans="14:22" x14ac:dyDescent="0.2">
      <c r="N819" s="193"/>
      <c r="O819" s="193"/>
      <c r="P819" s="193"/>
      <c r="Q819" s="193"/>
      <c r="R819" s="193"/>
      <c r="S819" s="193"/>
      <c r="T819" s="193"/>
      <c r="U819" s="193"/>
      <c r="V819" s="193"/>
    </row>
    <row r="820" spans="14:22" x14ac:dyDescent="0.2">
      <c r="N820" s="193"/>
      <c r="O820" s="193"/>
      <c r="P820" s="193"/>
      <c r="Q820" s="193"/>
      <c r="R820" s="193"/>
      <c r="S820" s="193"/>
      <c r="T820" s="193"/>
      <c r="U820" s="193"/>
      <c r="V820" s="193"/>
    </row>
    <row r="821" spans="14:22" x14ac:dyDescent="0.2">
      <c r="N821" s="193"/>
      <c r="O821" s="193"/>
      <c r="P821" s="193"/>
      <c r="Q821" s="193"/>
      <c r="R821" s="193"/>
      <c r="S821" s="193"/>
      <c r="T821" s="193"/>
      <c r="U821" s="193"/>
      <c r="V821" s="193"/>
    </row>
    <row r="822" spans="14:22" x14ac:dyDescent="0.2">
      <c r="N822" s="193"/>
      <c r="O822" s="193"/>
      <c r="P822" s="193"/>
      <c r="Q822" s="193"/>
      <c r="R822" s="193"/>
      <c r="S822" s="193"/>
      <c r="T822" s="193"/>
      <c r="U822" s="193"/>
      <c r="V822" s="193"/>
    </row>
    <row r="823" spans="14:22" x14ac:dyDescent="0.2">
      <c r="N823" s="193"/>
      <c r="O823" s="193"/>
      <c r="P823" s="193"/>
      <c r="Q823" s="193"/>
      <c r="R823" s="193"/>
      <c r="S823" s="193"/>
      <c r="T823" s="193"/>
      <c r="U823" s="193"/>
      <c r="V823" s="193"/>
    </row>
    <row r="824" spans="14:22" x14ac:dyDescent="0.2">
      <c r="N824" s="193"/>
      <c r="O824" s="193"/>
      <c r="P824" s="193"/>
      <c r="Q824" s="193"/>
      <c r="R824" s="193"/>
      <c r="S824" s="193"/>
      <c r="T824" s="193"/>
      <c r="U824" s="193"/>
      <c r="V824" s="193"/>
    </row>
    <row r="825" spans="14:22" x14ac:dyDescent="0.2">
      <c r="N825" s="193"/>
      <c r="O825" s="193"/>
      <c r="P825" s="193"/>
      <c r="Q825" s="193"/>
      <c r="R825" s="193"/>
      <c r="S825" s="193"/>
      <c r="T825" s="193"/>
      <c r="U825" s="193"/>
      <c r="V825" s="193"/>
    </row>
    <row r="826" spans="14:22" x14ac:dyDescent="0.2">
      <c r="N826" s="193"/>
      <c r="O826" s="193"/>
      <c r="P826" s="193"/>
      <c r="Q826" s="193"/>
      <c r="R826" s="193"/>
      <c r="S826" s="193"/>
      <c r="T826" s="193"/>
      <c r="U826" s="193"/>
      <c r="V826" s="193"/>
    </row>
    <row r="827" spans="14:22" x14ac:dyDescent="0.2">
      <c r="N827" s="193"/>
      <c r="O827" s="193"/>
      <c r="P827" s="193"/>
      <c r="Q827" s="193"/>
      <c r="R827" s="193"/>
      <c r="S827" s="193"/>
      <c r="T827" s="193"/>
      <c r="U827" s="193"/>
      <c r="V827" s="193"/>
    </row>
    <row r="828" spans="14:22" x14ac:dyDescent="0.2">
      <c r="N828" s="193"/>
      <c r="O828" s="193"/>
      <c r="P828" s="193"/>
      <c r="Q828" s="193"/>
      <c r="R828" s="193"/>
      <c r="S828" s="193"/>
      <c r="T828" s="193"/>
      <c r="U828" s="193"/>
      <c r="V828" s="193"/>
    </row>
    <row r="829" spans="14:22" x14ac:dyDescent="0.2">
      <c r="N829" s="193"/>
      <c r="O829" s="193"/>
      <c r="P829" s="193"/>
      <c r="Q829" s="193"/>
      <c r="R829" s="193"/>
      <c r="S829" s="193"/>
      <c r="T829" s="193"/>
      <c r="U829" s="193"/>
      <c r="V829" s="193"/>
    </row>
    <row r="830" spans="14:22" x14ac:dyDescent="0.2">
      <c r="N830" s="193"/>
      <c r="O830" s="193"/>
      <c r="P830" s="193"/>
      <c r="Q830" s="193"/>
      <c r="R830" s="193"/>
      <c r="S830" s="193"/>
      <c r="T830" s="193"/>
      <c r="U830" s="193"/>
      <c r="V830" s="193"/>
    </row>
    <row r="831" spans="14:22" x14ac:dyDescent="0.2">
      <c r="N831" s="193"/>
      <c r="O831" s="193"/>
      <c r="P831" s="193"/>
      <c r="Q831" s="193"/>
      <c r="R831" s="193"/>
      <c r="S831" s="193"/>
      <c r="T831" s="193"/>
      <c r="U831" s="193"/>
      <c r="V831" s="193"/>
    </row>
    <row r="832" spans="14:22" x14ac:dyDescent="0.2">
      <c r="N832" s="193"/>
      <c r="O832" s="193"/>
      <c r="P832" s="193"/>
      <c r="Q832" s="193"/>
      <c r="R832" s="193"/>
      <c r="S832" s="193"/>
      <c r="T832" s="193"/>
      <c r="U832" s="193"/>
      <c r="V832" s="193"/>
    </row>
    <row r="833" spans="14:22" x14ac:dyDescent="0.2">
      <c r="N833" s="193"/>
      <c r="O833" s="193"/>
      <c r="P833" s="193"/>
      <c r="Q833" s="193"/>
      <c r="R833" s="193"/>
      <c r="S833" s="193"/>
      <c r="T833" s="193"/>
      <c r="U833" s="193"/>
      <c r="V833" s="193"/>
    </row>
    <row r="834" spans="14:22" x14ac:dyDescent="0.2">
      <c r="N834" s="193"/>
      <c r="O834" s="193"/>
      <c r="P834" s="193"/>
      <c r="Q834" s="193"/>
      <c r="R834" s="193"/>
      <c r="S834" s="193"/>
      <c r="T834" s="193"/>
      <c r="U834" s="193"/>
      <c r="V834" s="193"/>
    </row>
    <row r="835" spans="14:22" x14ac:dyDescent="0.2">
      <c r="N835" s="193"/>
      <c r="O835" s="193"/>
      <c r="P835" s="193"/>
      <c r="Q835" s="193"/>
      <c r="R835" s="193"/>
      <c r="S835" s="193"/>
      <c r="T835" s="193"/>
      <c r="U835" s="193"/>
      <c r="V835" s="193"/>
    </row>
    <row r="836" spans="14:22" x14ac:dyDescent="0.2">
      <c r="N836" s="193"/>
      <c r="O836" s="193"/>
      <c r="P836" s="193"/>
      <c r="Q836" s="193"/>
      <c r="R836" s="193"/>
      <c r="S836" s="193"/>
      <c r="T836" s="193"/>
      <c r="U836" s="193"/>
      <c r="V836" s="193"/>
    </row>
    <row r="837" spans="14:22" x14ac:dyDescent="0.2">
      <c r="N837" s="193"/>
      <c r="O837" s="193"/>
      <c r="P837" s="193"/>
      <c r="Q837" s="193"/>
      <c r="R837" s="193"/>
      <c r="S837" s="193"/>
      <c r="T837" s="193"/>
      <c r="U837" s="193"/>
      <c r="V837" s="193"/>
    </row>
    <row r="838" spans="14:22" x14ac:dyDescent="0.2">
      <c r="N838" s="193"/>
      <c r="O838" s="193"/>
      <c r="P838" s="193"/>
      <c r="Q838" s="193"/>
      <c r="R838" s="193"/>
      <c r="S838" s="193"/>
      <c r="T838" s="193"/>
      <c r="U838" s="193"/>
      <c r="V838" s="193"/>
    </row>
    <row r="839" spans="14:22" x14ac:dyDescent="0.2">
      <c r="N839" s="193"/>
      <c r="O839" s="193"/>
      <c r="P839" s="193"/>
      <c r="Q839" s="193"/>
      <c r="R839" s="193"/>
      <c r="S839" s="193"/>
      <c r="T839" s="193"/>
      <c r="U839" s="193"/>
      <c r="V839" s="193"/>
    </row>
    <row r="840" spans="14:22" x14ac:dyDescent="0.2">
      <c r="N840" s="193"/>
      <c r="O840" s="193"/>
      <c r="P840" s="193"/>
      <c r="Q840" s="193"/>
      <c r="R840" s="193"/>
      <c r="S840" s="193"/>
      <c r="T840" s="193"/>
      <c r="U840" s="193"/>
      <c r="V840" s="193"/>
    </row>
    <row r="841" spans="14:22" x14ac:dyDescent="0.2">
      <c r="N841" s="193"/>
      <c r="O841" s="193"/>
      <c r="P841" s="193"/>
      <c r="Q841" s="193"/>
      <c r="R841" s="193"/>
      <c r="S841" s="193"/>
      <c r="T841" s="193"/>
      <c r="U841" s="193"/>
      <c r="V841" s="193"/>
    </row>
    <row r="842" spans="14:22" x14ac:dyDescent="0.2">
      <c r="N842" s="193"/>
      <c r="O842" s="193"/>
      <c r="P842" s="193"/>
      <c r="Q842" s="193"/>
      <c r="R842" s="193"/>
      <c r="S842" s="193"/>
      <c r="T842" s="193"/>
      <c r="U842" s="193"/>
      <c r="V842" s="193"/>
    </row>
    <row r="843" spans="14:22" x14ac:dyDescent="0.2">
      <c r="N843" s="193"/>
      <c r="O843" s="193"/>
      <c r="P843" s="193"/>
      <c r="Q843" s="193"/>
      <c r="R843" s="193"/>
      <c r="S843" s="193"/>
      <c r="T843" s="193"/>
      <c r="U843" s="193"/>
      <c r="V843" s="193"/>
    </row>
    <row r="844" spans="14:22" x14ac:dyDescent="0.2">
      <c r="N844" s="193"/>
      <c r="O844" s="193"/>
      <c r="P844" s="193"/>
      <c r="Q844" s="193"/>
      <c r="R844" s="193"/>
      <c r="S844" s="193"/>
      <c r="T844" s="193"/>
      <c r="U844" s="193"/>
      <c r="V844" s="193"/>
    </row>
    <row r="845" spans="14:22" x14ac:dyDescent="0.2">
      <c r="N845" s="193"/>
      <c r="O845" s="193"/>
      <c r="P845" s="193"/>
      <c r="Q845" s="193"/>
      <c r="R845" s="193"/>
      <c r="S845" s="193"/>
      <c r="T845" s="193"/>
      <c r="U845" s="193"/>
      <c r="V845" s="193"/>
    </row>
    <row r="846" spans="14:22" x14ac:dyDescent="0.2">
      <c r="N846" s="193"/>
      <c r="O846" s="193"/>
      <c r="P846" s="193"/>
      <c r="Q846" s="193"/>
      <c r="R846" s="193"/>
      <c r="S846" s="193"/>
      <c r="T846" s="193"/>
      <c r="U846" s="193"/>
      <c r="V846" s="193"/>
    </row>
    <row r="847" spans="14:22" x14ac:dyDescent="0.2">
      <c r="N847" s="193"/>
      <c r="O847" s="193"/>
      <c r="P847" s="193"/>
      <c r="Q847" s="193"/>
      <c r="R847" s="193"/>
      <c r="S847" s="193"/>
      <c r="T847" s="193"/>
      <c r="U847" s="193"/>
      <c r="V847" s="193"/>
    </row>
    <row r="848" spans="14:22" x14ac:dyDescent="0.2">
      <c r="N848" s="193"/>
      <c r="O848" s="193"/>
      <c r="P848" s="193"/>
      <c r="Q848" s="193"/>
      <c r="R848" s="193"/>
      <c r="S848" s="193"/>
      <c r="T848" s="193"/>
      <c r="U848" s="193"/>
      <c r="V848" s="193"/>
    </row>
    <row r="849" spans="14:22" x14ac:dyDescent="0.2">
      <c r="N849" s="193"/>
      <c r="O849" s="193"/>
      <c r="P849" s="193"/>
      <c r="Q849" s="193"/>
      <c r="R849" s="193"/>
      <c r="S849" s="193"/>
      <c r="T849" s="193"/>
      <c r="U849" s="193"/>
      <c r="V849" s="193"/>
    </row>
    <row r="850" spans="14:22" x14ac:dyDescent="0.2">
      <c r="N850" s="193"/>
      <c r="O850" s="193"/>
      <c r="P850" s="193"/>
      <c r="Q850" s="193"/>
      <c r="R850" s="193"/>
      <c r="S850" s="193"/>
      <c r="T850" s="193"/>
      <c r="U850" s="193"/>
      <c r="V850" s="193"/>
    </row>
    <row r="851" spans="14:22" x14ac:dyDescent="0.2">
      <c r="N851" s="193"/>
      <c r="O851" s="193"/>
      <c r="P851" s="193"/>
      <c r="Q851" s="193"/>
      <c r="R851" s="193"/>
      <c r="S851" s="193"/>
      <c r="T851" s="193"/>
      <c r="U851" s="193"/>
      <c r="V851" s="193"/>
    </row>
    <row r="852" spans="14:22" x14ac:dyDescent="0.2">
      <c r="N852" s="193"/>
      <c r="O852" s="193"/>
      <c r="P852" s="193"/>
      <c r="Q852" s="193"/>
      <c r="R852" s="193"/>
      <c r="S852" s="193"/>
      <c r="T852" s="193"/>
      <c r="U852" s="193"/>
      <c r="V852" s="193"/>
    </row>
    <row r="853" spans="14:22" x14ac:dyDescent="0.2">
      <c r="N853" s="193"/>
      <c r="O853" s="193"/>
      <c r="P853" s="193"/>
      <c r="Q853" s="193"/>
      <c r="R853" s="193"/>
      <c r="S853" s="193"/>
      <c r="T853" s="193"/>
      <c r="U853" s="193"/>
      <c r="V853" s="193"/>
    </row>
    <row r="854" spans="14:22" x14ac:dyDescent="0.2">
      <c r="N854" s="193"/>
      <c r="O854" s="193"/>
      <c r="P854" s="193"/>
      <c r="Q854" s="193"/>
      <c r="R854" s="193"/>
      <c r="S854" s="193"/>
      <c r="T854" s="193"/>
      <c r="U854" s="193"/>
      <c r="V854" s="193"/>
    </row>
    <row r="855" spans="14:22" x14ac:dyDescent="0.2">
      <c r="N855" s="193"/>
      <c r="O855" s="193"/>
      <c r="P855" s="193"/>
      <c r="Q855" s="193"/>
      <c r="R855" s="193"/>
      <c r="S855" s="193"/>
      <c r="T855" s="193"/>
      <c r="U855" s="193"/>
      <c r="V855" s="193"/>
    </row>
    <row r="856" spans="14:22" x14ac:dyDescent="0.2">
      <c r="N856" s="193"/>
      <c r="O856" s="193"/>
      <c r="P856" s="193"/>
      <c r="Q856" s="193"/>
      <c r="R856" s="193"/>
      <c r="S856" s="193"/>
      <c r="T856" s="193"/>
      <c r="U856" s="193"/>
      <c r="V856" s="193"/>
    </row>
    <row r="857" spans="14:22" x14ac:dyDescent="0.2">
      <c r="N857" s="193"/>
      <c r="O857" s="193"/>
      <c r="P857" s="193"/>
      <c r="Q857" s="193"/>
      <c r="R857" s="193"/>
      <c r="S857" s="193"/>
      <c r="T857" s="193"/>
      <c r="U857" s="193"/>
      <c r="V857" s="193"/>
    </row>
    <row r="858" spans="14:22" x14ac:dyDescent="0.2">
      <c r="N858" s="193"/>
      <c r="O858" s="193"/>
      <c r="P858" s="193"/>
      <c r="Q858" s="193"/>
      <c r="R858" s="193"/>
      <c r="S858" s="193"/>
      <c r="T858" s="193"/>
      <c r="U858" s="193"/>
      <c r="V858" s="193"/>
    </row>
    <row r="859" spans="14:22" x14ac:dyDescent="0.2">
      <c r="N859" s="193"/>
      <c r="O859" s="193"/>
      <c r="P859" s="193"/>
      <c r="Q859" s="193"/>
      <c r="R859" s="193"/>
      <c r="S859" s="193"/>
      <c r="T859" s="193"/>
      <c r="U859" s="193"/>
      <c r="V859" s="193"/>
    </row>
    <row r="860" spans="14:22" x14ac:dyDescent="0.2">
      <c r="N860" s="193"/>
      <c r="O860" s="193"/>
      <c r="P860" s="193"/>
      <c r="Q860" s="193"/>
      <c r="R860" s="193"/>
      <c r="S860" s="193"/>
      <c r="T860" s="193"/>
      <c r="U860" s="193"/>
      <c r="V860" s="193"/>
    </row>
    <row r="861" spans="14:22" x14ac:dyDescent="0.2">
      <c r="N861" s="193"/>
      <c r="O861" s="193"/>
      <c r="P861" s="193"/>
      <c r="Q861" s="193"/>
      <c r="R861" s="193"/>
      <c r="S861" s="193"/>
      <c r="T861" s="193"/>
      <c r="U861" s="193"/>
      <c r="V861" s="193"/>
    </row>
    <row r="862" spans="14:22" x14ac:dyDescent="0.2">
      <c r="N862" s="193"/>
      <c r="O862" s="193"/>
      <c r="P862" s="193"/>
      <c r="Q862" s="193"/>
      <c r="R862" s="193"/>
      <c r="S862" s="193"/>
      <c r="T862" s="193"/>
      <c r="U862" s="193"/>
      <c r="V862" s="193"/>
    </row>
    <row r="863" spans="14:22" x14ac:dyDescent="0.2">
      <c r="N863" s="193"/>
      <c r="O863" s="193"/>
      <c r="P863" s="193"/>
      <c r="Q863" s="193"/>
      <c r="R863" s="193"/>
      <c r="S863" s="193"/>
      <c r="T863" s="193"/>
      <c r="U863" s="193"/>
      <c r="V863" s="193"/>
    </row>
    <row r="864" spans="14:22" x14ac:dyDescent="0.2">
      <c r="N864" s="193"/>
      <c r="O864" s="193"/>
      <c r="P864" s="193"/>
      <c r="Q864" s="193"/>
      <c r="R864" s="193"/>
      <c r="S864" s="193"/>
      <c r="T864" s="193"/>
      <c r="U864" s="193"/>
      <c r="V864" s="193"/>
    </row>
    <row r="865" spans="14:22" x14ac:dyDescent="0.2">
      <c r="N865" s="193"/>
      <c r="O865" s="193"/>
      <c r="P865" s="193"/>
      <c r="Q865" s="193"/>
      <c r="R865" s="193"/>
      <c r="S865" s="193"/>
      <c r="T865" s="193"/>
      <c r="U865" s="193"/>
      <c r="V865" s="193"/>
    </row>
    <row r="866" spans="14:22" x14ac:dyDescent="0.2">
      <c r="N866" s="193"/>
      <c r="O866" s="193"/>
      <c r="P866" s="193"/>
      <c r="Q866" s="193"/>
      <c r="R866" s="193"/>
      <c r="S866" s="193"/>
      <c r="T866" s="193"/>
      <c r="U866" s="193"/>
      <c r="V866" s="193"/>
    </row>
    <row r="867" spans="14:22" x14ac:dyDescent="0.2">
      <c r="N867" s="193"/>
      <c r="O867" s="193"/>
      <c r="P867" s="193"/>
      <c r="Q867" s="193"/>
      <c r="R867" s="193"/>
      <c r="S867" s="193"/>
      <c r="T867" s="193"/>
      <c r="U867" s="193"/>
      <c r="V867" s="193"/>
    </row>
    <row r="868" spans="14:22" x14ac:dyDescent="0.2">
      <c r="N868" s="193"/>
      <c r="O868" s="193"/>
      <c r="P868" s="193"/>
      <c r="Q868" s="193"/>
      <c r="R868" s="193"/>
      <c r="S868" s="193"/>
      <c r="T868" s="193"/>
      <c r="U868" s="193"/>
      <c r="V868" s="193"/>
    </row>
    <row r="869" spans="14:22" x14ac:dyDescent="0.2">
      <c r="N869" s="193"/>
      <c r="O869" s="193"/>
      <c r="P869" s="193"/>
      <c r="Q869" s="193"/>
      <c r="R869" s="193"/>
      <c r="S869" s="193"/>
      <c r="T869" s="193"/>
      <c r="U869" s="193"/>
      <c r="V869" s="193"/>
    </row>
    <row r="870" spans="14:22" x14ac:dyDescent="0.2">
      <c r="N870" s="193"/>
      <c r="O870" s="193"/>
      <c r="P870" s="193"/>
      <c r="Q870" s="193"/>
      <c r="R870" s="193"/>
      <c r="S870" s="193"/>
      <c r="T870" s="193"/>
      <c r="U870" s="193"/>
      <c r="V870" s="193"/>
    </row>
    <row r="871" spans="14:22" x14ac:dyDescent="0.2">
      <c r="N871" s="193"/>
      <c r="O871" s="193"/>
      <c r="P871" s="193"/>
      <c r="Q871" s="193"/>
      <c r="R871" s="193"/>
      <c r="S871" s="193"/>
      <c r="T871" s="193"/>
      <c r="U871" s="193"/>
      <c r="V871" s="193"/>
    </row>
    <row r="872" spans="14:22" x14ac:dyDescent="0.2">
      <c r="N872" s="193"/>
      <c r="O872" s="193"/>
      <c r="P872" s="193"/>
      <c r="Q872" s="193"/>
      <c r="R872" s="193"/>
      <c r="S872" s="193"/>
      <c r="T872" s="193"/>
      <c r="U872" s="193"/>
      <c r="V872" s="193"/>
    </row>
    <row r="873" spans="14:22" x14ac:dyDescent="0.2">
      <c r="N873" s="193"/>
      <c r="O873" s="193"/>
      <c r="P873" s="193"/>
      <c r="Q873" s="193"/>
      <c r="R873" s="193"/>
      <c r="S873" s="193"/>
      <c r="T873" s="193"/>
      <c r="U873" s="193"/>
      <c r="V873" s="193"/>
    </row>
    <row r="874" spans="14:22" x14ac:dyDescent="0.2">
      <c r="N874" s="193"/>
      <c r="O874" s="193"/>
      <c r="P874" s="193"/>
      <c r="Q874" s="193"/>
      <c r="R874" s="193"/>
      <c r="S874" s="193"/>
      <c r="T874" s="193"/>
      <c r="U874" s="193"/>
      <c r="V874" s="193"/>
    </row>
    <row r="875" spans="14:22" x14ac:dyDescent="0.2">
      <c r="N875" s="193"/>
      <c r="O875" s="193"/>
      <c r="P875" s="193"/>
      <c r="Q875" s="193"/>
      <c r="R875" s="193"/>
      <c r="S875" s="193"/>
      <c r="T875" s="193"/>
      <c r="U875" s="193"/>
      <c r="V875" s="193"/>
    </row>
    <row r="876" spans="14:22" x14ac:dyDescent="0.2">
      <c r="N876" s="193"/>
      <c r="O876" s="193"/>
      <c r="P876" s="193"/>
      <c r="Q876" s="193"/>
      <c r="R876" s="193"/>
      <c r="S876" s="193"/>
      <c r="T876" s="193"/>
      <c r="U876" s="193"/>
      <c r="V876" s="193"/>
    </row>
    <row r="877" spans="14:22" x14ac:dyDescent="0.2">
      <c r="N877" s="193"/>
      <c r="O877" s="193"/>
      <c r="P877" s="193"/>
      <c r="Q877" s="193"/>
      <c r="R877" s="193"/>
      <c r="S877" s="193"/>
      <c r="T877" s="193"/>
      <c r="U877" s="193"/>
      <c r="V877" s="193"/>
    </row>
    <row r="878" spans="14:22" x14ac:dyDescent="0.2">
      <c r="N878" s="193"/>
      <c r="O878" s="193"/>
      <c r="P878" s="193"/>
      <c r="Q878" s="193"/>
      <c r="R878" s="193"/>
      <c r="S878" s="193"/>
      <c r="T878" s="193"/>
      <c r="U878" s="193"/>
      <c r="V878" s="193"/>
    </row>
    <row r="879" spans="14:22" x14ac:dyDescent="0.2">
      <c r="N879" s="193"/>
      <c r="O879" s="193"/>
      <c r="P879" s="193"/>
      <c r="Q879" s="193"/>
      <c r="R879" s="193"/>
      <c r="S879" s="193"/>
      <c r="T879" s="193"/>
      <c r="U879" s="193"/>
      <c r="V879" s="193"/>
    </row>
    <row r="880" spans="14:22" x14ac:dyDescent="0.2">
      <c r="N880" s="193"/>
      <c r="O880" s="193"/>
      <c r="P880" s="193"/>
      <c r="Q880" s="193"/>
      <c r="R880" s="193"/>
      <c r="S880" s="193"/>
      <c r="T880" s="193"/>
      <c r="U880" s="193"/>
      <c r="V880" s="193"/>
    </row>
    <row r="881" spans="14:22" x14ac:dyDescent="0.2">
      <c r="N881" s="193"/>
      <c r="O881" s="193"/>
      <c r="P881" s="193"/>
      <c r="Q881" s="193"/>
      <c r="R881" s="193"/>
      <c r="S881" s="193"/>
      <c r="T881" s="193"/>
      <c r="U881" s="193"/>
      <c r="V881" s="193"/>
    </row>
    <row r="882" spans="14:22" x14ac:dyDescent="0.2">
      <c r="N882" s="193"/>
      <c r="O882" s="193"/>
      <c r="P882" s="193"/>
      <c r="Q882" s="193"/>
      <c r="R882" s="193"/>
      <c r="S882" s="193"/>
      <c r="T882" s="193"/>
      <c r="U882" s="193"/>
      <c r="V882" s="193"/>
    </row>
    <row r="883" spans="14:22" x14ac:dyDescent="0.2">
      <c r="N883" s="193"/>
      <c r="O883" s="193"/>
      <c r="P883" s="193"/>
      <c r="Q883" s="193"/>
      <c r="R883" s="193"/>
      <c r="S883" s="193"/>
      <c r="T883" s="193"/>
      <c r="U883" s="193"/>
      <c r="V883" s="193"/>
    </row>
    <row r="884" spans="14:22" x14ac:dyDescent="0.2">
      <c r="N884" s="193"/>
      <c r="O884" s="193"/>
      <c r="P884" s="193"/>
      <c r="Q884" s="193"/>
      <c r="R884" s="193"/>
      <c r="S884" s="193"/>
      <c r="T884" s="193"/>
      <c r="U884" s="193"/>
      <c r="V884" s="193"/>
    </row>
    <row r="885" spans="14:22" x14ac:dyDescent="0.2">
      <c r="N885" s="193"/>
      <c r="O885" s="193"/>
      <c r="P885" s="193"/>
      <c r="Q885" s="193"/>
      <c r="R885" s="193"/>
      <c r="S885" s="193"/>
      <c r="T885" s="193"/>
      <c r="U885" s="193"/>
      <c r="V885" s="193"/>
    </row>
    <row r="886" spans="14:22" x14ac:dyDescent="0.2">
      <c r="N886" s="193"/>
      <c r="O886" s="193"/>
      <c r="P886" s="193"/>
      <c r="Q886" s="193"/>
      <c r="R886" s="193"/>
      <c r="S886" s="193"/>
      <c r="T886" s="193"/>
      <c r="U886" s="193"/>
      <c r="V886" s="193"/>
    </row>
    <row r="887" spans="14:22" x14ac:dyDescent="0.2">
      <c r="N887" s="193"/>
      <c r="O887" s="193"/>
      <c r="P887" s="193"/>
      <c r="Q887" s="193"/>
      <c r="R887" s="193"/>
      <c r="S887" s="193"/>
      <c r="T887" s="193"/>
      <c r="U887" s="193"/>
      <c r="V887" s="193"/>
    </row>
    <row r="888" spans="14:22" x14ac:dyDescent="0.2">
      <c r="N888" s="193"/>
      <c r="O888" s="193"/>
      <c r="P888" s="193"/>
      <c r="Q888" s="193"/>
      <c r="R888" s="193"/>
      <c r="S888" s="193"/>
      <c r="T888" s="193"/>
      <c r="U888" s="193"/>
      <c r="V888" s="193"/>
    </row>
    <row r="889" spans="14:22" x14ac:dyDescent="0.2">
      <c r="N889" s="193"/>
      <c r="O889" s="193"/>
      <c r="P889" s="193"/>
      <c r="Q889" s="193"/>
      <c r="R889" s="193"/>
      <c r="S889" s="193"/>
      <c r="T889" s="193"/>
      <c r="U889" s="193"/>
      <c r="V889" s="193"/>
    </row>
    <row r="890" spans="14:22" x14ac:dyDescent="0.2">
      <c r="N890" s="193"/>
      <c r="O890" s="193"/>
      <c r="P890" s="193"/>
      <c r="Q890" s="193"/>
      <c r="R890" s="193"/>
      <c r="S890" s="193"/>
      <c r="T890" s="193"/>
      <c r="U890" s="193"/>
      <c r="V890" s="193"/>
    </row>
    <row r="891" spans="14:22" x14ac:dyDescent="0.2">
      <c r="N891" s="193"/>
      <c r="O891" s="193"/>
      <c r="P891" s="193"/>
      <c r="Q891" s="193"/>
      <c r="R891" s="193"/>
      <c r="S891" s="193"/>
      <c r="T891" s="193"/>
      <c r="U891" s="193"/>
      <c r="V891" s="193"/>
    </row>
    <row r="892" spans="14:22" x14ac:dyDescent="0.2">
      <c r="N892" s="193"/>
      <c r="O892" s="193"/>
      <c r="P892" s="193"/>
      <c r="Q892" s="193"/>
      <c r="R892" s="193"/>
      <c r="S892" s="193"/>
      <c r="T892" s="193"/>
      <c r="U892" s="193"/>
      <c r="V892" s="193"/>
    </row>
    <row r="893" spans="14:22" x14ac:dyDescent="0.2">
      <c r="N893" s="193"/>
      <c r="O893" s="193"/>
      <c r="P893" s="193"/>
      <c r="Q893" s="193"/>
      <c r="R893" s="193"/>
      <c r="S893" s="193"/>
      <c r="T893" s="193"/>
      <c r="U893" s="193"/>
      <c r="V893" s="193"/>
    </row>
    <row r="894" spans="14:22" x14ac:dyDescent="0.2">
      <c r="N894" s="193"/>
      <c r="O894" s="193"/>
      <c r="P894" s="193"/>
      <c r="Q894" s="193"/>
      <c r="R894" s="193"/>
      <c r="S894" s="193"/>
      <c r="T894" s="193"/>
      <c r="U894" s="193"/>
      <c r="V894" s="193"/>
    </row>
    <row r="895" spans="14:22" x14ac:dyDescent="0.2">
      <c r="N895" s="193"/>
      <c r="O895" s="193"/>
      <c r="P895" s="193"/>
      <c r="Q895" s="193"/>
      <c r="R895" s="193"/>
      <c r="S895" s="193"/>
      <c r="T895" s="193"/>
      <c r="U895" s="193"/>
      <c r="V895" s="193"/>
    </row>
    <row r="896" spans="14:22" x14ac:dyDescent="0.2">
      <c r="N896" s="193"/>
      <c r="O896" s="193"/>
      <c r="P896" s="193"/>
      <c r="Q896" s="193"/>
      <c r="R896" s="193"/>
      <c r="S896" s="193"/>
      <c r="T896" s="193"/>
      <c r="U896" s="193"/>
      <c r="V896" s="193"/>
    </row>
    <row r="897" spans="14:22" x14ac:dyDescent="0.2">
      <c r="N897" s="193"/>
      <c r="O897" s="193"/>
      <c r="P897" s="193"/>
      <c r="Q897" s="193"/>
      <c r="R897" s="193"/>
      <c r="S897" s="193"/>
      <c r="T897" s="193"/>
      <c r="U897" s="193"/>
      <c r="V897" s="193"/>
    </row>
    <row r="898" spans="14:22" x14ac:dyDescent="0.2">
      <c r="N898" s="193"/>
      <c r="O898" s="193"/>
      <c r="P898" s="193"/>
      <c r="Q898" s="193"/>
      <c r="R898" s="193"/>
      <c r="S898" s="193"/>
      <c r="T898" s="193"/>
      <c r="U898" s="193"/>
      <c r="V898" s="193"/>
    </row>
    <row r="899" spans="14:22" x14ac:dyDescent="0.2">
      <c r="N899" s="193"/>
      <c r="O899" s="193"/>
      <c r="P899" s="193"/>
      <c r="Q899" s="193"/>
      <c r="R899" s="193"/>
      <c r="S899" s="193"/>
      <c r="T899" s="193"/>
      <c r="U899" s="193"/>
      <c r="V899" s="193"/>
    </row>
    <row r="900" spans="14:22" x14ac:dyDescent="0.2">
      <c r="N900" s="193"/>
      <c r="O900" s="193"/>
      <c r="P900" s="193"/>
      <c r="Q900" s="193"/>
      <c r="R900" s="193"/>
      <c r="S900" s="193"/>
      <c r="T900" s="193"/>
      <c r="U900" s="193"/>
      <c r="V900" s="193"/>
    </row>
    <row r="901" spans="14:22" x14ac:dyDescent="0.2">
      <c r="N901" s="193"/>
      <c r="O901" s="193"/>
      <c r="P901" s="193"/>
      <c r="Q901" s="193"/>
      <c r="R901" s="193"/>
      <c r="S901" s="193"/>
      <c r="T901" s="193"/>
      <c r="U901" s="193"/>
      <c r="V901" s="193"/>
    </row>
    <row r="902" spans="14:22" x14ac:dyDescent="0.2">
      <c r="N902" s="193"/>
      <c r="O902" s="193"/>
      <c r="P902" s="193"/>
      <c r="Q902" s="193"/>
      <c r="R902" s="193"/>
      <c r="S902" s="193"/>
      <c r="T902" s="193"/>
      <c r="U902" s="193"/>
      <c r="V902" s="193"/>
    </row>
    <row r="903" spans="14:22" x14ac:dyDescent="0.2">
      <c r="N903" s="193"/>
      <c r="O903" s="193"/>
      <c r="P903" s="193"/>
      <c r="Q903" s="193"/>
      <c r="R903" s="193"/>
      <c r="S903" s="193"/>
      <c r="T903" s="193"/>
      <c r="U903" s="193"/>
      <c r="V903" s="193"/>
    </row>
    <row r="904" spans="14:22" x14ac:dyDescent="0.2">
      <c r="N904" s="193"/>
      <c r="O904" s="193"/>
      <c r="P904" s="193"/>
      <c r="Q904" s="193"/>
      <c r="R904" s="193"/>
      <c r="S904" s="193"/>
      <c r="T904" s="193"/>
      <c r="U904" s="193"/>
      <c r="V904" s="193"/>
    </row>
    <row r="905" spans="14:22" x14ac:dyDescent="0.2">
      <c r="N905" s="193"/>
      <c r="O905" s="193"/>
      <c r="P905" s="193"/>
      <c r="Q905" s="193"/>
      <c r="R905" s="193"/>
      <c r="S905" s="193"/>
      <c r="T905" s="193"/>
      <c r="U905" s="193"/>
      <c r="V905" s="193"/>
    </row>
    <row r="906" spans="14:22" x14ac:dyDescent="0.2">
      <c r="N906" s="193"/>
      <c r="O906" s="193"/>
      <c r="P906" s="193"/>
      <c r="Q906" s="193"/>
      <c r="R906" s="193"/>
      <c r="S906" s="193"/>
      <c r="T906" s="193"/>
      <c r="U906" s="193"/>
      <c r="V906" s="193"/>
    </row>
    <row r="907" spans="14:22" x14ac:dyDescent="0.2">
      <c r="N907" s="193"/>
      <c r="O907" s="193"/>
      <c r="P907" s="193"/>
      <c r="Q907" s="193"/>
      <c r="R907" s="193"/>
      <c r="S907" s="193"/>
      <c r="T907" s="193"/>
      <c r="U907" s="193"/>
      <c r="V907" s="193"/>
    </row>
    <row r="908" spans="14:22" x14ac:dyDescent="0.2">
      <c r="N908" s="193"/>
      <c r="O908" s="193"/>
      <c r="P908" s="193"/>
      <c r="Q908" s="193"/>
      <c r="R908" s="193"/>
      <c r="S908" s="193"/>
      <c r="T908" s="193"/>
      <c r="U908" s="193"/>
      <c r="V908" s="193"/>
    </row>
    <row r="909" spans="14:22" x14ac:dyDescent="0.2">
      <c r="N909" s="193"/>
      <c r="O909" s="193"/>
      <c r="P909" s="193"/>
      <c r="Q909" s="193"/>
      <c r="R909" s="193"/>
      <c r="S909" s="193"/>
      <c r="T909" s="193"/>
      <c r="U909" s="193"/>
      <c r="V909" s="193"/>
    </row>
    <row r="910" spans="14:22" x14ac:dyDescent="0.2">
      <c r="N910" s="193"/>
      <c r="O910" s="193"/>
      <c r="P910" s="193"/>
      <c r="Q910" s="193"/>
      <c r="R910" s="193"/>
      <c r="S910" s="193"/>
      <c r="T910" s="193"/>
      <c r="U910" s="193"/>
      <c r="V910" s="193"/>
    </row>
    <row r="911" spans="14:22" x14ac:dyDescent="0.2">
      <c r="N911" s="193"/>
      <c r="O911" s="193"/>
      <c r="P911" s="193"/>
      <c r="Q911" s="193"/>
      <c r="R911" s="193"/>
      <c r="S911" s="193"/>
      <c r="T911" s="193"/>
      <c r="U911" s="193"/>
      <c r="V911" s="193"/>
    </row>
    <row r="912" spans="14:22" x14ac:dyDescent="0.2">
      <c r="N912" s="193"/>
      <c r="O912" s="193"/>
      <c r="P912" s="193"/>
      <c r="Q912" s="193"/>
      <c r="R912" s="193"/>
      <c r="S912" s="193"/>
      <c r="T912" s="193"/>
      <c r="U912" s="193"/>
      <c r="V912" s="193"/>
    </row>
    <row r="913" spans="14:22" x14ac:dyDescent="0.2">
      <c r="N913" s="193"/>
      <c r="O913" s="193"/>
      <c r="P913" s="193"/>
      <c r="Q913" s="193"/>
      <c r="R913" s="193"/>
      <c r="S913" s="193"/>
      <c r="T913" s="193"/>
      <c r="U913" s="193"/>
      <c r="V913" s="193"/>
    </row>
    <row r="914" spans="14:22" x14ac:dyDescent="0.2">
      <c r="N914" s="193"/>
      <c r="O914" s="193"/>
      <c r="P914" s="193"/>
      <c r="Q914" s="193"/>
      <c r="R914" s="193"/>
      <c r="S914" s="193"/>
      <c r="T914" s="193"/>
      <c r="U914" s="193"/>
      <c r="V914" s="193"/>
    </row>
    <row r="915" spans="14:22" x14ac:dyDescent="0.2">
      <c r="N915" s="193"/>
      <c r="O915" s="193"/>
      <c r="P915" s="193"/>
      <c r="Q915" s="193"/>
      <c r="R915" s="193"/>
      <c r="S915" s="193"/>
      <c r="T915" s="193"/>
      <c r="U915" s="193"/>
      <c r="V915" s="193"/>
    </row>
    <row r="916" spans="14:22" x14ac:dyDescent="0.2">
      <c r="N916" s="193"/>
      <c r="O916" s="193"/>
      <c r="P916" s="193"/>
      <c r="Q916" s="193"/>
      <c r="R916" s="193"/>
      <c r="S916" s="193"/>
      <c r="T916" s="193"/>
      <c r="U916" s="193"/>
      <c r="V916" s="193"/>
    </row>
    <row r="917" spans="14:22" x14ac:dyDescent="0.2">
      <c r="N917" s="193"/>
      <c r="O917" s="193"/>
      <c r="P917" s="193"/>
      <c r="Q917" s="193"/>
      <c r="R917" s="193"/>
      <c r="S917" s="193"/>
      <c r="T917" s="193"/>
      <c r="U917" s="193"/>
      <c r="V917" s="193"/>
    </row>
    <row r="918" spans="14:22" x14ac:dyDescent="0.2">
      <c r="N918" s="193"/>
      <c r="O918" s="193"/>
      <c r="P918" s="193"/>
      <c r="Q918" s="193"/>
      <c r="R918" s="193"/>
      <c r="S918" s="193"/>
      <c r="T918" s="193"/>
      <c r="U918" s="193"/>
      <c r="V918" s="193"/>
    </row>
    <row r="919" spans="14:22" x14ac:dyDescent="0.2">
      <c r="N919" s="193"/>
      <c r="O919" s="193"/>
      <c r="P919" s="193"/>
      <c r="Q919" s="193"/>
      <c r="R919" s="193"/>
      <c r="S919" s="193"/>
      <c r="T919" s="193"/>
      <c r="U919" s="193"/>
      <c r="V919" s="193"/>
    </row>
    <row r="920" spans="14:22" x14ac:dyDescent="0.2">
      <c r="N920" s="193"/>
      <c r="O920" s="193"/>
      <c r="P920" s="193"/>
      <c r="Q920" s="193"/>
      <c r="R920" s="193"/>
      <c r="S920" s="193"/>
      <c r="T920" s="193"/>
      <c r="U920" s="193"/>
      <c r="V920" s="193"/>
    </row>
    <row r="921" spans="14:22" x14ac:dyDescent="0.2">
      <c r="N921" s="193"/>
      <c r="O921" s="193"/>
      <c r="P921" s="193"/>
      <c r="Q921" s="193"/>
      <c r="R921" s="193"/>
      <c r="S921" s="193"/>
      <c r="T921" s="193"/>
      <c r="U921" s="193"/>
      <c r="V921" s="193"/>
    </row>
    <row r="922" spans="14:22" x14ac:dyDescent="0.2">
      <c r="N922" s="193"/>
      <c r="O922" s="193"/>
      <c r="P922" s="193"/>
      <c r="Q922" s="193"/>
      <c r="R922" s="193"/>
      <c r="S922" s="193"/>
      <c r="T922" s="193"/>
      <c r="U922" s="193"/>
      <c r="V922" s="193"/>
    </row>
    <row r="923" spans="14:22" x14ac:dyDescent="0.2">
      <c r="N923" s="193"/>
      <c r="O923" s="193"/>
      <c r="P923" s="193"/>
      <c r="Q923" s="193"/>
      <c r="R923" s="193"/>
      <c r="S923" s="193"/>
      <c r="T923" s="193"/>
      <c r="U923" s="193"/>
      <c r="V923" s="193"/>
    </row>
    <row r="924" spans="14:22" x14ac:dyDescent="0.2">
      <c r="N924" s="193"/>
      <c r="O924" s="193"/>
      <c r="P924" s="193"/>
      <c r="Q924" s="193"/>
      <c r="R924" s="193"/>
      <c r="S924" s="193"/>
      <c r="T924" s="193"/>
      <c r="U924" s="193"/>
      <c r="V924" s="193"/>
    </row>
    <row r="925" spans="14:22" x14ac:dyDescent="0.2">
      <c r="N925" s="193"/>
      <c r="O925" s="193"/>
      <c r="P925" s="193"/>
      <c r="Q925" s="193"/>
      <c r="R925" s="193"/>
      <c r="S925" s="193"/>
      <c r="T925" s="193"/>
      <c r="U925" s="193"/>
      <c r="V925" s="193"/>
    </row>
    <row r="926" spans="14:22" x14ac:dyDescent="0.2">
      <c r="N926" s="193"/>
      <c r="O926" s="193"/>
      <c r="P926" s="193"/>
      <c r="Q926" s="193"/>
      <c r="R926" s="193"/>
      <c r="S926" s="193"/>
      <c r="T926" s="193"/>
      <c r="U926" s="193"/>
      <c r="V926" s="193"/>
    </row>
    <row r="927" spans="14:22" x14ac:dyDescent="0.2">
      <c r="N927" s="193"/>
      <c r="O927" s="193"/>
      <c r="P927" s="193"/>
      <c r="Q927" s="193"/>
      <c r="R927" s="193"/>
      <c r="S927" s="193"/>
      <c r="T927" s="193"/>
      <c r="U927" s="193"/>
      <c r="V927" s="193"/>
    </row>
    <row r="928" spans="14:22" x14ac:dyDescent="0.2">
      <c r="N928" s="193"/>
      <c r="O928" s="193"/>
      <c r="P928" s="193"/>
      <c r="Q928" s="193"/>
      <c r="R928" s="193"/>
      <c r="S928" s="193"/>
      <c r="T928" s="193"/>
      <c r="U928" s="193"/>
      <c r="V928" s="193"/>
    </row>
    <row r="929" spans="14:22" x14ac:dyDescent="0.2">
      <c r="N929" s="193"/>
      <c r="O929" s="193"/>
      <c r="P929" s="193"/>
      <c r="Q929" s="193"/>
      <c r="R929" s="193"/>
      <c r="S929" s="193"/>
      <c r="T929" s="193"/>
      <c r="U929" s="193"/>
      <c r="V929" s="193"/>
    </row>
    <row r="930" spans="14:22" x14ac:dyDescent="0.2">
      <c r="N930" s="193"/>
      <c r="O930" s="193"/>
      <c r="P930" s="193"/>
      <c r="Q930" s="193"/>
      <c r="R930" s="193"/>
      <c r="S930" s="193"/>
      <c r="T930" s="193"/>
      <c r="U930" s="193"/>
      <c r="V930" s="193"/>
    </row>
    <row r="931" spans="14:22" x14ac:dyDescent="0.2">
      <c r="N931" s="193"/>
      <c r="O931" s="193"/>
      <c r="P931" s="193"/>
      <c r="Q931" s="193"/>
      <c r="R931" s="193"/>
      <c r="S931" s="193"/>
      <c r="T931" s="193"/>
      <c r="U931" s="193"/>
      <c r="V931" s="193"/>
    </row>
    <row r="932" spans="14:22" x14ac:dyDescent="0.2">
      <c r="N932" s="193"/>
      <c r="O932" s="193"/>
      <c r="P932" s="193"/>
      <c r="Q932" s="193"/>
      <c r="R932" s="193"/>
      <c r="S932" s="193"/>
      <c r="T932" s="193"/>
      <c r="U932" s="193"/>
      <c r="V932" s="193"/>
    </row>
    <row r="933" spans="14:22" x14ac:dyDescent="0.2">
      <c r="N933" s="193"/>
      <c r="O933" s="193"/>
      <c r="P933" s="193"/>
      <c r="Q933" s="193"/>
      <c r="R933" s="193"/>
      <c r="S933" s="193"/>
      <c r="T933" s="193"/>
      <c r="U933" s="193"/>
      <c r="V933" s="193"/>
    </row>
    <row r="934" spans="14:22" x14ac:dyDescent="0.2">
      <c r="N934" s="193"/>
      <c r="O934" s="193"/>
      <c r="P934" s="193"/>
      <c r="Q934" s="193"/>
      <c r="R934" s="193"/>
      <c r="S934" s="193"/>
      <c r="T934" s="193"/>
      <c r="U934" s="193"/>
      <c r="V934" s="193"/>
    </row>
    <row r="935" spans="14:22" x14ac:dyDescent="0.2">
      <c r="N935" s="193"/>
      <c r="O935" s="193"/>
      <c r="P935" s="193"/>
      <c r="Q935" s="193"/>
      <c r="R935" s="193"/>
      <c r="S935" s="193"/>
      <c r="T935" s="193"/>
      <c r="U935" s="193"/>
      <c r="V935" s="193"/>
    </row>
    <row r="936" spans="14:22" x14ac:dyDescent="0.2">
      <c r="N936" s="193"/>
      <c r="O936" s="193"/>
      <c r="P936" s="193"/>
      <c r="Q936" s="193"/>
      <c r="R936" s="193"/>
      <c r="S936" s="193"/>
      <c r="T936" s="193"/>
      <c r="U936" s="193"/>
      <c r="V936" s="193"/>
    </row>
    <row r="937" spans="14:22" x14ac:dyDescent="0.2">
      <c r="N937" s="193"/>
      <c r="O937" s="193"/>
      <c r="P937" s="193"/>
      <c r="Q937" s="193"/>
      <c r="R937" s="193"/>
      <c r="S937" s="193"/>
      <c r="T937" s="193"/>
      <c r="U937" s="193"/>
      <c r="V937" s="193"/>
    </row>
    <row r="938" spans="14:22" x14ac:dyDescent="0.2">
      <c r="N938" s="193"/>
      <c r="O938" s="193"/>
      <c r="P938" s="193"/>
      <c r="Q938" s="193"/>
      <c r="R938" s="193"/>
      <c r="S938" s="193"/>
      <c r="T938" s="193"/>
      <c r="U938" s="193"/>
      <c r="V938" s="193"/>
    </row>
    <row r="939" spans="14:22" x14ac:dyDescent="0.2">
      <c r="N939" s="193"/>
      <c r="O939" s="193"/>
      <c r="P939" s="193"/>
      <c r="Q939" s="193"/>
      <c r="R939" s="193"/>
      <c r="S939" s="193"/>
      <c r="T939" s="193"/>
      <c r="U939" s="193"/>
      <c r="V939" s="193"/>
    </row>
    <row r="940" spans="14:22" x14ac:dyDescent="0.2">
      <c r="N940" s="193"/>
      <c r="O940" s="193"/>
      <c r="P940" s="193"/>
      <c r="Q940" s="193"/>
      <c r="R940" s="193"/>
      <c r="S940" s="193"/>
      <c r="T940" s="193"/>
      <c r="U940" s="193"/>
      <c r="V940" s="193"/>
    </row>
    <row r="941" spans="14:22" x14ac:dyDescent="0.2">
      <c r="N941" s="193"/>
      <c r="O941" s="193"/>
      <c r="P941" s="193"/>
      <c r="Q941" s="193"/>
      <c r="R941" s="193"/>
      <c r="S941" s="193"/>
      <c r="T941" s="193"/>
      <c r="U941" s="193"/>
      <c r="V941" s="193"/>
    </row>
    <row r="942" spans="14:22" x14ac:dyDescent="0.2">
      <c r="N942" s="193"/>
      <c r="O942" s="193"/>
      <c r="P942" s="193"/>
      <c r="Q942" s="193"/>
      <c r="R942" s="193"/>
      <c r="S942" s="193"/>
      <c r="T942" s="193"/>
      <c r="U942" s="193"/>
      <c r="V942" s="193"/>
    </row>
    <row r="943" spans="14:22" x14ac:dyDescent="0.2">
      <c r="N943" s="193"/>
      <c r="O943" s="193"/>
      <c r="P943" s="193"/>
      <c r="Q943" s="193"/>
      <c r="R943" s="193"/>
      <c r="S943" s="193"/>
      <c r="T943" s="193"/>
      <c r="U943" s="193"/>
      <c r="V943" s="193"/>
    </row>
    <row r="944" spans="14:22" x14ac:dyDescent="0.2">
      <c r="N944" s="193"/>
      <c r="O944" s="193"/>
      <c r="P944" s="193"/>
      <c r="Q944" s="193"/>
      <c r="R944" s="193"/>
      <c r="S944" s="193"/>
      <c r="T944" s="193"/>
      <c r="U944" s="193"/>
      <c r="V944" s="193"/>
    </row>
    <row r="945" spans="14:22" x14ac:dyDescent="0.2">
      <c r="N945" s="193"/>
      <c r="O945" s="193"/>
      <c r="P945" s="193"/>
      <c r="Q945" s="193"/>
      <c r="R945" s="193"/>
      <c r="S945" s="193"/>
      <c r="T945" s="193"/>
      <c r="U945" s="193"/>
      <c r="V945" s="193"/>
    </row>
    <row r="946" spans="14:22" x14ac:dyDescent="0.2">
      <c r="N946" s="193"/>
      <c r="O946" s="193"/>
      <c r="P946" s="193"/>
      <c r="Q946" s="193"/>
      <c r="R946" s="193"/>
      <c r="S946" s="193"/>
      <c r="T946" s="193"/>
      <c r="U946" s="193"/>
      <c r="V946" s="193"/>
    </row>
    <row r="947" spans="14:22" x14ac:dyDescent="0.2">
      <c r="N947" s="193"/>
      <c r="O947" s="193"/>
      <c r="P947" s="193"/>
      <c r="Q947" s="193"/>
      <c r="R947" s="193"/>
      <c r="S947" s="193"/>
      <c r="T947" s="193"/>
      <c r="U947" s="193"/>
      <c r="V947" s="193"/>
    </row>
    <row r="948" spans="14:22" x14ac:dyDescent="0.2">
      <c r="N948" s="193"/>
      <c r="O948" s="193"/>
      <c r="P948" s="193"/>
      <c r="Q948" s="193"/>
      <c r="R948" s="193"/>
      <c r="S948" s="193"/>
      <c r="T948" s="193"/>
      <c r="U948" s="193"/>
      <c r="V948" s="193"/>
    </row>
    <row r="949" spans="14:22" x14ac:dyDescent="0.2">
      <c r="N949" s="193"/>
      <c r="O949" s="193"/>
      <c r="P949" s="193"/>
      <c r="Q949" s="193"/>
      <c r="R949" s="193"/>
      <c r="S949" s="193"/>
      <c r="T949" s="193"/>
      <c r="U949" s="193"/>
      <c r="V949" s="193"/>
    </row>
    <row r="950" spans="14:22" x14ac:dyDescent="0.2">
      <c r="N950" s="193"/>
      <c r="O950" s="193"/>
      <c r="P950" s="193"/>
      <c r="Q950" s="193"/>
      <c r="R950" s="193"/>
      <c r="S950" s="193"/>
      <c r="T950" s="193"/>
      <c r="U950" s="193"/>
      <c r="V950" s="193"/>
    </row>
    <row r="951" spans="14:22" x14ac:dyDescent="0.2">
      <c r="N951" s="193"/>
      <c r="O951" s="193"/>
      <c r="P951" s="193"/>
      <c r="Q951" s="193"/>
      <c r="R951" s="193"/>
      <c r="S951" s="193"/>
      <c r="T951" s="193"/>
      <c r="U951" s="193"/>
      <c r="V951" s="193"/>
    </row>
    <row r="952" spans="14:22" x14ac:dyDescent="0.2">
      <c r="N952" s="193"/>
      <c r="O952" s="193"/>
      <c r="P952" s="193"/>
      <c r="Q952" s="193"/>
      <c r="R952" s="193"/>
      <c r="S952" s="193"/>
      <c r="T952" s="193"/>
      <c r="U952" s="193"/>
      <c r="V952" s="193"/>
    </row>
    <row r="953" spans="14:22" x14ac:dyDescent="0.2">
      <c r="N953" s="193"/>
      <c r="O953" s="193"/>
      <c r="P953" s="193"/>
      <c r="Q953" s="193"/>
      <c r="R953" s="193"/>
      <c r="S953" s="193"/>
      <c r="T953" s="193"/>
      <c r="U953" s="193"/>
      <c r="V953" s="193"/>
    </row>
    <row r="954" spans="14:22" x14ac:dyDescent="0.2">
      <c r="N954" s="193"/>
      <c r="O954" s="193"/>
      <c r="P954" s="193"/>
      <c r="Q954" s="193"/>
      <c r="R954" s="193"/>
      <c r="S954" s="193"/>
      <c r="T954" s="193"/>
      <c r="U954" s="193"/>
      <c r="V954" s="193"/>
    </row>
    <row r="955" spans="14:22" x14ac:dyDescent="0.2">
      <c r="N955" s="193"/>
      <c r="O955" s="193"/>
      <c r="P955" s="193"/>
      <c r="Q955" s="193"/>
      <c r="R955" s="193"/>
      <c r="S955" s="193"/>
      <c r="T955" s="193"/>
      <c r="U955" s="193"/>
      <c r="V955" s="193"/>
    </row>
    <row r="956" spans="14:22" x14ac:dyDescent="0.2">
      <c r="N956" s="193"/>
      <c r="O956" s="193"/>
      <c r="P956" s="193"/>
      <c r="Q956" s="193"/>
      <c r="R956" s="193"/>
      <c r="S956" s="193"/>
      <c r="T956" s="193"/>
      <c r="U956" s="193"/>
      <c r="V956" s="193"/>
    </row>
    <row r="957" spans="14:22" x14ac:dyDescent="0.2">
      <c r="N957" s="193"/>
      <c r="O957" s="193"/>
      <c r="P957" s="193"/>
      <c r="Q957" s="193"/>
      <c r="R957" s="193"/>
      <c r="S957" s="193"/>
      <c r="T957" s="193"/>
      <c r="U957" s="193"/>
      <c r="V957" s="193"/>
    </row>
    <row r="958" spans="14:22" x14ac:dyDescent="0.2">
      <c r="N958" s="193"/>
      <c r="O958" s="193"/>
      <c r="P958" s="193"/>
      <c r="Q958" s="193"/>
      <c r="R958" s="193"/>
      <c r="S958" s="193"/>
      <c r="T958" s="193"/>
      <c r="U958" s="193"/>
      <c r="V958" s="193"/>
    </row>
    <row r="959" spans="14:22" x14ac:dyDescent="0.2">
      <c r="N959" s="193"/>
      <c r="O959" s="193"/>
      <c r="P959" s="193"/>
      <c r="Q959" s="193"/>
      <c r="R959" s="193"/>
      <c r="S959" s="193"/>
      <c r="T959" s="193"/>
      <c r="U959" s="193"/>
      <c r="V959" s="193"/>
    </row>
    <row r="960" spans="14:22" x14ac:dyDescent="0.2">
      <c r="N960" s="193"/>
      <c r="O960" s="193"/>
      <c r="P960" s="193"/>
      <c r="Q960" s="193"/>
      <c r="R960" s="193"/>
      <c r="S960" s="193"/>
      <c r="T960" s="193"/>
      <c r="U960" s="193"/>
      <c r="V960" s="193"/>
    </row>
    <row r="961" spans="14:22" x14ac:dyDescent="0.2">
      <c r="N961" s="193"/>
      <c r="O961" s="193"/>
      <c r="P961" s="193"/>
      <c r="Q961" s="193"/>
      <c r="R961" s="193"/>
      <c r="S961" s="193"/>
      <c r="T961" s="193"/>
      <c r="U961" s="193"/>
      <c r="V961" s="193"/>
    </row>
    <row r="962" spans="14:22" x14ac:dyDescent="0.2">
      <c r="N962" s="193"/>
      <c r="O962" s="193"/>
      <c r="P962" s="193"/>
      <c r="Q962" s="193"/>
      <c r="R962" s="193"/>
      <c r="S962" s="193"/>
      <c r="T962" s="193"/>
      <c r="U962" s="193"/>
      <c r="V962" s="193"/>
    </row>
    <row r="963" spans="14:22" x14ac:dyDescent="0.2">
      <c r="N963" s="193"/>
      <c r="O963" s="193"/>
      <c r="P963" s="193"/>
      <c r="Q963" s="193"/>
      <c r="R963" s="193"/>
      <c r="S963" s="193"/>
      <c r="T963" s="193"/>
      <c r="U963" s="193"/>
      <c r="V963" s="193"/>
    </row>
    <row r="964" spans="14:22" x14ac:dyDescent="0.2">
      <c r="N964" s="193"/>
      <c r="O964" s="193"/>
      <c r="P964" s="193"/>
      <c r="Q964" s="193"/>
      <c r="R964" s="193"/>
      <c r="S964" s="193"/>
      <c r="T964" s="193"/>
      <c r="U964" s="193"/>
      <c r="V964" s="193"/>
    </row>
    <row r="965" spans="14:22" x14ac:dyDescent="0.2">
      <c r="N965" s="193"/>
      <c r="O965" s="193"/>
      <c r="P965" s="193"/>
      <c r="Q965" s="193"/>
      <c r="R965" s="193"/>
      <c r="S965" s="193"/>
      <c r="T965" s="193"/>
      <c r="U965" s="193"/>
      <c r="V965" s="193"/>
    </row>
    <row r="966" spans="14:22" x14ac:dyDescent="0.2">
      <c r="N966" s="193"/>
      <c r="O966" s="193"/>
      <c r="P966" s="193"/>
      <c r="Q966" s="193"/>
      <c r="R966" s="193"/>
      <c r="S966" s="193"/>
      <c r="T966" s="193"/>
      <c r="U966" s="193"/>
      <c r="V966" s="193"/>
    </row>
    <row r="967" spans="14:22" x14ac:dyDescent="0.2">
      <c r="N967" s="193"/>
      <c r="O967" s="193"/>
      <c r="P967" s="193"/>
      <c r="Q967" s="193"/>
      <c r="R967" s="193"/>
      <c r="S967" s="193"/>
      <c r="T967" s="193"/>
      <c r="U967" s="193"/>
      <c r="V967" s="193"/>
    </row>
    <row r="968" spans="14:22" x14ac:dyDescent="0.2">
      <c r="N968" s="193"/>
      <c r="O968" s="193"/>
      <c r="P968" s="193"/>
      <c r="Q968" s="193"/>
      <c r="R968" s="193"/>
      <c r="S968" s="193"/>
      <c r="T968" s="193"/>
      <c r="U968" s="193"/>
      <c r="V968" s="193"/>
    </row>
    <row r="969" spans="14:22" x14ac:dyDescent="0.2">
      <c r="N969" s="193"/>
      <c r="O969" s="193"/>
      <c r="P969" s="193"/>
      <c r="Q969" s="193"/>
      <c r="R969" s="193"/>
      <c r="S969" s="193"/>
      <c r="T969" s="193"/>
      <c r="U969" s="193"/>
      <c r="V969" s="193"/>
    </row>
    <row r="970" spans="14:22" x14ac:dyDescent="0.2">
      <c r="N970" s="193"/>
      <c r="O970" s="193"/>
      <c r="P970" s="193"/>
      <c r="Q970" s="193"/>
      <c r="R970" s="193"/>
      <c r="S970" s="193"/>
      <c r="T970" s="193"/>
      <c r="U970" s="193"/>
      <c r="V970" s="193"/>
    </row>
    <row r="971" spans="14:22" x14ac:dyDescent="0.2">
      <c r="N971" s="193"/>
      <c r="O971" s="193"/>
      <c r="P971" s="193"/>
      <c r="Q971" s="193"/>
      <c r="R971" s="193"/>
      <c r="S971" s="193"/>
      <c r="T971" s="193"/>
      <c r="U971" s="193"/>
      <c r="V971" s="193"/>
    </row>
    <row r="972" spans="14:22" x14ac:dyDescent="0.2">
      <c r="N972" s="193"/>
      <c r="O972" s="193"/>
      <c r="P972" s="193"/>
      <c r="Q972" s="193"/>
      <c r="R972" s="193"/>
      <c r="S972" s="193"/>
      <c r="T972" s="193"/>
      <c r="U972" s="193"/>
      <c r="V972" s="193"/>
    </row>
    <row r="973" spans="14:22" x14ac:dyDescent="0.2">
      <c r="N973" s="193"/>
      <c r="O973" s="193"/>
      <c r="P973" s="193"/>
      <c r="Q973" s="193"/>
      <c r="R973" s="193"/>
      <c r="S973" s="193"/>
      <c r="T973" s="193"/>
      <c r="U973" s="193"/>
      <c r="V973" s="193"/>
    </row>
    <row r="974" spans="14:22" x14ac:dyDescent="0.2">
      <c r="N974" s="193"/>
      <c r="O974" s="193"/>
      <c r="P974" s="193"/>
      <c r="Q974" s="193"/>
      <c r="R974" s="193"/>
      <c r="S974" s="193"/>
      <c r="T974" s="193"/>
      <c r="U974" s="193"/>
      <c r="V974" s="193"/>
    </row>
    <row r="975" spans="14:22" x14ac:dyDescent="0.2">
      <c r="N975" s="193"/>
      <c r="O975" s="193"/>
      <c r="P975" s="193"/>
      <c r="Q975" s="193"/>
      <c r="R975" s="193"/>
      <c r="S975" s="193"/>
      <c r="T975" s="193"/>
      <c r="U975" s="193"/>
      <c r="V975" s="193"/>
    </row>
    <row r="976" spans="14:22" x14ac:dyDescent="0.2">
      <c r="N976" s="193"/>
      <c r="O976" s="193"/>
      <c r="P976" s="193"/>
      <c r="Q976" s="193"/>
      <c r="R976" s="193"/>
      <c r="S976" s="193"/>
      <c r="T976" s="193"/>
      <c r="U976" s="193"/>
      <c r="V976" s="193"/>
    </row>
    <row r="977" spans="14:22" x14ac:dyDescent="0.2">
      <c r="N977" s="193"/>
      <c r="O977" s="193"/>
      <c r="P977" s="193"/>
      <c r="Q977" s="193"/>
      <c r="R977" s="193"/>
      <c r="S977" s="193"/>
      <c r="T977" s="193"/>
      <c r="U977" s="193"/>
      <c r="V977" s="193"/>
    </row>
    <row r="978" spans="14:22" x14ac:dyDescent="0.2">
      <c r="N978" s="193"/>
      <c r="O978" s="193"/>
      <c r="P978" s="193"/>
      <c r="Q978" s="193"/>
      <c r="R978" s="193"/>
      <c r="S978" s="193"/>
      <c r="T978" s="193"/>
      <c r="U978" s="193"/>
      <c r="V978" s="193"/>
    </row>
    <row r="979" spans="14:22" x14ac:dyDescent="0.2">
      <c r="N979" s="193"/>
      <c r="O979" s="193"/>
      <c r="P979" s="193"/>
      <c r="Q979" s="193"/>
      <c r="R979" s="193"/>
      <c r="S979" s="193"/>
      <c r="T979" s="193"/>
      <c r="U979" s="193"/>
      <c r="V979" s="193"/>
    </row>
    <row r="980" spans="14:22" x14ac:dyDescent="0.2">
      <c r="N980" s="193"/>
      <c r="O980" s="193"/>
      <c r="P980" s="193"/>
      <c r="Q980" s="193"/>
      <c r="R980" s="193"/>
      <c r="S980" s="193"/>
      <c r="T980" s="193"/>
      <c r="U980" s="193"/>
      <c r="V980" s="193"/>
    </row>
    <row r="981" spans="14:22" x14ac:dyDescent="0.2">
      <c r="N981" s="193"/>
      <c r="O981" s="193"/>
      <c r="P981" s="193"/>
      <c r="Q981" s="193"/>
      <c r="R981" s="193"/>
      <c r="S981" s="193"/>
      <c r="T981" s="193"/>
      <c r="U981" s="193"/>
      <c r="V981" s="193"/>
    </row>
    <row r="982" spans="14:22" x14ac:dyDescent="0.2">
      <c r="N982" s="193"/>
      <c r="O982" s="193"/>
      <c r="P982" s="193"/>
      <c r="Q982" s="193"/>
      <c r="R982" s="193"/>
      <c r="S982" s="193"/>
      <c r="T982" s="193"/>
      <c r="U982" s="193"/>
      <c r="V982" s="193"/>
    </row>
    <row r="983" spans="14:22" x14ac:dyDescent="0.2">
      <c r="N983" s="193"/>
      <c r="O983" s="193"/>
      <c r="P983" s="193"/>
      <c r="Q983" s="193"/>
      <c r="R983" s="193"/>
      <c r="S983" s="193"/>
      <c r="T983" s="193"/>
      <c r="U983" s="193"/>
      <c r="V983" s="193"/>
    </row>
    <row r="984" spans="14:22" x14ac:dyDescent="0.2">
      <c r="N984" s="193"/>
      <c r="O984" s="193"/>
      <c r="P984" s="193"/>
      <c r="Q984" s="193"/>
      <c r="R984" s="193"/>
      <c r="S984" s="193"/>
      <c r="T984" s="193"/>
      <c r="U984" s="193"/>
      <c r="V984" s="193"/>
    </row>
    <row r="985" spans="14:22" x14ac:dyDescent="0.2">
      <c r="N985" s="193"/>
      <c r="O985" s="193"/>
      <c r="P985" s="193"/>
      <c r="Q985" s="193"/>
      <c r="R985" s="193"/>
      <c r="S985" s="193"/>
      <c r="T985" s="193"/>
      <c r="U985" s="193"/>
      <c r="V985" s="193"/>
    </row>
    <row r="986" spans="14:22" x14ac:dyDescent="0.2">
      <c r="N986" s="193"/>
      <c r="O986" s="193"/>
      <c r="P986" s="193"/>
      <c r="Q986" s="193"/>
      <c r="R986" s="193"/>
      <c r="S986" s="193"/>
      <c r="T986" s="193"/>
      <c r="U986" s="193"/>
      <c r="V986" s="193"/>
    </row>
    <row r="987" spans="14:22" x14ac:dyDescent="0.2">
      <c r="N987" s="193"/>
      <c r="O987" s="193"/>
      <c r="P987" s="193"/>
      <c r="Q987" s="193"/>
      <c r="R987" s="193"/>
      <c r="S987" s="193"/>
      <c r="T987" s="193"/>
      <c r="U987" s="193"/>
      <c r="V987" s="193"/>
    </row>
    <row r="988" spans="14:22" x14ac:dyDescent="0.2">
      <c r="N988" s="193"/>
      <c r="O988" s="193"/>
      <c r="P988" s="193"/>
      <c r="Q988" s="193"/>
      <c r="R988" s="193"/>
      <c r="S988" s="193"/>
      <c r="T988" s="193"/>
      <c r="U988" s="193"/>
      <c r="V988" s="193"/>
    </row>
    <row r="989" spans="14:22" x14ac:dyDescent="0.2">
      <c r="N989" s="193"/>
      <c r="O989" s="193"/>
      <c r="P989" s="193"/>
      <c r="Q989" s="193"/>
      <c r="R989" s="193"/>
      <c r="S989" s="193"/>
      <c r="T989" s="193"/>
      <c r="U989" s="193"/>
      <c r="V989" s="193"/>
    </row>
    <row r="990" spans="14:22" x14ac:dyDescent="0.2">
      <c r="N990" s="193"/>
      <c r="O990" s="193"/>
      <c r="P990" s="193"/>
      <c r="Q990" s="193"/>
      <c r="R990" s="193"/>
      <c r="S990" s="193"/>
      <c r="T990" s="193"/>
      <c r="U990" s="193"/>
      <c r="V990" s="193"/>
    </row>
    <row r="991" spans="14:22" x14ac:dyDescent="0.2">
      <c r="N991" s="193"/>
      <c r="O991" s="193"/>
      <c r="P991" s="193"/>
      <c r="Q991" s="193"/>
      <c r="R991" s="193"/>
      <c r="S991" s="193"/>
      <c r="T991" s="193"/>
      <c r="U991" s="193"/>
      <c r="V991" s="193"/>
    </row>
    <row r="992" spans="14:22" x14ac:dyDescent="0.2">
      <c r="N992" s="193"/>
      <c r="O992" s="193"/>
      <c r="P992" s="193"/>
      <c r="Q992" s="193"/>
      <c r="R992" s="193"/>
      <c r="S992" s="193"/>
      <c r="T992" s="193"/>
      <c r="U992" s="193"/>
      <c r="V992" s="193"/>
    </row>
    <row r="993" spans="14:22" x14ac:dyDescent="0.2">
      <c r="N993" s="193"/>
      <c r="O993" s="193"/>
      <c r="P993" s="193"/>
      <c r="Q993" s="193"/>
      <c r="R993" s="193"/>
      <c r="S993" s="193"/>
      <c r="T993" s="193"/>
      <c r="U993" s="193"/>
      <c r="V993" s="193"/>
    </row>
    <row r="994" spans="14:22" x14ac:dyDescent="0.2">
      <c r="N994" s="193"/>
      <c r="O994" s="193"/>
      <c r="P994" s="193"/>
      <c r="Q994" s="193"/>
      <c r="R994" s="193"/>
      <c r="S994" s="193"/>
      <c r="T994" s="193"/>
      <c r="U994" s="193"/>
      <c r="V994" s="193"/>
    </row>
    <row r="995" spans="14:22" x14ac:dyDescent="0.2">
      <c r="N995" s="193"/>
      <c r="O995" s="193"/>
      <c r="P995" s="193"/>
      <c r="Q995" s="193"/>
      <c r="R995" s="193"/>
      <c r="S995" s="193"/>
      <c r="T995" s="193"/>
      <c r="U995" s="193"/>
      <c r="V995" s="193"/>
    </row>
    <row r="996" spans="14:22" x14ac:dyDescent="0.2">
      <c r="N996" s="193"/>
      <c r="O996" s="193"/>
      <c r="P996" s="193"/>
      <c r="Q996" s="193"/>
      <c r="R996" s="193"/>
      <c r="S996" s="193"/>
      <c r="T996" s="193"/>
      <c r="U996" s="193"/>
      <c r="V996" s="193"/>
    </row>
    <row r="997" spans="14:22" x14ac:dyDescent="0.2">
      <c r="N997" s="193"/>
      <c r="O997" s="193"/>
      <c r="P997" s="193"/>
      <c r="Q997" s="193"/>
      <c r="R997" s="193"/>
      <c r="S997" s="193"/>
      <c r="T997" s="193"/>
      <c r="U997" s="193"/>
      <c r="V997" s="193"/>
    </row>
    <row r="998" spans="14:22" x14ac:dyDescent="0.2">
      <c r="N998" s="193"/>
      <c r="O998" s="193"/>
      <c r="P998" s="193"/>
      <c r="Q998" s="193"/>
      <c r="R998" s="193"/>
      <c r="S998" s="193"/>
      <c r="T998" s="193"/>
      <c r="U998" s="193"/>
      <c r="V998" s="193"/>
    </row>
    <row r="999" spans="14:22" x14ac:dyDescent="0.2">
      <c r="N999" s="193"/>
      <c r="O999" s="193"/>
      <c r="P999" s="193"/>
      <c r="Q999" s="193"/>
      <c r="R999" s="193"/>
      <c r="S999" s="193"/>
      <c r="T999" s="193"/>
      <c r="U999" s="193"/>
      <c r="V999" s="193"/>
    </row>
    <row r="1000" spans="14:22" x14ac:dyDescent="0.2">
      <c r="N1000" s="193"/>
      <c r="O1000" s="193"/>
      <c r="P1000" s="193"/>
      <c r="Q1000" s="193"/>
      <c r="R1000" s="193"/>
      <c r="S1000" s="193"/>
      <c r="T1000" s="193"/>
      <c r="U1000" s="193"/>
      <c r="V1000" s="193"/>
    </row>
    <row r="1001" spans="14:22" x14ac:dyDescent="0.2">
      <c r="N1001" s="193"/>
      <c r="O1001" s="193"/>
      <c r="P1001" s="193"/>
      <c r="Q1001" s="193"/>
      <c r="R1001" s="193"/>
      <c r="S1001" s="193"/>
      <c r="T1001" s="193"/>
      <c r="U1001" s="193"/>
      <c r="V1001" s="193"/>
    </row>
    <row r="1002" spans="14:22" x14ac:dyDescent="0.2">
      <c r="N1002" s="193"/>
      <c r="O1002" s="193"/>
      <c r="P1002" s="193"/>
      <c r="Q1002" s="193"/>
      <c r="R1002" s="193"/>
      <c r="S1002" s="193"/>
      <c r="T1002" s="193"/>
      <c r="U1002" s="193"/>
      <c r="V1002" s="193"/>
    </row>
    <row r="1003" spans="14:22" x14ac:dyDescent="0.2">
      <c r="N1003" s="193"/>
      <c r="O1003" s="193"/>
      <c r="P1003" s="193"/>
      <c r="Q1003" s="193"/>
      <c r="R1003" s="193"/>
      <c r="S1003" s="193"/>
      <c r="T1003" s="193"/>
      <c r="U1003" s="193"/>
      <c r="V1003" s="193"/>
    </row>
    <row r="1004" spans="14:22" x14ac:dyDescent="0.2">
      <c r="N1004" s="193"/>
      <c r="O1004" s="193"/>
      <c r="P1004" s="193"/>
      <c r="Q1004" s="193"/>
      <c r="R1004" s="193"/>
      <c r="S1004" s="193"/>
      <c r="T1004" s="193"/>
      <c r="U1004" s="193"/>
      <c r="V1004" s="193"/>
    </row>
    <row r="1005" spans="14:22" x14ac:dyDescent="0.2">
      <c r="N1005" s="193"/>
      <c r="O1005" s="193"/>
      <c r="P1005" s="193"/>
      <c r="Q1005" s="193"/>
      <c r="R1005" s="193"/>
      <c r="S1005" s="193"/>
      <c r="T1005" s="193"/>
      <c r="U1005" s="193"/>
      <c r="V1005" s="193"/>
    </row>
    <row r="1006" spans="14:22" x14ac:dyDescent="0.2">
      <c r="N1006" s="193"/>
      <c r="O1006" s="193"/>
      <c r="P1006" s="193"/>
      <c r="Q1006" s="193"/>
      <c r="R1006" s="193"/>
      <c r="S1006" s="193"/>
      <c r="T1006" s="193"/>
      <c r="U1006" s="193"/>
      <c r="V1006" s="193"/>
    </row>
    <row r="1007" spans="14:22" x14ac:dyDescent="0.2">
      <c r="N1007" s="193"/>
      <c r="O1007" s="193"/>
      <c r="P1007" s="193"/>
      <c r="Q1007" s="193"/>
      <c r="R1007" s="193"/>
      <c r="S1007" s="193"/>
      <c r="T1007" s="193"/>
      <c r="U1007" s="193"/>
      <c r="V1007" s="193"/>
    </row>
    <row r="1008" spans="14:22" x14ac:dyDescent="0.2">
      <c r="N1008" s="193"/>
      <c r="O1008" s="193"/>
      <c r="P1008" s="193"/>
      <c r="Q1008" s="193"/>
      <c r="R1008" s="193"/>
      <c r="S1008" s="193"/>
      <c r="T1008" s="193"/>
      <c r="U1008" s="193"/>
      <c r="V1008" s="193"/>
    </row>
    <row r="1009" spans="14:22" x14ac:dyDescent="0.2">
      <c r="N1009" s="193"/>
      <c r="O1009" s="193"/>
      <c r="P1009" s="193"/>
      <c r="Q1009" s="193"/>
      <c r="R1009" s="193"/>
      <c r="S1009" s="193"/>
      <c r="T1009" s="193"/>
      <c r="U1009" s="193"/>
      <c r="V1009" s="193"/>
    </row>
    <row r="1010" spans="14:22" x14ac:dyDescent="0.2">
      <c r="N1010" s="193"/>
      <c r="O1010" s="193"/>
      <c r="P1010" s="193"/>
      <c r="Q1010" s="193"/>
      <c r="R1010" s="193"/>
      <c r="S1010" s="193"/>
      <c r="T1010" s="193"/>
      <c r="U1010" s="193"/>
      <c r="V1010" s="193"/>
    </row>
    <row r="1011" spans="14:22" x14ac:dyDescent="0.2">
      <c r="N1011" s="193"/>
      <c r="O1011" s="193"/>
      <c r="P1011" s="193"/>
      <c r="Q1011" s="193"/>
      <c r="R1011" s="193"/>
      <c r="S1011" s="193"/>
      <c r="T1011" s="193"/>
      <c r="U1011" s="193"/>
      <c r="V1011" s="193"/>
    </row>
    <row r="1012" spans="14:22" x14ac:dyDescent="0.2">
      <c r="N1012" s="193"/>
      <c r="O1012" s="193"/>
      <c r="P1012" s="193"/>
      <c r="Q1012" s="193"/>
      <c r="R1012" s="193"/>
      <c r="S1012" s="193"/>
      <c r="T1012" s="193"/>
      <c r="U1012" s="193"/>
      <c r="V1012" s="193"/>
    </row>
    <row r="1013" spans="14:22" x14ac:dyDescent="0.2">
      <c r="N1013" s="193"/>
      <c r="O1013" s="193"/>
      <c r="P1013" s="193"/>
      <c r="Q1013" s="193"/>
      <c r="R1013" s="193"/>
      <c r="S1013" s="193"/>
      <c r="T1013" s="193"/>
      <c r="U1013" s="193"/>
      <c r="V1013" s="193"/>
    </row>
    <row r="1014" spans="14:22" x14ac:dyDescent="0.2">
      <c r="N1014" s="193"/>
      <c r="O1014" s="193"/>
      <c r="P1014" s="193"/>
      <c r="Q1014" s="193"/>
      <c r="R1014" s="193"/>
      <c r="S1014" s="193"/>
      <c r="T1014" s="193"/>
      <c r="U1014" s="193"/>
      <c r="V1014" s="193"/>
    </row>
    <row r="1015" spans="14:22" x14ac:dyDescent="0.2">
      <c r="N1015" s="193"/>
      <c r="O1015" s="193"/>
      <c r="P1015" s="193"/>
      <c r="Q1015" s="193"/>
      <c r="R1015" s="193"/>
      <c r="S1015" s="193"/>
      <c r="T1015" s="193"/>
      <c r="U1015" s="193"/>
      <c r="V1015" s="193"/>
    </row>
    <row r="1016" spans="14:22" x14ac:dyDescent="0.2">
      <c r="N1016" s="193"/>
      <c r="O1016" s="193"/>
      <c r="P1016" s="193"/>
      <c r="Q1016" s="193"/>
      <c r="R1016" s="193"/>
      <c r="S1016" s="193"/>
      <c r="T1016" s="193"/>
      <c r="U1016" s="193"/>
      <c r="V1016" s="193"/>
    </row>
    <row r="1017" spans="14:22" x14ac:dyDescent="0.2">
      <c r="N1017" s="193"/>
      <c r="O1017" s="193"/>
      <c r="P1017" s="193"/>
      <c r="Q1017" s="193"/>
      <c r="R1017" s="193"/>
      <c r="S1017" s="193"/>
      <c r="T1017" s="193"/>
      <c r="U1017" s="193"/>
      <c r="V1017" s="193"/>
    </row>
    <row r="1018" spans="14:22" x14ac:dyDescent="0.2">
      <c r="N1018" s="193"/>
      <c r="O1018" s="193"/>
      <c r="P1018" s="193"/>
      <c r="Q1018" s="193"/>
      <c r="R1018" s="193"/>
      <c r="S1018" s="193"/>
      <c r="T1018" s="193"/>
      <c r="U1018" s="193"/>
      <c r="V1018" s="193"/>
    </row>
    <row r="1019" spans="14:22" x14ac:dyDescent="0.2">
      <c r="N1019" s="193"/>
      <c r="O1019" s="193"/>
      <c r="P1019" s="193"/>
      <c r="Q1019" s="193"/>
      <c r="R1019" s="193"/>
      <c r="S1019" s="193"/>
      <c r="T1019" s="193"/>
      <c r="U1019" s="193"/>
      <c r="V1019" s="193"/>
    </row>
    <row r="1020" spans="14:22" x14ac:dyDescent="0.2">
      <c r="N1020" s="193"/>
      <c r="O1020" s="193"/>
      <c r="P1020" s="193"/>
      <c r="Q1020" s="193"/>
      <c r="R1020" s="193"/>
      <c r="S1020" s="193"/>
      <c r="T1020" s="193"/>
      <c r="U1020" s="193"/>
      <c r="V1020" s="193"/>
    </row>
    <row r="1021" spans="14:22" x14ac:dyDescent="0.2">
      <c r="N1021" s="193"/>
      <c r="O1021" s="193"/>
      <c r="P1021" s="193"/>
      <c r="Q1021" s="193"/>
      <c r="R1021" s="193"/>
      <c r="S1021" s="193"/>
      <c r="T1021" s="193"/>
      <c r="U1021" s="193"/>
      <c r="V1021" s="193"/>
    </row>
    <row r="1022" spans="14:22" x14ac:dyDescent="0.2">
      <c r="N1022" s="193"/>
      <c r="O1022" s="193"/>
      <c r="P1022" s="193"/>
      <c r="Q1022" s="193"/>
      <c r="R1022" s="193"/>
      <c r="S1022" s="193"/>
      <c r="T1022" s="193"/>
      <c r="U1022" s="193"/>
      <c r="V1022" s="193"/>
    </row>
    <row r="1023" spans="14:22" x14ac:dyDescent="0.2">
      <c r="N1023" s="193"/>
      <c r="O1023" s="193"/>
      <c r="P1023" s="193"/>
      <c r="Q1023" s="193"/>
      <c r="R1023" s="193"/>
      <c r="S1023" s="193"/>
      <c r="T1023" s="193"/>
      <c r="U1023" s="193"/>
      <c r="V1023" s="193"/>
    </row>
    <row r="1024" spans="14:22" x14ac:dyDescent="0.2">
      <c r="N1024" s="193"/>
      <c r="O1024" s="193"/>
      <c r="P1024" s="193"/>
      <c r="Q1024" s="193"/>
      <c r="R1024" s="193"/>
      <c r="S1024" s="193"/>
      <c r="T1024" s="193"/>
      <c r="U1024" s="193"/>
      <c r="V1024" s="193"/>
    </row>
    <row r="1025" spans="14:22" x14ac:dyDescent="0.2">
      <c r="N1025" s="193"/>
      <c r="O1025" s="193"/>
      <c r="P1025" s="193"/>
      <c r="Q1025" s="193"/>
      <c r="R1025" s="193"/>
      <c r="S1025" s="193"/>
      <c r="T1025" s="193"/>
      <c r="U1025" s="193"/>
      <c r="V1025" s="193"/>
    </row>
    <row r="1026" spans="14:22" x14ac:dyDescent="0.2">
      <c r="N1026" s="193"/>
      <c r="O1026" s="193"/>
      <c r="P1026" s="193"/>
      <c r="Q1026" s="193"/>
      <c r="R1026" s="193"/>
      <c r="S1026" s="193"/>
      <c r="T1026" s="193"/>
      <c r="U1026" s="193"/>
      <c r="V1026" s="193"/>
    </row>
    <row r="1027" spans="14:22" x14ac:dyDescent="0.2">
      <c r="N1027" s="193"/>
      <c r="O1027" s="193"/>
      <c r="P1027" s="193"/>
      <c r="Q1027" s="193"/>
      <c r="R1027" s="193"/>
      <c r="S1027" s="193"/>
      <c r="T1027" s="193"/>
      <c r="U1027" s="193"/>
      <c r="V1027" s="193"/>
    </row>
    <row r="1028" spans="14:22" x14ac:dyDescent="0.2">
      <c r="N1028" s="193"/>
      <c r="O1028" s="193"/>
      <c r="P1028" s="193"/>
      <c r="Q1028" s="193"/>
      <c r="R1028" s="193"/>
      <c r="S1028" s="193"/>
      <c r="T1028" s="193"/>
      <c r="U1028" s="193"/>
      <c r="V1028" s="193"/>
    </row>
    <row r="1029" spans="14:22" x14ac:dyDescent="0.2">
      <c r="N1029" s="193"/>
      <c r="O1029" s="193"/>
      <c r="P1029" s="193"/>
      <c r="Q1029" s="193"/>
      <c r="R1029" s="193"/>
      <c r="S1029" s="193"/>
      <c r="T1029" s="193"/>
      <c r="U1029" s="193"/>
      <c r="V1029" s="193"/>
    </row>
    <row r="1030" spans="14:22" x14ac:dyDescent="0.2">
      <c r="N1030" s="193"/>
      <c r="O1030" s="193"/>
      <c r="P1030" s="193"/>
      <c r="Q1030" s="193"/>
      <c r="R1030" s="193"/>
      <c r="S1030" s="193"/>
      <c r="T1030" s="193"/>
      <c r="U1030" s="193"/>
      <c r="V1030" s="193"/>
    </row>
    <row r="1031" spans="14:22" x14ac:dyDescent="0.2">
      <c r="N1031" s="193"/>
      <c r="O1031" s="193"/>
      <c r="P1031" s="193"/>
      <c r="Q1031" s="193"/>
      <c r="R1031" s="193"/>
      <c r="S1031" s="193"/>
      <c r="T1031" s="193"/>
      <c r="U1031" s="193"/>
      <c r="V1031" s="193"/>
    </row>
    <row r="1032" spans="14:22" x14ac:dyDescent="0.2">
      <c r="N1032" s="193"/>
      <c r="O1032" s="193"/>
      <c r="P1032" s="193"/>
      <c r="Q1032" s="193"/>
      <c r="R1032" s="193"/>
      <c r="S1032" s="193"/>
      <c r="T1032" s="193"/>
      <c r="U1032" s="193"/>
      <c r="V1032" s="193"/>
    </row>
    <row r="1033" spans="14:22" x14ac:dyDescent="0.2">
      <c r="N1033" s="193"/>
      <c r="O1033" s="193"/>
      <c r="P1033" s="193"/>
      <c r="Q1033" s="193"/>
      <c r="R1033" s="193"/>
      <c r="S1033" s="193"/>
      <c r="T1033" s="193"/>
      <c r="U1033" s="193"/>
      <c r="V1033" s="193"/>
    </row>
    <row r="1034" spans="14:22" x14ac:dyDescent="0.2">
      <c r="N1034" s="193"/>
      <c r="O1034" s="193"/>
      <c r="P1034" s="193"/>
      <c r="Q1034" s="193"/>
      <c r="R1034" s="193"/>
      <c r="S1034" s="193"/>
      <c r="T1034" s="193"/>
      <c r="U1034" s="193"/>
      <c r="V1034" s="193"/>
    </row>
    <row r="1035" spans="14:22" x14ac:dyDescent="0.2">
      <c r="N1035" s="193"/>
      <c r="O1035" s="193"/>
      <c r="P1035" s="193"/>
      <c r="Q1035" s="193"/>
      <c r="R1035" s="193"/>
      <c r="S1035" s="193"/>
      <c r="T1035" s="193"/>
      <c r="U1035" s="193"/>
      <c r="V1035" s="193"/>
    </row>
    <row r="1036" spans="14:22" x14ac:dyDescent="0.2">
      <c r="N1036" s="193"/>
      <c r="O1036" s="193"/>
      <c r="P1036" s="193"/>
      <c r="Q1036" s="193"/>
      <c r="R1036" s="193"/>
      <c r="S1036" s="193"/>
      <c r="T1036" s="193"/>
      <c r="U1036" s="193"/>
      <c r="V1036" s="193"/>
    </row>
    <row r="1037" spans="14:22" x14ac:dyDescent="0.2">
      <c r="N1037" s="193"/>
      <c r="O1037" s="193"/>
      <c r="P1037" s="193"/>
      <c r="Q1037" s="193"/>
      <c r="R1037" s="193"/>
      <c r="S1037" s="193"/>
      <c r="T1037" s="193"/>
      <c r="U1037" s="193"/>
      <c r="V1037" s="193"/>
    </row>
    <row r="1038" spans="14:22" x14ac:dyDescent="0.2">
      <c r="N1038" s="193"/>
      <c r="O1038" s="193"/>
      <c r="P1038" s="193"/>
      <c r="Q1038" s="193"/>
      <c r="R1038" s="193"/>
      <c r="S1038" s="193"/>
      <c r="T1038" s="193"/>
      <c r="U1038" s="193"/>
      <c r="V1038" s="193"/>
    </row>
    <row r="1039" spans="14:22" x14ac:dyDescent="0.2">
      <c r="N1039" s="193"/>
      <c r="O1039" s="193"/>
      <c r="P1039" s="193"/>
      <c r="Q1039" s="193"/>
      <c r="R1039" s="193"/>
      <c r="S1039" s="193"/>
      <c r="T1039" s="193"/>
      <c r="U1039" s="193"/>
      <c r="V1039" s="193"/>
    </row>
    <row r="1040" spans="14:22" x14ac:dyDescent="0.2">
      <c r="N1040" s="193"/>
      <c r="O1040" s="193"/>
      <c r="P1040" s="193"/>
      <c r="Q1040" s="193"/>
      <c r="R1040" s="193"/>
      <c r="S1040" s="193"/>
      <c r="T1040" s="193"/>
      <c r="U1040" s="193"/>
      <c r="V1040" s="193"/>
    </row>
    <row r="1041" spans="14:22" x14ac:dyDescent="0.2">
      <c r="N1041" s="193"/>
      <c r="O1041" s="193"/>
      <c r="P1041" s="193"/>
      <c r="Q1041" s="193"/>
      <c r="R1041" s="193"/>
      <c r="S1041" s="193"/>
      <c r="T1041" s="193"/>
      <c r="U1041" s="193"/>
      <c r="V1041" s="193"/>
    </row>
    <row r="1042" spans="14:22" x14ac:dyDescent="0.2">
      <c r="N1042" s="193"/>
      <c r="O1042" s="193"/>
      <c r="P1042" s="193"/>
      <c r="Q1042" s="193"/>
      <c r="R1042" s="193"/>
      <c r="S1042" s="193"/>
      <c r="T1042" s="193"/>
      <c r="U1042" s="193"/>
      <c r="V1042" s="193"/>
    </row>
    <row r="1043" spans="14:22" x14ac:dyDescent="0.2">
      <c r="N1043" s="193"/>
      <c r="O1043" s="193"/>
      <c r="P1043" s="193"/>
      <c r="Q1043" s="193"/>
      <c r="R1043" s="193"/>
      <c r="S1043" s="193"/>
      <c r="T1043" s="193"/>
      <c r="U1043" s="193"/>
      <c r="V1043" s="193"/>
    </row>
    <row r="1044" spans="14:22" x14ac:dyDescent="0.2">
      <c r="N1044" s="193"/>
      <c r="O1044" s="193"/>
      <c r="P1044" s="193"/>
      <c r="Q1044" s="193"/>
      <c r="R1044" s="193"/>
      <c r="S1044" s="193"/>
      <c r="T1044" s="193"/>
      <c r="U1044" s="193"/>
      <c r="V1044" s="193"/>
    </row>
    <row r="1045" spans="14:22" x14ac:dyDescent="0.2">
      <c r="N1045" s="193"/>
      <c r="O1045" s="193"/>
      <c r="P1045" s="193"/>
      <c r="Q1045" s="193"/>
      <c r="R1045" s="193"/>
      <c r="S1045" s="193"/>
      <c r="T1045" s="193"/>
      <c r="U1045" s="193"/>
      <c r="V1045" s="193"/>
    </row>
    <row r="1046" spans="14:22" x14ac:dyDescent="0.2">
      <c r="N1046" s="193"/>
      <c r="O1046" s="193"/>
      <c r="P1046" s="193"/>
      <c r="Q1046" s="193"/>
      <c r="R1046" s="193"/>
      <c r="S1046" s="193"/>
      <c r="T1046" s="193"/>
      <c r="U1046" s="193"/>
      <c r="V1046" s="193"/>
    </row>
    <row r="1047" spans="14:22" x14ac:dyDescent="0.2">
      <c r="N1047" s="193"/>
      <c r="O1047" s="193"/>
      <c r="P1047" s="193"/>
      <c r="Q1047" s="193"/>
      <c r="R1047" s="193"/>
      <c r="S1047" s="193"/>
      <c r="T1047" s="193"/>
      <c r="U1047" s="193"/>
      <c r="V1047" s="193"/>
    </row>
    <row r="1048" spans="14:22" x14ac:dyDescent="0.2">
      <c r="N1048" s="193"/>
      <c r="O1048" s="193"/>
      <c r="P1048" s="193"/>
      <c r="Q1048" s="193"/>
      <c r="R1048" s="193"/>
      <c r="S1048" s="193"/>
      <c r="T1048" s="193"/>
      <c r="U1048" s="193"/>
      <c r="V1048" s="193"/>
    </row>
    <row r="1049" spans="14:22" x14ac:dyDescent="0.2">
      <c r="N1049" s="193"/>
      <c r="O1049" s="193"/>
      <c r="P1049" s="193"/>
      <c r="Q1049" s="193"/>
      <c r="R1049" s="193"/>
      <c r="S1049" s="193"/>
      <c r="T1049" s="193"/>
      <c r="U1049" s="193"/>
      <c r="V1049" s="193"/>
    </row>
    <row r="1050" spans="14:22" x14ac:dyDescent="0.2">
      <c r="N1050" s="193"/>
      <c r="O1050" s="193"/>
      <c r="P1050" s="193"/>
      <c r="Q1050" s="193"/>
      <c r="R1050" s="193"/>
      <c r="S1050" s="193"/>
      <c r="T1050" s="193"/>
      <c r="U1050" s="193"/>
      <c r="V1050" s="193"/>
    </row>
    <row r="1051" spans="14:22" x14ac:dyDescent="0.2">
      <c r="N1051" s="193"/>
      <c r="O1051" s="193"/>
      <c r="P1051" s="193"/>
      <c r="Q1051" s="193"/>
      <c r="R1051" s="193"/>
      <c r="S1051" s="193"/>
      <c r="T1051" s="193"/>
      <c r="U1051" s="193"/>
      <c r="V1051" s="193"/>
    </row>
    <row r="1052" spans="14:22" x14ac:dyDescent="0.2">
      <c r="N1052" s="193"/>
      <c r="O1052" s="193"/>
      <c r="P1052" s="193"/>
      <c r="Q1052" s="193"/>
      <c r="R1052" s="193"/>
      <c r="S1052" s="193"/>
      <c r="T1052" s="193"/>
      <c r="U1052" s="193"/>
      <c r="V1052" s="193"/>
    </row>
    <row r="1053" spans="14:22" x14ac:dyDescent="0.2">
      <c r="N1053" s="193"/>
      <c r="O1053" s="193"/>
      <c r="P1053" s="193"/>
      <c r="Q1053" s="193"/>
      <c r="R1053" s="193"/>
      <c r="S1053" s="193"/>
      <c r="T1053" s="193"/>
      <c r="U1053" s="193"/>
      <c r="V1053" s="193"/>
    </row>
    <row r="1054" spans="14:22" x14ac:dyDescent="0.2">
      <c r="N1054" s="193"/>
      <c r="O1054" s="193"/>
      <c r="P1054" s="193"/>
      <c r="Q1054" s="193"/>
      <c r="R1054" s="193"/>
      <c r="S1054" s="193"/>
      <c r="T1054" s="193"/>
      <c r="U1054" s="193"/>
      <c r="V1054" s="193"/>
    </row>
    <row r="1055" spans="14:22" x14ac:dyDescent="0.2">
      <c r="N1055" s="193"/>
      <c r="O1055" s="193"/>
      <c r="P1055" s="193"/>
      <c r="Q1055" s="193"/>
      <c r="R1055" s="193"/>
      <c r="S1055" s="193"/>
      <c r="T1055" s="193"/>
      <c r="U1055" s="193"/>
      <c r="V1055" s="193"/>
    </row>
    <row r="1056" spans="14:22" x14ac:dyDescent="0.2">
      <c r="N1056" s="193"/>
      <c r="O1056" s="193"/>
      <c r="P1056" s="193"/>
      <c r="Q1056" s="193"/>
      <c r="R1056" s="193"/>
      <c r="S1056" s="193"/>
      <c r="T1056" s="193"/>
      <c r="U1056" s="193"/>
      <c r="V1056" s="193"/>
    </row>
    <row r="1057" spans="14:22" x14ac:dyDescent="0.2">
      <c r="N1057" s="193"/>
      <c r="O1057" s="193"/>
      <c r="P1057" s="193"/>
      <c r="Q1057" s="193"/>
      <c r="R1057" s="193"/>
      <c r="S1057" s="193"/>
      <c r="T1057" s="193"/>
      <c r="U1057" s="193"/>
      <c r="V1057" s="193"/>
    </row>
    <row r="1058" spans="14:22" x14ac:dyDescent="0.2">
      <c r="N1058" s="193"/>
      <c r="O1058" s="193"/>
      <c r="P1058" s="193"/>
      <c r="Q1058" s="193"/>
      <c r="R1058" s="193"/>
      <c r="S1058" s="193"/>
      <c r="T1058" s="193"/>
      <c r="U1058" s="193"/>
      <c r="V1058" s="193"/>
    </row>
    <row r="1059" spans="14:22" x14ac:dyDescent="0.2">
      <c r="N1059" s="193"/>
      <c r="O1059" s="193"/>
      <c r="P1059" s="193"/>
      <c r="Q1059" s="193"/>
      <c r="R1059" s="193"/>
      <c r="S1059" s="193"/>
      <c r="T1059" s="193"/>
      <c r="U1059" s="193"/>
      <c r="V1059" s="193"/>
    </row>
    <row r="1060" spans="14:22" x14ac:dyDescent="0.2">
      <c r="N1060" s="193"/>
      <c r="O1060" s="193"/>
      <c r="P1060" s="193"/>
      <c r="Q1060" s="193"/>
      <c r="R1060" s="193"/>
      <c r="S1060" s="193"/>
      <c r="T1060" s="193"/>
      <c r="U1060" s="193"/>
      <c r="V1060" s="193"/>
    </row>
    <row r="1061" spans="14:22" x14ac:dyDescent="0.2">
      <c r="N1061" s="193"/>
      <c r="O1061" s="193"/>
      <c r="P1061" s="193"/>
      <c r="Q1061" s="193"/>
      <c r="R1061" s="193"/>
      <c r="S1061" s="193"/>
      <c r="T1061" s="193"/>
      <c r="U1061" s="193"/>
      <c r="V1061" s="193"/>
    </row>
    <row r="1062" spans="14:22" x14ac:dyDescent="0.2">
      <c r="N1062" s="193"/>
      <c r="O1062" s="193"/>
      <c r="P1062" s="193"/>
      <c r="Q1062" s="193"/>
      <c r="R1062" s="193"/>
      <c r="S1062" s="193"/>
      <c r="T1062" s="193"/>
      <c r="U1062" s="193"/>
      <c r="V1062" s="193"/>
    </row>
    <row r="1063" spans="14:22" x14ac:dyDescent="0.2">
      <c r="N1063" s="193"/>
      <c r="O1063" s="193"/>
      <c r="P1063" s="193"/>
      <c r="Q1063" s="193"/>
      <c r="R1063" s="193"/>
      <c r="S1063" s="193"/>
      <c r="T1063" s="193"/>
      <c r="U1063" s="193"/>
      <c r="V1063" s="193"/>
    </row>
    <row r="1064" spans="14:22" x14ac:dyDescent="0.2">
      <c r="N1064" s="193"/>
      <c r="O1064" s="193"/>
      <c r="P1064" s="193"/>
      <c r="Q1064" s="193"/>
      <c r="R1064" s="193"/>
      <c r="S1064" s="193"/>
      <c r="T1064" s="193"/>
      <c r="U1064" s="193"/>
      <c r="V1064" s="193"/>
    </row>
    <row r="1065" spans="14:22" x14ac:dyDescent="0.2">
      <c r="N1065" s="193"/>
      <c r="O1065" s="193"/>
      <c r="P1065" s="193"/>
      <c r="Q1065" s="193"/>
      <c r="R1065" s="193"/>
      <c r="S1065" s="193"/>
      <c r="T1065" s="193"/>
      <c r="U1065" s="193"/>
      <c r="V1065" s="193"/>
    </row>
    <row r="1066" spans="14:22" x14ac:dyDescent="0.2">
      <c r="N1066" s="193"/>
      <c r="O1066" s="193"/>
      <c r="P1066" s="193"/>
      <c r="Q1066" s="193"/>
      <c r="R1066" s="193"/>
      <c r="S1066" s="193"/>
      <c r="T1066" s="193"/>
      <c r="U1066" s="193"/>
      <c r="V1066" s="193"/>
    </row>
    <row r="1067" spans="14:22" x14ac:dyDescent="0.2">
      <c r="N1067" s="193"/>
      <c r="O1067" s="193"/>
      <c r="P1067" s="193"/>
      <c r="Q1067" s="193"/>
      <c r="R1067" s="193"/>
      <c r="S1067" s="193"/>
      <c r="T1067" s="193"/>
      <c r="U1067" s="193"/>
      <c r="V1067" s="193"/>
    </row>
    <row r="1068" spans="14:22" x14ac:dyDescent="0.2">
      <c r="N1068" s="193"/>
      <c r="O1068" s="193"/>
      <c r="P1068" s="193"/>
      <c r="Q1068" s="193"/>
      <c r="R1068" s="193"/>
      <c r="S1068" s="193"/>
      <c r="T1068" s="193"/>
      <c r="U1068" s="193"/>
      <c r="V1068" s="193"/>
    </row>
    <row r="1069" spans="14:22" x14ac:dyDescent="0.2">
      <c r="N1069" s="193"/>
      <c r="O1069" s="193"/>
      <c r="P1069" s="193"/>
      <c r="Q1069" s="193"/>
      <c r="R1069" s="193"/>
      <c r="S1069" s="193"/>
      <c r="T1069" s="193"/>
      <c r="U1069" s="193"/>
      <c r="V1069" s="193"/>
    </row>
    <row r="1070" spans="14:22" x14ac:dyDescent="0.2">
      <c r="N1070" s="193"/>
      <c r="O1070" s="193"/>
      <c r="P1070" s="193"/>
      <c r="Q1070" s="193"/>
      <c r="R1070" s="193"/>
      <c r="S1070" s="193"/>
      <c r="T1070" s="193"/>
      <c r="U1070" s="193"/>
      <c r="V1070" s="193"/>
    </row>
    <row r="1071" spans="14:22" x14ac:dyDescent="0.2">
      <c r="N1071" s="193"/>
      <c r="O1071" s="193"/>
      <c r="P1071" s="193"/>
      <c r="Q1071" s="193"/>
      <c r="R1071" s="193"/>
      <c r="S1071" s="193"/>
      <c r="T1071" s="193"/>
      <c r="U1071" s="193"/>
      <c r="V1071" s="193"/>
    </row>
    <row r="1072" spans="14:22" x14ac:dyDescent="0.2">
      <c r="N1072" s="193"/>
      <c r="O1072" s="193"/>
      <c r="P1072" s="193"/>
      <c r="Q1072" s="193"/>
      <c r="R1072" s="193"/>
      <c r="S1072" s="193"/>
      <c r="T1072" s="193"/>
      <c r="U1072" s="193"/>
      <c r="V1072" s="193"/>
    </row>
    <row r="1073" spans="14:22" x14ac:dyDescent="0.2">
      <c r="N1073" s="193"/>
      <c r="O1073" s="193"/>
      <c r="P1073" s="193"/>
      <c r="Q1073" s="193"/>
      <c r="R1073" s="193"/>
      <c r="S1073" s="193"/>
      <c r="T1073" s="193"/>
      <c r="U1073" s="193"/>
      <c r="V1073" s="193"/>
    </row>
    <row r="1074" spans="14:22" x14ac:dyDescent="0.2">
      <c r="N1074" s="193"/>
      <c r="O1074" s="193"/>
      <c r="P1074" s="193"/>
      <c r="Q1074" s="193"/>
      <c r="R1074" s="193"/>
      <c r="S1074" s="193"/>
      <c r="T1074" s="193"/>
      <c r="U1074" s="193"/>
      <c r="V1074" s="193"/>
    </row>
    <row r="1075" spans="14:22" x14ac:dyDescent="0.2">
      <c r="N1075" s="193"/>
      <c r="O1075" s="193"/>
      <c r="P1075" s="193"/>
      <c r="Q1075" s="193"/>
      <c r="R1075" s="193"/>
      <c r="S1075" s="193"/>
      <c r="T1075" s="193"/>
      <c r="U1075" s="193"/>
      <c r="V1075" s="193"/>
    </row>
    <row r="1076" spans="14:22" x14ac:dyDescent="0.2">
      <c r="N1076" s="193"/>
      <c r="O1076" s="193"/>
      <c r="P1076" s="193"/>
      <c r="Q1076" s="193"/>
      <c r="R1076" s="193"/>
      <c r="S1076" s="193"/>
      <c r="T1076" s="193"/>
      <c r="U1076" s="193"/>
      <c r="V1076" s="193"/>
    </row>
    <row r="1077" spans="14:22" x14ac:dyDescent="0.2">
      <c r="N1077" s="193"/>
      <c r="O1077" s="193"/>
      <c r="P1077" s="193"/>
      <c r="Q1077" s="193"/>
      <c r="R1077" s="193"/>
      <c r="S1077" s="193"/>
      <c r="T1077" s="193"/>
      <c r="U1077" s="193"/>
      <c r="V1077" s="193"/>
    </row>
    <row r="1078" spans="14:22" x14ac:dyDescent="0.2">
      <c r="N1078" s="193"/>
      <c r="O1078" s="193"/>
      <c r="P1078" s="193"/>
      <c r="Q1078" s="193"/>
      <c r="R1078" s="193"/>
      <c r="S1078" s="193"/>
      <c r="T1078" s="193"/>
      <c r="U1078" s="193"/>
      <c r="V1078" s="193"/>
    </row>
    <row r="1079" spans="14:22" x14ac:dyDescent="0.2">
      <c r="N1079" s="193"/>
      <c r="O1079" s="193"/>
      <c r="P1079" s="193"/>
      <c r="Q1079" s="193"/>
      <c r="R1079" s="193"/>
      <c r="S1079" s="193"/>
      <c r="T1079" s="193"/>
      <c r="U1079" s="193"/>
      <c r="V1079" s="193"/>
    </row>
    <row r="1080" spans="14:22" x14ac:dyDescent="0.2">
      <c r="N1080" s="193"/>
      <c r="O1080" s="193"/>
      <c r="P1080" s="193"/>
      <c r="Q1080" s="193"/>
      <c r="R1080" s="193"/>
      <c r="S1080" s="193"/>
      <c r="T1080" s="193"/>
      <c r="U1080" s="193"/>
      <c r="V1080" s="193"/>
    </row>
    <row r="1081" spans="14:22" x14ac:dyDescent="0.2">
      <c r="N1081" s="193"/>
      <c r="O1081" s="193"/>
      <c r="P1081" s="193"/>
      <c r="Q1081" s="193"/>
      <c r="R1081" s="193"/>
      <c r="S1081" s="193"/>
      <c r="T1081" s="193"/>
      <c r="U1081" s="193"/>
      <c r="V1081" s="193"/>
    </row>
    <row r="1082" spans="14:22" x14ac:dyDescent="0.2">
      <c r="N1082" s="193"/>
      <c r="O1082" s="193"/>
      <c r="P1082" s="193"/>
      <c r="Q1082" s="193"/>
      <c r="R1082" s="193"/>
      <c r="S1082" s="193"/>
      <c r="T1082" s="193"/>
      <c r="U1082" s="193"/>
      <c r="V1082" s="193"/>
    </row>
    <row r="1083" spans="14:22" x14ac:dyDescent="0.2">
      <c r="N1083" s="193"/>
      <c r="O1083" s="193"/>
      <c r="P1083" s="193"/>
      <c r="Q1083" s="193"/>
      <c r="R1083" s="193"/>
      <c r="S1083" s="193"/>
      <c r="T1083" s="193"/>
      <c r="U1083" s="193"/>
      <c r="V1083" s="193"/>
    </row>
    <row r="1084" spans="14:22" x14ac:dyDescent="0.2">
      <c r="N1084" s="193"/>
      <c r="O1084" s="193"/>
      <c r="P1084" s="193"/>
      <c r="Q1084" s="193"/>
      <c r="R1084" s="193"/>
      <c r="S1084" s="193"/>
      <c r="T1084" s="193"/>
      <c r="U1084" s="193"/>
      <c r="V1084" s="193"/>
    </row>
    <row r="1085" spans="14:22" x14ac:dyDescent="0.2">
      <c r="N1085" s="193"/>
      <c r="O1085" s="193"/>
      <c r="P1085" s="193"/>
      <c r="Q1085" s="193"/>
      <c r="R1085" s="193"/>
      <c r="S1085" s="193"/>
      <c r="T1085" s="193"/>
      <c r="U1085" s="193"/>
      <c r="V1085" s="193"/>
    </row>
    <row r="1086" spans="14:22" x14ac:dyDescent="0.2">
      <c r="N1086" s="193"/>
      <c r="O1086" s="193"/>
      <c r="P1086" s="193"/>
      <c r="Q1086" s="193"/>
      <c r="R1086" s="193"/>
      <c r="S1086" s="193"/>
      <c r="T1086" s="193"/>
      <c r="U1086" s="193"/>
      <c r="V1086" s="193"/>
    </row>
    <row r="1087" spans="14:22" x14ac:dyDescent="0.2">
      <c r="N1087" s="193"/>
      <c r="O1087" s="193"/>
      <c r="P1087" s="193"/>
      <c r="Q1087" s="193"/>
      <c r="R1087" s="193"/>
      <c r="S1087" s="193"/>
      <c r="T1087" s="193"/>
      <c r="U1087" s="193"/>
      <c r="V1087" s="193"/>
    </row>
    <row r="1088" spans="14:22" x14ac:dyDescent="0.2">
      <c r="N1088" s="193"/>
      <c r="O1088" s="193"/>
      <c r="P1088" s="193"/>
      <c r="Q1088" s="193"/>
      <c r="R1088" s="193"/>
      <c r="S1088" s="193"/>
      <c r="T1088" s="193"/>
      <c r="U1088" s="193"/>
      <c r="V1088" s="193"/>
    </row>
    <row r="1089" spans="14:22" x14ac:dyDescent="0.2">
      <c r="N1089" s="193"/>
      <c r="O1089" s="193"/>
      <c r="P1089" s="193"/>
      <c r="Q1089" s="193"/>
      <c r="R1089" s="193"/>
      <c r="S1089" s="193"/>
      <c r="T1089" s="193"/>
      <c r="U1089" s="193"/>
      <c r="V1089" s="193"/>
    </row>
    <row r="1090" spans="14:22" x14ac:dyDescent="0.2">
      <c r="N1090" s="193"/>
      <c r="O1090" s="193"/>
      <c r="P1090" s="193"/>
      <c r="Q1090" s="193"/>
      <c r="R1090" s="193"/>
      <c r="S1090" s="193"/>
      <c r="T1090" s="193"/>
      <c r="U1090" s="193"/>
      <c r="V1090" s="193"/>
    </row>
    <row r="1091" spans="14:22" x14ac:dyDescent="0.2">
      <c r="N1091" s="193"/>
      <c r="O1091" s="193"/>
      <c r="P1091" s="193"/>
      <c r="Q1091" s="193"/>
      <c r="R1091" s="193"/>
      <c r="S1091" s="193"/>
      <c r="T1091" s="193"/>
      <c r="U1091" s="193"/>
      <c r="V1091" s="193"/>
    </row>
    <row r="1092" spans="14:22" x14ac:dyDescent="0.2">
      <c r="N1092" s="193"/>
      <c r="O1092" s="193"/>
      <c r="P1092" s="193"/>
      <c r="Q1092" s="193"/>
      <c r="R1092" s="193"/>
      <c r="S1092" s="193"/>
      <c r="T1092" s="193"/>
      <c r="U1092" s="193"/>
      <c r="V1092" s="193"/>
    </row>
    <row r="1093" spans="14:22" x14ac:dyDescent="0.2">
      <c r="N1093" s="193"/>
      <c r="O1093" s="193"/>
      <c r="P1093" s="193"/>
      <c r="Q1093" s="193"/>
      <c r="R1093" s="193"/>
      <c r="S1093" s="193"/>
      <c r="T1093" s="193"/>
      <c r="U1093" s="193"/>
      <c r="V1093" s="193"/>
    </row>
    <row r="1094" spans="14:22" x14ac:dyDescent="0.2">
      <c r="N1094" s="193"/>
      <c r="O1094" s="193"/>
      <c r="P1094" s="193"/>
      <c r="Q1094" s="193"/>
      <c r="R1094" s="193"/>
      <c r="S1094" s="193"/>
      <c r="T1094" s="193"/>
      <c r="U1094" s="193"/>
      <c r="V1094" s="193"/>
    </row>
    <row r="1095" spans="14:22" x14ac:dyDescent="0.2">
      <c r="N1095" s="193"/>
      <c r="O1095" s="193"/>
      <c r="P1095" s="193"/>
      <c r="Q1095" s="193"/>
      <c r="R1095" s="193"/>
      <c r="S1095" s="193"/>
      <c r="T1095" s="193"/>
      <c r="U1095" s="193"/>
      <c r="V1095" s="193"/>
    </row>
    <row r="1096" spans="14:22" x14ac:dyDescent="0.2">
      <c r="N1096" s="193"/>
      <c r="O1096" s="193"/>
      <c r="P1096" s="193"/>
      <c r="Q1096" s="193"/>
      <c r="R1096" s="193"/>
      <c r="S1096" s="193"/>
      <c r="T1096" s="193"/>
      <c r="U1096" s="193"/>
      <c r="V1096" s="193"/>
    </row>
    <row r="1097" spans="14:22" x14ac:dyDescent="0.2">
      <c r="N1097" s="193"/>
      <c r="O1097" s="193"/>
      <c r="P1097" s="193"/>
      <c r="Q1097" s="193"/>
      <c r="R1097" s="193"/>
      <c r="S1097" s="193"/>
      <c r="T1097" s="193"/>
      <c r="U1097" s="193"/>
      <c r="V1097" s="193"/>
    </row>
    <row r="1098" spans="14:22" x14ac:dyDescent="0.2">
      <c r="N1098" s="193"/>
      <c r="O1098" s="193"/>
      <c r="P1098" s="193"/>
      <c r="Q1098" s="193"/>
      <c r="R1098" s="193"/>
      <c r="S1098" s="193"/>
      <c r="T1098" s="193"/>
      <c r="U1098" s="193"/>
      <c r="V1098" s="193"/>
    </row>
    <row r="1099" spans="14:22" x14ac:dyDescent="0.2">
      <c r="N1099" s="193"/>
      <c r="O1099" s="193"/>
      <c r="P1099" s="193"/>
      <c r="Q1099" s="193"/>
      <c r="R1099" s="193"/>
      <c r="S1099" s="193"/>
      <c r="T1099" s="193"/>
      <c r="U1099" s="193"/>
      <c r="V1099" s="193"/>
    </row>
    <row r="1100" spans="14:22" x14ac:dyDescent="0.2">
      <c r="N1100" s="193"/>
      <c r="O1100" s="193"/>
      <c r="P1100" s="193"/>
      <c r="Q1100" s="193"/>
      <c r="R1100" s="193"/>
      <c r="S1100" s="193"/>
      <c r="T1100" s="193"/>
      <c r="U1100" s="193"/>
      <c r="V1100" s="193"/>
    </row>
    <row r="1101" spans="14:22" x14ac:dyDescent="0.2">
      <c r="N1101" s="193"/>
      <c r="O1101" s="193"/>
      <c r="P1101" s="193"/>
      <c r="Q1101" s="193"/>
      <c r="R1101" s="193"/>
      <c r="S1101" s="193"/>
      <c r="T1101" s="193"/>
      <c r="U1101" s="193"/>
      <c r="V1101" s="193"/>
    </row>
    <row r="1102" spans="14:22" x14ac:dyDescent="0.2">
      <c r="N1102" s="193"/>
      <c r="O1102" s="193"/>
      <c r="P1102" s="193"/>
      <c r="Q1102" s="193"/>
      <c r="R1102" s="193"/>
      <c r="S1102" s="193"/>
      <c r="T1102" s="193"/>
      <c r="U1102" s="193"/>
      <c r="V1102" s="193"/>
    </row>
    <row r="1103" spans="14:22" x14ac:dyDescent="0.2">
      <c r="N1103" s="193"/>
      <c r="O1103" s="193"/>
      <c r="P1103" s="193"/>
      <c r="Q1103" s="193"/>
      <c r="R1103" s="193"/>
      <c r="S1103" s="193"/>
      <c r="T1103" s="193"/>
      <c r="U1103" s="193"/>
      <c r="V1103" s="193"/>
    </row>
    <row r="1104" spans="14:22" x14ac:dyDescent="0.2">
      <c r="N1104" s="193"/>
      <c r="O1104" s="193"/>
      <c r="P1104" s="193"/>
      <c r="Q1104" s="193"/>
      <c r="R1104" s="193"/>
      <c r="S1104" s="193"/>
      <c r="T1104" s="193"/>
      <c r="U1104" s="193"/>
      <c r="V1104" s="193"/>
    </row>
    <row r="1105" spans="14:22" x14ac:dyDescent="0.2">
      <c r="N1105" s="193"/>
      <c r="O1105" s="193"/>
      <c r="P1105" s="193"/>
      <c r="Q1105" s="193"/>
      <c r="R1105" s="193"/>
      <c r="S1105" s="193"/>
      <c r="T1105" s="193"/>
      <c r="U1105" s="193"/>
      <c r="V1105" s="193"/>
    </row>
    <row r="1106" spans="14:22" x14ac:dyDescent="0.2">
      <c r="N1106" s="193"/>
      <c r="O1106" s="193"/>
      <c r="P1106" s="193"/>
      <c r="Q1106" s="193"/>
      <c r="R1106" s="193"/>
      <c r="S1106" s="193"/>
      <c r="T1106" s="193"/>
      <c r="U1106" s="193"/>
      <c r="V1106" s="193"/>
    </row>
    <row r="1107" spans="14:22" x14ac:dyDescent="0.2">
      <c r="N1107" s="193"/>
      <c r="O1107" s="193"/>
      <c r="P1107" s="193"/>
      <c r="Q1107" s="193"/>
      <c r="R1107" s="193"/>
      <c r="S1107" s="193"/>
      <c r="T1107" s="193"/>
      <c r="U1107" s="193"/>
      <c r="V1107" s="193"/>
    </row>
    <row r="1108" spans="14:22" x14ac:dyDescent="0.2">
      <c r="N1108" s="193"/>
      <c r="O1108" s="193"/>
      <c r="P1108" s="193"/>
      <c r="Q1108" s="193"/>
      <c r="R1108" s="193"/>
      <c r="S1108" s="193"/>
      <c r="T1108" s="193"/>
      <c r="U1108" s="193"/>
      <c r="V1108" s="193"/>
    </row>
    <row r="1109" spans="14:22" x14ac:dyDescent="0.2">
      <c r="N1109" s="193"/>
      <c r="O1109" s="193"/>
      <c r="P1109" s="193"/>
      <c r="Q1109" s="193"/>
      <c r="R1109" s="193"/>
      <c r="S1109" s="193"/>
      <c r="T1109" s="193"/>
      <c r="U1109" s="193"/>
      <c r="V1109" s="193"/>
    </row>
    <row r="1110" spans="14:22" x14ac:dyDescent="0.2">
      <c r="N1110" s="193"/>
      <c r="O1110" s="193"/>
      <c r="P1110" s="193"/>
      <c r="Q1110" s="193"/>
      <c r="R1110" s="193"/>
      <c r="S1110" s="193"/>
      <c r="T1110" s="193"/>
      <c r="U1110" s="193"/>
      <c r="V1110" s="193"/>
    </row>
    <row r="1111" spans="14:22" x14ac:dyDescent="0.2">
      <c r="N1111" s="193"/>
      <c r="O1111" s="193"/>
      <c r="P1111" s="193"/>
      <c r="Q1111" s="193"/>
      <c r="R1111" s="193"/>
      <c r="S1111" s="193"/>
      <c r="T1111" s="193"/>
      <c r="U1111" s="193"/>
      <c r="V1111" s="193"/>
    </row>
    <row r="1112" spans="14:22" x14ac:dyDescent="0.2">
      <c r="N1112" s="193"/>
      <c r="O1112" s="193"/>
      <c r="P1112" s="193"/>
      <c r="Q1112" s="193"/>
      <c r="R1112" s="193"/>
      <c r="S1112" s="193"/>
      <c r="T1112" s="193"/>
      <c r="U1112" s="193"/>
      <c r="V1112" s="193"/>
    </row>
    <row r="1113" spans="14:22" x14ac:dyDescent="0.2">
      <c r="N1113" s="193"/>
      <c r="O1113" s="193"/>
      <c r="P1113" s="193"/>
      <c r="Q1113" s="193"/>
      <c r="R1113" s="193"/>
      <c r="S1113" s="193"/>
      <c r="T1113" s="193"/>
      <c r="U1113" s="193"/>
      <c r="V1113" s="193"/>
    </row>
    <row r="1114" spans="14:22" x14ac:dyDescent="0.2">
      <c r="N1114" s="193"/>
      <c r="O1114" s="193"/>
      <c r="P1114" s="193"/>
      <c r="Q1114" s="193"/>
      <c r="R1114" s="193"/>
      <c r="S1114" s="193"/>
      <c r="T1114" s="193"/>
      <c r="U1114" s="193"/>
      <c r="V1114" s="193"/>
    </row>
    <row r="1115" spans="14:22" x14ac:dyDescent="0.2">
      <c r="N1115" s="193"/>
      <c r="O1115" s="193"/>
      <c r="P1115" s="193"/>
      <c r="Q1115" s="193"/>
      <c r="R1115" s="193"/>
      <c r="S1115" s="193"/>
      <c r="T1115" s="193"/>
      <c r="U1115" s="193"/>
      <c r="V1115" s="193"/>
    </row>
    <row r="1116" spans="14:22" x14ac:dyDescent="0.2">
      <c r="N1116" s="193"/>
      <c r="O1116" s="193"/>
      <c r="P1116" s="193"/>
      <c r="Q1116" s="193"/>
      <c r="R1116" s="193"/>
      <c r="S1116" s="193"/>
      <c r="T1116" s="193"/>
      <c r="U1116" s="193"/>
      <c r="V1116" s="193"/>
    </row>
    <row r="1117" spans="14:22" x14ac:dyDescent="0.2">
      <c r="N1117" s="193"/>
      <c r="O1117" s="193"/>
      <c r="P1117" s="193"/>
      <c r="Q1117" s="193"/>
      <c r="R1117" s="193"/>
      <c r="S1117" s="193"/>
      <c r="T1117" s="193"/>
      <c r="U1117" s="193"/>
      <c r="V1117" s="193"/>
    </row>
    <row r="1118" spans="14:22" x14ac:dyDescent="0.2">
      <c r="N1118" s="193"/>
      <c r="O1118" s="193"/>
      <c r="P1118" s="193"/>
      <c r="Q1118" s="193"/>
      <c r="R1118" s="193"/>
      <c r="S1118" s="193"/>
      <c r="T1118" s="193"/>
      <c r="U1118" s="193"/>
      <c r="V1118" s="193"/>
    </row>
    <row r="1119" spans="14:22" x14ac:dyDescent="0.2">
      <c r="N1119" s="193"/>
      <c r="O1119" s="193"/>
      <c r="P1119" s="193"/>
      <c r="Q1119" s="193"/>
      <c r="R1119" s="193"/>
      <c r="S1119" s="193"/>
      <c r="T1119" s="193"/>
      <c r="U1119" s="193"/>
      <c r="V1119" s="193"/>
    </row>
    <row r="1120" spans="14:22" x14ac:dyDescent="0.2">
      <c r="N1120" s="193"/>
      <c r="O1120" s="193"/>
      <c r="P1120" s="193"/>
      <c r="Q1120" s="193"/>
      <c r="R1120" s="193"/>
      <c r="S1120" s="193"/>
      <c r="T1120" s="193"/>
      <c r="U1120" s="193"/>
      <c r="V1120" s="193"/>
    </row>
    <row r="1121" spans="14:22" x14ac:dyDescent="0.2">
      <c r="N1121" s="193"/>
      <c r="O1121" s="193"/>
      <c r="P1121" s="193"/>
      <c r="Q1121" s="193"/>
      <c r="R1121" s="193"/>
      <c r="S1121" s="193"/>
      <c r="T1121" s="193"/>
      <c r="U1121" s="193"/>
      <c r="V1121" s="193"/>
    </row>
    <row r="1122" spans="14:22" x14ac:dyDescent="0.2">
      <c r="N1122" s="193"/>
      <c r="O1122" s="193"/>
      <c r="P1122" s="193"/>
      <c r="Q1122" s="193"/>
      <c r="R1122" s="193"/>
      <c r="S1122" s="193"/>
      <c r="T1122" s="193"/>
      <c r="U1122" s="193"/>
      <c r="V1122" s="193"/>
    </row>
    <row r="1123" spans="14:22" x14ac:dyDescent="0.2">
      <c r="N1123" s="193"/>
      <c r="O1123" s="193"/>
      <c r="P1123" s="193"/>
      <c r="Q1123" s="193"/>
      <c r="R1123" s="193"/>
      <c r="S1123" s="193"/>
      <c r="T1123" s="193"/>
      <c r="U1123" s="193"/>
      <c r="V1123" s="193"/>
    </row>
    <row r="1124" spans="14:22" x14ac:dyDescent="0.2">
      <c r="N1124" s="193"/>
      <c r="O1124" s="193"/>
      <c r="P1124" s="193"/>
      <c r="Q1124" s="193"/>
      <c r="R1124" s="193"/>
      <c r="S1124" s="193"/>
      <c r="T1124" s="193"/>
      <c r="U1124" s="193"/>
      <c r="V1124" s="193"/>
    </row>
    <row r="1125" spans="14:22" x14ac:dyDescent="0.2">
      <c r="N1125" s="193"/>
      <c r="O1125" s="193"/>
      <c r="P1125" s="193"/>
      <c r="Q1125" s="193"/>
      <c r="R1125" s="193"/>
      <c r="S1125" s="193"/>
      <c r="T1125" s="193"/>
      <c r="U1125" s="193"/>
      <c r="V1125" s="193"/>
    </row>
    <row r="1126" spans="14:22" x14ac:dyDescent="0.2">
      <c r="N1126" s="193"/>
      <c r="O1126" s="193"/>
      <c r="P1126" s="193"/>
      <c r="Q1126" s="193"/>
      <c r="R1126" s="193"/>
      <c r="S1126" s="193"/>
      <c r="T1126" s="193"/>
      <c r="U1126" s="193"/>
      <c r="V1126" s="193"/>
    </row>
    <row r="1127" spans="14:22" x14ac:dyDescent="0.2">
      <c r="N1127" s="193"/>
      <c r="O1127" s="193"/>
      <c r="P1127" s="193"/>
      <c r="Q1127" s="193"/>
      <c r="R1127" s="193"/>
      <c r="S1127" s="193"/>
      <c r="T1127" s="193"/>
      <c r="U1127" s="193"/>
      <c r="V1127" s="193"/>
    </row>
    <row r="1128" spans="14:22" x14ac:dyDescent="0.2">
      <c r="N1128" s="193"/>
      <c r="O1128" s="193"/>
      <c r="P1128" s="193"/>
      <c r="Q1128" s="193"/>
      <c r="R1128" s="193"/>
      <c r="S1128" s="193"/>
      <c r="T1128" s="193"/>
      <c r="U1128" s="193"/>
      <c r="V1128" s="193"/>
    </row>
    <row r="1129" spans="14:22" x14ac:dyDescent="0.2">
      <c r="N1129" s="193"/>
      <c r="O1129" s="193"/>
      <c r="P1129" s="193"/>
      <c r="Q1129" s="193"/>
      <c r="R1129" s="193"/>
      <c r="S1129" s="193"/>
      <c r="T1129" s="193"/>
      <c r="U1129" s="193"/>
      <c r="V1129" s="193"/>
    </row>
    <row r="1130" spans="14:22" x14ac:dyDescent="0.2">
      <c r="N1130" s="193"/>
      <c r="O1130" s="193"/>
      <c r="P1130" s="193"/>
      <c r="Q1130" s="193"/>
      <c r="R1130" s="193"/>
      <c r="S1130" s="193"/>
      <c r="T1130" s="193"/>
      <c r="U1130" s="193"/>
      <c r="V1130" s="193"/>
    </row>
    <row r="1131" spans="14:22" x14ac:dyDescent="0.2">
      <c r="N1131" s="193"/>
      <c r="O1131" s="193"/>
      <c r="P1131" s="193"/>
      <c r="Q1131" s="193"/>
      <c r="R1131" s="193"/>
      <c r="S1131" s="193"/>
      <c r="T1131" s="193"/>
      <c r="U1131" s="193"/>
      <c r="V1131" s="193"/>
    </row>
    <row r="1132" spans="14:22" x14ac:dyDescent="0.2">
      <c r="N1132" s="193"/>
      <c r="O1132" s="193"/>
      <c r="P1132" s="193"/>
      <c r="Q1132" s="193"/>
      <c r="R1132" s="193"/>
      <c r="S1132" s="193"/>
      <c r="T1132" s="193"/>
      <c r="U1132" s="193"/>
      <c r="V1132" s="193"/>
    </row>
    <row r="1133" spans="14:22" x14ac:dyDescent="0.2">
      <c r="N1133" s="193"/>
      <c r="O1133" s="193"/>
      <c r="P1133" s="193"/>
      <c r="Q1133" s="193"/>
      <c r="R1133" s="193"/>
      <c r="S1133" s="193"/>
      <c r="T1133" s="193"/>
      <c r="U1133" s="193"/>
      <c r="V1133" s="193"/>
    </row>
    <row r="1134" spans="14:22" x14ac:dyDescent="0.2">
      <c r="N1134" s="193"/>
      <c r="O1134" s="193"/>
      <c r="P1134" s="193"/>
      <c r="Q1134" s="193"/>
      <c r="R1134" s="193"/>
      <c r="S1134" s="193"/>
      <c r="T1134" s="193"/>
      <c r="U1134" s="193"/>
      <c r="V1134" s="193"/>
    </row>
    <row r="1135" spans="14:22" x14ac:dyDescent="0.2">
      <c r="N1135" s="193"/>
      <c r="O1135" s="193"/>
      <c r="P1135" s="193"/>
      <c r="Q1135" s="193"/>
      <c r="R1135" s="193"/>
      <c r="S1135" s="193"/>
      <c r="T1135" s="193"/>
      <c r="U1135" s="193"/>
      <c r="V1135" s="193"/>
    </row>
    <row r="1136" spans="14:22" x14ac:dyDescent="0.2">
      <c r="N1136" s="193"/>
      <c r="O1136" s="193"/>
      <c r="P1136" s="193"/>
      <c r="Q1136" s="193"/>
      <c r="R1136" s="193"/>
      <c r="S1136" s="193"/>
      <c r="T1136" s="193"/>
      <c r="U1136" s="193"/>
      <c r="V1136" s="193"/>
    </row>
    <row r="1137" spans="14:22" x14ac:dyDescent="0.2">
      <c r="N1137" s="193"/>
      <c r="O1137" s="193"/>
      <c r="P1137" s="193"/>
      <c r="Q1137" s="193"/>
      <c r="R1137" s="193"/>
      <c r="S1137" s="193"/>
      <c r="T1137" s="193"/>
      <c r="U1137" s="193"/>
      <c r="V1137" s="193"/>
    </row>
    <row r="1138" spans="14:22" x14ac:dyDescent="0.2">
      <c r="N1138" s="193"/>
      <c r="O1138" s="193"/>
      <c r="P1138" s="193"/>
      <c r="Q1138" s="193"/>
      <c r="R1138" s="193"/>
      <c r="S1138" s="193"/>
      <c r="T1138" s="193"/>
      <c r="U1138" s="193"/>
      <c r="V1138" s="193"/>
    </row>
    <row r="1139" spans="14:22" x14ac:dyDescent="0.2">
      <c r="N1139" s="193"/>
      <c r="O1139" s="193"/>
      <c r="P1139" s="193"/>
      <c r="Q1139" s="193"/>
      <c r="R1139" s="193"/>
      <c r="S1139" s="193"/>
      <c r="T1139" s="193"/>
      <c r="U1139" s="193"/>
      <c r="V1139" s="193"/>
    </row>
    <row r="1140" spans="14:22" x14ac:dyDescent="0.2">
      <c r="N1140" s="193"/>
      <c r="O1140" s="193"/>
      <c r="P1140" s="193"/>
      <c r="Q1140" s="193"/>
      <c r="R1140" s="193"/>
      <c r="S1140" s="193"/>
      <c r="T1140" s="193"/>
      <c r="U1140" s="193"/>
      <c r="V1140" s="193"/>
    </row>
    <row r="1141" spans="14:22" x14ac:dyDescent="0.2">
      <c r="N1141" s="193"/>
      <c r="O1141" s="193"/>
      <c r="P1141" s="193"/>
      <c r="Q1141" s="193"/>
      <c r="R1141" s="193"/>
      <c r="S1141" s="193"/>
      <c r="T1141" s="193"/>
      <c r="U1141" s="193"/>
      <c r="V1141" s="193"/>
    </row>
    <row r="1142" spans="14:22" x14ac:dyDescent="0.2">
      <c r="N1142" s="193"/>
      <c r="O1142" s="193"/>
      <c r="P1142" s="193"/>
      <c r="Q1142" s="193"/>
      <c r="R1142" s="193"/>
      <c r="S1142" s="193"/>
      <c r="T1142" s="193"/>
      <c r="U1142" s="193"/>
      <c r="V1142" s="193"/>
    </row>
    <row r="1143" spans="14:22" x14ac:dyDescent="0.2">
      <c r="N1143" s="193"/>
      <c r="O1143" s="193"/>
      <c r="P1143" s="193"/>
      <c r="Q1143" s="193"/>
      <c r="R1143" s="193"/>
      <c r="S1143" s="193"/>
      <c r="T1143" s="193"/>
      <c r="U1143" s="193"/>
      <c r="V1143" s="193"/>
    </row>
    <row r="1144" spans="14:22" x14ac:dyDescent="0.2">
      <c r="N1144" s="193"/>
      <c r="O1144" s="193"/>
      <c r="P1144" s="193"/>
      <c r="Q1144" s="193"/>
      <c r="R1144" s="193"/>
      <c r="S1144" s="193"/>
      <c r="T1144" s="193"/>
      <c r="U1144" s="193"/>
      <c r="V1144" s="193"/>
    </row>
    <row r="1145" spans="14:22" x14ac:dyDescent="0.2">
      <c r="N1145" s="193"/>
      <c r="O1145" s="193"/>
      <c r="P1145" s="193"/>
      <c r="Q1145" s="193"/>
      <c r="R1145" s="193"/>
      <c r="S1145" s="193"/>
      <c r="T1145" s="193"/>
      <c r="U1145" s="193"/>
      <c r="V1145" s="193"/>
    </row>
    <row r="1146" spans="14:22" x14ac:dyDescent="0.2">
      <c r="N1146" s="193"/>
      <c r="O1146" s="193"/>
      <c r="P1146" s="193"/>
      <c r="Q1146" s="193"/>
      <c r="R1146" s="193"/>
      <c r="S1146" s="193"/>
      <c r="T1146" s="193"/>
      <c r="U1146" s="193"/>
      <c r="V1146" s="193"/>
    </row>
    <row r="1147" spans="14:22" x14ac:dyDescent="0.2">
      <c r="N1147" s="193"/>
      <c r="O1147" s="193"/>
      <c r="P1147" s="193"/>
      <c r="Q1147" s="193"/>
      <c r="R1147" s="193"/>
      <c r="S1147" s="193"/>
      <c r="T1147" s="193"/>
      <c r="U1147" s="193"/>
      <c r="V1147" s="193"/>
    </row>
    <row r="1148" spans="14:22" x14ac:dyDescent="0.2">
      <c r="N1148" s="193"/>
      <c r="O1148" s="193"/>
      <c r="P1148" s="193"/>
      <c r="Q1148" s="193"/>
      <c r="R1148" s="193"/>
      <c r="S1148" s="193"/>
      <c r="T1148" s="193"/>
      <c r="U1148" s="193"/>
      <c r="V1148" s="193"/>
    </row>
    <row r="1149" spans="14:22" x14ac:dyDescent="0.2">
      <c r="N1149" s="193"/>
      <c r="O1149" s="193"/>
      <c r="P1149" s="193"/>
      <c r="Q1149" s="193"/>
      <c r="R1149" s="193"/>
      <c r="S1149" s="193"/>
      <c r="T1149" s="193"/>
      <c r="U1149" s="193"/>
      <c r="V1149" s="193"/>
    </row>
    <row r="1150" spans="14:22" x14ac:dyDescent="0.2">
      <c r="N1150" s="193"/>
      <c r="O1150" s="193"/>
      <c r="P1150" s="193"/>
      <c r="Q1150" s="193"/>
      <c r="R1150" s="193"/>
      <c r="S1150" s="193"/>
      <c r="T1150" s="193"/>
      <c r="U1150" s="193"/>
      <c r="V1150" s="193"/>
    </row>
    <row r="1151" spans="14:22" x14ac:dyDescent="0.2">
      <c r="N1151" s="193"/>
      <c r="O1151" s="193"/>
      <c r="P1151" s="193"/>
      <c r="Q1151" s="193"/>
      <c r="R1151" s="193"/>
      <c r="S1151" s="193"/>
      <c r="T1151" s="193"/>
      <c r="U1151" s="193"/>
      <c r="V1151" s="193"/>
    </row>
    <row r="1152" spans="14:22" x14ac:dyDescent="0.2">
      <c r="N1152" s="193"/>
      <c r="O1152" s="193"/>
      <c r="P1152" s="193"/>
      <c r="Q1152" s="193"/>
      <c r="R1152" s="193"/>
      <c r="S1152" s="193"/>
      <c r="T1152" s="193"/>
      <c r="U1152" s="193"/>
      <c r="V1152" s="193"/>
    </row>
    <row r="1153" spans="14:22" x14ac:dyDescent="0.2">
      <c r="N1153" s="193"/>
      <c r="O1153" s="193"/>
      <c r="P1153" s="193"/>
      <c r="Q1153" s="193"/>
      <c r="R1153" s="193"/>
      <c r="S1153" s="193"/>
      <c r="T1153" s="193"/>
      <c r="U1153" s="193"/>
      <c r="V1153" s="193"/>
    </row>
    <row r="1154" spans="14:22" x14ac:dyDescent="0.2">
      <c r="N1154" s="193"/>
      <c r="O1154" s="193"/>
      <c r="P1154" s="193"/>
      <c r="Q1154" s="193"/>
      <c r="R1154" s="193"/>
      <c r="S1154" s="193"/>
      <c r="T1154" s="193"/>
      <c r="U1154" s="193"/>
      <c r="V1154" s="193"/>
    </row>
    <row r="1155" spans="14:22" x14ac:dyDescent="0.2">
      <c r="N1155" s="193"/>
      <c r="O1155" s="193"/>
      <c r="P1155" s="193"/>
      <c r="Q1155" s="193"/>
      <c r="R1155" s="193"/>
      <c r="S1155" s="193"/>
      <c r="T1155" s="193"/>
      <c r="U1155" s="193"/>
      <c r="V1155" s="193"/>
    </row>
    <row r="1156" spans="14:22" x14ac:dyDescent="0.2">
      <c r="N1156" s="193"/>
      <c r="O1156" s="193"/>
      <c r="P1156" s="193"/>
      <c r="Q1156" s="193"/>
      <c r="R1156" s="193"/>
      <c r="S1156" s="193"/>
      <c r="T1156" s="193"/>
      <c r="U1156" s="193"/>
      <c r="V1156" s="193"/>
    </row>
    <row r="1157" spans="14:22" x14ac:dyDescent="0.2">
      <c r="N1157" s="193"/>
      <c r="O1157" s="193"/>
      <c r="P1157" s="193"/>
      <c r="Q1157" s="193"/>
      <c r="R1157" s="193"/>
      <c r="S1157" s="193"/>
      <c r="T1157" s="193"/>
      <c r="U1157" s="193"/>
      <c r="V1157" s="193"/>
    </row>
    <row r="1158" spans="14:22" x14ac:dyDescent="0.2">
      <c r="N1158" s="193"/>
      <c r="O1158" s="193"/>
      <c r="P1158" s="193"/>
      <c r="Q1158" s="193"/>
      <c r="R1158" s="193"/>
      <c r="S1158" s="193"/>
      <c r="T1158" s="193"/>
      <c r="U1158" s="193"/>
      <c r="V1158" s="193"/>
    </row>
    <row r="1159" spans="14:22" x14ac:dyDescent="0.2">
      <c r="N1159" s="193"/>
      <c r="O1159" s="193"/>
      <c r="P1159" s="193"/>
      <c r="Q1159" s="193"/>
      <c r="R1159" s="193"/>
      <c r="S1159" s="193"/>
      <c r="T1159" s="193"/>
      <c r="U1159" s="193"/>
      <c r="V1159" s="193"/>
    </row>
    <row r="1160" spans="14:22" x14ac:dyDescent="0.2">
      <c r="N1160" s="193"/>
      <c r="O1160" s="193"/>
      <c r="P1160" s="193"/>
      <c r="Q1160" s="193"/>
      <c r="R1160" s="193"/>
      <c r="S1160" s="193"/>
      <c r="T1160" s="193"/>
      <c r="U1160" s="193"/>
      <c r="V1160" s="193"/>
    </row>
    <row r="1161" spans="14:22" x14ac:dyDescent="0.2">
      <c r="N1161" s="193"/>
      <c r="O1161" s="193"/>
      <c r="P1161" s="193"/>
      <c r="Q1161" s="193"/>
      <c r="R1161" s="193"/>
      <c r="S1161" s="193"/>
      <c r="T1161" s="193"/>
      <c r="U1161" s="193"/>
      <c r="V1161" s="193"/>
    </row>
    <row r="1162" spans="14:22" x14ac:dyDescent="0.2">
      <c r="N1162" s="193"/>
      <c r="O1162" s="193"/>
      <c r="P1162" s="193"/>
      <c r="Q1162" s="193"/>
      <c r="R1162" s="193"/>
      <c r="S1162" s="193"/>
      <c r="T1162" s="193"/>
      <c r="U1162" s="193"/>
      <c r="V1162" s="193"/>
    </row>
    <row r="1163" spans="14:22" x14ac:dyDescent="0.2">
      <c r="N1163" s="193"/>
      <c r="O1163" s="193"/>
      <c r="P1163" s="193"/>
      <c r="Q1163" s="193"/>
      <c r="R1163" s="193"/>
      <c r="S1163" s="193"/>
      <c r="T1163" s="193"/>
      <c r="U1163" s="193"/>
      <c r="V1163" s="193"/>
    </row>
    <row r="1164" spans="14:22" x14ac:dyDescent="0.2">
      <c r="N1164" s="193"/>
      <c r="O1164" s="193"/>
      <c r="P1164" s="193"/>
      <c r="Q1164" s="193"/>
      <c r="R1164" s="193"/>
      <c r="S1164" s="193"/>
      <c r="T1164" s="193"/>
      <c r="U1164" s="193"/>
      <c r="V1164" s="193"/>
    </row>
    <row r="1165" spans="14:22" x14ac:dyDescent="0.2">
      <c r="N1165" s="193"/>
      <c r="O1165" s="193"/>
      <c r="P1165" s="193"/>
      <c r="Q1165" s="193"/>
      <c r="R1165" s="193"/>
      <c r="S1165" s="193"/>
      <c r="T1165" s="193"/>
      <c r="U1165" s="193"/>
      <c r="V1165" s="193"/>
    </row>
    <row r="1166" spans="14:22" x14ac:dyDescent="0.2">
      <c r="N1166" s="193"/>
      <c r="O1166" s="193"/>
      <c r="P1166" s="193"/>
      <c r="Q1166" s="193"/>
      <c r="R1166" s="193"/>
      <c r="S1166" s="193"/>
      <c r="T1166" s="193"/>
      <c r="U1166" s="193"/>
      <c r="V1166" s="193"/>
    </row>
    <row r="1167" spans="14:22" x14ac:dyDescent="0.2">
      <c r="N1167" s="193"/>
      <c r="O1167" s="193"/>
      <c r="P1167" s="193"/>
      <c r="Q1167" s="193"/>
      <c r="R1167" s="193"/>
      <c r="S1167" s="193"/>
      <c r="T1167" s="193"/>
      <c r="U1167" s="193"/>
      <c r="V1167" s="193"/>
    </row>
    <row r="1168" spans="14:22" x14ac:dyDescent="0.2">
      <c r="N1168" s="193"/>
      <c r="O1168" s="193"/>
      <c r="P1168" s="193"/>
      <c r="Q1168" s="193"/>
      <c r="R1168" s="193"/>
      <c r="S1168" s="193"/>
      <c r="T1168" s="193"/>
      <c r="U1168" s="193"/>
      <c r="V1168" s="193"/>
    </row>
    <row r="1169" spans="14:22" x14ac:dyDescent="0.2">
      <c r="N1169" s="193"/>
      <c r="O1169" s="193"/>
      <c r="P1169" s="193"/>
      <c r="Q1169" s="193"/>
      <c r="R1169" s="193"/>
      <c r="S1169" s="193"/>
      <c r="T1169" s="193"/>
      <c r="U1169" s="193"/>
      <c r="V1169" s="193"/>
    </row>
    <row r="1170" spans="14:22" x14ac:dyDescent="0.2">
      <c r="N1170" s="193"/>
      <c r="O1170" s="193"/>
      <c r="P1170" s="193"/>
      <c r="Q1170" s="193"/>
      <c r="R1170" s="193"/>
      <c r="S1170" s="193"/>
      <c r="T1170" s="193"/>
      <c r="U1170" s="193"/>
      <c r="V1170" s="193"/>
    </row>
    <row r="1171" spans="14:22" x14ac:dyDescent="0.2">
      <c r="N1171" s="193"/>
      <c r="O1171" s="193"/>
      <c r="P1171" s="193"/>
      <c r="Q1171" s="193"/>
      <c r="R1171" s="193"/>
      <c r="S1171" s="193"/>
      <c r="T1171" s="193"/>
      <c r="U1171" s="193"/>
      <c r="V1171" s="193"/>
    </row>
    <row r="1172" spans="14:22" x14ac:dyDescent="0.2">
      <c r="N1172" s="193"/>
      <c r="O1172" s="193"/>
      <c r="P1172" s="193"/>
      <c r="Q1172" s="193"/>
      <c r="R1172" s="193"/>
      <c r="S1172" s="193"/>
      <c r="T1172" s="193"/>
      <c r="U1172" s="193"/>
      <c r="V1172" s="193"/>
    </row>
    <row r="1173" spans="14:22" x14ac:dyDescent="0.2">
      <c r="N1173" s="193"/>
      <c r="O1173" s="193"/>
      <c r="P1173" s="193"/>
      <c r="Q1173" s="193"/>
      <c r="R1173" s="193"/>
      <c r="S1173" s="193"/>
      <c r="T1173" s="193"/>
      <c r="U1173" s="193"/>
      <c r="V1173" s="193"/>
    </row>
    <row r="1174" spans="14:22" x14ac:dyDescent="0.2">
      <c r="N1174" s="193"/>
      <c r="O1174" s="193"/>
      <c r="P1174" s="193"/>
      <c r="Q1174" s="193"/>
      <c r="R1174" s="193"/>
      <c r="S1174" s="193"/>
      <c r="T1174" s="193"/>
      <c r="U1174" s="193"/>
      <c r="V1174" s="193"/>
    </row>
    <row r="1175" spans="14:22" x14ac:dyDescent="0.2">
      <c r="N1175" s="193"/>
      <c r="O1175" s="193"/>
      <c r="P1175" s="193"/>
      <c r="Q1175" s="193"/>
      <c r="R1175" s="193"/>
      <c r="S1175" s="193"/>
      <c r="T1175" s="193"/>
      <c r="U1175" s="193"/>
      <c r="V1175" s="193"/>
    </row>
    <row r="1176" spans="14:22" x14ac:dyDescent="0.2">
      <c r="N1176" s="193"/>
      <c r="O1176" s="193"/>
      <c r="P1176" s="193"/>
      <c r="Q1176" s="193"/>
      <c r="R1176" s="193"/>
      <c r="S1176" s="193"/>
      <c r="T1176" s="193"/>
      <c r="U1176" s="193"/>
      <c r="V1176" s="193"/>
    </row>
    <row r="1177" spans="14:22" x14ac:dyDescent="0.2">
      <c r="N1177" s="193"/>
      <c r="O1177" s="193"/>
      <c r="P1177" s="193"/>
      <c r="Q1177" s="193"/>
      <c r="R1177" s="193"/>
      <c r="S1177" s="193"/>
      <c r="T1177" s="193"/>
      <c r="U1177" s="193"/>
      <c r="V1177" s="193"/>
    </row>
    <row r="1178" spans="14:22" x14ac:dyDescent="0.2">
      <c r="N1178" s="193"/>
      <c r="O1178" s="193"/>
      <c r="P1178" s="193"/>
      <c r="Q1178" s="193"/>
      <c r="R1178" s="193"/>
      <c r="S1178" s="193"/>
      <c r="T1178" s="193"/>
      <c r="U1178" s="193"/>
      <c r="V1178" s="193"/>
    </row>
    <row r="1179" spans="14:22" x14ac:dyDescent="0.2">
      <c r="N1179" s="193"/>
      <c r="O1179" s="193"/>
      <c r="P1179" s="193"/>
      <c r="Q1179" s="193"/>
      <c r="R1179" s="193"/>
      <c r="S1179" s="193"/>
      <c r="T1179" s="193"/>
      <c r="U1179" s="193"/>
      <c r="V1179" s="193"/>
    </row>
    <row r="1180" spans="14:22" x14ac:dyDescent="0.2">
      <c r="N1180" s="193"/>
      <c r="O1180" s="193"/>
      <c r="P1180" s="193"/>
      <c r="Q1180" s="193"/>
      <c r="R1180" s="193"/>
      <c r="S1180" s="193"/>
      <c r="T1180" s="193"/>
      <c r="U1180" s="193"/>
      <c r="V1180" s="193"/>
    </row>
    <row r="1181" spans="14:22" x14ac:dyDescent="0.2">
      <c r="N1181" s="193"/>
      <c r="O1181" s="193"/>
      <c r="P1181" s="193"/>
      <c r="Q1181" s="193"/>
      <c r="R1181" s="193"/>
      <c r="S1181" s="193"/>
      <c r="T1181" s="193"/>
      <c r="U1181" s="193"/>
      <c r="V1181" s="193"/>
    </row>
    <row r="1182" spans="14:22" x14ac:dyDescent="0.2">
      <c r="N1182" s="193"/>
      <c r="O1182" s="193"/>
      <c r="P1182" s="193"/>
      <c r="Q1182" s="193"/>
      <c r="R1182" s="193"/>
      <c r="S1182" s="193"/>
      <c r="T1182" s="193"/>
      <c r="U1182" s="193"/>
      <c r="V1182" s="193"/>
    </row>
    <row r="1183" spans="14:22" x14ac:dyDescent="0.2">
      <c r="N1183" s="193"/>
      <c r="O1183" s="193"/>
      <c r="P1183" s="193"/>
      <c r="Q1183" s="193"/>
      <c r="R1183" s="193"/>
      <c r="S1183" s="193"/>
      <c r="T1183" s="193"/>
      <c r="U1183" s="193"/>
      <c r="V1183" s="193"/>
    </row>
    <row r="1184" spans="14:22" x14ac:dyDescent="0.2">
      <c r="N1184" s="193"/>
      <c r="O1184" s="193"/>
      <c r="P1184" s="193"/>
      <c r="Q1184" s="193"/>
      <c r="R1184" s="193"/>
      <c r="S1184" s="193"/>
      <c r="T1184" s="193"/>
      <c r="U1184" s="193"/>
      <c r="V1184" s="193"/>
    </row>
    <row r="1185" spans="14:22" x14ac:dyDescent="0.2">
      <c r="N1185" s="193"/>
      <c r="O1185" s="193"/>
      <c r="P1185" s="193"/>
      <c r="Q1185" s="193"/>
      <c r="R1185" s="193"/>
      <c r="S1185" s="193"/>
      <c r="T1185" s="193"/>
      <c r="U1185" s="193"/>
      <c r="V1185" s="193"/>
    </row>
    <row r="1186" spans="14:22" x14ac:dyDescent="0.2">
      <c r="N1186" s="193"/>
      <c r="O1186" s="193"/>
      <c r="P1186" s="193"/>
      <c r="Q1186" s="193"/>
      <c r="R1186" s="193"/>
      <c r="S1186" s="193"/>
      <c r="T1186" s="193"/>
      <c r="U1186" s="193"/>
      <c r="V1186" s="193"/>
    </row>
    <row r="1187" spans="14:22" x14ac:dyDescent="0.2">
      <c r="N1187" s="193"/>
      <c r="O1187" s="193"/>
      <c r="P1187" s="193"/>
      <c r="Q1187" s="193"/>
      <c r="R1187" s="193"/>
      <c r="S1187" s="193"/>
      <c r="T1187" s="193"/>
      <c r="U1187" s="193"/>
      <c r="V1187" s="193"/>
    </row>
    <row r="1188" spans="14:22" x14ac:dyDescent="0.2">
      <c r="N1188" s="193"/>
      <c r="O1188" s="193"/>
      <c r="P1188" s="193"/>
      <c r="Q1188" s="193"/>
      <c r="R1188" s="193"/>
      <c r="S1188" s="193"/>
      <c r="T1188" s="193"/>
      <c r="U1188" s="193"/>
      <c r="V1188" s="193"/>
    </row>
    <row r="1189" spans="14:22" x14ac:dyDescent="0.2">
      <c r="N1189" s="193"/>
      <c r="O1189" s="193"/>
      <c r="P1189" s="193"/>
      <c r="Q1189" s="193"/>
      <c r="R1189" s="193"/>
      <c r="S1189" s="193"/>
      <c r="T1189" s="193"/>
      <c r="U1189" s="193"/>
      <c r="V1189" s="193"/>
    </row>
    <row r="1190" spans="14:22" x14ac:dyDescent="0.2">
      <c r="N1190" s="193"/>
      <c r="O1190" s="193"/>
      <c r="P1190" s="193"/>
      <c r="Q1190" s="193"/>
      <c r="R1190" s="193"/>
      <c r="S1190" s="193"/>
      <c r="T1190" s="193"/>
      <c r="U1190" s="193"/>
      <c r="V1190" s="193"/>
    </row>
    <row r="1191" spans="14:22" x14ac:dyDescent="0.2">
      <c r="N1191" s="193"/>
      <c r="O1191" s="193"/>
      <c r="P1191" s="193"/>
      <c r="Q1191" s="193"/>
      <c r="R1191" s="193"/>
      <c r="S1191" s="193"/>
      <c r="T1191" s="193"/>
      <c r="U1191" s="193"/>
      <c r="V1191" s="193"/>
    </row>
    <row r="1192" spans="14:22" x14ac:dyDescent="0.2">
      <c r="N1192" s="193"/>
      <c r="O1192" s="193"/>
      <c r="P1192" s="193"/>
      <c r="Q1192" s="193"/>
      <c r="R1192" s="193"/>
      <c r="S1192" s="193"/>
      <c r="T1192" s="193"/>
      <c r="U1192" s="193"/>
      <c r="V1192" s="193"/>
    </row>
    <row r="1193" spans="14:22" x14ac:dyDescent="0.2">
      <c r="N1193" s="193"/>
      <c r="O1193" s="193"/>
      <c r="P1193" s="193"/>
      <c r="Q1193" s="193"/>
      <c r="R1193" s="193"/>
      <c r="S1193" s="193"/>
      <c r="T1193" s="193"/>
      <c r="U1193" s="193"/>
      <c r="V1193" s="193"/>
    </row>
    <row r="1194" spans="14:22" x14ac:dyDescent="0.2">
      <c r="N1194" s="193"/>
      <c r="O1194" s="193"/>
      <c r="P1194" s="193"/>
      <c r="Q1194" s="193"/>
      <c r="R1194" s="193"/>
      <c r="S1194" s="193"/>
      <c r="T1194" s="193"/>
      <c r="U1194" s="193"/>
      <c r="V1194" s="193"/>
    </row>
    <row r="1195" spans="14:22" x14ac:dyDescent="0.2">
      <c r="N1195" s="193"/>
      <c r="O1195" s="193"/>
      <c r="P1195" s="193"/>
      <c r="Q1195" s="193"/>
      <c r="R1195" s="193"/>
      <c r="S1195" s="193"/>
      <c r="T1195" s="193"/>
      <c r="U1195" s="193"/>
      <c r="V1195" s="193"/>
    </row>
    <row r="1196" spans="14:22" x14ac:dyDescent="0.2">
      <c r="N1196" s="193"/>
      <c r="O1196" s="193"/>
      <c r="P1196" s="193"/>
      <c r="Q1196" s="193"/>
      <c r="R1196" s="193"/>
      <c r="S1196" s="193"/>
      <c r="T1196" s="193"/>
      <c r="U1196" s="193"/>
      <c r="V1196" s="193"/>
    </row>
    <row r="1197" spans="14:22" x14ac:dyDescent="0.2">
      <c r="N1197" s="193"/>
      <c r="O1197" s="193"/>
      <c r="P1197" s="193"/>
      <c r="Q1197" s="193"/>
      <c r="R1197" s="193"/>
      <c r="S1197" s="193"/>
      <c r="T1197" s="193"/>
      <c r="U1197" s="193"/>
      <c r="V1197" s="193"/>
    </row>
    <row r="1198" spans="14:22" x14ac:dyDescent="0.2">
      <c r="N1198" s="193"/>
      <c r="O1198" s="193"/>
      <c r="P1198" s="193"/>
      <c r="Q1198" s="193"/>
      <c r="R1198" s="193"/>
      <c r="S1198" s="193"/>
      <c r="T1198" s="193"/>
      <c r="U1198" s="193"/>
      <c r="V1198" s="193"/>
    </row>
    <row r="1199" spans="14:22" x14ac:dyDescent="0.2">
      <c r="N1199" s="193"/>
      <c r="O1199" s="193"/>
      <c r="P1199" s="193"/>
      <c r="Q1199" s="193"/>
      <c r="R1199" s="193"/>
      <c r="S1199" s="193"/>
      <c r="T1199" s="193"/>
      <c r="U1199" s="193"/>
      <c r="V1199" s="193"/>
    </row>
    <row r="1200" spans="14:22" x14ac:dyDescent="0.2">
      <c r="N1200" s="193"/>
      <c r="O1200" s="193"/>
      <c r="P1200" s="193"/>
      <c r="Q1200" s="193"/>
      <c r="R1200" s="193"/>
      <c r="S1200" s="193"/>
      <c r="T1200" s="193"/>
      <c r="U1200" s="193"/>
      <c r="V1200" s="193"/>
    </row>
    <row r="1201" spans="14:22" x14ac:dyDescent="0.2">
      <c r="N1201" s="193"/>
      <c r="O1201" s="193"/>
      <c r="P1201" s="193"/>
      <c r="Q1201" s="193"/>
      <c r="R1201" s="193"/>
      <c r="S1201" s="193"/>
      <c r="T1201" s="193"/>
      <c r="U1201" s="193"/>
      <c r="V1201" s="193"/>
    </row>
    <row r="1202" spans="14:22" x14ac:dyDescent="0.2">
      <c r="N1202" s="193"/>
      <c r="O1202" s="193"/>
      <c r="P1202" s="193"/>
      <c r="Q1202" s="193"/>
      <c r="R1202" s="193"/>
      <c r="S1202" s="193"/>
      <c r="T1202" s="193"/>
      <c r="U1202" s="193"/>
      <c r="V1202" s="193"/>
    </row>
    <row r="1203" spans="14:22" x14ac:dyDescent="0.2">
      <c r="N1203" s="193"/>
      <c r="O1203" s="193"/>
      <c r="P1203" s="193"/>
      <c r="Q1203" s="193"/>
      <c r="R1203" s="193"/>
      <c r="S1203" s="193"/>
      <c r="T1203" s="193"/>
      <c r="U1203" s="193"/>
      <c r="V1203" s="193"/>
    </row>
    <row r="1204" spans="14:22" x14ac:dyDescent="0.2">
      <c r="N1204" s="193"/>
      <c r="O1204" s="193"/>
      <c r="P1204" s="193"/>
      <c r="Q1204" s="193"/>
      <c r="R1204" s="193"/>
      <c r="S1204" s="193"/>
      <c r="T1204" s="193"/>
      <c r="U1204" s="193"/>
      <c r="V1204" s="193"/>
    </row>
    <row r="1205" spans="14:22" x14ac:dyDescent="0.2">
      <c r="N1205" s="193"/>
      <c r="O1205" s="193"/>
      <c r="P1205" s="193"/>
      <c r="Q1205" s="193"/>
      <c r="R1205" s="193"/>
      <c r="S1205" s="193"/>
      <c r="T1205" s="193"/>
      <c r="U1205" s="193"/>
      <c r="V1205" s="193"/>
    </row>
    <row r="1206" spans="14:22" x14ac:dyDescent="0.2">
      <c r="N1206" s="193"/>
      <c r="O1206" s="193"/>
      <c r="P1206" s="193"/>
      <c r="Q1206" s="193"/>
      <c r="R1206" s="193"/>
      <c r="S1206" s="193"/>
      <c r="T1206" s="193"/>
      <c r="U1206" s="193"/>
      <c r="V1206" s="193"/>
    </row>
    <row r="1207" spans="14:22" x14ac:dyDescent="0.2">
      <c r="N1207" s="193"/>
      <c r="O1207" s="193"/>
      <c r="P1207" s="193"/>
      <c r="Q1207" s="193"/>
      <c r="R1207" s="193"/>
      <c r="S1207" s="193"/>
      <c r="T1207" s="193"/>
      <c r="U1207" s="193"/>
      <c r="V1207" s="193"/>
    </row>
    <row r="1208" spans="14:22" x14ac:dyDescent="0.2">
      <c r="N1208" s="193"/>
      <c r="O1208" s="193"/>
      <c r="P1208" s="193"/>
      <c r="Q1208" s="193"/>
      <c r="R1208" s="193"/>
      <c r="S1208" s="193"/>
      <c r="T1208" s="193"/>
      <c r="U1208" s="193"/>
      <c r="V1208" s="193"/>
    </row>
    <row r="1209" spans="14:22" x14ac:dyDescent="0.2">
      <c r="N1209" s="193"/>
      <c r="O1209" s="193"/>
      <c r="P1209" s="193"/>
      <c r="Q1209" s="193"/>
      <c r="R1209" s="193"/>
      <c r="S1209" s="193"/>
      <c r="T1209" s="193"/>
      <c r="U1209" s="193"/>
      <c r="V1209" s="193"/>
    </row>
    <row r="1210" spans="14:22" x14ac:dyDescent="0.2">
      <c r="N1210" s="193"/>
      <c r="O1210" s="193"/>
      <c r="P1210" s="193"/>
      <c r="Q1210" s="193"/>
      <c r="R1210" s="193"/>
      <c r="S1210" s="193"/>
      <c r="T1210" s="193"/>
      <c r="U1210" s="193"/>
      <c r="V1210" s="193"/>
    </row>
    <row r="1211" spans="14:22" x14ac:dyDescent="0.2">
      <c r="N1211" s="193"/>
      <c r="O1211" s="193"/>
      <c r="P1211" s="193"/>
      <c r="Q1211" s="193"/>
      <c r="R1211" s="193"/>
      <c r="S1211" s="193"/>
      <c r="T1211" s="193"/>
      <c r="U1211" s="193"/>
      <c r="V1211" s="193"/>
    </row>
    <row r="1212" spans="14:22" x14ac:dyDescent="0.2">
      <c r="N1212" s="193"/>
      <c r="O1212" s="193"/>
      <c r="P1212" s="193"/>
      <c r="Q1212" s="193"/>
      <c r="R1212" s="193"/>
      <c r="S1212" s="193"/>
      <c r="T1212" s="193"/>
      <c r="U1212" s="193"/>
      <c r="V1212" s="193"/>
    </row>
    <row r="1213" spans="14:22" x14ac:dyDescent="0.2">
      <c r="N1213" s="193"/>
      <c r="O1213" s="193"/>
      <c r="P1213" s="193"/>
      <c r="Q1213" s="193"/>
      <c r="R1213" s="193"/>
      <c r="S1213" s="193"/>
      <c r="T1213" s="193"/>
      <c r="U1213" s="193"/>
      <c r="V1213" s="193"/>
    </row>
    <row r="1214" spans="14:22" x14ac:dyDescent="0.2">
      <c r="N1214" s="193"/>
      <c r="O1214" s="193"/>
      <c r="P1214" s="193"/>
      <c r="Q1214" s="193"/>
      <c r="R1214" s="193"/>
      <c r="S1214" s="193"/>
      <c r="T1214" s="193"/>
      <c r="U1214" s="193"/>
      <c r="V1214" s="193"/>
    </row>
    <row r="1215" spans="14:22" x14ac:dyDescent="0.2">
      <c r="N1215" s="193"/>
      <c r="O1215" s="193"/>
      <c r="P1215" s="193"/>
      <c r="Q1215" s="193"/>
      <c r="R1215" s="193"/>
      <c r="S1215" s="193"/>
      <c r="T1215" s="193"/>
      <c r="U1215" s="193"/>
      <c r="V1215" s="193"/>
    </row>
    <row r="1216" spans="14:22" x14ac:dyDescent="0.2">
      <c r="N1216" s="193"/>
      <c r="O1216" s="193"/>
      <c r="P1216" s="193"/>
      <c r="Q1216" s="193"/>
      <c r="R1216" s="193"/>
      <c r="S1216" s="193"/>
      <c r="T1216" s="193"/>
      <c r="U1216" s="193"/>
      <c r="V1216" s="193"/>
    </row>
    <row r="1217" spans="14:22" x14ac:dyDescent="0.2">
      <c r="N1217" s="193"/>
      <c r="O1217" s="193"/>
      <c r="P1217" s="193"/>
      <c r="Q1217" s="193"/>
      <c r="R1217" s="193"/>
      <c r="S1217" s="193"/>
      <c r="T1217" s="193"/>
      <c r="U1217" s="193"/>
      <c r="V1217" s="193"/>
    </row>
    <row r="1218" spans="14:22" x14ac:dyDescent="0.2">
      <c r="N1218" s="193"/>
      <c r="O1218" s="193"/>
      <c r="P1218" s="193"/>
      <c r="Q1218" s="193"/>
      <c r="R1218" s="193"/>
      <c r="S1218" s="193"/>
      <c r="T1218" s="193"/>
      <c r="U1218" s="193"/>
      <c r="V1218" s="193"/>
    </row>
    <row r="1219" spans="14:22" x14ac:dyDescent="0.2">
      <c r="N1219" s="193"/>
      <c r="O1219" s="193"/>
      <c r="P1219" s="193"/>
      <c r="Q1219" s="193"/>
      <c r="R1219" s="193"/>
      <c r="S1219" s="193"/>
      <c r="T1219" s="193"/>
      <c r="U1219" s="193"/>
      <c r="V1219" s="193"/>
    </row>
    <row r="1220" spans="14:22" x14ac:dyDescent="0.2">
      <c r="N1220" s="193"/>
      <c r="O1220" s="193"/>
      <c r="P1220" s="193"/>
      <c r="Q1220" s="193"/>
      <c r="R1220" s="193"/>
      <c r="S1220" s="193"/>
      <c r="T1220" s="193"/>
      <c r="U1220" s="193"/>
      <c r="V1220" s="193"/>
    </row>
    <row r="1221" spans="14:22" x14ac:dyDescent="0.2">
      <c r="N1221" s="193"/>
      <c r="O1221" s="193"/>
      <c r="P1221" s="193"/>
      <c r="Q1221" s="193"/>
      <c r="R1221" s="193"/>
      <c r="S1221" s="193"/>
      <c r="T1221" s="193"/>
      <c r="U1221" s="193"/>
      <c r="V1221" s="193"/>
    </row>
    <row r="1222" spans="14:22" x14ac:dyDescent="0.2">
      <c r="N1222" s="193"/>
      <c r="O1222" s="193"/>
      <c r="P1222" s="193"/>
      <c r="Q1222" s="193"/>
      <c r="R1222" s="193"/>
      <c r="S1222" s="193"/>
      <c r="T1222" s="193"/>
      <c r="U1222" s="193"/>
      <c r="V1222" s="193"/>
    </row>
    <row r="1223" spans="14:22" x14ac:dyDescent="0.2">
      <c r="N1223" s="193"/>
      <c r="O1223" s="193"/>
      <c r="P1223" s="193"/>
      <c r="Q1223" s="193"/>
      <c r="R1223" s="193"/>
      <c r="S1223" s="193"/>
      <c r="T1223" s="193"/>
      <c r="U1223" s="193"/>
      <c r="V1223" s="193"/>
    </row>
  </sheetData>
  <sheetProtection password="B7F5" sheet="1" objects="1" scenarios="1"/>
  <mergeCells count="32">
    <mergeCell ref="D38:K38"/>
    <mergeCell ref="D39:K39"/>
    <mergeCell ref="C10:C12"/>
    <mergeCell ref="D10:K12"/>
    <mergeCell ref="C38:C39"/>
    <mergeCell ref="D17:K17"/>
    <mergeCell ref="D18:K18"/>
    <mergeCell ref="D21:K21"/>
    <mergeCell ref="D22:K22"/>
    <mergeCell ref="D23:K23"/>
    <mergeCell ref="D24:K24"/>
    <mergeCell ref="D25:K25"/>
    <mergeCell ref="D26:K26"/>
    <mergeCell ref="D29:K29"/>
    <mergeCell ref="C23:C26"/>
    <mergeCell ref="C27:C30"/>
    <mergeCell ref="D27:K28"/>
    <mergeCell ref="C31:C34"/>
    <mergeCell ref="D31:K32"/>
    <mergeCell ref="C35:C37"/>
    <mergeCell ref="D30:K30"/>
    <mergeCell ref="D33:K33"/>
    <mergeCell ref="D34:K34"/>
    <mergeCell ref="D35:K35"/>
    <mergeCell ref="D36:K36"/>
    <mergeCell ref="D37:K37"/>
    <mergeCell ref="C13:C14"/>
    <mergeCell ref="D13:K14"/>
    <mergeCell ref="C15:C18"/>
    <mergeCell ref="D15:K16"/>
    <mergeCell ref="C19:C22"/>
    <mergeCell ref="D19:K20"/>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6</vt:i4>
      </vt:variant>
    </vt:vector>
  </HeadingPairs>
  <TitlesOfParts>
    <vt:vector size="15" baseType="lpstr">
      <vt:lpstr>Inicio</vt:lpstr>
      <vt:lpstr>IndAnual</vt:lpstr>
      <vt:lpstr>CotIndAnu</vt:lpstr>
      <vt:lpstr>FamAnual</vt:lpstr>
      <vt:lpstr>CotFamAnu</vt:lpstr>
      <vt:lpstr>IndCPlzo</vt:lpstr>
      <vt:lpstr>CotIndCPz</vt:lpstr>
      <vt:lpstr>Tarifas</vt:lpstr>
      <vt:lpstr>Tipos de Riesgo</vt:lpstr>
      <vt:lpstr>CotFamAnu!Área_de_impresión</vt:lpstr>
      <vt:lpstr>CotIndAnu!Área_de_impresión</vt:lpstr>
      <vt:lpstr>CotIndCPz!Área_de_impresión</vt:lpstr>
      <vt:lpstr>CotFamAnu!Títulos_a_imprimir</vt:lpstr>
      <vt:lpstr>CotIndAnu!Títulos_a_imprimir</vt:lpstr>
      <vt:lpstr>CotIndCPz!Títulos_a_imprimir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Hernandez Alanis, Carlos Francisco</dc:creator>
  <cp:lastModifiedBy>Marron Langarica, Mabel</cp:lastModifiedBy>
  <cp:lastPrinted>2017-03-09T02:11:37Z</cp:lastPrinted>
  <dcterms:created xsi:type="dcterms:W3CDTF">2017-03-07T21:33:13Z</dcterms:created>
  <dcterms:modified xsi:type="dcterms:W3CDTF">2018-01-03T16:22:51Z</dcterms:modified>
</cp:coreProperties>
</file>