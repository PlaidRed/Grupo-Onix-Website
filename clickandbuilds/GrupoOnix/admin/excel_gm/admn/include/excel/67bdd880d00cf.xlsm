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4eJzOQmf/AgJcGkSegxVG+Z54IBqDaB9Rw8awaFl2G+b0F97iTss8hlxWIWNy8og/5pbbJnUez+lKtb2IlTCXw==" workbookSaltValue="TiDPJnXby0tO/evSC8D7+A==" workbookSpinCount="100000" lockStructure="1"/>
  <bookViews>
    <workbookView xWindow="0" yWindow="0" windowWidth="19200" windowHeight="673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2" l="1"/>
  <c r="G18" i="2" s="1"/>
  <c r="G22" i="2" l="1"/>
  <c r="S3" i="2" l="1"/>
  <c r="O7" i="2"/>
  <c r="O3" i="2"/>
  <c r="K21" i="2" l="1"/>
  <c r="G21" i="2" s="1"/>
  <c r="K23" i="2"/>
  <c r="G23" i="2" s="1"/>
  <c r="K19" i="2"/>
  <c r="G19" i="2" s="1"/>
  <c r="B44" i="13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T18" i="2"/>
  <c r="K20" i="2" l="1"/>
  <c r="G20" i="2" s="1"/>
  <c r="Q21" i="2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G70" i="11" s="1"/>
  <c r="I70" i="11" s="1"/>
  <c r="K70" i="11" s="1"/>
  <c r="H47" i="15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N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31" i="2"/>
  <c r="G31" i="2" s="1"/>
  <c r="I31" i="2" s="1"/>
  <c r="K31" i="2" s="1"/>
  <c r="D62" i="2"/>
  <c r="F62" i="2" s="1"/>
  <c r="H62" i="2" s="1"/>
  <c r="J62" i="2" s="1"/>
  <c r="C33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M56" i="11"/>
  <c r="N70" i="11"/>
  <c r="G68" i="11" l="1"/>
  <c r="I68" i="11" s="1"/>
  <c r="K68" i="11" s="1"/>
  <c r="H45" i="15" s="1"/>
  <c r="N33" i="11"/>
  <c r="E55" i="2"/>
  <c r="G49" i="11"/>
  <c r="I49" i="11" s="1"/>
  <c r="K49" i="11" s="1"/>
  <c r="H26" i="15" s="1"/>
  <c r="E39" i="10"/>
  <c r="G39" i="10" s="1"/>
  <c r="I39" i="10" s="1"/>
  <c r="K39" i="10" s="1"/>
  <c r="L29" i="15" s="1"/>
  <c r="E45" i="2"/>
  <c r="G45" i="2" s="1"/>
  <c r="I45" i="2" s="1"/>
  <c r="K45" i="2" s="1"/>
  <c r="D16" i="15" s="1"/>
  <c r="E31" i="11"/>
  <c r="G31" i="11" s="1"/>
  <c r="I31" i="11" s="1"/>
  <c r="K31" i="11" s="1"/>
  <c r="G57" i="11"/>
  <c r="I57" i="11" s="1"/>
  <c r="K57" i="11" s="1"/>
  <c r="H34" i="15" s="1"/>
  <c r="G78" i="11"/>
  <c r="I78" i="11" s="1"/>
  <c r="K78" i="11" s="1"/>
  <c r="H55" i="15" s="1"/>
  <c r="E90" i="11"/>
  <c r="N90" i="11" s="1"/>
  <c r="D103" i="11"/>
  <c r="M103" i="11" s="1"/>
  <c r="D95" i="2"/>
  <c r="F95" i="2" s="1"/>
  <c r="H95" i="2" s="1"/>
  <c r="J95" i="2" s="1"/>
  <c r="C66" i="15" s="1"/>
  <c r="E84" i="2"/>
  <c r="G84" i="2" s="1"/>
  <c r="I84" i="2" s="1"/>
  <c r="K84" i="2" s="1"/>
  <c r="D55" i="15" s="1"/>
  <c r="E37" i="2"/>
  <c r="G37" i="2" s="1"/>
  <c r="I37" i="2" s="1"/>
  <c r="K37" i="2" s="1"/>
  <c r="D85" i="15" s="1"/>
  <c r="F49" i="11"/>
  <c r="H49" i="11" s="1"/>
  <c r="J49" i="11" s="1"/>
  <c r="G26" i="15" s="1"/>
  <c r="D45" i="2"/>
  <c r="F45" i="2" s="1"/>
  <c r="H45" i="2" s="1"/>
  <c r="J45" i="2" s="1"/>
  <c r="C16" i="15" s="1"/>
  <c r="N28" i="1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G76" i="2" s="1"/>
  <c r="I76" i="2" s="1"/>
  <c r="K76" i="2" s="1"/>
  <c r="D47" i="15" s="1"/>
  <c r="E62" i="2"/>
  <c r="G62" i="2" s="1"/>
  <c r="I62" i="2" s="1"/>
  <c r="K62" i="2" s="1"/>
  <c r="D33" i="15" s="1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G55" i="2"/>
  <c r="I55" i="2" s="1"/>
  <c r="K55" i="2" s="1"/>
  <c r="D26" i="15" s="1"/>
  <c r="I81" i="11"/>
  <c r="K81" i="11" s="1"/>
  <c r="H58" i="15" s="1"/>
  <c r="I91" i="11"/>
  <c r="K91" i="11" s="1"/>
  <c r="H39" i="10"/>
  <c r="J39" i="10" s="1"/>
  <c r="K29" i="15" s="1"/>
  <c r="I28" i="2"/>
  <c r="K28" i="2" s="1"/>
  <c r="I38" i="10"/>
  <c r="K38" i="10" s="1"/>
  <c r="L28" i="15" s="1"/>
  <c r="H41" i="10"/>
  <c r="J41" i="10" s="1"/>
  <c r="K31" i="15" s="1"/>
  <c r="I24" i="10"/>
  <c r="K24" i="10" s="1"/>
  <c r="M94" i="11" l="1"/>
  <c r="N31" i="11"/>
  <c r="G25" i="11"/>
  <c r="I25" i="11" s="1"/>
  <c r="K25" i="11" s="1"/>
  <c r="G90" i="11"/>
  <c r="I90" i="11" s="1"/>
  <c r="K90" i="11" s="1"/>
  <c r="H67" i="15" s="1"/>
  <c r="F103" i="11"/>
  <c r="H103" i="11" s="1"/>
  <c r="J103" i="11" s="1"/>
  <c r="N22" i="11"/>
  <c r="G95" i="11"/>
  <c r="I95" i="11" s="1"/>
  <c r="K95" i="11" s="1"/>
  <c r="F72" i="11"/>
  <c r="H72" i="11" s="1"/>
  <c r="J72" i="11" s="1"/>
  <c r="G49" i="15" s="1"/>
  <c r="G103" i="11"/>
  <c r="I103" i="11" s="1"/>
  <c r="K103" i="11" s="1"/>
  <c r="N23" i="1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I55" i="11" l="1"/>
  <c r="K55" i="11" s="1"/>
  <c r="H32" i="15" s="1"/>
  <c r="K74" i="16"/>
  <c r="K81" i="16" s="1"/>
  <c r="H29" i="13" l="1"/>
  <c r="I227" i="13" s="1"/>
  <c r="H28" i="13"/>
  <c r="H30" i="13"/>
  <c r="E91" i="16"/>
  <c r="E90" i="16"/>
  <c r="G90" i="16" s="1"/>
  <c r="K83" i="16"/>
  <c r="K84" i="16" s="1"/>
  <c r="K85" i="16" s="1"/>
  <c r="K86" i="16" s="1"/>
  <c r="H27" i="13" s="1"/>
  <c r="J27" i="13" s="1"/>
  <c r="E92" i="16" l="1"/>
  <c r="I29" i="13"/>
  <c r="J29" i="13" s="1"/>
  <c r="I225" i="13"/>
  <c r="I228" i="13"/>
  <c r="I30" i="13"/>
  <c r="E93" i="16"/>
  <c r="I28" i="13"/>
  <c r="J28" i="13" s="1"/>
  <c r="I226" i="13"/>
  <c r="J30" i="13" l="1"/>
  <c r="F93" i="16"/>
  <c r="G93" i="16" s="1"/>
  <c r="F91" i="16"/>
  <c r="G91" i="16" s="1"/>
  <c r="F92" i="16"/>
  <c r="G92" i="16" s="1"/>
</calcChain>
</file>

<file path=xl/sharedStrings.xml><?xml version="1.0" encoding="utf-8"?>
<sst xmlns="http://schemas.openxmlformats.org/spreadsheetml/2006/main" count="749" uniqueCount="360">
  <si>
    <t>DEDUCIBLE</t>
  </si>
  <si>
    <t>COASEGURO</t>
  </si>
  <si>
    <t>EMERGENCIA EN EL EXTRANJERO</t>
  </si>
  <si>
    <t>DED CERO POR ACC</t>
  </si>
  <si>
    <t>COSTO</t>
  </si>
  <si>
    <t>RPF</t>
  </si>
  <si>
    <t>FIJO</t>
  </si>
  <si>
    <t>CAPTURA</t>
  </si>
  <si>
    <t>% CALCULO</t>
  </si>
  <si>
    <t>NUEVOS</t>
  </si>
  <si>
    <t>SEMESTRAL</t>
  </si>
  <si>
    <t>TRIMESTRAL</t>
  </si>
  <si>
    <t>MENSUAL</t>
  </si>
  <si>
    <t>COBERTURA EN EL EXTRANJERO</t>
  </si>
  <si>
    <t>Catálogo</t>
  </si>
  <si>
    <t>FORMA DE PAGO</t>
  </si>
  <si>
    <t>A = ANUAL</t>
  </si>
  <si>
    <t>S = SEMESTRAL</t>
  </si>
  <si>
    <t>T = TRIMESTRAL</t>
  </si>
  <si>
    <t>M = MENSUAL</t>
  </si>
  <si>
    <t>Topes de COASEGURO</t>
  </si>
  <si>
    <t>NA</t>
  </si>
  <si>
    <t>$30,000</t>
  </si>
  <si>
    <t>ZONA</t>
  </si>
  <si>
    <t>FACTOR</t>
  </si>
  <si>
    <t>G.M.M. INDIVIDUAL/FAMILIAR</t>
  </si>
  <si>
    <t>SUMA ASEGURADA</t>
  </si>
  <si>
    <t>ENFERMEDADES GRAVES</t>
  </si>
  <si>
    <t>BÁSICAS</t>
  </si>
  <si>
    <t>SA PARTO O CESAREA</t>
  </si>
  <si>
    <t>250,000      a</t>
  </si>
  <si>
    <t>E D A D</t>
  </si>
  <si>
    <t>HOMBRES</t>
  </si>
  <si>
    <t>MUJERES</t>
  </si>
  <si>
    <t>Tarifa 2015-2016</t>
  </si>
  <si>
    <t>Nueva</t>
  </si>
  <si>
    <t>Renovada</t>
  </si>
  <si>
    <t>Auxiliar por zona</t>
  </si>
  <si>
    <t>Tarifas de zona 1, 2, 3 y 5</t>
  </si>
  <si>
    <t>Enero 2021 - Febrero 2021</t>
  </si>
  <si>
    <t>A</t>
  </si>
  <si>
    <t>Indicador</t>
  </si>
  <si>
    <t>Nombre de Zona</t>
  </si>
  <si>
    <t>Zona</t>
  </si>
  <si>
    <t>Auxiliar</t>
  </si>
  <si>
    <t>Zona 1</t>
  </si>
  <si>
    <t>Zona 2</t>
  </si>
  <si>
    <t>Zona 3</t>
  </si>
  <si>
    <t>Zona 4</t>
  </si>
  <si>
    <t>B</t>
  </si>
  <si>
    <t>Zona 5</t>
  </si>
  <si>
    <t>Tarifa de zona 4</t>
  </si>
  <si>
    <t>GASTOS MÉDICOS MAYORES INDIVIDUAL/FAMILIAR</t>
  </si>
  <si>
    <t>REGION COBERTURA BASICA</t>
  </si>
  <si>
    <t>Prima riesgo dental incremental</t>
  </si>
  <si>
    <t>Prima riesgo visión opcional</t>
  </si>
  <si>
    <t>Gastos</t>
  </si>
  <si>
    <t>REGIÓN:</t>
  </si>
  <si>
    <t>FACTORES</t>
  </si>
  <si>
    <t>SUMA ASEGURADA:</t>
  </si>
  <si>
    <t>Asistencias</t>
  </si>
  <si>
    <t>DEDUCIBLE:</t>
  </si>
  <si>
    <t>ELIMINACION DEDUCIBLE</t>
  </si>
  <si>
    <t>COASEGURO:</t>
  </si>
  <si>
    <t>CATALOGO:</t>
  </si>
  <si>
    <t>SUMA ASEGURADA PARTO O CESAREA</t>
  </si>
  <si>
    <t>SEGURO DE ENFERMEDADES GRAVES</t>
  </si>
  <si>
    <t>COBERTURA DE VISION</t>
  </si>
  <si>
    <t>EMERGENCIA EXTRANJERO:</t>
  </si>
  <si>
    <t>S</t>
  </si>
  <si>
    <t>COBER TOTAL EXTRANJERO:</t>
  </si>
  <si>
    <t>FORMA DE PAGO:</t>
  </si>
  <si>
    <t>PaQ Adicional</t>
  </si>
  <si>
    <t>PARTO</t>
  </si>
  <si>
    <t>*BUSCARV(G16,FACTORES!$F$30:$G$35,2,0)</t>
  </si>
  <si>
    <t>Legrado</t>
  </si>
  <si>
    <t>DENTAL</t>
  </si>
  <si>
    <t>Donacion de organos</t>
  </si>
  <si>
    <t>PAQ_ADIC</t>
  </si>
  <si>
    <t>ASIST_IKE</t>
  </si>
  <si>
    <t>Renta</t>
  </si>
  <si>
    <t>EDUCA</t>
  </si>
  <si>
    <t>Enfermedades catastroficas</t>
  </si>
  <si>
    <t>VISION</t>
  </si>
  <si>
    <t>Transtornos</t>
  </si>
  <si>
    <t xml:space="preserve">PRIMA BASE </t>
  </si>
  <si>
    <t xml:space="preserve">PRIMA TARIFA </t>
  </si>
  <si>
    <t>R P FRAC</t>
  </si>
  <si>
    <t>PRIMA TOTAL</t>
  </si>
  <si>
    <t>Lente intracular</t>
  </si>
  <si>
    <t>REGIONALIZADA</t>
  </si>
  <si>
    <t>DER POLIZA</t>
  </si>
  <si>
    <t>IVA</t>
  </si>
  <si>
    <t>terapia</t>
  </si>
  <si>
    <t>EDAD</t>
  </si>
  <si>
    <t>HOMBRE</t>
  </si>
  <si>
    <t>MUJER</t>
  </si>
  <si>
    <t>C</t>
  </si>
  <si>
    <t>TARIFA CONYUGUE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</si>
  <si>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</si>
  <si>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</si>
  <si>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</si>
  <si>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NO.</t>
  </si>
  <si>
    <t>REGIÓN</t>
  </si>
  <si>
    <t>CAMPECHE, CHIAPAS, GUERRERO, OAXACA, PUEBLA, QUINTANA ROO, TABASCO, TLAXCALA, VERACRUZ, YUCATAN</t>
  </si>
  <si>
    <t>HIDALGO, NAYARIT</t>
  </si>
  <si>
    <t>AGUASCALIENTES, COAHUILA, COLIMA, DURANGO, GUANAJUATO, JALISCO, MICHOACAN, ZACATECAS</t>
  </si>
  <si>
    <t>CHIHUAHUA, NUEVO LEON, TAMAULIPAS</t>
  </si>
  <si>
    <t>BAJA CALIFORNIA, BAJA CALIFORNIA SUR, MORELOS, QUERETARO, SAN LUIS POTOSI, SINALOA, SONORA</t>
  </si>
  <si>
    <t>DISTRITO FEDERAL, EDO. DE MEXICO</t>
  </si>
  <si>
    <t>ANUAL</t>
  </si>
  <si>
    <t xml:space="preserve"> EMERGENCIA EN EL EXTRANJERO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</si>
  <si>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</si>
  <si>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</si>
  <si>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</si>
  <si>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</si>
  <si>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</si>
  <si>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</si>
  <si>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</si>
  <si>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CUADRO DE COBERTURAS</t>
  </si>
  <si>
    <t>-</t>
  </si>
  <si>
    <t>Tipo de Hospital</t>
  </si>
  <si>
    <t>Todos los hospitales</t>
  </si>
  <si>
    <t>Suma Asegurada</t>
  </si>
  <si>
    <t>Deducible</t>
  </si>
  <si>
    <t>Enfermedad</t>
  </si>
  <si>
    <t>M.N.</t>
  </si>
  <si>
    <t>Accidente</t>
  </si>
  <si>
    <t>Coaseguro</t>
  </si>
  <si>
    <t xml:space="preserve">En atención en Hospiten aplica deducible y coaseguro </t>
  </si>
  <si>
    <t>DATOS DE LA PÓLIZA</t>
  </si>
  <si>
    <t>Tipo de Póliza</t>
  </si>
  <si>
    <t xml:space="preserve">NUEVA </t>
  </si>
  <si>
    <t>Primera vigencia emitida en Seguros Banorte</t>
  </si>
  <si>
    <t>A PARTIR DEL 01/10/2016</t>
  </si>
  <si>
    <t>TIPO DE COTIZACIÓN</t>
  </si>
  <si>
    <t>INDIVIDUAL</t>
  </si>
  <si>
    <t>Estado</t>
  </si>
  <si>
    <t>CIUDAD DE MÉXICO</t>
  </si>
  <si>
    <t>Región</t>
  </si>
  <si>
    <t>Eliminación de deducible por accidente</t>
  </si>
  <si>
    <t>NO</t>
  </si>
  <si>
    <t>Suma Asegurada Parto o Cesárea</t>
  </si>
  <si>
    <t>Cobertura de Visión Incremental</t>
  </si>
  <si>
    <t>Cobertura de Indemnización por Enfermedad Grave</t>
  </si>
  <si>
    <t>DESCUENTO</t>
  </si>
  <si>
    <t>ASEGURADO</t>
  </si>
  <si>
    <t>NOMBRE</t>
  </si>
  <si>
    <t>SEXO</t>
  </si>
  <si>
    <t>Forma de Pago</t>
  </si>
  <si>
    <t>Primer Recibo</t>
  </si>
  <si>
    <t>Recibos Subsecuentes</t>
  </si>
  <si>
    <t>Total</t>
  </si>
  <si>
    <t>Titular</t>
  </si>
  <si>
    <t>RECARGOS POR PAGO FRACCIONADO</t>
  </si>
  <si>
    <t>%</t>
  </si>
  <si>
    <t>AGENTE</t>
  </si>
  <si>
    <t>FAVOR de Verificar si estos factores son los vigentes</t>
  </si>
  <si>
    <t>Agente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</si>
  <si>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</si>
  <si>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OAXACA, TABASCO, VERACRUZ, CAMPECHE, YUCATAN, CHIAPAS, GUERRERO</t>
  </si>
  <si>
    <t>PUEBLA, TLAXCALA, HIDALGO, NAYARIT</t>
  </si>
  <si>
    <t>AGUASCALIENTES, GUANAJUATO, JALISCO, MICHOACAN, COLIMA,ZACATECAS</t>
  </si>
  <si>
    <t>COAHUILA, TAMAULIPAS, NUEVO LEON, DURANGO, CHIHUAHUA</t>
  </si>
  <si>
    <t>SAN LUIS POTOSI, BAJA CALIFORNIA NORTE, BAJA CALIFORNIA SUR, SINALOA, SONORA, QUERETARO, MORELOS, QUINTANA ROO</t>
  </si>
  <si>
    <t>FP</t>
  </si>
  <si>
    <t>T</t>
  </si>
  <si>
    <t>M</t>
  </si>
  <si>
    <t>COBERTURA EN EL EXT</t>
  </si>
  <si>
    <t>SI</t>
  </si>
  <si>
    <t>N</t>
  </si>
  <si>
    <t>DEDUCIBLE CERO POR ACC</t>
  </si>
  <si>
    <t>Catalogo</t>
  </si>
  <si>
    <t>RENOVADA</t>
  </si>
  <si>
    <t>ANTES DEL 01/10/2016</t>
  </si>
  <si>
    <t>INC EN PARTO O CESAREA</t>
  </si>
  <si>
    <t>PARTO O CESAREA</t>
  </si>
  <si>
    <t>TITULAR</t>
  </si>
  <si>
    <t>CÓNYUGE</t>
  </si>
  <si>
    <t>H</t>
  </si>
  <si>
    <t>ENF GVES</t>
  </si>
  <si>
    <t>FAMILIAR</t>
  </si>
  <si>
    <t>Anterior</t>
  </si>
  <si>
    <t>AGUASCALIENTES</t>
  </si>
  <si>
    <t>BAJA CALIFORNIA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</si>
  <si>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</si>
  <si>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</si>
  <si>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</si>
  <si>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</si>
  <si>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</si>
  <si>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</si>
  <si>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</si>
  <si>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</si>
  <si>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</si>
  <si>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</si>
  <si>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HIDALGO</t>
  </si>
  <si>
    <t>JALISCO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</si>
  <si>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</si>
  <si>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</si>
  <si>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</si>
  <si>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</si>
  <si>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</si>
  <si>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</si>
  <si>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</si>
  <si>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</si>
  <si>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</si>
  <si>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</si>
  <si>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</si>
  <si>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</si>
  <si>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</si>
  <si>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</si>
  <si>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</si>
  <si>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</si>
  <si>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</si>
  <si>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Hospitales del Plan</t>
  </si>
  <si>
    <t>Deducible por Accidente y Enfermedad</t>
  </si>
  <si>
    <t>Incremento al Catálogo</t>
  </si>
  <si>
    <t>Base de Honorarios Quirúrgicos</t>
  </si>
  <si>
    <t>Catálogo del Plan</t>
  </si>
  <si>
    <t>Honorarios por visita intrahospitalaria</t>
  </si>
  <si>
    <t>Honorarios por consulta</t>
  </si>
  <si>
    <t>Honorarios por enfermera máximo 3 turnos por día durante 30 días</t>
  </si>
  <si>
    <t>Habitación Hospital</t>
  </si>
  <si>
    <t>Privado Estándar</t>
  </si>
  <si>
    <t>Sala de operación y recuperación, medicamentos, consumo de oxígeno,</t>
  </si>
  <si>
    <t>servicios de terapia, tratamiento de diálisis y transfusiones de sangre</t>
  </si>
  <si>
    <t>Incluido</t>
  </si>
  <si>
    <t>Renta de aparatos ortopédicos y prótesis</t>
  </si>
  <si>
    <t>Ambulancia Terrestre</t>
  </si>
  <si>
    <t>Incluida</t>
  </si>
  <si>
    <t>Reinstalación automática de suma asegurada</t>
  </si>
  <si>
    <t>Gastos por donación de órganos</t>
  </si>
  <si>
    <t>Renta diaria por hospitalización en un Centro de Asistencia Social máximo 30 días</t>
  </si>
  <si>
    <t>Gastos por Parto o Cesárea del Titular, Cónyuge o hija asegurada con periodo de</t>
  </si>
  <si>
    <t>espera de 10 meses sin deducible, ni coaseguro</t>
  </si>
  <si>
    <t xml:space="preserve">Complicaciones del Embarazo y del Parto del Titular, Cónyuge o hija asegurada, </t>
  </si>
  <si>
    <t>con periodo  de espera de 10 meses, con deducible y coaseguro</t>
  </si>
  <si>
    <t>Prematurez siempre que el nacimiento ocurra después de 10 meses de</t>
  </si>
  <si>
    <t xml:space="preserve">Suma Asegurada </t>
  </si>
  <si>
    <t>alta de la madre</t>
  </si>
  <si>
    <t>Básica</t>
  </si>
  <si>
    <t>Preexistencia Declarada, con periodo de espera de 2 años, no aplica reconocimiento</t>
  </si>
  <si>
    <t>de antigüedad</t>
  </si>
  <si>
    <t>Circuncisión, con periodo de espera de 1 año, no aplica reconocimiento de antigüedad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</si>
  <si>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</si>
  <si>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</si>
  <si>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</si>
  <si>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</si>
  <si>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SIDA, siempre que el asegurado se encuentre cubierto en Seguros Banorte al</t>
  </si>
  <si>
    <t>menos 4 años ininterrumpidos</t>
  </si>
  <si>
    <t>Terapia Psicológica o Psiquiátrica</t>
  </si>
  <si>
    <t>Xifósis, lordósis y escoliosis, con periodo de espera de 2 años,</t>
  </si>
  <si>
    <t>no aplica reconocimiento de antigüedad</t>
  </si>
  <si>
    <t>Reconocimiento de Antigüedad, previa comprobación</t>
  </si>
  <si>
    <t>Cobertura Sin Límite de Edad (de acuerdo a la cláusula de edad)</t>
  </si>
  <si>
    <t>Cobertura de Visión</t>
  </si>
  <si>
    <t>Cobertura Integral Dental y Visión</t>
  </si>
  <si>
    <t>Servicios de Asistencia</t>
  </si>
  <si>
    <t>Coberturas Adicionales</t>
  </si>
  <si>
    <t>Se cobrara doble deducible y coaseguro de póliza, a los asegurados que se atiendan en Hospiten México S.A de C.V</t>
  </si>
  <si>
    <t>Si el asegurado desea tratarse en hospitales o con médicos que no sean de la red del plan, se le aplicará el deducible contratado y un coaseguro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</si>
  <si>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</si>
  <si>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</si>
  <si>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zona de tarifa contratada o en una zona menor.</t>
  </si>
  <si>
    <t>Si la atención se da con médicos y hospitales de la red del plan, pero en una zona diferente a la de contratación, se aplicará deducible y coaseguro contratado</t>
  </si>
  <si>
    <t>PARTICIPANTES</t>
  </si>
  <si>
    <t>Nombre</t>
  </si>
  <si>
    <t>Edad</t>
  </si>
  <si>
    <t>Sexo</t>
  </si>
  <si>
    <t>Parentesco</t>
  </si>
  <si>
    <t>Prima Neta</t>
  </si>
  <si>
    <t>Anual</t>
  </si>
  <si>
    <t>Prima Neta Total Anual</t>
  </si>
  <si>
    <t>Recargo por Pago Fracc.</t>
  </si>
  <si>
    <t>Derecho de Póliza</t>
  </si>
  <si>
    <t>Subtotal</t>
  </si>
  <si>
    <t>REGIÓN DE TARIFA:</t>
  </si>
  <si>
    <t>I.V.A.</t>
  </si>
  <si>
    <t>Prima Total Anual</t>
  </si>
  <si>
    <t>AGENTE:</t>
  </si>
  <si>
    <t>Forma de pago</t>
  </si>
  <si>
    <t>Primer recibo</t>
  </si>
  <si>
    <t>Recibos subsecuentes</t>
  </si>
  <si>
    <t>Notas:</t>
  </si>
  <si>
    <t>*Este producto cuenta con exclusiones y limitaciones, las cuales pueden ser consultadas en las Condiciones Generales del producto en la página</t>
  </si>
  <si>
    <t xml:space="preserve">   www.segurosbanorte.com.mx</t>
  </si>
  <si>
    <t>* Esta cotización tiene una validez de 15 días a partir de su fecha de elaboración. La edad limite de aceptación es hasta los 64 años.
* El recargo por pago fraccionado está sujeto a cambio sin previo aviso.</t>
  </si>
  <si>
    <t>Tarifa Esencial Vig: Marzo 01, 2025</t>
  </si>
  <si>
    <t>Tipo de póliza</t>
  </si>
  <si>
    <t>Región de tarifa</t>
  </si>
  <si>
    <t>Prima Total Titular</t>
  </si>
  <si>
    <t>Prima Total Cónyuge</t>
  </si>
  <si>
    <t>Prima Total Dependiente</t>
  </si>
  <si>
    <t>18</t>
  </si>
  <si>
    <t>0 - 5</t>
  </si>
  <si>
    <t>Prima Total Titular Menor de Edad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</si>
  <si>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</si>
  <si>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INSTRUCCIONES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</si>
  <si>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</si>
  <si>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t xml:space="preserve"> ¡Estamos seguros, te será de gran utilidad!</t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</si>
  <si>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</si>
  <si>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</si>
  <si>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</si>
  <si>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</si>
  <si>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</si>
  <si>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t xml:space="preserve"> (El cotizador le asignará la Región que le corresponda)</t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</si>
  <si>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</si>
  <si>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</si>
  <si>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</si>
  <si>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</si>
  <si>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</si>
  <si>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</si>
  <si>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</si>
  <si>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CAMBIOS MEDICO ESENCIAL</t>
  </si>
  <si>
    <t>HOJA FACTORES (TABLAS DE CALCULO)</t>
  </si>
  <si>
    <t>Tabla de Deducible</t>
  </si>
  <si>
    <t>Tabla de Enfermedades Graves</t>
  </si>
  <si>
    <t>Tabla de Tarifas</t>
  </si>
  <si>
    <t>Se modifica tabla de factores por región a quedar 4</t>
  </si>
  <si>
    <t>HOJA TITULAR DEL COTIZADOR (CALCULO TARIFA)</t>
  </si>
  <si>
    <t>Modificación de costos cobertura Adicionales (dental, PAQ_ADIC, ASIST_IKE, Cvisión)</t>
  </si>
  <si>
    <t>Se elimina la cobertura de Educasystem (maestro a domicilio)</t>
  </si>
  <si>
    <t>Se agrega costo por cobertura de parto y cesárea (mujeres edades de 18 a 54 años ya sean titulares, cónyuge o dependientes)</t>
  </si>
  <si>
    <t>Modificación de costo de Derecho de Póliza a 700 pesos</t>
  </si>
  <si>
    <t>HOJA COTIZACION (COTIZADOR)</t>
  </si>
  <si>
    <t>se deja deducible mínimo en 6,000</t>
  </si>
  <si>
    <t>se modifica Querétaro a zona 4</t>
  </si>
  <si>
    <t>se modifican la tabla de estados por zona (sólo hay 4 zonas)</t>
  </si>
  <si>
    <t>HOJA IMPRESIÓN (formato Cotización y Cuadro de especificaciones)</t>
  </si>
  <si>
    <t>CUADRO DE ESPECIFICACIONES IMPLICA</t>
  </si>
  <si>
    <t>Se elimina de cuadro de coberturas la cobertura de Servicio de Maestro a Domicilio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</si>
  <si>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</si>
  <si>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t>Se MODIFICA en el cuadro de coberturas la Cobertura de Dental para agregar Visión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</si>
  <si>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</si>
  <si>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t>Modificación de la leyenda de beneficio por pago directo y una leyenda en NOTAS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</si>
  <si>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</si>
  <si>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</si>
  <si>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</si>
  <si>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</si>
  <si>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</si>
  <si>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</si>
  <si>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</si>
  <si>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</si>
  <si>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</si>
  <si>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</si>
  <si>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</si>
  <si>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</si>
  <si>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</si>
  <si>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</si>
  <si>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</si>
  <si>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Considerar la nueva cobertura adicional para cobertura de parto y cesárea (adicional 17)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</si>
  <si>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</si>
  <si>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</si>
  <si>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</si>
  <si>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</si>
  <si>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</si>
  <si>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MODIFICACION DE FORMATOS, TAMAÑO DE LETRA Y FORMATOS</t>
  </si>
  <si>
    <t>Solicitud</t>
  </si>
  <si>
    <t>carátula</t>
  </si>
  <si>
    <t>cuadro de especificaciones.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</si>
</sst>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\ #,##0_);[Red]\(&quot;$&quot;\ #,##0\)"/>
    <numFmt numFmtId="166" formatCode="&quot;$&quot;\ #,##0.00_);[Red]\(&quot;$&quot;\ #,##0.00\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6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2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752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Continuous" vertical="center"/>
    </xf>
    <xf numFmtId="0" fontId="3" fillId="0" borderId="11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Border="1" applyAlignment="1">
      <alignment horizontal="centerContinuous"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4" fontId="3" fillId="0" borderId="0" xfId="0" applyNumberFormat="1" applyFont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Continuous" vertical="center"/>
    </xf>
    <xf numFmtId="0" fontId="3" fillId="0" borderId="41" xfId="0" applyFont="1" applyBorder="1" applyAlignment="1">
      <alignment horizontal="centerContinuous" vertical="center"/>
    </xf>
    <xf numFmtId="0" fontId="3" fillId="0" borderId="42" xfId="0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7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Border="1" applyAlignment="1">
      <alignment horizontal="left" vertical="center"/>
    </xf>
    <xf numFmtId="43" fontId="3" fillId="0" borderId="37" xfId="0" applyNumberFormat="1" applyFont="1" applyBorder="1" applyAlignment="1">
      <alignment horizontal="center" vertical="center"/>
    </xf>
    <xf numFmtId="3" fontId="3" fillId="0" borderId="53" xfId="0" applyNumberFormat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17" fillId="4" borderId="0" xfId="0" applyFont="1" applyFill="1" applyBorder="1" applyAlignment="1">
      <alignment horizontal="center" vertical="justify"/>
    </xf>
    <xf numFmtId="0" fontId="11" fillId="4" borderId="0" xfId="0" applyFont="1" applyFill="1" applyBorder="1" applyProtection="1">
      <protection locked="0"/>
    </xf>
    <xf numFmtId="0" fontId="4" fillId="4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1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4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43" fontId="0" fillId="0" borderId="0" xfId="1" applyFont="1" applyAlignment="1">
      <alignment vertical="center"/>
    </xf>
    <xf numFmtId="43" fontId="33" fillId="8" borderId="48" xfId="1" applyFont="1" applyFill="1" applyBorder="1"/>
    <xf numFmtId="43" fontId="33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5" fillId="4" borderId="0" xfId="0" applyNumberFormat="1" applyFont="1" applyFill="1"/>
    <xf numFmtId="0" fontId="35" fillId="4" borderId="0" xfId="0" applyFont="1" applyFill="1" applyBorder="1"/>
    <xf numFmtId="0" fontId="35" fillId="4" borderId="0" xfId="0" applyFont="1" applyFill="1" applyAlignment="1">
      <alignment horizontal="left"/>
    </xf>
    <xf numFmtId="0" fontId="35" fillId="4" borderId="0" xfId="0" applyFont="1" applyFill="1"/>
    <xf numFmtId="44" fontId="35" fillId="4" borderId="0" xfId="2" applyFont="1" applyFill="1" applyProtection="1"/>
    <xf numFmtId="0" fontId="35" fillId="4" borderId="0" xfId="0" applyFont="1" applyFill="1" applyAlignment="1">
      <alignment vertical="center"/>
    </xf>
    <xf numFmtId="44" fontId="35" fillId="4" borderId="0" xfId="2" applyFont="1" applyFill="1" applyAlignment="1" applyProtection="1">
      <alignment vertical="center"/>
    </xf>
    <xf numFmtId="0" fontId="36" fillId="9" borderId="0" xfId="0" applyFont="1" applyFill="1" applyBorder="1" applyAlignment="1">
      <alignment vertical="center"/>
    </xf>
    <xf numFmtId="44" fontId="36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170" fontId="33" fillId="8" borderId="48" xfId="1" applyNumberFormat="1" applyFont="1" applyFill="1" applyBorder="1"/>
    <xf numFmtId="170" fontId="33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35" fillId="0" borderId="0" xfId="0" applyFont="1" applyAlignment="1">
      <alignment vertical="center"/>
    </xf>
    <xf numFmtId="179" fontId="35" fillId="0" borderId="0" xfId="2" applyNumberFormat="1" applyFont="1" applyAlignment="1" applyProtection="1">
      <alignment vertical="center"/>
    </xf>
    <xf numFmtId="10" fontId="35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>
      <alignment vertical="center"/>
    </xf>
    <xf numFmtId="0" fontId="35" fillId="4" borderId="0" xfId="0" applyFont="1" applyFill="1" applyBorder="1" applyAlignment="1">
      <alignment horizontal="center"/>
    </xf>
    <xf numFmtId="0" fontId="39" fillId="4" borderId="0" xfId="0" applyFont="1" applyFill="1" applyBorder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>
      <alignment vertical="center" wrapText="1"/>
    </xf>
    <xf numFmtId="0" fontId="30" fillId="0" borderId="0" xfId="0" applyFont="1" applyBorder="1"/>
    <xf numFmtId="0" fontId="30" fillId="0" borderId="0" xfId="0" applyFont="1" applyBorder="1" applyAlignment="1">
      <alignment horizontal="center"/>
    </xf>
    <xf numFmtId="0" fontId="30" fillId="13" borderId="0" xfId="0" applyFont="1" applyFill="1" applyBorder="1" applyAlignment="1">
      <alignment horizontal="center"/>
    </xf>
    <xf numFmtId="0" fontId="44" fillId="0" borderId="0" xfId="0" applyFont="1" applyBorder="1" applyAlignment="1">
      <alignment horizontal="left" vertical="center"/>
    </xf>
    <xf numFmtId="0" fontId="45" fillId="13" borderId="0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center"/>
    </xf>
    <xf numFmtId="0" fontId="7" fillId="2" borderId="1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3" fontId="4" fillId="0" borderId="20" xfId="0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0" fontId="46" fillId="4" borderId="0" xfId="0" applyFont="1" applyFill="1"/>
    <xf numFmtId="0" fontId="47" fillId="4" borderId="0" xfId="0" applyFont="1" applyFill="1"/>
    <xf numFmtId="0" fontId="0" fillId="13" borderId="0" xfId="0" applyFill="1"/>
    <xf numFmtId="0" fontId="4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>
      <alignment horizontal="left" vertical="center"/>
    </xf>
    <xf numFmtId="169" fontId="35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43" fontId="36" fillId="4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6" fillId="13" borderId="0" xfId="0" applyFont="1" applyFill="1"/>
    <xf numFmtId="9" fontId="37" fillId="13" borderId="0" xfId="0" applyNumberFormat="1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1" fillId="0" borderId="0" xfId="0" applyFont="1"/>
    <xf numFmtId="0" fontId="10" fillId="4" borderId="0" xfId="0" applyFont="1" applyFill="1" applyBorder="1" applyAlignment="1">
      <alignment vertical="center"/>
    </xf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0" fontId="10" fillId="4" borderId="0" xfId="0" applyFont="1" applyFill="1" applyAlignment="1">
      <alignment horizontal="right"/>
    </xf>
    <xf numFmtId="0" fontId="10" fillId="4" borderId="0" xfId="0" applyFont="1" applyFill="1"/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Border="1"/>
    <xf numFmtId="0" fontId="13" fillId="0" borderId="0" xfId="0" applyFont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5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4" fontId="4" fillId="4" borderId="0" xfId="0" applyNumberFormat="1" applyFont="1" applyFill="1" applyBorder="1" applyAlignment="1">
      <alignment horizontal="left" vertical="center"/>
    </xf>
    <xf numFmtId="164" fontId="4" fillId="4" borderId="0" xfId="0" applyNumberFormat="1" applyFont="1" applyFill="1" applyBorder="1" applyAlignment="1">
      <alignment horizontal="center" vertical="center"/>
    </xf>
    <xf numFmtId="164" fontId="5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4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9" fillId="4" borderId="0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 applyBorder="1"/>
    <xf numFmtId="0" fontId="4" fillId="4" borderId="0" xfId="0" applyFont="1" applyFill="1" applyBorder="1" applyAlignment="1">
      <alignment wrapText="1"/>
    </xf>
    <xf numFmtId="0" fontId="5" fillId="2" borderId="14" xfId="0" applyFont="1" applyFill="1" applyBorder="1" applyAlignment="1">
      <alignment vertical="center"/>
    </xf>
    <xf numFmtId="0" fontId="5" fillId="2" borderId="15" xfId="0" applyFont="1" applyFill="1" applyBorder="1" applyAlignment="1">
      <alignment vertical="center"/>
    </xf>
    <xf numFmtId="3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9" fontId="5" fillId="0" borderId="22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7" fillId="2" borderId="5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center"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26" fillId="2" borderId="19" xfId="0" applyFont="1" applyFill="1" applyBorder="1" applyAlignment="1">
      <alignment horizontal="center" vertical="center"/>
    </xf>
    <xf numFmtId="4" fontId="5" fillId="0" borderId="34" xfId="0" applyNumberFormat="1" applyFont="1" applyBorder="1" applyAlignment="1">
      <alignment horizontal="center" vertical="center"/>
    </xf>
    <xf numFmtId="4" fontId="5" fillId="0" borderId="20" xfId="0" applyNumberFormat="1" applyFont="1" applyBorder="1" applyAlignment="1">
      <alignment horizontal="center" vertical="center"/>
    </xf>
    <xf numFmtId="4" fontId="5" fillId="0" borderId="21" xfId="0" applyNumberFormat="1" applyFont="1" applyBorder="1" applyAlignment="1">
      <alignment horizontal="center" vertical="center"/>
    </xf>
    <xf numFmtId="0" fontId="4" fillId="2" borderId="13" xfId="0" applyFont="1" applyFill="1" applyBorder="1" applyAlignment="1">
      <alignment horizontal="left" vertical="center"/>
    </xf>
    <xf numFmtId="9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horizontal="left" vertical="center"/>
    </xf>
    <xf numFmtId="3" fontId="18" fillId="5" borderId="5" xfId="0" applyNumberFormat="1" applyFont="1" applyFill="1" applyBorder="1" applyAlignment="1">
      <alignment horizontal="center" vertical="center"/>
    </xf>
    <xf numFmtId="0" fontId="51" fillId="4" borderId="0" xfId="0" applyFont="1" applyFill="1"/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165" fontId="1" fillId="4" borderId="0" xfId="0" applyNumberFormat="1" applyFont="1" applyFill="1" applyBorder="1" applyAlignment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4" fillId="0" borderId="0" xfId="0" applyFont="1"/>
    <xf numFmtId="0" fontId="52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>
      <alignment horizontal="center" vertical="center"/>
    </xf>
    <xf numFmtId="3" fontId="5" fillId="15" borderId="20" xfId="0" applyNumberFormat="1" applyFont="1" applyFill="1" applyBorder="1" applyAlignment="1">
      <alignment horizontal="center" vertical="center"/>
    </xf>
    <xf numFmtId="0" fontId="56" fillId="0" borderId="0" xfId="0" applyFont="1" applyBorder="1" applyAlignment="1">
      <alignment horizontal="left"/>
    </xf>
    <xf numFmtId="0" fontId="3" fillId="0" borderId="8" xfId="0" applyFont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39" fillId="0" borderId="0" xfId="0" applyFont="1" applyBorder="1" applyAlignment="1">
      <alignment horizontal="center" vertical="center"/>
    </xf>
    <xf numFmtId="0" fontId="4" fillId="4" borderId="67" xfId="0" quotePrefix="1" applyFont="1" applyFill="1" applyBorder="1" applyAlignment="1">
      <alignment horizontal="center" vertical="center"/>
    </xf>
    <xf numFmtId="0" fontId="1" fillId="14" borderId="67" xfId="0" applyFont="1" applyFill="1" applyBorder="1" applyAlignment="1">
      <alignment horizontal="left" vertical="center"/>
    </xf>
    <xf numFmtId="0" fontId="1" fillId="0" borderId="67" xfId="0" applyFont="1" applyBorder="1" applyAlignment="1">
      <alignment horizontal="left" vertical="center"/>
    </xf>
    <xf numFmtId="0" fontId="4" fillId="4" borderId="67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left" vertical="center"/>
    </xf>
    <xf numFmtId="0" fontId="36" fillId="0" borderId="67" xfId="0" applyFont="1" applyBorder="1"/>
    <xf numFmtId="0" fontId="4" fillId="0" borderId="67" xfId="0" applyFont="1" applyBorder="1" applyAlignment="1">
      <alignment horizontal="left" wrapText="1"/>
    </xf>
    <xf numFmtId="44" fontId="35" fillId="4" borderId="0" xfId="2" applyFont="1" applyFill="1" applyBorder="1" applyAlignment="1" applyProtection="1">
      <alignment horizontal="center"/>
    </xf>
    <xf numFmtId="44" fontId="35" fillId="4" borderId="0" xfId="0" applyNumberFormat="1" applyFont="1" applyFill="1" applyBorder="1" applyAlignment="1">
      <alignment horizont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39" fontId="1" fillId="0" borderId="0" xfId="0" applyNumberFormat="1" applyFont="1" applyAlignment="1">
      <alignment vertical="center"/>
    </xf>
    <xf numFmtId="0" fontId="39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vertical="center" wrapText="1"/>
    </xf>
    <xf numFmtId="0" fontId="39" fillId="4" borderId="0" xfId="0" applyFont="1" applyFill="1"/>
    <xf numFmtId="43" fontId="37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>
      <alignment horizontal="center" vertical="center"/>
    </xf>
    <xf numFmtId="0" fontId="4" fillId="0" borderId="76" xfId="0" applyFont="1" applyBorder="1" applyAlignment="1">
      <alignment vertical="center"/>
    </xf>
    <xf numFmtId="0" fontId="4" fillId="0" borderId="76" xfId="0" applyFont="1" applyBorder="1" applyAlignment="1" applyProtection="1">
      <alignment vertical="center"/>
      <protection locked="0"/>
    </xf>
    <xf numFmtId="0" fontId="5" fillId="0" borderId="76" xfId="0" applyFont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>
      <alignment horizontal="left"/>
    </xf>
    <xf numFmtId="166" fontId="5" fillId="4" borderId="76" xfId="2" applyNumberFormat="1" applyFont="1" applyFill="1" applyBorder="1" applyAlignment="1" applyProtection="1">
      <alignment vertical="center"/>
    </xf>
    <xf numFmtId="0" fontId="48" fillId="4" borderId="76" xfId="0" applyFont="1" applyFill="1" applyBorder="1" applyAlignment="1">
      <alignment horizontal="left"/>
    </xf>
    <xf numFmtId="0" fontId="38" fillId="16" borderId="0" xfId="0" applyFont="1" applyFill="1" applyBorder="1" applyAlignment="1">
      <alignment horizontal="center" vertical="center"/>
    </xf>
    <xf numFmtId="4" fontId="5" fillId="4" borderId="76" xfId="0" applyNumberFormat="1" applyFont="1" applyFill="1" applyBorder="1" applyAlignment="1">
      <alignment horizontal="right" vertical="center"/>
    </xf>
    <xf numFmtId="0" fontId="4" fillId="4" borderId="76" xfId="0" applyFont="1" applyFill="1" applyBorder="1" applyAlignment="1">
      <alignment horizontal="left" vertical="center"/>
    </xf>
    <xf numFmtId="0" fontId="20" fillId="4" borderId="76" xfId="0" applyFont="1" applyFill="1" applyBorder="1" applyAlignment="1">
      <alignment horizontal="left" vertical="center"/>
    </xf>
    <xf numFmtId="0" fontId="35" fillId="18" borderId="0" xfId="0" applyFont="1" applyFill="1" applyBorder="1"/>
    <xf numFmtId="0" fontId="35" fillId="18" borderId="0" xfId="0" applyFont="1" applyFill="1" applyBorder="1" applyAlignment="1">
      <alignment horizontal="center"/>
    </xf>
    <xf numFmtId="44" fontId="35" fillId="18" borderId="0" xfId="2" applyFont="1" applyFill="1" applyBorder="1" applyAlignment="1" applyProtection="1">
      <alignment horizontal="center"/>
    </xf>
    <xf numFmtId="44" fontId="35" fillId="18" borderId="0" xfId="0" applyNumberFormat="1" applyFont="1" applyFill="1" applyBorder="1" applyAlignment="1">
      <alignment horizontal="center"/>
    </xf>
    <xf numFmtId="0" fontId="35" fillId="18" borderId="77" xfId="0" applyFont="1" applyFill="1" applyBorder="1"/>
    <xf numFmtId="0" fontId="35" fillId="18" borderId="77" xfId="0" applyFont="1" applyFill="1" applyBorder="1" applyAlignment="1">
      <alignment horizontal="center"/>
    </xf>
    <xf numFmtId="44" fontId="35" fillId="18" borderId="77" xfId="0" applyNumberFormat="1" applyFont="1" applyFill="1" applyBorder="1" applyAlignment="1">
      <alignment horizontal="center"/>
    </xf>
    <xf numFmtId="166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Border="1" applyAlignment="1">
      <alignment vertical="center"/>
    </xf>
    <xf numFmtId="0" fontId="4" fillId="0" borderId="79" xfId="0" applyFont="1" applyBorder="1" applyAlignment="1" applyProtection="1">
      <alignment vertical="center"/>
      <protection locked="0"/>
    </xf>
    <xf numFmtId="0" fontId="5" fillId="0" borderId="79" xfId="0" applyFont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>
      <alignment horizontal="left"/>
    </xf>
    <xf numFmtId="166" fontId="5" fillId="4" borderId="79" xfId="2" applyNumberFormat="1" applyFont="1" applyFill="1" applyBorder="1" applyAlignment="1" applyProtection="1">
      <alignment vertical="center"/>
    </xf>
    <xf numFmtId="166" fontId="4" fillId="18" borderId="79" xfId="2" applyNumberFormat="1" applyFont="1" applyFill="1" applyBorder="1" applyAlignment="1" applyProtection="1">
      <alignment vertical="center"/>
    </xf>
    <xf numFmtId="0" fontId="62" fillId="16" borderId="78" xfId="0" applyFont="1" applyFill="1" applyBorder="1" applyAlignment="1">
      <alignment horizontal="center" vertical="center"/>
    </xf>
    <xf numFmtId="0" fontId="48" fillId="4" borderId="79" xfId="0" applyFont="1" applyFill="1" applyBorder="1" applyAlignment="1">
      <alignment horizontal="left"/>
    </xf>
    <xf numFmtId="0" fontId="61" fillId="16" borderId="78" xfId="0" applyFont="1" applyFill="1" applyBorder="1" applyAlignment="1">
      <alignment horizontal="center" vertical="center"/>
    </xf>
    <xf numFmtId="171" fontId="48" fillId="18" borderId="79" xfId="4" applyNumberFormat="1" applyFont="1" applyFill="1" applyBorder="1" applyProtection="1">
      <protection locked="0"/>
    </xf>
    <xf numFmtId="171" fontId="48" fillId="18" borderId="76" xfId="4" applyNumberFormat="1" applyFont="1" applyFill="1" applyBorder="1" applyProtection="1">
      <protection locked="0"/>
    </xf>
    <xf numFmtId="0" fontId="66" fillId="16" borderId="0" xfId="0" applyFont="1" applyFill="1" applyAlignment="1">
      <alignment horizontal="center"/>
    </xf>
    <xf numFmtId="0" fontId="67" fillId="16" borderId="78" xfId="0" applyFont="1" applyFill="1" applyBorder="1" applyAlignment="1">
      <alignment horizontal="center" vertical="center"/>
    </xf>
    <xf numFmtId="0" fontId="67" fillId="16" borderId="82" xfId="0" applyFont="1" applyFill="1" applyBorder="1" applyAlignment="1">
      <alignment horizontal="center" vertical="center"/>
    </xf>
    <xf numFmtId="4" fontId="5" fillId="4" borderId="79" xfId="0" applyNumberFormat="1" applyFont="1" applyFill="1" applyBorder="1" applyAlignment="1">
      <alignment horizontal="right" vertical="center"/>
    </xf>
    <xf numFmtId="0" fontId="68" fillId="16" borderId="78" xfId="0" applyFont="1" applyFill="1" applyBorder="1" applyAlignment="1">
      <alignment horizontal="center" vertical="center"/>
    </xf>
    <xf numFmtId="0" fontId="37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>
      <alignment horizontal="center" vertical="center"/>
    </xf>
    <xf numFmtId="0" fontId="69" fillId="16" borderId="25" xfId="0" applyFont="1" applyFill="1" applyBorder="1" applyAlignment="1">
      <alignment horizontal="left" vertical="center"/>
    </xf>
    <xf numFmtId="0" fontId="69" fillId="16" borderId="26" xfId="0" applyFont="1" applyFill="1" applyBorder="1" applyAlignment="1">
      <alignment horizontal="center" vertical="center"/>
    </xf>
    <xf numFmtId="0" fontId="69" fillId="16" borderId="24" xfId="0" applyFont="1" applyFill="1" applyBorder="1" applyAlignment="1">
      <alignment horizontal="center" vertical="center"/>
    </xf>
    <xf numFmtId="0" fontId="70" fillId="0" borderId="93" xfId="0" applyFont="1" applyBorder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70" fillId="0" borderId="60" xfId="0" applyFont="1" applyBorder="1" applyAlignment="1">
      <alignment horizontal="center" vertical="center"/>
    </xf>
    <xf numFmtId="0" fontId="70" fillId="0" borderId="94" xfId="0" applyFont="1" applyBorder="1" applyAlignment="1">
      <alignment horizontal="center" vertical="center"/>
    </xf>
    <xf numFmtId="0" fontId="70" fillId="0" borderId="47" xfId="0" applyFont="1" applyBorder="1" applyAlignment="1">
      <alignment horizontal="center" vertical="center"/>
    </xf>
    <xf numFmtId="0" fontId="70" fillId="0" borderId="95" xfId="0" applyFont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96" xfId="0" applyFont="1" applyBorder="1" applyAlignment="1">
      <alignment horizontal="center" vertical="center"/>
    </xf>
    <xf numFmtId="0" fontId="70" fillId="0" borderId="46" xfId="0" applyFont="1" applyBorder="1" applyAlignment="1">
      <alignment horizontal="center" vertical="center"/>
    </xf>
    <xf numFmtId="0" fontId="70" fillId="0" borderId="97" xfId="0" applyFont="1" applyBorder="1" applyAlignment="1">
      <alignment horizontal="center" vertical="center"/>
    </xf>
    <xf numFmtId="0" fontId="70" fillId="0" borderId="27" xfId="0" applyFont="1" applyBorder="1" applyAlignment="1">
      <alignment horizontal="center" vertical="center"/>
    </xf>
    <xf numFmtId="43" fontId="70" fillId="20" borderId="94" xfId="6" applyFont="1" applyFill="1" applyBorder="1" applyAlignment="1">
      <alignment horizontal="center" vertical="center"/>
    </xf>
    <xf numFmtId="43" fontId="70" fillId="20" borderId="47" xfId="6" applyFont="1" applyFill="1" applyBorder="1" applyAlignment="1">
      <alignment horizontal="center" vertical="center"/>
    </xf>
    <xf numFmtId="0" fontId="70" fillId="20" borderId="47" xfId="6" applyNumberFormat="1" applyFont="1" applyFill="1" applyBorder="1" applyAlignment="1">
      <alignment horizontal="center" vertical="center"/>
    </xf>
    <xf numFmtId="0" fontId="70" fillId="20" borderId="95" xfId="6" applyNumberFormat="1" applyFont="1" applyFill="1" applyBorder="1" applyAlignment="1">
      <alignment horizontal="center" vertical="center"/>
    </xf>
    <xf numFmtId="0" fontId="71" fillId="0" borderId="27" xfId="5" applyFont="1" applyBorder="1" applyAlignment="1">
      <alignment horizontal="center" vertical="center"/>
    </xf>
    <xf numFmtId="0" fontId="71" fillId="20" borderId="40" xfId="5" applyFont="1" applyFill="1" applyBorder="1" applyAlignment="1">
      <alignment horizontal="center" vertical="center"/>
    </xf>
    <xf numFmtId="0" fontId="71" fillId="20" borderId="98" xfId="5" applyFont="1" applyFill="1" applyBorder="1" applyAlignment="1">
      <alignment horizontal="center" vertical="center"/>
    </xf>
    <xf numFmtId="0" fontId="71" fillId="20" borderId="39" xfId="5" applyFont="1" applyFill="1" applyBorder="1" applyAlignment="1">
      <alignment horizontal="center" vertical="center"/>
    </xf>
    <xf numFmtId="0" fontId="70" fillId="0" borderId="50" xfId="5" applyFont="1" applyBorder="1" applyAlignment="1">
      <alignment horizontal="center" vertical="center"/>
    </xf>
    <xf numFmtId="4" fontId="70" fillId="0" borderId="93" xfId="5" applyNumberFormat="1" applyFont="1" applyBorder="1" applyAlignment="1">
      <alignment horizontal="center" vertical="center"/>
    </xf>
    <xf numFmtId="4" fontId="70" fillId="0" borderId="0" xfId="5" applyNumberFormat="1" applyFont="1" applyBorder="1" applyAlignment="1">
      <alignment horizontal="center" vertical="center"/>
    </xf>
    <xf numFmtId="4" fontId="70" fillId="0" borderId="60" xfId="5" applyNumberFormat="1" applyFont="1" applyBorder="1" applyAlignment="1">
      <alignment horizontal="center" vertical="center"/>
    </xf>
    <xf numFmtId="4" fontId="70" fillId="21" borderId="93" xfId="5" applyNumberFormat="1" applyFont="1" applyFill="1" applyBorder="1" applyAlignment="1">
      <alignment horizontal="center" vertical="center"/>
    </xf>
    <xf numFmtId="4" fontId="70" fillId="21" borderId="0" xfId="5" applyNumberFormat="1" applyFont="1" applyFill="1" applyBorder="1" applyAlignment="1">
      <alignment horizontal="center" vertical="center"/>
    </xf>
    <xf numFmtId="4" fontId="70" fillId="21" borderId="60" xfId="5" applyNumberFormat="1" applyFont="1" applyFill="1" applyBorder="1" applyAlignment="1">
      <alignment horizontal="center" vertical="center"/>
    </xf>
    <xf numFmtId="0" fontId="70" fillId="0" borderId="51" xfId="5" applyFont="1" applyBorder="1" applyAlignment="1">
      <alignment horizontal="center" vertical="center"/>
    </xf>
    <xf numFmtId="4" fontId="70" fillId="21" borderId="94" xfId="5" applyNumberFormat="1" applyFont="1" applyFill="1" applyBorder="1" applyAlignment="1">
      <alignment horizontal="center" vertical="center"/>
    </xf>
    <xf numFmtId="4" fontId="70" fillId="21" borderId="47" xfId="5" applyNumberFormat="1" applyFont="1" applyFill="1" applyBorder="1" applyAlignment="1">
      <alignment horizontal="center" vertical="center"/>
    </xf>
    <xf numFmtId="4" fontId="70" fillId="21" borderId="95" xfId="5" applyNumberFormat="1" applyFont="1" applyFill="1" applyBorder="1" applyAlignment="1">
      <alignment horizontal="center" vertical="center"/>
    </xf>
    <xf numFmtId="43" fontId="70" fillId="20" borderId="93" xfId="6" applyFont="1" applyFill="1" applyBorder="1" applyAlignment="1">
      <alignment horizontal="center" vertical="center"/>
    </xf>
    <xf numFmtId="43" fontId="70" fillId="20" borderId="0" xfId="6" applyFont="1" applyFill="1" applyBorder="1" applyAlignment="1">
      <alignment horizontal="center" vertical="center"/>
    </xf>
    <xf numFmtId="0" fontId="70" fillId="20" borderId="0" xfId="6" applyNumberFormat="1" applyFont="1" applyFill="1" applyBorder="1" applyAlignment="1">
      <alignment horizontal="center" vertical="center"/>
    </xf>
    <xf numFmtId="0" fontId="70" fillId="20" borderId="60" xfId="6" applyNumberFormat="1" applyFont="1" applyFill="1" applyBorder="1" applyAlignment="1">
      <alignment horizontal="center" vertical="center"/>
    </xf>
    <xf numFmtId="0" fontId="70" fillId="0" borderId="50" xfId="0" applyFont="1" applyBorder="1" applyAlignment="1">
      <alignment horizontal="center" vertical="center"/>
    </xf>
    <xf numFmtId="4" fontId="70" fillId="22" borderId="93" xfId="5" applyNumberFormat="1" applyFont="1" applyFill="1" applyBorder="1" applyAlignment="1">
      <alignment horizontal="center" vertical="center"/>
    </xf>
    <xf numFmtId="4" fontId="70" fillId="22" borderId="0" xfId="5" applyNumberFormat="1" applyFont="1" applyFill="1" applyBorder="1" applyAlignment="1">
      <alignment horizontal="center" vertical="center"/>
    </xf>
    <xf numFmtId="4" fontId="70" fillId="22" borderId="60" xfId="5" applyNumberFormat="1" applyFont="1" applyFill="1" applyBorder="1" applyAlignment="1">
      <alignment horizontal="center" vertical="center"/>
    </xf>
    <xf numFmtId="39" fontId="70" fillId="2" borderId="0" xfId="0" applyNumberFormat="1" applyFont="1" applyFill="1" applyBorder="1" applyAlignment="1">
      <alignment horizontal="center" vertical="center"/>
    </xf>
    <xf numFmtId="39" fontId="70" fillId="10" borderId="0" xfId="0" applyNumberFormat="1" applyFont="1" applyFill="1" applyBorder="1" applyAlignment="1">
      <alignment horizontal="center" vertical="center"/>
    </xf>
    <xf numFmtId="39" fontId="70" fillId="2" borderId="60" xfId="0" applyNumberFormat="1" applyFont="1" applyFill="1" applyBorder="1" applyAlignment="1">
      <alignment horizontal="center" vertical="center"/>
    </xf>
    <xf numFmtId="39" fontId="70" fillId="10" borderId="60" xfId="0" applyNumberFormat="1" applyFont="1" applyFill="1" applyBorder="1" applyAlignment="1">
      <alignment horizontal="center" vertical="center"/>
    </xf>
    <xf numFmtId="39" fontId="70" fillId="10" borderId="47" xfId="0" applyNumberFormat="1" applyFont="1" applyFill="1" applyBorder="1" applyAlignment="1">
      <alignment horizontal="center" vertical="center"/>
    </xf>
    <xf numFmtId="39" fontId="70" fillId="10" borderId="95" xfId="0" applyNumberFormat="1" applyFont="1" applyFill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1" fillId="0" borderId="0" xfId="1" applyFont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1" fillId="0" borderId="100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106" xfId="0" applyFont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Border="1" applyAlignment="1">
      <alignment horizontal="centerContinuous" vertical="center"/>
    </xf>
    <xf numFmtId="2" fontId="0" fillId="0" borderId="0" xfId="0" applyNumberFormat="1"/>
    <xf numFmtId="0" fontId="1" fillId="0" borderId="0" xfId="0" applyFont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57" fillId="0" borderId="68" xfId="0" applyFont="1" applyBorder="1" applyAlignment="1">
      <alignment vertical="center"/>
    </xf>
    <xf numFmtId="0" fontId="57" fillId="0" borderId="71" xfId="0" applyFont="1" applyBorder="1" applyAlignment="1">
      <alignment vertical="center"/>
    </xf>
    <xf numFmtId="0" fontId="57" fillId="0" borderId="73" xfId="0" applyFont="1" applyBorder="1" applyAlignment="1">
      <alignment vertical="center"/>
    </xf>
    <xf numFmtId="0" fontId="27" fillId="4" borderId="0" xfId="0" applyFont="1" applyFill="1" applyBorder="1" applyAlignment="1">
      <alignment horizontal="right" wrapText="1"/>
    </xf>
    <xf numFmtId="0" fontId="27" fillId="0" borderId="67" xfId="0" applyFont="1" applyBorder="1" applyAlignment="1">
      <alignment horizontal="right" wrapText="1"/>
    </xf>
    <xf numFmtId="0" fontId="27" fillId="0" borderId="0" xfId="0" applyFont="1" applyBorder="1" applyAlignment="1">
      <alignment horizontal="right" wrapText="1"/>
    </xf>
    <xf numFmtId="0" fontId="5" fillId="4" borderId="67" xfId="0" applyFont="1" applyFill="1" applyBorder="1"/>
    <xf numFmtId="0" fontId="4" fillId="13" borderId="0" xfId="0" applyFont="1" applyFill="1" applyBorder="1" applyAlignment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0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1" fillId="4" borderId="0" xfId="0" applyFont="1" applyFill="1" applyBorder="1" applyAlignment="1">
      <alignment wrapText="1"/>
    </xf>
    <xf numFmtId="0" fontId="5" fillId="4" borderId="0" xfId="0" applyFont="1" applyFill="1" applyBorder="1" applyAlignment="1">
      <alignment horizontal="left" wrapText="1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0" fontId="74" fillId="4" borderId="0" xfId="0" applyFont="1" applyFill="1" applyProtection="1">
      <protection hidden="1"/>
    </xf>
    <xf numFmtId="0" fontId="75" fillId="4" borderId="0" xfId="0" applyFont="1" applyFill="1" applyProtection="1">
      <protection hidden="1"/>
    </xf>
    <xf numFmtId="170" fontId="0" fillId="0" borderId="0" xfId="1" applyNumberFormat="1" applyFont="1"/>
    <xf numFmtId="3" fontId="18" fillId="10" borderId="3" xfId="0" applyNumberFormat="1" applyFont="1" applyFill="1" applyBorder="1" applyAlignment="1">
      <alignment horizontal="center" vertical="center"/>
    </xf>
    <xf numFmtId="4" fontId="18" fillId="10" borderId="4" xfId="0" applyNumberFormat="1" applyFont="1" applyFill="1" applyBorder="1" applyAlignment="1">
      <alignment horizontal="center" vertical="center"/>
    </xf>
    <xf numFmtId="3" fontId="5" fillId="10" borderId="20" xfId="0" applyNumberFormat="1" applyFont="1" applyFill="1" applyBorder="1" applyAlignment="1">
      <alignment horizontal="center" vertical="center"/>
    </xf>
    <xf numFmtId="168" fontId="16" fillId="12" borderId="50" xfId="0" applyNumberFormat="1" applyFont="1" applyFill="1" applyBorder="1" applyAlignment="1" applyProtection="1">
      <alignment horizontal="center" vertical="center"/>
      <protection hidden="1"/>
    </xf>
    <xf numFmtId="170" fontId="0" fillId="10" borderId="3" xfId="1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10" fontId="1" fillId="0" borderId="50" xfId="4" applyNumberFormat="1" applyFont="1" applyBorder="1" applyAlignment="1">
      <alignment vertical="center"/>
    </xf>
    <xf numFmtId="43" fontId="1" fillId="6" borderId="4" xfId="1" applyFont="1" applyFill="1" applyBorder="1" applyAlignment="1">
      <alignment vertical="center"/>
    </xf>
    <xf numFmtId="168" fontId="1" fillId="0" borderId="0" xfId="0" applyNumberFormat="1" applyFont="1" applyAlignment="1">
      <alignment vertical="center"/>
    </xf>
    <xf numFmtId="0" fontId="1" fillId="0" borderId="5" xfId="0" applyFont="1" applyBorder="1" applyAlignment="1">
      <alignment vertical="center"/>
    </xf>
    <xf numFmtId="10" fontId="1" fillId="0" borderId="58" xfId="4" applyNumberFormat="1" applyFont="1" applyBorder="1" applyAlignment="1">
      <alignment vertical="center"/>
    </xf>
    <xf numFmtId="43" fontId="1" fillId="6" borderId="6" xfId="1" applyFont="1" applyFill="1" applyBorder="1" applyAlignment="1">
      <alignment vertical="center"/>
    </xf>
    <xf numFmtId="170" fontId="1" fillId="0" borderId="0" xfId="1" applyNumberFormat="1" applyFont="1" applyAlignment="1">
      <alignment vertical="center"/>
    </xf>
    <xf numFmtId="10" fontId="1" fillId="0" borderId="0" xfId="4" applyNumberFormat="1" applyFont="1" applyAlignment="1">
      <alignment vertical="center"/>
    </xf>
    <xf numFmtId="4" fontId="22" fillId="0" borderId="0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2" fontId="1" fillId="0" borderId="0" xfId="0" applyNumberFormat="1" applyFont="1" applyAlignment="1">
      <alignment vertical="center"/>
    </xf>
    <xf numFmtId="2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horizontal="centerContinuous" vertical="center"/>
    </xf>
    <xf numFmtId="39" fontId="1" fillId="2" borderId="7" xfId="0" applyNumberFormat="1" applyFont="1" applyFill="1" applyBorder="1" applyAlignment="1">
      <alignment vertical="center"/>
    </xf>
    <xf numFmtId="39" fontId="1" fillId="6" borderId="7" xfId="0" applyNumberFormat="1" applyFont="1" applyFill="1" applyBorder="1" applyAlignment="1">
      <alignment vertical="center"/>
    </xf>
    <xf numFmtId="39" fontId="1" fillId="10" borderId="7" xfId="0" applyNumberFormat="1" applyFont="1" applyFill="1" applyBorder="1" applyAlignment="1">
      <alignment vertical="center"/>
    </xf>
    <xf numFmtId="39" fontId="1" fillId="0" borderId="0" xfId="0" applyNumberFormat="1" applyFont="1" applyBorder="1" applyAlignment="1">
      <alignment vertical="center"/>
    </xf>
    <xf numFmtId="39" fontId="1" fillId="2" borderId="8" xfId="0" applyNumberFormat="1" applyFont="1" applyFill="1" applyBorder="1" applyAlignment="1">
      <alignment vertical="center"/>
    </xf>
    <xf numFmtId="39" fontId="1" fillId="6" borderId="8" xfId="0" applyNumberFormat="1" applyFont="1" applyFill="1" applyBorder="1" applyAlignment="1">
      <alignment vertical="center"/>
    </xf>
    <xf numFmtId="39" fontId="1" fillId="10" borderId="8" xfId="0" applyNumberFormat="1" applyFont="1" applyFill="1" applyBorder="1" applyAlignment="1">
      <alignment vertical="center"/>
    </xf>
    <xf numFmtId="39" fontId="1" fillId="2" borderId="36" xfId="0" applyNumberFormat="1" applyFont="1" applyFill="1" applyBorder="1" applyAlignment="1">
      <alignment vertical="center"/>
    </xf>
    <xf numFmtId="39" fontId="1" fillId="6" borderId="36" xfId="0" applyNumberFormat="1" applyFont="1" applyFill="1" applyBorder="1" applyAlignment="1">
      <alignment vertical="center"/>
    </xf>
    <xf numFmtId="39" fontId="1" fillId="10" borderId="36" xfId="0" applyNumberFormat="1" applyFont="1" applyFill="1" applyBorder="1" applyAlignment="1">
      <alignment vertical="center"/>
    </xf>
    <xf numFmtId="0" fontId="1" fillId="0" borderId="96" xfId="0" applyFont="1" applyBorder="1" applyAlignment="1">
      <alignment vertical="center"/>
    </xf>
    <xf numFmtId="0" fontId="1" fillId="0" borderId="101" xfId="0" applyFont="1" applyBorder="1" applyAlignment="1">
      <alignment vertical="center"/>
    </xf>
    <xf numFmtId="181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vertical="center"/>
    </xf>
    <xf numFmtId="0" fontId="1" fillId="0" borderId="93" xfId="0" applyFont="1" applyBorder="1" applyAlignment="1">
      <alignment vertical="center"/>
    </xf>
    <xf numFmtId="0" fontId="1" fillId="0" borderId="102" xfId="0" applyFont="1" applyBorder="1" applyAlignment="1">
      <alignment vertical="center"/>
    </xf>
    <xf numFmtId="0" fontId="1" fillId="0" borderId="103" xfId="0" applyFont="1" applyBorder="1" applyAlignment="1">
      <alignment vertical="center"/>
    </xf>
    <xf numFmtId="182" fontId="1" fillId="0" borderId="0" xfId="0" applyNumberFormat="1" applyFont="1" applyAlignment="1">
      <alignment vertical="center"/>
    </xf>
    <xf numFmtId="0" fontId="1" fillId="0" borderId="94" xfId="0" applyFont="1" applyBorder="1" applyAlignment="1">
      <alignment vertical="center"/>
    </xf>
    <xf numFmtId="0" fontId="1" fillId="0" borderId="104" xfId="0" applyFont="1" applyBorder="1" applyAlignment="1">
      <alignment vertical="center"/>
    </xf>
    <xf numFmtId="0" fontId="1" fillId="0" borderId="105" xfId="0" applyFont="1" applyBorder="1" applyAlignment="1">
      <alignment vertical="center"/>
    </xf>
    <xf numFmtId="4" fontId="1" fillId="0" borderId="0" xfId="0" applyNumberFormat="1" applyFont="1" applyAlignment="1">
      <alignment vertical="center"/>
    </xf>
    <xf numFmtId="43" fontId="1" fillId="0" borderId="0" xfId="0" applyNumberFormat="1" applyFont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70" fontId="1" fillId="4" borderId="0" xfId="1" applyNumberFormat="1" applyFont="1" applyFill="1" applyProtection="1"/>
    <xf numFmtId="0" fontId="22" fillId="8" borderId="0" xfId="0" applyFont="1" applyFill="1"/>
    <xf numFmtId="0" fontId="1" fillId="4" borderId="0" xfId="0" applyFont="1" applyFill="1" applyAlignment="1">
      <alignment horizontal="center" vertical="center"/>
    </xf>
    <xf numFmtId="4" fontId="1" fillId="4" borderId="0" xfId="0" applyNumberFormat="1" applyFont="1" applyFill="1" applyAlignment="1">
      <alignment vertical="center"/>
    </xf>
    <xf numFmtId="0" fontId="1" fillId="4" borderId="0" xfId="0" applyFont="1" applyFill="1"/>
    <xf numFmtId="176" fontId="1" fillId="4" borderId="0" xfId="0" applyNumberFormat="1" applyFont="1" applyFill="1" applyBorder="1" applyAlignment="1">
      <alignment horizontal="left" vertical="center"/>
    </xf>
    <xf numFmtId="9" fontId="1" fillId="4" borderId="0" xfId="0" applyNumberFormat="1" applyFont="1" applyFill="1" applyAlignment="1">
      <alignment horizontal="left" vertical="center"/>
    </xf>
    <xf numFmtId="44" fontId="1" fillId="4" borderId="0" xfId="2" applyFont="1" applyFill="1" applyBorder="1" applyAlignment="1" applyProtection="1">
      <alignment vertical="center"/>
    </xf>
    <xf numFmtId="167" fontId="1" fillId="4" borderId="0" xfId="1" applyNumberFormat="1" applyFont="1" applyFill="1" applyBorder="1" applyAlignment="1" applyProtection="1">
      <alignment vertical="center"/>
    </xf>
    <xf numFmtId="0" fontId="1" fillId="4" borderId="0" xfId="0" applyFont="1" applyFill="1" applyBorder="1" applyAlignment="1">
      <alignment horizontal="left" vertical="center"/>
    </xf>
    <xf numFmtId="177" fontId="1" fillId="4" borderId="0" xfId="0" applyNumberFormat="1" applyFont="1" applyFill="1" applyBorder="1" applyAlignment="1">
      <alignment horizontal="left" vertical="center"/>
    </xf>
    <xf numFmtId="0" fontId="1" fillId="4" borderId="69" xfId="0" quotePrefix="1" applyFont="1" applyFill="1" applyBorder="1" applyAlignment="1">
      <alignment horizontal="left" vertical="center"/>
    </xf>
    <xf numFmtId="0" fontId="1" fillId="4" borderId="70" xfId="0" applyFont="1" applyFill="1" applyBorder="1" applyAlignment="1">
      <alignment vertical="center"/>
    </xf>
    <xf numFmtId="0" fontId="1" fillId="4" borderId="67" xfId="0" quotePrefix="1" applyFont="1" applyFill="1" applyBorder="1" applyAlignment="1">
      <alignment horizontal="left" vertical="center"/>
    </xf>
    <xf numFmtId="0" fontId="1" fillId="4" borderId="72" xfId="0" applyFont="1" applyFill="1" applyBorder="1" applyAlignment="1">
      <alignment vertical="center"/>
    </xf>
    <xf numFmtId="0" fontId="1" fillId="4" borderId="74" xfId="0" quotePrefix="1" applyFont="1" applyFill="1" applyBorder="1" applyAlignment="1">
      <alignment horizontal="left" vertical="center"/>
    </xf>
    <xf numFmtId="0" fontId="1" fillId="4" borderId="75" xfId="0" applyFont="1" applyFill="1" applyBorder="1" applyAlignment="1">
      <alignment vertical="center"/>
    </xf>
    <xf numFmtId="0" fontId="1" fillId="4" borderId="67" xfId="0" applyFont="1" applyFill="1" applyBorder="1" applyAlignment="1">
      <alignment vertical="center"/>
    </xf>
    <xf numFmtId="0" fontId="1" fillId="14" borderId="67" xfId="0" quotePrefix="1" applyFont="1" applyFill="1" applyBorder="1" applyAlignment="1">
      <alignment horizontal="left" vertical="center"/>
    </xf>
    <xf numFmtId="0" fontId="1" fillId="14" borderId="67" xfId="0" applyFont="1" applyFill="1" applyBorder="1" applyAlignment="1">
      <alignment vertical="center"/>
    </xf>
    <xf numFmtId="0" fontId="1" fillId="0" borderId="67" xfId="0" quotePrefix="1" applyFont="1" applyBorder="1" applyAlignment="1">
      <alignment horizontal="left" vertical="center"/>
    </xf>
    <xf numFmtId="0" fontId="1" fillId="0" borderId="67" xfId="0" applyFont="1" applyBorder="1" applyAlignment="1">
      <alignment vertical="center"/>
    </xf>
    <xf numFmtId="165" fontId="1" fillId="0" borderId="67" xfId="0" applyNumberFormat="1" applyFont="1" applyBorder="1" applyAlignment="1">
      <alignment horizontal="left" vertical="center"/>
    </xf>
    <xf numFmtId="0" fontId="1" fillId="4" borderId="67" xfId="0" applyFont="1" applyFill="1" applyBorder="1" applyAlignment="1">
      <alignment horizontal="left" vertical="center"/>
    </xf>
    <xf numFmtId="0" fontId="1" fillId="0" borderId="0" xfId="0" quotePrefix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/>
    </xf>
    <xf numFmtId="0" fontId="1" fillId="0" borderId="67" xfId="0" applyFont="1" applyBorder="1"/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4" fontId="5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6" fillId="4" borderId="0" xfId="0" applyFont="1" applyFill="1" applyAlignment="1">
      <alignment horizontal="left" vertical="center" wrapText="1"/>
    </xf>
    <xf numFmtId="0" fontId="59" fillId="4" borderId="0" xfId="0" applyFont="1" applyFill="1" applyBorder="1" applyAlignment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4" fillId="0" borderId="0" xfId="0" applyFont="1" applyBorder="1" applyAlignment="1">
      <alignment horizontal="left" vertical="center" wrapText="1"/>
    </xf>
    <xf numFmtId="0" fontId="63" fillId="16" borderId="80" xfId="0" applyFont="1" applyFill="1" applyBorder="1" applyAlignment="1">
      <alignment horizontal="center" vertical="center"/>
    </xf>
    <xf numFmtId="0" fontId="63" fillId="16" borderId="81" xfId="0" applyFont="1" applyFill="1" applyBorder="1" applyAlignment="1">
      <alignment horizontal="center" vertical="center"/>
    </xf>
    <xf numFmtId="0" fontId="63" fillId="16" borderId="82" xfId="0" applyFont="1" applyFill="1" applyBorder="1" applyAlignment="1">
      <alignment horizontal="center" vertical="center"/>
    </xf>
    <xf numFmtId="0" fontId="58" fillId="16" borderId="0" xfId="0" applyFont="1" applyFill="1" applyBorder="1" applyAlignment="1">
      <alignment horizontal="center" vertical="center"/>
    </xf>
    <xf numFmtId="0" fontId="58" fillId="16" borderId="91" xfId="0" applyFont="1" applyFill="1" applyBorder="1" applyAlignment="1">
      <alignment horizontal="center" vertical="center"/>
    </xf>
    <xf numFmtId="0" fontId="1" fillId="4" borderId="107" xfId="0" applyFont="1" applyFill="1" applyBorder="1" applyAlignment="1">
      <alignment horizontal="center" vertical="center"/>
    </xf>
    <xf numFmtId="0" fontId="1" fillId="4" borderId="92" xfId="0" applyFont="1" applyFill="1" applyBorder="1" applyAlignment="1">
      <alignment horizontal="center" vertical="center"/>
    </xf>
    <xf numFmtId="0" fontId="60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justify" vertical="center"/>
    </xf>
    <xf numFmtId="0" fontId="1" fillId="4" borderId="0" xfId="0" applyFont="1" applyFill="1" applyAlignment="1">
      <alignment horizontal="justify" vertical="center"/>
    </xf>
    <xf numFmtId="0" fontId="4" fillId="4" borderId="67" xfId="0" applyFont="1" applyFill="1" applyBorder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79" xfId="0" applyFont="1" applyFill="1" applyBorder="1" applyAlignment="1">
      <alignment horizontal="left" vertical="center"/>
    </xf>
    <xf numFmtId="0" fontId="68" fillId="16" borderId="80" xfId="0" applyFont="1" applyFill="1" applyBorder="1" applyAlignment="1">
      <alignment horizontal="center" vertical="center"/>
    </xf>
    <xf numFmtId="0" fontId="68" fillId="16" borderId="82" xfId="0" applyFont="1" applyFill="1" applyBorder="1" applyAlignment="1">
      <alignment horizontal="center" vertical="center"/>
    </xf>
    <xf numFmtId="0" fontId="30" fillId="16" borderId="80" xfId="0" applyFont="1" applyFill="1" applyBorder="1" applyAlignment="1">
      <alignment horizontal="center" vertical="center"/>
    </xf>
    <xf numFmtId="0" fontId="30" fillId="16" borderId="81" xfId="0" applyFont="1" applyFill="1" applyBorder="1" applyAlignment="1">
      <alignment horizontal="center" vertical="center"/>
    </xf>
    <xf numFmtId="0" fontId="30" fillId="16" borderId="82" xfId="0" applyFont="1" applyFill="1" applyBorder="1" applyAlignment="1">
      <alignment horizontal="center" vertical="center"/>
    </xf>
    <xf numFmtId="0" fontId="38" fillId="16" borderId="83" xfId="0" applyFont="1" applyFill="1" applyBorder="1" applyAlignment="1">
      <alignment horizontal="center" vertical="center"/>
    </xf>
    <xf numFmtId="0" fontId="38" fillId="16" borderId="84" xfId="0" applyFont="1" applyFill="1" applyBorder="1" applyAlignment="1">
      <alignment horizontal="center" vertical="center"/>
    </xf>
    <xf numFmtId="0" fontId="38" fillId="16" borderId="85" xfId="0" applyFont="1" applyFill="1" applyBorder="1" applyAlignment="1">
      <alignment horizontal="center" vertical="center"/>
    </xf>
    <xf numFmtId="0" fontId="38" fillId="16" borderId="86" xfId="0" applyFont="1" applyFill="1" applyBorder="1" applyAlignment="1">
      <alignment horizontal="center" vertical="center"/>
    </xf>
    <xf numFmtId="0" fontId="38" fillId="16" borderId="87" xfId="0" applyFont="1" applyFill="1" applyBorder="1" applyAlignment="1">
      <alignment horizontal="center" vertical="center"/>
    </xf>
    <xf numFmtId="0" fontId="38" fillId="16" borderId="88" xfId="0" applyFont="1" applyFill="1" applyBorder="1" applyAlignment="1">
      <alignment horizontal="center" vertical="center"/>
    </xf>
    <xf numFmtId="0" fontId="38" fillId="16" borderId="89" xfId="0" applyFont="1" applyFill="1" applyBorder="1" applyAlignment="1">
      <alignment horizontal="center" vertical="center"/>
    </xf>
    <xf numFmtId="0" fontId="38" fillId="16" borderId="90" xfId="0" applyFont="1" applyFill="1" applyBorder="1" applyAlignment="1">
      <alignment horizontal="center" vertical="center"/>
    </xf>
    <xf numFmtId="0" fontId="49" fillId="4" borderId="76" xfId="0" applyFont="1" applyFill="1" applyBorder="1" applyAlignment="1">
      <alignment horizontal="left"/>
    </xf>
    <xf numFmtId="0" fontId="58" fillId="16" borderId="0" xfId="0" applyFont="1" applyFill="1" applyAlignment="1">
      <alignment horizontal="center" vertical="center"/>
    </xf>
    <xf numFmtId="0" fontId="38" fillId="16" borderId="80" xfId="0" applyFont="1" applyFill="1" applyBorder="1" applyAlignment="1">
      <alignment horizontal="center" vertical="center"/>
    </xf>
    <xf numFmtId="0" fontId="38" fillId="16" borderId="81" xfId="0" applyFont="1" applyFill="1" applyBorder="1" applyAlignment="1">
      <alignment horizontal="center" vertical="center"/>
    </xf>
    <xf numFmtId="0" fontId="38" fillId="16" borderId="82" xfId="0" applyFont="1" applyFill="1" applyBorder="1" applyAlignment="1">
      <alignment horizontal="center" vertical="center"/>
    </xf>
    <xf numFmtId="0" fontId="64" fillId="16" borderId="80" xfId="0" applyFont="1" applyFill="1" applyBorder="1" applyAlignment="1">
      <alignment horizontal="center" vertical="center"/>
    </xf>
    <xf numFmtId="0" fontId="64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5" fillId="16" borderId="83" xfId="0" applyFont="1" applyFill="1" applyBorder="1" applyAlignment="1">
      <alignment horizontal="center" vertical="center"/>
    </xf>
    <xf numFmtId="0" fontId="65" fillId="16" borderId="84" xfId="0" applyFont="1" applyFill="1" applyBorder="1" applyAlignment="1">
      <alignment horizontal="center" vertical="center"/>
    </xf>
    <xf numFmtId="0" fontId="65" fillId="16" borderId="85" xfId="0" applyFont="1" applyFill="1" applyBorder="1" applyAlignment="1">
      <alignment horizontal="center" vertical="center"/>
    </xf>
    <xf numFmtId="0" fontId="65" fillId="16" borderId="86" xfId="0" applyFont="1" applyFill="1" applyBorder="1" applyAlignment="1">
      <alignment horizontal="center" vertical="center"/>
    </xf>
    <xf numFmtId="0" fontId="65" fillId="16" borderId="87" xfId="0" applyFont="1" applyFill="1" applyBorder="1" applyAlignment="1">
      <alignment horizontal="center" vertical="center"/>
    </xf>
    <xf numFmtId="0" fontId="65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3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40" fillId="4" borderId="0" xfId="0" applyFont="1" applyFill="1" applyAlignment="1">
      <alignment horizontal="center" wrapText="1"/>
    </xf>
    <xf numFmtId="0" fontId="73" fillId="4" borderId="0" xfId="0" applyFont="1" applyFill="1" applyAlignment="1">
      <alignment horizontal="right" wrapText="1"/>
    </xf>
    <xf numFmtId="0" fontId="1" fillId="0" borderId="0" xfId="0" applyFont="1" applyAlignment="1">
      <alignment horizontal="left" wrapText="1"/>
    </xf>
  </cellXfs>
  <cellStyles count="7">
    <cellStyle name="Millares" xfId="1" builtinId="3"/>
    <cellStyle name="Millares 2" xfId="6"/>
    <cellStyle name="Moneda" xfId="2" builtinId="4"/>
    <cellStyle name="Normal" xfId="0" builtinId="0"/>
    <cellStyle name="Normal 2" xfId="5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xmlns="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pSpPr/>
      </xdr:nvGrpSpPr>
      <xdr:grpSpPr>
        <a:xfrm>
          <a:off x="8039100" y="7686675"/>
          <a:ext cx="1562101" cy="554037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xmlns="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xmlns="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pSpPr/>
      </xdr:nvGrpSpPr>
      <xdr:grpSpPr>
        <a:xfrm>
          <a:off x="10010775" y="7753346"/>
          <a:ext cx="1247775" cy="371475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xmlns="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xmlns="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xmlns="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xmlns="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xmlns="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436"/>
  <sheetViews>
    <sheetView topLeftCell="AP1" zoomScaleNormal="100" workbookViewId="0">
      <selection activeCell="AP1" sqref="AP1"/>
    </sheetView>
  </sheetViews>
  <sheetFormatPr baseColWidth="10" defaultColWidth="11.453125" defaultRowHeight="12.5" zeroHeight="1"/>
  <cols>
    <col min="1" max="1" width="34.81640625" style="1" hidden="1" customWidth="1"/>
    <col min="2" max="2" width="15.26953125" style="1" hidden="1" customWidth="1"/>
    <col min="3" max="3" width="13.1796875" style="1" hidden="1" customWidth="1"/>
    <col min="4" max="4" width="21.7265625" style="1" hidden="1" customWidth="1"/>
    <col min="5" max="5" width="17.1796875" style="1" hidden="1" customWidth="1"/>
    <col min="6" max="6" width="13.1796875" style="1" hidden="1" customWidth="1"/>
    <col min="7" max="7" width="12.453125" style="1" hidden="1" customWidth="1"/>
    <col min="8" max="8" width="3.453125" style="1" hidden="1" customWidth="1"/>
    <col min="9" max="9" width="25.26953125" style="1" hidden="1" customWidth="1"/>
    <col min="10" max="10" width="11.54296875" style="1" hidden="1" customWidth="1"/>
    <col min="11" max="11" width="7.453125" style="1" hidden="1" customWidth="1"/>
    <col min="12" max="12" width="10.26953125" style="1" hidden="1" customWidth="1"/>
    <col min="13" max="13" width="13.81640625" style="1" hidden="1" customWidth="1"/>
    <col min="14" max="14" width="19.1796875" style="1" hidden="1" customWidth="1"/>
    <col min="15" max="15" width="13.1796875" style="1" hidden="1" customWidth="1"/>
    <col min="16" max="16" width="14.453125" style="1" hidden="1" customWidth="1"/>
    <col min="17" max="17" width="13.1796875" style="1" hidden="1" customWidth="1"/>
    <col min="18" max="18" width="12.54296875" style="1" hidden="1" customWidth="1"/>
    <col min="19" max="19" width="11.453125" style="1" hidden="1" customWidth="1"/>
    <col min="20" max="20" width="13.1796875" style="1" hidden="1" customWidth="1"/>
    <col min="21" max="21" width="21.7265625" style="1" hidden="1" customWidth="1"/>
    <col min="22" max="22" width="13.1796875" style="1" hidden="1" customWidth="1"/>
    <col min="23" max="23" width="12.453125" style="1" hidden="1" customWidth="1"/>
    <col min="24" max="31" width="11.453125" style="1" hidden="1" customWidth="1"/>
    <col min="32" max="33" width="13.7265625" style="1" hidden="1" customWidth="1"/>
    <col min="34" max="41" width="11.453125" style="1" hidden="1" customWidth="1"/>
    <col min="42" max="51" width="11.453125" style="1" customWidth="1"/>
    <col min="52" max="16384" width="11.453125" style="1"/>
  </cols>
  <sheetData>
    <row r="1" spans="1:16" ht="18" customHeight="1" thickTop="1">
      <c r="A1" s="675" t="s">
        <v>0</v>
      </c>
      <c r="B1" s="676"/>
      <c r="C1" s="665" t="s">
        <v>1</v>
      </c>
      <c r="D1" s="666"/>
      <c r="E1" s="669" t="s">
        <v>2</v>
      </c>
      <c r="F1" s="670"/>
      <c r="G1" s="426"/>
      <c r="H1" s="426"/>
      <c r="I1" s="211" t="s">
        <v>3</v>
      </c>
      <c r="J1" s="211" t="s">
        <v>4</v>
      </c>
      <c r="K1" s="211"/>
      <c r="L1" s="426"/>
      <c r="M1" s="223" t="s">
        <v>5</v>
      </c>
      <c r="N1" s="224" t="s">
        <v>6</v>
      </c>
      <c r="O1" s="224" t="s">
        <v>7</v>
      </c>
      <c r="P1" s="225" t="s">
        <v>8</v>
      </c>
    </row>
    <row r="2" spans="1:16" ht="14.5" hidden="1" thickTop="1">
      <c r="A2" s="421" t="s">
        <v>9</v>
      </c>
      <c r="B2" s="394"/>
      <c r="C2" s="198">
        <v>0</v>
      </c>
      <c r="D2" s="178">
        <v>1.1499999999999999</v>
      </c>
      <c r="E2" s="5"/>
      <c r="F2" s="177"/>
      <c r="G2" s="426"/>
      <c r="H2" s="426"/>
      <c r="I2" s="237"/>
      <c r="J2" s="218"/>
      <c r="K2" s="218"/>
      <c r="L2" s="426"/>
      <c r="M2" s="591" t="s">
        <v>10</v>
      </c>
      <c r="N2" s="592">
        <v>4.7300000000000002E-2</v>
      </c>
      <c r="O2" s="592">
        <f>+COTIZACION!H36</f>
        <v>4.7300000000000002E-2</v>
      </c>
      <c r="P2" s="593">
        <f>IF(O2=0,1+N2,1+O2)</f>
        <v>1.0472999999999999</v>
      </c>
    </row>
    <row r="3" spans="1:16" ht="14" hidden="1">
      <c r="A3" s="420">
        <v>6000</v>
      </c>
      <c r="B3" s="427">
        <v>1</v>
      </c>
      <c r="C3" s="198">
        <v>0.05</v>
      </c>
      <c r="D3" s="178">
        <v>1.0900000000000001</v>
      </c>
      <c r="E3" s="8"/>
      <c r="F3" s="178"/>
      <c r="G3" s="594"/>
      <c r="H3" s="426"/>
      <c r="I3" s="237"/>
      <c r="J3" s="218"/>
      <c r="K3" s="218"/>
      <c r="L3" s="426"/>
      <c r="M3" s="591" t="s">
        <v>11</v>
      </c>
      <c r="N3" s="592">
        <v>7.0000000000000007E-2</v>
      </c>
      <c r="O3" s="592">
        <f>+COTIZACION!H37</f>
        <v>6.9900000000000004E-2</v>
      </c>
      <c r="P3" s="593">
        <f>IF(O3=0,1+N3,1+O3)</f>
        <v>1.0699000000000001</v>
      </c>
    </row>
    <row r="4" spans="1:16" ht="14.5" hidden="1" thickBot="1">
      <c r="A4" s="207">
        <v>8000</v>
      </c>
      <c r="B4" s="427">
        <v>0.94</v>
      </c>
      <c r="C4" s="198">
        <v>0.1</v>
      </c>
      <c r="D4" s="178">
        <v>1</v>
      </c>
      <c r="E4" s="11"/>
      <c r="F4" s="179"/>
      <c r="G4" s="594"/>
      <c r="H4" s="426"/>
      <c r="I4" s="237">
        <v>5500</v>
      </c>
      <c r="J4" s="218">
        <v>1759.5521023765994</v>
      </c>
      <c r="K4" s="218"/>
      <c r="L4" s="426"/>
      <c r="M4" s="595" t="s">
        <v>12</v>
      </c>
      <c r="N4" s="596">
        <v>0.1</v>
      </c>
      <c r="O4" s="596">
        <f>+COTIZACION!H38</f>
        <v>9.9900000000000003E-2</v>
      </c>
      <c r="P4" s="597">
        <f>IF(O4=0,1+N4,1+O4)</f>
        <v>1.0999000000000001</v>
      </c>
    </row>
    <row r="5" spans="1:16" ht="14.5" hidden="1" thickTop="1">
      <c r="A5" s="420">
        <v>10000</v>
      </c>
      <c r="B5" s="427">
        <v>0.88</v>
      </c>
      <c r="C5" s="198">
        <v>0.15</v>
      </c>
      <c r="D5" s="178">
        <v>0.98</v>
      </c>
      <c r="E5" s="669" t="s">
        <v>13</v>
      </c>
      <c r="F5" s="670"/>
      <c r="G5" s="598"/>
      <c r="H5" s="426"/>
      <c r="I5" s="237">
        <v>6000</v>
      </c>
      <c r="J5" s="218">
        <v>1866.2120658135282</v>
      </c>
      <c r="K5" s="218"/>
      <c r="L5" s="14"/>
      <c r="M5" s="599"/>
      <c r="N5" s="426"/>
      <c r="O5" s="426"/>
      <c r="P5" s="426"/>
    </row>
    <row r="6" spans="1:16" ht="14.5" hidden="1" thickBot="1">
      <c r="A6" s="207">
        <v>12000</v>
      </c>
      <c r="B6" s="427">
        <v>0.84499999999999997</v>
      </c>
      <c r="C6" s="199">
        <v>0.2</v>
      </c>
      <c r="D6" s="179">
        <v>0.92</v>
      </c>
      <c r="E6" s="5"/>
      <c r="F6" s="177"/>
      <c r="G6" s="598"/>
      <c r="H6" s="426"/>
      <c r="I6" s="237">
        <v>7000</v>
      </c>
      <c r="J6" s="218">
        <v>1956.3321145642899</v>
      </c>
      <c r="K6" s="218"/>
      <c r="L6" s="426"/>
      <c r="M6" s="599"/>
      <c r="N6" s="426"/>
      <c r="O6" s="426"/>
      <c r="P6" s="426"/>
    </row>
    <row r="7" spans="1:16" ht="14.5" hidden="1" thickTop="1">
      <c r="A7" s="590">
        <v>15000</v>
      </c>
      <c r="B7" s="427">
        <v>0.79800000000000004</v>
      </c>
      <c r="C7" s="669" t="s">
        <v>14</v>
      </c>
      <c r="D7" s="670"/>
      <c r="E7" s="8"/>
      <c r="F7" s="178"/>
      <c r="G7" s="598"/>
      <c r="H7" s="600"/>
      <c r="I7" s="237">
        <v>8000</v>
      </c>
      <c r="J7" s="218">
        <v>2034.4095063985374</v>
      </c>
      <c r="K7" s="218"/>
      <c r="L7" s="426"/>
      <c r="M7" s="599"/>
      <c r="N7" s="426"/>
      <c r="O7" s="426"/>
      <c r="P7" s="426"/>
    </row>
    <row r="8" spans="1:16" ht="14.5" hidden="1" thickBot="1">
      <c r="A8" s="207">
        <v>20000</v>
      </c>
      <c r="B8" s="427">
        <v>0.65400000000000003</v>
      </c>
      <c r="C8" s="183"/>
      <c r="D8" s="184"/>
      <c r="E8" s="11"/>
      <c r="F8" s="179"/>
      <c r="G8" s="598"/>
      <c r="H8" s="600"/>
      <c r="I8" s="237">
        <v>9000</v>
      </c>
      <c r="J8" s="218">
        <v>2103.3924436319317</v>
      </c>
      <c r="K8" s="218"/>
      <c r="L8" s="426"/>
      <c r="M8" s="599"/>
      <c r="N8" s="426"/>
      <c r="O8" s="426"/>
      <c r="P8" s="426"/>
    </row>
    <row r="9" spans="1:16" ht="14.5" hidden="1" thickTop="1">
      <c r="A9" s="207">
        <v>25000</v>
      </c>
      <c r="B9" s="427">
        <v>0.56699999999999995</v>
      </c>
      <c r="C9" s="146"/>
      <c r="D9" s="181"/>
      <c r="E9" s="671" t="s">
        <v>15</v>
      </c>
      <c r="F9" s="672"/>
      <c r="G9" s="598"/>
      <c r="H9" s="600"/>
      <c r="I9" s="237">
        <v>10000</v>
      </c>
      <c r="J9" s="218">
        <v>2164.9798903107858</v>
      </c>
      <c r="K9" s="218"/>
      <c r="L9" s="426"/>
      <c r="M9" s="599"/>
      <c r="N9" s="426"/>
      <c r="O9" s="426"/>
      <c r="P9" s="426"/>
    </row>
    <row r="10" spans="1:16" ht="14" hidden="1">
      <c r="A10" s="207">
        <v>35000</v>
      </c>
      <c r="B10" s="427">
        <v>0.48599999999999999</v>
      </c>
      <c r="C10" s="146"/>
      <c r="D10" s="181"/>
      <c r="E10" s="6" t="s">
        <v>16</v>
      </c>
      <c r="F10" s="7">
        <v>0</v>
      </c>
      <c r="G10" s="426"/>
      <c r="H10" s="600"/>
      <c r="I10" s="237">
        <v>15000</v>
      </c>
      <c r="J10" s="218">
        <v>2402.1352833638025</v>
      </c>
      <c r="K10" s="218"/>
      <c r="L10" s="14"/>
      <c r="M10" s="599"/>
      <c r="N10" s="426"/>
      <c r="O10" s="426"/>
      <c r="P10" s="426"/>
    </row>
    <row r="11" spans="1:16" ht="14" hidden="1">
      <c r="A11" s="207">
        <v>40000</v>
      </c>
      <c r="B11" s="427">
        <v>0.45700000000000002</v>
      </c>
      <c r="C11" s="146"/>
      <c r="D11" s="181"/>
      <c r="E11" s="9" t="s">
        <v>17</v>
      </c>
      <c r="F11" s="10">
        <v>4.7300000000000002E-2</v>
      </c>
      <c r="G11" s="598"/>
      <c r="H11" s="14"/>
      <c r="I11" s="237">
        <v>20000</v>
      </c>
      <c r="J11" s="218">
        <v>2570.4326630103592</v>
      </c>
      <c r="K11" s="218"/>
      <c r="L11" s="426"/>
      <c r="M11" s="599"/>
      <c r="N11" s="426"/>
      <c r="O11" s="426"/>
      <c r="P11" s="426"/>
    </row>
    <row r="12" spans="1:16" ht="14" hidden="1">
      <c r="A12" s="207">
        <v>50000</v>
      </c>
      <c r="B12" s="427">
        <v>0.40899999999999997</v>
      </c>
      <c r="C12" s="146"/>
      <c r="D12" s="181"/>
      <c r="E12" s="9" t="s">
        <v>18</v>
      </c>
      <c r="F12" s="10">
        <v>7.0000000000000007E-2</v>
      </c>
      <c r="G12" s="598"/>
      <c r="H12" s="14"/>
      <c r="I12" s="237">
        <v>25000</v>
      </c>
      <c r="J12" s="218">
        <v>2700.9280926264469</v>
      </c>
      <c r="K12" s="218"/>
      <c r="L12" s="426"/>
      <c r="M12" s="599"/>
      <c r="N12" s="426"/>
      <c r="O12" s="426"/>
      <c r="P12" s="426"/>
    </row>
    <row r="13" spans="1:16" ht="14.5" hidden="1" thickBot="1">
      <c r="A13" s="207"/>
      <c r="B13" s="178"/>
      <c r="C13" s="180"/>
      <c r="D13" s="182"/>
      <c r="E13" s="12" t="s">
        <v>19</v>
      </c>
      <c r="F13" s="13">
        <v>0.1</v>
      </c>
      <c r="G13" s="585"/>
      <c r="H13" s="14"/>
      <c r="I13" s="237">
        <v>30000</v>
      </c>
      <c r="J13" s="218">
        <v>4303.2010968921386</v>
      </c>
      <c r="K13" s="218"/>
      <c r="L13" s="426"/>
      <c r="M13" s="599"/>
      <c r="N13" s="426"/>
      <c r="O13" s="426"/>
      <c r="P13" s="426"/>
    </row>
    <row r="14" spans="1:16" ht="15" hidden="1" thickTop="1" thickBot="1">
      <c r="A14" s="420"/>
      <c r="B14" s="178"/>
      <c r="C14" s="191"/>
      <c r="D14" s="191"/>
      <c r="E14" s="191"/>
      <c r="F14" s="191"/>
      <c r="G14" s="585"/>
      <c r="H14" s="14"/>
      <c r="I14" s="237">
        <v>35000</v>
      </c>
      <c r="J14" s="218">
        <v>4441.4667885435711</v>
      </c>
      <c r="K14" s="218"/>
      <c r="L14" s="426"/>
      <c r="M14" s="599"/>
      <c r="N14" s="426"/>
      <c r="O14" s="426"/>
      <c r="P14" s="426"/>
    </row>
    <row r="15" spans="1:16" ht="14.5" hidden="1" thickTop="1">
      <c r="A15" s="207"/>
      <c r="B15" s="178"/>
      <c r="C15" s="665" t="s">
        <v>20</v>
      </c>
      <c r="D15" s="666"/>
      <c r="E15" s="191"/>
      <c r="F15" s="191"/>
      <c r="G15" s="585"/>
      <c r="H15" s="14"/>
      <c r="I15" s="237">
        <v>40000</v>
      </c>
      <c r="J15" s="218">
        <v>4561.1188299817177</v>
      </c>
      <c r="K15" s="218"/>
      <c r="L15" s="426"/>
      <c r="M15" s="599"/>
      <c r="N15" s="426"/>
      <c r="O15" s="426"/>
      <c r="P15" s="426"/>
    </row>
    <row r="16" spans="1:16" ht="14" hidden="1">
      <c r="A16" s="207"/>
      <c r="B16" s="178"/>
      <c r="C16" s="198">
        <v>0</v>
      </c>
      <c r="D16" s="422" t="s">
        <v>21</v>
      </c>
      <c r="E16" s="191"/>
      <c r="F16" s="191"/>
      <c r="G16" s="585"/>
      <c r="H16" s="14"/>
      <c r="I16" s="237">
        <v>45000</v>
      </c>
      <c r="J16" s="218">
        <v>4666.7294332723941</v>
      </c>
      <c r="K16" s="218"/>
      <c r="L16" s="426"/>
      <c r="M16" s="599"/>
      <c r="N16" s="426"/>
      <c r="O16" s="426"/>
      <c r="P16" s="426"/>
    </row>
    <row r="17" spans="1:13" ht="14" hidden="1">
      <c r="A17" s="207"/>
      <c r="B17" s="178"/>
      <c r="C17" s="198">
        <v>0.05</v>
      </c>
      <c r="D17" s="423" t="s">
        <v>21</v>
      </c>
      <c r="E17" s="191"/>
      <c r="F17" s="191"/>
      <c r="G17" s="585"/>
      <c r="H17" s="14"/>
      <c r="I17" s="237">
        <v>50000</v>
      </c>
      <c r="J17" s="218">
        <v>4761.1218769043262</v>
      </c>
      <c r="K17" s="218"/>
      <c r="L17" s="426"/>
      <c r="M17" s="599"/>
    </row>
    <row r="18" spans="1:13" ht="14.5" hidden="1" thickBot="1">
      <c r="A18" s="207"/>
      <c r="B18" s="178"/>
      <c r="C18" s="198">
        <v>0.1</v>
      </c>
      <c r="D18" s="425" t="s">
        <v>22</v>
      </c>
      <c r="E18" s="191"/>
      <c r="F18" s="191"/>
      <c r="G18" s="585"/>
      <c r="H18" s="14"/>
      <c r="I18" s="238"/>
      <c r="J18" s="219"/>
      <c r="K18" s="219"/>
      <c r="L18" s="426"/>
      <c r="M18" s="599"/>
    </row>
    <row r="19" spans="1:13" ht="13" hidden="1" thickTop="1">
      <c r="A19" s="209"/>
      <c r="B19" s="178"/>
      <c r="C19" s="198">
        <v>0.15</v>
      </c>
      <c r="D19" s="423" t="s">
        <v>21</v>
      </c>
      <c r="E19" s="191"/>
      <c r="F19" s="191"/>
      <c r="G19" s="191"/>
      <c r="H19" s="14"/>
      <c r="I19" s="239"/>
      <c r="J19" s="239"/>
      <c r="K19" s="14"/>
      <c r="L19" s="426"/>
      <c r="M19" s="426"/>
    </row>
    <row r="20" spans="1:13" ht="13" hidden="1" thickBot="1">
      <c r="A20" s="209"/>
      <c r="B20" s="178"/>
      <c r="C20" s="199">
        <v>0.2</v>
      </c>
      <c r="D20" s="424" t="s">
        <v>21</v>
      </c>
      <c r="E20" s="191"/>
      <c r="F20" s="191"/>
      <c r="G20" s="191"/>
      <c r="H20" s="14"/>
      <c r="I20" s="14"/>
      <c r="J20" s="14"/>
      <c r="K20" s="14"/>
      <c r="L20" s="426"/>
      <c r="M20" s="426"/>
    </row>
    <row r="21" spans="1:13" ht="13" hidden="1" thickTop="1">
      <c r="A21" s="209"/>
      <c r="B21" s="178"/>
      <c r="C21" s="191"/>
      <c r="D21" s="191"/>
      <c r="E21" s="191"/>
      <c r="F21" s="191"/>
      <c r="G21" s="191"/>
      <c r="H21" s="14"/>
      <c r="I21" s="14"/>
      <c r="J21" s="14"/>
      <c r="K21" s="14"/>
      <c r="L21" s="426"/>
      <c r="M21" s="426"/>
    </row>
    <row r="22" spans="1:13" hidden="1">
      <c r="A22" s="209"/>
      <c r="B22" s="178"/>
      <c r="C22" s="191"/>
      <c r="D22" s="191"/>
      <c r="E22" s="191"/>
      <c r="F22" s="191"/>
      <c r="G22" s="191"/>
      <c r="H22" s="14"/>
      <c r="I22" s="191"/>
      <c r="J22" s="191"/>
      <c r="K22" s="191"/>
      <c r="L22" s="426"/>
      <c r="M22" s="426"/>
    </row>
    <row r="23" spans="1:13" hidden="1">
      <c r="A23" s="209"/>
      <c r="B23" s="178"/>
      <c r="C23" s="191"/>
      <c r="D23" s="191"/>
      <c r="E23" s="191"/>
      <c r="F23" s="191"/>
      <c r="G23" s="191"/>
      <c r="H23" s="14"/>
      <c r="I23" s="217"/>
      <c r="J23" s="426"/>
      <c r="K23" s="426"/>
      <c r="L23" s="426"/>
      <c r="M23" s="426"/>
    </row>
    <row r="24" spans="1:13" hidden="1">
      <c r="A24" s="209"/>
      <c r="B24" s="178"/>
      <c r="C24" s="191"/>
      <c r="D24" s="191"/>
      <c r="E24" s="191"/>
      <c r="F24" s="191"/>
      <c r="G24" s="191"/>
      <c r="H24" s="14"/>
      <c r="I24" s="217"/>
      <c r="J24" s="426"/>
      <c r="K24" s="426"/>
      <c r="L24" s="426"/>
      <c r="M24" s="426"/>
    </row>
    <row r="25" spans="1:13" hidden="1">
      <c r="A25" s="209"/>
      <c r="B25" s="178"/>
      <c r="C25" s="191"/>
      <c r="D25" s="191"/>
      <c r="E25" s="191"/>
      <c r="F25" s="191"/>
      <c r="G25" s="191"/>
      <c r="H25" s="14"/>
      <c r="I25" s="217"/>
      <c r="J25" s="426"/>
      <c r="K25" s="426"/>
      <c r="L25" s="426"/>
      <c r="M25" s="426"/>
    </row>
    <row r="26" spans="1:13" hidden="1">
      <c r="A26" s="209"/>
      <c r="B26" s="178"/>
      <c r="C26" s="191"/>
      <c r="D26" s="191"/>
      <c r="E26" s="191"/>
      <c r="F26" s="191"/>
      <c r="G26" s="191"/>
      <c r="H26" s="14"/>
      <c r="I26" s="14"/>
      <c r="J26" s="426"/>
      <c r="K26" s="426"/>
      <c r="L26" s="426"/>
      <c r="M26" s="426"/>
    </row>
    <row r="27" spans="1:13" hidden="1">
      <c r="A27" s="209"/>
      <c r="B27" s="178"/>
      <c r="C27" s="191"/>
      <c r="D27" s="191"/>
      <c r="E27" s="191"/>
      <c r="F27" s="191"/>
      <c r="G27" s="191"/>
      <c r="H27" s="14"/>
      <c r="I27" s="14"/>
      <c r="J27" s="426"/>
      <c r="K27" s="426"/>
      <c r="L27" s="426"/>
      <c r="M27" s="426"/>
    </row>
    <row r="28" spans="1:13" ht="13" hidden="1" thickBot="1">
      <c r="A28" s="209"/>
      <c r="B28" s="178"/>
      <c r="C28" s="191"/>
      <c r="D28" s="191"/>
      <c r="E28" s="191"/>
      <c r="F28" s="191"/>
      <c r="G28" s="191"/>
      <c r="H28" s="14"/>
      <c r="I28" s="14"/>
      <c r="J28" s="426"/>
      <c r="K28" s="426"/>
      <c r="L28" s="426"/>
      <c r="M28" s="426"/>
    </row>
    <row r="29" spans="1:13" ht="13.5" hidden="1" thickTop="1" thickBot="1">
      <c r="A29" s="210"/>
      <c r="B29" s="179"/>
      <c r="C29" s="15"/>
      <c r="D29" s="15"/>
      <c r="E29" s="15"/>
      <c r="F29" s="220" t="s">
        <v>23</v>
      </c>
      <c r="G29" s="221" t="s">
        <v>24</v>
      </c>
      <c r="H29" s="426"/>
      <c r="I29"/>
      <c r="J29"/>
      <c r="K29" s="426"/>
      <c r="L29" s="426"/>
      <c r="M29" s="426"/>
    </row>
    <row r="30" spans="1:13" ht="13" hidden="1" thickTop="1">
      <c r="A30" s="14"/>
      <c r="B30" s="14"/>
      <c r="C30" s="15"/>
      <c r="D30" s="15"/>
      <c r="E30" s="15"/>
      <c r="F30" s="88">
        <v>1</v>
      </c>
      <c r="G30" s="189">
        <v>0.52</v>
      </c>
      <c r="H30" s="189"/>
      <c r="I30"/>
      <c r="J30"/>
      <c r="K30" s="426"/>
      <c r="L30" s="426"/>
      <c r="M30" s="426"/>
    </row>
    <row r="31" spans="1:13" ht="13" hidden="1" thickBot="1">
      <c r="A31" s="426"/>
      <c r="B31" s="426"/>
      <c r="C31" s="426"/>
      <c r="D31" s="426"/>
      <c r="E31" s="426"/>
      <c r="F31" s="89">
        <v>2</v>
      </c>
      <c r="G31" s="190">
        <v>0.56999999999999995</v>
      </c>
      <c r="H31" s="190"/>
      <c r="I31"/>
      <c r="J31"/>
      <c r="K31"/>
      <c r="L31"/>
      <c r="M31" s="426"/>
    </row>
    <row r="32" spans="1:13" ht="13" hidden="1" thickTop="1">
      <c r="A32" s="17" t="s">
        <v>25</v>
      </c>
      <c r="B32" s="426"/>
      <c r="C32" s="426"/>
      <c r="D32" s="426"/>
      <c r="E32" s="601"/>
      <c r="F32" s="89">
        <v>3</v>
      </c>
      <c r="G32" s="190">
        <v>0.67</v>
      </c>
      <c r="H32" s="190"/>
      <c r="I32" s="665" t="s">
        <v>26</v>
      </c>
      <c r="J32" s="666"/>
      <c r="K32"/>
      <c r="L32" s="665" t="s">
        <v>27</v>
      </c>
      <c r="M32" s="666"/>
    </row>
    <row r="33" spans="1:58" hidden="1">
      <c r="A33" s="602" t="s">
        <v>26</v>
      </c>
      <c r="B33" s="426"/>
      <c r="C33" s="603">
        <v>1000000</v>
      </c>
      <c r="D33" s="603"/>
      <c r="E33" s="601"/>
      <c r="F33" s="89">
        <v>4</v>
      </c>
      <c r="G33" s="190">
        <v>0.8</v>
      </c>
      <c r="H33" s="190"/>
      <c r="I33" s="208">
        <v>200000</v>
      </c>
      <c r="J33" s="171">
        <v>0.82</v>
      </c>
      <c r="K33"/>
      <c r="L33" s="173">
        <v>10000</v>
      </c>
      <c r="M33" s="402">
        <v>221.36419458583197</v>
      </c>
      <c r="N33" s="528"/>
      <c r="O33" s="599"/>
      <c r="P33" s="426"/>
      <c r="Q33" s="426"/>
      <c r="R33" s="426"/>
      <c r="S33" s="426"/>
      <c r="T33" s="426"/>
      <c r="U33" s="426"/>
      <c r="V33" s="426"/>
      <c r="W33" s="426"/>
      <c r="X33" s="426"/>
      <c r="Y33" s="426"/>
      <c r="Z33" s="426"/>
      <c r="AA33" s="426"/>
      <c r="AB33" s="426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  <c r="AM33" s="426"/>
      <c r="AN33" s="42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  <c r="BC33" s="426"/>
      <c r="BD33" s="426"/>
      <c r="BE33" s="426"/>
      <c r="BF33" s="426"/>
    </row>
    <row r="34" spans="1:58" hidden="1">
      <c r="A34" s="602" t="s">
        <v>0</v>
      </c>
      <c r="B34" s="426"/>
      <c r="C34" s="603">
        <v>6000</v>
      </c>
      <c r="D34" s="603"/>
      <c r="E34" s="603"/>
      <c r="F34" s="89">
        <v>5</v>
      </c>
      <c r="G34" s="190">
        <v>1</v>
      </c>
      <c r="H34" s="604"/>
      <c r="I34" s="208">
        <v>250000</v>
      </c>
      <c r="J34" s="171">
        <v>0.84</v>
      </c>
      <c r="K34"/>
      <c r="L34" s="173">
        <v>20000</v>
      </c>
      <c r="M34" s="171">
        <f t="shared" ref="M34:M41" si="0">ROUND(L34/$L$33*$M$33,2)</f>
        <v>442.73</v>
      </c>
      <c r="N34" s="528"/>
      <c r="O34" s="599"/>
      <c r="P34" s="426"/>
      <c r="Q34" s="426"/>
      <c r="R34" s="426"/>
      <c r="S34" s="426"/>
      <c r="T34" s="426"/>
      <c r="U34" s="426"/>
      <c r="V34" s="426"/>
      <c r="W34" s="426"/>
      <c r="X34" s="426"/>
      <c r="Y34" s="426"/>
      <c r="Z34" s="426"/>
      <c r="AA34" s="426"/>
      <c r="AB34" s="426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  <c r="AM34" s="426"/>
      <c r="AN34" s="426"/>
      <c r="AO34" s="426"/>
      <c r="AP34" s="426"/>
      <c r="AQ34" s="426"/>
      <c r="AR34" s="426"/>
      <c r="AS34" s="426"/>
      <c r="AT34" s="426"/>
      <c r="AU34" s="426"/>
      <c r="AV34" s="426"/>
      <c r="AW34" s="426"/>
      <c r="AX34" s="426"/>
      <c r="AY34" s="426"/>
      <c r="AZ34" s="426"/>
      <c r="BA34" s="426"/>
      <c r="BB34" s="426"/>
      <c r="BC34" s="426"/>
      <c r="BD34" s="426"/>
      <c r="BE34" s="426"/>
      <c r="BF34" s="426"/>
    </row>
    <row r="35" spans="1:58" ht="13" hidden="1" thickBot="1">
      <c r="A35" s="602" t="s">
        <v>1</v>
      </c>
      <c r="B35" s="426"/>
      <c r="C35" s="601">
        <v>0.1</v>
      </c>
      <c r="D35" s="601"/>
      <c r="E35" s="601"/>
      <c r="F35" s="89"/>
      <c r="G35" s="190"/>
      <c r="H35" s="605"/>
      <c r="I35" s="208">
        <v>300000</v>
      </c>
      <c r="J35" s="171">
        <v>0.86</v>
      </c>
      <c r="K35"/>
      <c r="L35" s="173">
        <v>30000</v>
      </c>
      <c r="M35" s="171">
        <f t="shared" si="0"/>
        <v>664.09</v>
      </c>
      <c r="N35" s="528"/>
      <c r="O35" s="599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6"/>
      <c r="AB35" s="606"/>
      <c r="AC35" s="606"/>
      <c r="AD35" s="606"/>
      <c r="AE35" s="606"/>
      <c r="AF35" s="606"/>
      <c r="AG35" s="606"/>
      <c r="AH35" s="606"/>
      <c r="AI35" s="606"/>
      <c r="AJ35" s="606"/>
      <c r="AK35" s="606"/>
      <c r="AL35" s="606"/>
      <c r="AM35" s="606"/>
      <c r="AN35" s="606"/>
      <c r="AO35" s="606"/>
      <c r="AP35" s="606"/>
      <c r="AQ35" s="606"/>
      <c r="AR35" s="606"/>
      <c r="AS35" s="606"/>
      <c r="AT35" s="606"/>
      <c r="AU35" s="606"/>
      <c r="AV35" s="606"/>
      <c r="AW35" s="606"/>
      <c r="AX35" s="606"/>
      <c r="AY35" s="606"/>
      <c r="AZ35" s="606"/>
      <c r="BA35" s="606"/>
      <c r="BB35" s="606"/>
      <c r="BC35" s="606"/>
      <c r="BD35" s="606"/>
      <c r="BE35" s="606"/>
      <c r="BF35" s="606"/>
    </row>
    <row r="36" spans="1:58" ht="13.5" hidden="1" thickTop="1" thickBot="1">
      <c r="A36" s="18"/>
      <c r="B36" s="673" t="s">
        <v>28</v>
      </c>
      <c r="C36" s="674"/>
      <c r="D36" s="667" t="s">
        <v>29</v>
      </c>
      <c r="E36" s="668"/>
      <c r="F36" s="91" t="s">
        <v>23</v>
      </c>
      <c r="G36" s="534">
        <f>+COTIZACION!D15</f>
        <v>5</v>
      </c>
      <c r="H36" s="536" t="str">
        <f>+VLOOKUP(G36,J228:K233,2,FALSE)</f>
        <v>A</v>
      </c>
      <c r="I36" s="535">
        <v>350000</v>
      </c>
      <c r="J36" s="171">
        <v>0.88</v>
      </c>
      <c r="K36"/>
      <c r="L36" s="173">
        <v>40000</v>
      </c>
      <c r="M36" s="171">
        <f t="shared" si="0"/>
        <v>885.46</v>
      </c>
      <c r="N36" s="528"/>
      <c r="O36" s="599"/>
      <c r="P36" s="43"/>
      <c r="Q36" s="43"/>
      <c r="R36" s="43"/>
      <c r="S36" s="43"/>
      <c r="T36" s="606"/>
      <c r="U36" s="606"/>
      <c r="V36" s="606"/>
      <c r="W36" s="606"/>
      <c r="X36" s="606"/>
      <c r="Y36" s="606"/>
      <c r="Z36" s="606"/>
      <c r="AA36" s="606"/>
      <c r="AB36" s="606"/>
      <c r="AC36" s="606"/>
      <c r="AD36" s="606"/>
      <c r="AE36" s="606"/>
      <c r="AF36" s="606"/>
      <c r="AG36" s="606"/>
      <c r="AH36" s="606"/>
      <c r="AI36" s="606"/>
      <c r="AJ36" s="606"/>
      <c r="AK36" s="606"/>
      <c r="AL36" s="606"/>
      <c r="AM36" s="606"/>
      <c r="AN36" s="606"/>
      <c r="AO36" s="606"/>
      <c r="AP36" s="606"/>
      <c r="AQ36" s="606"/>
      <c r="AR36" s="606"/>
      <c r="AS36" s="606"/>
      <c r="AT36" s="606"/>
      <c r="AU36" s="606"/>
      <c r="AV36" s="606"/>
      <c r="AW36" s="606"/>
      <c r="AX36" s="606"/>
      <c r="AY36" s="606"/>
      <c r="AZ36" s="606"/>
      <c r="BA36" s="606"/>
      <c r="BB36" s="606"/>
      <c r="BC36" s="606"/>
      <c r="BD36" s="606"/>
      <c r="BE36" s="606"/>
      <c r="BF36" s="606"/>
    </row>
    <row r="37" spans="1:58" hidden="1">
      <c r="A37" s="408">
        <f>VLOOKUP(CONCATENATE(COTIZACION!D8,COTIZACION!D9),COTIZACION!H244:I246,2,0)</f>
        <v>0</v>
      </c>
      <c r="B37" s="90" t="s">
        <v>30</v>
      </c>
      <c r="C37" s="195">
        <v>10000000</v>
      </c>
      <c r="D37" s="196">
        <v>15000</v>
      </c>
      <c r="E37" s="197"/>
      <c r="F37" s="92" t="s">
        <v>24</v>
      </c>
      <c r="G37" s="93">
        <f>VLOOKUP(G36,F30:G35,2,FALSE)</f>
        <v>1</v>
      </c>
      <c r="H37" s="19"/>
      <c r="I37" s="208">
        <v>400000</v>
      </c>
      <c r="J37" s="171">
        <v>0.9</v>
      </c>
      <c r="K37"/>
      <c r="L37" s="173">
        <v>50000</v>
      </c>
      <c r="M37" s="171">
        <f t="shared" si="0"/>
        <v>1106.82</v>
      </c>
      <c r="N37" s="528"/>
      <c r="O37" s="599"/>
      <c r="P37" s="19"/>
      <c r="Q37" s="43"/>
      <c r="R37" s="19"/>
      <c r="S37" s="71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6"/>
      <c r="AH37" s="606"/>
      <c r="AI37" s="606"/>
      <c r="AJ37" s="606"/>
      <c r="AK37" s="606"/>
      <c r="AL37" s="606"/>
      <c r="AM37" s="606"/>
      <c r="AN37" s="606"/>
      <c r="AO37" s="606"/>
      <c r="AP37" s="606"/>
      <c r="AQ37" s="606"/>
      <c r="AR37" s="606"/>
      <c r="AS37" s="606"/>
      <c r="AT37" s="606"/>
      <c r="AU37" s="606"/>
      <c r="AV37" s="606"/>
      <c r="AW37" s="606"/>
      <c r="AX37" s="606"/>
      <c r="AY37" s="606"/>
      <c r="AZ37" s="606"/>
      <c r="BA37" s="606"/>
      <c r="BB37" s="606"/>
      <c r="BC37" s="606"/>
      <c r="BD37" s="606"/>
      <c r="BE37" s="606"/>
      <c r="BF37" s="606"/>
    </row>
    <row r="38" spans="1:58" ht="13" hidden="1" thickBot="1">
      <c r="A38" s="20" t="s">
        <v>31</v>
      </c>
      <c r="B38" s="21" t="s">
        <v>32</v>
      </c>
      <c r="C38" s="22" t="s">
        <v>33</v>
      </c>
      <c r="D38" s="21" t="s">
        <v>32</v>
      </c>
      <c r="E38" s="22" t="s">
        <v>33</v>
      </c>
      <c r="F38" s="94" t="s">
        <v>32</v>
      </c>
      <c r="G38" s="95" t="s">
        <v>33</v>
      </c>
      <c r="H38" s="43"/>
      <c r="I38" s="208">
        <v>450000</v>
      </c>
      <c r="J38" s="171">
        <v>0.91</v>
      </c>
      <c r="K38"/>
      <c r="L38" s="173">
        <v>75000</v>
      </c>
      <c r="M38" s="171">
        <f t="shared" si="0"/>
        <v>1660.23</v>
      </c>
      <c r="N38" s="528"/>
      <c r="O38" s="599"/>
      <c r="P38" s="43"/>
      <c r="Q38" s="19"/>
      <c r="R38" s="43"/>
      <c r="S38" s="19"/>
      <c r="T38" s="606"/>
      <c r="U38" s="606"/>
      <c r="V38" s="606"/>
      <c r="W38" s="606"/>
      <c r="X38" s="606"/>
      <c r="Y38" s="606"/>
      <c r="Z38" s="606"/>
      <c r="AA38" s="606"/>
      <c r="AB38" s="606"/>
      <c r="AC38" s="606"/>
      <c r="AD38" s="606"/>
      <c r="AE38" s="606"/>
      <c r="AF38" s="606"/>
      <c r="AG38" s="606"/>
      <c r="AH38" s="606"/>
      <c r="AI38" s="606"/>
      <c r="AJ38" s="606"/>
      <c r="AK38" s="606"/>
      <c r="AL38" s="606"/>
      <c r="AM38" s="606"/>
      <c r="AN38" s="606"/>
      <c r="AO38" s="606"/>
      <c r="AP38" s="606"/>
      <c r="AQ38" s="606"/>
      <c r="AR38" s="606"/>
      <c r="AS38" s="606"/>
      <c r="AT38" s="606"/>
      <c r="AU38" s="606"/>
      <c r="AV38" s="606"/>
      <c r="AW38" s="606"/>
      <c r="AX38" s="606"/>
      <c r="AY38" s="606"/>
      <c r="AZ38" s="606"/>
      <c r="BA38" s="606"/>
      <c r="BB38" s="606"/>
      <c r="BC38" s="606"/>
      <c r="BD38" s="606"/>
      <c r="BE38" s="606"/>
      <c r="BF38" s="606"/>
    </row>
    <row r="39" spans="1:58" ht="13" hidden="1" thickTop="1">
      <c r="A39" s="607">
        <v>0</v>
      </c>
      <c r="B39" s="608">
        <f t="shared" ref="B39:B70" si="1">IF($A$37=$C$130,ROUND(C132*(1-DESC),2),ROUND(E132*(1-DESC),2))</f>
        <v>17575.080000000002</v>
      </c>
      <c r="C39" s="608">
        <f t="shared" ref="C39:C70" si="2">IF($A$37=$C$130,ROUND(D132*(1-DESC),2),ROUND(F132*(1-DESC),2))</f>
        <v>17648.740000000002</v>
      </c>
      <c r="D39" s="609">
        <f>B39</f>
        <v>17575.080000000002</v>
      </c>
      <c r="E39" s="609">
        <f>C39</f>
        <v>17648.740000000002</v>
      </c>
      <c r="F39" s="610">
        <f t="shared" ref="F39:G44" si="3">ROUND(D39*$G$37,2)</f>
        <v>17575.080000000002</v>
      </c>
      <c r="G39" s="610">
        <f t="shared" si="3"/>
        <v>17648.740000000002</v>
      </c>
      <c r="H39" s="611"/>
      <c r="I39" s="208">
        <v>500000</v>
      </c>
      <c r="J39" s="171">
        <v>0.92</v>
      </c>
      <c r="K39" s="191"/>
      <c r="L39" s="173">
        <v>100000</v>
      </c>
      <c r="M39" s="171">
        <f t="shared" si="0"/>
        <v>2213.64</v>
      </c>
      <c r="N39" s="528"/>
      <c r="O39" s="599"/>
      <c r="P39" s="611"/>
      <c r="Q39" s="611"/>
      <c r="R39" s="611"/>
      <c r="S39" s="611"/>
      <c r="T39" s="606"/>
      <c r="U39" s="606"/>
      <c r="V39" s="606"/>
      <c r="W39" s="606"/>
      <c r="X39" s="606"/>
      <c r="Y39" s="606"/>
      <c r="Z39" s="606"/>
      <c r="AA39" s="606"/>
      <c r="AB39" s="606"/>
      <c r="AC39" s="606"/>
      <c r="AD39" s="606"/>
      <c r="AE39" s="606"/>
      <c r="AF39" s="606"/>
      <c r="AG39" s="606"/>
      <c r="AH39" s="606"/>
      <c r="AI39" s="606"/>
      <c r="AJ39" s="606"/>
      <c r="AK39" s="606"/>
      <c r="AL39" s="606"/>
      <c r="AM39" s="606"/>
      <c r="AN39" s="606"/>
      <c r="AO39" s="606"/>
      <c r="AP39" s="606"/>
      <c r="AQ39" s="606"/>
      <c r="AR39" s="606"/>
      <c r="AS39" s="606"/>
      <c r="AT39" s="606"/>
      <c r="AU39" s="606"/>
      <c r="AV39" s="606"/>
      <c r="AW39" s="606"/>
      <c r="AX39" s="606"/>
      <c r="AY39" s="606"/>
      <c r="AZ39" s="606"/>
      <c r="BA39" s="606"/>
      <c r="BB39" s="606"/>
      <c r="BC39" s="606"/>
      <c r="BD39" s="606"/>
      <c r="BE39" s="606"/>
      <c r="BF39" s="606"/>
    </row>
    <row r="40" spans="1:58" hidden="1">
      <c r="A40" s="607">
        <v>1</v>
      </c>
      <c r="B40" s="612">
        <f t="shared" si="1"/>
        <v>17575.080000000002</v>
      </c>
      <c r="C40" s="612">
        <f t="shared" si="2"/>
        <v>17648.740000000002</v>
      </c>
      <c r="D40" s="613">
        <f t="shared" ref="D40:D103" si="4">B40</f>
        <v>17575.080000000002</v>
      </c>
      <c r="E40" s="613">
        <f t="shared" ref="E40:E71" si="5">C40</f>
        <v>17648.740000000002</v>
      </c>
      <c r="F40" s="614">
        <f t="shared" si="3"/>
        <v>17575.080000000002</v>
      </c>
      <c r="G40" s="614">
        <f t="shared" si="3"/>
        <v>17648.740000000002</v>
      </c>
      <c r="H40" s="611"/>
      <c r="I40" s="208">
        <v>550000</v>
      </c>
      <c r="J40" s="171">
        <v>0.93</v>
      </c>
      <c r="K40" s="191"/>
      <c r="L40" s="173">
        <v>150000</v>
      </c>
      <c r="M40" s="171">
        <f t="shared" si="0"/>
        <v>3320.46</v>
      </c>
      <c r="N40" s="528"/>
      <c r="O40" s="599"/>
      <c r="P40" s="611"/>
      <c r="Q40" s="611"/>
      <c r="R40" s="611"/>
      <c r="S40" s="611"/>
      <c r="T40" s="606"/>
      <c r="U40" s="606"/>
      <c r="V40" s="606"/>
      <c r="W40" s="606"/>
      <c r="X40" s="606"/>
      <c r="Y40" s="606"/>
      <c r="Z40" s="606"/>
      <c r="AA40" s="606"/>
      <c r="AB40" s="606"/>
      <c r="AC40" s="606"/>
      <c r="AD40" s="606"/>
      <c r="AE40" s="606"/>
      <c r="AF40" s="606"/>
      <c r="AG40" s="606"/>
      <c r="AH40" s="606"/>
      <c r="AI40" s="606"/>
      <c r="AJ40" s="606"/>
      <c r="AK40" s="606"/>
      <c r="AL40" s="606"/>
      <c r="AM40" s="606"/>
      <c r="AN40" s="606"/>
      <c r="AO40" s="606"/>
      <c r="AP40" s="606"/>
      <c r="AQ40" s="606"/>
      <c r="AR40" s="606"/>
      <c r="AS40" s="606"/>
      <c r="AT40" s="606"/>
      <c r="AU40" s="606"/>
      <c r="AV40" s="606"/>
      <c r="AW40" s="606"/>
      <c r="AX40" s="606"/>
      <c r="AY40" s="606"/>
      <c r="AZ40" s="606"/>
      <c r="BA40" s="606"/>
      <c r="BB40" s="606"/>
      <c r="BC40" s="606"/>
      <c r="BD40" s="606"/>
      <c r="BE40" s="606"/>
      <c r="BF40" s="606"/>
    </row>
    <row r="41" spans="1:58" hidden="1">
      <c r="A41" s="607">
        <f>+A40+1</f>
        <v>2</v>
      </c>
      <c r="B41" s="612">
        <f t="shared" si="1"/>
        <v>17575.080000000002</v>
      </c>
      <c r="C41" s="612">
        <f t="shared" si="2"/>
        <v>17648.740000000002</v>
      </c>
      <c r="D41" s="613">
        <f t="shared" si="4"/>
        <v>17575.080000000002</v>
      </c>
      <c r="E41" s="613">
        <f t="shared" si="5"/>
        <v>17648.740000000002</v>
      </c>
      <c r="F41" s="614">
        <f t="shared" si="3"/>
        <v>17575.080000000002</v>
      </c>
      <c r="G41" s="614">
        <f t="shared" si="3"/>
        <v>17648.740000000002</v>
      </c>
      <c r="H41" s="611"/>
      <c r="I41" s="208">
        <v>600000</v>
      </c>
      <c r="J41" s="171">
        <v>0.94</v>
      </c>
      <c r="K41" s="191"/>
      <c r="L41" s="173">
        <v>200000</v>
      </c>
      <c r="M41" s="171">
        <f t="shared" si="0"/>
        <v>4427.28</v>
      </c>
      <c r="N41" s="528"/>
      <c r="O41" s="599"/>
      <c r="P41" s="611"/>
      <c r="Q41" s="611"/>
      <c r="R41" s="611"/>
      <c r="S41" s="611"/>
      <c r="T41" s="606"/>
      <c r="U41" s="606"/>
      <c r="V41" s="606"/>
      <c r="W41" s="606"/>
      <c r="X41" s="606"/>
      <c r="Y41" s="606"/>
      <c r="Z41" s="606"/>
      <c r="AA41" s="606"/>
      <c r="AB41" s="606"/>
      <c r="AC41" s="606"/>
      <c r="AD41" s="606"/>
      <c r="AE41" s="606"/>
      <c r="AF41" s="606"/>
      <c r="AG41" s="606"/>
      <c r="AH41" s="606"/>
      <c r="AI41" s="606"/>
      <c r="AJ41" s="606"/>
      <c r="AK41" s="606"/>
      <c r="AL41" s="606"/>
      <c r="AM41" s="606"/>
      <c r="AN41" s="606"/>
      <c r="AO41" s="606"/>
      <c r="AP41" s="606"/>
      <c r="AQ41" s="606"/>
      <c r="AR41" s="606"/>
      <c r="AS41" s="606"/>
      <c r="AT41" s="606"/>
      <c r="AU41" s="606"/>
      <c r="AV41" s="606"/>
      <c r="AW41" s="606"/>
      <c r="AX41" s="606"/>
      <c r="AY41" s="606"/>
      <c r="AZ41" s="606"/>
      <c r="BA41" s="606"/>
      <c r="BB41" s="606"/>
      <c r="BC41" s="606"/>
      <c r="BD41" s="606"/>
      <c r="BE41" s="606"/>
      <c r="BF41" s="606"/>
    </row>
    <row r="42" spans="1:58" hidden="1">
      <c r="A42" s="607">
        <f t="shared" ref="A42:A105" si="6">+A41+1</f>
        <v>3</v>
      </c>
      <c r="B42" s="612">
        <f t="shared" si="1"/>
        <v>17575.080000000002</v>
      </c>
      <c r="C42" s="612">
        <f t="shared" si="2"/>
        <v>17648.740000000002</v>
      </c>
      <c r="D42" s="613">
        <f t="shared" si="4"/>
        <v>17575.080000000002</v>
      </c>
      <c r="E42" s="613">
        <f t="shared" si="5"/>
        <v>17648.740000000002</v>
      </c>
      <c r="F42" s="614">
        <f t="shared" si="3"/>
        <v>17575.080000000002</v>
      </c>
      <c r="G42" s="614">
        <f t="shared" si="3"/>
        <v>17648.740000000002</v>
      </c>
      <c r="H42" s="611"/>
      <c r="I42" s="208">
        <v>650000</v>
      </c>
      <c r="J42" s="171">
        <v>0.95</v>
      </c>
      <c r="K42" s="191"/>
      <c r="L42" s="173">
        <v>250000</v>
      </c>
      <c r="M42" s="171">
        <f t="shared" ref="M42:M52" si="7">ROUND(L42/$L$33*$M$33,2)</f>
        <v>5534.1</v>
      </c>
      <c r="N42" s="528"/>
      <c r="O42" s="599"/>
      <c r="P42" s="611"/>
      <c r="Q42" s="611"/>
      <c r="R42" s="611"/>
      <c r="S42" s="611"/>
      <c r="T42" s="606"/>
      <c r="U42" s="606"/>
      <c r="V42" s="606"/>
      <c r="W42" s="606"/>
      <c r="X42" s="606"/>
      <c r="Y42" s="606"/>
      <c r="Z42" s="606"/>
      <c r="AA42" s="606"/>
      <c r="AB42" s="606"/>
      <c r="AC42" s="606"/>
      <c r="AD42" s="606"/>
      <c r="AE42" s="606"/>
      <c r="AF42" s="606"/>
      <c r="AG42" s="606"/>
      <c r="AH42" s="606"/>
      <c r="AI42" s="606"/>
      <c r="AJ42" s="606"/>
      <c r="AK42" s="606"/>
      <c r="AL42" s="606"/>
      <c r="AM42" s="606"/>
      <c r="AN42" s="606"/>
      <c r="AO42" s="606"/>
      <c r="AP42" s="606"/>
      <c r="AQ42" s="606"/>
      <c r="AR42" s="606"/>
      <c r="AS42" s="606"/>
      <c r="AT42" s="606"/>
      <c r="AU42" s="606"/>
      <c r="AV42" s="606"/>
      <c r="AW42" s="606"/>
      <c r="AX42" s="606"/>
      <c r="AY42" s="606"/>
      <c r="AZ42" s="606"/>
      <c r="BA42" s="606"/>
      <c r="BB42" s="606"/>
      <c r="BC42" s="606"/>
      <c r="BD42" s="606"/>
      <c r="BE42" s="606"/>
      <c r="BF42" s="606"/>
    </row>
    <row r="43" spans="1:58" hidden="1">
      <c r="A43" s="607">
        <f t="shared" si="6"/>
        <v>4</v>
      </c>
      <c r="B43" s="612">
        <f t="shared" si="1"/>
        <v>17575.080000000002</v>
      </c>
      <c r="C43" s="612">
        <f t="shared" si="2"/>
        <v>17648.740000000002</v>
      </c>
      <c r="D43" s="613">
        <f t="shared" si="4"/>
        <v>17575.080000000002</v>
      </c>
      <c r="E43" s="613">
        <f t="shared" si="5"/>
        <v>17648.740000000002</v>
      </c>
      <c r="F43" s="614">
        <f t="shared" si="3"/>
        <v>17575.080000000002</v>
      </c>
      <c r="G43" s="614">
        <f t="shared" si="3"/>
        <v>17648.740000000002</v>
      </c>
      <c r="H43" s="611"/>
      <c r="I43" s="208">
        <v>700000</v>
      </c>
      <c r="J43" s="171">
        <v>0.96</v>
      </c>
      <c r="K43" s="191"/>
      <c r="L43" s="173">
        <v>300000</v>
      </c>
      <c r="M43" s="171">
        <f t="shared" si="7"/>
        <v>6640.93</v>
      </c>
      <c r="N43" s="528"/>
      <c r="O43" s="599"/>
      <c r="P43" s="611"/>
      <c r="Q43" s="611"/>
      <c r="R43" s="611"/>
      <c r="S43" s="611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  <c r="AO43" s="606"/>
      <c r="AP43" s="606"/>
      <c r="AQ43" s="606"/>
      <c r="AR43" s="606"/>
      <c r="AS43" s="606"/>
      <c r="AT43" s="606"/>
      <c r="AU43" s="606"/>
      <c r="AV43" s="606"/>
      <c r="AW43" s="606"/>
      <c r="AX43" s="606"/>
      <c r="AY43" s="606"/>
      <c r="AZ43" s="606"/>
      <c r="BA43" s="606"/>
      <c r="BB43" s="606"/>
      <c r="BC43" s="606"/>
      <c r="BD43" s="606"/>
      <c r="BE43" s="606"/>
      <c r="BF43" s="606"/>
    </row>
    <row r="44" spans="1:58" hidden="1">
      <c r="A44" s="607">
        <f t="shared" si="6"/>
        <v>5</v>
      </c>
      <c r="B44" s="612">
        <f t="shared" si="1"/>
        <v>17575.080000000002</v>
      </c>
      <c r="C44" s="612">
        <f t="shared" si="2"/>
        <v>17648.740000000002</v>
      </c>
      <c r="D44" s="613">
        <f t="shared" si="4"/>
        <v>17575.080000000002</v>
      </c>
      <c r="E44" s="613">
        <f t="shared" si="5"/>
        <v>17648.740000000002</v>
      </c>
      <c r="F44" s="614">
        <f t="shared" si="3"/>
        <v>17575.080000000002</v>
      </c>
      <c r="G44" s="614">
        <f t="shared" si="3"/>
        <v>17648.740000000002</v>
      </c>
      <c r="H44" s="611"/>
      <c r="I44" s="208">
        <v>750000</v>
      </c>
      <c r="J44" s="171">
        <v>0.97</v>
      </c>
      <c r="K44" s="191"/>
      <c r="L44" s="173">
        <v>350000</v>
      </c>
      <c r="M44" s="171">
        <f t="shared" si="7"/>
        <v>7747.75</v>
      </c>
      <c r="N44" s="528"/>
      <c r="O44" s="599"/>
      <c r="P44" s="611"/>
      <c r="Q44" s="611"/>
      <c r="R44" s="611"/>
      <c r="S44" s="611"/>
      <c r="T44" s="606"/>
      <c r="U44" s="606"/>
      <c r="V44" s="606"/>
      <c r="W44" s="606"/>
      <c r="X44" s="606"/>
      <c r="Y44" s="606"/>
      <c r="Z44" s="606"/>
      <c r="AA44" s="606"/>
      <c r="AB44" s="606"/>
      <c r="AC44" s="606"/>
      <c r="AD44" s="606"/>
      <c r="AE44" s="606"/>
      <c r="AF44" s="606"/>
      <c r="AG44" s="606"/>
      <c r="AH44" s="606"/>
      <c r="AI44" s="606"/>
      <c r="AJ44" s="606"/>
      <c r="AK44" s="606"/>
      <c r="AL44" s="606"/>
      <c r="AM44" s="606"/>
      <c r="AN44" s="606"/>
      <c r="AO44" s="606"/>
      <c r="AP44" s="606"/>
      <c r="AQ44" s="606"/>
      <c r="AR44" s="606"/>
      <c r="AS44" s="606"/>
      <c r="AT44" s="606"/>
      <c r="AU44" s="606"/>
      <c r="AV44" s="606"/>
      <c r="AW44" s="606"/>
      <c r="AX44" s="606"/>
      <c r="AY44" s="606"/>
      <c r="AZ44" s="606"/>
      <c r="BA44" s="606"/>
      <c r="BB44" s="606"/>
      <c r="BC44" s="606"/>
      <c r="BD44" s="606"/>
      <c r="BE44" s="606"/>
      <c r="BF44" s="606"/>
    </row>
    <row r="45" spans="1:58" hidden="1">
      <c r="A45" s="607">
        <f t="shared" si="6"/>
        <v>6</v>
      </c>
      <c r="B45" s="612">
        <f t="shared" si="1"/>
        <v>17575.080000000002</v>
      </c>
      <c r="C45" s="612">
        <f t="shared" si="2"/>
        <v>17648.740000000002</v>
      </c>
      <c r="D45" s="613">
        <f t="shared" si="4"/>
        <v>17575.080000000002</v>
      </c>
      <c r="E45" s="613">
        <f t="shared" si="5"/>
        <v>17648.740000000002</v>
      </c>
      <c r="F45" s="614">
        <f t="shared" ref="F45:F76" si="8">ROUND(D45*$G$37,2)</f>
        <v>17575.080000000002</v>
      </c>
      <c r="G45" s="614">
        <f t="shared" ref="G45:G103" si="9">ROUND(E45*$G$37,2)</f>
        <v>17648.740000000002</v>
      </c>
      <c r="H45" s="611"/>
      <c r="I45" s="208">
        <v>1000000</v>
      </c>
      <c r="J45" s="171">
        <v>1</v>
      </c>
      <c r="K45" s="191"/>
      <c r="L45" s="173">
        <v>400000</v>
      </c>
      <c r="M45" s="171">
        <f t="shared" si="7"/>
        <v>8854.57</v>
      </c>
      <c r="N45" s="528"/>
      <c r="O45" s="599"/>
      <c r="P45" s="611"/>
      <c r="Q45" s="611"/>
      <c r="R45" s="611"/>
      <c r="S45" s="611"/>
      <c r="T45" s="606"/>
      <c r="U45" s="606"/>
      <c r="V45" s="606"/>
      <c r="W45" s="606"/>
      <c r="X45" s="606"/>
      <c r="Y45" s="606"/>
      <c r="Z45" s="606"/>
      <c r="AA45" s="606"/>
      <c r="AB45" s="606"/>
      <c r="AC45" s="606"/>
      <c r="AD45" s="606"/>
      <c r="AE45" s="606"/>
      <c r="AF45" s="606"/>
      <c r="AG45" s="606"/>
      <c r="AH45" s="606"/>
      <c r="AI45" s="606"/>
      <c r="AJ45" s="606"/>
      <c r="AK45" s="606"/>
      <c r="AL45" s="606"/>
      <c r="AM45" s="606"/>
      <c r="AN45" s="606"/>
      <c r="AO45" s="606"/>
      <c r="AP45" s="606"/>
      <c r="AQ45" s="606"/>
      <c r="AR45" s="606"/>
      <c r="AS45" s="606"/>
      <c r="AT45" s="606"/>
      <c r="AU45" s="606"/>
      <c r="AV45" s="606"/>
      <c r="AW45" s="606"/>
      <c r="AX45" s="606"/>
      <c r="AY45" s="606"/>
      <c r="AZ45" s="606"/>
      <c r="BA45" s="606"/>
      <c r="BB45" s="606"/>
      <c r="BC45" s="606"/>
      <c r="BD45" s="606"/>
      <c r="BE45" s="606"/>
      <c r="BF45" s="606"/>
    </row>
    <row r="46" spans="1:58" hidden="1">
      <c r="A46" s="607">
        <f t="shared" si="6"/>
        <v>7</v>
      </c>
      <c r="B46" s="612">
        <f t="shared" si="1"/>
        <v>17575.080000000002</v>
      </c>
      <c r="C46" s="612">
        <f t="shared" si="2"/>
        <v>17648.740000000002</v>
      </c>
      <c r="D46" s="613">
        <f t="shared" si="4"/>
        <v>17575.080000000002</v>
      </c>
      <c r="E46" s="613">
        <f t="shared" si="5"/>
        <v>17648.740000000002</v>
      </c>
      <c r="F46" s="614">
        <f t="shared" si="8"/>
        <v>17575.080000000002</v>
      </c>
      <c r="G46" s="614">
        <f t="shared" si="9"/>
        <v>17648.740000000002</v>
      </c>
      <c r="H46" s="611"/>
      <c r="I46" s="208">
        <v>2000000</v>
      </c>
      <c r="J46" s="171">
        <v>1.08</v>
      </c>
      <c r="K46" s="191"/>
      <c r="L46" s="173">
        <v>450000</v>
      </c>
      <c r="M46" s="171">
        <f t="shared" si="7"/>
        <v>9961.39</v>
      </c>
      <c r="N46" s="528"/>
      <c r="O46" s="599"/>
      <c r="P46" s="611"/>
      <c r="Q46" s="611"/>
      <c r="R46" s="611"/>
      <c r="S46" s="611"/>
      <c r="T46" s="606"/>
      <c r="U46" s="606"/>
      <c r="V46" s="606"/>
      <c r="W46" s="606"/>
      <c r="X46" s="606"/>
      <c r="Y46" s="606"/>
      <c r="Z46" s="606"/>
      <c r="AA46" s="606"/>
      <c r="AB46" s="606"/>
      <c r="AC46" s="606"/>
      <c r="AD46" s="606"/>
      <c r="AE46" s="606"/>
      <c r="AF46" s="606"/>
      <c r="AG46" s="606"/>
      <c r="AH46" s="606"/>
      <c r="AI46" s="606"/>
      <c r="AJ46" s="606"/>
      <c r="AK46" s="606"/>
      <c r="AL46" s="606"/>
      <c r="AM46" s="606"/>
      <c r="AN46" s="606"/>
      <c r="AO46" s="606"/>
      <c r="AP46" s="606"/>
      <c r="AQ46" s="606"/>
      <c r="AR46" s="606"/>
      <c r="AS46" s="606"/>
      <c r="AT46" s="606"/>
      <c r="AU46" s="606"/>
      <c r="AV46" s="606"/>
      <c r="AW46" s="606"/>
      <c r="AX46" s="606"/>
      <c r="AY46" s="606"/>
      <c r="AZ46" s="606"/>
      <c r="BA46" s="606"/>
      <c r="BB46" s="606"/>
      <c r="BC46" s="606"/>
      <c r="BD46" s="606"/>
      <c r="BE46" s="606"/>
      <c r="BF46" s="606"/>
    </row>
    <row r="47" spans="1:58" hidden="1">
      <c r="A47" s="607">
        <f t="shared" si="6"/>
        <v>8</v>
      </c>
      <c r="B47" s="612">
        <f t="shared" si="1"/>
        <v>17575.080000000002</v>
      </c>
      <c r="C47" s="612">
        <f t="shared" si="2"/>
        <v>17648.740000000002</v>
      </c>
      <c r="D47" s="613">
        <f t="shared" si="4"/>
        <v>17575.080000000002</v>
      </c>
      <c r="E47" s="613">
        <f t="shared" si="5"/>
        <v>17648.740000000002</v>
      </c>
      <c r="F47" s="614">
        <f t="shared" si="8"/>
        <v>17575.080000000002</v>
      </c>
      <c r="G47" s="614">
        <f t="shared" si="9"/>
        <v>17648.740000000002</v>
      </c>
      <c r="H47" s="611"/>
      <c r="I47" s="208">
        <v>3000000</v>
      </c>
      <c r="J47" s="171">
        <v>1.1299999999999999</v>
      </c>
      <c r="K47" s="191"/>
      <c r="L47" s="173">
        <v>500000</v>
      </c>
      <c r="M47" s="171">
        <f t="shared" si="7"/>
        <v>11068.21</v>
      </c>
      <c r="N47" s="528"/>
      <c r="O47" s="599"/>
      <c r="P47" s="611"/>
      <c r="Q47" s="611"/>
      <c r="R47" s="611"/>
      <c r="S47" s="611"/>
      <c r="T47" s="606"/>
      <c r="U47" s="606"/>
      <c r="V47" s="606"/>
      <c r="W47" s="606"/>
      <c r="X47" s="606"/>
      <c r="Y47" s="606"/>
      <c r="Z47" s="606"/>
      <c r="AA47" s="606"/>
      <c r="AB47" s="606"/>
      <c r="AC47" s="606"/>
      <c r="AD47" s="606"/>
      <c r="AE47" s="606"/>
      <c r="AF47" s="606"/>
      <c r="AG47" s="606"/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06"/>
      <c r="AV47" s="606"/>
      <c r="AW47" s="606"/>
      <c r="AX47" s="606"/>
      <c r="AY47" s="606"/>
      <c r="AZ47" s="606"/>
      <c r="BA47" s="606"/>
      <c r="BB47" s="606"/>
      <c r="BC47" s="606"/>
      <c r="BD47" s="606"/>
      <c r="BE47" s="606"/>
      <c r="BF47" s="606"/>
    </row>
    <row r="48" spans="1:58" hidden="1">
      <c r="A48" s="607">
        <f t="shared" si="6"/>
        <v>9</v>
      </c>
      <c r="B48" s="612">
        <f t="shared" si="1"/>
        <v>17575.080000000002</v>
      </c>
      <c r="C48" s="612">
        <f t="shared" si="2"/>
        <v>17648.740000000002</v>
      </c>
      <c r="D48" s="613">
        <f t="shared" si="4"/>
        <v>17575.080000000002</v>
      </c>
      <c r="E48" s="613">
        <f t="shared" si="5"/>
        <v>17648.740000000002</v>
      </c>
      <c r="F48" s="614">
        <f t="shared" si="8"/>
        <v>17575.080000000002</v>
      </c>
      <c r="G48" s="614">
        <f t="shared" si="9"/>
        <v>17648.740000000002</v>
      </c>
      <c r="H48" s="611"/>
      <c r="I48" s="208">
        <v>4000000</v>
      </c>
      <c r="J48" s="171">
        <v>1.1599999999999999</v>
      </c>
      <c r="K48" s="191"/>
      <c r="L48" s="173">
        <v>550000</v>
      </c>
      <c r="M48" s="171">
        <f t="shared" si="7"/>
        <v>12175.03</v>
      </c>
      <c r="N48" s="528"/>
      <c r="O48" s="599"/>
      <c r="P48" s="611"/>
      <c r="Q48" s="611"/>
      <c r="R48" s="611"/>
      <c r="S48" s="611"/>
      <c r="T48" s="606"/>
      <c r="U48" s="606"/>
      <c r="V48" s="606"/>
      <c r="W48" s="606"/>
      <c r="X48" s="606"/>
      <c r="Y48" s="606"/>
      <c r="Z48" s="606"/>
      <c r="AA48" s="606"/>
      <c r="AB48" s="606"/>
      <c r="AC48" s="606"/>
      <c r="AD48" s="606"/>
      <c r="AE48" s="606"/>
      <c r="AF48" s="606"/>
      <c r="AG48" s="606"/>
      <c r="AH48" s="606"/>
      <c r="AI48" s="606"/>
      <c r="AJ48" s="606"/>
      <c r="AK48" s="606"/>
      <c r="AL48" s="606"/>
      <c r="AM48" s="606"/>
      <c r="AN48" s="606"/>
      <c r="AO48" s="606"/>
      <c r="AP48" s="606"/>
      <c r="AQ48" s="606"/>
      <c r="AR48" s="606"/>
      <c r="AS48" s="606"/>
      <c r="AT48" s="606"/>
      <c r="AU48" s="606"/>
      <c r="AV48" s="606"/>
      <c r="AW48" s="606"/>
      <c r="AX48" s="606"/>
      <c r="AY48" s="606"/>
      <c r="AZ48" s="606"/>
      <c r="BA48" s="606"/>
      <c r="BB48" s="606"/>
      <c r="BC48" s="606"/>
      <c r="BD48" s="606"/>
      <c r="BE48" s="606"/>
      <c r="BF48" s="606"/>
    </row>
    <row r="49" spans="1:58" hidden="1">
      <c r="A49" s="607">
        <f t="shared" si="6"/>
        <v>10</v>
      </c>
      <c r="B49" s="612">
        <f t="shared" si="1"/>
        <v>17575.080000000002</v>
      </c>
      <c r="C49" s="612">
        <f t="shared" si="2"/>
        <v>17648.740000000002</v>
      </c>
      <c r="D49" s="613">
        <f t="shared" si="4"/>
        <v>17575.080000000002</v>
      </c>
      <c r="E49" s="613">
        <f t="shared" si="5"/>
        <v>17648.740000000002</v>
      </c>
      <c r="F49" s="614">
        <f t="shared" si="8"/>
        <v>17575.080000000002</v>
      </c>
      <c r="G49" s="614">
        <f t="shared" si="9"/>
        <v>17648.740000000002</v>
      </c>
      <c r="H49" s="611"/>
      <c r="I49" s="208">
        <v>5000000</v>
      </c>
      <c r="J49" s="171">
        <v>1.18</v>
      </c>
      <c r="K49" s="191"/>
      <c r="L49" s="173">
        <v>600000</v>
      </c>
      <c r="M49" s="171">
        <f t="shared" si="7"/>
        <v>13281.85</v>
      </c>
      <c r="N49" s="528"/>
      <c r="O49" s="599"/>
      <c r="P49" s="611"/>
      <c r="Q49" s="611"/>
      <c r="R49" s="611"/>
      <c r="S49" s="611"/>
      <c r="T49" s="606"/>
      <c r="U49" s="606"/>
      <c r="V49" s="606"/>
      <c r="W49" s="606"/>
      <c r="X49" s="606"/>
      <c r="Y49" s="606"/>
      <c r="Z49" s="606"/>
      <c r="AA49" s="606"/>
      <c r="AB49" s="606"/>
      <c r="AC49" s="606"/>
      <c r="AD49" s="606"/>
      <c r="AE49" s="606"/>
      <c r="AF49" s="606"/>
      <c r="AG49" s="606"/>
      <c r="AH49" s="606"/>
      <c r="AI49" s="606"/>
      <c r="AJ49" s="606"/>
      <c r="AK49" s="606"/>
      <c r="AL49" s="606"/>
      <c r="AM49" s="606"/>
      <c r="AN49" s="606"/>
      <c r="AO49" s="606"/>
      <c r="AP49" s="606"/>
      <c r="AQ49" s="606"/>
      <c r="AR49" s="606"/>
      <c r="AS49" s="606"/>
      <c r="AT49" s="606"/>
      <c r="AU49" s="606"/>
      <c r="AV49" s="606"/>
      <c r="AW49" s="606"/>
      <c r="AX49" s="606"/>
      <c r="AY49" s="606"/>
      <c r="AZ49" s="606"/>
      <c r="BA49" s="606"/>
      <c r="BB49" s="606"/>
      <c r="BC49" s="606"/>
      <c r="BD49" s="606"/>
      <c r="BE49" s="606"/>
      <c r="BF49" s="606"/>
    </row>
    <row r="50" spans="1:58" hidden="1">
      <c r="A50" s="607">
        <f t="shared" si="6"/>
        <v>11</v>
      </c>
      <c r="B50" s="612">
        <f t="shared" si="1"/>
        <v>17774.04</v>
      </c>
      <c r="C50" s="612">
        <f t="shared" si="2"/>
        <v>17639.93</v>
      </c>
      <c r="D50" s="613">
        <f t="shared" si="4"/>
        <v>17774.04</v>
      </c>
      <c r="E50" s="613">
        <f t="shared" si="5"/>
        <v>17639.93</v>
      </c>
      <c r="F50" s="614">
        <f t="shared" si="8"/>
        <v>17774.04</v>
      </c>
      <c r="G50" s="614">
        <f t="shared" si="9"/>
        <v>17639.93</v>
      </c>
      <c r="H50" s="611"/>
      <c r="I50" s="208">
        <v>6000000</v>
      </c>
      <c r="J50" s="171">
        <v>1.2</v>
      </c>
      <c r="K50" s="191"/>
      <c r="L50" s="173">
        <v>650000</v>
      </c>
      <c r="M50" s="171">
        <f t="shared" si="7"/>
        <v>14388.67</v>
      </c>
      <c r="N50" s="528"/>
      <c r="O50" s="599"/>
      <c r="P50" s="611"/>
      <c r="Q50" s="611"/>
      <c r="R50" s="611"/>
      <c r="S50" s="611"/>
      <c r="T50" s="606"/>
      <c r="U50" s="606"/>
      <c r="V50" s="606"/>
      <c r="W50" s="606"/>
      <c r="X50" s="606"/>
      <c r="Y50" s="606"/>
      <c r="Z50" s="606"/>
      <c r="AA50" s="606"/>
      <c r="AB50" s="606"/>
      <c r="AC50" s="606"/>
      <c r="AD50" s="606"/>
      <c r="AE50" s="606"/>
      <c r="AF50" s="606"/>
      <c r="AG50" s="606"/>
      <c r="AH50" s="606"/>
      <c r="AI50" s="606"/>
      <c r="AJ50" s="606"/>
      <c r="AK50" s="606"/>
      <c r="AL50" s="606"/>
      <c r="AM50" s="606"/>
      <c r="AN50" s="606"/>
      <c r="AO50" s="606"/>
      <c r="AP50" s="606"/>
      <c r="AQ50" s="606"/>
      <c r="AR50" s="606"/>
      <c r="AS50" s="606"/>
      <c r="AT50" s="606"/>
      <c r="AU50" s="606"/>
      <c r="AV50" s="606"/>
      <c r="AW50" s="606"/>
      <c r="AX50" s="606"/>
      <c r="AY50" s="606"/>
      <c r="AZ50" s="606"/>
      <c r="BA50" s="606"/>
      <c r="BB50" s="606"/>
      <c r="BC50" s="606"/>
      <c r="BD50" s="606"/>
      <c r="BE50" s="606"/>
      <c r="BF50" s="606"/>
    </row>
    <row r="51" spans="1:58" hidden="1">
      <c r="A51" s="607">
        <f t="shared" si="6"/>
        <v>12</v>
      </c>
      <c r="B51" s="612">
        <f t="shared" si="1"/>
        <v>17707.939999999999</v>
      </c>
      <c r="C51" s="612">
        <f t="shared" si="2"/>
        <v>17809.22</v>
      </c>
      <c r="D51" s="613">
        <f t="shared" si="4"/>
        <v>17707.939999999999</v>
      </c>
      <c r="E51" s="613">
        <f t="shared" si="5"/>
        <v>17809.22</v>
      </c>
      <c r="F51" s="614">
        <f t="shared" si="8"/>
        <v>17707.939999999999</v>
      </c>
      <c r="G51" s="614">
        <f t="shared" si="9"/>
        <v>17809.22</v>
      </c>
      <c r="H51" s="611"/>
      <c r="I51" s="208">
        <v>7000000</v>
      </c>
      <c r="J51" s="171">
        <v>1.22</v>
      </c>
      <c r="K51" s="191"/>
      <c r="L51" s="173">
        <v>700000</v>
      </c>
      <c r="M51" s="171">
        <f t="shared" si="7"/>
        <v>15495.49</v>
      </c>
      <c r="N51" s="528"/>
      <c r="O51" s="599"/>
      <c r="P51" s="611"/>
      <c r="Q51" s="611"/>
      <c r="R51" s="611"/>
      <c r="S51" s="611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N51" s="606"/>
      <c r="AO51" s="606"/>
      <c r="AP51" s="606"/>
      <c r="AQ51" s="606"/>
      <c r="AR51" s="606"/>
      <c r="AS51" s="606"/>
      <c r="AT51" s="606"/>
      <c r="AU51" s="606"/>
      <c r="AV51" s="606"/>
      <c r="AW51" s="606"/>
      <c r="AX51" s="606"/>
      <c r="AY51" s="606"/>
      <c r="AZ51" s="606"/>
      <c r="BA51" s="606"/>
      <c r="BB51" s="606"/>
      <c r="BC51" s="606"/>
      <c r="BD51" s="606"/>
      <c r="BE51" s="606"/>
      <c r="BF51" s="606"/>
    </row>
    <row r="52" spans="1:58" hidden="1">
      <c r="A52" s="607">
        <f t="shared" si="6"/>
        <v>13</v>
      </c>
      <c r="B52" s="612">
        <f t="shared" si="1"/>
        <v>17576.689999999999</v>
      </c>
      <c r="C52" s="612">
        <f t="shared" si="2"/>
        <v>17698.39</v>
      </c>
      <c r="D52" s="613">
        <f t="shared" si="4"/>
        <v>17576.689999999999</v>
      </c>
      <c r="E52" s="613">
        <f t="shared" si="5"/>
        <v>17698.39</v>
      </c>
      <c r="F52" s="614">
        <f t="shared" si="8"/>
        <v>17576.689999999999</v>
      </c>
      <c r="G52" s="614">
        <f t="shared" si="9"/>
        <v>17698.39</v>
      </c>
      <c r="H52" s="611"/>
      <c r="I52" s="208">
        <v>8000000</v>
      </c>
      <c r="J52" s="171">
        <v>1.24</v>
      </c>
      <c r="K52" s="191"/>
      <c r="L52" s="173">
        <v>750000</v>
      </c>
      <c r="M52" s="171">
        <f t="shared" si="7"/>
        <v>16602.310000000001</v>
      </c>
      <c r="N52" s="528"/>
      <c r="O52" s="599"/>
      <c r="P52" s="611"/>
      <c r="Q52" s="611"/>
      <c r="R52" s="611"/>
      <c r="S52" s="611"/>
      <c r="T52" s="606"/>
      <c r="U52" s="606"/>
      <c r="V52" s="606"/>
      <c r="W52" s="606"/>
      <c r="X52" s="606"/>
      <c r="Y52" s="606"/>
      <c r="Z52" s="606"/>
      <c r="AA52" s="606"/>
      <c r="AB52" s="606"/>
      <c r="AC52" s="606"/>
      <c r="AD52" s="606"/>
      <c r="AE52" s="606"/>
      <c r="AF52" s="606"/>
      <c r="AG52" s="606"/>
      <c r="AH52" s="606"/>
      <c r="AI52" s="606"/>
      <c r="AJ52" s="606"/>
      <c r="AK52" s="606"/>
      <c r="AL52" s="606"/>
      <c r="AM52" s="606"/>
      <c r="AN52" s="606"/>
      <c r="AO52" s="606"/>
      <c r="AP52" s="606"/>
      <c r="AQ52" s="606"/>
      <c r="AR52" s="606"/>
      <c r="AS52" s="606"/>
      <c r="AT52" s="606"/>
      <c r="AU52" s="606"/>
      <c r="AV52" s="606"/>
      <c r="AW52" s="606"/>
      <c r="AX52" s="606"/>
      <c r="AY52" s="606"/>
      <c r="AZ52" s="606"/>
      <c r="BA52" s="606"/>
      <c r="BB52" s="606"/>
      <c r="BC52" s="606"/>
      <c r="BD52" s="606"/>
      <c r="BE52" s="606"/>
      <c r="BF52" s="606"/>
    </row>
    <row r="53" spans="1:58" hidden="1">
      <c r="A53" s="607">
        <f t="shared" si="6"/>
        <v>14</v>
      </c>
      <c r="B53" s="612">
        <f t="shared" si="1"/>
        <v>17101.37</v>
      </c>
      <c r="C53" s="612">
        <f t="shared" si="2"/>
        <v>17353.79</v>
      </c>
      <c r="D53" s="613">
        <f t="shared" si="4"/>
        <v>17101.37</v>
      </c>
      <c r="E53" s="613">
        <f t="shared" si="5"/>
        <v>17353.79</v>
      </c>
      <c r="F53" s="614">
        <f t="shared" si="8"/>
        <v>17101.37</v>
      </c>
      <c r="G53" s="614">
        <f t="shared" si="9"/>
        <v>17353.79</v>
      </c>
      <c r="H53" s="611"/>
      <c r="I53" s="208">
        <v>9000000</v>
      </c>
      <c r="J53" s="171">
        <v>1.25</v>
      </c>
      <c r="K53"/>
      <c r="L53" s="173">
        <v>800000</v>
      </c>
      <c r="M53" s="171">
        <f>ROUND(L53/$L$33*$M$33,2)</f>
        <v>17709.14</v>
      </c>
      <c r="N53" s="528"/>
      <c r="O53" s="599"/>
      <c r="P53" s="611"/>
      <c r="Q53" s="611"/>
      <c r="R53" s="611"/>
      <c r="S53" s="611"/>
      <c r="T53" s="606"/>
      <c r="U53" s="606"/>
      <c r="V53" s="606"/>
      <c r="W53" s="606"/>
      <c r="X53" s="606"/>
      <c r="Y53" s="606"/>
      <c r="Z53" s="606"/>
      <c r="AA53" s="606"/>
      <c r="AB53" s="606"/>
      <c r="AC53" s="606"/>
      <c r="AD53" s="606"/>
      <c r="AE53" s="606"/>
      <c r="AF53" s="606"/>
      <c r="AG53" s="606"/>
      <c r="AH53" s="606"/>
      <c r="AI53" s="606"/>
      <c r="AJ53" s="606"/>
      <c r="AK53" s="606"/>
      <c r="AL53" s="606"/>
      <c r="AM53" s="606"/>
      <c r="AN53" s="606"/>
      <c r="AO53" s="606"/>
      <c r="AP53" s="606"/>
      <c r="AQ53" s="606"/>
      <c r="AR53" s="606"/>
      <c r="AS53" s="606"/>
      <c r="AT53" s="606"/>
      <c r="AU53" s="606"/>
      <c r="AV53" s="606"/>
      <c r="AW53" s="606"/>
      <c r="AX53" s="606"/>
      <c r="AY53" s="606"/>
      <c r="AZ53" s="606"/>
      <c r="BA53" s="606"/>
      <c r="BB53" s="606"/>
      <c r="BC53" s="606"/>
      <c r="BD53" s="606"/>
      <c r="BE53" s="606"/>
      <c r="BF53" s="606"/>
    </row>
    <row r="54" spans="1:58" hidden="1">
      <c r="A54" s="607">
        <f t="shared" si="6"/>
        <v>15</v>
      </c>
      <c r="B54" s="612">
        <f t="shared" si="1"/>
        <v>17164.68</v>
      </c>
      <c r="C54" s="612">
        <f t="shared" si="2"/>
        <v>17069.79</v>
      </c>
      <c r="D54" s="613">
        <f t="shared" si="4"/>
        <v>17164.68</v>
      </c>
      <c r="E54" s="613">
        <f t="shared" si="5"/>
        <v>17069.79</v>
      </c>
      <c r="F54" s="614">
        <f t="shared" si="8"/>
        <v>17164.68</v>
      </c>
      <c r="G54" s="614">
        <f t="shared" si="9"/>
        <v>17069.79</v>
      </c>
      <c r="H54" s="611"/>
      <c r="I54" s="208">
        <v>10000000</v>
      </c>
      <c r="J54" s="171">
        <v>1.26</v>
      </c>
      <c r="K54"/>
      <c r="L54" s="173">
        <v>850000</v>
      </c>
      <c r="M54" s="171">
        <f>ROUND(L54/$L$33*$M$33,2)</f>
        <v>18815.96</v>
      </c>
      <c r="N54" s="528"/>
      <c r="O54" s="599"/>
      <c r="P54" s="611"/>
      <c r="Q54" s="611"/>
      <c r="R54" s="611"/>
      <c r="S54" s="611"/>
      <c r="T54" s="606"/>
      <c r="U54" s="606"/>
      <c r="V54" s="606"/>
      <c r="W54" s="606"/>
      <c r="X54" s="606"/>
      <c r="Y54" s="606"/>
      <c r="Z54" s="606"/>
      <c r="AA54" s="606"/>
      <c r="AB54" s="606"/>
      <c r="AC54" s="606"/>
      <c r="AD54" s="606"/>
      <c r="AE54" s="606"/>
      <c r="AF54" s="606"/>
      <c r="AG54" s="606"/>
      <c r="AH54" s="606"/>
      <c r="AI54" s="606"/>
      <c r="AJ54" s="606"/>
      <c r="AK54" s="606"/>
      <c r="AL54" s="606"/>
      <c r="AM54" s="606"/>
      <c r="AN54" s="606"/>
      <c r="AO54" s="606"/>
      <c r="AP54" s="606"/>
      <c r="AQ54" s="606"/>
      <c r="AR54" s="606"/>
      <c r="AS54" s="606"/>
      <c r="AT54" s="606"/>
      <c r="AU54" s="606"/>
      <c r="AV54" s="606"/>
      <c r="AW54" s="606"/>
      <c r="AX54" s="606"/>
      <c r="AY54" s="606"/>
      <c r="AZ54" s="606"/>
      <c r="BA54" s="606"/>
      <c r="BB54" s="606"/>
      <c r="BC54" s="606"/>
      <c r="BD54" s="606"/>
      <c r="BE54" s="606"/>
      <c r="BF54" s="606"/>
    </row>
    <row r="55" spans="1:58" ht="13" hidden="1" thickBot="1">
      <c r="A55" s="607">
        <f t="shared" si="6"/>
        <v>16</v>
      </c>
      <c r="B55" s="612">
        <f t="shared" si="1"/>
        <v>16873.77</v>
      </c>
      <c r="C55" s="612">
        <f t="shared" si="2"/>
        <v>15781.15</v>
      </c>
      <c r="D55" s="613">
        <f t="shared" si="4"/>
        <v>16873.77</v>
      </c>
      <c r="E55" s="613">
        <f t="shared" si="5"/>
        <v>15781.15</v>
      </c>
      <c r="F55" s="614">
        <f t="shared" si="8"/>
        <v>16873.77</v>
      </c>
      <c r="G55" s="614">
        <f t="shared" si="9"/>
        <v>15781.15</v>
      </c>
      <c r="H55" s="611"/>
      <c r="I55" s="208">
        <v>20000000</v>
      </c>
      <c r="J55" s="171">
        <v>1.34</v>
      </c>
      <c r="K55" s="240"/>
      <c r="L55" s="174">
        <v>900000</v>
      </c>
      <c r="M55" s="172">
        <f>ROUND(L55/$L$33*$M$33,2)</f>
        <v>19922.78</v>
      </c>
      <c r="N55" s="528"/>
      <c r="O55" s="599"/>
      <c r="P55" s="611"/>
      <c r="Q55" s="611"/>
      <c r="R55" s="611"/>
      <c r="S55" s="611"/>
      <c r="T55" s="606"/>
      <c r="U55" s="606"/>
      <c r="V55" s="606"/>
      <c r="W55" s="606"/>
      <c r="X55" s="606"/>
      <c r="Y55" s="606"/>
      <c r="Z55" s="606"/>
      <c r="AA55" s="606"/>
      <c r="AB55" s="606"/>
      <c r="AC55" s="606"/>
      <c r="AD55" s="606"/>
      <c r="AE55" s="606"/>
      <c r="AF55" s="606"/>
      <c r="AG55" s="606"/>
      <c r="AH55" s="606"/>
      <c r="AI55" s="606"/>
      <c r="AJ55" s="606"/>
      <c r="AK55" s="606"/>
      <c r="AL55" s="606"/>
      <c r="AM55" s="606"/>
      <c r="AN55" s="606"/>
      <c r="AO55" s="606"/>
      <c r="AP55" s="606"/>
      <c r="AQ55" s="606"/>
      <c r="AR55" s="606"/>
      <c r="AS55" s="606"/>
      <c r="AT55" s="606"/>
      <c r="AU55" s="606"/>
      <c r="AV55" s="606"/>
      <c r="AW55" s="606"/>
      <c r="AX55" s="606"/>
      <c r="AY55" s="606"/>
      <c r="AZ55" s="606"/>
      <c r="BA55" s="606"/>
      <c r="BB55" s="606"/>
      <c r="BC55" s="606"/>
      <c r="BD55" s="606"/>
      <c r="BE55" s="606"/>
      <c r="BF55" s="606"/>
    </row>
    <row r="56" spans="1:58" ht="13" hidden="1" thickTop="1">
      <c r="A56" s="607">
        <f t="shared" si="6"/>
        <v>17</v>
      </c>
      <c r="B56" s="612">
        <f t="shared" si="1"/>
        <v>16981.95</v>
      </c>
      <c r="C56" s="612">
        <f t="shared" si="2"/>
        <v>16040.33</v>
      </c>
      <c r="D56" s="613">
        <f t="shared" si="4"/>
        <v>16981.95</v>
      </c>
      <c r="E56" s="613">
        <f t="shared" si="5"/>
        <v>16040.33</v>
      </c>
      <c r="F56" s="614">
        <f t="shared" si="8"/>
        <v>16981.95</v>
      </c>
      <c r="G56" s="614">
        <f t="shared" si="9"/>
        <v>16040.33</v>
      </c>
      <c r="H56" s="611"/>
      <c r="I56" s="208">
        <v>30000000</v>
      </c>
      <c r="J56" s="171">
        <v>1.39</v>
      </c>
      <c r="K56" s="240"/>
      <c r="L56" s="426"/>
      <c r="M56" s="426"/>
      <c r="N56" s="611"/>
      <c r="O56" s="611"/>
      <c r="P56" s="611"/>
      <c r="Q56" s="611"/>
      <c r="R56" s="611"/>
      <c r="S56" s="611"/>
      <c r="T56" s="606"/>
      <c r="U56" s="606"/>
      <c r="V56" s="606"/>
      <c r="W56" s="606"/>
      <c r="X56" s="606"/>
      <c r="Y56" s="606"/>
      <c r="Z56" s="606"/>
      <c r="AA56" s="606"/>
      <c r="AB56" s="606"/>
      <c r="AC56" s="606"/>
      <c r="AD56" s="606"/>
      <c r="AE56" s="606"/>
      <c r="AF56" s="606"/>
      <c r="AG56" s="606"/>
      <c r="AH56" s="606"/>
      <c r="AI56" s="606"/>
      <c r="AJ56" s="606"/>
      <c r="AK56" s="606"/>
      <c r="AL56" s="606"/>
      <c r="AM56" s="606"/>
      <c r="AN56" s="606"/>
      <c r="AO56" s="606"/>
      <c r="AP56" s="606"/>
      <c r="AQ56" s="606"/>
      <c r="AR56" s="606"/>
      <c r="AS56" s="606"/>
      <c r="AT56" s="606"/>
      <c r="AU56" s="606"/>
      <c r="AV56" s="606"/>
      <c r="AW56" s="606"/>
      <c r="AX56" s="606"/>
      <c r="AY56" s="606"/>
      <c r="AZ56" s="606"/>
      <c r="BA56" s="606"/>
      <c r="BB56" s="606"/>
      <c r="BC56" s="606"/>
      <c r="BD56" s="606"/>
      <c r="BE56" s="606"/>
      <c r="BF56" s="606"/>
    </row>
    <row r="57" spans="1:58" hidden="1">
      <c r="A57" s="607">
        <f t="shared" si="6"/>
        <v>18</v>
      </c>
      <c r="B57" s="612">
        <f t="shared" si="1"/>
        <v>17458.23</v>
      </c>
      <c r="C57" s="612">
        <f t="shared" si="2"/>
        <v>15545.69</v>
      </c>
      <c r="D57" s="613">
        <f t="shared" si="4"/>
        <v>17458.23</v>
      </c>
      <c r="E57" s="613">
        <f t="shared" si="5"/>
        <v>15545.69</v>
      </c>
      <c r="F57" s="614">
        <f t="shared" si="8"/>
        <v>17458.23</v>
      </c>
      <c r="G57" s="614">
        <f t="shared" si="9"/>
        <v>15545.69</v>
      </c>
      <c r="H57" s="611"/>
      <c r="I57" s="208">
        <v>40000000</v>
      </c>
      <c r="J57" s="171">
        <v>1.42</v>
      </c>
      <c r="K57" s="240"/>
      <c r="L57" s="426"/>
      <c r="M57" s="426"/>
      <c r="N57" s="611"/>
      <c r="O57" s="611"/>
      <c r="P57" s="611"/>
      <c r="Q57" s="611"/>
      <c r="R57" s="611"/>
      <c r="S57" s="611"/>
      <c r="T57" s="606"/>
      <c r="U57" s="606"/>
      <c r="V57" s="606"/>
      <c r="W57" s="606"/>
      <c r="X57" s="606"/>
      <c r="Y57" s="606"/>
      <c r="Z57" s="606"/>
      <c r="AA57" s="606"/>
      <c r="AB57" s="606"/>
      <c r="AC57" s="606"/>
      <c r="AD57" s="606"/>
      <c r="AE57" s="606"/>
      <c r="AF57" s="606"/>
      <c r="AG57" s="606"/>
      <c r="AH57" s="606"/>
      <c r="AI57" s="606"/>
      <c r="AJ57" s="606"/>
      <c r="AK57" s="606"/>
      <c r="AL57" s="606"/>
      <c r="AM57" s="606"/>
      <c r="AN57" s="606"/>
      <c r="AO57" s="606"/>
      <c r="AP57" s="606"/>
      <c r="AQ57" s="606"/>
      <c r="AR57" s="606"/>
      <c r="AS57" s="606"/>
      <c r="AT57" s="606"/>
      <c r="AU57" s="606"/>
      <c r="AV57" s="606"/>
      <c r="AW57" s="606"/>
      <c r="AX57" s="606"/>
      <c r="AY57" s="606"/>
      <c r="AZ57" s="606"/>
      <c r="BA57" s="606"/>
      <c r="BB57" s="606"/>
      <c r="BC57" s="606"/>
      <c r="BD57" s="606"/>
      <c r="BE57" s="606"/>
      <c r="BF57" s="606"/>
    </row>
    <row r="58" spans="1:58" hidden="1">
      <c r="A58" s="607">
        <f t="shared" si="6"/>
        <v>19</v>
      </c>
      <c r="B58" s="612">
        <f t="shared" si="1"/>
        <v>18039.169999999998</v>
      </c>
      <c r="C58" s="612">
        <f t="shared" si="2"/>
        <v>15773.81</v>
      </c>
      <c r="D58" s="613">
        <f t="shared" si="4"/>
        <v>18039.169999999998</v>
      </c>
      <c r="E58" s="613">
        <f t="shared" si="5"/>
        <v>15773.81</v>
      </c>
      <c r="F58" s="614">
        <f t="shared" si="8"/>
        <v>18039.169999999998</v>
      </c>
      <c r="G58" s="614">
        <f t="shared" si="9"/>
        <v>15773.81</v>
      </c>
      <c r="H58" s="611"/>
      <c r="I58" s="208">
        <v>50000000</v>
      </c>
      <c r="J58" s="171">
        <v>1.45</v>
      </c>
      <c r="K58" s="240"/>
      <c r="L58" s="426"/>
      <c r="M58" s="426"/>
      <c r="N58" s="611"/>
      <c r="O58" s="611"/>
      <c r="P58" s="611"/>
      <c r="Q58" s="611"/>
      <c r="R58" s="611"/>
      <c r="S58" s="611"/>
      <c r="T58" s="606"/>
      <c r="U58" s="606"/>
      <c r="V58" s="606"/>
      <c r="W58" s="606"/>
      <c r="X58" s="606"/>
      <c r="Y58" s="606"/>
      <c r="Z58" s="606"/>
      <c r="AA58" s="606"/>
      <c r="AB58" s="606"/>
      <c r="AC58" s="606"/>
      <c r="AD58" s="606"/>
      <c r="AE58" s="606"/>
      <c r="AF58" s="606"/>
      <c r="AG58" s="606"/>
      <c r="AH58" s="606"/>
      <c r="AI58" s="606"/>
      <c r="AJ58" s="606"/>
      <c r="AK58" s="606"/>
      <c r="AL58" s="606"/>
      <c r="AM58" s="606"/>
      <c r="AN58" s="606"/>
      <c r="AO58" s="606"/>
      <c r="AP58" s="606"/>
      <c r="AQ58" s="606"/>
      <c r="AR58" s="606"/>
      <c r="AS58" s="606"/>
      <c r="AT58" s="606"/>
      <c r="AU58" s="606"/>
      <c r="AV58" s="606"/>
      <c r="AW58" s="606"/>
      <c r="AX58" s="606"/>
      <c r="AY58" s="606"/>
      <c r="AZ58" s="606"/>
      <c r="BA58" s="606"/>
      <c r="BB58" s="606"/>
      <c r="BC58" s="606"/>
      <c r="BD58" s="606"/>
      <c r="BE58" s="606"/>
      <c r="BF58" s="606"/>
    </row>
    <row r="59" spans="1:58" hidden="1">
      <c r="A59" s="607">
        <f t="shared" si="6"/>
        <v>20</v>
      </c>
      <c r="B59" s="612">
        <f t="shared" si="1"/>
        <v>18695.599999999999</v>
      </c>
      <c r="C59" s="612">
        <f t="shared" si="2"/>
        <v>18678.93</v>
      </c>
      <c r="D59" s="613">
        <f t="shared" si="4"/>
        <v>18695.599999999999</v>
      </c>
      <c r="E59" s="613">
        <f t="shared" si="5"/>
        <v>18678.93</v>
      </c>
      <c r="F59" s="614">
        <f t="shared" si="8"/>
        <v>18695.599999999999</v>
      </c>
      <c r="G59" s="614">
        <f t="shared" si="9"/>
        <v>18678.93</v>
      </c>
      <c r="H59" s="611"/>
      <c r="I59" s="208">
        <v>60000000</v>
      </c>
      <c r="J59" s="171">
        <v>1.46</v>
      </c>
      <c r="K59" s="240"/>
      <c r="L59" s="426"/>
      <c r="M59" s="426"/>
      <c r="N59" s="611"/>
      <c r="O59" s="611"/>
      <c r="P59" s="611"/>
      <c r="Q59" s="611"/>
      <c r="R59" s="611"/>
      <c r="S59" s="611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N59" s="606"/>
      <c r="AO59" s="606"/>
      <c r="AP59" s="606"/>
      <c r="AQ59" s="606"/>
      <c r="AR59" s="606"/>
      <c r="AS59" s="606"/>
      <c r="AT59" s="606"/>
      <c r="AU59" s="606"/>
      <c r="AV59" s="606"/>
      <c r="AW59" s="606"/>
      <c r="AX59" s="606"/>
      <c r="AY59" s="606"/>
      <c r="AZ59" s="606"/>
      <c r="BA59" s="606"/>
      <c r="BB59" s="606"/>
      <c r="BC59" s="606"/>
      <c r="BD59" s="606"/>
      <c r="BE59" s="606"/>
      <c r="BF59" s="606"/>
    </row>
    <row r="60" spans="1:58" hidden="1">
      <c r="A60" s="607">
        <f t="shared" si="6"/>
        <v>21</v>
      </c>
      <c r="B60" s="612">
        <f t="shared" si="1"/>
        <v>20020.95</v>
      </c>
      <c r="C60" s="612">
        <f t="shared" si="2"/>
        <v>23916.89</v>
      </c>
      <c r="D60" s="613">
        <f t="shared" si="4"/>
        <v>20020.95</v>
      </c>
      <c r="E60" s="613">
        <f t="shared" si="5"/>
        <v>23916.89</v>
      </c>
      <c r="F60" s="614">
        <f t="shared" si="8"/>
        <v>20020.95</v>
      </c>
      <c r="G60" s="614">
        <f t="shared" si="9"/>
        <v>23916.89</v>
      </c>
      <c r="H60" s="611"/>
      <c r="I60" s="208">
        <v>70000000</v>
      </c>
      <c r="J60" s="171">
        <v>1.48</v>
      </c>
      <c r="K60" s="240"/>
      <c r="L60" s="426"/>
      <c r="M60" s="426"/>
      <c r="N60" s="611"/>
      <c r="O60" s="611"/>
      <c r="P60" s="611"/>
      <c r="Q60" s="611"/>
      <c r="R60" s="611"/>
      <c r="S60" s="611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N60" s="606"/>
      <c r="AO60" s="606"/>
      <c r="AP60" s="606"/>
      <c r="AQ60" s="606"/>
      <c r="AR60" s="606"/>
      <c r="AS60" s="606"/>
      <c r="AT60" s="606"/>
      <c r="AU60" s="606"/>
      <c r="AV60" s="606"/>
      <c r="AW60" s="606"/>
      <c r="AX60" s="606"/>
      <c r="AY60" s="606"/>
      <c r="AZ60" s="606"/>
      <c r="BA60" s="606"/>
      <c r="BB60" s="606"/>
      <c r="BC60" s="606"/>
      <c r="BD60" s="606"/>
      <c r="BE60" s="606"/>
      <c r="BF60" s="606"/>
    </row>
    <row r="61" spans="1:58" hidden="1">
      <c r="A61" s="607">
        <f t="shared" si="6"/>
        <v>22</v>
      </c>
      <c r="B61" s="612">
        <f t="shared" si="1"/>
        <v>20895.2</v>
      </c>
      <c r="C61" s="612">
        <f t="shared" si="2"/>
        <v>25057.05</v>
      </c>
      <c r="D61" s="613">
        <f t="shared" si="4"/>
        <v>20895.2</v>
      </c>
      <c r="E61" s="613">
        <f t="shared" si="5"/>
        <v>25057.05</v>
      </c>
      <c r="F61" s="614">
        <f t="shared" si="8"/>
        <v>20895.2</v>
      </c>
      <c r="G61" s="614">
        <f t="shared" si="9"/>
        <v>25057.05</v>
      </c>
      <c r="H61" s="611"/>
      <c r="I61" s="208">
        <v>100000000</v>
      </c>
      <c r="J61" s="171">
        <v>1.53</v>
      </c>
      <c r="K61" s="240"/>
      <c r="L61" s="426"/>
      <c r="M61" s="426"/>
      <c r="N61" s="611"/>
      <c r="O61" s="611"/>
      <c r="P61" s="611"/>
      <c r="Q61" s="611"/>
      <c r="R61" s="611"/>
      <c r="S61" s="611"/>
      <c r="T61" s="606"/>
      <c r="U61" s="606"/>
      <c r="V61" s="606"/>
      <c r="W61" s="606"/>
      <c r="X61" s="606"/>
      <c r="Y61" s="606"/>
      <c r="Z61" s="606"/>
      <c r="AA61" s="606"/>
      <c r="AB61" s="606"/>
      <c r="AC61" s="606"/>
      <c r="AD61" s="606"/>
      <c r="AE61" s="606"/>
      <c r="AF61" s="606"/>
      <c r="AG61" s="606"/>
      <c r="AH61" s="606"/>
      <c r="AI61" s="606"/>
      <c r="AJ61" s="606"/>
      <c r="AK61" s="606"/>
      <c r="AL61" s="606"/>
      <c r="AM61" s="606"/>
      <c r="AN61" s="606"/>
      <c r="AO61" s="606"/>
      <c r="AP61" s="606"/>
      <c r="AQ61" s="606"/>
      <c r="AR61" s="606"/>
      <c r="AS61" s="606"/>
      <c r="AT61" s="606"/>
      <c r="AU61" s="606"/>
      <c r="AV61" s="606"/>
      <c r="AW61" s="606"/>
      <c r="AX61" s="606"/>
      <c r="AY61" s="606"/>
      <c r="AZ61" s="606"/>
      <c r="BA61" s="606"/>
      <c r="BB61" s="606"/>
      <c r="BC61" s="606"/>
      <c r="BD61" s="606"/>
      <c r="BE61" s="606"/>
      <c r="BF61" s="606"/>
    </row>
    <row r="62" spans="1:58" hidden="1">
      <c r="A62" s="607">
        <f t="shared" si="6"/>
        <v>23</v>
      </c>
      <c r="B62" s="612">
        <f t="shared" si="1"/>
        <v>22281.9</v>
      </c>
      <c r="C62" s="612">
        <f t="shared" si="2"/>
        <v>26226.92</v>
      </c>
      <c r="D62" s="613">
        <f t="shared" si="4"/>
        <v>22281.9</v>
      </c>
      <c r="E62" s="613">
        <f t="shared" si="5"/>
        <v>26226.92</v>
      </c>
      <c r="F62" s="614">
        <f t="shared" si="8"/>
        <v>22281.9</v>
      </c>
      <c r="G62" s="614">
        <f t="shared" si="9"/>
        <v>26226.92</v>
      </c>
      <c r="H62" s="611"/>
      <c r="I62" s="586">
        <v>125000000</v>
      </c>
      <c r="J62" s="587">
        <v>1.55</v>
      </c>
      <c r="K62" s="240"/>
      <c r="L62" s="426"/>
      <c r="M62" s="426"/>
      <c r="N62" s="611"/>
      <c r="O62" s="611"/>
      <c r="P62" s="611"/>
      <c r="Q62" s="611"/>
      <c r="R62" s="611"/>
      <c r="S62" s="611"/>
      <c r="T62" s="606"/>
      <c r="U62" s="606"/>
      <c r="V62" s="606"/>
      <c r="W62" s="606"/>
      <c r="X62" s="606"/>
      <c r="Y62" s="606"/>
      <c r="Z62" s="606"/>
      <c r="AA62" s="606"/>
      <c r="AB62" s="606"/>
      <c r="AC62" s="606"/>
      <c r="AD62" s="606"/>
      <c r="AE62" s="606"/>
      <c r="AF62" s="606"/>
      <c r="AG62" s="606"/>
      <c r="AH62" s="606"/>
      <c r="AI62" s="606"/>
      <c r="AJ62" s="606"/>
      <c r="AK62" s="606"/>
      <c r="AL62" s="606"/>
      <c r="AM62" s="606"/>
      <c r="AN62" s="606"/>
      <c r="AO62" s="606"/>
      <c r="AP62" s="606"/>
      <c r="AQ62" s="606"/>
      <c r="AR62" s="606"/>
      <c r="AS62" s="606"/>
      <c r="AT62" s="606"/>
      <c r="AU62" s="606"/>
      <c r="AV62" s="606"/>
      <c r="AW62" s="606"/>
      <c r="AX62" s="606"/>
      <c r="AY62" s="606"/>
      <c r="AZ62" s="606"/>
      <c r="BA62" s="606"/>
      <c r="BB62" s="606"/>
      <c r="BC62" s="606"/>
      <c r="BD62" s="606"/>
      <c r="BE62" s="606"/>
      <c r="BF62" s="606"/>
    </row>
    <row r="63" spans="1:58" hidden="1">
      <c r="A63" s="607">
        <f t="shared" si="6"/>
        <v>24</v>
      </c>
      <c r="B63" s="612">
        <f t="shared" si="1"/>
        <v>23186.3</v>
      </c>
      <c r="C63" s="612">
        <f t="shared" si="2"/>
        <v>27453.22</v>
      </c>
      <c r="D63" s="613">
        <f t="shared" si="4"/>
        <v>23186.3</v>
      </c>
      <c r="E63" s="613">
        <f t="shared" si="5"/>
        <v>27453.22</v>
      </c>
      <c r="F63" s="614">
        <f t="shared" si="8"/>
        <v>23186.3</v>
      </c>
      <c r="G63" s="614">
        <f t="shared" si="9"/>
        <v>27453.22</v>
      </c>
      <c r="H63" s="611"/>
      <c r="I63" s="586">
        <v>150000000</v>
      </c>
      <c r="J63" s="587">
        <v>1.57</v>
      </c>
      <c r="K63" s="240"/>
      <c r="L63" s="426"/>
      <c r="M63" s="426"/>
      <c r="N63" s="611"/>
      <c r="O63" s="611"/>
      <c r="P63" s="611"/>
      <c r="Q63" s="611"/>
      <c r="R63" s="611"/>
      <c r="S63" s="611"/>
      <c r="T63" s="606"/>
      <c r="U63" s="606"/>
      <c r="V63" s="606"/>
      <c r="W63" s="606"/>
      <c r="X63" s="606"/>
      <c r="Y63" s="606"/>
      <c r="Z63" s="606"/>
      <c r="AA63" s="606"/>
      <c r="AB63" s="606"/>
      <c r="AC63" s="606"/>
      <c r="AD63" s="606"/>
      <c r="AE63" s="606"/>
      <c r="AF63" s="606"/>
      <c r="AG63" s="606"/>
      <c r="AH63" s="606"/>
      <c r="AI63" s="606"/>
      <c r="AJ63" s="606"/>
      <c r="AK63" s="606"/>
      <c r="AL63" s="606"/>
      <c r="AM63" s="606"/>
      <c r="AN63" s="606"/>
      <c r="AO63" s="606"/>
      <c r="AP63" s="606"/>
      <c r="AQ63" s="606"/>
      <c r="AR63" s="606"/>
      <c r="AS63" s="606"/>
      <c r="AT63" s="606"/>
      <c r="AU63" s="606"/>
      <c r="AV63" s="606"/>
      <c r="AW63" s="606"/>
      <c r="AX63" s="606"/>
      <c r="AY63" s="606"/>
      <c r="AZ63" s="606"/>
      <c r="BA63" s="606"/>
      <c r="BB63" s="606"/>
      <c r="BC63" s="606"/>
      <c r="BD63" s="606"/>
      <c r="BE63" s="606"/>
      <c r="BF63" s="606"/>
    </row>
    <row r="64" spans="1:58" hidden="1">
      <c r="A64" s="607">
        <f t="shared" si="6"/>
        <v>25</v>
      </c>
      <c r="B64" s="612">
        <f t="shared" si="1"/>
        <v>24093.32</v>
      </c>
      <c r="C64" s="612">
        <f t="shared" si="2"/>
        <v>28724.23</v>
      </c>
      <c r="D64" s="613">
        <f t="shared" si="4"/>
        <v>24093.32</v>
      </c>
      <c r="E64" s="613">
        <f t="shared" si="5"/>
        <v>28724.23</v>
      </c>
      <c r="F64" s="614">
        <f t="shared" si="8"/>
        <v>24093.32</v>
      </c>
      <c r="G64" s="614">
        <f t="shared" si="9"/>
        <v>28724.23</v>
      </c>
      <c r="H64" s="611"/>
      <c r="I64" s="208"/>
      <c r="J64" s="171"/>
      <c r="K64" s="240"/>
      <c r="L64" s="426"/>
      <c r="M64" s="426"/>
      <c r="N64" s="611"/>
      <c r="O64" s="611"/>
      <c r="P64" s="611"/>
      <c r="Q64" s="611"/>
      <c r="R64" s="611"/>
      <c r="S64" s="611"/>
      <c r="T64" s="606"/>
      <c r="U64" s="606"/>
      <c r="V64" s="606"/>
      <c r="W64" s="606"/>
      <c r="X64" s="606"/>
      <c r="Y64" s="606"/>
      <c r="Z64" s="606"/>
      <c r="AA64" s="606"/>
      <c r="AB64" s="606"/>
      <c r="AC64" s="606"/>
      <c r="AD64" s="606"/>
      <c r="AE64" s="606"/>
      <c r="AF64" s="606"/>
      <c r="AG64" s="606"/>
      <c r="AH64" s="606"/>
      <c r="AI64" s="606"/>
      <c r="AJ64" s="606"/>
      <c r="AK64" s="606"/>
      <c r="AL64" s="606"/>
      <c r="AM64" s="606"/>
      <c r="AN64" s="606"/>
      <c r="AO64" s="606"/>
      <c r="AP64" s="606"/>
      <c r="AQ64" s="606"/>
      <c r="AR64" s="606"/>
      <c r="AS64" s="606"/>
      <c r="AT64" s="606"/>
      <c r="AU64" s="606"/>
      <c r="AV64" s="606"/>
      <c r="AW64" s="606"/>
      <c r="AX64" s="606"/>
      <c r="AY64" s="606"/>
      <c r="AZ64" s="606"/>
      <c r="BA64" s="606"/>
      <c r="BB64" s="606"/>
      <c r="BC64" s="606"/>
      <c r="BD64" s="606"/>
      <c r="BE64" s="606"/>
      <c r="BF64" s="606"/>
    </row>
    <row r="65" spans="1:58" hidden="1">
      <c r="A65" s="607">
        <f t="shared" si="6"/>
        <v>26</v>
      </c>
      <c r="B65" s="612">
        <f t="shared" si="1"/>
        <v>25689.72</v>
      </c>
      <c r="C65" s="612">
        <f t="shared" si="2"/>
        <v>29838.83</v>
      </c>
      <c r="D65" s="613">
        <f t="shared" si="4"/>
        <v>25689.72</v>
      </c>
      <c r="E65" s="613">
        <f t="shared" si="5"/>
        <v>29838.83</v>
      </c>
      <c r="F65" s="614">
        <f t="shared" si="8"/>
        <v>25689.72</v>
      </c>
      <c r="G65" s="614">
        <f t="shared" si="9"/>
        <v>29838.83</v>
      </c>
      <c r="H65" s="611"/>
      <c r="I65" s="208"/>
      <c r="J65" s="171"/>
      <c r="K65" s="240"/>
      <c r="L65" s="426"/>
      <c r="M65" s="426"/>
      <c r="N65" s="611"/>
      <c r="O65" s="611"/>
      <c r="P65" s="611"/>
      <c r="Q65" s="611"/>
      <c r="R65" s="611"/>
      <c r="S65" s="611"/>
      <c r="T65" s="606"/>
      <c r="U65" s="606"/>
      <c r="V65" s="606"/>
      <c r="W65" s="606"/>
      <c r="X65" s="606"/>
      <c r="Y65" s="606"/>
      <c r="Z65" s="606"/>
      <c r="AA65" s="606"/>
      <c r="AB65" s="606"/>
      <c r="AC65" s="606"/>
      <c r="AD65" s="606"/>
      <c r="AE65" s="606"/>
      <c r="AF65" s="606"/>
      <c r="AG65" s="606"/>
      <c r="AH65" s="606"/>
      <c r="AI65" s="606"/>
      <c r="AJ65" s="606"/>
      <c r="AK65" s="606"/>
      <c r="AL65" s="606"/>
      <c r="AM65" s="606"/>
      <c r="AN65" s="606"/>
      <c r="AO65" s="606"/>
      <c r="AP65" s="606"/>
      <c r="AQ65" s="606"/>
      <c r="AR65" s="606"/>
      <c r="AS65" s="606"/>
      <c r="AT65" s="606"/>
      <c r="AU65" s="606"/>
      <c r="AV65" s="606"/>
      <c r="AW65" s="606"/>
      <c r="AX65" s="606"/>
      <c r="AY65" s="606"/>
      <c r="AZ65" s="606"/>
      <c r="BA65" s="606"/>
      <c r="BB65" s="606"/>
      <c r="BC65" s="606"/>
      <c r="BD65" s="606"/>
      <c r="BE65" s="606"/>
      <c r="BF65" s="606"/>
    </row>
    <row r="66" spans="1:58" hidden="1">
      <c r="A66" s="607">
        <f t="shared" si="6"/>
        <v>27</v>
      </c>
      <c r="B66" s="612">
        <f t="shared" si="1"/>
        <v>26826.38</v>
      </c>
      <c r="C66" s="612">
        <f t="shared" si="2"/>
        <v>31202.01</v>
      </c>
      <c r="D66" s="613">
        <f t="shared" si="4"/>
        <v>26826.38</v>
      </c>
      <c r="E66" s="613">
        <f t="shared" si="5"/>
        <v>31202.01</v>
      </c>
      <c r="F66" s="614">
        <f t="shared" si="8"/>
        <v>26826.38</v>
      </c>
      <c r="G66" s="614">
        <f t="shared" si="9"/>
        <v>31202.01</v>
      </c>
      <c r="H66" s="611"/>
      <c r="I66" s="208"/>
      <c r="J66" s="171"/>
      <c r="K66" s="240"/>
      <c r="L66" s="426"/>
      <c r="M66" s="426"/>
      <c r="N66" s="611"/>
      <c r="O66" s="611"/>
      <c r="P66" s="611"/>
      <c r="Q66" s="611"/>
      <c r="R66" s="611"/>
      <c r="S66" s="611"/>
      <c r="T66" s="606"/>
      <c r="U66" s="606"/>
      <c r="V66" s="606"/>
      <c r="W66" s="606"/>
      <c r="X66" s="606"/>
      <c r="Y66" s="606"/>
      <c r="Z66" s="606"/>
      <c r="AA66" s="606"/>
      <c r="AB66" s="606"/>
      <c r="AC66" s="606"/>
      <c r="AD66" s="606"/>
      <c r="AE66" s="606"/>
      <c r="AF66" s="606"/>
      <c r="AG66" s="606"/>
      <c r="AH66" s="606"/>
      <c r="AI66" s="606"/>
      <c r="AJ66" s="606"/>
      <c r="AK66" s="606"/>
      <c r="AL66" s="606"/>
      <c r="AM66" s="606"/>
      <c r="AN66" s="606"/>
      <c r="AO66" s="606"/>
      <c r="AP66" s="606"/>
      <c r="AQ66" s="606"/>
      <c r="AR66" s="606"/>
      <c r="AS66" s="606"/>
      <c r="AT66" s="606"/>
      <c r="AU66" s="606"/>
      <c r="AV66" s="606"/>
      <c r="AW66" s="606"/>
      <c r="AX66" s="606"/>
      <c r="AY66" s="606"/>
      <c r="AZ66" s="606"/>
      <c r="BA66" s="606"/>
      <c r="BB66" s="606"/>
      <c r="BC66" s="606"/>
      <c r="BD66" s="606"/>
      <c r="BE66" s="606"/>
      <c r="BF66" s="606"/>
    </row>
    <row r="67" spans="1:58" hidden="1">
      <c r="A67" s="607">
        <f t="shared" si="6"/>
        <v>28</v>
      </c>
      <c r="B67" s="612">
        <f t="shared" si="1"/>
        <v>28372.400000000001</v>
      </c>
      <c r="C67" s="612">
        <f t="shared" si="2"/>
        <v>32656.799999999999</v>
      </c>
      <c r="D67" s="613">
        <f t="shared" si="4"/>
        <v>28372.400000000001</v>
      </c>
      <c r="E67" s="613">
        <f t="shared" si="5"/>
        <v>32656.799999999999</v>
      </c>
      <c r="F67" s="614">
        <f t="shared" si="8"/>
        <v>28372.400000000001</v>
      </c>
      <c r="G67" s="614">
        <f t="shared" si="9"/>
        <v>32656.799999999999</v>
      </c>
      <c r="H67" s="611"/>
      <c r="I67" s="208"/>
      <c r="J67" s="171"/>
      <c r="K67" s="240"/>
      <c r="L67" s="426"/>
      <c r="M67" s="426"/>
      <c r="N67" s="611"/>
      <c r="O67" s="611"/>
      <c r="P67" s="611"/>
      <c r="Q67" s="611"/>
      <c r="R67" s="611"/>
      <c r="S67" s="611"/>
      <c r="T67" s="606"/>
      <c r="U67" s="606"/>
      <c r="V67" s="606"/>
      <c r="W67" s="606"/>
      <c r="X67" s="606"/>
      <c r="Y67" s="606"/>
      <c r="Z67" s="606"/>
      <c r="AA67" s="606"/>
      <c r="AB67" s="606"/>
      <c r="AC67" s="606"/>
      <c r="AD67" s="606"/>
      <c r="AE67" s="606"/>
      <c r="AF67" s="606"/>
      <c r="AG67" s="606"/>
      <c r="AH67" s="606"/>
      <c r="AI67" s="606"/>
      <c r="AJ67" s="606"/>
      <c r="AK67" s="606"/>
      <c r="AL67" s="606"/>
      <c r="AM67" s="606"/>
      <c r="AN67" s="606"/>
      <c r="AO67" s="606"/>
      <c r="AP67" s="606"/>
      <c r="AQ67" s="606"/>
      <c r="AR67" s="606"/>
      <c r="AS67" s="606"/>
      <c r="AT67" s="606"/>
      <c r="AU67" s="606"/>
      <c r="AV67" s="606"/>
      <c r="AW67" s="606"/>
      <c r="AX67" s="606"/>
      <c r="AY67" s="606"/>
      <c r="AZ67" s="606"/>
      <c r="BA67" s="606"/>
      <c r="BB67" s="606"/>
      <c r="BC67" s="606"/>
      <c r="BD67" s="606"/>
      <c r="BE67" s="606"/>
      <c r="BF67" s="606"/>
    </row>
    <row r="68" spans="1:58" ht="13" hidden="1" thickBot="1">
      <c r="A68" s="607">
        <f t="shared" si="6"/>
        <v>29</v>
      </c>
      <c r="B68" s="612">
        <f t="shared" si="1"/>
        <v>29806.94</v>
      </c>
      <c r="C68" s="612">
        <f t="shared" si="2"/>
        <v>34124.9</v>
      </c>
      <c r="D68" s="613">
        <f t="shared" si="4"/>
        <v>29806.94</v>
      </c>
      <c r="E68" s="613">
        <f t="shared" si="5"/>
        <v>34124.9</v>
      </c>
      <c r="F68" s="614">
        <f t="shared" si="8"/>
        <v>29806.94</v>
      </c>
      <c r="G68" s="614">
        <f t="shared" si="9"/>
        <v>34124.9</v>
      </c>
      <c r="H68" s="611"/>
      <c r="I68" s="174"/>
      <c r="J68" s="172"/>
      <c r="K68" s="240"/>
      <c r="L68" s="426"/>
      <c r="M68" s="426"/>
      <c r="N68" s="611"/>
      <c r="O68" s="611"/>
      <c r="P68" s="611"/>
      <c r="Q68" s="611"/>
      <c r="R68" s="611"/>
      <c r="S68" s="611"/>
      <c r="T68" s="606"/>
      <c r="U68" s="606"/>
      <c r="V68" s="606"/>
      <c r="W68" s="606"/>
      <c r="X68" s="606"/>
      <c r="Y68" s="606"/>
      <c r="Z68" s="606"/>
      <c r="AA68" s="606"/>
      <c r="AB68" s="606"/>
      <c r="AC68" s="606"/>
      <c r="AD68" s="606"/>
      <c r="AE68" s="606"/>
      <c r="AF68" s="606"/>
      <c r="AG68" s="606"/>
      <c r="AH68" s="606"/>
      <c r="AI68" s="606"/>
      <c r="AJ68" s="606"/>
      <c r="AK68" s="606"/>
      <c r="AL68" s="606"/>
      <c r="AM68" s="606"/>
      <c r="AN68" s="606"/>
      <c r="AO68" s="606"/>
      <c r="AP68" s="606"/>
      <c r="AQ68" s="606"/>
      <c r="AR68" s="606"/>
      <c r="AS68" s="606"/>
      <c r="AT68" s="606"/>
      <c r="AU68" s="606"/>
      <c r="AV68" s="606"/>
      <c r="AW68" s="606"/>
      <c r="AX68" s="606"/>
      <c r="AY68" s="606"/>
      <c r="AZ68" s="606"/>
      <c r="BA68" s="606"/>
      <c r="BB68" s="606"/>
      <c r="BC68" s="606"/>
      <c r="BD68" s="606"/>
      <c r="BE68" s="606"/>
      <c r="BF68" s="606"/>
    </row>
    <row r="69" spans="1:58" ht="13" hidden="1" thickTop="1">
      <c r="A69" s="607">
        <f t="shared" si="6"/>
        <v>30</v>
      </c>
      <c r="B69" s="612">
        <f t="shared" si="1"/>
        <v>31141.439999999999</v>
      </c>
      <c r="C69" s="612">
        <f t="shared" si="2"/>
        <v>35739.22</v>
      </c>
      <c r="D69" s="613">
        <f t="shared" si="4"/>
        <v>31141.439999999999</v>
      </c>
      <c r="E69" s="613">
        <f t="shared" si="5"/>
        <v>35739.22</v>
      </c>
      <c r="F69" s="614">
        <f t="shared" si="8"/>
        <v>31141.439999999999</v>
      </c>
      <c r="G69" s="614">
        <f t="shared" si="9"/>
        <v>35739.22</v>
      </c>
      <c r="H69" s="611"/>
      <c r="I69" s="426"/>
      <c r="J69" s="426"/>
      <c r="K69" s="426"/>
      <c r="L69" s="426"/>
      <c r="M69" s="426"/>
      <c r="N69" s="426"/>
      <c r="O69" s="611"/>
      <c r="P69" s="611"/>
      <c r="Q69" s="611"/>
      <c r="R69" s="611"/>
      <c r="S69" s="611"/>
      <c r="T69" s="606"/>
      <c r="U69" s="606"/>
      <c r="V69" s="606"/>
      <c r="W69" s="606"/>
      <c r="X69" s="606"/>
      <c r="Y69" s="606"/>
      <c r="Z69" s="606"/>
      <c r="AA69" s="606"/>
      <c r="AB69" s="606"/>
      <c r="AC69" s="606"/>
      <c r="AD69" s="606"/>
      <c r="AE69" s="606"/>
      <c r="AF69" s="606"/>
      <c r="AG69" s="606"/>
      <c r="AH69" s="606"/>
      <c r="AI69" s="606"/>
      <c r="AJ69" s="606"/>
      <c r="AK69" s="606"/>
      <c r="AL69" s="606"/>
      <c r="AM69" s="606"/>
      <c r="AN69" s="606"/>
      <c r="AO69" s="606"/>
      <c r="AP69" s="606"/>
      <c r="AQ69" s="606"/>
      <c r="AR69" s="606"/>
      <c r="AS69" s="606"/>
      <c r="AT69" s="606"/>
      <c r="AU69" s="606"/>
      <c r="AV69" s="606"/>
      <c r="AW69" s="606"/>
      <c r="AX69" s="606"/>
      <c r="AY69" s="606"/>
      <c r="AZ69" s="606"/>
      <c r="BA69" s="606"/>
      <c r="BB69" s="606"/>
      <c r="BC69" s="606"/>
      <c r="BD69" s="606"/>
      <c r="BE69" s="606"/>
      <c r="BF69" s="606"/>
    </row>
    <row r="70" spans="1:58" hidden="1">
      <c r="A70" s="607">
        <f t="shared" si="6"/>
        <v>31</v>
      </c>
      <c r="B70" s="612">
        <f t="shared" si="1"/>
        <v>32423.87</v>
      </c>
      <c r="C70" s="612">
        <f t="shared" si="2"/>
        <v>37397</v>
      </c>
      <c r="D70" s="613">
        <f t="shared" si="4"/>
        <v>32423.87</v>
      </c>
      <c r="E70" s="613">
        <f t="shared" si="5"/>
        <v>37397</v>
      </c>
      <c r="F70" s="614">
        <f t="shared" si="8"/>
        <v>32423.87</v>
      </c>
      <c r="G70" s="614">
        <f t="shared" si="9"/>
        <v>37397</v>
      </c>
      <c r="H70" s="611"/>
      <c r="I70" s="426"/>
      <c r="J70" s="426"/>
      <c r="K70" s="426"/>
      <c r="L70" s="426"/>
      <c r="M70" s="426"/>
      <c r="N70" s="426"/>
      <c r="O70" s="611"/>
      <c r="P70" s="611"/>
      <c r="Q70" s="611"/>
      <c r="R70" s="611"/>
      <c r="S70" s="611"/>
      <c r="T70" s="606"/>
      <c r="U70" s="606"/>
      <c r="V70" s="606"/>
      <c r="W70" s="606"/>
      <c r="X70" s="606"/>
      <c r="Y70" s="606"/>
      <c r="Z70" s="606"/>
      <c r="AA70" s="606"/>
      <c r="AB70" s="606"/>
      <c r="AC70" s="606"/>
      <c r="AD70" s="606"/>
      <c r="AE70" s="606"/>
      <c r="AF70" s="606"/>
      <c r="AG70" s="606"/>
      <c r="AH70" s="606"/>
      <c r="AI70" s="606"/>
      <c r="AJ70" s="606"/>
      <c r="AK70" s="606"/>
      <c r="AL70" s="606"/>
      <c r="AM70" s="606"/>
      <c r="AN70" s="606"/>
      <c r="AO70" s="606"/>
      <c r="AP70" s="606"/>
      <c r="AQ70" s="606"/>
      <c r="AR70" s="606"/>
      <c r="AS70" s="606"/>
      <c r="AT70" s="606"/>
      <c r="AU70" s="606"/>
      <c r="AV70" s="606"/>
      <c r="AW70" s="606"/>
      <c r="AX70" s="606"/>
      <c r="AY70" s="606"/>
      <c r="AZ70" s="606"/>
      <c r="BA70" s="606"/>
      <c r="BB70" s="606"/>
      <c r="BC70" s="606"/>
      <c r="BD70" s="606"/>
      <c r="BE70" s="606"/>
      <c r="BF70" s="606"/>
    </row>
    <row r="71" spans="1:58" hidden="1">
      <c r="A71" s="607">
        <f t="shared" si="6"/>
        <v>32</v>
      </c>
      <c r="B71" s="612">
        <f t="shared" ref="B71:B102" si="10">IF($A$37=$C$130,ROUND(C164*(1-DESC),2),ROUND(E164*(1-DESC),2))</f>
        <v>34417.75</v>
      </c>
      <c r="C71" s="612">
        <f t="shared" ref="C71:C102" si="11">IF($A$37=$C$130,ROUND(D164*(1-DESC),2),ROUND(F164*(1-DESC),2))</f>
        <v>39081.360000000001</v>
      </c>
      <c r="D71" s="613">
        <f t="shared" si="4"/>
        <v>34417.75</v>
      </c>
      <c r="E71" s="613">
        <f t="shared" si="5"/>
        <v>39081.360000000001</v>
      </c>
      <c r="F71" s="614">
        <f t="shared" si="8"/>
        <v>34417.75</v>
      </c>
      <c r="G71" s="614">
        <f t="shared" si="9"/>
        <v>39081.360000000001</v>
      </c>
      <c r="H71" s="611"/>
      <c r="I71" s="426"/>
      <c r="J71" s="426"/>
      <c r="K71" s="426"/>
      <c r="L71" s="426"/>
      <c r="M71" s="426"/>
      <c r="N71" s="426"/>
      <c r="O71" s="611"/>
      <c r="P71" s="611"/>
      <c r="Q71" s="611"/>
      <c r="R71" s="611"/>
      <c r="S71" s="611"/>
      <c r="T71" s="606"/>
      <c r="U71" s="606"/>
      <c r="V71" s="606"/>
      <c r="W71" s="606"/>
      <c r="X71" s="606"/>
      <c r="Y71" s="606"/>
      <c r="Z71" s="606"/>
      <c r="AA71" s="606"/>
      <c r="AB71" s="606"/>
      <c r="AC71" s="606"/>
      <c r="AD71" s="606"/>
      <c r="AE71" s="606"/>
      <c r="AF71" s="606"/>
      <c r="AG71" s="606"/>
      <c r="AH71" s="606"/>
      <c r="AI71" s="606"/>
      <c r="AJ71" s="606"/>
      <c r="AK71" s="606"/>
      <c r="AL71" s="606"/>
      <c r="AM71" s="606"/>
      <c r="AN71" s="606"/>
      <c r="AO71" s="606"/>
      <c r="AP71" s="606"/>
      <c r="AQ71" s="606"/>
      <c r="AR71" s="606"/>
      <c r="AS71" s="606"/>
      <c r="AT71" s="606"/>
      <c r="AU71" s="606"/>
      <c r="AV71" s="606"/>
      <c r="AW71" s="606"/>
      <c r="AX71" s="606"/>
      <c r="AY71" s="606"/>
      <c r="AZ71" s="606"/>
      <c r="BA71" s="606"/>
      <c r="BB71" s="606"/>
      <c r="BC71" s="606"/>
      <c r="BD71" s="606"/>
      <c r="BE71" s="606"/>
      <c r="BF71" s="606"/>
    </row>
    <row r="72" spans="1:58" hidden="1">
      <c r="A72" s="607">
        <f t="shared" si="6"/>
        <v>33</v>
      </c>
      <c r="B72" s="612">
        <f t="shared" si="10"/>
        <v>35631.96</v>
      </c>
      <c r="C72" s="612">
        <f t="shared" si="11"/>
        <v>40798.04</v>
      </c>
      <c r="D72" s="613">
        <f t="shared" si="4"/>
        <v>35631.96</v>
      </c>
      <c r="E72" s="613">
        <f t="shared" ref="E72:E103" si="12">C72</f>
        <v>40798.04</v>
      </c>
      <c r="F72" s="614">
        <f t="shared" si="8"/>
        <v>35631.96</v>
      </c>
      <c r="G72" s="614">
        <f t="shared" si="9"/>
        <v>40798.04</v>
      </c>
      <c r="H72" s="611"/>
      <c r="I72" s="426"/>
      <c r="J72" s="426"/>
      <c r="K72" s="426"/>
      <c r="L72" s="426"/>
      <c r="M72" s="426"/>
      <c r="N72" s="426"/>
      <c r="O72" s="611"/>
      <c r="P72" s="611"/>
      <c r="Q72" s="611"/>
      <c r="R72" s="611"/>
      <c r="S72" s="611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N72" s="606"/>
      <c r="AO72" s="606"/>
      <c r="AP72" s="606"/>
      <c r="AQ72" s="606"/>
      <c r="AR72" s="606"/>
      <c r="AS72" s="606"/>
      <c r="AT72" s="606"/>
      <c r="AU72" s="606"/>
      <c r="AV72" s="606"/>
      <c r="AW72" s="606"/>
      <c r="AX72" s="606"/>
      <c r="AY72" s="606"/>
      <c r="AZ72" s="606"/>
      <c r="BA72" s="606"/>
      <c r="BB72" s="606"/>
      <c r="BC72" s="606"/>
      <c r="BD72" s="606"/>
      <c r="BE72" s="606"/>
      <c r="BF72" s="606"/>
    </row>
    <row r="73" spans="1:58" hidden="1">
      <c r="A73" s="607">
        <f t="shared" si="6"/>
        <v>34</v>
      </c>
      <c r="B73" s="612">
        <f t="shared" si="10"/>
        <v>37625.339999999997</v>
      </c>
      <c r="C73" s="612">
        <f t="shared" si="11"/>
        <v>42636.03</v>
      </c>
      <c r="D73" s="613">
        <f t="shared" si="4"/>
        <v>37625.339999999997</v>
      </c>
      <c r="E73" s="613">
        <f t="shared" si="12"/>
        <v>42636.03</v>
      </c>
      <c r="F73" s="614">
        <f t="shared" si="8"/>
        <v>37625.339999999997</v>
      </c>
      <c r="G73" s="614">
        <f t="shared" si="9"/>
        <v>42636.03</v>
      </c>
      <c r="H73" s="611"/>
      <c r="I73" s="426"/>
      <c r="J73" s="426"/>
      <c r="K73" s="426"/>
      <c r="L73" s="426"/>
      <c r="M73" s="426"/>
      <c r="N73" s="426"/>
      <c r="O73" s="611"/>
      <c r="P73" s="611"/>
      <c r="Q73" s="611"/>
      <c r="R73" s="611"/>
      <c r="S73" s="611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N73" s="606"/>
      <c r="AO73" s="606"/>
      <c r="AP73" s="606"/>
      <c r="AQ73" s="606"/>
      <c r="AR73" s="606"/>
      <c r="AS73" s="606"/>
      <c r="AT73" s="606"/>
      <c r="AU73" s="606"/>
      <c r="AV73" s="606"/>
      <c r="AW73" s="606"/>
      <c r="AX73" s="606"/>
      <c r="AY73" s="606"/>
      <c r="AZ73" s="606"/>
      <c r="BA73" s="606"/>
      <c r="BB73" s="606"/>
      <c r="BC73" s="606"/>
      <c r="BD73" s="606"/>
      <c r="BE73" s="606"/>
      <c r="BF73" s="606"/>
    </row>
    <row r="74" spans="1:58" hidden="1">
      <c r="A74" s="607">
        <f t="shared" si="6"/>
        <v>35</v>
      </c>
      <c r="B74" s="612">
        <f t="shared" si="10"/>
        <v>39703.32</v>
      </c>
      <c r="C74" s="612">
        <f t="shared" si="11"/>
        <v>44583.68</v>
      </c>
      <c r="D74" s="613">
        <f t="shared" si="4"/>
        <v>39703.32</v>
      </c>
      <c r="E74" s="613">
        <f t="shared" si="12"/>
        <v>44583.68</v>
      </c>
      <c r="F74" s="614">
        <f t="shared" si="8"/>
        <v>39703.32</v>
      </c>
      <c r="G74" s="614">
        <f t="shared" si="9"/>
        <v>44583.68</v>
      </c>
      <c r="H74" s="611"/>
      <c r="I74" s="426"/>
      <c r="J74" s="426"/>
      <c r="K74" s="426"/>
      <c r="L74" s="426"/>
      <c r="M74" s="426"/>
      <c r="N74" s="426"/>
      <c r="O74" s="611"/>
      <c r="P74" s="611"/>
      <c r="Q74" s="611"/>
      <c r="R74" s="611"/>
      <c r="S74" s="611"/>
      <c r="T74" s="606"/>
      <c r="U74" s="606"/>
      <c r="V74" s="606"/>
      <c r="W74" s="606"/>
      <c r="X74" s="606"/>
      <c r="Y74" s="606"/>
      <c r="Z74" s="606"/>
      <c r="AA74" s="606"/>
      <c r="AB74" s="606"/>
      <c r="AC74" s="606"/>
      <c r="AD74" s="606"/>
      <c r="AE74" s="606"/>
      <c r="AF74" s="606"/>
      <c r="AG74" s="606"/>
      <c r="AH74" s="606"/>
      <c r="AI74" s="606"/>
      <c r="AJ74" s="606"/>
      <c r="AK74" s="606"/>
      <c r="AL74" s="606"/>
      <c r="AM74" s="606"/>
      <c r="AN74" s="606"/>
      <c r="AO74" s="606"/>
      <c r="AP74" s="606"/>
      <c r="AQ74" s="606"/>
      <c r="AR74" s="606"/>
      <c r="AS74" s="606"/>
      <c r="AT74" s="606"/>
      <c r="AU74" s="606"/>
      <c r="AV74" s="606"/>
      <c r="AW74" s="606"/>
      <c r="AX74" s="606"/>
      <c r="AY74" s="606"/>
      <c r="AZ74" s="606"/>
      <c r="BA74" s="606"/>
      <c r="BB74" s="606"/>
      <c r="BC74" s="606"/>
      <c r="BD74" s="606"/>
      <c r="BE74" s="606"/>
      <c r="BF74" s="606"/>
    </row>
    <row r="75" spans="1:58" hidden="1">
      <c r="A75" s="607">
        <f t="shared" si="6"/>
        <v>36</v>
      </c>
      <c r="B75" s="612">
        <f t="shared" si="10"/>
        <v>41400.559999999998</v>
      </c>
      <c r="C75" s="612">
        <f t="shared" si="11"/>
        <v>46580.04</v>
      </c>
      <c r="D75" s="613">
        <f t="shared" si="4"/>
        <v>41400.559999999998</v>
      </c>
      <c r="E75" s="613">
        <f t="shared" si="12"/>
        <v>46580.04</v>
      </c>
      <c r="F75" s="614">
        <f t="shared" si="8"/>
        <v>41400.559999999998</v>
      </c>
      <c r="G75" s="614">
        <f t="shared" si="9"/>
        <v>46580.04</v>
      </c>
      <c r="H75" s="611"/>
      <c r="I75" s="426"/>
      <c r="J75" s="426"/>
      <c r="K75" s="426"/>
      <c r="L75" s="426"/>
      <c r="M75" s="426"/>
      <c r="N75" s="426"/>
      <c r="O75" s="611"/>
      <c r="P75" s="611"/>
      <c r="Q75" s="611"/>
      <c r="R75" s="611"/>
      <c r="S75" s="611"/>
      <c r="T75" s="606"/>
      <c r="U75" s="606"/>
      <c r="V75" s="606"/>
      <c r="W75" s="606"/>
      <c r="X75" s="606"/>
      <c r="Y75" s="606"/>
      <c r="Z75" s="606"/>
      <c r="AA75" s="606"/>
      <c r="AB75" s="606"/>
      <c r="AC75" s="606"/>
      <c r="AD75" s="606"/>
      <c r="AE75" s="606"/>
      <c r="AF75" s="606"/>
      <c r="AG75" s="606"/>
      <c r="AH75" s="606"/>
      <c r="AI75" s="606"/>
      <c r="AJ75" s="606"/>
      <c r="AK75" s="606"/>
      <c r="AL75" s="606"/>
      <c r="AM75" s="606"/>
      <c r="AN75" s="606"/>
      <c r="AO75" s="606"/>
      <c r="AP75" s="606"/>
      <c r="AQ75" s="606"/>
      <c r="AR75" s="606"/>
      <c r="AS75" s="606"/>
      <c r="AT75" s="606"/>
      <c r="AU75" s="606"/>
      <c r="AV75" s="606"/>
      <c r="AW75" s="606"/>
      <c r="AX75" s="606"/>
      <c r="AY75" s="606"/>
      <c r="AZ75" s="606"/>
      <c r="BA75" s="606"/>
      <c r="BB75" s="606"/>
      <c r="BC75" s="606"/>
      <c r="BD75" s="606"/>
      <c r="BE75" s="606"/>
      <c r="BF75" s="606"/>
    </row>
    <row r="76" spans="1:58" hidden="1">
      <c r="A76" s="607">
        <f t="shared" si="6"/>
        <v>37</v>
      </c>
      <c r="B76" s="612">
        <f t="shared" si="10"/>
        <v>43657.88</v>
      </c>
      <c r="C76" s="612">
        <f t="shared" si="11"/>
        <v>48807.13</v>
      </c>
      <c r="D76" s="613">
        <f t="shared" si="4"/>
        <v>43657.88</v>
      </c>
      <c r="E76" s="613">
        <f t="shared" si="12"/>
        <v>48807.13</v>
      </c>
      <c r="F76" s="614">
        <f t="shared" si="8"/>
        <v>43657.88</v>
      </c>
      <c r="G76" s="614">
        <f t="shared" si="9"/>
        <v>48807.13</v>
      </c>
      <c r="H76" s="611"/>
      <c r="I76" s="426"/>
      <c r="J76" s="426"/>
      <c r="K76" s="426"/>
      <c r="L76" s="426"/>
      <c r="M76" s="426"/>
      <c r="N76" s="426"/>
      <c r="O76" s="611"/>
      <c r="P76" s="611"/>
      <c r="Q76" s="611"/>
      <c r="R76" s="611"/>
      <c r="S76" s="611"/>
      <c r="T76" s="606"/>
      <c r="U76" s="606"/>
      <c r="V76" s="606"/>
      <c r="W76" s="606"/>
      <c r="X76" s="606"/>
      <c r="Y76" s="606"/>
      <c r="Z76" s="606"/>
      <c r="AA76" s="606"/>
      <c r="AB76" s="606"/>
      <c r="AC76" s="606"/>
      <c r="AD76" s="606"/>
      <c r="AE76" s="606"/>
      <c r="AF76" s="606"/>
      <c r="AG76" s="606"/>
      <c r="AH76" s="606"/>
      <c r="AI76" s="606"/>
      <c r="AJ76" s="606"/>
      <c r="AK76" s="606"/>
      <c r="AL76" s="606"/>
      <c r="AM76" s="606"/>
      <c r="AN76" s="606"/>
      <c r="AO76" s="606"/>
      <c r="AP76" s="606"/>
      <c r="AQ76" s="606"/>
      <c r="AR76" s="606"/>
      <c r="AS76" s="606"/>
      <c r="AT76" s="606"/>
      <c r="AU76" s="606"/>
      <c r="AV76" s="606"/>
      <c r="AW76" s="606"/>
      <c r="AX76" s="606"/>
      <c r="AY76" s="606"/>
      <c r="AZ76" s="606"/>
      <c r="BA76" s="606"/>
      <c r="BB76" s="606"/>
      <c r="BC76" s="606"/>
      <c r="BD76" s="606"/>
      <c r="BE76" s="606"/>
      <c r="BF76" s="606"/>
    </row>
    <row r="77" spans="1:58" hidden="1">
      <c r="A77" s="607">
        <f t="shared" si="6"/>
        <v>38</v>
      </c>
      <c r="B77" s="612">
        <f t="shared" si="10"/>
        <v>45985.82</v>
      </c>
      <c r="C77" s="612">
        <f t="shared" si="11"/>
        <v>50953.85</v>
      </c>
      <c r="D77" s="613">
        <f t="shared" si="4"/>
        <v>45985.82</v>
      </c>
      <c r="E77" s="613">
        <f t="shared" si="12"/>
        <v>50953.85</v>
      </c>
      <c r="F77" s="614">
        <f t="shared" ref="F77:F108" si="13">ROUND(D77*$G$37,2)</f>
        <v>45985.82</v>
      </c>
      <c r="G77" s="614">
        <f t="shared" si="9"/>
        <v>50953.85</v>
      </c>
      <c r="H77" s="611"/>
      <c r="I77" s="426"/>
      <c r="J77" s="426"/>
      <c r="K77" s="426"/>
      <c r="L77" s="426"/>
      <c r="M77" s="426"/>
      <c r="N77" s="426"/>
      <c r="O77" s="611"/>
      <c r="P77" s="611"/>
      <c r="Q77" s="611"/>
      <c r="R77" s="611"/>
      <c r="S77" s="611"/>
      <c r="T77" s="606"/>
      <c r="U77" s="606"/>
      <c r="V77" s="606"/>
      <c r="W77" s="606"/>
      <c r="X77" s="606"/>
      <c r="Y77" s="606"/>
      <c r="Z77" s="606"/>
      <c r="AA77" s="606"/>
      <c r="AB77" s="606"/>
      <c r="AC77" s="606"/>
      <c r="AD77" s="606"/>
      <c r="AE77" s="606"/>
      <c r="AF77" s="606"/>
      <c r="AG77" s="606"/>
      <c r="AH77" s="606"/>
      <c r="AI77" s="606"/>
      <c r="AJ77" s="606"/>
      <c r="AK77" s="606"/>
      <c r="AL77" s="606"/>
      <c r="AM77" s="606"/>
      <c r="AN77" s="606"/>
      <c r="AO77" s="606"/>
      <c r="AP77" s="606"/>
      <c r="AQ77" s="606"/>
      <c r="AR77" s="606"/>
      <c r="AS77" s="606"/>
      <c r="AT77" s="606"/>
      <c r="AU77" s="606"/>
      <c r="AV77" s="606"/>
      <c r="AW77" s="606"/>
      <c r="AX77" s="606"/>
      <c r="AY77" s="606"/>
      <c r="AZ77" s="606"/>
      <c r="BA77" s="606"/>
      <c r="BB77" s="606"/>
      <c r="BC77" s="606"/>
      <c r="BD77" s="606"/>
      <c r="BE77" s="606"/>
      <c r="BF77" s="606"/>
    </row>
    <row r="78" spans="1:58" hidden="1">
      <c r="A78" s="607">
        <f t="shared" si="6"/>
        <v>39</v>
      </c>
      <c r="B78" s="612">
        <f t="shared" si="10"/>
        <v>48496.59</v>
      </c>
      <c r="C78" s="612">
        <f t="shared" si="11"/>
        <v>53263.37</v>
      </c>
      <c r="D78" s="613">
        <f t="shared" si="4"/>
        <v>48496.59</v>
      </c>
      <c r="E78" s="613">
        <f t="shared" si="12"/>
        <v>53263.37</v>
      </c>
      <c r="F78" s="614">
        <f t="shared" si="13"/>
        <v>48496.59</v>
      </c>
      <c r="G78" s="614">
        <f t="shared" si="9"/>
        <v>53263.37</v>
      </c>
      <c r="H78" s="611"/>
      <c r="I78" s="426"/>
      <c r="J78" s="426"/>
      <c r="K78" s="426"/>
      <c r="L78" s="426"/>
      <c r="M78" s="426"/>
      <c r="N78" s="426"/>
      <c r="O78" s="611"/>
      <c r="P78" s="611"/>
      <c r="Q78" s="611"/>
      <c r="R78" s="611"/>
      <c r="S78" s="611"/>
      <c r="T78" s="606"/>
      <c r="U78" s="606"/>
      <c r="V78" s="606"/>
      <c r="W78" s="606"/>
      <c r="X78" s="606"/>
      <c r="Y78" s="606"/>
      <c r="Z78" s="606"/>
      <c r="AA78" s="606"/>
      <c r="AB78" s="606"/>
      <c r="AC78" s="606"/>
      <c r="AD78" s="606"/>
      <c r="AE78" s="606"/>
      <c r="AF78" s="606"/>
      <c r="AG78" s="606"/>
      <c r="AH78" s="606"/>
      <c r="AI78" s="606"/>
      <c r="AJ78" s="606"/>
      <c r="AK78" s="606"/>
      <c r="AL78" s="606"/>
      <c r="AM78" s="606"/>
      <c r="AN78" s="606"/>
      <c r="AO78" s="606"/>
      <c r="AP78" s="606"/>
      <c r="AQ78" s="606"/>
      <c r="AR78" s="606"/>
      <c r="AS78" s="606"/>
      <c r="AT78" s="606"/>
      <c r="AU78" s="606"/>
      <c r="AV78" s="606"/>
      <c r="AW78" s="606"/>
      <c r="AX78" s="606"/>
      <c r="AY78" s="606"/>
      <c r="AZ78" s="606"/>
      <c r="BA78" s="606"/>
      <c r="BB78" s="606"/>
      <c r="BC78" s="606"/>
      <c r="BD78" s="606"/>
      <c r="BE78" s="606"/>
      <c r="BF78" s="606"/>
    </row>
    <row r="79" spans="1:58" hidden="1">
      <c r="A79" s="607">
        <f t="shared" si="6"/>
        <v>40</v>
      </c>
      <c r="B79" s="612">
        <f t="shared" si="10"/>
        <v>50202.14</v>
      </c>
      <c r="C79" s="612">
        <f t="shared" si="11"/>
        <v>55656.62</v>
      </c>
      <c r="D79" s="613">
        <f t="shared" si="4"/>
        <v>50202.14</v>
      </c>
      <c r="E79" s="613">
        <f t="shared" si="12"/>
        <v>55656.62</v>
      </c>
      <c r="F79" s="614">
        <f t="shared" si="13"/>
        <v>50202.14</v>
      </c>
      <c r="G79" s="614">
        <f t="shared" si="9"/>
        <v>55656.62</v>
      </c>
      <c r="H79" s="611"/>
      <c r="I79" s="426"/>
      <c r="J79" s="426"/>
      <c r="K79" s="426"/>
      <c r="L79" s="426"/>
      <c r="M79" s="426"/>
      <c r="N79" s="426"/>
      <c r="O79" s="611"/>
      <c r="P79" s="611"/>
      <c r="Q79" s="611"/>
      <c r="R79" s="611"/>
      <c r="S79" s="611"/>
      <c r="T79" s="606"/>
      <c r="U79" s="606"/>
      <c r="V79" s="606"/>
      <c r="W79" s="606"/>
      <c r="X79" s="606"/>
      <c r="Y79" s="606"/>
      <c r="Z79" s="606"/>
      <c r="AA79" s="606"/>
      <c r="AB79" s="606"/>
      <c r="AC79" s="606"/>
      <c r="AD79" s="606"/>
      <c r="AE79" s="606"/>
      <c r="AF79" s="606"/>
      <c r="AG79" s="606"/>
      <c r="AH79" s="606"/>
      <c r="AI79" s="606"/>
      <c r="AJ79" s="606"/>
      <c r="AK79" s="606"/>
      <c r="AL79" s="606"/>
      <c r="AM79" s="606"/>
      <c r="AN79" s="606"/>
      <c r="AO79" s="606"/>
      <c r="AP79" s="606"/>
      <c r="AQ79" s="606"/>
      <c r="AR79" s="606"/>
      <c r="AS79" s="606"/>
      <c r="AT79" s="606"/>
      <c r="AU79" s="606"/>
      <c r="AV79" s="606"/>
      <c r="AW79" s="606"/>
      <c r="AX79" s="606"/>
      <c r="AY79" s="606"/>
      <c r="AZ79" s="606"/>
      <c r="BA79" s="606"/>
      <c r="BB79" s="606"/>
      <c r="BC79" s="606"/>
      <c r="BD79" s="606"/>
      <c r="BE79" s="606"/>
      <c r="BF79" s="606"/>
    </row>
    <row r="80" spans="1:58" hidden="1">
      <c r="A80" s="607">
        <f t="shared" si="6"/>
        <v>41</v>
      </c>
      <c r="B80" s="612">
        <f t="shared" si="10"/>
        <v>52070.05</v>
      </c>
      <c r="C80" s="612">
        <f t="shared" si="11"/>
        <v>58166.81</v>
      </c>
      <c r="D80" s="613">
        <f t="shared" si="4"/>
        <v>52070.05</v>
      </c>
      <c r="E80" s="613">
        <f t="shared" si="12"/>
        <v>58166.81</v>
      </c>
      <c r="F80" s="614">
        <f t="shared" si="13"/>
        <v>52070.05</v>
      </c>
      <c r="G80" s="614">
        <f t="shared" si="9"/>
        <v>58166.81</v>
      </c>
      <c r="H80" s="611"/>
      <c r="I80" s="426"/>
      <c r="J80" s="426"/>
      <c r="K80" s="426"/>
      <c r="L80" s="426"/>
      <c r="M80" s="426"/>
      <c r="N80" s="426"/>
      <c r="O80" s="611"/>
      <c r="P80" s="611"/>
      <c r="Q80" s="611"/>
      <c r="R80" s="611"/>
      <c r="S80" s="611"/>
      <c r="T80" s="606"/>
      <c r="U80" s="606"/>
      <c r="V80" s="606"/>
      <c r="W80" s="606"/>
      <c r="X80" s="606"/>
      <c r="Y80" s="606"/>
      <c r="Z80" s="606"/>
      <c r="AA80" s="606"/>
      <c r="AB80" s="606"/>
      <c r="AC80" s="606"/>
      <c r="AD80" s="606"/>
      <c r="AE80" s="606"/>
      <c r="AF80" s="606"/>
      <c r="AG80" s="606"/>
      <c r="AH80" s="606"/>
      <c r="AI80" s="606"/>
      <c r="AJ80" s="606"/>
      <c r="AK80" s="606"/>
      <c r="AL80" s="606"/>
      <c r="AM80" s="606"/>
      <c r="AN80" s="606"/>
      <c r="AO80" s="606"/>
      <c r="AP80" s="606"/>
      <c r="AQ80" s="606"/>
      <c r="AR80" s="606"/>
      <c r="AS80" s="606"/>
      <c r="AT80" s="606"/>
      <c r="AU80" s="606"/>
      <c r="AV80" s="606"/>
      <c r="AW80" s="606"/>
      <c r="AX80" s="606"/>
      <c r="AY80" s="606"/>
      <c r="AZ80" s="606"/>
      <c r="BA80" s="606"/>
      <c r="BB80" s="606"/>
      <c r="BC80" s="606"/>
      <c r="BD80" s="606"/>
      <c r="BE80" s="606"/>
      <c r="BF80" s="606"/>
    </row>
    <row r="81" spans="1:58" hidden="1">
      <c r="A81" s="607">
        <f t="shared" si="6"/>
        <v>42</v>
      </c>
      <c r="B81" s="612">
        <f t="shared" si="10"/>
        <v>54090.51</v>
      </c>
      <c r="C81" s="612">
        <f t="shared" si="11"/>
        <v>60779.09</v>
      </c>
      <c r="D81" s="613">
        <f t="shared" si="4"/>
        <v>54090.51</v>
      </c>
      <c r="E81" s="613">
        <f t="shared" si="12"/>
        <v>60779.09</v>
      </c>
      <c r="F81" s="614">
        <f t="shared" si="13"/>
        <v>54090.51</v>
      </c>
      <c r="G81" s="614">
        <f t="shared" si="9"/>
        <v>60779.09</v>
      </c>
      <c r="H81" s="611"/>
      <c r="I81" s="426"/>
      <c r="J81" s="426"/>
      <c r="K81" s="426"/>
      <c r="L81" s="426"/>
      <c r="M81" s="426"/>
      <c r="N81" s="426"/>
      <c r="O81" s="611"/>
      <c r="P81" s="611"/>
      <c r="Q81" s="611"/>
      <c r="R81" s="611"/>
      <c r="S81" s="611"/>
      <c r="T81" s="606"/>
      <c r="U81" s="606"/>
      <c r="V81" s="606"/>
      <c r="W81" s="606"/>
      <c r="X81" s="606"/>
      <c r="Y81" s="606"/>
      <c r="Z81" s="606"/>
      <c r="AA81" s="606"/>
      <c r="AB81" s="606"/>
      <c r="AC81" s="606"/>
      <c r="AD81" s="606"/>
      <c r="AE81" s="606"/>
      <c r="AF81" s="606"/>
      <c r="AG81" s="606"/>
      <c r="AH81" s="606"/>
      <c r="AI81" s="606"/>
      <c r="AJ81" s="606"/>
      <c r="AK81" s="606"/>
      <c r="AL81" s="606"/>
      <c r="AM81" s="606"/>
      <c r="AN81" s="606"/>
      <c r="AO81" s="606"/>
      <c r="AP81" s="606"/>
      <c r="AQ81" s="606"/>
      <c r="AR81" s="606"/>
      <c r="AS81" s="606"/>
      <c r="AT81" s="606"/>
      <c r="AU81" s="606"/>
      <c r="AV81" s="606"/>
      <c r="AW81" s="606"/>
      <c r="AX81" s="606"/>
      <c r="AY81" s="606"/>
      <c r="AZ81" s="606"/>
      <c r="BA81" s="606"/>
      <c r="BB81" s="606"/>
      <c r="BC81" s="606"/>
      <c r="BD81" s="606"/>
      <c r="BE81" s="606"/>
      <c r="BF81" s="606"/>
    </row>
    <row r="82" spans="1:58" hidden="1">
      <c r="A82" s="607">
        <f t="shared" si="6"/>
        <v>43</v>
      </c>
      <c r="B82" s="612">
        <f t="shared" si="10"/>
        <v>56250.48</v>
      </c>
      <c r="C82" s="612">
        <f t="shared" si="11"/>
        <v>63496.57</v>
      </c>
      <c r="D82" s="613">
        <f t="shared" si="4"/>
        <v>56250.48</v>
      </c>
      <c r="E82" s="613">
        <f t="shared" si="12"/>
        <v>63496.57</v>
      </c>
      <c r="F82" s="614">
        <f t="shared" si="13"/>
        <v>56250.48</v>
      </c>
      <c r="G82" s="614">
        <f t="shared" si="9"/>
        <v>63496.57</v>
      </c>
      <c r="H82" s="611"/>
      <c r="I82" s="426"/>
      <c r="J82" s="426"/>
      <c r="K82" s="426"/>
      <c r="L82" s="426"/>
      <c r="M82" s="426"/>
      <c r="N82" s="426"/>
      <c r="O82" s="611"/>
      <c r="P82" s="611"/>
      <c r="Q82" s="611"/>
      <c r="R82" s="611"/>
      <c r="S82" s="611"/>
      <c r="T82" s="606"/>
      <c r="U82" s="606"/>
      <c r="V82" s="606"/>
      <c r="W82" s="606"/>
      <c r="X82" s="606"/>
      <c r="Y82" s="606"/>
      <c r="Z82" s="606"/>
      <c r="AA82" s="606"/>
      <c r="AB82" s="606"/>
      <c r="AC82" s="606"/>
      <c r="AD82" s="606"/>
      <c r="AE82" s="606"/>
      <c r="AF82" s="606"/>
      <c r="AG82" s="606"/>
      <c r="AH82" s="606"/>
      <c r="AI82" s="606"/>
      <c r="AJ82" s="606"/>
      <c r="AK82" s="606"/>
      <c r="AL82" s="606"/>
      <c r="AM82" s="606"/>
      <c r="AN82" s="606"/>
      <c r="AO82" s="606"/>
      <c r="AP82" s="606"/>
      <c r="AQ82" s="606"/>
      <c r="AR82" s="606"/>
      <c r="AS82" s="606"/>
      <c r="AT82" s="606"/>
      <c r="AU82" s="606"/>
      <c r="AV82" s="606"/>
      <c r="AW82" s="606"/>
      <c r="AX82" s="606"/>
      <c r="AY82" s="606"/>
      <c r="AZ82" s="606"/>
      <c r="BA82" s="606"/>
      <c r="BB82" s="606"/>
      <c r="BC82" s="606"/>
      <c r="BD82" s="606"/>
      <c r="BE82" s="606"/>
      <c r="BF82" s="606"/>
    </row>
    <row r="83" spans="1:58" hidden="1">
      <c r="A83" s="607">
        <f t="shared" si="6"/>
        <v>44</v>
      </c>
      <c r="B83" s="612">
        <f t="shared" si="10"/>
        <v>58670.96</v>
      </c>
      <c r="C83" s="612">
        <f t="shared" si="11"/>
        <v>66716.17</v>
      </c>
      <c r="D83" s="613">
        <f t="shared" si="4"/>
        <v>58670.96</v>
      </c>
      <c r="E83" s="613">
        <f t="shared" si="12"/>
        <v>66716.17</v>
      </c>
      <c r="F83" s="614">
        <f t="shared" si="13"/>
        <v>58670.96</v>
      </c>
      <c r="G83" s="614">
        <f t="shared" si="9"/>
        <v>66716.17</v>
      </c>
      <c r="H83" s="611"/>
      <c r="I83" s="426"/>
      <c r="J83" s="426"/>
      <c r="K83" s="426"/>
      <c r="L83" s="426"/>
      <c r="M83" s="426"/>
      <c r="N83" s="426"/>
      <c r="O83" s="611"/>
      <c r="P83" s="611"/>
      <c r="Q83" s="611"/>
      <c r="R83" s="611"/>
      <c r="S83" s="611"/>
      <c r="T83" s="606"/>
      <c r="U83" s="606"/>
      <c r="V83" s="606"/>
      <c r="W83" s="606"/>
      <c r="X83" s="606"/>
      <c r="Y83" s="606"/>
      <c r="Z83" s="606"/>
      <c r="AA83" s="606"/>
      <c r="AB83" s="606"/>
      <c r="AC83" s="606"/>
      <c r="AD83" s="606"/>
      <c r="AE83" s="606"/>
      <c r="AF83" s="606"/>
      <c r="AG83" s="606"/>
      <c r="AH83" s="606"/>
      <c r="AI83" s="606"/>
      <c r="AJ83" s="606"/>
      <c r="AK83" s="606"/>
      <c r="AL83" s="606"/>
      <c r="AM83" s="606"/>
      <c r="AN83" s="606"/>
      <c r="AO83" s="606"/>
      <c r="AP83" s="606"/>
      <c r="AQ83" s="606"/>
      <c r="AR83" s="606"/>
      <c r="AS83" s="606"/>
      <c r="AT83" s="606"/>
      <c r="AU83" s="606"/>
      <c r="AV83" s="606"/>
      <c r="AW83" s="606"/>
      <c r="AX83" s="606"/>
      <c r="AY83" s="606"/>
      <c r="AZ83" s="606"/>
      <c r="BA83" s="606"/>
      <c r="BB83" s="606"/>
      <c r="BC83" s="606"/>
      <c r="BD83" s="606"/>
      <c r="BE83" s="606"/>
      <c r="BF83" s="606"/>
    </row>
    <row r="84" spans="1:58" hidden="1">
      <c r="A84" s="607">
        <f t="shared" si="6"/>
        <v>45</v>
      </c>
      <c r="B84" s="612">
        <f t="shared" si="10"/>
        <v>61309.08</v>
      </c>
      <c r="C84" s="612">
        <f t="shared" si="11"/>
        <v>69104.69</v>
      </c>
      <c r="D84" s="613">
        <f t="shared" si="4"/>
        <v>61309.08</v>
      </c>
      <c r="E84" s="613">
        <f t="shared" si="12"/>
        <v>69104.69</v>
      </c>
      <c r="F84" s="614">
        <f t="shared" si="13"/>
        <v>61309.08</v>
      </c>
      <c r="G84" s="614">
        <f t="shared" si="9"/>
        <v>69104.69</v>
      </c>
      <c r="H84" s="611"/>
      <c r="I84" s="426"/>
      <c r="J84" s="426"/>
      <c r="K84" s="426"/>
      <c r="L84" s="426"/>
      <c r="M84" s="426"/>
      <c r="N84" s="426"/>
      <c r="O84" s="611"/>
      <c r="P84" s="611"/>
      <c r="Q84" s="611"/>
      <c r="R84" s="611"/>
      <c r="S84" s="611"/>
      <c r="T84" s="606"/>
      <c r="U84" s="606"/>
      <c r="V84" s="606"/>
      <c r="W84" s="606"/>
      <c r="X84" s="606"/>
      <c r="Y84" s="606"/>
      <c r="Z84" s="606"/>
      <c r="AA84" s="606"/>
      <c r="AB84" s="606"/>
      <c r="AC84" s="606"/>
      <c r="AD84" s="606"/>
      <c r="AE84" s="606"/>
      <c r="AF84" s="606"/>
      <c r="AG84" s="606"/>
      <c r="AH84" s="606"/>
      <c r="AI84" s="606"/>
      <c r="AJ84" s="606"/>
      <c r="AK84" s="606"/>
      <c r="AL84" s="606"/>
      <c r="AM84" s="606"/>
      <c r="AN84" s="606"/>
      <c r="AO84" s="606"/>
      <c r="AP84" s="606"/>
      <c r="AQ84" s="606"/>
      <c r="AR84" s="606"/>
      <c r="AS84" s="606"/>
      <c r="AT84" s="606"/>
      <c r="AU84" s="606"/>
      <c r="AV84" s="606"/>
      <c r="AW84" s="606"/>
      <c r="AX84" s="606"/>
      <c r="AY84" s="606"/>
      <c r="AZ84" s="606"/>
      <c r="BA84" s="606"/>
      <c r="BB84" s="606"/>
      <c r="BC84" s="606"/>
      <c r="BD84" s="606"/>
      <c r="BE84" s="606"/>
      <c r="BF84" s="606"/>
    </row>
    <row r="85" spans="1:58" hidden="1">
      <c r="A85" s="607">
        <f t="shared" si="6"/>
        <v>46</v>
      </c>
      <c r="B85" s="612">
        <f t="shared" si="10"/>
        <v>64201.39</v>
      </c>
      <c r="C85" s="612">
        <f t="shared" si="11"/>
        <v>71704.66</v>
      </c>
      <c r="D85" s="613">
        <f t="shared" si="4"/>
        <v>64201.39</v>
      </c>
      <c r="E85" s="613">
        <f t="shared" si="12"/>
        <v>71704.66</v>
      </c>
      <c r="F85" s="614">
        <f t="shared" si="13"/>
        <v>64201.39</v>
      </c>
      <c r="G85" s="614">
        <f t="shared" si="9"/>
        <v>71704.66</v>
      </c>
      <c r="H85" s="611"/>
      <c r="I85" s="426"/>
      <c r="J85" s="426"/>
      <c r="K85" s="426"/>
      <c r="L85" s="426"/>
      <c r="M85" s="426"/>
      <c r="N85" s="426"/>
      <c r="O85" s="611"/>
      <c r="P85" s="611"/>
      <c r="Q85" s="611"/>
      <c r="R85" s="611"/>
      <c r="S85" s="611"/>
      <c r="T85" s="606"/>
      <c r="U85" s="606"/>
      <c r="V85" s="606"/>
      <c r="W85" s="606"/>
      <c r="X85" s="606"/>
      <c r="Y85" s="606"/>
      <c r="Z85" s="606"/>
      <c r="AA85" s="606"/>
      <c r="AB85" s="606"/>
      <c r="AC85" s="606"/>
      <c r="AD85" s="606"/>
      <c r="AE85" s="606"/>
      <c r="AF85" s="606"/>
      <c r="AG85" s="606"/>
      <c r="AH85" s="606"/>
      <c r="AI85" s="606"/>
      <c r="AJ85" s="606"/>
      <c r="AK85" s="606"/>
      <c r="AL85" s="606"/>
      <c r="AM85" s="606"/>
      <c r="AN85" s="606"/>
      <c r="AO85" s="606"/>
      <c r="AP85" s="606"/>
      <c r="AQ85" s="606"/>
      <c r="AR85" s="606"/>
      <c r="AS85" s="606"/>
      <c r="AT85" s="606"/>
      <c r="AU85" s="606"/>
      <c r="AV85" s="606"/>
      <c r="AW85" s="606"/>
      <c r="AX85" s="606"/>
      <c r="AY85" s="606"/>
      <c r="AZ85" s="606"/>
      <c r="BA85" s="606"/>
      <c r="BB85" s="606"/>
      <c r="BC85" s="606"/>
      <c r="BD85" s="606"/>
      <c r="BE85" s="606"/>
      <c r="BF85" s="606"/>
    </row>
    <row r="86" spans="1:58" hidden="1">
      <c r="A86" s="607">
        <f t="shared" si="6"/>
        <v>47</v>
      </c>
      <c r="B86" s="612">
        <f t="shared" si="10"/>
        <v>67377.16</v>
      </c>
      <c r="C86" s="612">
        <f t="shared" si="11"/>
        <v>75360.039999999994</v>
      </c>
      <c r="D86" s="613">
        <f t="shared" si="4"/>
        <v>67377.16</v>
      </c>
      <c r="E86" s="613">
        <f t="shared" si="12"/>
        <v>75360.039999999994</v>
      </c>
      <c r="F86" s="614">
        <f t="shared" si="13"/>
        <v>67377.16</v>
      </c>
      <c r="G86" s="614">
        <f t="shared" si="9"/>
        <v>75360.039999999994</v>
      </c>
      <c r="H86" s="611"/>
      <c r="I86" s="426"/>
      <c r="J86" s="426"/>
      <c r="K86" s="426"/>
      <c r="L86" s="426"/>
      <c r="M86" s="426"/>
      <c r="N86" s="426"/>
      <c r="O86" s="611"/>
      <c r="P86" s="611"/>
      <c r="Q86" s="611"/>
      <c r="R86" s="611"/>
      <c r="S86" s="611"/>
      <c r="T86" s="606"/>
      <c r="U86" s="606"/>
      <c r="V86" s="606"/>
      <c r="W86" s="606"/>
      <c r="X86" s="606"/>
      <c r="Y86" s="606"/>
      <c r="Z86" s="606"/>
      <c r="AA86" s="606"/>
      <c r="AB86" s="606"/>
      <c r="AC86" s="606"/>
      <c r="AD86" s="606"/>
      <c r="AE86" s="606"/>
      <c r="AF86" s="606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6"/>
      <c r="AR86" s="606"/>
      <c r="AS86" s="606"/>
      <c r="AT86" s="606"/>
      <c r="AU86" s="606"/>
      <c r="AV86" s="606"/>
      <c r="AW86" s="606"/>
      <c r="AX86" s="606"/>
      <c r="AY86" s="606"/>
      <c r="AZ86" s="606"/>
      <c r="BA86" s="606"/>
      <c r="BB86" s="606"/>
      <c r="BC86" s="606"/>
      <c r="BD86" s="606"/>
      <c r="BE86" s="606"/>
      <c r="BF86" s="606"/>
    </row>
    <row r="87" spans="1:58" hidden="1">
      <c r="A87" s="607">
        <f t="shared" si="6"/>
        <v>48</v>
      </c>
      <c r="B87" s="612">
        <f t="shared" si="10"/>
        <v>70830.259999999995</v>
      </c>
      <c r="C87" s="612">
        <f t="shared" si="11"/>
        <v>78388.94</v>
      </c>
      <c r="D87" s="613">
        <f t="shared" si="4"/>
        <v>70830.259999999995</v>
      </c>
      <c r="E87" s="613">
        <f t="shared" si="12"/>
        <v>78388.94</v>
      </c>
      <c r="F87" s="614">
        <f t="shared" si="13"/>
        <v>70830.259999999995</v>
      </c>
      <c r="G87" s="614">
        <f t="shared" si="9"/>
        <v>78388.94</v>
      </c>
      <c r="H87" s="611"/>
      <c r="I87" s="426"/>
      <c r="J87" s="426"/>
      <c r="K87" s="426"/>
      <c r="L87" s="426"/>
      <c r="M87" s="426"/>
      <c r="N87" s="426"/>
      <c r="O87" s="611"/>
      <c r="P87" s="611"/>
      <c r="Q87" s="611"/>
      <c r="R87" s="611"/>
      <c r="S87" s="611"/>
      <c r="T87" s="606"/>
      <c r="U87" s="606"/>
      <c r="V87" s="606"/>
      <c r="W87" s="606"/>
      <c r="X87" s="606"/>
      <c r="Y87" s="606"/>
      <c r="Z87" s="606"/>
      <c r="AA87" s="606"/>
      <c r="AB87" s="606"/>
      <c r="AC87" s="606"/>
      <c r="AD87" s="606"/>
      <c r="AE87" s="606"/>
      <c r="AF87" s="606"/>
      <c r="AG87" s="606"/>
      <c r="AH87" s="606"/>
      <c r="AI87" s="606"/>
      <c r="AJ87" s="606"/>
      <c r="AK87" s="606"/>
      <c r="AL87" s="606"/>
      <c r="AM87" s="606"/>
      <c r="AN87" s="606"/>
      <c r="AO87" s="606"/>
      <c r="AP87" s="606"/>
      <c r="AQ87" s="606"/>
      <c r="AR87" s="606"/>
      <c r="AS87" s="606"/>
      <c r="AT87" s="606"/>
      <c r="AU87" s="606"/>
      <c r="AV87" s="606"/>
      <c r="AW87" s="606"/>
      <c r="AX87" s="606"/>
      <c r="AY87" s="606"/>
      <c r="AZ87" s="606"/>
      <c r="BA87" s="606"/>
      <c r="BB87" s="606"/>
      <c r="BC87" s="606"/>
      <c r="BD87" s="606"/>
      <c r="BE87" s="606"/>
      <c r="BF87" s="606"/>
    </row>
    <row r="88" spans="1:58" hidden="1">
      <c r="A88" s="607">
        <f t="shared" si="6"/>
        <v>49</v>
      </c>
      <c r="B88" s="612">
        <f t="shared" si="10"/>
        <v>74616.77</v>
      </c>
      <c r="C88" s="612">
        <f t="shared" si="11"/>
        <v>81655.72</v>
      </c>
      <c r="D88" s="613">
        <f t="shared" si="4"/>
        <v>74616.77</v>
      </c>
      <c r="E88" s="613">
        <f t="shared" si="12"/>
        <v>81655.72</v>
      </c>
      <c r="F88" s="614">
        <f t="shared" si="13"/>
        <v>74616.77</v>
      </c>
      <c r="G88" s="614">
        <f t="shared" si="9"/>
        <v>81655.72</v>
      </c>
      <c r="H88" s="611"/>
      <c r="I88" s="426"/>
      <c r="J88" s="426"/>
      <c r="K88" s="426"/>
      <c r="L88" s="426"/>
      <c r="M88" s="426"/>
      <c r="N88" s="426"/>
      <c r="O88" s="611"/>
      <c r="P88" s="611"/>
      <c r="Q88" s="611"/>
      <c r="R88" s="611"/>
      <c r="S88" s="611"/>
      <c r="T88" s="606"/>
      <c r="U88" s="606"/>
      <c r="V88" s="606"/>
      <c r="W88" s="606"/>
      <c r="X88" s="606"/>
      <c r="Y88" s="606"/>
      <c r="Z88" s="606"/>
      <c r="AA88" s="606"/>
      <c r="AB88" s="606"/>
      <c r="AC88" s="606"/>
      <c r="AD88" s="606"/>
      <c r="AE88" s="606"/>
      <c r="AF88" s="606"/>
      <c r="AG88" s="606"/>
      <c r="AH88" s="606"/>
      <c r="AI88" s="606"/>
      <c r="AJ88" s="606"/>
      <c r="AK88" s="606"/>
      <c r="AL88" s="606"/>
      <c r="AM88" s="606"/>
      <c r="AN88" s="606"/>
      <c r="AO88" s="606"/>
      <c r="AP88" s="606"/>
      <c r="AQ88" s="606"/>
      <c r="AR88" s="606"/>
      <c r="AS88" s="606"/>
      <c r="AT88" s="606"/>
      <c r="AU88" s="606"/>
      <c r="AV88" s="606"/>
      <c r="AW88" s="606"/>
      <c r="AX88" s="606"/>
      <c r="AY88" s="606"/>
      <c r="AZ88" s="606"/>
      <c r="BA88" s="606"/>
      <c r="BB88" s="606"/>
      <c r="BC88" s="606"/>
      <c r="BD88" s="606"/>
      <c r="BE88" s="606"/>
      <c r="BF88" s="606"/>
    </row>
    <row r="89" spans="1:58" hidden="1">
      <c r="A89" s="607">
        <f t="shared" si="6"/>
        <v>50</v>
      </c>
      <c r="B89" s="612">
        <f t="shared" si="10"/>
        <v>78779.210000000006</v>
      </c>
      <c r="C89" s="612">
        <f t="shared" si="11"/>
        <v>85121.64</v>
      </c>
      <c r="D89" s="613">
        <f t="shared" si="4"/>
        <v>78779.210000000006</v>
      </c>
      <c r="E89" s="613">
        <f t="shared" si="12"/>
        <v>85121.64</v>
      </c>
      <c r="F89" s="614">
        <f t="shared" si="13"/>
        <v>78779.210000000006</v>
      </c>
      <c r="G89" s="614">
        <f t="shared" si="9"/>
        <v>85121.64</v>
      </c>
      <c r="H89" s="611"/>
      <c r="I89" s="426"/>
      <c r="J89" s="426"/>
      <c r="K89" s="426"/>
      <c r="L89" s="426"/>
      <c r="M89" s="426"/>
      <c r="N89" s="426"/>
      <c r="O89" s="611"/>
      <c r="P89" s="611"/>
      <c r="Q89" s="611"/>
      <c r="R89" s="611"/>
      <c r="S89" s="611"/>
      <c r="T89" s="606"/>
      <c r="U89" s="606"/>
      <c r="V89" s="606"/>
      <c r="W89" s="606"/>
      <c r="X89" s="606"/>
      <c r="Y89" s="606"/>
      <c r="Z89" s="606"/>
      <c r="AA89" s="606"/>
      <c r="AB89" s="606"/>
      <c r="AC89" s="606"/>
      <c r="AD89" s="606"/>
      <c r="AE89" s="606"/>
      <c r="AF89" s="606"/>
      <c r="AG89" s="606"/>
      <c r="AH89" s="606"/>
      <c r="AI89" s="606"/>
      <c r="AJ89" s="606"/>
      <c r="AK89" s="606"/>
      <c r="AL89" s="606"/>
      <c r="AM89" s="606"/>
      <c r="AN89" s="606"/>
      <c r="AO89" s="606"/>
      <c r="AP89" s="606"/>
      <c r="AQ89" s="606"/>
      <c r="AR89" s="606"/>
      <c r="AS89" s="606"/>
      <c r="AT89" s="606"/>
      <c r="AU89" s="606"/>
      <c r="AV89" s="606"/>
      <c r="AW89" s="606"/>
      <c r="AX89" s="606"/>
      <c r="AY89" s="606"/>
      <c r="AZ89" s="606"/>
      <c r="BA89" s="606"/>
      <c r="BB89" s="606"/>
      <c r="BC89" s="606"/>
      <c r="BD89" s="606"/>
      <c r="BE89" s="606"/>
      <c r="BF89" s="606"/>
    </row>
    <row r="90" spans="1:58" hidden="1">
      <c r="A90" s="607">
        <f t="shared" si="6"/>
        <v>51</v>
      </c>
      <c r="B90" s="612">
        <f t="shared" si="10"/>
        <v>83273.960000000006</v>
      </c>
      <c r="C90" s="612">
        <f t="shared" si="11"/>
        <v>88833.59</v>
      </c>
      <c r="D90" s="613">
        <f t="shared" si="4"/>
        <v>83273.960000000006</v>
      </c>
      <c r="E90" s="613">
        <f t="shared" si="12"/>
        <v>88833.59</v>
      </c>
      <c r="F90" s="614">
        <f t="shared" si="13"/>
        <v>83273.960000000006</v>
      </c>
      <c r="G90" s="614">
        <f t="shared" si="9"/>
        <v>88833.59</v>
      </c>
      <c r="H90" s="611"/>
      <c r="I90" s="426"/>
      <c r="J90" s="426"/>
      <c r="K90" s="426"/>
      <c r="L90" s="426"/>
      <c r="M90" s="426"/>
      <c r="N90" s="426"/>
      <c r="O90" s="611"/>
      <c r="P90" s="611"/>
      <c r="Q90" s="611"/>
      <c r="R90" s="611"/>
      <c r="S90" s="611"/>
      <c r="T90" s="606"/>
      <c r="U90" s="606"/>
      <c r="V90" s="606"/>
      <c r="W90" s="606"/>
      <c r="X90" s="606"/>
      <c r="Y90" s="606"/>
      <c r="Z90" s="606"/>
      <c r="AA90" s="606"/>
      <c r="AB90" s="606"/>
      <c r="AC90" s="606"/>
      <c r="AD90" s="606"/>
      <c r="AE90" s="606"/>
      <c r="AF90" s="606"/>
      <c r="AG90" s="606"/>
      <c r="AH90" s="606"/>
      <c r="AI90" s="606"/>
      <c r="AJ90" s="606"/>
      <c r="AK90" s="606"/>
      <c r="AL90" s="606"/>
      <c r="AM90" s="606"/>
      <c r="AN90" s="606"/>
      <c r="AO90" s="606"/>
      <c r="AP90" s="606"/>
      <c r="AQ90" s="606"/>
      <c r="AR90" s="606"/>
      <c r="AS90" s="606"/>
      <c r="AT90" s="606"/>
      <c r="AU90" s="606"/>
      <c r="AV90" s="606"/>
      <c r="AW90" s="606"/>
      <c r="AX90" s="606"/>
      <c r="AY90" s="606"/>
      <c r="AZ90" s="606"/>
      <c r="BA90" s="606"/>
      <c r="BB90" s="606"/>
      <c r="BC90" s="606"/>
      <c r="BD90" s="606"/>
      <c r="BE90" s="606"/>
      <c r="BF90" s="606"/>
    </row>
    <row r="91" spans="1:58" hidden="1">
      <c r="A91" s="607">
        <f t="shared" si="6"/>
        <v>52</v>
      </c>
      <c r="B91" s="612">
        <f t="shared" si="10"/>
        <v>88185.05</v>
      </c>
      <c r="C91" s="612">
        <f t="shared" si="11"/>
        <v>92823.17</v>
      </c>
      <c r="D91" s="613">
        <f t="shared" si="4"/>
        <v>88185.05</v>
      </c>
      <c r="E91" s="613">
        <f t="shared" si="12"/>
        <v>92823.17</v>
      </c>
      <c r="F91" s="614">
        <f t="shared" si="13"/>
        <v>88185.05</v>
      </c>
      <c r="G91" s="614">
        <f t="shared" si="9"/>
        <v>92823.17</v>
      </c>
      <c r="H91" s="611"/>
      <c r="I91" s="426"/>
      <c r="J91" s="426"/>
      <c r="K91" s="426"/>
      <c r="L91" s="426"/>
      <c r="M91" s="426"/>
      <c r="N91" s="426"/>
      <c r="O91" s="611"/>
      <c r="P91" s="611"/>
      <c r="Q91" s="611"/>
      <c r="R91" s="611"/>
      <c r="S91" s="611"/>
      <c r="T91" s="606"/>
      <c r="U91" s="606"/>
      <c r="V91" s="606"/>
      <c r="W91" s="606"/>
      <c r="X91" s="606"/>
      <c r="Y91" s="606"/>
      <c r="Z91" s="606"/>
      <c r="AA91" s="606"/>
      <c r="AB91" s="606"/>
      <c r="AC91" s="606"/>
      <c r="AD91" s="606"/>
      <c r="AE91" s="606"/>
      <c r="AF91" s="606"/>
      <c r="AG91" s="606"/>
      <c r="AH91" s="606"/>
      <c r="AI91" s="606"/>
      <c r="AJ91" s="606"/>
      <c r="AK91" s="606"/>
      <c r="AL91" s="606"/>
      <c r="AM91" s="606"/>
      <c r="AN91" s="606"/>
      <c r="AO91" s="606"/>
      <c r="AP91" s="606"/>
      <c r="AQ91" s="606"/>
      <c r="AR91" s="606"/>
      <c r="AS91" s="606"/>
      <c r="AT91" s="606"/>
      <c r="AU91" s="606"/>
      <c r="AV91" s="606"/>
      <c r="AW91" s="606"/>
      <c r="AX91" s="606"/>
      <c r="AY91" s="606"/>
      <c r="AZ91" s="606"/>
      <c r="BA91" s="606"/>
      <c r="BB91" s="606"/>
      <c r="BC91" s="606"/>
      <c r="BD91" s="606"/>
      <c r="BE91" s="606"/>
      <c r="BF91" s="606"/>
    </row>
    <row r="92" spans="1:58" hidden="1">
      <c r="A92" s="607">
        <f t="shared" si="6"/>
        <v>53</v>
      </c>
      <c r="B92" s="612">
        <f t="shared" si="10"/>
        <v>93477.02</v>
      </c>
      <c r="C92" s="612">
        <f t="shared" si="11"/>
        <v>97108.44</v>
      </c>
      <c r="D92" s="613">
        <f t="shared" si="4"/>
        <v>93477.02</v>
      </c>
      <c r="E92" s="613">
        <f t="shared" si="12"/>
        <v>97108.44</v>
      </c>
      <c r="F92" s="614">
        <f t="shared" si="13"/>
        <v>93477.02</v>
      </c>
      <c r="G92" s="614">
        <f t="shared" si="9"/>
        <v>97108.44</v>
      </c>
      <c r="H92" s="611"/>
      <c r="I92" s="426"/>
      <c r="J92" s="426"/>
      <c r="K92" s="426"/>
      <c r="L92" s="426"/>
      <c r="M92" s="426"/>
      <c r="N92" s="426"/>
      <c r="O92" s="611"/>
      <c r="P92" s="611"/>
      <c r="Q92" s="611"/>
      <c r="R92" s="611"/>
      <c r="S92" s="611"/>
      <c r="T92" s="606"/>
      <c r="U92" s="606"/>
      <c r="V92" s="606"/>
      <c r="W92" s="606"/>
      <c r="X92" s="606"/>
      <c r="Y92" s="606"/>
      <c r="Z92" s="606"/>
      <c r="AA92" s="606"/>
      <c r="AB92" s="606"/>
      <c r="AC92" s="606"/>
      <c r="AD92" s="606"/>
      <c r="AE92" s="606"/>
      <c r="AF92" s="606"/>
      <c r="AG92" s="606"/>
      <c r="AH92" s="606"/>
      <c r="AI92" s="606"/>
      <c r="AJ92" s="606"/>
      <c r="AK92" s="606"/>
      <c r="AL92" s="606"/>
      <c r="AM92" s="606"/>
      <c r="AN92" s="606"/>
      <c r="AO92" s="606"/>
      <c r="AP92" s="606"/>
      <c r="AQ92" s="606"/>
      <c r="AR92" s="606"/>
      <c r="AS92" s="606"/>
      <c r="AT92" s="606"/>
      <c r="AU92" s="606"/>
      <c r="AV92" s="606"/>
      <c r="AW92" s="606"/>
      <c r="AX92" s="606"/>
      <c r="AY92" s="606"/>
      <c r="AZ92" s="606"/>
      <c r="BA92" s="606"/>
      <c r="BB92" s="606"/>
      <c r="BC92" s="606"/>
      <c r="BD92" s="606"/>
      <c r="BE92" s="606"/>
      <c r="BF92" s="606"/>
    </row>
    <row r="93" spans="1:58" hidden="1">
      <c r="A93" s="607">
        <f t="shared" si="6"/>
        <v>54</v>
      </c>
      <c r="B93" s="612">
        <f t="shared" si="10"/>
        <v>99219.48</v>
      </c>
      <c r="C93" s="612">
        <f t="shared" si="11"/>
        <v>101675.21</v>
      </c>
      <c r="D93" s="613">
        <f t="shared" si="4"/>
        <v>99219.48</v>
      </c>
      <c r="E93" s="613">
        <f t="shared" si="12"/>
        <v>101675.21</v>
      </c>
      <c r="F93" s="614">
        <f t="shared" si="13"/>
        <v>99219.48</v>
      </c>
      <c r="G93" s="614">
        <f t="shared" si="9"/>
        <v>101675.21</v>
      </c>
      <c r="H93" s="611"/>
      <c r="I93" s="426"/>
      <c r="J93" s="426"/>
      <c r="K93" s="426"/>
      <c r="L93" s="426"/>
      <c r="M93" s="426"/>
      <c r="N93" s="426"/>
      <c r="O93" s="611"/>
      <c r="P93" s="611"/>
      <c r="Q93" s="611"/>
      <c r="R93" s="611"/>
      <c r="S93" s="611"/>
      <c r="T93" s="606"/>
      <c r="U93" s="606"/>
      <c r="V93" s="606"/>
      <c r="W93" s="606"/>
      <c r="X93" s="606"/>
      <c r="Y93" s="606"/>
      <c r="Z93" s="606"/>
      <c r="AA93" s="606"/>
      <c r="AB93" s="606"/>
      <c r="AC93" s="606"/>
      <c r="AD93" s="606"/>
      <c r="AE93" s="606"/>
      <c r="AF93" s="606"/>
      <c r="AG93" s="606"/>
      <c r="AH93" s="606"/>
      <c r="AI93" s="606"/>
      <c r="AJ93" s="606"/>
      <c r="AK93" s="606"/>
      <c r="AL93" s="606"/>
      <c r="AM93" s="606"/>
      <c r="AN93" s="606"/>
      <c r="AO93" s="606"/>
      <c r="AP93" s="606"/>
      <c r="AQ93" s="606"/>
      <c r="AR93" s="606"/>
      <c r="AS93" s="606"/>
      <c r="AT93" s="606"/>
      <c r="AU93" s="606"/>
      <c r="AV93" s="606"/>
      <c r="AW93" s="606"/>
      <c r="AX93" s="606"/>
      <c r="AY93" s="606"/>
      <c r="AZ93" s="606"/>
      <c r="BA93" s="606"/>
      <c r="BB93" s="606"/>
      <c r="BC93" s="606"/>
      <c r="BD93" s="606"/>
      <c r="BE93" s="606"/>
      <c r="BF93" s="606"/>
    </row>
    <row r="94" spans="1:58" hidden="1">
      <c r="A94" s="607">
        <f t="shared" si="6"/>
        <v>55</v>
      </c>
      <c r="B94" s="612">
        <f t="shared" si="10"/>
        <v>105397.57</v>
      </c>
      <c r="C94" s="612">
        <f t="shared" si="11"/>
        <v>107175.71</v>
      </c>
      <c r="D94" s="613">
        <f t="shared" si="4"/>
        <v>105397.57</v>
      </c>
      <c r="E94" s="613">
        <f t="shared" si="12"/>
        <v>107175.71</v>
      </c>
      <c r="F94" s="614">
        <f t="shared" si="13"/>
        <v>105397.57</v>
      </c>
      <c r="G94" s="614">
        <f t="shared" si="9"/>
        <v>107175.71</v>
      </c>
      <c r="H94" s="611"/>
      <c r="I94" s="426"/>
      <c r="J94" s="426"/>
      <c r="K94" s="426"/>
      <c r="L94" s="426"/>
      <c r="M94" s="426"/>
      <c r="N94" s="426"/>
      <c r="O94" s="611"/>
      <c r="P94" s="611"/>
      <c r="Q94" s="611"/>
      <c r="R94" s="611"/>
      <c r="S94" s="611"/>
      <c r="T94" s="606"/>
      <c r="U94" s="606"/>
      <c r="V94" s="606"/>
      <c r="W94" s="606"/>
      <c r="X94" s="606"/>
      <c r="Y94" s="606"/>
      <c r="Z94" s="606"/>
      <c r="AA94" s="606"/>
      <c r="AB94" s="606"/>
      <c r="AC94" s="606"/>
      <c r="AD94" s="606"/>
      <c r="AE94" s="606"/>
      <c r="AF94" s="606"/>
      <c r="AG94" s="606"/>
      <c r="AH94" s="606"/>
      <c r="AI94" s="606"/>
      <c r="AJ94" s="606"/>
      <c r="AK94" s="606"/>
      <c r="AL94" s="606"/>
      <c r="AM94" s="606"/>
      <c r="AN94" s="606"/>
      <c r="AO94" s="606"/>
      <c r="AP94" s="606"/>
      <c r="AQ94" s="606"/>
      <c r="AR94" s="606"/>
      <c r="AS94" s="606"/>
      <c r="AT94" s="606"/>
      <c r="AU94" s="606"/>
      <c r="AV94" s="606"/>
      <c r="AW94" s="606"/>
      <c r="AX94" s="606"/>
      <c r="AY94" s="606"/>
      <c r="AZ94" s="606"/>
      <c r="BA94" s="606"/>
      <c r="BB94" s="606"/>
      <c r="BC94" s="606"/>
      <c r="BD94" s="606"/>
      <c r="BE94" s="606"/>
      <c r="BF94" s="606"/>
    </row>
    <row r="95" spans="1:58" hidden="1">
      <c r="A95" s="607">
        <f t="shared" si="6"/>
        <v>56</v>
      </c>
      <c r="B95" s="612">
        <f t="shared" si="10"/>
        <v>112067.29</v>
      </c>
      <c r="C95" s="612">
        <f t="shared" si="11"/>
        <v>114423.55</v>
      </c>
      <c r="D95" s="613">
        <f t="shared" si="4"/>
        <v>112067.29</v>
      </c>
      <c r="E95" s="613">
        <f t="shared" si="12"/>
        <v>114423.55</v>
      </c>
      <c r="F95" s="614">
        <f t="shared" si="13"/>
        <v>112067.29</v>
      </c>
      <c r="G95" s="614">
        <f t="shared" si="9"/>
        <v>114423.55</v>
      </c>
      <c r="H95" s="611"/>
      <c r="I95" s="426"/>
      <c r="J95" s="426"/>
      <c r="K95" s="426"/>
      <c r="L95" s="426"/>
      <c r="M95" s="426"/>
      <c r="N95" s="426"/>
      <c r="O95" s="611"/>
      <c r="P95" s="611"/>
      <c r="Q95" s="611"/>
      <c r="R95" s="611"/>
      <c r="S95" s="611"/>
      <c r="T95" s="606"/>
      <c r="U95" s="606"/>
      <c r="V95" s="606"/>
      <c r="W95" s="606"/>
      <c r="X95" s="606"/>
      <c r="Y95" s="606"/>
      <c r="Z95" s="606"/>
      <c r="AA95" s="606"/>
      <c r="AB95" s="606"/>
      <c r="AC95" s="606"/>
      <c r="AD95" s="606"/>
      <c r="AE95" s="606"/>
      <c r="AF95" s="606"/>
      <c r="AG95" s="606"/>
      <c r="AH95" s="606"/>
      <c r="AI95" s="606"/>
      <c r="AJ95" s="606"/>
      <c r="AK95" s="606"/>
      <c r="AL95" s="606"/>
      <c r="AM95" s="606"/>
      <c r="AN95" s="606"/>
      <c r="AO95" s="606"/>
      <c r="AP95" s="606"/>
      <c r="AQ95" s="606"/>
      <c r="AR95" s="606"/>
      <c r="AS95" s="606"/>
      <c r="AT95" s="606"/>
      <c r="AU95" s="606"/>
      <c r="AV95" s="606"/>
      <c r="AW95" s="606"/>
      <c r="AX95" s="606"/>
      <c r="AY95" s="606"/>
      <c r="AZ95" s="606"/>
      <c r="BA95" s="606"/>
      <c r="BB95" s="606"/>
      <c r="BC95" s="606"/>
      <c r="BD95" s="606"/>
      <c r="BE95" s="606"/>
      <c r="BF95" s="606"/>
    </row>
    <row r="96" spans="1:58" hidden="1">
      <c r="A96" s="607">
        <f t="shared" si="6"/>
        <v>57</v>
      </c>
      <c r="B96" s="612">
        <f t="shared" si="10"/>
        <v>119278.8</v>
      </c>
      <c r="C96" s="612">
        <f t="shared" si="11"/>
        <v>118778.58</v>
      </c>
      <c r="D96" s="613">
        <f t="shared" si="4"/>
        <v>119278.8</v>
      </c>
      <c r="E96" s="613">
        <f t="shared" si="12"/>
        <v>118778.58</v>
      </c>
      <c r="F96" s="614">
        <f t="shared" si="13"/>
        <v>119278.8</v>
      </c>
      <c r="G96" s="614">
        <f t="shared" si="9"/>
        <v>118778.58</v>
      </c>
      <c r="H96" s="611"/>
      <c r="I96" s="426"/>
      <c r="J96" s="426"/>
      <c r="K96" s="426"/>
      <c r="L96" s="426"/>
      <c r="M96" s="426"/>
      <c r="N96" s="426"/>
      <c r="O96" s="611"/>
      <c r="P96" s="611"/>
      <c r="Q96" s="611"/>
      <c r="R96" s="611"/>
      <c r="S96" s="611"/>
      <c r="T96" s="606"/>
      <c r="U96" s="606"/>
      <c r="V96" s="606"/>
      <c r="W96" s="606"/>
      <c r="X96" s="606"/>
      <c r="Y96" s="606"/>
      <c r="Z96" s="606"/>
      <c r="AA96" s="606"/>
      <c r="AB96" s="606"/>
      <c r="AC96" s="606"/>
      <c r="AD96" s="606"/>
      <c r="AE96" s="606"/>
      <c r="AF96" s="606"/>
      <c r="AG96" s="606"/>
      <c r="AH96" s="606"/>
      <c r="AI96" s="606"/>
      <c r="AJ96" s="606"/>
      <c r="AK96" s="606"/>
      <c r="AL96" s="606"/>
      <c r="AM96" s="606"/>
      <c r="AN96" s="606"/>
      <c r="AO96" s="606"/>
      <c r="AP96" s="606"/>
      <c r="AQ96" s="606"/>
      <c r="AR96" s="606"/>
      <c r="AS96" s="606"/>
      <c r="AT96" s="606"/>
      <c r="AU96" s="606"/>
      <c r="AV96" s="606"/>
      <c r="AW96" s="606"/>
      <c r="AX96" s="606"/>
      <c r="AY96" s="606"/>
      <c r="AZ96" s="606"/>
      <c r="BA96" s="606"/>
      <c r="BB96" s="606"/>
      <c r="BC96" s="606"/>
      <c r="BD96" s="606"/>
      <c r="BE96" s="606"/>
      <c r="BF96" s="606"/>
    </row>
    <row r="97" spans="1:58" hidden="1">
      <c r="A97" s="607">
        <f t="shared" si="6"/>
        <v>58</v>
      </c>
      <c r="B97" s="612">
        <f t="shared" si="10"/>
        <v>124400.97</v>
      </c>
      <c r="C97" s="612">
        <f t="shared" si="11"/>
        <v>123521.91</v>
      </c>
      <c r="D97" s="613">
        <f t="shared" si="4"/>
        <v>124400.97</v>
      </c>
      <c r="E97" s="613">
        <f t="shared" si="12"/>
        <v>123521.91</v>
      </c>
      <c r="F97" s="614">
        <f t="shared" si="13"/>
        <v>124400.97</v>
      </c>
      <c r="G97" s="614">
        <f t="shared" si="9"/>
        <v>123521.91</v>
      </c>
      <c r="H97" s="611"/>
      <c r="I97" s="426"/>
      <c r="J97" s="426"/>
      <c r="K97" s="426"/>
      <c r="L97" s="426"/>
      <c r="M97" s="426"/>
      <c r="N97" s="426"/>
      <c r="O97" s="611"/>
      <c r="P97" s="611"/>
      <c r="Q97" s="611"/>
      <c r="R97" s="611"/>
      <c r="S97" s="611"/>
      <c r="T97" s="606"/>
      <c r="U97" s="606"/>
      <c r="V97" s="606"/>
      <c r="W97" s="606"/>
      <c r="X97" s="606"/>
      <c r="Y97" s="606"/>
      <c r="Z97" s="606"/>
      <c r="AA97" s="606"/>
      <c r="AB97" s="606"/>
      <c r="AC97" s="606"/>
      <c r="AD97" s="606"/>
      <c r="AE97" s="606"/>
      <c r="AF97" s="606"/>
      <c r="AG97" s="606"/>
      <c r="AH97" s="606"/>
      <c r="AI97" s="606"/>
      <c r="AJ97" s="606"/>
      <c r="AK97" s="606"/>
      <c r="AL97" s="606"/>
      <c r="AM97" s="606"/>
      <c r="AN97" s="606"/>
      <c r="AO97" s="606"/>
      <c r="AP97" s="606"/>
      <c r="AQ97" s="606"/>
      <c r="AR97" s="606"/>
      <c r="AS97" s="606"/>
      <c r="AT97" s="606"/>
      <c r="AU97" s="606"/>
      <c r="AV97" s="606"/>
      <c r="AW97" s="606"/>
      <c r="AX97" s="606"/>
      <c r="AY97" s="606"/>
      <c r="AZ97" s="606"/>
      <c r="BA97" s="606"/>
      <c r="BB97" s="606"/>
      <c r="BC97" s="606"/>
      <c r="BD97" s="606"/>
      <c r="BE97" s="606"/>
      <c r="BF97" s="606"/>
    </row>
    <row r="98" spans="1:58" hidden="1">
      <c r="A98" s="607">
        <f t="shared" si="6"/>
        <v>59</v>
      </c>
      <c r="B98" s="612">
        <f t="shared" si="10"/>
        <v>132479.29999999999</v>
      </c>
      <c r="C98" s="612">
        <f t="shared" si="11"/>
        <v>125542.95</v>
      </c>
      <c r="D98" s="613">
        <f t="shared" si="4"/>
        <v>132479.29999999999</v>
      </c>
      <c r="E98" s="613">
        <f t="shared" si="12"/>
        <v>125542.95</v>
      </c>
      <c r="F98" s="614">
        <f t="shared" si="13"/>
        <v>132479.29999999999</v>
      </c>
      <c r="G98" s="614">
        <f t="shared" si="9"/>
        <v>125542.95</v>
      </c>
      <c r="H98" s="611"/>
      <c r="I98" s="426"/>
      <c r="J98" s="426"/>
      <c r="K98" s="426"/>
      <c r="L98" s="426"/>
      <c r="M98" s="426"/>
      <c r="N98" s="426"/>
      <c r="O98" s="611"/>
      <c r="P98" s="611"/>
      <c r="Q98" s="611"/>
      <c r="R98" s="611"/>
      <c r="S98" s="611"/>
      <c r="T98" s="606"/>
      <c r="U98" s="606"/>
      <c r="V98" s="606"/>
      <c r="W98" s="606"/>
      <c r="X98" s="606"/>
      <c r="Y98" s="606"/>
      <c r="Z98" s="606"/>
      <c r="AA98" s="606"/>
      <c r="AB98" s="606"/>
      <c r="AC98" s="606"/>
      <c r="AD98" s="606"/>
      <c r="AE98" s="606"/>
      <c r="AF98" s="606"/>
      <c r="AG98" s="606"/>
      <c r="AH98" s="606"/>
      <c r="AI98" s="606"/>
      <c r="AJ98" s="606"/>
      <c r="AK98" s="606"/>
      <c r="AL98" s="606"/>
      <c r="AM98" s="606"/>
      <c r="AN98" s="606"/>
      <c r="AO98" s="606"/>
      <c r="AP98" s="606"/>
      <c r="AQ98" s="606"/>
      <c r="AR98" s="606"/>
      <c r="AS98" s="606"/>
      <c r="AT98" s="606"/>
      <c r="AU98" s="606"/>
      <c r="AV98" s="606"/>
      <c r="AW98" s="606"/>
      <c r="AX98" s="606"/>
      <c r="AY98" s="606"/>
      <c r="AZ98" s="606"/>
      <c r="BA98" s="606"/>
      <c r="BB98" s="606"/>
      <c r="BC98" s="606"/>
      <c r="BD98" s="606"/>
      <c r="BE98" s="606"/>
      <c r="BF98" s="606"/>
    </row>
    <row r="99" spans="1:58" hidden="1">
      <c r="A99" s="607">
        <f t="shared" si="6"/>
        <v>60</v>
      </c>
      <c r="B99" s="612">
        <f t="shared" si="10"/>
        <v>213248.64000000001</v>
      </c>
      <c r="C99" s="612">
        <f t="shared" si="11"/>
        <v>206273.26</v>
      </c>
      <c r="D99" s="613">
        <f t="shared" si="4"/>
        <v>213248.64000000001</v>
      </c>
      <c r="E99" s="613">
        <f t="shared" si="12"/>
        <v>206273.26</v>
      </c>
      <c r="F99" s="614">
        <f t="shared" si="13"/>
        <v>213248.64000000001</v>
      </c>
      <c r="G99" s="614">
        <f t="shared" si="9"/>
        <v>206273.26</v>
      </c>
      <c r="H99" s="611"/>
      <c r="I99" s="426"/>
      <c r="J99" s="426"/>
      <c r="K99" s="426"/>
      <c r="L99" s="426"/>
      <c r="M99" s="426"/>
      <c r="N99" s="426"/>
      <c r="O99" s="611"/>
      <c r="P99" s="611"/>
      <c r="Q99" s="611"/>
      <c r="R99" s="611"/>
      <c r="S99" s="611"/>
      <c r="T99" s="606"/>
      <c r="U99" s="606"/>
      <c r="V99" s="606"/>
      <c r="W99" s="606"/>
      <c r="X99" s="606"/>
      <c r="Y99" s="606"/>
      <c r="Z99" s="606"/>
      <c r="AA99" s="606"/>
      <c r="AB99" s="606"/>
      <c r="AC99" s="606"/>
      <c r="AD99" s="606"/>
      <c r="AE99" s="606"/>
      <c r="AF99" s="606"/>
      <c r="AG99" s="606"/>
      <c r="AH99" s="606"/>
      <c r="AI99" s="606"/>
      <c r="AJ99" s="606"/>
      <c r="AK99" s="606"/>
      <c r="AL99" s="606"/>
      <c r="AM99" s="606"/>
      <c r="AN99" s="606"/>
      <c r="AO99" s="606"/>
      <c r="AP99" s="606"/>
      <c r="AQ99" s="606"/>
      <c r="AR99" s="606"/>
      <c r="AS99" s="606"/>
      <c r="AT99" s="606"/>
      <c r="AU99" s="606"/>
      <c r="AV99" s="606"/>
      <c r="AW99" s="606"/>
      <c r="AX99" s="606"/>
      <c r="AY99" s="606"/>
      <c r="AZ99" s="606"/>
      <c r="BA99" s="606"/>
      <c r="BB99" s="606"/>
      <c r="BC99" s="606"/>
      <c r="BD99" s="606"/>
      <c r="BE99" s="606"/>
      <c r="BF99" s="606"/>
    </row>
    <row r="100" spans="1:58" hidden="1">
      <c r="A100" s="607">
        <f t="shared" si="6"/>
        <v>61</v>
      </c>
      <c r="B100" s="612">
        <f t="shared" si="10"/>
        <v>224762.48</v>
      </c>
      <c r="C100" s="612">
        <f t="shared" si="11"/>
        <v>215002.98</v>
      </c>
      <c r="D100" s="613">
        <f t="shared" si="4"/>
        <v>224762.48</v>
      </c>
      <c r="E100" s="613">
        <f t="shared" si="12"/>
        <v>215002.98</v>
      </c>
      <c r="F100" s="614">
        <f t="shared" si="13"/>
        <v>224762.48</v>
      </c>
      <c r="G100" s="614">
        <f t="shared" si="9"/>
        <v>215002.98</v>
      </c>
      <c r="H100" s="611"/>
      <c r="I100" s="426"/>
      <c r="J100" s="426"/>
      <c r="K100" s="426"/>
      <c r="L100" s="426"/>
      <c r="M100" s="426"/>
      <c r="N100" s="426"/>
      <c r="O100" s="611"/>
      <c r="P100" s="611"/>
      <c r="Q100" s="611"/>
      <c r="R100" s="611"/>
      <c r="S100" s="611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N100" s="606"/>
      <c r="AO100" s="606"/>
      <c r="AP100" s="606"/>
      <c r="AQ100" s="606"/>
      <c r="AR100" s="606"/>
      <c r="AS100" s="606"/>
      <c r="AT100" s="606"/>
      <c r="AU100" s="606"/>
      <c r="AV100" s="606"/>
      <c r="AW100" s="606"/>
      <c r="AX100" s="606"/>
      <c r="AY100" s="606"/>
      <c r="AZ100" s="606"/>
      <c r="BA100" s="606"/>
      <c r="BB100" s="606"/>
      <c r="BC100" s="606"/>
      <c r="BD100" s="606"/>
      <c r="BE100" s="606"/>
      <c r="BF100" s="606"/>
    </row>
    <row r="101" spans="1:58" hidden="1">
      <c r="A101" s="607">
        <f t="shared" si="6"/>
        <v>62</v>
      </c>
      <c r="B101" s="612">
        <f t="shared" si="10"/>
        <v>236892.82</v>
      </c>
      <c r="C101" s="612">
        <f t="shared" si="11"/>
        <v>224200.61</v>
      </c>
      <c r="D101" s="613">
        <f t="shared" si="4"/>
        <v>236892.82</v>
      </c>
      <c r="E101" s="613">
        <f t="shared" si="12"/>
        <v>224200.61</v>
      </c>
      <c r="F101" s="614">
        <f t="shared" si="13"/>
        <v>236892.82</v>
      </c>
      <c r="G101" s="614">
        <f t="shared" si="9"/>
        <v>224200.61</v>
      </c>
      <c r="H101" s="611"/>
      <c r="I101" s="426"/>
      <c r="J101" s="426"/>
      <c r="K101" s="426"/>
      <c r="L101" s="426"/>
      <c r="M101" s="426"/>
      <c r="N101" s="426"/>
      <c r="O101" s="611"/>
      <c r="P101" s="611"/>
      <c r="Q101" s="611"/>
      <c r="R101" s="611"/>
      <c r="S101" s="611"/>
      <c r="T101" s="606"/>
      <c r="U101" s="606"/>
      <c r="V101" s="606"/>
      <c r="W101" s="606"/>
      <c r="X101" s="606"/>
      <c r="Y101" s="606"/>
      <c r="Z101" s="606"/>
      <c r="AA101" s="606"/>
      <c r="AB101" s="606"/>
      <c r="AC101" s="606"/>
      <c r="AD101" s="606"/>
      <c r="AE101" s="606"/>
      <c r="AF101" s="606"/>
      <c r="AG101" s="606"/>
      <c r="AH101" s="606"/>
      <c r="AI101" s="606"/>
      <c r="AJ101" s="606"/>
      <c r="AK101" s="606"/>
      <c r="AL101" s="606"/>
      <c r="AM101" s="606"/>
      <c r="AN101" s="606"/>
      <c r="AO101" s="606"/>
      <c r="AP101" s="606"/>
      <c r="AQ101" s="606"/>
      <c r="AR101" s="606"/>
      <c r="AS101" s="606"/>
      <c r="AT101" s="606"/>
      <c r="AU101" s="606"/>
      <c r="AV101" s="606"/>
      <c r="AW101" s="606"/>
      <c r="AX101" s="606"/>
      <c r="AY101" s="606"/>
      <c r="AZ101" s="606"/>
      <c r="BA101" s="606"/>
      <c r="BB101" s="606"/>
      <c r="BC101" s="606"/>
      <c r="BD101" s="606"/>
      <c r="BE101" s="606"/>
      <c r="BF101" s="606"/>
    </row>
    <row r="102" spans="1:58" hidden="1">
      <c r="A102" s="607">
        <f t="shared" si="6"/>
        <v>63</v>
      </c>
      <c r="B102" s="612">
        <f t="shared" si="10"/>
        <v>249509.75</v>
      </c>
      <c r="C102" s="612">
        <f t="shared" si="11"/>
        <v>233785.25</v>
      </c>
      <c r="D102" s="613">
        <f t="shared" si="4"/>
        <v>249509.75</v>
      </c>
      <c r="E102" s="613">
        <f t="shared" si="12"/>
        <v>233785.25</v>
      </c>
      <c r="F102" s="614">
        <f t="shared" si="13"/>
        <v>249509.75</v>
      </c>
      <c r="G102" s="614">
        <f t="shared" si="9"/>
        <v>233785.25</v>
      </c>
      <c r="H102" s="611"/>
      <c r="I102" s="426"/>
      <c r="J102" s="426"/>
      <c r="K102" s="426"/>
      <c r="L102" s="426"/>
      <c r="M102" s="426"/>
      <c r="N102" s="426"/>
      <c r="O102" s="611"/>
      <c r="P102" s="611"/>
      <c r="Q102" s="611"/>
      <c r="R102" s="611"/>
      <c r="S102" s="611"/>
      <c r="T102" s="606"/>
      <c r="U102" s="606"/>
      <c r="V102" s="606"/>
      <c r="W102" s="606"/>
      <c r="X102" s="606"/>
      <c r="Y102" s="606"/>
      <c r="Z102" s="606"/>
      <c r="AA102" s="606"/>
      <c r="AB102" s="606"/>
      <c r="AC102" s="606"/>
      <c r="AD102" s="606"/>
      <c r="AE102" s="606"/>
      <c r="AF102" s="606"/>
      <c r="AG102" s="606"/>
      <c r="AH102" s="606"/>
      <c r="AI102" s="606"/>
      <c r="AJ102" s="606"/>
      <c r="AK102" s="606"/>
      <c r="AL102" s="606"/>
      <c r="AM102" s="606"/>
      <c r="AN102" s="606"/>
      <c r="AO102" s="606"/>
      <c r="AP102" s="606"/>
      <c r="AQ102" s="606"/>
      <c r="AR102" s="606"/>
      <c r="AS102" s="606"/>
      <c r="AT102" s="606"/>
      <c r="AU102" s="606"/>
      <c r="AV102" s="606"/>
      <c r="AW102" s="606"/>
      <c r="AX102" s="606"/>
      <c r="AY102" s="606"/>
      <c r="AZ102" s="606"/>
      <c r="BA102" s="606"/>
      <c r="BB102" s="606"/>
      <c r="BC102" s="606"/>
      <c r="BD102" s="606"/>
      <c r="BE102" s="606"/>
      <c r="BF102" s="606"/>
    </row>
    <row r="103" spans="1:58" hidden="1">
      <c r="A103" s="607">
        <f t="shared" si="6"/>
        <v>64</v>
      </c>
      <c r="B103" s="612">
        <f t="shared" ref="B103:B124" si="14">IF($A$37=$C$130,ROUND(C196*(1-DESC),2),ROUND(E196*(1-DESC),2))</f>
        <v>262831.18</v>
      </c>
      <c r="C103" s="612">
        <f t="shared" ref="C103:C124" si="15">IF($A$37=$C$130,ROUND(D196*(1-DESC),2),ROUND(F196*(1-DESC),2))</f>
        <v>244019.77</v>
      </c>
      <c r="D103" s="613">
        <f t="shared" si="4"/>
        <v>262831.18</v>
      </c>
      <c r="E103" s="613">
        <f t="shared" si="12"/>
        <v>244019.77</v>
      </c>
      <c r="F103" s="614">
        <f t="shared" si="13"/>
        <v>262831.18</v>
      </c>
      <c r="G103" s="614">
        <f t="shared" si="9"/>
        <v>244019.77</v>
      </c>
      <c r="H103" s="611"/>
      <c r="I103" s="426"/>
      <c r="J103" s="426"/>
      <c r="K103" s="426"/>
      <c r="L103" s="426"/>
      <c r="M103" s="426"/>
      <c r="N103" s="426"/>
      <c r="O103" s="611"/>
      <c r="P103" s="611"/>
      <c r="Q103" s="611"/>
      <c r="R103" s="611"/>
      <c r="S103" s="611"/>
      <c r="T103" s="606"/>
      <c r="U103" s="606"/>
      <c r="V103" s="606"/>
      <c r="W103" s="606"/>
      <c r="X103" s="606"/>
      <c r="Y103" s="606"/>
      <c r="Z103" s="606"/>
      <c r="AA103" s="606"/>
      <c r="AB103" s="606"/>
      <c r="AC103" s="606"/>
      <c r="AD103" s="606"/>
      <c r="AE103" s="606"/>
      <c r="AF103" s="606"/>
      <c r="AG103" s="606"/>
      <c r="AH103" s="606"/>
      <c r="AI103" s="606"/>
      <c r="AJ103" s="606"/>
      <c r="AK103" s="606"/>
      <c r="AL103" s="606"/>
      <c r="AM103" s="606"/>
      <c r="AN103" s="606"/>
      <c r="AO103" s="606"/>
      <c r="AP103" s="606"/>
      <c r="AQ103" s="606"/>
      <c r="AR103" s="606"/>
      <c r="AS103" s="606"/>
      <c r="AT103" s="606"/>
      <c r="AU103" s="606"/>
      <c r="AV103" s="606"/>
      <c r="AW103" s="606"/>
      <c r="AX103" s="606"/>
      <c r="AY103" s="606"/>
      <c r="AZ103" s="606"/>
      <c r="BA103" s="606"/>
      <c r="BB103" s="606"/>
      <c r="BC103" s="606"/>
      <c r="BD103" s="606"/>
      <c r="BE103" s="606"/>
      <c r="BF103" s="606"/>
    </row>
    <row r="104" spans="1:58" hidden="1">
      <c r="A104" s="607">
        <f t="shared" si="6"/>
        <v>65</v>
      </c>
      <c r="B104" s="612">
        <f t="shared" si="14"/>
        <v>276416.05</v>
      </c>
      <c r="C104" s="612">
        <f t="shared" si="15"/>
        <v>254359.73</v>
      </c>
      <c r="D104" s="613">
        <f t="shared" ref="D104:D122" si="16">B104</f>
        <v>276416.05</v>
      </c>
      <c r="E104" s="613">
        <f t="shared" ref="E104:E124" si="17">C104</f>
        <v>254359.73</v>
      </c>
      <c r="F104" s="614">
        <f t="shared" si="13"/>
        <v>276416.05</v>
      </c>
      <c r="G104" s="614">
        <f t="shared" ref="G104:G122" si="18">ROUND(E104*$G$37,2)</f>
        <v>254359.73</v>
      </c>
      <c r="H104" s="611"/>
      <c r="I104" s="426"/>
      <c r="J104" s="426"/>
      <c r="K104" s="426"/>
      <c r="L104" s="426"/>
      <c r="M104" s="426"/>
      <c r="N104" s="426"/>
      <c r="O104" s="611"/>
      <c r="P104" s="611"/>
      <c r="Q104" s="611"/>
      <c r="R104" s="611"/>
      <c r="S104" s="611"/>
      <c r="T104" s="606"/>
      <c r="U104" s="606"/>
      <c r="V104" s="606"/>
      <c r="W104" s="606"/>
      <c r="X104" s="606"/>
      <c r="Y104" s="606"/>
      <c r="Z104" s="606"/>
      <c r="AA104" s="606"/>
      <c r="AB104" s="606"/>
      <c r="AC104" s="606"/>
      <c r="AD104" s="606"/>
      <c r="AE104" s="606"/>
      <c r="AF104" s="606"/>
      <c r="AG104" s="606"/>
      <c r="AH104" s="606"/>
      <c r="AI104" s="606"/>
      <c r="AJ104" s="606"/>
      <c r="AK104" s="606"/>
      <c r="AL104" s="606"/>
      <c r="AM104" s="606"/>
      <c r="AN104" s="606"/>
      <c r="AO104" s="606"/>
      <c r="AP104" s="606"/>
      <c r="AQ104" s="606"/>
      <c r="AR104" s="606"/>
      <c r="AS104" s="606"/>
      <c r="AT104" s="606"/>
      <c r="AU104" s="606"/>
      <c r="AV104" s="606"/>
      <c r="AW104" s="606"/>
      <c r="AX104" s="606"/>
      <c r="AY104" s="606"/>
      <c r="AZ104" s="606"/>
      <c r="BA104" s="606"/>
      <c r="BB104" s="606"/>
      <c r="BC104" s="606"/>
      <c r="BD104" s="606"/>
      <c r="BE104" s="606"/>
      <c r="BF104" s="606"/>
    </row>
    <row r="105" spans="1:58" hidden="1">
      <c r="A105" s="607">
        <f t="shared" si="6"/>
        <v>66</v>
      </c>
      <c r="B105" s="612">
        <f t="shared" si="14"/>
        <v>290938.09999999998</v>
      </c>
      <c r="C105" s="612">
        <f t="shared" si="15"/>
        <v>265734.17</v>
      </c>
      <c r="D105" s="613">
        <f t="shared" si="16"/>
        <v>290938.09999999998</v>
      </c>
      <c r="E105" s="613">
        <f t="shared" si="17"/>
        <v>265734.17</v>
      </c>
      <c r="F105" s="614">
        <f t="shared" si="13"/>
        <v>290938.09999999998</v>
      </c>
      <c r="G105" s="614">
        <f t="shared" si="18"/>
        <v>265734.17</v>
      </c>
      <c r="H105" s="611"/>
      <c r="I105" s="426"/>
      <c r="J105" s="426"/>
      <c r="K105" s="426"/>
      <c r="L105" s="426"/>
      <c r="M105" s="426"/>
      <c r="N105" s="426"/>
      <c r="O105" s="611"/>
      <c r="P105" s="611"/>
      <c r="Q105" s="611"/>
      <c r="R105" s="611"/>
      <c r="S105" s="611"/>
      <c r="T105" s="606"/>
      <c r="U105" s="606"/>
      <c r="V105" s="606"/>
      <c r="W105" s="606"/>
      <c r="X105" s="606"/>
      <c r="Y105" s="606"/>
      <c r="Z105" s="606"/>
      <c r="AA105" s="606"/>
      <c r="AB105" s="606"/>
      <c r="AC105" s="606"/>
      <c r="AD105" s="606"/>
      <c r="AE105" s="606"/>
      <c r="AF105" s="606"/>
      <c r="AG105" s="606"/>
      <c r="AH105" s="606"/>
      <c r="AI105" s="606"/>
      <c r="AJ105" s="606"/>
      <c r="AK105" s="606"/>
      <c r="AL105" s="606"/>
      <c r="AM105" s="606"/>
      <c r="AN105" s="606"/>
      <c r="AO105" s="606"/>
      <c r="AP105" s="606"/>
      <c r="AQ105" s="606"/>
      <c r="AR105" s="606"/>
      <c r="AS105" s="606"/>
      <c r="AT105" s="606"/>
      <c r="AU105" s="606"/>
      <c r="AV105" s="606"/>
      <c r="AW105" s="606"/>
      <c r="AX105" s="606"/>
      <c r="AY105" s="606"/>
      <c r="AZ105" s="606"/>
      <c r="BA105" s="606"/>
      <c r="BB105" s="606"/>
      <c r="BC105" s="606"/>
      <c r="BD105" s="606"/>
      <c r="BE105" s="606"/>
      <c r="BF105" s="606"/>
    </row>
    <row r="106" spans="1:58" hidden="1">
      <c r="A106" s="607">
        <f t="shared" ref="A106:A124" si="19">+A105+1</f>
        <v>67</v>
      </c>
      <c r="B106" s="612">
        <f t="shared" si="14"/>
        <v>306095.33</v>
      </c>
      <c r="C106" s="612">
        <f t="shared" si="15"/>
        <v>276650.69</v>
      </c>
      <c r="D106" s="613">
        <f t="shared" si="16"/>
        <v>306095.33</v>
      </c>
      <c r="E106" s="613">
        <f t="shared" si="17"/>
        <v>276650.69</v>
      </c>
      <c r="F106" s="614">
        <f t="shared" si="13"/>
        <v>306095.33</v>
      </c>
      <c r="G106" s="614">
        <f t="shared" si="18"/>
        <v>276650.69</v>
      </c>
      <c r="H106" s="611"/>
      <c r="I106" s="426"/>
      <c r="J106" s="426"/>
      <c r="K106" s="426"/>
      <c r="L106" s="426"/>
      <c r="M106" s="426"/>
      <c r="N106" s="426"/>
      <c r="O106" s="611"/>
      <c r="P106" s="611"/>
      <c r="Q106" s="611"/>
      <c r="R106" s="611"/>
      <c r="S106" s="611"/>
      <c r="T106" s="606"/>
      <c r="U106" s="606"/>
      <c r="V106" s="606"/>
      <c r="W106" s="606"/>
      <c r="X106" s="606"/>
      <c r="Y106" s="606"/>
      <c r="Z106" s="606"/>
      <c r="AA106" s="606"/>
      <c r="AB106" s="606"/>
      <c r="AC106" s="606"/>
      <c r="AD106" s="606"/>
      <c r="AE106" s="606"/>
      <c r="AF106" s="606"/>
      <c r="AG106" s="606"/>
      <c r="AH106" s="606"/>
      <c r="AI106" s="606"/>
      <c r="AJ106" s="606"/>
      <c r="AK106" s="606"/>
      <c r="AL106" s="606"/>
      <c r="AM106" s="606"/>
      <c r="AN106" s="606"/>
      <c r="AO106" s="606"/>
      <c r="AP106" s="606"/>
      <c r="AQ106" s="606"/>
      <c r="AR106" s="606"/>
      <c r="AS106" s="606"/>
      <c r="AT106" s="606"/>
      <c r="AU106" s="606"/>
      <c r="AV106" s="606"/>
      <c r="AW106" s="606"/>
      <c r="AX106" s="606"/>
      <c r="AY106" s="606"/>
      <c r="AZ106" s="606"/>
      <c r="BA106" s="606"/>
      <c r="BB106" s="606"/>
      <c r="BC106" s="606"/>
      <c r="BD106" s="606"/>
      <c r="BE106" s="606"/>
      <c r="BF106" s="606"/>
    </row>
    <row r="107" spans="1:58" hidden="1">
      <c r="A107" s="607">
        <f t="shared" si="19"/>
        <v>68</v>
      </c>
      <c r="B107" s="612">
        <f t="shared" si="14"/>
        <v>321663.78999999998</v>
      </c>
      <c r="C107" s="612">
        <f t="shared" si="15"/>
        <v>288653.43</v>
      </c>
      <c r="D107" s="613">
        <f t="shared" si="16"/>
        <v>321663.78999999998</v>
      </c>
      <c r="E107" s="613">
        <f t="shared" si="17"/>
        <v>288653.43</v>
      </c>
      <c r="F107" s="614">
        <f t="shared" si="13"/>
        <v>321663.78999999998</v>
      </c>
      <c r="G107" s="614">
        <f t="shared" si="18"/>
        <v>288653.43</v>
      </c>
      <c r="H107" s="611"/>
      <c r="I107" s="426"/>
      <c r="J107" s="426"/>
      <c r="K107" s="426"/>
      <c r="L107" s="426"/>
      <c r="M107" s="426"/>
      <c r="N107" s="426"/>
      <c r="O107" s="611"/>
      <c r="P107" s="611"/>
      <c r="Q107" s="611"/>
      <c r="R107" s="611"/>
      <c r="S107" s="611"/>
      <c r="T107" s="606"/>
      <c r="U107" s="606"/>
      <c r="V107" s="606"/>
      <c r="W107" s="606"/>
      <c r="X107" s="606"/>
      <c r="Y107" s="606"/>
      <c r="Z107" s="606"/>
      <c r="AA107" s="606"/>
      <c r="AB107" s="606"/>
      <c r="AC107" s="606"/>
      <c r="AD107" s="606"/>
      <c r="AE107" s="606"/>
      <c r="AF107" s="606"/>
      <c r="AG107" s="606"/>
      <c r="AH107" s="606"/>
      <c r="AI107" s="606"/>
      <c r="AJ107" s="606"/>
      <c r="AK107" s="606"/>
      <c r="AL107" s="606"/>
      <c r="AM107" s="606"/>
      <c r="AN107" s="606"/>
      <c r="AO107" s="606"/>
      <c r="AP107" s="606"/>
      <c r="AQ107" s="606"/>
      <c r="AR107" s="606"/>
      <c r="AS107" s="606"/>
      <c r="AT107" s="606"/>
      <c r="AU107" s="606"/>
      <c r="AV107" s="606"/>
      <c r="AW107" s="606"/>
      <c r="AX107" s="606"/>
      <c r="AY107" s="606"/>
      <c r="AZ107" s="606"/>
      <c r="BA107" s="606"/>
      <c r="BB107" s="606"/>
      <c r="BC107" s="606"/>
      <c r="BD107" s="606"/>
      <c r="BE107" s="606"/>
      <c r="BF107" s="606"/>
    </row>
    <row r="108" spans="1:58" hidden="1">
      <c r="A108" s="607">
        <f t="shared" si="19"/>
        <v>69</v>
      </c>
      <c r="B108" s="612">
        <f t="shared" si="14"/>
        <v>338061.34</v>
      </c>
      <c r="C108" s="612">
        <f t="shared" si="15"/>
        <v>301548.71999999997</v>
      </c>
      <c r="D108" s="613">
        <f t="shared" si="16"/>
        <v>338061.34</v>
      </c>
      <c r="E108" s="613">
        <f t="shared" si="17"/>
        <v>301548.71999999997</v>
      </c>
      <c r="F108" s="614">
        <f t="shared" si="13"/>
        <v>338061.34</v>
      </c>
      <c r="G108" s="614">
        <f t="shared" si="18"/>
        <v>301548.71999999997</v>
      </c>
      <c r="H108" s="611"/>
      <c r="I108" s="426"/>
      <c r="J108" s="426"/>
      <c r="K108" s="426"/>
      <c r="L108" s="426"/>
      <c r="M108" s="426"/>
      <c r="N108" s="426"/>
      <c r="O108" s="611"/>
      <c r="P108" s="611"/>
      <c r="Q108" s="611"/>
      <c r="R108" s="611"/>
      <c r="S108" s="611"/>
      <c r="T108" s="606"/>
      <c r="U108" s="606"/>
      <c r="V108" s="606"/>
      <c r="W108" s="606"/>
      <c r="X108" s="606"/>
      <c r="Y108" s="606"/>
      <c r="Z108" s="606"/>
      <c r="AA108" s="606"/>
      <c r="AB108" s="606"/>
      <c r="AC108" s="606"/>
      <c r="AD108" s="606"/>
      <c r="AE108" s="606"/>
      <c r="AF108" s="606"/>
      <c r="AG108" s="606"/>
      <c r="AH108" s="606"/>
      <c r="AI108" s="606"/>
      <c r="AJ108" s="606"/>
      <c r="AK108" s="606"/>
      <c r="AL108" s="606"/>
      <c r="AM108" s="606"/>
      <c r="AN108" s="606"/>
      <c r="AO108" s="606"/>
      <c r="AP108" s="606"/>
      <c r="AQ108" s="606"/>
      <c r="AR108" s="606"/>
      <c r="AS108" s="606"/>
      <c r="AT108" s="606"/>
      <c r="AU108" s="606"/>
      <c r="AV108" s="606"/>
      <c r="AW108" s="606"/>
      <c r="AX108" s="606"/>
      <c r="AY108" s="606"/>
      <c r="AZ108" s="606"/>
      <c r="BA108" s="606"/>
      <c r="BB108" s="606"/>
      <c r="BC108" s="606"/>
      <c r="BD108" s="606"/>
      <c r="BE108" s="606"/>
      <c r="BF108" s="606"/>
    </row>
    <row r="109" spans="1:58" hidden="1">
      <c r="A109" s="607">
        <f t="shared" si="19"/>
        <v>70</v>
      </c>
      <c r="B109" s="612">
        <f t="shared" si="14"/>
        <v>354904.54</v>
      </c>
      <c r="C109" s="612">
        <f t="shared" si="15"/>
        <v>314178.17</v>
      </c>
      <c r="D109" s="613">
        <f t="shared" si="16"/>
        <v>354904.54</v>
      </c>
      <c r="E109" s="613">
        <f t="shared" si="17"/>
        <v>314178.17</v>
      </c>
      <c r="F109" s="614">
        <f t="shared" ref="F109:F124" si="20">ROUND(D109*$G$37,2)</f>
        <v>354904.54</v>
      </c>
      <c r="G109" s="614">
        <f t="shared" si="18"/>
        <v>314178.17</v>
      </c>
      <c r="H109" s="611"/>
      <c r="I109" s="426"/>
      <c r="J109" s="426"/>
      <c r="K109" s="426"/>
      <c r="L109" s="426"/>
      <c r="M109" s="426"/>
      <c r="N109" s="426"/>
      <c r="O109" s="611"/>
      <c r="P109" s="611"/>
      <c r="Q109" s="611"/>
      <c r="R109" s="611"/>
      <c r="S109" s="611"/>
      <c r="T109" s="606"/>
      <c r="U109" s="606"/>
      <c r="V109" s="606"/>
      <c r="W109" s="606"/>
      <c r="X109" s="606"/>
      <c r="Y109" s="606"/>
      <c r="Z109" s="606"/>
      <c r="AA109" s="606"/>
      <c r="AB109" s="606"/>
      <c r="AC109" s="606"/>
      <c r="AD109" s="606"/>
      <c r="AE109" s="606"/>
      <c r="AF109" s="606"/>
      <c r="AG109" s="606"/>
      <c r="AH109" s="606"/>
      <c r="AI109" s="606"/>
      <c r="AJ109" s="606"/>
      <c r="AK109" s="606"/>
      <c r="AL109" s="606"/>
      <c r="AM109" s="606"/>
      <c r="AN109" s="606"/>
      <c r="AO109" s="606"/>
      <c r="AP109" s="606"/>
      <c r="AQ109" s="606"/>
      <c r="AR109" s="606"/>
      <c r="AS109" s="606"/>
      <c r="AT109" s="606"/>
      <c r="AU109" s="606"/>
      <c r="AV109" s="606"/>
      <c r="AW109" s="606"/>
      <c r="AX109" s="606"/>
      <c r="AY109" s="606"/>
      <c r="AZ109" s="606"/>
      <c r="BA109" s="606"/>
      <c r="BB109" s="606"/>
      <c r="BC109" s="606"/>
      <c r="BD109" s="606"/>
      <c r="BE109" s="606"/>
      <c r="BF109" s="606"/>
    </row>
    <row r="110" spans="1:58" hidden="1">
      <c r="A110" s="607">
        <f t="shared" si="19"/>
        <v>71</v>
      </c>
      <c r="B110" s="612">
        <f t="shared" si="14"/>
        <v>372049.38</v>
      </c>
      <c r="C110" s="612">
        <f t="shared" si="15"/>
        <v>327412.74</v>
      </c>
      <c r="D110" s="613">
        <f t="shared" si="16"/>
        <v>372049.38</v>
      </c>
      <c r="E110" s="613">
        <f t="shared" si="17"/>
        <v>327412.74</v>
      </c>
      <c r="F110" s="614">
        <f t="shared" si="20"/>
        <v>372049.38</v>
      </c>
      <c r="G110" s="614">
        <f t="shared" si="18"/>
        <v>327412.74</v>
      </c>
      <c r="H110" s="611"/>
      <c r="I110" s="426"/>
      <c r="J110" s="426"/>
      <c r="K110" s="426"/>
      <c r="L110" s="426"/>
      <c r="M110" s="426"/>
      <c r="N110" s="426"/>
      <c r="O110" s="611"/>
      <c r="P110" s="611"/>
      <c r="Q110" s="611"/>
      <c r="R110" s="611"/>
      <c r="S110" s="611"/>
      <c r="T110" s="606"/>
      <c r="U110" s="606"/>
      <c r="V110" s="606"/>
      <c r="W110" s="606"/>
      <c r="X110" s="606"/>
      <c r="Y110" s="606"/>
      <c r="Z110" s="606"/>
      <c r="AA110" s="606"/>
      <c r="AB110" s="606"/>
      <c r="AC110" s="606"/>
      <c r="AD110" s="606"/>
      <c r="AE110" s="606"/>
      <c r="AF110" s="606"/>
      <c r="AG110" s="606"/>
      <c r="AH110" s="606"/>
      <c r="AI110" s="606"/>
      <c r="AJ110" s="606"/>
      <c r="AK110" s="606"/>
      <c r="AL110" s="606"/>
      <c r="AM110" s="606"/>
      <c r="AN110" s="606"/>
      <c r="AO110" s="606"/>
      <c r="AP110" s="606"/>
      <c r="AQ110" s="606"/>
      <c r="AR110" s="606"/>
      <c r="AS110" s="606"/>
      <c r="AT110" s="606"/>
      <c r="AU110" s="606"/>
      <c r="AV110" s="606"/>
      <c r="AW110" s="606"/>
      <c r="AX110" s="606"/>
      <c r="AY110" s="606"/>
      <c r="AZ110" s="606"/>
      <c r="BA110" s="606"/>
      <c r="BB110" s="606"/>
      <c r="BC110" s="606"/>
      <c r="BD110" s="606"/>
      <c r="BE110" s="606"/>
      <c r="BF110" s="606"/>
    </row>
    <row r="111" spans="1:58" hidden="1">
      <c r="A111" s="607">
        <f t="shared" si="19"/>
        <v>72</v>
      </c>
      <c r="B111" s="612">
        <f t="shared" si="14"/>
        <v>389823.45</v>
      </c>
      <c r="C111" s="612">
        <f t="shared" si="15"/>
        <v>341554.08</v>
      </c>
      <c r="D111" s="613">
        <f t="shared" si="16"/>
        <v>389823.45</v>
      </c>
      <c r="E111" s="613">
        <f t="shared" si="17"/>
        <v>341554.08</v>
      </c>
      <c r="F111" s="614">
        <f t="shared" si="20"/>
        <v>389823.45</v>
      </c>
      <c r="G111" s="614">
        <f t="shared" si="18"/>
        <v>341554.08</v>
      </c>
      <c r="H111" s="611"/>
      <c r="I111" s="426"/>
      <c r="J111" s="426"/>
      <c r="K111" s="426"/>
      <c r="L111" s="426"/>
      <c r="M111" s="426"/>
      <c r="N111" s="426"/>
      <c r="O111" s="611"/>
      <c r="P111" s="611"/>
      <c r="Q111" s="611"/>
      <c r="R111" s="611"/>
      <c r="S111" s="611"/>
      <c r="T111" s="606"/>
      <c r="U111" s="606"/>
      <c r="V111" s="606"/>
      <c r="W111" s="606"/>
      <c r="X111" s="606"/>
      <c r="Y111" s="606"/>
      <c r="Z111" s="606"/>
      <c r="AA111" s="606"/>
      <c r="AB111" s="606"/>
      <c r="AC111" s="606"/>
      <c r="AD111" s="606"/>
      <c r="AE111" s="606"/>
      <c r="AF111" s="606"/>
      <c r="AG111" s="606"/>
      <c r="AH111" s="606"/>
      <c r="AI111" s="606"/>
      <c r="AJ111" s="606"/>
      <c r="AK111" s="606"/>
      <c r="AL111" s="606"/>
      <c r="AM111" s="606"/>
      <c r="AN111" s="606"/>
      <c r="AO111" s="606"/>
      <c r="AP111" s="606"/>
      <c r="AQ111" s="606"/>
      <c r="AR111" s="606"/>
      <c r="AS111" s="606"/>
      <c r="AT111" s="606"/>
      <c r="AU111" s="606"/>
      <c r="AV111" s="606"/>
      <c r="AW111" s="606"/>
      <c r="AX111" s="606"/>
      <c r="AY111" s="606"/>
      <c r="AZ111" s="606"/>
      <c r="BA111" s="606"/>
      <c r="BB111" s="606"/>
      <c r="BC111" s="606"/>
      <c r="BD111" s="606"/>
      <c r="BE111" s="606"/>
      <c r="BF111" s="606"/>
    </row>
    <row r="112" spans="1:58" hidden="1">
      <c r="A112" s="607">
        <f t="shared" si="19"/>
        <v>73</v>
      </c>
      <c r="B112" s="612">
        <f t="shared" si="14"/>
        <v>407997.15</v>
      </c>
      <c r="C112" s="612">
        <f t="shared" si="15"/>
        <v>355404.57</v>
      </c>
      <c r="D112" s="613">
        <f t="shared" si="16"/>
        <v>407997.15</v>
      </c>
      <c r="E112" s="613">
        <f t="shared" si="17"/>
        <v>355404.57</v>
      </c>
      <c r="F112" s="614">
        <f t="shared" si="20"/>
        <v>407997.15</v>
      </c>
      <c r="G112" s="614">
        <f t="shared" si="18"/>
        <v>355404.57</v>
      </c>
      <c r="H112" s="611"/>
      <c r="I112" s="426"/>
      <c r="J112" s="426"/>
      <c r="K112" s="426"/>
      <c r="L112" s="426"/>
      <c r="M112" s="426"/>
      <c r="N112" s="426"/>
      <c r="O112" s="611"/>
      <c r="P112" s="611"/>
      <c r="Q112" s="611"/>
      <c r="R112" s="611"/>
      <c r="S112" s="611"/>
      <c r="T112" s="606"/>
      <c r="U112" s="606"/>
      <c r="V112" s="606"/>
      <c r="W112" s="606"/>
      <c r="X112" s="606"/>
      <c r="Y112" s="606"/>
      <c r="Z112" s="606"/>
      <c r="AA112" s="606"/>
      <c r="AB112" s="606"/>
      <c r="AC112" s="606"/>
      <c r="AD112" s="606"/>
      <c r="AE112" s="606"/>
      <c r="AF112" s="606"/>
      <c r="AG112" s="606"/>
      <c r="AH112" s="606"/>
      <c r="AI112" s="606"/>
      <c r="AJ112" s="606"/>
      <c r="AK112" s="606"/>
      <c r="AL112" s="606"/>
      <c r="AM112" s="606"/>
      <c r="AN112" s="606"/>
      <c r="AO112" s="606"/>
      <c r="AP112" s="606"/>
      <c r="AQ112" s="606"/>
      <c r="AR112" s="606"/>
      <c r="AS112" s="606"/>
      <c r="AT112" s="606"/>
      <c r="AU112" s="606"/>
      <c r="AV112" s="606"/>
      <c r="AW112" s="606"/>
      <c r="AX112" s="606"/>
      <c r="AY112" s="606"/>
      <c r="AZ112" s="606"/>
      <c r="BA112" s="606"/>
      <c r="BB112" s="606"/>
      <c r="BC112" s="606"/>
      <c r="BD112" s="606"/>
      <c r="BE112" s="606"/>
      <c r="BF112" s="606"/>
    </row>
    <row r="113" spans="1:58" hidden="1">
      <c r="A113" s="607">
        <f t="shared" si="19"/>
        <v>74</v>
      </c>
      <c r="B113" s="612">
        <f t="shared" si="14"/>
        <v>427646.38</v>
      </c>
      <c r="C113" s="612">
        <f t="shared" si="15"/>
        <v>369532.03</v>
      </c>
      <c r="D113" s="613">
        <f t="shared" si="16"/>
        <v>427646.38</v>
      </c>
      <c r="E113" s="613">
        <f t="shared" si="17"/>
        <v>369532.03</v>
      </c>
      <c r="F113" s="614">
        <f t="shared" si="20"/>
        <v>427646.38</v>
      </c>
      <c r="G113" s="614">
        <f t="shared" si="18"/>
        <v>369532.03</v>
      </c>
      <c r="H113" s="611"/>
      <c r="I113" s="426"/>
      <c r="J113" s="426"/>
      <c r="K113" s="426"/>
      <c r="L113" s="426"/>
      <c r="M113" s="426"/>
      <c r="N113" s="426"/>
      <c r="O113" s="611"/>
      <c r="P113" s="611"/>
      <c r="Q113" s="611"/>
      <c r="R113" s="611"/>
      <c r="S113" s="611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N113" s="606"/>
      <c r="AO113" s="606"/>
      <c r="AP113" s="606"/>
      <c r="AQ113" s="606"/>
      <c r="AR113" s="606"/>
      <c r="AS113" s="606"/>
      <c r="AT113" s="606"/>
      <c r="AU113" s="606"/>
      <c r="AV113" s="606"/>
      <c r="AW113" s="606"/>
      <c r="AX113" s="606"/>
      <c r="AY113" s="606"/>
      <c r="AZ113" s="606"/>
      <c r="BA113" s="606"/>
      <c r="BB113" s="606"/>
      <c r="BC113" s="606"/>
      <c r="BD113" s="606"/>
      <c r="BE113" s="606"/>
      <c r="BF113" s="606"/>
    </row>
    <row r="114" spans="1:58" hidden="1">
      <c r="A114" s="607">
        <f t="shared" si="19"/>
        <v>75</v>
      </c>
      <c r="B114" s="612">
        <f t="shared" si="14"/>
        <v>446158.9</v>
      </c>
      <c r="C114" s="612">
        <f t="shared" si="15"/>
        <v>384745.26</v>
      </c>
      <c r="D114" s="613">
        <f t="shared" si="16"/>
        <v>446158.9</v>
      </c>
      <c r="E114" s="613">
        <f t="shared" si="17"/>
        <v>384745.26</v>
      </c>
      <c r="F114" s="614">
        <f t="shared" si="20"/>
        <v>446158.9</v>
      </c>
      <c r="G114" s="614">
        <f t="shared" si="18"/>
        <v>384745.26</v>
      </c>
      <c r="H114" s="611"/>
      <c r="I114" s="426"/>
      <c r="J114" s="426"/>
      <c r="K114" s="426"/>
      <c r="L114" s="426"/>
      <c r="M114" s="426"/>
      <c r="N114" s="426"/>
      <c r="O114" s="611"/>
      <c r="P114" s="611"/>
      <c r="Q114" s="611"/>
      <c r="R114" s="611"/>
      <c r="S114" s="611"/>
      <c r="T114" s="606"/>
      <c r="U114" s="606"/>
      <c r="V114" s="606"/>
      <c r="W114" s="606"/>
      <c r="X114" s="606"/>
      <c r="Y114" s="606"/>
      <c r="Z114" s="606"/>
      <c r="AA114" s="606"/>
      <c r="AB114" s="606"/>
      <c r="AC114" s="606"/>
      <c r="AD114" s="606"/>
      <c r="AE114" s="606"/>
      <c r="AF114" s="606"/>
      <c r="AG114" s="606"/>
      <c r="AH114" s="606"/>
      <c r="AI114" s="606"/>
      <c r="AJ114" s="606"/>
      <c r="AK114" s="606"/>
      <c r="AL114" s="606"/>
      <c r="AM114" s="606"/>
      <c r="AN114" s="606"/>
      <c r="AO114" s="606"/>
      <c r="AP114" s="606"/>
      <c r="AQ114" s="606"/>
      <c r="AR114" s="606"/>
      <c r="AS114" s="606"/>
      <c r="AT114" s="606"/>
      <c r="AU114" s="606"/>
      <c r="AV114" s="606"/>
      <c r="AW114" s="606"/>
      <c r="AX114" s="606"/>
      <c r="AY114" s="606"/>
      <c r="AZ114" s="606"/>
      <c r="BA114" s="606"/>
      <c r="BB114" s="606"/>
      <c r="BC114" s="606"/>
      <c r="BD114" s="606"/>
      <c r="BE114" s="606"/>
      <c r="BF114" s="606"/>
    </row>
    <row r="115" spans="1:58" hidden="1">
      <c r="A115" s="607">
        <f t="shared" si="19"/>
        <v>76</v>
      </c>
      <c r="B115" s="612">
        <f t="shared" si="14"/>
        <v>468764.7</v>
      </c>
      <c r="C115" s="612">
        <f t="shared" si="15"/>
        <v>401446.07</v>
      </c>
      <c r="D115" s="613">
        <f t="shared" si="16"/>
        <v>468764.7</v>
      </c>
      <c r="E115" s="613">
        <f t="shared" si="17"/>
        <v>401446.07</v>
      </c>
      <c r="F115" s="614">
        <f t="shared" si="20"/>
        <v>468764.7</v>
      </c>
      <c r="G115" s="614">
        <f t="shared" si="18"/>
        <v>401446.07</v>
      </c>
      <c r="H115" s="611"/>
      <c r="I115" s="426"/>
      <c r="J115" s="426"/>
      <c r="K115" s="426"/>
      <c r="L115" s="426"/>
      <c r="M115" s="426"/>
      <c r="N115" s="426"/>
      <c r="O115" s="611"/>
      <c r="P115" s="611"/>
      <c r="Q115" s="611"/>
      <c r="R115" s="611"/>
      <c r="S115" s="611"/>
      <c r="T115" s="606"/>
      <c r="U115" s="606"/>
      <c r="V115" s="606"/>
      <c r="W115" s="606"/>
      <c r="X115" s="606"/>
      <c r="Y115" s="606"/>
      <c r="Z115" s="606"/>
      <c r="AA115" s="606"/>
      <c r="AB115" s="606"/>
      <c r="AC115" s="606"/>
      <c r="AD115" s="606"/>
      <c r="AE115" s="606"/>
      <c r="AF115" s="606"/>
      <c r="AG115" s="606"/>
      <c r="AH115" s="606"/>
      <c r="AI115" s="606"/>
      <c r="AJ115" s="606"/>
      <c r="AK115" s="606"/>
      <c r="AL115" s="606"/>
      <c r="AM115" s="606"/>
      <c r="AN115" s="606"/>
      <c r="AO115" s="606"/>
      <c r="AP115" s="606"/>
      <c r="AQ115" s="606"/>
      <c r="AR115" s="606"/>
      <c r="AS115" s="606"/>
      <c r="AT115" s="606"/>
      <c r="AU115" s="606"/>
      <c r="AV115" s="606"/>
      <c r="AW115" s="606"/>
      <c r="AX115" s="606"/>
      <c r="AY115" s="606"/>
      <c r="AZ115" s="606"/>
      <c r="BA115" s="606"/>
      <c r="BB115" s="606"/>
      <c r="BC115" s="606"/>
      <c r="BD115" s="606"/>
      <c r="BE115" s="606"/>
      <c r="BF115" s="606"/>
    </row>
    <row r="116" spans="1:58" hidden="1">
      <c r="A116" s="607">
        <f t="shared" si="19"/>
        <v>77</v>
      </c>
      <c r="B116" s="612">
        <f t="shared" si="14"/>
        <v>492917.97</v>
      </c>
      <c r="C116" s="612">
        <f t="shared" si="15"/>
        <v>419358.51</v>
      </c>
      <c r="D116" s="613">
        <f t="shared" si="16"/>
        <v>492917.97</v>
      </c>
      <c r="E116" s="613">
        <f t="shared" si="17"/>
        <v>419358.51</v>
      </c>
      <c r="F116" s="614">
        <f t="shared" si="20"/>
        <v>492917.97</v>
      </c>
      <c r="G116" s="614">
        <f t="shared" si="18"/>
        <v>419358.51</v>
      </c>
      <c r="H116" s="611"/>
      <c r="I116" s="426"/>
      <c r="J116" s="426"/>
      <c r="K116" s="426"/>
      <c r="L116" s="426"/>
      <c r="M116" s="426"/>
      <c r="N116" s="426"/>
      <c r="O116" s="611"/>
      <c r="P116" s="611"/>
      <c r="Q116" s="611"/>
      <c r="R116" s="611"/>
      <c r="S116" s="611"/>
      <c r="T116" s="606"/>
      <c r="U116" s="606"/>
      <c r="V116" s="606"/>
      <c r="W116" s="606"/>
      <c r="X116" s="606"/>
      <c r="Y116" s="606"/>
      <c r="Z116" s="606"/>
      <c r="AA116" s="606"/>
      <c r="AB116" s="606"/>
      <c r="AC116" s="606"/>
      <c r="AD116" s="606"/>
      <c r="AE116" s="606"/>
      <c r="AF116" s="606"/>
      <c r="AG116" s="606"/>
      <c r="AH116" s="606"/>
      <c r="AI116" s="606"/>
      <c r="AJ116" s="606"/>
      <c r="AK116" s="606"/>
      <c r="AL116" s="606"/>
      <c r="AM116" s="606"/>
      <c r="AN116" s="606"/>
      <c r="AO116" s="606"/>
      <c r="AP116" s="606"/>
      <c r="AQ116" s="606"/>
      <c r="AR116" s="606"/>
      <c r="AS116" s="606"/>
      <c r="AT116" s="606"/>
      <c r="AU116" s="606"/>
      <c r="AV116" s="606"/>
      <c r="AW116" s="606"/>
      <c r="AX116" s="606"/>
      <c r="AY116" s="606"/>
      <c r="AZ116" s="606"/>
      <c r="BA116" s="606"/>
      <c r="BB116" s="606"/>
      <c r="BC116" s="606"/>
      <c r="BD116" s="606"/>
      <c r="BE116" s="606"/>
      <c r="BF116" s="606"/>
    </row>
    <row r="117" spans="1:58" hidden="1">
      <c r="A117" s="607">
        <f t="shared" si="19"/>
        <v>78</v>
      </c>
      <c r="B117" s="612">
        <f t="shared" si="14"/>
        <v>518026.89</v>
      </c>
      <c r="C117" s="612">
        <f t="shared" si="15"/>
        <v>438019.16</v>
      </c>
      <c r="D117" s="613">
        <f t="shared" si="16"/>
        <v>518026.89</v>
      </c>
      <c r="E117" s="613">
        <f t="shared" si="17"/>
        <v>438019.16</v>
      </c>
      <c r="F117" s="614">
        <f t="shared" si="20"/>
        <v>518026.89</v>
      </c>
      <c r="G117" s="614">
        <f t="shared" si="18"/>
        <v>438019.16</v>
      </c>
      <c r="H117" s="611"/>
      <c r="I117" s="426"/>
      <c r="J117" s="426"/>
      <c r="K117" s="426"/>
      <c r="L117" s="426"/>
      <c r="M117" s="426"/>
      <c r="N117" s="426"/>
      <c r="O117" s="611"/>
      <c r="P117" s="611"/>
      <c r="Q117" s="611"/>
      <c r="R117" s="611"/>
      <c r="S117" s="611"/>
      <c r="T117" s="606"/>
      <c r="U117" s="606"/>
      <c r="V117" s="606"/>
      <c r="W117" s="606"/>
      <c r="X117" s="606"/>
      <c r="Y117" s="606"/>
      <c r="Z117" s="606"/>
      <c r="AA117" s="606"/>
      <c r="AB117" s="606"/>
      <c r="AC117" s="606"/>
      <c r="AD117" s="606"/>
      <c r="AE117" s="606"/>
      <c r="AF117" s="606"/>
      <c r="AG117" s="606"/>
      <c r="AH117" s="606"/>
      <c r="AI117" s="606"/>
      <c r="AJ117" s="606"/>
      <c r="AK117" s="606"/>
      <c r="AL117" s="606"/>
      <c r="AM117" s="606"/>
      <c r="AN117" s="606"/>
      <c r="AO117" s="606"/>
      <c r="AP117" s="606"/>
      <c r="AQ117" s="606"/>
      <c r="AR117" s="606"/>
      <c r="AS117" s="606"/>
      <c r="AT117" s="606"/>
      <c r="AU117" s="606"/>
      <c r="AV117" s="606"/>
      <c r="AW117" s="606"/>
      <c r="AX117" s="606"/>
      <c r="AY117" s="606"/>
      <c r="AZ117" s="606"/>
      <c r="BA117" s="606"/>
      <c r="BB117" s="606"/>
      <c r="BC117" s="606"/>
      <c r="BD117" s="606"/>
      <c r="BE117" s="606"/>
      <c r="BF117" s="606"/>
    </row>
    <row r="118" spans="1:58" hidden="1">
      <c r="A118" s="607">
        <f t="shared" si="19"/>
        <v>79</v>
      </c>
      <c r="B118" s="612">
        <f t="shared" si="14"/>
        <v>545588.80000000005</v>
      </c>
      <c r="C118" s="612">
        <f t="shared" si="15"/>
        <v>456739.24</v>
      </c>
      <c r="D118" s="613">
        <f t="shared" si="16"/>
        <v>545588.80000000005</v>
      </c>
      <c r="E118" s="613">
        <f>C118</f>
        <v>456739.24</v>
      </c>
      <c r="F118" s="614">
        <f t="shared" si="20"/>
        <v>545588.80000000005</v>
      </c>
      <c r="G118" s="614">
        <f>ROUND(E118*$G$37,2)</f>
        <v>456739.24</v>
      </c>
      <c r="H118" s="611"/>
      <c r="I118" s="426"/>
      <c r="J118" s="426"/>
      <c r="K118" s="426"/>
      <c r="L118" s="426"/>
      <c r="M118" s="426"/>
      <c r="N118" s="426"/>
      <c r="O118" s="611"/>
      <c r="P118" s="611"/>
      <c r="Q118" s="611"/>
      <c r="R118" s="611"/>
      <c r="S118" s="611"/>
      <c r="T118" s="606"/>
      <c r="U118" s="606"/>
      <c r="V118" s="606"/>
      <c r="W118" s="606"/>
      <c r="X118" s="606"/>
      <c r="Y118" s="606"/>
      <c r="Z118" s="606"/>
      <c r="AA118" s="606"/>
      <c r="AB118" s="606"/>
      <c r="AC118" s="606"/>
      <c r="AD118" s="606"/>
      <c r="AE118" s="606"/>
      <c r="AF118" s="606"/>
      <c r="AG118" s="606"/>
      <c r="AH118" s="606"/>
      <c r="AI118" s="606"/>
      <c r="AJ118" s="606"/>
      <c r="AK118" s="606"/>
      <c r="AL118" s="606"/>
      <c r="AM118" s="606"/>
      <c r="AN118" s="606"/>
      <c r="AO118" s="606"/>
      <c r="AP118" s="606"/>
      <c r="AQ118" s="606"/>
      <c r="AR118" s="606"/>
      <c r="AS118" s="606"/>
      <c r="AT118" s="606"/>
      <c r="AU118" s="606"/>
      <c r="AV118" s="606"/>
      <c r="AW118" s="606"/>
      <c r="AX118" s="606"/>
      <c r="AY118" s="606"/>
      <c r="AZ118" s="606"/>
      <c r="BA118" s="606"/>
      <c r="BB118" s="606"/>
      <c r="BC118" s="606"/>
      <c r="BD118" s="606"/>
      <c r="BE118" s="606"/>
      <c r="BF118" s="606"/>
    </row>
    <row r="119" spans="1:58" hidden="1">
      <c r="A119" s="607">
        <f t="shared" si="19"/>
        <v>80</v>
      </c>
      <c r="B119" s="612">
        <f t="shared" si="14"/>
        <v>572324.71</v>
      </c>
      <c r="C119" s="612">
        <f t="shared" si="15"/>
        <v>476499.99</v>
      </c>
      <c r="D119" s="613">
        <f t="shared" si="16"/>
        <v>572324.71</v>
      </c>
      <c r="E119" s="613">
        <f t="shared" si="17"/>
        <v>476499.99</v>
      </c>
      <c r="F119" s="614">
        <f t="shared" si="20"/>
        <v>572324.71</v>
      </c>
      <c r="G119" s="614">
        <f t="shared" si="18"/>
        <v>476499.99</v>
      </c>
      <c r="H119" s="611"/>
      <c r="I119" s="426"/>
      <c r="J119" s="426"/>
      <c r="K119" s="426"/>
      <c r="L119" s="426"/>
      <c r="M119" s="426"/>
      <c r="N119" s="426"/>
      <c r="O119" s="611"/>
      <c r="P119" s="611"/>
      <c r="Q119" s="611"/>
      <c r="R119" s="611"/>
      <c r="S119" s="611"/>
      <c r="T119" s="606"/>
      <c r="U119" s="606"/>
      <c r="V119" s="606"/>
      <c r="W119" s="606"/>
      <c r="X119" s="606"/>
      <c r="Y119" s="606"/>
      <c r="Z119" s="606"/>
      <c r="AA119" s="606"/>
      <c r="AB119" s="606"/>
      <c r="AC119" s="606"/>
      <c r="AD119" s="606"/>
      <c r="AE119" s="606"/>
      <c r="AF119" s="606"/>
      <c r="AG119" s="606"/>
      <c r="AH119" s="606"/>
      <c r="AI119" s="606"/>
      <c r="AJ119" s="606"/>
      <c r="AK119" s="606"/>
      <c r="AL119" s="606"/>
      <c r="AM119" s="606"/>
      <c r="AN119" s="606"/>
      <c r="AO119" s="606"/>
      <c r="AP119" s="606"/>
      <c r="AQ119" s="606"/>
      <c r="AR119" s="606"/>
      <c r="AS119" s="606"/>
      <c r="AT119" s="606"/>
      <c r="AU119" s="606"/>
      <c r="AV119" s="606"/>
      <c r="AW119" s="606"/>
      <c r="AX119" s="606"/>
      <c r="AY119" s="606"/>
      <c r="AZ119" s="606"/>
      <c r="BA119" s="606"/>
      <c r="BB119" s="606"/>
      <c r="BC119" s="606"/>
      <c r="BD119" s="606"/>
      <c r="BE119" s="606"/>
      <c r="BF119" s="606"/>
    </row>
    <row r="120" spans="1:58" hidden="1">
      <c r="A120" s="607">
        <f t="shared" si="19"/>
        <v>81</v>
      </c>
      <c r="B120" s="612">
        <f t="shared" si="14"/>
        <v>603731.37</v>
      </c>
      <c r="C120" s="612">
        <f t="shared" si="15"/>
        <v>496522.23999999999</v>
      </c>
      <c r="D120" s="613">
        <f t="shared" si="16"/>
        <v>603731.37</v>
      </c>
      <c r="E120" s="613">
        <f t="shared" si="17"/>
        <v>496522.23999999999</v>
      </c>
      <c r="F120" s="614">
        <f t="shared" si="20"/>
        <v>603731.37</v>
      </c>
      <c r="G120" s="614">
        <f t="shared" si="18"/>
        <v>496522.23999999999</v>
      </c>
      <c r="H120" s="611"/>
      <c r="I120" s="426"/>
      <c r="J120" s="426"/>
      <c r="K120" s="426"/>
      <c r="L120" s="426"/>
      <c r="M120" s="426"/>
      <c r="N120" s="426"/>
      <c r="O120" s="611"/>
      <c r="P120" s="611"/>
      <c r="Q120" s="611"/>
      <c r="R120" s="611"/>
      <c r="S120" s="611"/>
      <c r="T120" s="606"/>
      <c r="U120" s="606"/>
      <c r="V120" s="606"/>
      <c r="W120" s="606"/>
      <c r="X120" s="606"/>
      <c r="Y120" s="606"/>
      <c r="Z120" s="606"/>
      <c r="AA120" s="606"/>
      <c r="AB120" s="606"/>
      <c r="AC120" s="606"/>
      <c r="AD120" s="606"/>
      <c r="AE120" s="606"/>
      <c r="AF120" s="606"/>
      <c r="AG120" s="606"/>
      <c r="AH120" s="606"/>
      <c r="AI120" s="606"/>
      <c r="AJ120" s="606"/>
      <c r="AK120" s="606"/>
      <c r="AL120" s="606"/>
      <c r="AM120" s="606"/>
      <c r="AN120" s="606"/>
      <c r="AO120" s="606"/>
      <c r="AP120" s="606"/>
      <c r="AQ120" s="606"/>
      <c r="AR120" s="606"/>
      <c r="AS120" s="606"/>
      <c r="AT120" s="606"/>
      <c r="AU120" s="606"/>
      <c r="AV120" s="606"/>
      <c r="AW120" s="606"/>
      <c r="AX120" s="606"/>
      <c r="AY120" s="606"/>
      <c r="AZ120" s="606"/>
      <c r="BA120" s="606"/>
      <c r="BB120" s="606"/>
      <c r="BC120" s="606"/>
      <c r="BD120" s="606"/>
      <c r="BE120" s="606"/>
      <c r="BF120" s="606"/>
    </row>
    <row r="121" spans="1:58" hidden="1">
      <c r="A121" s="607">
        <f t="shared" si="19"/>
        <v>82</v>
      </c>
      <c r="B121" s="612">
        <f t="shared" si="14"/>
        <v>636328.9</v>
      </c>
      <c r="C121" s="612">
        <f t="shared" si="15"/>
        <v>515726.74</v>
      </c>
      <c r="D121" s="613">
        <f t="shared" si="16"/>
        <v>636328.9</v>
      </c>
      <c r="E121" s="613">
        <f t="shared" si="17"/>
        <v>515726.74</v>
      </c>
      <c r="F121" s="614">
        <f t="shared" si="20"/>
        <v>636328.9</v>
      </c>
      <c r="G121" s="614">
        <f t="shared" si="18"/>
        <v>515726.74</v>
      </c>
      <c r="H121" s="611"/>
      <c r="I121" s="426"/>
      <c r="J121" s="426"/>
      <c r="K121" s="426"/>
      <c r="L121" s="426"/>
      <c r="M121" s="426"/>
      <c r="N121" s="426"/>
      <c r="O121" s="611"/>
      <c r="P121" s="611"/>
      <c r="Q121" s="611"/>
      <c r="R121" s="611"/>
      <c r="S121" s="611"/>
      <c r="T121" s="606"/>
      <c r="U121" s="606"/>
      <c r="V121" s="606"/>
      <c r="W121" s="606"/>
      <c r="X121" s="606"/>
      <c r="Y121" s="606"/>
      <c r="Z121" s="606"/>
      <c r="AA121" s="606"/>
      <c r="AB121" s="606"/>
      <c r="AC121" s="606"/>
      <c r="AD121" s="606"/>
      <c r="AE121" s="606"/>
      <c r="AF121" s="606"/>
      <c r="AG121" s="606"/>
      <c r="AH121" s="606"/>
      <c r="AI121" s="606"/>
      <c r="AJ121" s="606"/>
      <c r="AK121" s="606"/>
      <c r="AL121" s="606"/>
      <c r="AM121" s="606"/>
      <c r="AN121" s="606"/>
      <c r="AO121" s="606"/>
      <c r="AP121" s="606"/>
      <c r="AQ121" s="606"/>
      <c r="AR121" s="606"/>
      <c r="AS121" s="606"/>
      <c r="AT121" s="606"/>
      <c r="AU121" s="606"/>
      <c r="AV121" s="606"/>
      <c r="AW121" s="606"/>
      <c r="AX121" s="606"/>
      <c r="AY121" s="606"/>
      <c r="AZ121" s="606"/>
      <c r="BA121" s="606"/>
      <c r="BB121" s="606"/>
      <c r="BC121" s="606"/>
      <c r="BD121" s="606"/>
      <c r="BE121" s="606"/>
      <c r="BF121" s="606"/>
    </row>
    <row r="122" spans="1:58" hidden="1">
      <c r="A122" s="607">
        <f t="shared" si="19"/>
        <v>83</v>
      </c>
      <c r="B122" s="612">
        <f t="shared" si="14"/>
        <v>670299.16</v>
      </c>
      <c r="C122" s="612">
        <f t="shared" si="15"/>
        <v>537595.46</v>
      </c>
      <c r="D122" s="613">
        <f t="shared" si="16"/>
        <v>670299.16</v>
      </c>
      <c r="E122" s="613">
        <f t="shared" si="17"/>
        <v>537595.46</v>
      </c>
      <c r="F122" s="614">
        <f t="shared" si="20"/>
        <v>670299.16</v>
      </c>
      <c r="G122" s="614">
        <f t="shared" si="18"/>
        <v>537595.46</v>
      </c>
      <c r="H122" s="611"/>
      <c r="I122" s="426"/>
      <c r="J122" s="426"/>
      <c r="K122" s="426"/>
      <c r="L122" s="426"/>
      <c r="M122" s="426"/>
      <c r="N122" s="426"/>
      <c r="O122" s="611"/>
      <c r="P122" s="611"/>
      <c r="Q122" s="611"/>
      <c r="R122" s="611"/>
      <c r="S122" s="611"/>
      <c r="T122" s="606"/>
      <c r="U122" s="606"/>
      <c r="V122" s="606"/>
      <c r="W122" s="606"/>
      <c r="X122" s="606"/>
      <c r="Y122" s="606"/>
      <c r="Z122" s="606"/>
      <c r="AA122" s="606"/>
      <c r="AB122" s="606"/>
      <c r="AC122" s="606"/>
      <c r="AD122" s="606"/>
      <c r="AE122" s="606"/>
      <c r="AF122" s="606"/>
      <c r="AG122" s="606"/>
      <c r="AH122" s="606"/>
      <c r="AI122" s="606"/>
      <c r="AJ122" s="606"/>
      <c r="AK122" s="606"/>
      <c r="AL122" s="606"/>
      <c r="AM122" s="606"/>
      <c r="AN122" s="606"/>
      <c r="AO122" s="606"/>
      <c r="AP122" s="606"/>
      <c r="AQ122" s="606"/>
      <c r="AR122" s="606"/>
      <c r="AS122" s="606"/>
      <c r="AT122" s="606"/>
      <c r="AU122" s="606"/>
      <c r="AV122" s="606"/>
      <c r="AW122" s="606"/>
      <c r="AX122" s="606"/>
      <c r="AY122" s="606"/>
      <c r="AZ122" s="606"/>
      <c r="BA122" s="606"/>
      <c r="BB122" s="606"/>
      <c r="BC122" s="606"/>
      <c r="BD122" s="606"/>
      <c r="BE122" s="606"/>
      <c r="BF122" s="606"/>
    </row>
    <row r="123" spans="1:58" hidden="1">
      <c r="A123" s="607">
        <f t="shared" si="19"/>
        <v>84</v>
      </c>
      <c r="B123" s="612">
        <f t="shared" si="14"/>
        <v>705859.46</v>
      </c>
      <c r="C123" s="612">
        <f t="shared" si="15"/>
        <v>558813.74</v>
      </c>
      <c r="D123" s="613">
        <f>B123</f>
        <v>705859.46</v>
      </c>
      <c r="E123" s="613">
        <f t="shared" si="17"/>
        <v>558813.74</v>
      </c>
      <c r="F123" s="614">
        <f t="shared" si="20"/>
        <v>705859.46</v>
      </c>
      <c r="G123" s="614">
        <f>ROUND(E123*$G$37,2)</f>
        <v>558813.74</v>
      </c>
      <c r="H123" s="611"/>
      <c r="I123" s="426"/>
      <c r="J123" s="426"/>
      <c r="K123" s="426"/>
      <c r="L123" s="426"/>
      <c r="M123" s="426"/>
      <c r="N123" s="426"/>
      <c r="O123" s="611"/>
      <c r="P123" s="611"/>
      <c r="Q123" s="611"/>
      <c r="R123" s="611"/>
      <c r="S123" s="611"/>
      <c r="T123" s="606"/>
      <c r="U123" s="606"/>
      <c r="V123" s="606"/>
      <c r="W123" s="606"/>
      <c r="X123" s="606"/>
      <c r="Y123" s="606"/>
      <c r="Z123" s="606"/>
      <c r="AA123" s="606"/>
      <c r="AB123" s="606"/>
      <c r="AC123" s="606"/>
      <c r="AD123" s="606"/>
      <c r="AE123" s="606"/>
      <c r="AF123" s="606"/>
      <c r="AG123" s="606"/>
      <c r="AH123" s="606"/>
      <c r="AI123" s="606"/>
      <c r="AJ123" s="606"/>
      <c r="AK123" s="606"/>
      <c r="AL123" s="606"/>
      <c r="AM123" s="606"/>
      <c r="AN123" s="606"/>
      <c r="AO123" s="606"/>
      <c r="AP123" s="606"/>
      <c r="AQ123" s="606"/>
      <c r="AR123" s="606"/>
      <c r="AS123" s="606"/>
      <c r="AT123" s="606"/>
      <c r="AU123" s="606"/>
      <c r="AV123" s="606"/>
      <c r="AW123" s="606"/>
      <c r="AX123" s="606"/>
      <c r="AY123" s="606"/>
      <c r="AZ123" s="606"/>
      <c r="BA123" s="606"/>
      <c r="BB123" s="606"/>
      <c r="BC123" s="606"/>
      <c r="BD123" s="606"/>
      <c r="BE123" s="606"/>
      <c r="BF123" s="606"/>
    </row>
    <row r="124" spans="1:58" ht="13" hidden="1" thickBot="1">
      <c r="A124" s="607">
        <f t="shared" si="19"/>
        <v>85</v>
      </c>
      <c r="B124" s="615">
        <f t="shared" si="14"/>
        <v>743265.43</v>
      </c>
      <c r="C124" s="615">
        <f t="shared" si="15"/>
        <v>580631.4</v>
      </c>
      <c r="D124" s="616">
        <f>B124</f>
        <v>743265.43</v>
      </c>
      <c r="E124" s="616">
        <f t="shared" si="17"/>
        <v>580631.4</v>
      </c>
      <c r="F124" s="617">
        <f t="shared" si="20"/>
        <v>743265.43</v>
      </c>
      <c r="G124" s="617">
        <f>ROUND(E124*$G$37,2)</f>
        <v>580631.4</v>
      </c>
      <c r="H124" s="611"/>
      <c r="I124" s="426"/>
      <c r="J124" s="426"/>
      <c r="K124" s="426"/>
      <c r="L124" s="426"/>
      <c r="M124" s="426"/>
      <c r="N124" s="426"/>
      <c r="O124" s="611"/>
      <c r="P124" s="611"/>
      <c r="Q124" s="611"/>
      <c r="R124" s="611"/>
      <c r="S124" s="611"/>
      <c r="T124" s="606"/>
      <c r="U124" s="606"/>
      <c r="V124" s="606"/>
      <c r="W124" s="606"/>
      <c r="X124" s="606"/>
      <c r="Y124" s="606"/>
      <c r="Z124" s="606"/>
      <c r="AA124" s="606"/>
      <c r="AB124" s="606"/>
      <c r="AC124" s="606"/>
      <c r="AD124" s="606"/>
      <c r="AE124" s="606"/>
      <c r="AF124" s="606"/>
      <c r="AG124" s="606"/>
      <c r="AH124" s="606"/>
      <c r="AI124" s="606"/>
      <c r="AJ124" s="606"/>
      <c r="AK124" s="606"/>
      <c r="AL124" s="606"/>
      <c r="AM124" s="606"/>
      <c r="AN124" s="606"/>
      <c r="AO124" s="606"/>
      <c r="AP124" s="606"/>
      <c r="AQ124" s="606"/>
      <c r="AR124" s="606"/>
      <c r="AS124" s="606"/>
      <c r="AT124" s="606"/>
      <c r="AU124" s="606"/>
      <c r="AV124" s="606"/>
      <c r="AW124" s="606"/>
      <c r="AX124" s="606"/>
      <c r="AY124" s="606"/>
      <c r="AZ124" s="606"/>
      <c r="BA124" s="606"/>
      <c r="BB124" s="606"/>
      <c r="BC124" s="606"/>
      <c r="BD124" s="606"/>
      <c r="BE124" s="606"/>
      <c r="BF124" s="606"/>
    </row>
    <row r="125" spans="1:58" ht="13" hidden="1" thickTop="1">
      <c r="A125" s="426"/>
      <c r="B125" s="426"/>
      <c r="C125" s="426"/>
      <c r="D125" s="426"/>
      <c r="E125" s="426"/>
      <c r="F125" s="428"/>
      <c r="G125" s="428"/>
      <c r="H125" s="606"/>
      <c r="I125" s="426"/>
      <c r="J125" s="426"/>
      <c r="K125" s="426"/>
      <c r="L125" s="426"/>
      <c r="M125" s="426"/>
      <c r="N125" s="426"/>
      <c r="O125" s="606"/>
      <c r="P125" s="606"/>
      <c r="Q125" s="606"/>
      <c r="R125" s="606"/>
      <c r="S125" s="606"/>
      <c r="T125" s="606"/>
      <c r="U125" s="606"/>
      <c r="V125" s="606"/>
      <c r="W125" s="606"/>
      <c r="X125" s="606"/>
      <c r="Y125" s="606"/>
      <c r="Z125" s="606"/>
      <c r="AA125" s="606"/>
      <c r="AB125" s="606"/>
      <c r="AC125" s="606"/>
      <c r="AD125" s="606"/>
      <c r="AE125" s="606"/>
      <c r="AF125" s="606"/>
      <c r="AG125" s="606"/>
      <c r="AH125" s="606"/>
      <c r="AI125" s="606"/>
      <c r="AJ125" s="606"/>
      <c r="AK125" s="606"/>
      <c r="AL125" s="606"/>
      <c r="AM125" s="606"/>
      <c r="AN125" s="606"/>
      <c r="AO125" s="606"/>
      <c r="AP125" s="606"/>
      <c r="AQ125" s="606"/>
      <c r="AR125" s="606"/>
      <c r="AS125" s="606"/>
      <c r="AT125" s="606"/>
      <c r="AU125" s="606"/>
      <c r="AV125" s="606"/>
      <c r="AW125" s="606"/>
      <c r="AX125" s="606"/>
      <c r="AY125" s="606"/>
      <c r="AZ125" s="606"/>
      <c r="BA125" s="606"/>
      <c r="BB125" s="606"/>
      <c r="BC125" s="606"/>
      <c r="BD125" s="606"/>
      <c r="BE125" s="606"/>
      <c r="BF125" s="606"/>
    </row>
    <row r="126" spans="1:58" hidden="1">
      <c r="A126" s="426"/>
      <c r="B126" s="528"/>
      <c r="C126" s="528"/>
      <c r="D126" s="528"/>
      <c r="E126" s="528"/>
      <c r="F126" s="428"/>
      <c r="G126" s="428"/>
      <c r="H126" s="606"/>
      <c r="I126" s="426"/>
      <c r="J126" s="426"/>
      <c r="K126" s="426"/>
      <c r="L126" s="426"/>
      <c r="M126" s="426"/>
      <c r="N126" s="426"/>
      <c r="O126" s="606"/>
      <c r="P126" s="606"/>
      <c r="Q126" s="606"/>
      <c r="R126" s="606"/>
      <c r="S126" s="606"/>
      <c r="T126" s="606"/>
      <c r="U126" s="606"/>
      <c r="V126" s="606"/>
      <c r="W126" s="606"/>
      <c r="X126" s="606"/>
      <c r="Y126" s="606"/>
      <c r="Z126" s="606"/>
      <c r="AA126" s="606"/>
      <c r="AB126" s="606"/>
      <c r="AC126" s="606"/>
      <c r="AD126" s="606"/>
      <c r="AE126" s="606"/>
      <c r="AF126" s="606"/>
      <c r="AG126" s="606"/>
      <c r="AH126" s="606"/>
      <c r="AI126" s="606"/>
      <c r="AJ126" s="606"/>
      <c r="AK126" s="606"/>
      <c r="AL126" s="606"/>
      <c r="AM126" s="606"/>
      <c r="AN126" s="606"/>
      <c r="AO126" s="606"/>
      <c r="AP126" s="606"/>
      <c r="AQ126" s="606"/>
      <c r="AR126" s="606"/>
      <c r="AS126" s="606"/>
      <c r="AT126" s="606"/>
      <c r="AU126" s="606"/>
      <c r="AV126" s="606"/>
      <c r="AW126" s="606"/>
      <c r="AX126" s="606"/>
      <c r="AY126" s="606"/>
      <c r="AZ126" s="606"/>
      <c r="BA126" s="606"/>
      <c r="BB126" s="606"/>
      <c r="BC126" s="606"/>
      <c r="BD126" s="606"/>
      <c r="BE126" s="606"/>
      <c r="BF126" s="606"/>
    </row>
    <row r="127" spans="1:58" hidden="1">
      <c r="A127" s="426"/>
      <c r="B127" s="528"/>
      <c r="C127" s="528"/>
      <c r="D127" s="528"/>
      <c r="E127" s="528"/>
      <c r="F127" s="428"/>
      <c r="G127" s="428"/>
      <c r="H127" s="426"/>
      <c r="I127" s="426"/>
      <c r="J127" s="426"/>
      <c r="K127" s="426"/>
      <c r="L127" s="426"/>
      <c r="M127" s="426"/>
      <c r="N127" s="426"/>
      <c r="O127" s="426"/>
      <c r="P127" s="426"/>
      <c r="Q127" s="426"/>
      <c r="R127" s="426"/>
      <c r="S127" s="426"/>
      <c r="T127" s="426"/>
      <c r="U127" s="426"/>
      <c r="V127" s="426"/>
      <c r="W127" s="426"/>
      <c r="X127" s="426"/>
      <c r="Y127" s="426"/>
      <c r="Z127" s="426"/>
      <c r="AA127" s="426"/>
      <c r="AB127" s="426"/>
      <c r="AC127" s="426"/>
      <c r="AD127" s="426"/>
      <c r="AE127" s="426"/>
      <c r="AF127" s="426"/>
      <c r="AG127" s="426"/>
      <c r="AH127" s="426"/>
      <c r="AI127" s="426"/>
      <c r="AJ127" s="426"/>
      <c r="AK127" s="426"/>
      <c r="AL127" s="426"/>
      <c r="AM127" s="426"/>
      <c r="AN127" s="426"/>
      <c r="AO127" s="426"/>
      <c r="AP127" s="426"/>
      <c r="AQ127" s="426"/>
      <c r="AR127" s="426"/>
      <c r="AS127" s="426"/>
      <c r="AT127" s="426"/>
      <c r="AU127" s="426"/>
      <c r="AV127" s="426"/>
      <c r="AW127" s="426"/>
      <c r="AX127" s="426"/>
      <c r="AY127" s="426"/>
      <c r="AZ127" s="426"/>
      <c r="BA127" s="426"/>
      <c r="BB127" s="426"/>
      <c r="BC127" s="426"/>
      <c r="BD127" s="426"/>
      <c r="BE127" s="426"/>
      <c r="BF127" s="426"/>
    </row>
    <row r="128" spans="1:58" ht="15" hidden="1">
      <c r="A128" s="426"/>
      <c r="B128" s="528"/>
      <c r="C128" s="528"/>
      <c r="D128" s="528"/>
      <c r="E128" s="528"/>
      <c r="F128" s="428"/>
      <c r="G128" s="428"/>
      <c r="H128" s="426"/>
      <c r="I128" s="426"/>
      <c r="J128" s="426"/>
      <c r="K128" s="426"/>
      <c r="L128" s="426"/>
      <c r="M128" s="426"/>
      <c r="N128" s="533" t="s">
        <v>34</v>
      </c>
      <c r="O128" s="426"/>
      <c r="P128" s="426"/>
      <c r="Q128" s="426"/>
      <c r="R128" s="426"/>
      <c r="S128" s="426"/>
      <c r="T128" s="426"/>
      <c r="U128" s="426"/>
      <c r="V128" s="426"/>
      <c r="W128" s="426"/>
      <c r="X128" s="426"/>
      <c r="Y128" s="426"/>
      <c r="Z128" s="426"/>
      <c r="AA128" s="426"/>
      <c r="AB128" s="426"/>
      <c r="AC128" s="426"/>
      <c r="AD128" s="426"/>
      <c r="AE128" s="426"/>
      <c r="AF128" s="426"/>
      <c r="AG128" s="426"/>
      <c r="AH128" s="426"/>
      <c r="AI128" s="426"/>
      <c r="AJ128" s="426"/>
      <c r="AK128" s="426"/>
      <c r="AL128" s="426"/>
      <c r="AM128" s="426"/>
      <c r="AN128" s="426"/>
      <c r="AO128" s="426"/>
      <c r="AP128" s="426"/>
      <c r="AQ128" s="426"/>
      <c r="AR128" s="426"/>
      <c r="AS128" s="426"/>
      <c r="AT128" s="426"/>
      <c r="AU128" s="426"/>
      <c r="AV128" s="426"/>
      <c r="AW128" s="426"/>
      <c r="AX128" s="426"/>
      <c r="AY128" s="426"/>
      <c r="AZ128" s="426"/>
      <c r="BA128" s="426"/>
      <c r="BB128" s="426"/>
      <c r="BC128" s="426"/>
      <c r="BD128" s="426"/>
      <c r="BE128" s="426"/>
      <c r="BF128" s="426"/>
    </row>
    <row r="129" spans="1:18" ht="13" hidden="1" thickBot="1">
      <c r="A129" s="426"/>
      <c r="B129" s="528"/>
      <c r="C129" s="528"/>
      <c r="D129" s="528"/>
      <c r="E129" s="528"/>
      <c r="F129" s="428"/>
      <c r="G129" s="428"/>
      <c r="H129" s="426"/>
      <c r="I129" s="426"/>
      <c r="J129" s="426"/>
      <c r="K129" s="426"/>
      <c r="L129" s="426"/>
      <c r="M129" s="426"/>
      <c r="N129" s="426"/>
      <c r="O129" s="426"/>
      <c r="P129" s="426"/>
      <c r="Q129" s="426"/>
      <c r="R129" s="426"/>
    </row>
    <row r="130" spans="1:18" hidden="1">
      <c r="A130" s="426"/>
      <c r="B130" s="426"/>
      <c r="C130" s="409">
        <v>0</v>
      </c>
      <c r="D130" s="528" t="s">
        <v>35</v>
      </c>
      <c r="E130" s="409">
        <v>1</v>
      </c>
      <c r="F130" s="428" t="s">
        <v>36</v>
      </c>
      <c r="G130" s="428"/>
      <c r="H130" s="426"/>
      <c r="I130" s="426"/>
      <c r="J130" s="426"/>
      <c r="K130" s="426"/>
      <c r="L130" s="426"/>
      <c r="M130" s="426"/>
      <c r="N130" s="618"/>
      <c r="O130" s="530" t="s">
        <v>35</v>
      </c>
      <c r="P130" s="619"/>
      <c r="Q130" s="530" t="s">
        <v>36</v>
      </c>
      <c r="R130" s="619"/>
    </row>
    <row r="131" spans="1:18" ht="13" hidden="1">
      <c r="A131" s="527" t="s">
        <v>31</v>
      </c>
      <c r="B131" s="493" t="s">
        <v>37</v>
      </c>
      <c r="C131" s="527" t="s">
        <v>32</v>
      </c>
      <c r="D131" s="527" t="s">
        <v>33</v>
      </c>
      <c r="E131" s="527" t="s">
        <v>32</v>
      </c>
      <c r="F131" s="527" t="s">
        <v>33</v>
      </c>
      <c r="G131" s="428"/>
      <c r="H131" s="426"/>
      <c r="I131" s="426"/>
      <c r="J131" s="426"/>
      <c r="K131" s="426"/>
      <c r="L131" s="426"/>
      <c r="M131" s="426"/>
      <c r="N131" s="529" t="s">
        <v>31</v>
      </c>
      <c r="O131" s="531" t="s">
        <v>32</v>
      </c>
      <c r="P131" s="532" t="s">
        <v>33</v>
      </c>
      <c r="Q131" s="531" t="s">
        <v>32</v>
      </c>
      <c r="R131" s="532" t="s">
        <v>33</v>
      </c>
    </row>
    <row r="132" spans="1:18" ht="13" hidden="1">
      <c r="A132" s="483">
        <v>0</v>
      </c>
      <c r="B132" s="484" t="str">
        <f>+CONCATENATE(A132,$H$36)</f>
        <v>0A</v>
      </c>
      <c r="C132" s="521">
        <f>+VLOOKUP(B132,$B$226:$F$436,4,FALSE)</f>
        <v>17575.078300059202</v>
      </c>
      <c r="D132" s="521">
        <f>+VLOOKUP(B132,$B$226:$F$436,5,FALSE)</f>
        <v>17648.74202705975</v>
      </c>
      <c r="E132" s="521">
        <f>+VLOOKUP(B132,$B$226:$F$436,2,FALSE)</f>
        <v>17575.078300059202</v>
      </c>
      <c r="F132" s="523">
        <f>+VLOOKUP(B132,$B$226:$F$436,3,FALSE)</f>
        <v>17648.74202705975</v>
      </c>
      <c r="G132" s="528"/>
      <c r="H132" s="426"/>
      <c r="I132" s="620"/>
      <c r="J132" s="620"/>
      <c r="K132" s="426"/>
      <c r="L132" s="426"/>
      <c r="M132" s="621"/>
      <c r="N132" s="622">
        <v>0</v>
      </c>
      <c r="O132" s="623">
        <v>4311.7297297297309</v>
      </c>
      <c r="P132" s="624">
        <v>4329.801801801802</v>
      </c>
      <c r="Q132" s="623">
        <v>4311.7297297297309</v>
      </c>
      <c r="R132" s="624">
        <v>4329.801801801802</v>
      </c>
    </row>
    <row r="133" spans="1:18" ht="13" hidden="1">
      <c r="A133" s="483">
        <v>1</v>
      </c>
      <c r="B133" s="484" t="str">
        <f>+CONCATENATE(A133,$H$36)</f>
        <v>1A</v>
      </c>
      <c r="C133" s="521">
        <f t="shared" ref="C133:C196" si="21">+VLOOKUP(B133,$B$226:$F$436,4,FALSE)</f>
        <v>17575.078300059202</v>
      </c>
      <c r="D133" s="521">
        <f t="shared" ref="D133:D196" si="22">+VLOOKUP(B133,$B$226:$F$436,5,FALSE)</f>
        <v>17648.74202705975</v>
      </c>
      <c r="E133" s="521">
        <f t="shared" ref="E133:E196" si="23">+VLOOKUP(B133,$B$226:$F$436,2,FALSE)</f>
        <v>17575.078300059202</v>
      </c>
      <c r="F133" s="523">
        <f t="shared" ref="F133:F196" si="24">+VLOOKUP(B133,$B$226:$F$436,3,FALSE)</f>
        <v>17648.74202705975</v>
      </c>
      <c r="G133" s="528"/>
      <c r="H133" s="426"/>
      <c r="I133" s="620"/>
      <c r="J133" s="620"/>
      <c r="K133" s="426"/>
      <c r="L133" s="426"/>
      <c r="M133" s="621"/>
      <c r="N133" s="622">
        <v>1</v>
      </c>
      <c r="O133" s="623">
        <v>4311.7297297297309</v>
      </c>
      <c r="P133" s="624">
        <v>4329.801801801802</v>
      </c>
      <c r="Q133" s="623">
        <v>4311.7297297297309</v>
      </c>
      <c r="R133" s="624">
        <v>4329.801801801802</v>
      </c>
    </row>
    <row r="134" spans="1:18" ht="13" hidden="1">
      <c r="A134" s="483">
        <f>+A133+1</f>
        <v>2</v>
      </c>
      <c r="B134" s="484" t="str">
        <f>+CONCATENATE(A134,$H$36)</f>
        <v>2A</v>
      </c>
      <c r="C134" s="521">
        <f t="shared" si="21"/>
        <v>17575.078300059202</v>
      </c>
      <c r="D134" s="521">
        <f t="shared" si="22"/>
        <v>17648.74202705975</v>
      </c>
      <c r="E134" s="521">
        <f t="shared" si="23"/>
        <v>17575.078300059202</v>
      </c>
      <c r="F134" s="523">
        <f t="shared" si="24"/>
        <v>17648.74202705975</v>
      </c>
      <c r="G134" s="528"/>
      <c r="H134" s="426"/>
      <c r="I134" s="620"/>
      <c r="J134" s="620"/>
      <c r="K134" s="426"/>
      <c r="L134" s="426"/>
      <c r="M134" s="621"/>
      <c r="N134" s="622">
        <v>2</v>
      </c>
      <c r="O134" s="623">
        <v>4311.7297297297309</v>
      </c>
      <c r="P134" s="624">
        <v>4329.801801801802</v>
      </c>
      <c r="Q134" s="623">
        <v>4311.7297297297309</v>
      </c>
      <c r="R134" s="624">
        <v>4329.801801801802</v>
      </c>
    </row>
    <row r="135" spans="1:18" ht="13" hidden="1">
      <c r="A135" s="483">
        <f t="shared" ref="A135:A198" si="25">+A134+1</f>
        <v>3</v>
      </c>
      <c r="B135" s="484" t="str">
        <f>+CONCATENATE(A135,$H$36)</f>
        <v>3A</v>
      </c>
      <c r="C135" s="521">
        <f t="shared" si="21"/>
        <v>17575.078300059202</v>
      </c>
      <c r="D135" s="521">
        <f t="shared" si="22"/>
        <v>17648.74202705975</v>
      </c>
      <c r="E135" s="521">
        <f t="shared" si="23"/>
        <v>17575.078300059202</v>
      </c>
      <c r="F135" s="523">
        <f t="shared" si="24"/>
        <v>17648.74202705975</v>
      </c>
      <c r="G135" s="528"/>
      <c r="H135" s="426"/>
      <c r="I135" s="620"/>
      <c r="J135" s="620"/>
      <c r="K135" s="426"/>
      <c r="L135" s="426"/>
      <c r="M135" s="621"/>
      <c r="N135" s="622">
        <v>3</v>
      </c>
      <c r="O135" s="623">
        <v>4311.7297297297309</v>
      </c>
      <c r="P135" s="624">
        <v>4329.801801801802</v>
      </c>
      <c r="Q135" s="623">
        <v>4311.7297297297309</v>
      </c>
      <c r="R135" s="624">
        <v>4329.801801801802</v>
      </c>
    </row>
    <row r="136" spans="1:18" ht="13" hidden="1">
      <c r="A136" s="483">
        <f t="shared" si="25"/>
        <v>4</v>
      </c>
      <c r="B136" s="484" t="str">
        <f>+CONCATENATE(A136,$H$36)</f>
        <v>4A</v>
      </c>
      <c r="C136" s="521">
        <f t="shared" si="21"/>
        <v>17575.078300059202</v>
      </c>
      <c r="D136" s="521">
        <f t="shared" si="22"/>
        <v>17648.74202705975</v>
      </c>
      <c r="E136" s="521">
        <f t="shared" si="23"/>
        <v>17575.078300059202</v>
      </c>
      <c r="F136" s="523">
        <f t="shared" si="24"/>
        <v>17648.74202705975</v>
      </c>
      <c r="G136" s="528"/>
      <c r="H136" s="426"/>
      <c r="I136" s="620"/>
      <c r="J136" s="620"/>
      <c r="K136" s="426"/>
      <c r="L136" s="426"/>
      <c r="M136" s="621"/>
      <c r="N136" s="622">
        <v>4</v>
      </c>
      <c r="O136" s="623">
        <v>4311.7297297297309</v>
      </c>
      <c r="P136" s="624">
        <v>4329.801801801802</v>
      </c>
      <c r="Q136" s="623">
        <v>4311.7297297297309</v>
      </c>
      <c r="R136" s="624">
        <v>4329.801801801802</v>
      </c>
    </row>
    <row r="137" spans="1:18" ht="13" hidden="1">
      <c r="A137" s="483">
        <f t="shared" si="25"/>
        <v>5</v>
      </c>
      <c r="B137" s="484" t="str">
        <f t="shared" ref="B137:B196" si="26">+CONCATENATE(A137,$H$36)</f>
        <v>5A</v>
      </c>
      <c r="C137" s="521">
        <f t="shared" si="21"/>
        <v>17575.078300059202</v>
      </c>
      <c r="D137" s="521">
        <f t="shared" si="22"/>
        <v>17648.74202705975</v>
      </c>
      <c r="E137" s="521">
        <f t="shared" si="23"/>
        <v>17575.078300059202</v>
      </c>
      <c r="F137" s="523">
        <f t="shared" si="24"/>
        <v>17648.74202705975</v>
      </c>
      <c r="G137" s="528"/>
      <c r="H137" s="426"/>
      <c r="I137" s="620"/>
      <c r="J137" s="620"/>
      <c r="K137" s="426"/>
      <c r="L137" s="426"/>
      <c r="M137" s="621"/>
      <c r="N137" s="622">
        <v>5</v>
      </c>
      <c r="O137" s="623">
        <v>4311.7297297297309</v>
      </c>
      <c r="P137" s="624">
        <v>4329.801801801802</v>
      </c>
      <c r="Q137" s="623">
        <v>4311.7297297297309</v>
      </c>
      <c r="R137" s="624">
        <v>4329.801801801802</v>
      </c>
    </row>
    <row r="138" spans="1:18" ht="13" hidden="1">
      <c r="A138" s="483">
        <f t="shared" si="25"/>
        <v>6</v>
      </c>
      <c r="B138" s="484" t="str">
        <f>+CONCATENATE(A138,$H$36)</f>
        <v>6A</v>
      </c>
      <c r="C138" s="521">
        <f t="shared" si="21"/>
        <v>17575.078300059202</v>
      </c>
      <c r="D138" s="521">
        <f t="shared" si="22"/>
        <v>17648.74202705975</v>
      </c>
      <c r="E138" s="521">
        <f t="shared" si="23"/>
        <v>17575.078300059202</v>
      </c>
      <c r="F138" s="523">
        <f t="shared" si="24"/>
        <v>17648.74202705975</v>
      </c>
      <c r="G138" s="528"/>
      <c r="H138" s="426"/>
      <c r="I138" s="620"/>
      <c r="J138" s="620"/>
      <c r="K138" s="426"/>
      <c r="L138" s="426"/>
      <c r="M138" s="621"/>
      <c r="N138" s="622">
        <v>6</v>
      </c>
      <c r="O138" s="623">
        <v>4311.7297297297309</v>
      </c>
      <c r="P138" s="624">
        <v>4329.801801801802</v>
      </c>
      <c r="Q138" s="623">
        <v>4311.7297297297309</v>
      </c>
      <c r="R138" s="624">
        <v>4329.801801801802</v>
      </c>
    </row>
    <row r="139" spans="1:18" ht="13" hidden="1">
      <c r="A139" s="483">
        <f t="shared" si="25"/>
        <v>7</v>
      </c>
      <c r="B139" s="484" t="str">
        <f>+CONCATENATE(A139,$H$36)</f>
        <v>7A</v>
      </c>
      <c r="C139" s="521">
        <f t="shared" si="21"/>
        <v>17575.078300059202</v>
      </c>
      <c r="D139" s="521">
        <f t="shared" si="22"/>
        <v>17648.74202705975</v>
      </c>
      <c r="E139" s="521">
        <f t="shared" si="23"/>
        <v>17575.078300059202</v>
      </c>
      <c r="F139" s="523">
        <f t="shared" si="24"/>
        <v>17648.74202705975</v>
      </c>
      <c r="G139" s="528"/>
      <c r="H139" s="426"/>
      <c r="I139" s="620"/>
      <c r="J139" s="620"/>
      <c r="K139" s="426"/>
      <c r="L139" s="426"/>
      <c r="M139" s="621"/>
      <c r="N139" s="622">
        <v>7</v>
      </c>
      <c r="O139" s="623">
        <v>4311.7297297297309</v>
      </c>
      <c r="P139" s="624">
        <v>4329.801801801802</v>
      </c>
      <c r="Q139" s="623">
        <v>4311.7297297297309</v>
      </c>
      <c r="R139" s="624">
        <v>4329.801801801802</v>
      </c>
    </row>
    <row r="140" spans="1:18" ht="13" hidden="1">
      <c r="A140" s="483">
        <f t="shared" si="25"/>
        <v>8</v>
      </c>
      <c r="B140" s="484" t="str">
        <f>+CONCATENATE(A140,$H$36)</f>
        <v>8A</v>
      </c>
      <c r="C140" s="521">
        <f t="shared" si="21"/>
        <v>17575.078300059202</v>
      </c>
      <c r="D140" s="521">
        <f t="shared" si="22"/>
        <v>17648.74202705975</v>
      </c>
      <c r="E140" s="521">
        <f t="shared" si="23"/>
        <v>17575.078300059202</v>
      </c>
      <c r="F140" s="523">
        <f t="shared" si="24"/>
        <v>17648.74202705975</v>
      </c>
      <c r="G140" s="528"/>
      <c r="H140" s="426"/>
      <c r="I140" s="620"/>
      <c r="J140" s="620"/>
      <c r="K140" s="426"/>
      <c r="L140" s="426"/>
      <c r="M140" s="621"/>
      <c r="N140" s="622">
        <v>8</v>
      </c>
      <c r="O140" s="623">
        <v>4311.7297297297309</v>
      </c>
      <c r="P140" s="624">
        <v>4329.801801801802</v>
      </c>
      <c r="Q140" s="623">
        <v>4311.7297297297309</v>
      </c>
      <c r="R140" s="624">
        <v>4329.801801801802</v>
      </c>
    </row>
    <row r="141" spans="1:18" ht="13" hidden="1">
      <c r="A141" s="483">
        <f t="shared" si="25"/>
        <v>9</v>
      </c>
      <c r="B141" s="484" t="str">
        <f>+CONCATENATE(A141,$H$36)</f>
        <v>9A</v>
      </c>
      <c r="C141" s="521">
        <f t="shared" si="21"/>
        <v>17575.078300059202</v>
      </c>
      <c r="D141" s="521">
        <f t="shared" si="22"/>
        <v>17648.74202705975</v>
      </c>
      <c r="E141" s="521">
        <f t="shared" si="23"/>
        <v>17575.078300059202</v>
      </c>
      <c r="F141" s="523">
        <f t="shared" si="24"/>
        <v>17648.74202705975</v>
      </c>
      <c r="G141" s="528"/>
      <c r="H141" s="426"/>
      <c r="I141" s="620"/>
      <c r="J141" s="620"/>
      <c r="K141" s="426"/>
      <c r="L141" s="426"/>
      <c r="M141" s="621"/>
      <c r="N141" s="622">
        <v>9</v>
      </c>
      <c r="O141" s="623">
        <v>4311.7297297297309</v>
      </c>
      <c r="P141" s="624">
        <v>4329.801801801802</v>
      </c>
      <c r="Q141" s="623">
        <v>4311.7297297297309</v>
      </c>
      <c r="R141" s="624">
        <v>4329.801801801802</v>
      </c>
    </row>
    <row r="142" spans="1:18" ht="13" hidden="1">
      <c r="A142" s="483">
        <f t="shared" si="25"/>
        <v>10</v>
      </c>
      <c r="B142" s="484" t="str">
        <f t="shared" si="26"/>
        <v>10A</v>
      </c>
      <c r="C142" s="521">
        <f t="shared" si="21"/>
        <v>17575.078300059202</v>
      </c>
      <c r="D142" s="521">
        <f t="shared" si="22"/>
        <v>17648.74202705975</v>
      </c>
      <c r="E142" s="521">
        <f t="shared" si="23"/>
        <v>17575.078300059202</v>
      </c>
      <c r="F142" s="523">
        <f t="shared" si="24"/>
        <v>17648.74202705975</v>
      </c>
      <c r="G142" s="528"/>
      <c r="H142" s="426"/>
      <c r="I142" s="620"/>
      <c r="J142" s="620"/>
      <c r="K142" s="426"/>
      <c r="L142" s="426"/>
      <c r="M142" s="621"/>
      <c r="N142" s="622">
        <v>10</v>
      </c>
      <c r="O142" s="623">
        <v>4311.7297297297309</v>
      </c>
      <c r="P142" s="624">
        <v>4329.801801801802</v>
      </c>
      <c r="Q142" s="623">
        <v>4311.7297297297309</v>
      </c>
      <c r="R142" s="624">
        <v>4329.801801801802</v>
      </c>
    </row>
    <row r="143" spans="1:18" ht="13" hidden="1">
      <c r="A143" s="483">
        <f t="shared" si="25"/>
        <v>11</v>
      </c>
      <c r="B143" s="484" t="str">
        <f t="shared" si="26"/>
        <v>11A</v>
      </c>
      <c r="C143" s="521">
        <f t="shared" si="21"/>
        <v>17774.036462017822</v>
      </c>
      <c r="D143" s="521">
        <f t="shared" si="22"/>
        <v>17639.928819442546</v>
      </c>
      <c r="E143" s="521">
        <f t="shared" si="23"/>
        <v>17774.036462017822</v>
      </c>
      <c r="F143" s="523">
        <f t="shared" si="24"/>
        <v>17639.928819442546</v>
      </c>
      <c r="G143" s="528"/>
      <c r="H143" s="426"/>
      <c r="I143" s="620"/>
      <c r="J143" s="620"/>
      <c r="K143" s="426"/>
      <c r="L143" s="426"/>
      <c r="M143" s="621"/>
      <c r="N143" s="622">
        <v>11</v>
      </c>
      <c r="O143" s="623">
        <v>4360.5405405405409</v>
      </c>
      <c r="P143" s="624">
        <v>4327.6396396396403</v>
      </c>
      <c r="Q143" s="623">
        <v>4360.5405405405409</v>
      </c>
      <c r="R143" s="624">
        <v>4327.6396396396403</v>
      </c>
    </row>
    <row r="144" spans="1:18" ht="13" hidden="1">
      <c r="A144" s="483">
        <f t="shared" si="25"/>
        <v>12</v>
      </c>
      <c r="B144" s="484" t="str">
        <f t="shared" si="26"/>
        <v>12A</v>
      </c>
      <c r="C144" s="521">
        <f t="shared" si="21"/>
        <v>17707.937404888715</v>
      </c>
      <c r="D144" s="521">
        <f t="shared" si="22"/>
        <v>17809.215849089869</v>
      </c>
      <c r="E144" s="521">
        <f t="shared" si="23"/>
        <v>17707.937404888715</v>
      </c>
      <c r="F144" s="523">
        <f t="shared" si="24"/>
        <v>17809.215849089869</v>
      </c>
      <c r="G144" s="528"/>
      <c r="H144" s="426"/>
      <c r="I144" s="620"/>
      <c r="J144" s="620"/>
      <c r="K144" s="426"/>
      <c r="L144" s="426"/>
      <c r="M144" s="621"/>
      <c r="N144" s="622">
        <v>12</v>
      </c>
      <c r="O144" s="623">
        <v>4344.3243243243251</v>
      </c>
      <c r="P144" s="624">
        <v>4369.1711711711714</v>
      </c>
      <c r="Q144" s="623">
        <v>4344.3243243243251</v>
      </c>
      <c r="R144" s="624">
        <v>4369.1711711711714</v>
      </c>
    </row>
    <row r="145" spans="1:18" ht="13" hidden="1">
      <c r="A145" s="483">
        <f t="shared" si="25"/>
        <v>13</v>
      </c>
      <c r="B145" s="484" t="str">
        <f t="shared" si="26"/>
        <v>13A</v>
      </c>
      <c r="C145" s="521">
        <f t="shared" si="21"/>
        <v>17576.694054789026</v>
      </c>
      <c r="D145" s="521">
        <f t="shared" si="22"/>
        <v>17698.389763303399</v>
      </c>
      <c r="E145" s="521">
        <f t="shared" si="23"/>
        <v>17576.694054789026</v>
      </c>
      <c r="F145" s="523">
        <f t="shared" si="24"/>
        <v>17698.389763303399</v>
      </c>
      <c r="G145" s="528"/>
      <c r="H145" s="426"/>
      <c r="I145" s="620"/>
      <c r="J145" s="620"/>
      <c r="K145" s="426"/>
      <c r="L145" s="426"/>
      <c r="M145" s="621"/>
      <c r="N145" s="622">
        <v>13</v>
      </c>
      <c r="O145" s="623">
        <v>4312.126126126127</v>
      </c>
      <c r="P145" s="624">
        <v>4341.9819819819832</v>
      </c>
      <c r="Q145" s="623">
        <v>4312.126126126127</v>
      </c>
      <c r="R145" s="624">
        <v>4341.9819819819832</v>
      </c>
    </row>
    <row r="146" spans="1:18" ht="13" hidden="1">
      <c r="A146" s="483">
        <f t="shared" si="25"/>
        <v>14</v>
      </c>
      <c r="B146" s="484" t="str">
        <f t="shared" si="26"/>
        <v>14A</v>
      </c>
      <c r="C146" s="521">
        <f t="shared" si="21"/>
        <v>17101.36839063391</v>
      </c>
      <c r="D146" s="521">
        <f t="shared" si="22"/>
        <v>17353.793345470302</v>
      </c>
      <c r="E146" s="521">
        <f t="shared" si="23"/>
        <v>17101.36839063391</v>
      </c>
      <c r="F146" s="523">
        <f t="shared" si="24"/>
        <v>17353.793345470302</v>
      </c>
      <c r="G146" s="528"/>
      <c r="H146" s="426"/>
      <c r="I146" s="620"/>
      <c r="J146" s="620"/>
      <c r="K146" s="426"/>
      <c r="L146" s="426"/>
      <c r="M146" s="621"/>
      <c r="N146" s="622">
        <v>14</v>
      </c>
      <c r="O146" s="623">
        <v>4195.5135135135142</v>
      </c>
      <c r="P146" s="624">
        <v>4257.4414414414423</v>
      </c>
      <c r="Q146" s="623">
        <v>4195.5135135135142</v>
      </c>
      <c r="R146" s="624">
        <v>4257.4414414414423</v>
      </c>
    </row>
    <row r="147" spans="1:18" ht="13" hidden="1">
      <c r="A147" s="483">
        <f t="shared" si="25"/>
        <v>15</v>
      </c>
      <c r="B147" s="484" t="str">
        <f t="shared" si="26"/>
        <v>15A</v>
      </c>
      <c r="C147" s="521">
        <f t="shared" si="21"/>
        <v>17164.676598684229</v>
      </c>
      <c r="D147" s="521">
        <f t="shared" si="22"/>
        <v>17069.787730005559</v>
      </c>
      <c r="E147" s="521">
        <f t="shared" si="23"/>
        <v>17164.676598684229</v>
      </c>
      <c r="F147" s="523">
        <f t="shared" si="24"/>
        <v>17069.787730005559</v>
      </c>
      <c r="G147" s="528"/>
      <c r="H147" s="426"/>
      <c r="I147" s="620"/>
      <c r="J147" s="620"/>
      <c r="K147" s="426"/>
      <c r="L147" s="426"/>
      <c r="M147" s="621"/>
      <c r="N147" s="622">
        <v>15</v>
      </c>
      <c r="O147" s="623">
        <v>4211.0450450450453</v>
      </c>
      <c r="P147" s="624">
        <v>4187.7657657657664</v>
      </c>
      <c r="Q147" s="623">
        <v>4211.0450450450453</v>
      </c>
      <c r="R147" s="624">
        <v>4187.7657657657664</v>
      </c>
    </row>
    <row r="148" spans="1:18" ht="13" hidden="1">
      <c r="A148" s="483">
        <f t="shared" si="25"/>
        <v>16</v>
      </c>
      <c r="B148" s="484" t="str">
        <f t="shared" si="26"/>
        <v>16A</v>
      </c>
      <c r="C148" s="521">
        <f t="shared" si="21"/>
        <v>16873.767303919336</v>
      </c>
      <c r="D148" s="521">
        <f t="shared" si="22"/>
        <v>15781.149889575143</v>
      </c>
      <c r="E148" s="521">
        <f t="shared" si="23"/>
        <v>16873.767303919336</v>
      </c>
      <c r="F148" s="523">
        <f t="shared" si="24"/>
        <v>15781.149889575143</v>
      </c>
      <c r="G148" s="528"/>
      <c r="H148" s="426"/>
      <c r="I148" s="620"/>
      <c r="J148" s="620"/>
      <c r="K148" s="426"/>
      <c r="L148" s="426"/>
      <c r="M148" s="621"/>
      <c r="N148" s="622">
        <v>16</v>
      </c>
      <c r="O148" s="623">
        <v>4139.6756756756758</v>
      </c>
      <c r="P148" s="624">
        <v>3871.6216216216221</v>
      </c>
      <c r="Q148" s="623">
        <v>4139.6756756756758</v>
      </c>
      <c r="R148" s="624">
        <v>3871.6216216216221</v>
      </c>
    </row>
    <row r="149" spans="1:18" ht="13" hidden="1">
      <c r="A149" s="483">
        <f t="shared" si="25"/>
        <v>17</v>
      </c>
      <c r="B149" s="484" t="str">
        <f t="shared" si="26"/>
        <v>17A</v>
      </c>
      <c r="C149" s="521">
        <f t="shared" si="21"/>
        <v>16981.949427420648</v>
      </c>
      <c r="D149" s="521">
        <f t="shared" si="22"/>
        <v>16040.331636918063</v>
      </c>
      <c r="E149" s="521">
        <f t="shared" si="23"/>
        <v>16981.949427420648</v>
      </c>
      <c r="F149" s="523">
        <f t="shared" si="24"/>
        <v>16040.331636918063</v>
      </c>
      <c r="G149" s="528"/>
      <c r="H149" s="426"/>
      <c r="I149" s="620"/>
      <c r="J149" s="620"/>
      <c r="K149" s="426"/>
      <c r="L149" s="426"/>
      <c r="M149" s="621"/>
      <c r="N149" s="622">
        <v>17</v>
      </c>
      <c r="O149" s="623">
        <v>4166.2162162162167</v>
      </c>
      <c r="P149" s="624">
        <v>3935.2072072072074</v>
      </c>
      <c r="Q149" s="623">
        <v>4166.2162162162167</v>
      </c>
      <c r="R149" s="624">
        <v>3935.2072072072074</v>
      </c>
    </row>
    <row r="150" spans="1:18" ht="13" hidden="1">
      <c r="A150" s="483">
        <f t="shared" si="25"/>
        <v>18</v>
      </c>
      <c r="B150" s="484" t="str">
        <f t="shared" si="26"/>
        <v>18A</v>
      </c>
      <c r="C150" s="521">
        <f t="shared" si="21"/>
        <v>17458.229855734291</v>
      </c>
      <c r="D150" s="521">
        <f t="shared" si="22"/>
        <v>15545.690359401886</v>
      </c>
      <c r="E150" s="521">
        <f t="shared" si="23"/>
        <v>17458.229855734291</v>
      </c>
      <c r="F150" s="523">
        <f t="shared" si="24"/>
        <v>15545.690359401886</v>
      </c>
      <c r="G150" s="528"/>
      <c r="H150" s="426"/>
      <c r="I150" s="620"/>
      <c r="J150" s="620"/>
      <c r="K150" s="426"/>
      <c r="L150" s="426"/>
      <c r="M150" s="621"/>
      <c r="N150" s="622">
        <v>18</v>
      </c>
      <c r="O150" s="623">
        <v>4283.0630630630631</v>
      </c>
      <c r="P150" s="624">
        <v>3813.8558558558566</v>
      </c>
      <c r="Q150" s="623">
        <v>4283.0630630630631</v>
      </c>
      <c r="R150" s="624">
        <v>3813.8558558558566</v>
      </c>
    </row>
    <row r="151" spans="1:18" ht="13" hidden="1">
      <c r="A151" s="483">
        <f t="shared" si="25"/>
        <v>19</v>
      </c>
      <c r="B151" s="484" t="str">
        <f t="shared" si="26"/>
        <v>19A</v>
      </c>
      <c r="C151" s="521">
        <f t="shared" si="21"/>
        <v>18039.167124502364</v>
      </c>
      <c r="D151" s="521">
        <f t="shared" si="22"/>
        <v>15773.805549894125</v>
      </c>
      <c r="E151" s="521">
        <f t="shared" si="23"/>
        <v>18039.167124502364</v>
      </c>
      <c r="F151" s="523">
        <f t="shared" si="24"/>
        <v>15773.805549894125</v>
      </c>
      <c r="G151" s="528"/>
      <c r="H151" s="426"/>
      <c r="I151" s="620"/>
      <c r="J151" s="620"/>
      <c r="K151" s="426"/>
      <c r="L151" s="426"/>
      <c r="M151" s="621"/>
      <c r="N151" s="622">
        <v>19</v>
      </c>
      <c r="O151" s="623">
        <v>4425.5855855855862</v>
      </c>
      <c r="P151" s="624">
        <v>3869.8198198198202</v>
      </c>
      <c r="Q151" s="623">
        <v>4425.5855855855862</v>
      </c>
      <c r="R151" s="624">
        <v>3869.8198198198202</v>
      </c>
    </row>
    <row r="152" spans="1:18" ht="13" hidden="1">
      <c r="A152" s="483">
        <f t="shared" si="25"/>
        <v>20</v>
      </c>
      <c r="B152" s="484" t="str">
        <f t="shared" si="26"/>
        <v>20A</v>
      </c>
      <c r="C152" s="521">
        <f t="shared" si="21"/>
        <v>18695.604205191248</v>
      </c>
      <c r="D152" s="521">
        <f t="shared" si="22"/>
        <v>18678.932554115348</v>
      </c>
      <c r="E152" s="521">
        <f t="shared" si="23"/>
        <v>18695.604205191248</v>
      </c>
      <c r="F152" s="523">
        <f t="shared" si="24"/>
        <v>18678.932554115348</v>
      </c>
      <c r="G152" s="528"/>
      <c r="H152" s="426"/>
      <c r="I152" s="620"/>
      <c r="J152" s="620"/>
      <c r="K152" s="426"/>
      <c r="L152" s="426"/>
      <c r="M152" s="621"/>
      <c r="N152" s="622">
        <v>20</v>
      </c>
      <c r="O152" s="623">
        <v>4586.6306306306315</v>
      </c>
      <c r="P152" s="624">
        <v>4582.5405405405409</v>
      </c>
      <c r="Q152" s="623">
        <v>4586.6306306306315</v>
      </c>
      <c r="R152" s="624">
        <v>4582.5405405405409</v>
      </c>
    </row>
    <row r="153" spans="1:18" ht="13" hidden="1">
      <c r="A153" s="483">
        <f t="shared" si="25"/>
        <v>21</v>
      </c>
      <c r="B153" s="484" t="str">
        <f t="shared" si="26"/>
        <v>21A</v>
      </c>
      <c r="C153" s="521">
        <f t="shared" si="21"/>
        <v>20020.945239991535</v>
      </c>
      <c r="D153" s="521">
        <f t="shared" si="22"/>
        <v>23916.892102740025</v>
      </c>
      <c r="E153" s="521">
        <f t="shared" si="23"/>
        <v>20020.945239991535</v>
      </c>
      <c r="F153" s="523">
        <f t="shared" si="24"/>
        <v>23916.892102740025</v>
      </c>
      <c r="G153" s="528"/>
      <c r="H153" s="426"/>
      <c r="I153" s="620"/>
      <c r="J153" s="620"/>
      <c r="K153" s="426"/>
      <c r="L153" s="426"/>
      <c r="M153" s="621"/>
      <c r="N153" s="622">
        <v>21</v>
      </c>
      <c r="O153" s="623">
        <v>4954.3783783783783</v>
      </c>
      <c r="P153" s="624">
        <v>5918.4684684684689</v>
      </c>
      <c r="Q153" s="623">
        <v>4954.3783783783783</v>
      </c>
      <c r="R153" s="624">
        <v>5918.4684684684689</v>
      </c>
    </row>
    <row r="154" spans="1:18" ht="13" hidden="1">
      <c r="A154" s="483">
        <f t="shared" si="25"/>
        <v>22</v>
      </c>
      <c r="B154" s="484" t="str">
        <f t="shared" si="26"/>
        <v>22A</v>
      </c>
      <c r="C154" s="521">
        <f t="shared" si="21"/>
        <v>20895.197842100071</v>
      </c>
      <c r="D154" s="521">
        <f t="shared" si="22"/>
        <v>25057.053799784873</v>
      </c>
      <c r="E154" s="521">
        <f t="shared" si="23"/>
        <v>20895.197842100071</v>
      </c>
      <c r="F154" s="523">
        <f t="shared" si="24"/>
        <v>25057.053799784873</v>
      </c>
      <c r="G154" s="528"/>
      <c r="H154" s="426"/>
      <c r="I154" s="620"/>
      <c r="J154" s="620"/>
      <c r="K154" s="426"/>
      <c r="L154" s="426"/>
      <c r="M154" s="621"/>
      <c r="N154" s="622">
        <v>22</v>
      </c>
      <c r="O154" s="623">
        <v>5170.7207207207211</v>
      </c>
      <c r="P154" s="624">
        <v>6200.6126126126137</v>
      </c>
      <c r="Q154" s="623">
        <v>5170.7207207207211</v>
      </c>
      <c r="R154" s="624">
        <v>6200.6126126126137</v>
      </c>
    </row>
    <row r="155" spans="1:18" ht="13" hidden="1">
      <c r="A155" s="483">
        <f t="shared" si="25"/>
        <v>23</v>
      </c>
      <c r="B155" s="484" t="str">
        <f t="shared" si="26"/>
        <v>23A</v>
      </c>
      <c r="C155" s="521">
        <f t="shared" si="21"/>
        <v>22281.900666049176</v>
      </c>
      <c r="D155" s="521">
        <f t="shared" si="22"/>
        <v>26226.922756066851</v>
      </c>
      <c r="E155" s="521">
        <f t="shared" si="23"/>
        <v>22281.900666049176</v>
      </c>
      <c r="F155" s="523">
        <f t="shared" si="24"/>
        <v>26226.922756066851</v>
      </c>
      <c r="G155" s="528"/>
      <c r="H155" s="426"/>
      <c r="I155" s="620"/>
      <c r="J155" s="620"/>
      <c r="K155" s="426"/>
      <c r="L155" s="426"/>
      <c r="M155" s="621"/>
      <c r="N155" s="622">
        <v>23</v>
      </c>
      <c r="O155" s="623">
        <v>5513.8738738738739</v>
      </c>
      <c r="P155" s="624">
        <v>6490.1081081081093</v>
      </c>
      <c r="Q155" s="623">
        <v>5513.8738738738739</v>
      </c>
      <c r="R155" s="624">
        <v>6490.1081081081093</v>
      </c>
    </row>
    <row r="156" spans="1:18" ht="13" hidden="1">
      <c r="A156" s="483">
        <f t="shared" si="25"/>
        <v>24</v>
      </c>
      <c r="B156" s="484" t="str">
        <f t="shared" si="26"/>
        <v>24A</v>
      </c>
      <c r="C156" s="521">
        <f t="shared" si="21"/>
        <v>23186.297398854203</v>
      </c>
      <c r="D156" s="521">
        <f t="shared" si="22"/>
        <v>27453.220942517408</v>
      </c>
      <c r="E156" s="521">
        <f t="shared" si="23"/>
        <v>23186.297398854203</v>
      </c>
      <c r="F156" s="523">
        <f t="shared" si="24"/>
        <v>27453.220942517408</v>
      </c>
      <c r="G156" s="528"/>
      <c r="H156" s="426"/>
      <c r="I156" s="620"/>
      <c r="J156" s="620"/>
      <c r="K156" s="426"/>
      <c r="L156" s="426"/>
      <c r="M156" s="621"/>
      <c r="N156" s="622">
        <v>24</v>
      </c>
      <c r="O156" s="623">
        <v>5737.6756756756758</v>
      </c>
      <c r="P156" s="624">
        <v>6793.5675675675684</v>
      </c>
      <c r="Q156" s="623">
        <v>5737.6756756756758</v>
      </c>
      <c r="R156" s="624">
        <v>6793.5675675675684</v>
      </c>
    </row>
    <row r="157" spans="1:18" ht="13" hidden="1">
      <c r="A157" s="483">
        <f t="shared" si="25"/>
        <v>25</v>
      </c>
      <c r="B157" s="484" t="str">
        <f t="shared" si="26"/>
        <v>25A</v>
      </c>
      <c r="C157" s="521">
        <f t="shared" si="21"/>
        <v>24093.315360415465</v>
      </c>
      <c r="D157" s="521">
        <f t="shared" si="22"/>
        <v>28724.225641643457</v>
      </c>
      <c r="E157" s="521">
        <f t="shared" si="23"/>
        <v>24093.315360415465</v>
      </c>
      <c r="F157" s="523">
        <f t="shared" si="24"/>
        <v>28724.225641643457</v>
      </c>
      <c r="G157" s="528"/>
      <c r="H157" s="426"/>
      <c r="I157" s="620"/>
      <c r="J157" s="620"/>
      <c r="K157" s="426"/>
      <c r="L157" s="426"/>
      <c r="M157" s="621"/>
      <c r="N157" s="622">
        <v>25</v>
      </c>
      <c r="O157" s="623">
        <v>5962.126126126127</v>
      </c>
      <c r="P157" s="624">
        <v>7108.0900900900906</v>
      </c>
      <c r="Q157" s="623">
        <v>5962.126126126127</v>
      </c>
      <c r="R157" s="624">
        <v>7108.0900900900906</v>
      </c>
    </row>
    <row r="158" spans="1:18" ht="13" hidden="1">
      <c r="A158" s="483">
        <f t="shared" si="25"/>
        <v>26</v>
      </c>
      <c r="B158" s="484" t="str">
        <f t="shared" si="26"/>
        <v>26A</v>
      </c>
      <c r="C158" s="521">
        <f t="shared" si="21"/>
        <v>25689.716484861987</v>
      </c>
      <c r="D158" s="521">
        <f t="shared" si="22"/>
        <v>29838.830358315176</v>
      </c>
      <c r="E158" s="521">
        <f t="shared" si="23"/>
        <v>25689.716484861987</v>
      </c>
      <c r="F158" s="523">
        <f t="shared" si="24"/>
        <v>29838.830358315176</v>
      </c>
      <c r="G158" s="528"/>
      <c r="H158" s="426"/>
      <c r="I158" s="620"/>
      <c r="J158" s="620"/>
      <c r="K158" s="426"/>
      <c r="L158" s="426"/>
      <c r="M158" s="621"/>
      <c r="N158" s="622">
        <v>26</v>
      </c>
      <c r="O158" s="623">
        <v>6357.1711711711723</v>
      </c>
      <c r="P158" s="624">
        <v>7383.9099099099103</v>
      </c>
      <c r="Q158" s="623">
        <v>6357.1711711711723</v>
      </c>
      <c r="R158" s="624">
        <v>7383.9099099099103</v>
      </c>
    </row>
    <row r="159" spans="1:18" ht="13" hidden="1">
      <c r="A159" s="483">
        <f t="shared" si="25"/>
        <v>27</v>
      </c>
      <c r="B159" s="484" t="str">
        <f t="shared" si="26"/>
        <v>27A</v>
      </c>
      <c r="C159" s="521">
        <f t="shared" si="21"/>
        <v>26826.383210231881</v>
      </c>
      <c r="D159" s="521">
        <f t="shared" si="22"/>
        <v>31202.014935368232</v>
      </c>
      <c r="E159" s="521">
        <f t="shared" si="23"/>
        <v>26826.383210231881</v>
      </c>
      <c r="F159" s="523">
        <f t="shared" si="24"/>
        <v>31202.014935368232</v>
      </c>
      <c r="G159" s="528"/>
      <c r="H159" s="426"/>
      <c r="I159" s="620"/>
      <c r="J159" s="620"/>
      <c r="K159" s="426"/>
      <c r="L159" s="426"/>
      <c r="M159" s="621"/>
      <c r="N159" s="622">
        <v>27</v>
      </c>
      <c r="O159" s="623">
        <v>6638.4504504504512</v>
      </c>
      <c r="P159" s="624">
        <v>7721.2432432432443</v>
      </c>
      <c r="Q159" s="623">
        <v>6638.4504504504512</v>
      </c>
      <c r="R159" s="624">
        <v>7721.2432432432443</v>
      </c>
    </row>
    <row r="160" spans="1:18" ht="13" hidden="1">
      <c r="A160" s="483">
        <f t="shared" si="25"/>
        <v>28</v>
      </c>
      <c r="B160" s="484" t="str">
        <f t="shared" si="26"/>
        <v>28A</v>
      </c>
      <c r="C160" s="521">
        <f t="shared" si="21"/>
        <v>28372.39849303112</v>
      </c>
      <c r="D160" s="521">
        <f t="shared" si="22"/>
        <v>32656.79689506911</v>
      </c>
      <c r="E160" s="521">
        <f t="shared" si="23"/>
        <v>28372.39849303112</v>
      </c>
      <c r="F160" s="523">
        <f t="shared" si="24"/>
        <v>32656.79689506911</v>
      </c>
      <c r="G160" s="528"/>
      <c r="H160" s="426"/>
      <c r="I160" s="620"/>
      <c r="J160" s="620"/>
      <c r="K160" s="426"/>
      <c r="L160" s="426"/>
      <c r="M160" s="621"/>
      <c r="N160" s="622">
        <v>28</v>
      </c>
      <c r="O160" s="623">
        <v>7021.0270270270275</v>
      </c>
      <c r="P160" s="624">
        <v>8081.2432432432443</v>
      </c>
      <c r="Q160" s="623">
        <v>7021.0270270270275</v>
      </c>
      <c r="R160" s="624">
        <v>8081.2432432432443</v>
      </c>
    </row>
    <row r="161" spans="1:18" ht="13" hidden="1">
      <c r="A161" s="483">
        <f t="shared" si="25"/>
        <v>29</v>
      </c>
      <c r="B161" s="484" t="str">
        <f t="shared" si="26"/>
        <v>29A</v>
      </c>
      <c r="C161" s="521">
        <f t="shared" si="21"/>
        <v>29806.938741781203</v>
      </c>
      <c r="D161" s="521">
        <f t="shared" si="22"/>
        <v>34124.903434280764</v>
      </c>
      <c r="E161" s="521">
        <f t="shared" si="23"/>
        <v>29806.938741781203</v>
      </c>
      <c r="F161" s="523">
        <f t="shared" si="24"/>
        <v>34124.903434280764</v>
      </c>
      <c r="G161" s="528"/>
      <c r="H161" s="426"/>
      <c r="I161" s="620"/>
      <c r="J161" s="620"/>
      <c r="K161" s="426"/>
      <c r="L161" s="426"/>
      <c r="M161" s="621"/>
      <c r="N161" s="622">
        <v>29</v>
      </c>
      <c r="O161" s="623">
        <v>7376.0180180180187</v>
      </c>
      <c r="P161" s="624">
        <v>8444.5405405405418</v>
      </c>
      <c r="Q161" s="623">
        <v>7376.0180180180187</v>
      </c>
      <c r="R161" s="624">
        <v>8444.5405405405418</v>
      </c>
    </row>
    <row r="162" spans="1:18" ht="13" hidden="1">
      <c r="A162" s="483">
        <f t="shared" si="25"/>
        <v>30</v>
      </c>
      <c r="B162" s="484" t="str">
        <f t="shared" si="26"/>
        <v>30A</v>
      </c>
      <c r="C162" s="521">
        <f t="shared" si="21"/>
        <v>31141.43542633564</v>
      </c>
      <c r="D162" s="521">
        <f t="shared" si="22"/>
        <v>35739.216288561445</v>
      </c>
      <c r="E162" s="521">
        <f t="shared" si="23"/>
        <v>31141.43542633564</v>
      </c>
      <c r="F162" s="523">
        <f t="shared" si="24"/>
        <v>35739.216288561445</v>
      </c>
      <c r="G162" s="528"/>
      <c r="H162" s="426"/>
      <c r="I162" s="620"/>
      <c r="J162" s="620"/>
      <c r="K162" s="426"/>
      <c r="L162" s="426"/>
      <c r="M162" s="621"/>
      <c r="N162" s="622">
        <v>30</v>
      </c>
      <c r="O162" s="623">
        <v>7706.2522522522531</v>
      </c>
      <c r="P162" s="624">
        <v>8844.0180180180196</v>
      </c>
      <c r="Q162" s="623">
        <v>7706.2522522522531</v>
      </c>
      <c r="R162" s="624">
        <v>8844.0180180180196</v>
      </c>
    </row>
    <row r="163" spans="1:18" ht="13" hidden="1">
      <c r="A163" s="483">
        <f t="shared" si="25"/>
        <v>31</v>
      </c>
      <c r="B163" s="484" t="str">
        <f t="shared" si="26"/>
        <v>31A</v>
      </c>
      <c r="C163" s="521">
        <f t="shared" si="21"/>
        <v>32423.871595315206</v>
      </c>
      <c r="D163" s="521">
        <f t="shared" si="22"/>
        <v>37396.997853049397</v>
      </c>
      <c r="E163" s="521">
        <f t="shared" si="23"/>
        <v>32423.871595315206</v>
      </c>
      <c r="F163" s="523">
        <f t="shared" si="24"/>
        <v>37396.997853049397</v>
      </c>
      <c r="G163" s="528"/>
      <c r="H163" s="426"/>
      <c r="I163" s="620"/>
      <c r="J163" s="620"/>
      <c r="K163" s="426"/>
      <c r="L163" s="426"/>
      <c r="M163" s="621"/>
      <c r="N163" s="622">
        <v>31</v>
      </c>
      <c r="O163" s="623">
        <v>8023.6036036036048</v>
      </c>
      <c r="P163" s="624">
        <v>9254.2522522522522</v>
      </c>
      <c r="Q163" s="623">
        <v>8023.6036036036048</v>
      </c>
      <c r="R163" s="624">
        <v>9254.2522522522522</v>
      </c>
    </row>
    <row r="164" spans="1:18" ht="13" hidden="1">
      <c r="A164" s="483">
        <f t="shared" si="25"/>
        <v>32</v>
      </c>
      <c r="B164" s="484" t="str">
        <f t="shared" si="26"/>
        <v>32A</v>
      </c>
      <c r="C164" s="521">
        <f t="shared" si="21"/>
        <v>34417.752935878198</v>
      </c>
      <c r="D164" s="521">
        <f t="shared" si="22"/>
        <v>39081.355764649037</v>
      </c>
      <c r="E164" s="521">
        <f t="shared" si="23"/>
        <v>34417.752935878198</v>
      </c>
      <c r="F164" s="523">
        <f t="shared" si="24"/>
        <v>39081.355764649037</v>
      </c>
      <c r="G164" s="528"/>
      <c r="H164" s="426"/>
      <c r="I164" s="620"/>
      <c r="J164" s="620"/>
      <c r="K164" s="426"/>
      <c r="L164" s="426"/>
      <c r="M164" s="621"/>
      <c r="N164" s="622">
        <v>32</v>
      </c>
      <c r="O164" s="623">
        <v>8517.0090090090089</v>
      </c>
      <c r="P164" s="624">
        <v>9671.063063063064</v>
      </c>
      <c r="Q164" s="623">
        <v>8517.0090090090089</v>
      </c>
      <c r="R164" s="624">
        <v>9671.063063063064</v>
      </c>
    </row>
    <row r="165" spans="1:18" ht="13" hidden="1">
      <c r="A165" s="483">
        <f t="shared" si="25"/>
        <v>33</v>
      </c>
      <c r="B165" s="484" t="str">
        <f t="shared" si="26"/>
        <v>33A</v>
      </c>
      <c r="C165" s="521">
        <f t="shared" si="21"/>
        <v>35631.9643452862</v>
      </c>
      <c r="D165" s="521">
        <f t="shared" si="22"/>
        <v>40798.042164242004</v>
      </c>
      <c r="E165" s="521">
        <f t="shared" si="23"/>
        <v>35631.9643452862</v>
      </c>
      <c r="F165" s="523">
        <f t="shared" si="24"/>
        <v>40798.042164242004</v>
      </c>
      <c r="G165" s="528"/>
      <c r="H165" s="426"/>
      <c r="I165" s="620"/>
      <c r="J165" s="620"/>
      <c r="K165" s="426"/>
      <c r="L165" s="426"/>
      <c r="M165" s="621"/>
      <c r="N165" s="622">
        <v>33</v>
      </c>
      <c r="O165" s="623">
        <v>8817.4774774774778</v>
      </c>
      <c r="P165" s="624">
        <v>10095.873873873876</v>
      </c>
      <c r="Q165" s="623">
        <v>8817.4774774774778</v>
      </c>
      <c r="R165" s="624">
        <v>10095.873873873876</v>
      </c>
    </row>
    <row r="166" spans="1:18" ht="13" hidden="1">
      <c r="A166" s="483">
        <f t="shared" si="25"/>
        <v>34</v>
      </c>
      <c r="B166" s="484" t="str">
        <f t="shared" si="26"/>
        <v>34A</v>
      </c>
      <c r="C166" s="521">
        <f t="shared" si="21"/>
        <v>37625.33600247994</v>
      </c>
      <c r="D166" s="521">
        <f t="shared" si="22"/>
        <v>42636.033205719956</v>
      </c>
      <c r="E166" s="521">
        <f t="shared" si="23"/>
        <v>37625.33600247994</v>
      </c>
      <c r="F166" s="523">
        <f t="shared" si="24"/>
        <v>42636.033205719956</v>
      </c>
      <c r="G166" s="528"/>
      <c r="H166" s="426"/>
      <c r="I166" s="620"/>
      <c r="J166" s="620"/>
      <c r="K166" s="426"/>
      <c r="L166" s="426"/>
      <c r="M166" s="621"/>
      <c r="N166" s="622">
        <v>34</v>
      </c>
      <c r="O166" s="623">
        <v>9310.7567567567585</v>
      </c>
      <c r="P166" s="624">
        <v>10550.702702702705</v>
      </c>
      <c r="Q166" s="623">
        <v>9310.7567567567585</v>
      </c>
      <c r="R166" s="624">
        <v>10550.702702702705</v>
      </c>
    </row>
    <row r="167" spans="1:18" ht="13" hidden="1">
      <c r="A167" s="483">
        <f t="shared" si="25"/>
        <v>35</v>
      </c>
      <c r="B167" s="484" t="str">
        <f t="shared" si="26"/>
        <v>35A</v>
      </c>
      <c r="C167" s="521">
        <f t="shared" si="21"/>
        <v>39703.315098971601</v>
      </c>
      <c r="D167" s="521">
        <f t="shared" si="22"/>
        <v>44583.67898349966</v>
      </c>
      <c r="E167" s="521">
        <f t="shared" si="23"/>
        <v>39703.315098971601</v>
      </c>
      <c r="F167" s="523">
        <f t="shared" si="24"/>
        <v>44583.67898349966</v>
      </c>
      <c r="G167" s="528"/>
      <c r="H167" s="426"/>
      <c r="I167" s="620"/>
      <c r="J167" s="620"/>
      <c r="K167" s="426"/>
      <c r="L167" s="426"/>
      <c r="M167" s="621"/>
      <c r="N167" s="622">
        <v>35</v>
      </c>
      <c r="O167" s="623">
        <v>9824.9729729729734</v>
      </c>
      <c r="P167" s="624">
        <v>11032.666666666668</v>
      </c>
      <c r="Q167" s="623">
        <v>9824.9729729729734</v>
      </c>
      <c r="R167" s="624">
        <v>11032.666666666668</v>
      </c>
    </row>
    <row r="168" spans="1:18" ht="13" hidden="1">
      <c r="A168" s="483">
        <f t="shared" si="25"/>
        <v>36</v>
      </c>
      <c r="B168" s="484" t="str">
        <f t="shared" si="26"/>
        <v>36A</v>
      </c>
      <c r="C168" s="521">
        <f t="shared" si="21"/>
        <v>41400.560718622612</v>
      </c>
      <c r="D168" s="521">
        <f t="shared" si="22"/>
        <v>46580.035928999096</v>
      </c>
      <c r="E168" s="521">
        <f t="shared" si="23"/>
        <v>41400.560718622612</v>
      </c>
      <c r="F168" s="523">
        <f t="shared" si="24"/>
        <v>46580.035928999096</v>
      </c>
      <c r="G168" s="528"/>
      <c r="H168" s="426"/>
      <c r="I168" s="620"/>
      <c r="J168" s="620"/>
      <c r="K168" s="426"/>
      <c r="L168" s="426"/>
      <c r="M168" s="621"/>
      <c r="N168" s="622">
        <v>36</v>
      </c>
      <c r="O168" s="623">
        <v>10244.972972972973</v>
      </c>
      <c r="P168" s="624">
        <v>11526.684684684687</v>
      </c>
      <c r="Q168" s="623">
        <v>10244.972972972973</v>
      </c>
      <c r="R168" s="624">
        <v>11526.684684684687</v>
      </c>
    </row>
    <row r="169" spans="1:18" ht="13" hidden="1">
      <c r="A169" s="483">
        <f t="shared" si="25"/>
        <v>37</v>
      </c>
      <c r="B169" s="484" t="str">
        <f t="shared" si="26"/>
        <v>37A</v>
      </c>
      <c r="C169" s="521">
        <f t="shared" si="21"/>
        <v>43657.875549185512</v>
      </c>
      <c r="D169" s="521">
        <f t="shared" si="22"/>
        <v>48807.133816955575</v>
      </c>
      <c r="E169" s="521">
        <f t="shared" si="23"/>
        <v>43657.875549185512</v>
      </c>
      <c r="F169" s="523">
        <f t="shared" si="24"/>
        <v>48807.133816955575</v>
      </c>
      <c r="G169" s="528"/>
      <c r="H169" s="426"/>
      <c r="I169" s="620"/>
      <c r="J169" s="620"/>
      <c r="K169" s="426"/>
      <c r="L169" s="426"/>
      <c r="M169" s="621"/>
      <c r="N169" s="622">
        <v>37</v>
      </c>
      <c r="O169" s="623">
        <v>10803.567567567568</v>
      </c>
      <c r="P169" s="624">
        <v>12077.801801801803</v>
      </c>
      <c r="Q169" s="623">
        <v>10803.567567567568</v>
      </c>
      <c r="R169" s="624">
        <v>12077.801801801803</v>
      </c>
    </row>
    <row r="170" spans="1:18" ht="13" hidden="1">
      <c r="A170" s="483">
        <f t="shared" si="25"/>
        <v>38</v>
      </c>
      <c r="B170" s="484" t="str">
        <f t="shared" si="26"/>
        <v>38A</v>
      </c>
      <c r="C170" s="521">
        <f t="shared" si="21"/>
        <v>45985.817932346501</v>
      </c>
      <c r="D170" s="521">
        <f t="shared" si="22"/>
        <v>50953.847356388054</v>
      </c>
      <c r="E170" s="521">
        <f t="shared" si="23"/>
        <v>45985.817932346501</v>
      </c>
      <c r="F170" s="523">
        <f t="shared" si="24"/>
        <v>50953.847356388054</v>
      </c>
      <c r="G170" s="528"/>
      <c r="H170" s="426"/>
      <c r="I170" s="620"/>
      <c r="J170" s="620"/>
      <c r="K170" s="426"/>
      <c r="L170" s="426"/>
      <c r="M170" s="621"/>
      <c r="N170" s="622">
        <v>38</v>
      </c>
      <c r="O170" s="623">
        <v>11379.639639639641</v>
      </c>
      <c r="P170" s="624">
        <v>12609.027027027028</v>
      </c>
      <c r="Q170" s="623">
        <v>11379.639639639641</v>
      </c>
      <c r="R170" s="624">
        <v>12609.027027027028</v>
      </c>
    </row>
    <row r="171" spans="1:18" ht="13" hidden="1">
      <c r="A171" s="483">
        <f t="shared" si="25"/>
        <v>39</v>
      </c>
      <c r="B171" s="484" t="str">
        <f t="shared" si="26"/>
        <v>39A</v>
      </c>
      <c r="C171" s="521">
        <f t="shared" si="21"/>
        <v>48496.591021253669</v>
      </c>
      <c r="D171" s="521">
        <f t="shared" si="22"/>
        <v>53263.368326345641</v>
      </c>
      <c r="E171" s="521">
        <f t="shared" si="23"/>
        <v>48496.591021253669</v>
      </c>
      <c r="F171" s="523">
        <f t="shared" si="24"/>
        <v>53263.368326345641</v>
      </c>
      <c r="G171" s="528"/>
      <c r="H171" s="426"/>
      <c r="I171" s="620"/>
      <c r="J171" s="620"/>
      <c r="K171" s="426"/>
      <c r="L171" s="426"/>
      <c r="M171" s="621"/>
      <c r="N171" s="622">
        <v>39</v>
      </c>
      <c r="O171" s="623">
        <v>12000.954954954956</v>
      </c>
      <c r="P171" s="624">
        <v>13180.540540540542</v>
      </c>
      <c r="Q171" s="623">
        <v>12000.954954954956</v>
      </c>
      <c r="R171" s="624">
        <v>13180.540540540542</v>
      </c>
    </row>
    <row r="172" spans="1:18" ht="13" hidden="1">
      <c r="A172" s="483">
        <f t="shared" si="25"/>
        <v>40</v>
      </c>
      <c r="B172" s="484" t="str">
        <f t="shared" si="26"/>
        <v>40A</v>
      </c>
      <c r="C172" s="521">
        <f t="shared" si="21"/>
        <v>50202.137198632729</v>
      </c>
      <c r="D172" s="521">
        <f t="shared" si="22"/>
        <v>55656.62299268238</v>
      </c>
      <c r="E172" s="521">
        <f t="shared" si="23"/>
        <v>50202.137198632729</v>
      </c>
      <c r="F172" s="523">
        <f t="shared" si="24"/>
        <v>55656.62299268238</v>
      </c>
      <c r="G172" s="528"/>
      <c r="H172" s="426"/>
      <c r="I172" s="620"/>
      <c r="J172" s="620"/>
      <c r="K172" s="426"/>
      <c r="L172" s="426"/>
      <c r="M172" s="621"/>
      <c r="N172" s="622">
        <v>40</v>
      </c>
      <c r="O172" s="623">
        <v>12423.009009009011</v>
      </c>
      <c r="P172" s="624">
        <v>13772.774774774776</v>
      </c>
      <c r="Q172" s="623">
        <v>12423.009009009011</v>
      </c>
      <c r="R172" s="624">
        <v>13772.774774774776</v>
      </c>
    </row>
    <row r="173" spans="1:18" ht="13" hidden="1">
      <c r="A173" s="483">
        <f t="shared" si="25"/>
        <v>41</v>
      </c>
      <c r="B173" s="484" t="str">
        <f t="shared" si="26"/>
        <v>41A</v>
      </c>
      <c r="C173" s="521">
        <f t="shared" si="21"/>
        <v>52070.0539350775</v>
      </c>
      <c r="D173" s="521">
        <f t="shared" si="22"/>
        <v>58166.813586310396</v>
      </c>
      <c r="E173" s="521">
        <f t="shared" si="23"/>
        <v>52070.0539350775</v>
      </c>
      <c r="F173" s="523">
        <f t="shared" si="24"/>
        <v>58166.813586310396</v>
      </c>
      <c r="G173" s="528"/>
      <c r="H173" s="426"/>
      <c r="I173" s="620"/>
      <c r="J173" s="620"/>
      <c r="K173" s="426"/>
      <c r="L173" s="426"/>
      <c r="M173" s="621"/>
      <c r="N173" s="622">
        <v>41</v>
      </c>
      <c r="O173" s="623">
        <v>12885.243243243245</v>
      </c>
      <c r="P173" s="624">
        <v>14393.945945945949</v>
      </c>
      <c r="Q173" s="623">
        <v>12885.243243243245</v>
      </c>
      <c r="R173" s="624">
        <v>14393.945945945949</v>
      </c>
    </row>
    <row r="174" spans="1:18" ht="13" hidden="1">
      <c r="A174" s="483">
        <f t="shared" si="25"/>
        <v>42</v>
      </c>
      <c r="B174" s="484" t="str">
        <f t="shared" si="26"/>
        <v>42A</v>
      </c>
      <c r="C174" s="521">
        <f t="shared" si="21"/>
        <v>54090.511622752143</v>
      </c>
      <c r="D174" s="521">
        <f t="shared" si="22"/>
        <v>60779.086477611127</v>
      </c>
      <c r="E174" s="521">
        <f t="shared" si="23"/>
        <v>54090.511622752143</v>
      </c>
      <c r="F174" s="523">
        <f t="shared" si="24"/>
        <v>60779.086477611127</v>
      </c>
      <c r="G174" s="528"/>
      <c r="H174" s="426"/>
      <c r="I174" s="620"/>
      <c r="J174" s="620"/>
      <c r="K174" s="426"/>
      <c r="L174" s="426"/>
      <c r="M174" s="621"/>
      <c r="N174" s="622">
        <v>42</v>
      </c>
      <c r="O174" s="623">
        <v>13385.225225225227</v>
      </c>
      <c r="P174" s="624">
        <v>15040.37837837838</v>
      </c>
      <c r="Q174" s="623">
        <v>13385.225225225227</v>
      </c>
      <c r="R174" s="624">
        <v>15040.37837837838</v>
      </c>
    </row>
    <row r="175" spans="1:18" ht="13" hidden="1">
      <c r="A175" s="483">
        <f t="shared" si="25"/>
        <v>43</v>
      </c>
      <c r="B175" s="484" t="str">
        <f t="shared" si="26"/>
        <v>43A</v>
      </c>
      <c r="C175" s="521">
        <f t="shared" si="21"/>
        <v>56250.476929785502</v>
      </c>
      <c r="D175" s="521">
        <f t="shared" si="22"/>
        <v>63496.572578709995</v>
      </c>
      <c r="E175" s="521">
        <f t="shared" si="23"/>
        <v>56250.476929785502</v>
      </c>
      <c r="F175" s="523">
        <f t="shared" si="24"/>
        <v>63496.572578709995</v>
      </c>
      <c r="G175" s="528"/>
      <c r="H175" s="426"/>
      <c r="I175" s="620"/>
      <c r="J175" s="620"/>
      <c r="K175" s="426"/>
      <c r="L175" s="426"/>
      <c r="M175" s="621"/>
      <c r="N175" s="622">
        <v>43</v>
      </c>
      <c r="O175" s="623">
        <v>13919.729729729732</v>
      </c>
      <c r="P175" s="624">
        <v>15712.846846846847</v>
      </c>
      <c r="Q175" s="623">
        <v>13919.729729729732</v>
      </c>
      <c r="R175" s="624">
        <v>15712.846846846847</v>
      </c>
    </row>
    <row r="176" spans="1:18" ht="13" hidden="1">
      <c r="A176" s="483">
        <f t="shared" si="25"/>
        <v>44</v>
      </c>
      <c r="B176" s="484" t="str">
        <f t="shared" si="26"/>
        <v>44A</v>
      </c>
      <c r="C176" s="521">
        <f t="shared" si="21"/>
        <v>58670.963250422952</v>
      </c>
      <c r="D176" s="521">
        <f t="shared" si="22"/>
        <v>66716.169610444413</v>
      </c>
      <c r="E176" s="521">
        <f t="shared" si="23"/>
        <v>58670.963250422952</v>
      </c>
      <c r="F176" s="523">
        <f t="shared" si="24"/>
        <v>66716.169610444413</v>
      </c>
      <c r="G176" s="528"/>
      <c r="H176" s="426"/>
      <c r="I176" s="620"/>
      <c r="J176" s="620"/>
      <c r="K176" s="426"/>
      <c r="L176" s="426"/>
      <c r="M176" s="621"/>
      <c r="N176" s="622">
        <v>44</v>
      </c>
      <c r="O176" s="623">
        <v>14518.702702702705</v>
      </c>
      <c r="P176" s="624">
        <v>16509.56756756757</v>
      </c>
      <c r="Q176" s="623">
        <v>14518.702702702705</v>
      </c>
      <c r="R176" s="624">
        <v>16509.56756756757</v>
      </c>
    </row>
    <row r="177" spans="1:18" ht="13" hidden="1">
      <c r="A177" s="483">
        <f t="shared" si="25"/>
        <v>45</v>
      </c>
      <c r="B177" s="484" t="str">
        <f t="shared" si="26"/>
        <v>45A</v>
      </c>
      <c r="C177" s="521">
        <f t="shared" si="21"/>
        <v>61309.084369736389</v>
      </c>
      <c r="D177" s="521">
        <f t="shared" si="22"/>
        <v>69104.691502638001</v>
      </c>
      <c r="E177" s="521">
        <f t="shared" si="23"/>
        <v>61309.084369736389</v>
      </c>
      <c r="F177" s="523">
        <f t="shared" si="24"/>
        <v>69104.691502638001</v>
      </c>
      <c r="G177" s="528"/>
      <c r="H177" s="426"/>
      <c r="I177" s="620"/>
      <c r="J177" s="620"/>
      <c r="K177" s="426"/>
      <c r="L177" s="426"/>
      <c r="M177" s="621"/>
      <c r="N177" s="622">
        <v>45</v>
      </c>
      <c r="O177" s="623">
        <v>15171.531531531535</v>
      </c>
      <c r="P177" s="624">
        <v>17100.630630630632</v>
      </c>
      <c r="Q177" s="623">
        <v>15171.531531531535</v>
      </c>
      <c r="R177" s="624">
        <v>17100.630630630632</v>
      </c>
    </row>
    <row r="178" spans="1:18" ht="13" hidden="1">
      <c r="A178" s="483">
        <f t="shared" si="25"/>
        <v>46</v>
      </c>
      <c r="B178" s="484" t="str">
        <f t="shared" si="26"/>
        <v>46A</v>
      </c>
      <c r="C178" s="521">
        <f t="shared" si="21"/>
        <v>64201.391866493024</v>
      </c>
      <c r="D178" s="521">
        <f t="shared" si="22"/>
        <v>71704.659181166469</v>
      </c>
      <c r="E178" s="521">
        <f t="shared" si="23"/>
        <v>64201.391866493024</v>
      </c>
      <c r="F178" s="523">
        <f t="shared" si="24"/>
        <v>71704.659181166469</v>
      </c>
      <c r="G178" s="528"/>
      <c r="H178" s="426"/>
      <c r="I178" s="620"/>
      <c r="J178" s="620"/>
      <c r="K178" s="426"/>
      <c r="L178" s="426"/>
      <c r="M178" s="621"/>
      <c r="N178" s="622">
        <v>46</v>
      </c>
      <c r="O178" s="623">
        <v>15887.261261261263</v>
      </c>
      <c r="P178" s="624">
        <v>17744.018018018021</v>
      </c>
      <c r="Q178" s="623">
        <v>15887.261261261263</v>
      </c>
      <c r="R178" s="624">
        <v>17744.018018018021</v>
      </c>
    </row>
    <row r="179" spans="1:18" ht="13" hidden="1">
      <c r="A179" s="483">
        <f t="shared" si="25"/>
        <v>47</v>
      </c>
      <c r="B179" s="484" t="str">
        <f t="shared" si="26"/>
        <v>47A</v>
      </c>
      <c r="C179" s="521">
        <f t="shared" si="21"/>
        <v>67377.156128470655</v>
      </c>
      <c r="D179" s="521">
        <f t="shared" si="22"/>
        <v>75360.035493622083</v>
      </c>
      <c r="E179" s="521">
        <f t="shared" si="23"/>
        <v>67377.156128470655</v>
      </c>
      <c r="F179" s="523">
        <f t="shared" si="24"/>
        <v>75360.035493622083</v>
      </c>
      <c r="G179" s="528"/>
      <c r="H179" s="426"/>
      <c r="I179" s="620"/>
      <c r="J179" s="620"/>
      <c r="K179" s="426"/>
      <c r="L179" s="426"/>
      <c r="M179" s="621"/>
      <c r="N179" s="622">
        <v>47</v>
      </c>
      <c r="O179" s="623">
        <v>16673.135135135137</v>
      </c>
      <c r="P179" s="624">
        <v>18648.576576576575</v>
      </c>
      <c r="Q179" s="623">
        <v>16673.135135135137</v>
      </c>
      <c r="R179" s="624">
        <v>18648.576576576575</v>
      </c>
    </row>
    <row r="180" spans="1:18" ht="13" hidden="1">
      <c r="A180" s="483">
        <f t="shared" si="25"/>
        <v>48</v>
      </c>
      <c r="B180" s="484" t="str">
        <f t="shared" si="26"/>
        <v>48A</v>
      </c>
      <c r="C180" s="521">
        <f t="shared" si="21"/>
        <v>70830.260955238147</v>
      </c>
      <c r="D180" s="521">
        <f t="shared" si="22"/>
        <v>78388.938133341624</v>
      </c>
      <c r="E180" s="521">
        <f t="shared" si="23"/>
        <v>70830.260955238147</v>
      </c>
      <c r="F180" s="523">
        <f t="shared" si="24"/>
        <v>78388.938133341624</v>
      </c>
      <c r="G180" s="528"/>
      <c r="H180" s="426"/>
      <c r="I180" s="620"/>
      <c r="J180" s="620"/>
      <c r="K180" s="426"/>
      <c r="L180" s="426"/>
      <c r="M180" s="621"/>
      <c r="N180" s="622">
        <v>48</v>
      </c>
      <c r="O180" s="623">
        <v>17527.639639639641</v>
      </c>
      <c r="P180" s="624">
        <v>19398.10810810811</v>
      </c>
      <c r="Q180" s="623">
        <v>17527.639639639641</v>
      </c>
      <c r="R180" s="624">
        <v>19398.10810810811</v>
      </c>
    </row>
    <row r="181" spans="1:18" ht="13" hidden="1">
      <c r="A181" s="483">
        <f t="shared" si="25"/>
        <v>49</v>
      </c>
      <c r="B181" s="484" t="str">
        <f t="shared" si="26"/>
        <v>49A</v>
      </c>
      <c r="C181" s="521">
        <f t="shared" si="21"/>
        <v>74616.771517414541</v>
      </c>
      <c r="D181" s="521">
        <f t="shared" si="22"/>
        <v>81655.717282687969</v>
      </c>
      <c r="E181" s="521">
        <f t="shared" si="23"/>
        <v>74616.771517414541</v>
      </c>
      <c r="F181" s="523">
        <f t="shared" si="24"/>
        <v>81655.717282687969</v>
      </c>
      <c r="G181" s="528"/>
      <c r="H181" s="426"/>
      <c r="I181" s="620"/>
      <c r="J181" s="620"/>
      <c r="K181" s="426"/>
      <c r="L181" s="426"/>
      <c r="M181" s="621"/>
      <c r="N181" s="622">
        <v>49</v>
      </c>
      <c r="O181" s="623">
        <v>18464.64864864865</v>
      </c>
      <c r="P181" s="624">
        <v>20206.504504504508</v>
      </c>
      <c r="Q181" s="623">
        <v>18464.64864864865</v>
      </c>
      <c r="R181" s="624">
        <v>20206.504504504508</v>
      </c>
    </row>
    <row r="182" spans="1:18" ht="13" hidden="1">
      <c r="A182" s="483">
        <f t="shared" si="25"/>
        <v>50</v>
      </c>
      <c r="B182" s="484" t="str">
        <f t="shared" si="26"/>
        <v>50A</v>
      </c>
      <c r="C182" s="521">
        <f t="shared" si="21"/>
        <v>78779.209970378506</v>
      </c>
      <c r="D182" s="521">
        <f t="shared" si="22"/>
        <v>85121.637005596946</v>
      </c>
      <c r="E182" s="521">
        <f t="shared" si="23"/>
        <v>78779.209970378506</v>
      </c>
      <c r="F182" s="523">
        <f t="shared" si="24"/>
        <v>85121.637005596946</v>
      </c>
      <c r="G182" s="528"/>
      <c r="H182" s="426"/>
      <c r="I182" s="620"/>
      <c r="J182" s="620"/>
      <c r="K182" s="426"/>
      <c r="L182" s="426"/>
      <c r="M182" s="621"/>
      <c r="N182" s="622">
        <v>50</v>
      </c>
      <c r="O182" s="623">
        <v>19494.684684684686</v>
      </c>
      <c r="P182" s="624">
        <v>21064.180180180185</v>
      </c>
      <c r="Q182" s="623">
        <v>19494.684684684686</v>
      </c>
      <c r="R182" s="624">
        <v>21064.180180180185</v>
      </c>
    </row>
    <row r="183" spans="1:18" ht="13" hidden="1">
      <c r="A183" s="483">
        <f t="shared" si="25"/>
        <v>51</v>
      </c>
      <c r="B183" s="484" t="str">
        <f t="shared" si="26"/>
        <v>51A</v>
      </c>
      <c r="C183" s="521">
        <f t="shared" si="21"/>
        <v>83273.961980103006</v>
      </c>
      <c r="D183" s="521">
        <f t="shared" si="22"/>
        <v>88833.588172040909</v>
      </c>
      <c r="E183" s="521">
        <f t="shared" si="23"/>
        <v>83273.961980103006</v>
      </c>
      <c r="F183" s="523">
        <f t="shared" si="24"/>
        <v>88833.588172040909</v>
      </c>
      <c r="G183" s="528"/>
      <c r="H183" s="426"/>
      <c r="I183" s="620"/>
      <c r="J183" s="620"/>
      <c r="K183" s="426"/>
      <c r="L183" s="426"/>
      <c r="M183" s="621"/>
      <c r="N183" s="622">
        <v>51</v>
      </c>
      <c r="O183" s="623">
        <v>20606.954954954959</v>
      </c>
      <c r="P183" s="624">
        <v>21982.738738738743</v>
      </c>
      <c r="Q183" s="623">
        <v>20606.954954954959</v>
      </c>
      <c r="R183" s="624">
        <v>21982.738738738743</v>
      </c>
    </row>
    <row r="184" spans="1:18" ht="13" hidden="1">
      <c r="A184" s="483">
        <f t="shared" si="25"/>
        <v>52</v>
      </c>
      <c r="B184" s="484" t="str">
        <f t="shared" si="26"/>
        <v>52A</v>
      </c>
      <c r="C184" s="521">
        <f t="shared" si="21"/>
        <v>88185.052490606715</v>
      </c>
      <c r="D184" s="521">
        <f t="shared" si="22"/>
        <v>92823.171150914321</v>
      </c>
      <c r="E184" s="521">
        <f t="shared" si="23"/>
        <v>88185.052490606715</v>
      </c>
      <c r="F184" s="523">
        <f t="shared" si="24"/>
        <v>92823.171150914321</v>
      </c>
      <c r="G184" s="528"/>
      <c r="H184" s="426"/>
      <c r="I184" s="620"/>
      <c r="J184" s="620"/>
      <c r="K184" s="426"/>
      <c r="L184" s="426"/>
      <c r="M184" s="621"/>
      <c r="N184" s="622">
        <v>52</v>
      </c>
      <c r="O184" s="623">
        <v>21822.252252252256</v>
      </c>
      <c r="P184" s="624">
        <v>22970.000000000004</v>
      </c>
      <c r="Q184" s="623">
        <v>21822.252252252256</v>
      </c>
      <c r="R184" s="624">
        <v>22970.000000000004</v>
      </c>
    </row>
    <row r="185" spans="1:18" ht="13" hidden="1">
      <c r="A185" s="483">
        <f t="shared" si="25"/>
        <v>53</v>
      </c>
      <c r="B185" s="484" t="str">
        <f t="shared" si="26"/>
        <v>53A</v>
      </c>
      <c r="C185" s="521">
        <f t="shared" si="21"/>
        <v>93477.022101770883</v>
      </c>
      <c r="D185" s="521">
        <f t="shared" si="22"/>
        <v>97108.443295871024</v>
      </c>
      <c r="E185" s="521">
        <f t="shared" si="23"/>
        <v>93477.022101770883</v>
      </c>
      <c r="F185" s="523">
        <f t="shared" si="24"/>
        <v>97108.443295871024</v>
      </c>
      <c r="G185" s="528"/>
      <c r="H185" s="426"/>
      <c r="I185" s="620"/>
      <c r="J185" s="620"/>
      <c r="K185" s="426"/>
      <c r="L185" s="426"/>
      <c r="M185" s="621"/>
      <c r="N185" s="622">
        <v>53</v>
      </c>
      <c r="O185" s="623">
        <v>23131.801801801805</v>
      </c>
      <c r="P185" s="624">
        <v>24030.432432432433</v>
      </c>
      <c r="Q185" s="623">
        <v>23131.801801801805</v>
      </c>
      <c r="R185" s="624">
        <v>24030.432432432433</v>
      </c>
    </row>
    <row r="186" spans="1:18" ht="13" hidden="1">
      <c r="A186" s="483">
        <f t="shared" si="25"/>
        <v>54</v>
      </c>
      <c r="B186" s="484" t="str">
        <f t="shared" si="26"/>
        <v>54A</v>
      </c>
      <c r="C186" s="521">
        <f t="shared" si="21"/>
        <v>99219.478999454994</v>
      </c>
      <c r="D186" s="521">
        <f t="shared" si="22"/>
        <v>101675.20628448161</v>
      </c>
      <c r="E186" s="521">
        <f t="shared" si="23"/>
        <v>99219.478999454994</v>
      </c>
      <c r="F186" s="523">
        <f t="shared" si="24"/>
        <v>101675.20628448161</v>
      </c>
      <c r="G186" s="528"/>
      <c r="H186" s="426"/>
      <c r="I186" s="620"/>
      <c r="J186" s="620"/>
      <c r="K186" s="426"/>
      <c r="L186" s="426"/>
      <c r="M186" s="621"/>
      <c r="N186" s="622">
        <v>54</v>
      </c>
      <c r="O186" s="623">
        <v>24552.828828828831</v>
      </c>
      <c r="P186" s="624">
        <v>25160.522522522526</v>
      </c>
      <c r="Q186" s="623">
        <v>24552.828828828831</v>
      </c>
      <c r="R186" s="624">
        <v>25160.522522522526</v>
      </c>
    </row>
    <row r="187" spans="1:18" ht="13" hidden="1">
      <c r="A187" s="483">
        <f t="shared" si="25"/>
        <v>55</v>
      </c>
      <c r="B187" s="484" t="str">
        <f t="shared" si="26"/>
        <v>55A</v>
      </c>
      <c r="C187" s="521">
        <f t="shared" si="21"/>
        <v>105397.56955404053</v>
      </c>
      <c r="D187" s="521">
        <f t="shared" si="22"/>
        <v>107175.70920558483</v>
      </c>
      <c r="E187" s="521">
        <f t="shared" si="23"/>
        <v>105397.56955404053</v>
      </c>
      <c r="F187" s="523">
        <f t="shared" si="24"/>
        <v>107175.70920558483</v>
      </c>
      <c r="G187" s="528"/>
      <c r="H187" s="426"/>
      <c r="I187" s="620"/>
      <c r="J187" s="620"/>
      <c r="K187" s="426"/>
      <c r="L187" s="426"/>
      <c r="M187" s="621"/>
      <c r="N187" s="622">
        <v>55</v>
      </c>
      <c r="O187" s="623">
        <v>26081.657657657659</v>
      </c>
      <c r="P187" s="624">
        <v>26521.67567567568</v>
      </c>
      <c r="Q187" s="623">
        <v>26081.657657657659</v>
      </c>
      <c r="R187" s="624">
        <v>26521.67567567568</v>
      </c>
    </row>
    <row r="188" spans="1:18" ht="13" hidden="1">
      <c r="A188" s="483">
        <f t="shared" si="25"/>
        <v>56</v>
      </c>
      <c r="B188" s="484" t="str">
        <f t="shared" si="26"/>
        <v>56A</v>
      </c>
      <c r="C188" s="521">
        <f t="shared" si="21"/>
        <v>112067.28612423678</v>
      </c>
      <c r="D188" s="521">
        <f t="shared" si="22"/>
        <v>114423.55234034685</v>
      </c>
      <c r="E188" s="521">
        <f t="shared" si="23"/>
        <v>112067.28612423678</v>
      </c>
      <c r="F188" s="523">
        <f t="shared" si="24"/>
        <v>114423.55234034685</v>
      </c>
      <c r="G188" s="528"/>
      <c r="H188" s="426"/>
      <c r="I188" s="620"/>
      <c r="J188" s="620"/>
      <c r="K188" s="426"/>
      <c r="L188" s="426"/>
      <c r="M188" s="621"/>
      <c r="N188" s="622">
        <v>56</v>
      </c>
      <c r="O188" s="623">
        <v>27732.144144144149</v>
      </c>
      <c r="P188" s="624">
        <v>28315.225225225229</v>
      </c>
      <c r="Q188" s="623">
        <v>27732.144144144149</v>
      </c>
      <c r="R188" s="624">
        <v>28315.225225225229</v>
      </c>
    </row>
    <row r="189" spans="1:18" ht="13" hidden="1">
      <c r="A189" s="483">
        <f t="shared" si="25"/>
        <v>57</v>
      </c>
      <c r="B189" s="484" t="str">
        <f t="shared" si="26"/>
        <v>57A</v>
      </c>
      <c r="C189" s="521">
        <f t="shared" si="21"/>
        <v>119278.79611596116</v>
      </c>
      <c r="D189" s="521">
        <f t="shared" si="22"/>
        <v>118778.57829498294</v>
      </c>
      <c r="E189" s="521">
        <f t="shared" si="23"/>
        <v>119278.79611596116</v>
      </c>
      <c r="F189" s="523">
        <f t="shared" si="24"/>
        <v>118778.57829498294</v>
      </c>
      <c r="G189" s="528"/>
      <c r="H189" s="426"/>
      <c r="I189" s="620"/>
      <c r="J189" s="620"/>
      <c r="K189" s="426"/>
      <c r="L189" s="426"/>
      <c r="M189" s="621"/>
      <c r="N189" s="622">
        <v>57</v>
      </c>
      <c r="O189" s="623">
        <v>29516.702702702707</v>
      </c>
      <c r="P189" s="624">
        <v>29392.91891891892</v>
      </c>
      <c r="Q189" s="623">
        <v>29516.702702702707</v>
      </c>
      <c r="R189" s="624">
        <v>29392.91891891892</v>
      </c>
    </row>
    <row r="190" spans="1:18" ht="13" hidden="1">
      <c r="A190" s="483">
        <f t="shared" si="25"/>
        <v>58</v>
      </c>
      <c r="B190" s="484" t="str">
        <f t="shared" si="26"/>
        <v>58A</v>
      </c>
      <c r="C190" s="521">
        <f t="shared" si="21"/>
        <v>124400.96835325034</v>
      </c>
      <c r="D190" s="521">
        <f t="shared" si="22"/>
        <v>123521.9101650887</v>
      </c>
      <c r="E190" s="521">
        <f t="shared" si="23"/>
        <v>124400.96835325034</v>
      </c>
      <c r="F190" s="523">
        <f t="shared" si="24"/>
        <v>123521.9101650887</v>
      </c>
      <c r="G190" s="528"/>
      <c r="H190" s="426"/>
      <c r="I190" s="620"/>
      <c r="J190" s="620"/>
      <c r="K190" s="426"/>
      <c r="L190" s="426"/>
      <c r="M190" s="621"/>
      <c r="N190" s="622">
        <v>58</v>
      </c>
      <c r="O190" s="623">
        <v>30784.234234234238</v>
      </c>
      <c r="P190" s="624">
        <v>30566.702702702707</v>
      </c>
      <c r="Q190" s="623">
        <v>30784.234234234238</v>
      </c>
      <c r="R190" s="624">
        <v>30566.702702702707</v>
      </c>
    </row>
    <row r="191" spans="1:18" ht="13" hidden="1">
      <c r="A191" s="483">
        <f t="shared" si="25"/>
        <v>59</v>
      </c>
      <c r="B191" s="484" t="str">
        <f t="shared" si="26"/>
        <v>59A</v>
      </c>
      <c r="C191" s="521">
        <f t="shared" si="21"/>
        <v>132479.30413227394</v>
      </c>
      <c r="D191" s="521">
        <f t="shared" si="22"/>
        <v>125542.95034804253</v>
      </c>
      <c r="E191" s="521">
        <f t="shared" si="23"/>
        <v>132479.30413227394</v>
      </c>
      <c r="F191" s="523">
        <f t="shared" si="24"/>
        <v>125542.95034804253</v>
      </c>
      <c r="G191" s="528"/>
      <c r="H191" s="426"/>
      <c r="I191" s="620"/>
      <c r="J191" s="620"/>
      <c r="K191" s="426"/>
      <c r="L191" s="426"/>
      <c r="M191" s="621"/>
      <c r="N191" s="622">
        <v>59</v>
      </c>
      <c r="O191" s="623">
        <v>32783.2972972973</v>
      </c>
      <c r="P191" s="624">
        <v>31066.828828828831</v>
      </c>
      <c r="Q191" s="623">
        <v>32783.2972972973</v>
      </c>
      <c r="R191" s="624">
        <v>31066.828828828831</v>
      </c>
    </row>
    <row r="192" spans="1:18" ht="13" hidden="1">
      <c r="A192" s="483">
        <f t="shared" si="25"/>
        <v>60</v>
      </c>
      <c r="B192" s="484" t="str">
        <f t="shared" si="26"/>
        <v>60A</v>
      </c>
      <c r="C192" s="522">
        <f t="shared" si="21"/>
        <v>213248.63924065509</v>
      </c>
      <c r="D192" s="522">
        <f t="shared" si="22"/>
        <v>206273.25613751859</v>
      </c>
      <c r="E192" s="522">
        <f t="shared" si="23"/>
        <v>169403.12463042687</v>
      </c>
      <c r="F192" s="524">
        <f t="shared" si="24"/>
        <v>163861.93244569231</v>
      </c>
      <c r="G192" s="528"/>
      <c r="H192" s="426"/>
      <c r="I192" s="620"/>
      <c r="J192" s="620"/>
      <c r="K192" s="426"/>
      <c r="L192" s="426"/>
      <c r="M192" s="621"/>
      <c r="N192" s="622">
        <v>60</v>
      </c>
      <c r="O192" s="623">
        <v>43731.05882352942</v>
      </c>
      <c r="P192" s="624">
        <v>42300.611764705885</v>
      </c>
      <c r="Q192" s="623">
        <v>34739.626168224306</v>
      </c>
      <c r="R192" s="624">
        <v>33603.289719626169</v>
      </c>
    </row>
    <row r="193" spans="1:18" ht="13" hidden="1">
      <c r="A193" s="483">
        <f t="shared" si="25"/>
        <v>61</v>
      </c>
      <c r="B193" s="484" t="str">
        <f t="shared" si="26"/>
        <v>61A</v>
      </c>
      <c r="C193" s="522">
        <f t="shared" si="21"/>
        <v>224762.48466975402</v>
      </c>
      <c r="D193" s="522">
        <f t="shared" si="22"/>
        <v>215002.98354514161</v>
      </c>
      <c r="E193" s="522">
        <f t="shared" si="23"/>
        <v>178549.63735447754</v>
      </c>
      <c r="F193" s="524">
        <f t="shared" si="24"/>
        <v>170796.76262931811</v>
      </c>
      <c r="G193" s="528"/>
      <c r="H193" s="426"/>
      <c r="I193" s="620"/>
      <c r="J193" s="620"/>
      <c r="K193" s="426"/>
      <c r="L193" s="426"/>
      <c r="M193" s="621"/>
      <c r="N193" s="622">
        <v>61</v>
      </c>
      <c r="O193" s="623">
        <v>46092.211764705884</v>
      </c>
      <c r="P193" s="624">
        <v>44090.823529411769</v>
      </c>
      <c r="Q193" s="623">
        <v>36615.308411214959</v>
      </c>
      <c r="R193" s="624">
        <v>35025.420560747669</v>
      </c>
    </row>
    <row r="194" spans="1:18" ht="13" hidden="1">
      <c r="A194" s="483">
        <f t="shared" si="25"/>
        <v>62</v>
      </c>
      <c r="B194" s="484" t="str">
        <f t="shared" si="26"/>
        <v>62A</v>
      </c>
      <c r="C194" s="522">
        <f t="shared" si="21"/>
        <v>236892.81747282334</v>
      </c>
      <c r="D194" s="522">
        <f t="shared" si="22"/>
        <v>224200.61259264022</v>
      </c>
      <c r="E194" s="522">
        <f t="shared" si="23"/>
        <v>188185.88303915877</v>
      </c>
      <c r="F194" s="524">
        <f t="shared" si="24"/>
        <v>178103.29037733094</v>
      </c>
      <c r="G194" s="528"/>
      <c r="H194" s="426"/>
      <c r="I194" s="620"/>
      <c r="J194" s="620"/>
      <c r="K194" s="426"/>
      <c r="L194" s="426"/>
      <c r="M194" s="621"/>
      <c r="N194" s="622">
        <v>62</v>
      </c>
      <c r="O194" s="623">
        <v>48579.788235294123</v>
      </c>
      <c r="P194" s="624">
        <v>45976.988235294128</v>
      </c>
      <c r="Q194" s="623">
        <v>38591.420560747669</v>
      </c>
      <c r="R194" s="624">
        <v>36523.775700934588</v>
      </c>
    </row>
    <row r="195" spans="1:18" ht="13" hidden="1">
      <c r="A195" s="483">
        <f t="shared" si="25"/>
        <v>63</v>
      </c>
      <c r="B195" s="484" t="str">
        <f t="shared" si="26"/>
        <v>63A</v>
      </c>
      <c r="C195" s="522">
        <f t="shared" si="21"/>
        <v>249509.75421280088</v>
      </c>
      <c r="D195" s="522">
        <f t="shared" si="22"/>
        <v>233785.252976897</v>
      </c>
      <c r="E195" s="522">
        <f t="shared" si="23"/>
        <v>198208.68325315966</v>
      </c>
      <c r="F195" s="524">
        <f t="shared" si="24"/>
        <v>185717.25703772187</v>
      </c>
      <c r="G195" s="528"/>
      <c r="H195" s="426"/>
      <c r="I195" s="620"/>
      <c r="J195" s="620"/>
      <c r="K195" s="426"/>
      <c r="L195" s="426"/>
      <c r="M195" s="621"/>
      <c r="N195" s="622">
        <v>63</v>
      </c>
      <c r="O195" s="623">
        <v>51167.152941176479</v>
      </c>
      <c r="P195" s="624">
        <v>47942.517647058834</v>
      </c>
      <c r="Q195" s="623">
        <v>40646.803738317765</v>
      </c>
      <c r="R195" s="624">
        <v>38085.17757009346</v>
      </c>
    </row>
    <row r="196" spans="1:18" ht="13" hidden="1">
      <c r="A196" s="483">
        <f t="shared" si="25"/>
        <v>64</v>
      </c>
      <c r="B196" s="484" t="str">
        <f t="shared" si="26"/>
        <v>64A</v>
      </c>
      <c r="C196" s="522">
        <f t="shared" si="21"/>
        <v>262831.18238701974</v>
      </c>
      <c r="D196" s="522">
        <f t="shared" si="22"/>
        <v>244019.76949853855</v>
      </c>
      <c r="E196" s="522">
        <f t="shared" si="23"/>
        <v>208791.12619529598</v>
      </c>
      <c r="F196" s="524">
        <f t="shared" si="24"/>
        <v>193847.48044276421</v>
      </c>
      <c r="G196" s="528"/>
      <c r="H196" s="426"/>
      <c r="I196" s="620"/>
      <c r="J196" s="620"/>
      <c r="K196" s="426"/>
      <c r="L196" s="426"/>
      <c r="M196" s="621"/>
      <c r="N196" s="622">
        <v>64</v>
      </c>
      <c r="O196" s="623">
        <v>53898.988235294128</v>
      </c>
      <c r="P196" s="624">
        <v>50041.317647058837</v>
      </c>
      <c r="Q196" s="623">
        <v>42816.95327102804</v>
      </c>
      <c r="R196" s="624">
        <v>39752.448598130846</v>
      </c>
    </row>
    <row r="197" spans="1:18" ht="13" hidden="1">
      <c r="A197" s="483">
        <f t="shared" si="25"/>
        <v>65</v>
      </c>
      <c r="B197" s="484" t="str">
        <f t="shared" ref="B197:B222" si="27">+CONCATENATE(A197,$H$36)</f>
        <v>65A</v>
      </c>
      <c r="C197" s="522">
        <f t="shared" ref="C197:C222" si="28">+VLOOKUP(B197,$B$226:$F$436,4,FALSE)</f>
        <v>276416.04905195802</v>
      </c>
      <c r="D197" s="522">
        <f t="shared" ref="D197:D222" si="29">+VLOOKUP(B197,$B$226:$F$436,5,FALSE)</f>
        <v>254359.73025927882</v>
      </c>
      <c r="E197" s="522">
        <f t="shared" ref="E197:E222" si="30">+VLOOKUP(B197,$B$226:$F$436,2,FALSE)</f>
        <v>219582.84270482647</v>
      </c>
      <c r="F197" s="524">
        <f t="shared" ref="F197:F222" si="31">+VLOOKUP(B197,$B$226:$F$436,3,FALSE)</f>
        <v>202061.46796297861</v>
      </c>
      <c r="G197" s="528"/>
      <c r="H197" s="426"/>
      <c r="I197" s="620"/>
      <c r="J197" s="620"/>
      <c r="K197" s="426"/>
      <c r="L197" s="426"/>
      <c r="M197" s="621"/>
      <c r="N197" s="622">
        <v>65</v>
      </c>
      <c r="O197" s="623">
        <v>56684.847058823543</v>
      </c>
      <c r="P197" s="624">
        <v>52161.741176470598</v>
      </c>
      <c r="Q197" s="623">
        <v>45030.018691588797</v>
      </c>
      <c r="R197" s="624">
        <v>41436.897196261692</v>
      </c>
    </row>
    <row r="198" spans="1:18" ht="13" hidden="1">
      <c r="A198" s="483">
        <f t="shared" si="25"/>
        <v>66</v>
      </c>
      <c r="B198" s="484" t="str">
        <f t="shared" si="27"/>
        <v>66A</v>
      </c>
      <c r="C198" s="522">
        <f t="shared" si="28"/>
        <v>290938.09585287049</v>
      </c>
      <c r="D198" s="522">
        <f t="shared" si="29"/>
        <v>265734.1689957715</v>
      </c>
      <c r="E198" s="522">
        <f t="shared" si="30"/>
        <v>231119.04810742047</v>
      </c>
      <c r="F198" s="524">
        <f t="shared" si="31"/>
        <v>211097.23705271567</v>
      </c>
      <c r="G198" s="528"/>
      <c r="H198" s="426"/>
      <c r="I198" s="620"/>
      <c r="J198" s="620"/>
      <c r="K198" s="426"/>
      <c r="L198" s="426"/>
      <c r="M198" s="621"/>
      <c r="N198" s="622">
        <v>66</v>
      </c>
      <c r="O198" s="623">
        <v>59662.894117647069</v>
      </c>
      <c r="P198" s="624">
        <v>54494.305882352957</v>
      </c>
      <c r="Q198" s="623">
        <v>47395.757009345798</v>
      </c>
      <c r="R198" s="624">
        <v>43289.869158878515</v>
      </c>
    </row>
    <row r="199" spans="1:18" ht="13" hidden="1">
      <c r="A199" s="483">
        <f t="shared" ref="A199:A222" si="32">+A198+1</f>
        <v>67</v>
      </c>
      <c r="B199" s="484" t="str">
        <f t="shared" si="27"/>
        <v>67A</v>
      </c>
      <c r="C199" s="522">
        <f t="shared" si="28"/>
        <v>306095.33232478623</v>
      </c>
      <c r="D199" s="522">
        <f t="shared" si="29"/>
        <v>276650.68830000737</v>
      </c>
      <c r="E199" s="522">
        <f t="shared" si="30"/>
        <v>243159.8434355777</v>
      </c>
      <c r="F199" s="524">
        <f t="shared" si="31"/>
        <v>219769.23836916473</v>
      </c>
      <c r="G199" s="528"/>
      <c r="H199" s="426"/>
      <c r="I199" s="620"/>
      <c r="J199" s="620"/>
      <c r="K199" s="426"/>
      <c r="L199" s="426"/>
      <c r="M199" s="621"/>
      <c r="N199" s="622">
        <v>67</v>
      </c>
      <c r="O199" s="623">
        <v>62771.200000000004</v>
      </c>
      <c r="P199" s="624">
        <v>56732.964705882361</v>
      </c>
      <c r="Q199" s="623">
        <v>49864.97196261683</v>
      </c>
      <c r="R199" s="624">
        <v>45068.242990654209</v>
      </c>
    </row>
    <row r="200" spans="1:18" ht="13" hidden="1">
      <c r="A200" s="483">
        <f t="shared" si="32"/>
        <v>68</v>
      </c>
      <c r="B200" s="484" t="str">
        <f t="shared" si="27"/>
        <v>68A</v>
      </c>
      <c r="C200" s="522">
        <f t="shared" si="28"/>
        <v>321663.7898553859</v>
      </c>
      <c r="D200" s="522">
        <f t="shared" si="29"/>
        <v>288653.43242638675</v>
      </c>
      <c r="E200" s="522">
        <f t="shared" si="30"/>
        <v>255527.30969820381</v>
      </c>
      <c r="F200" s="524">
        <f t="shared" si="31"/>
        <v>229304.12856301753</v>
      </c>
      <c r="G200" s="528"/>
      <c r="H200" s="426"/>
      <c r="I200" s="620"/>
      <c r="J200" s="620"/>
      <c r="K200" s="426"/>
      <c r="L200" s="426"/>
      <c r="M200" s="621"/>
      <c r="N200" s="622">
        <v>68</v>
      </c>
      <c r="O200" s="623">
        <v>65963.835294117656</v>
      </c>
      <c r="P200" s="624">
        <v>59194.37647058825</v>
      </c>
      <c r="Q200" s="623">
        <v>52401.177570093467</v>
      </c>
      <c r="R200" s="624">
        <v>47023.570093457951</v>
      </c>
    </row>
    <row r="201" spans="1:18" ht="13" hidden="1">
      <c r="A201" s="483">
        <f t="shared" si="32"/>
        <v>69</v>
      </c>
      <c r="B201" s="484" t="str">
        <f t="shared" si="27"/>
        <v>69A</v>
      </c>
      <c r="C201" s="522">
        <f t="shared" si="28"/>
        <v>338061.34430843295</v>
      </c>
      <c r="D201" s="522">
        <f t="shared" si="29"/>
        <v>301548.72359950264</v>
      </c>
      <c r="E201" s="522">
        <f t="shared" si="30"/>
        <v>268553.40435716638</v>
      </c>
      <c r="F201" s="524">
        <f t="shared" si="31"/>
        <v>239548.05145754883</v>
      </c>
      <c r="G201" s="528"/>
      <c r="H201" s="426"/>
      <c r="I201" s="620"/>
      <c r="J201" s="620"/>
      <c r="K201" s="426"/>
      <c r="L201" s="426"/>
      <c r="M201" s="621"/>
      <c r="N201" s="622">
        <v>69</v>
      </c>
      <c r="O201" s="623">
        <v>69326.49411764706</v>
      </c>
      <c r="P201" s="624">
        <v>61838.823529411777</v>
      </c>
      <c r="Q201" s="623">
        <v>55072.448598130846</v>
      </c>
      <c r="R201" s="624">
        <v>49124.299065420571</v>
      </c>
    </row>
    <row r="202" spans="1:18" ht="13" hidden="1">
      <c r="A202" s="483">
        <f t="shared" si="32"/>
        <v>70</v>
      </c>
      <c r="B202" s="484" t="str">
        <f t="shared" si="27"/>
        <v>70A</v>
      </c>
      <c r="C202" s="522">
        <f t="shared" si="28"/>
        <v>354904.54122574604</v>
      </c>
      <c r="D202" s="522">
        <f t="shared" si="29"/>
        <v>314178.16678350826</v>
      </c>
      <c r="E202" s="522">
        <f t="shared" si="30"/>
        <v>281933.51405783568</v>
      </c>
      <c r="F202" s="524">
        <f t="shared" si="31"/>
        <v>249580.78669717952</v>
      </c>
      <c r="G202" s="528"/>
      <c r="H202" s="426"/>
      <c r="I202" s="620"/>
      <c r="J202" s="620"/>
      <c r="K202" s="426"/>
      <c r="L202" s="426"/>
      <c r="M202" s="621"/>
      <c r="N202" s="622">
        <v>70</v>
      </c>
      <c r="O202" s="623">
        <v>72780.541176470593</v>
      </c>
      <c r="P202" s="624">
        <v>64428.752941176484</v>
      </c>
      <c r="Q202" s="623">
        <v>57816.317757009354</v>
      </c>
      <c r="R202" s="624">
        <v>51181.719626168233</v>
      </c>
    </row>
    <row r="203" spans="1:18" ht="13" hidden="1">
      <c r="A203" s="483">
        <f t="shared" si="32"/>
        <v>71</v>
      </c>
      <c r="B203" s="484" t="str">
        <f t="shared" si="27"/>
        <v>71A</v>
      </c>
      <c r="C203" s="522">
        <f t="shared" si="28"/>
        <v>372049.38439397432</v>
      </c>
      <c r="D203" s="522">
        <f t="shared" si="29"/>
        <v>327412.73827764223</v>
      </c>
      <c r="E203" s="522">
        <f t="shared" si="30"/>
        <v>295553.24928493291</v>
      </c>
      <c r="F203" s="524">
        <f t="shared" si="31"/>
        <v>260094.23134205231</v>
      </c>
      <c r="G203" s="528"/>
      <c r="H203" s="426"/>
      <c r="I203" s="620"/>
      <c r="J203" s="620"/>
      <c r="K203" s="426"/>
      <c r="L203" s="426"/>
      <c r="M203" s="621"/>
      <c r="N203" s="622">
        <v>71</v>
      </c>
      <c r="O203" s="623">
        <v>76296.447058823542</v>
      </c>
      <c r="P203" s="624">
        <v>67142.776470588244</v>
      </c>
      <c r="Q203" s="623">
        <v>60609.327102803749</v>
      </c>
      <c r="R203" s="624">
        <v>53337.719626168233</v>
      </c>
    </row>
    <row r="204" spans="1:18" ht="13" hidden="1">
      <c r="A204" s="483">
        <f t="shared" si="32"/>
        <v>72</v>
      </c>
      <c r="B204" s="484" t="str">
        <f t="shared" si="27"/>
        <v>72A</v>
      </c>
      <c r="C204" s="522">
        <f t="shared" si="28"/>
        <v>389823.45085623837</v>
      </c>
      <c r="D204" s="522">
        <f t="shared" si="29"/>
        <v>341554.08433281997</v>
      </c>
      <c r="E204" s="522">
        <f t="shared" si="30"/>
        <v>309672.83479233878</v>
      </c>
      <c r="F204" s="524">
        <f t="shared" si="31"/>
        <v>271328.01091859525</v>
      </c>
      <c r="G204" s="528"/>
      <c r="H204" s="426"/>
      <c r="I204" s="620"/>
      <c r="J204" s="620"/>
      <c r="K204" s="426"/>
      <c r="L204" s="426"/>
      <c r="M204" s="621"/>
      <c r="N204" s="622">
        <v>72</v>
      </c>
      <c r="O204" s="623">
        <v>79941.388235294129</v>
      </c>
      <c r="P204" s="624">
        <v>70042.752941176484</v>
      </c>
      <c r="Q204" s="623">
        <v>63504.84112149533</v>
      </c>
      <c r="R204" s="624">
        <v>55641.439252336451</v>
      </c>
    </row>
    <row r="205" spans="1:18" ht="13" hidden="1">
      <c r="A205" s="483">
        <f t="shared" si="32"/>
        <v>73</v>
      </c>
      <c r="B205" s="484" t="str">
        <f t="shared" si="27"/>
        <v>73A</v>
      </c>
      <c r="C205" s="522">
        <f t="shared" si="28"/>
        <v>407997.14983730711</v>
      </c>
      <c r="D205" s="522">
        <f t="shared" si="29"/>
        <v>355404.56951083115</v>
      </c>
      <c r="E205" s="522">
        <f t="shared" si="30"/>
        <v>324109.88538477669</v>
      </c>
      <c r="F205" s="524">
        <f t="shared" si="31"/>
        <v>282330.73278897814</v>
      </c>
      <c r="G205" s="528"/>
      <c r="H205" s="426"/>
      <c r="I205" s="620"/>
      <c r="J205" s="620"/>
      <c r="K205" s="426"/>
      <c r="L205" s="426"/>
      <c r="M205" s="621"/>
      <c r="N205" s="622">
        <v>73</v>
      </c>
      <c r="O205" s="623">
        <v>83668.282352941183</v>
      </c>
      <c r="P205" s="624">
        <v>72883.082352941186</v>
      </c>
      <c r="Q205" s="623">
        <v>66465.457943925241</v>
      </c>
      <c r="R205" s="624">
        <v>57897.775700934588</v>
      </c>
    </row>
    <row r="206" spans="1:18" ht="13" hidden="1">
      <c r="A206" s="483">
        <f t="shared" si="32"/>
        <v>74</v>
      </c>
      <c r="B206" s="484" t="str">
        <f t="shared" si="27"/>
        <v>74A</v>
      </c>
      <c r="C206" s="522">
        <f t="shared" si="28"/>
        <v>427646.37973764993</v>
      </c>
      <c r="D206" s="522">
        <f t="shared" si="29"/>
        <v>369532.0322657575</v>
      </c>
      <c r="E206" s="522">
        <f t="shared" si="30"/>
        <v>339719.08670747885</v>
      </c>
      <c r="F206" s="524">
        <f t="shared" si="31"/>
        <v>293553.48357560171</v>
      </c>
      <c r="G206" s="528"/>
      <c r="H206" s="426"/>
      <c r="I206" s="620"/>
      <c r="J206" s="620"/>
      <c r="K206" s="426"/>
      <c r="L206" s="426"/>
      <c r="M206" s="621"/>
      <c r="N206" s="622">
        <v>74</v>
      </c>
      <c r="O206" s="623">
        <v>87697.764705882379</v>
      </c>
      <c r="P206" s="624">
        <v>75780.211764705891</v>
      </c>
      <c r="Q206" s="623">
        <v>69666.448598130853</v>
      </c>
      <c r="R206" s="624">
        <v>60199.233644859822</v>
      </c>
    </row>
    <row r="207" spans="1:18" ht="13" hidden="1">
      <c r="A207" s="483">
        <f t="shared" si="32"/>
        <v>75</v>
      </c>
      <c r="B207" s="484" t="str">
        <f t="shared" si="27"/>
        <v>75A</v>
      </c>
      <c r="C207" s="522">
        <f t="shared" si="28"/>
        <v>446158.90008766245</v>
      </c>
      <c r="D207" s="522">
        <f t="shared" si="29"/>
        <v>384745.26089075278</v>
      </c>
      <c r="E207" s="522">
        <f t="shared" si="30"/>
        <v>354425.2944621616</v>
      </c>
      <c r="F207" s="524">
        <f t="shared" si="31"/>
        <v>305638.7586515327</v>
      </c>
      <c r="G207" s="528"/>
      <c r="H207" s="426"/>
      <c r="I207" s="620"/>
      <c r="J207" s="620"/>
      <c r="K207" s="426"/>
      <c r="L207" s="426"/>
      <c r="M207" s="621"/>
      <c r="N207" s="622">
        <v>75</v>
      </c>
      <c r="O207" s="623">
        <v>91494.141176470614</v>
      </c>
      <c r="P207" s="624">
        <v>78900.000000000015</v>
      </c>
      <c r="Q207" s="623">
        <v>72682.261682242999</v>
      </c>
      <c r="R207" s="624">
        <v>62677.570093457951</v>
      </c>
    </row>
    <row r="208" spans="1:18" ht="13" hidden="1">
      <c r="A208" s="483">
        <f t="shared" si="32"/>
        <v>76</v>
      </c>
      <c r="B208" s="484" t="str">
        <f t="shared" si="27"/>
        <v>76A</v>
      </c>
      <c r="C208" s="522">
        <f t="shared" si="28"/>
        <v>468764.69925144577</v>
      </c>
      <c r="D208" s="522">
        <f t="shared" si="29"/>
        <v>401446.06792697567</v>
      </c>
      <c r="E208" s="522">
        <f t="shared" si="30"/>
        <v>372383.1723025504</v>
      </c>
      <c r="F208" s="524">
        <f t="shared" si="31"/>
        <v>318905.75489526114</v>
      </c>
      <c r="G208" s="528"/>
      <c r="H208" s="426"/>
      <c r="I208" s="620"/>
      <c r="J208" s="620"/>
      <c r="K208" s="426"/>
      <c r="L208" s="426"/>
      <c r="M208" s="621"/>
      <c r="N208" s="622">
        <v>76</v>
      </c>
      <c r="O208" s="623">
        <v>96129.929411764722</v>
      </c>
      <c r="P208" s="624">
        <v>82324.847058823536</v>
      </c>
      <c r="Q208" s="623">
        <v>76364.897196261692</v>
      </c>
      <c r="R208" s="624">
        <v>65398.242990654209</v>
      </c>
    </row>
    <row r="209" spans="1:18" ht="13" hidden="1">
      <c r="A209" s="483">
        <f t="shared" si="32"/>
        <v>77</v>
      </c>
      <c r="B209" s="484" t="str">
        <f t="shared" si="27"/>
        <v>77A</v>
      </c>
      <c r="C209" s="522">
        <f t="shared" si="28"/>
        <v>492917.97007216926</v>
      </c>
      <c r="D209" s="522">
        <f t="shared" si="29"/>
        <v>419358.50843967858</v>
      </c>
      <c r="E209" s="522">
        <f t="shared" si="30"/>
        <v>391570.35005733062</v>
      </c>
      <c r="F209" s="524">
        <f t="shared" si="31"/>
        <v>333135.26371376344</v>
      </c>
      <c r="G209" s="528"/>
      <c r="H209" s="426"/>
      <c r="I209" s="620"/>
      <c r="J209" s="620"/>
      <c r="K209" s="426"/>
      <c r="L209" s="426"/>
      <c r="M209" s="621"/>
      <c r="N209" s="622">
        <v>77</v>
      </c>
      <c r="O209" s="623">
        <v>101083.05882352944</v>
      </c>
      <c r="P209" s="624">
        <v>85998.164705882373</v>
      </c>
      <c r="Q209" s="623">
        <v>80299.62616822432</v>
      </c>
      <c r="R209" s="624">
        <v>68316.299065420579</v>
      </c>
    </row>
    <row r="210" spans="1:18" ht="13" hidden="1">
      <c r="A210" s="483">
        <f t="shared" si="32"/>
        <v>78</v>
      </c>
      <c r="B210" s="484" t="str">
        <f t="shared" si="27"/>
        <v>78A</v>
      </c>
      <c r="C210" s="522">
        <f t="shared" si="28"/>
        <v>518026.89384986216</v>
      </c>
      <c r="D210" s="522">
        <f t="shared" si="29"/>
        <v>438019.15557171148</v>
      </c>
      <c r="E210" s="522">
        <f t="shared" si="30"/>
        <v>411516.69137605862</v>
      </c>
      <c r="F210" s="524">
        <f t="shared" si="31"/>
        <v>347959.14227659325</v>
      </c>
      <c r="G210" s="528"/>
      <c r="H210" s="426"/>
      <c r="I210" s="620"/>
      <c r="J210" s="620"/>
      <c r="K210" s="426"/>
      <c r="L210" s="426"/>
      <c r="M210" s="621"/>
      <c r="N210" s="622">
        <v>78</v>
      </c>
      <c r="O210" s="623">
        <v>106232.16470588236</v>
      </c>
      <c r="P210" s="624">
        <v>89824.917647058828</v>
      </c>
      <c r="Q210" s="623">
        <v>84390.03738317758</v>
      </c>
      <c r="R210" s="624">
        <v>71356.242990654209</v>
      </c>
    </row>
    <row r="211" spans="1:18" ht="13" hidden="1">
      <c r="A211" s="483">
        <f t="shared" si="32"/>
        <v>79</v>
      </c>
      <c r="B211" s="484" t="str">
        <f t="shared" si="27"/>
        <v>79A</v>
      </c>
      <c r="C211" s="522">
        <f t="shared" si="28"/>
        <v>545588.80172733439</v>
      </c>
      <c r="D211" s="522">
        <f t="shared" si="29"/>
        <v>456739.23699738242</v>
      </c>
      <c r="E211" s="522">
        <f t="shared" si="30"/>
        <v>433411.66492358339</v>
      </c>
      <c r="F211" s="524">
        <f t="shared" si="31"/>
        <v>362830.23499792052</v>
      </c>
      <c r="G211" s="528"/>
      <c r="H211" s="426"/>
      <c r="I211" s="620"/>
      <c r="J211" s="620"/>
      <c r="K211" s="426"/>
      <c r="L211" s="426"/>
      <c r="M211" s="621"/>
      <c r="N211" s="622">
        <v>79</v>
      </c>
      <c r="O211" s="623">
        <v>111884.30588235296</v>
      </c>
      <c r="P211" s="624">
        <v>93663.85882352943</v>
      </c>
      <c r="Q211" s="623">
        <v>88880.056074766369</v>
      </c>
      <c r="R211" s="624">
        <v>74405.869158878515</v>
      </c>
    </row>
    <row r="212" spans="1:18" ht="13" hidden="1">
      <c r="A212" s="483">
        <f t="shared" si="32"/>
        <v>80</v>
      </c>
      <c r="B212" s="484" t="str">
        <f t="shared" si="27"/>
        <v>80A</v>
      </c>
      <c r="C212" s="522">
        <f t="shared" si="28"/>
        <v>572324.71060886129</v>
      </c>
      <c r="D212" s="522">
        <f t="shared" si="29"/>
        <v>476499.99225181015</v>
      </c>
      <c r="E212" s="522">
        <f t="shared" si="30"/>
        <v>454650.47104442259</v>
      </c>
      <c r="F212" s="524">
        <f t="shared" si="31"/>
        <v>378528.03122807352</v>
      </c>
      <c r="G212" s="528"/>
      <c r="H212" s="426"/>
      <c r="I212" s="620"/>
      <c r="J212" s="620"/>
      <c r="K212" s="426"/>
      <c r="L212" s="426"/>
      <c r="M212" s="621"/>
      <c r="N212" s="622">
        <v>80</v>
      </c>
      <c r="O212" s="623">
        <v>117367.05882352943</v>
      </c>
      <c r="P212" s="624">
        <v>97716.211764705891</v>
      </c>
      <c r="Q212" s="623">
        <v>93235.514018691596</v>
      </c>
      <c r="R212" s="624">
        <v>77625.028037383192</v>
      </c>
    </row>
    <row r="213" spans="1:18" ht="13" hidden="1">
      <c r="A213" s="483">
        <f t="shared" si="32"/>
        <v>81</v>
      </c>
      <c r="B213" s="484" t="str">
        <f t="shared" si="27"/>
        <v>81A</v>
      </c>
      <c r="C213" s="522">
        <f t="shared" si="28"/>
        <v>603731.37475180393</v>
      </c>
      <c r="D213" s="522">
        <f t="shared" si="29"/>
        <v>496522.23545064108</v>
      </c>
      <c r="E213" s="522">
        <f t="shared" si="30"/>
        <v>479599.69022339553</v>
      </c>
      <c r="F213" s="524">
        <f t="shared" si="31"/>
        <v>394433.55152621033</v>
      </c>
      <c r="G213" s="528"/>
      <c r="H213" s="426"/>
      <c r="I213" s="620"/>
      <c r="J213" s="620"/>
      <c r="K213" s="426"/>
      <c r="L213" s="426"/>
      <c r="M213" s="621"/>
      <c r="N213" s="622">
        <v>81</v>
      </c>
      <c r="O213" s="623">
        <v>123807.64705882355</v>
      </c>
      <c r="P213" s="624">
        <v>101822.18823529413</v>
      </c>
      <c r="Q213" s="623">
        <v>98351.869158878515</v>
      </c>
      <c r="R213" s="624">
        <v>80886.785046728983</v>
      </c>
    </row>
    <row r="214" spans="1:18" ht="13" hidden="1">
      <c r="A214" s="483">
        <f t="shared" si="32"/>
        <v>82</v>
      </c>
      <c r="B214" s="484" t="str">
        <f t="shared" si="27"/>
        <v>82A</v>
      </c>
      <c r="C214" s="522">
        <f t="shared" si="28"/>
        <v>636328.90478985826</v>
      </c>
      <c r="D214" s="522">
        <f t="shared" si="29"/>
        <v>515726.74079086684</v>
      </c>
      <c r="E214" s="522">
        <f t="shared" si="30"/>
        <v>505494.92436577514</v>
      </c>
      <c r="F214" s="524">
        <f t="shared" si="31"/>
        <v>409689.46698339871</v>
      </c>
      <c r="G214" s="528"/>
      <c r="H214" s="426"/>
      <c r="I214" s="620"/>
      <c r="J214" s="620"/>
      <c r="K214" s="426"/>
      <c r="L214" s="426"/>
      <c r="M214" s="621"/>
      <c r="N214" s="622">
        <v>82</v>
      </c>
      <c r="O214" s="623">
        <v>130492.44705882356</v>
      </c>
      <c r="P214" s="624">
        <v>105760.4705882353</v>
      </c>
      <c r="Q214" s="623">
        <v>103662.22429906543</v>
      </c>
      <c r="R214" s="624">
        <v>84015.327102803742</v>
      </c>
    </row>
    <row r="215" spans="1:18" ht="13" hidden="1">
      <c r="A215" s="483">
        <f t="shared" si="32"/>
        <v>83</v>
      </c>
      <c r="B215" s="484" t="str">
        <f t="shared" si="27"/>
        <v>83A</v>
      </c>
      <c r="C215" s="522">
        <f t="shared" si="28"/>
        <v>670299.1604825157</v>
      </c>
      <c r="D215" s="522">
        <f t="shared" si="29"/>
        <v>537595.46292312501</v>
      </c>
      <c r="E215" s="522">
        <f t="shared" si="30"/>
        <v>532480.64150480228</v>
      </c>
      <c r="F215" s="524">
        <f t="shared" si="31"/>
        <v>427061.81634080026</v>
      </c>
      <c r="G215" s="528"/>
      <c r="H215" s="426"/>
      <c r="I215" s="620"/>
      <c r="J215" s="620"/>
      <c r="K215" s="426"/>
      <c r="L215" s="426"/>
      <c r="M215" s="621"/>
      <c r="N215" s="622">
        <v>83</v>
      </c>
      <c r="O215" s="623">
        <v>137458.7529411765</v>
      </c>
      <c r="P215" s="624">
        <v>110245.10588235296</v>
      </c>
      <c r="Q215" s="623">
        <v>109196.20560747666</v>
      </c>
      <c r="R215" s="624">
        <v>87577.887850467305</v>
      </c>
    </row>
    <row r="216" spans="1:18" ht="13" hidden="1">
      <c r="A216" s="483">
        <f t="shared" si="32"/>
        <v>84</v>
      </c>
      <c r="B216" s="484" t="str">
        <f t="shared" si="27"/>
        <v>84A</v>
      </c>
      <c r="C216" s="522">
        <f t="shared" si="28"/>
        <v>705859.45563701564</v>
      </c>
      <c r="D216" s="522">
        <f t="shared" si="29"/>
        <v>558813.73522790556</v>
      </c>
      <c r="E216" s="522">
        <f t="shared" si="30"/>
        <v>560729.47410417139</v>
      </c>
      <c r="F216" s="524">
        <f t="shared" si="31"/>
        <v>443917.45321842952</v>
      </c>
      <c r="G216" s="528"/>
      <c r="H216" s="426"/>
      <c r="I216" s="620"/>
      <c r="J216" s="620"/>
      <c r="K216" s="426"/>
      <c r="L216" s="426"/>
      <c r="M216" s="621"/>
      <c r="N216" s="622">
        <v>84</v>
      </c>
      <c r="O216" s="623">
        <v>144751.12941176473</v>
      </c>
      <c r="P216" s="624">
        <v>114596.35294117648</v>
      </c>
      <c r="Q216" s="623">
        <v>114989.21495327105</v>
      </c>
      <c r="R216" s="624">
        <v>91034.485981308419</v>
      </c>
    </row>
    <row r="217" spans="1:18" ht="13" hidden="1">
      <c r="A217" s="483">
        <f t="shared" si="32"/>
        <v>85</v>
      </c>
      <c r="B217" s="484" t="str">
        <f t="shared" si="27"/>
        <v>85A</v>
      </c>
      <c r="C217" s="522">
        <f t="shared" si="28"/>
        <v>743265.42655881296</v>
      </c>
      <c r="D217" s="522">
        <f t="shared" si="29"/>
        <v>580631.39894188393</v>
      </c>
      <c r="E217" s="522">
        <f t="shared" si="30"/>
        <v>590444.49773363641</v>
      </c>
      <c r="F217" s="524">
        <f t="shared" si="31"/>
        <v>461249.24215009465</v>
      </c>
      <c r="G217" s="528"/>
      <c r="H217" s="426"/>
      <c r="I217" s="620"/>
      <c r="J217" s="620"/>
      <c r="K217" s="426"/>
      <c r="L217" s="426"/>
      <c r="M217" s="621"/>
      <c r="N217" s="622">
        <v>85</v>
      </c>
      <c r="O217" s="623">
        <v>152422.00000000003</v>
      </c>
      <c r="P217" s="624">
        <v>119070.51764705885</v>
      </c>
      <c r="Q217" s="623">
        <v>121082.89719626169</v>
      </c>
      <c r="R217" s="624">
        <v>94588.728971962628</v>
      </c>
    </row>
    <row r="218" spans="1:18" ht="13" hidden="1">
      <c r="A218" s="483">
        <f t="shared" si="32"/>
        <v>86</v>
      </c>
      <c r="B218" s="484" t="str">
        <f t="shared" si="27"/>
        <v>86A</v>
      </c>
      <c r="C218" s="522">
        <f t="shared" si="28"/>
        <v>743265.42655881296</v>
      </c>
      <c r="D218" s="522">
        <f t="shared" si="29"/>
        <v>580631.39894188393</v>
      </c>
      <c r="E218" s="522">
        <f t="shared" si="30"/>
        <v>590444.49773363641</v>
      </c>
      <c r="F218" s="524">
        <f t="shared" si="31"/>
        <v>461249.24215009465</v>
      </c>
      <c r="G218" s="528"/>
      <c r="H218" s="426"/>
      <c r="I218" s="620"/>
      <c r="J218" s="620"/>
      <c r="K218" s="426"/>
      <c r="L218" s="426"/>
      <c r="M218" s="621"/>
      <c r="N218" s="622">
        <v>86</v>
      </c>
      <c r="O218" s="623">
        <v>152422.00000000003</v>
      </c>
      <c r="P218" s="624">
        <v>119070.51764705885</v>
      </c>
      <c r="Q218" s="623">
        <v>121082.89719626169</v>
      </c>
      <c r="R218" s="624">
        <v>94588.728971962628</v>
      </c>
    </row>
    <row r="219" spans="1:18" ht="13" hidden="1">
      <c r="A219" s="483">
        <f t="shared" si="32"/>
        <v>87</v>
      </c>
      <c r="B219" s="484" t="str">
        <f t="shared" si="27"/>
        <v>87A</v>
      </c>
      <c r="C219" s="522">
        <f t="shared" si="28"/>
        <v>743265.42655881296</v>
      </c>
      <c r="D219" s="522">
        <f t="shared" si="29"/>
        <v>580631.39894188393</v>
      </c>
      <c r="E219" s="522">
        <f t="shared" si="30"/>
        <v>590444.49773363641</v>
      </c>
      <c r="F219" s="524">
        <f t="shared" si="31"/>
        <v>461249.24215009465</v>
      </c>
      <c r="G219" s="528"/>
      <c r="H219" s="426"/>
      <c r="I219" s="620"/>
      <c r="J219" s="620"/>
      <c r="K219" s="426"/>
      <c r="L219" s="426"/>
      <c r="M219" s="621"/>
      <c r="N219" s="622">
        <v>87</v>
      </c>
      <c r="O219" s="623">
        <v>152422.00000000003</v>
      </c>
      <c r="P219" s="624">
        <v>119070.51764705885</v>
      </c>
      <c r="Q219" s="623">
        <v>121082.89719626169</v>
      </c>
      <c r="R219" s="624">
        <v>94588.728971962628</v>
      </c>
    </row>
    <row r="220" spans="1:18" ht="13" hidden="1">
      <c r="A220" s="483">
        <f t="shared" si="32"/>
        <v>88</v>
      </c>
      <c r="B220" s="484" t="str">
        <f t="shared" si="27"/>
        <v>88A</v>
      </c>
      <c r="C220" s="522">
        <f t="shared" si="28"/>
        <v>743265.42655881296</v>
      </c>
      <c r="D220" s="522">
        <f t="shared" si="29"/>
        <v>580631.39894188393</v>
      </c>
      <c r="E220" s="522">
        <f t="shared" si="30"/>
        <v>590444.49773363641</v>
      </c>
      <c r="F220" s="524">
        <f t="shared" si="31"/>
        <v>461249.24215009465</v>
      </c>
      <c r="G220" s="528"/>
      <c r="H220" s="426"/>
      <c r="I220" s="620"/>
      <c r="J220" s="620"/>
      <c r="K220" s="426"/>
      <c r="L220" s="426"/>
      <c r="M220" s="621"/>
      <c r="N220" s="622">
        <v>88</v>
      </c>
      <c r="O220" s="623">
        <v>152422.00000000003</v>
      </c>
      <c r="P220" s="624">
        <v>119070.51764705885</v>
      </c>
      <c r="Q220" s="623">
        <v>121082.89719626169</v>
      </c>
      <c r="R220" s="624">
        <v>94588.728971962628</v>
      </c>
    </row>
    <row r="221" spans="1:18" ht="13" hidden="1">
      <c r="A221" s="483">
        <f t="shared" si="32"/>
        <v>89</v>
      </c>
      <c r="B221" s="484" t="str">
        <f t="shared" si="27"/>
        <v>89A</v>
      </c>
      <c r="C221" s="522">
        <f>+VLOOKUP(B221,$B$226:$F$436,4,FALSE)</f>
        <v>743265.42655881296</v>
      </c>
      <c r="D221" s="522">
        <f t="shared" si="29"/>
        <v>580631.39894188393</v>
      </c>
      <c r="E221" s="522">
        <f t="shared" si="30"/>
        <v>590444.49773363641</v>
      </c>
      <c r="F221" s="524">
        <f t="shared" si="31"/>
        <v>461249.24215009465</v>
      </c>
      <c r="G221" s="528"/>
      <c r="H221" s="426"/>
      <c r="I221" s="620"/>
      <c r="J221" s="620"/>
      <c r="K221" s="426"/>
      <c r="L221" s="426"/>
      <c r="M221" s="621"/>
      <c r="N221" s="622">
        <v>89</v>
      </c>
      <c r="O221" s="623">
        <v>152422.00000000003</v>
      </c>
      <c r="P221" s="624">
        <v>119070.51764705885</v>
      </c>
      <c r="Q221" s="623">
        <v>121082.89719626169</v>
      </c>
      <c r="R221" s="624">
        <v>94588.728971962628</v>
      </c>
    </row>
    <row r="222" spans="1:18" ht="13.5" hidden="1" thickBot="1">
      <c r="A222" s="486">
        <f t="shared" si="32"/>
        <v>90</v>
      </c>
      <c r="B222" s="487" t="str">
        <f t="shared" si="27"/>
        <v>90A</v>
      </c>
      <c r="C222" s="525">
        <f t="shared" si="28"/>
        <v>743265.42655881296</v>
      </c>
      <c r="D222" s="525">
        <f t="shared" si="29"/>
        <v>580631.39894188393</v>
      </c>
      <c r="E222" s="525">
        <f t="shared" si="30"/>
        <v>590444.49773363641</v>
      </c>
      <c r="F222" s="526">
        <f t="shared" si="31"/>
        <v>461249.24215009465</v>
      </c>
      <c r="G222" s="528"/>
      <c r="H222" s="426"/>
      <c r="I222" s="625"/>
      <c r="J222" s="620"/>
      <c r="K222" s="426"/>
      <c r="L222" s="426"/>
      <c r="M222" s="621"/>
      <c r="N222" s="626">
        <v>90</v>
      </c>
      <c r="O222" s="627">
        <v>152422.00000000003</v>
      </c>
      <c r="P222" s="628">
        <v>119070.51764705885</v>
      </c>
      <c r="Q222" s="627">
        <v>121082.89719626169</v>
      </c>
      <c r="R222" s="628">
        <v>94588.728971962628</v>
      </c>
    </row>
    <row r="223" spans="1:18" ht="13" hidden="1">
      <c r="A223" s="426"/>
      <c r="B223" s="483"/>
      <c r="C223" s="426"/>
      <c r="D223" s="426"/>
      <c r="E223" s="426"/>
      <c r="F223" s="426"/>
      <c r="G223" s="426"/>
      <c r="H223" s="426"/>
      <c r="I223" s="426"/>
      <c r="J223" s="426"/>
      <c r="K223" s="426"/>
      <c r="L223" s="426"/>
      <c r="M223" s="426"/>
      <c r="N223" s="426"/>
      <c r="O223" s="426"/>
      <c r="P223" s="426"/>
      <c r="Q223" s="426"/>
      <c r="R223" s="426"/>
    </row>
    <row r="226" spans="1:50" ht="13" hidden="1">
      <c r="A226" s="489"/>
      <c r="B226" s="483"/>
      <c r="C226" s="490"/>
      <c r="D226" s="491" t="s">
        <v>38</v>
      </c>
      <c r="E226" s="491"/>
      <c r="F226" s="492"/>
      <c r="G226" s="426"/>
      <c r="H226" s="426"/>
      <c r="I226" s="426"/>
      <c r="J226" s="426"/>
      <c r="K226" s="426"/>
      <c r="L226" s="426"/>
      <c r="M226" s="426"/>
      <c r="N226" s="426"/>
      <c r="O226" s="426"/>
      <c r="P226" s="426"/>
      <c r="Q226" s="426"/>
      <c r="R226" s="426"/>
      <c r="S226" s="426"/>
      <c r="T226" s="490"/>
      <c r="U226" s="491" t="s">
        <v>38</v>
      </c>
      <c r="V226" s="491"/>
      <c r="W226" s="492"/>
      <c r="X226" s="426"/>
      <c r="Y226" s="426"/>
      <c r="Z226" s="490"/>
      <c r="AA226" s="491" t="s">
        <v>38</v>
      </c>
      <c r="AB226" s="491"/>
      <c r="AC226" s="492"/>
      <c r="AD226" s="426"/>
      <c r="AE226" s="426"/>
      <c r="AF226" s="490"/>
      <c r="AG226" s="491" t="s">
        <v>38</v>
      </c>
      <c r="AH226" s="491"/>
      <c r="AI226" s="492"/>
      <c r="AJ226" s="426"/>
      <c r="AK226" s="426"/>
      <c r="AL226" s="490"/>
      <c r="AM226" s="491" t="s">
        <v>38</v>
      </c>
      <c r="AN226" s="491"/>
      <c r="AO226" s="492"/>
      <c r="AP226" s="426"/>
      <c r="AQ226" s="426"/>
      <c r="AR226" s="490"/>
      <c r="AS226" s="491" t="s">
        <v>38</v>
      </c>
      <c r="AT226" s="491"/>
      <c r="AU226" s="492"/>
      <c r="AV226" s="426" t="s">
        <v>39</v>
      </c>
      <c r="AW226" s="426"/>
      <c r="AX226" s="426"/>
    </row>
    <row r="227" spans="1:50" ht="13" hidden="1">
      <c r="A227" s="489"/>
      <c r="B227" s="493" t="s">
        <v>40</v>
      </c>
      <c r="C227" s="494" t="s">
        <v>36</v>
      </c>
      <c r="D227" s="495" t="s">
        <v>36</v>
      </c>
      <c r="E227" s="496" t="s">
        <v>35</v>
      </c>
      <c r="F227" s="497" t="s">
        <v>35</v>
      </c>
      <c r="G227" s="426"/>
      <c r="H227" s="426"/>
      <c r="I227" s="426"/>
      <c r="J227" s="426"/>
      <c r="K227" s="426"/>
      <c r="L227" s="426"/>
      <c r="M227" s="426"/>
      <c r="N227" s="426"/>
      <c r="O227" s="426"/>
      <c r="P227" s="426"/>
      <c r="Q227" s="426"/>
      <c r="R227" s="426"/>
      <c r="S227" s="426"/>
      <c r="T227" s="494" t="s">
        <v>36</v>
      </c>
      <c r="U227" s="495" t="s">
        <v>36</v>
      </c>
      <c r="V227" s="496" t="s">
        <v>35</v>
      </c>
      <c r="W227" s="497" t="s">
        <v>35</v>
      </c>
      <c r="X227" s="426"/>
      <c r="Y227" s="426"/>
      <c r="Z227" s="494" t="s">
        <v>36</v>
      </c>
      <c r="AA227" s="495" t="s">
        <v>36</v>
      </c>
      <c r="AB227" s="496" t="s">
        <v>35</v>
      </c>
      <c r="AC227" s="497" t="s">
        <v>35</v>
      </c>
      <c r="AD227" s="426"/>
      <c r="AE227" s="426"/>
      <c r="AF227" s="494" t="s">
        <v>36</v>
      </c>
      <c r="AG227" s="495" t="s">
        <v>36</v>
      </c>
      <c r="AH227" s="496" t="s">
        <v>35</v>
      </c>
      <c r="AI227" s="497" t="s">
        <v>35</v>
      </c>
      <c r="AJ227" s="426"/>
      <c r="AK227" s="426"/>
      <c r="AL227" s="494" t="s">
        <v>36</v>
      </c>
      <c r="AM227" s="495" t="s">
        <v>36</v>
      </c>
      <c r="AN227" s="496" t="s">
        <v>35</v>
      </c>
      <c r="AO227" s="497" t="s">
        <v>35</v>
      </c>
      <c r="AP227" s="426"/>
      <c r="AQ227" s="426"/>
      <c r="AR227" s="494" t="s">
        <v>36</v>
      </c>
      <c r="AS227" s="495" t="s">
        <v>36</v>
      </c>
      <c r="AT227" s="496" t="s">
        <v>35</v>
      </c>
      <c r="AU227" s="497" t="s">
        <v>35</v>
      </c>
      <c r="AV227" s="426"/>
      <c r="AW227" s="426"/>
      <c r="AX227" s="426"/>
    </row>
    <row r="228" spans="1:50" ht="13" hidden="1">
      <c r="A228" s="498" t="s">
        <v>31</v>
      </c>
      <c r="B228" s="493" t="s">
        <v>41</v>
      </c>
      <c r="C228" s="499" t="s">
        <v>32</v>
      </c>
      <c r="D228" s="500" t="s">
        <v>33</v>
      </c>
      <c r="E228" s="500" t="s">
        <v>32</v>
      </c>
      <c r="F228" s="501" t="s">
        <v>33</v>
      </c>
      <c r="G228" s="426"/>
      <c r="H228" s="426"/>
      <c r="I228" s="480" t="s">
        <v>42</v>
      </c>
      <c r="J228" s="481" t="s">
        <v>43</v>
      </c>
      <c r="K228" s="482" t="s">
        <v>44</v>
      </c>
      <c r="L228" s="426"/>
      <c r="M228" s="426"/>
      <c r="N228" s="426"/>
      <c r="O228" s="426"/>
      <c r="P228" s="426"/>
      <c r="Q228" s="426"/>
      <c r="R228" s="426"/>
      <c r="S228" s="426"/>
      <c r="T228" s="499" t="s">
        <v>32</v>
      </c>
      <c r="U228" s="500" t="s">
        <v>33</v>
      </c>
      <c r="V228" s="500" t="s">
        <v>32</v>
      </c>
      <c r="W228" s="501" t="s">
        <v>33</v>
      </c>
      <c r="X228" s="426"/>
      <c r="Y228" s="426"/>
      <c r="Z228" s="499" t="s">
        <v>32</v>
      </c>
      <c r="AA228" s="500" t="s">
        <v>33</v>
      </c>
      <c r="AB228" s="500" t="s">
        <v>32</v>
      </c>
      <c r="AC228" s="501" t="s">
        <v>33</v>
      </c>
      <c r="AD228" s="426"/>
      <c r="AE228" s="426"/>
      <c r="AF228" s="499" t="s">
        <v>32</v>
      </c>
      <c r="AG228" s="500" t="s">
        <v>33</v>
      </c>
      <c r="AH228" s="500" t="s">
        <v>32</v>
      </c>
      <c r="AI228" s="501" t="s">
        <v>33</v>
      </c>
      <c r="AJ228" s="426"/>
      <c r="AK228" s="426"/>
      <c r="AL228" s="499" t="s">
        <v>32</v>
      </c>
      <c r="AM228" s="500" t="s">
        <v>33</v>
      </c>
      <c r="AN228" s="500" t="s">
        <v>32</v>
      </c>
      <c r="AO228" s="501" t="s">
        <v>33</v>
      </c>
      <c r="AP228" s="426"/>
      <c r="AQ228" s="426"/>
      <c r="AR228" s="499" t="s">
        <v>32</v>
      </c>
      <c r="AS228" s="500" t="s">
        <v>33</v>
      </c>
      <c r="AT228" s="500" t="s">
        <v>32</v>
      </c>
      <c r="AU228" s="501" t="s">
        <v>33</v>
      </c>
      <c r="AV228" s="426"/>
      <c r="AW228" s="426"/>
      <c r="AX228" s="426"/>
    </row>
    <row r="229" spans="1:50" ht="13" hidden="1">
      <c r="A229" s="502">
        <v>0</v>
      </c>
      <c r="B229" s="517" t="str">
        <f t="shared" ref="B229:B238" si="33">+CONCATENATE(A229,$B$227)</f>
        <v>0A</v>
      </c>
      <c r="C229" s="503">
        <v>17575.078300059202</v>
      </c>
      <c r="D229" s="504">
        <v>17648.74202705975</v>
      </c>
      <c r="E229" s="504">
        <v>17575.078300059202</v>
      </c>
      <c r="F229" s="505">
        <v>17648.74202705975</v>
      </c>
      <c r="G229" s="426"/>
      <c r="H229" s="426"/>
      <c r="I229" s="483" t="s">
        <v>45</v>
      </c>
      <c r="J229" s="484">
        <v>1</v>
      </c>
      <c r="K229" s="485" t="s">
        <v>40</v>
      </c>
      <c r="L229" s="426"/>
      <c r="M229" s="426"/>
      <c r="N229" s="629"/>
      <c r="O229" s="629"/>
      <c r="P229" s="629"/>
      <c r="Q229" s="629"/>
      <c r="R229" s="629"/>
      <c r="S229" s="426"/>
      <c r="T229" s="503">
        <v>5389.2031657512644</v>
      </c>
      <c r="U229" s="504">
        <v>5411.7913320157104</v>
      </c>
      <c r="V229" s="504">
        <v>5389.2031657512644</v>
      </c>
      <c r="W229" s="505">
        <v>5411.7913320157104</v>
      </c>
      <c r="X229" s="426"/>
      <c r="Y229" s="426"/>
      <c r="Z229" s="503">
        <v>6143.4316732013212</v>
      </c>
      <c r="AA229" s="504">
        <v>6169.1810932548124</v>
      </c>
      <c r="AB229" s="504">
        <v>6143.4316732013212</v>
      </c>
      <c r="AC229" s="505">
        <v>6169.1810932548124</v>
      </c>
      <c r="AD229" s="426"/>
      <c r="AE229" s="426"/>
      <c r="AF229" s="503">
        <v>7065.13</v>
      </c>
      <c r="AG229" s="504">
        <v>7094.74</v>
      </c>
      <c r="AH229" s="504">
        <v>7065.13</v>
      </c>
      <c r="AI229" s="505">
        <v>7094.74</v>
      </c>
      <c r="AJ229" s="426"/>
      <c r="AK229" s="426"/>
      <c r="AL229" s="503">
        <v>8054.4122861699507</v>
      </c>
      <c r="AM229" s="504">
        <v>8088.171340762402</v>
      </c>
      <c r="AN229" s="504">
        <v>8054.4122861699507</v>
      </c>
      <c r="AO229" s="505">
        <v>8088.171340762402</v>
      </c>
      <c r="AP229" s="426"/>
      <c r="AQ229" s="426"/>
      <c r="AR229" s="503">
        <v>8255.7099999999991</v>
      </c>
      <c r="AS229" s="504">
        <v>8290.32</v>
      </c>
      <c r="AT229" s="504">
        <v>8255.7099999999991</v>
      </c>
      <c r="AU229" s="505">
        <v>8290.32</v>
      </c>
      <c r="AV229" s="630"/>
      <c r="AW229" s="630"/>
      <c r="AX229" s="630"/>
    </row>
    <row r="230" spans="1:50" ht="13" hidden="1">
      <c r="A230" s="502">
        <v>1</v>
      </c>
      <c r="B230" s="517" t="str">
        <f t="shared" si="33"/>
        <v>1A</v>
      </c>
      <c r="C230" s="503">
        <v>17575.078300059202</v>
      </c>
      <c r="D230" s="504">
        <v>17648.74202705975</v>
      </c>
      <c r="E230" s="504">
        <v>17575.078300059202</v>
      </c>
      <c r="F230" s="505">
        <v>17648.74202705975</v>
      </c>
      <c r="G230" s="426"/>
      <c r="H230" s="426"/>
      <c r="I230" s="483" t="s">
        <v>46</v>
      </c>
      <c r="J230" s="484">
        <v>2</v>
      </c>
      <c r="K230" s="485" t="s">
        <v>40</v>
      </c>
      <c r="L230" s="426"/>
      <c r="M230" s="426"/>
      <c r="N230" s="629"/>
      <c r="O230" s="629"/>
      <c r="P230" s="629"/>
      <c r="Q230" s="629"/>
      <c r="R230" s="629"/>
      <c r="S230" s="426"/>
      <c r="T230" s="503">
        <v>5389.2031657512644</v>
      </c>
      <c r="U230" s="504">
        <v>5411.7913320157104</v>
      </c>
      <c r="V230" s="504">
        <v>5389.2031657512644</v>
      </c>
      <c r="W230" s="505">
        <v>5411.7913320157104</v>
      </c>
      <c r="X230" s="426"/>
      <c r="Y230" s="426"/>
      <c r="Z230" s="503">
        <v>6143.4316732013212</v>
      </c>
      <c r="AA230" s="504">
        <v>6169.1810932548124</v>
      </c>
      <c r="AB230" s="504">
        <v>6143.4316732013212</v>
      </c>
      <c r="AC230" s="505">
        <v>6169.1810932548124</v>
      </c>
      <c r="AD230" s="426"/>
      <c r="AE230" s="426"/>
      <c r="AF230" s="503">
        <v>7065.13</v>
      </c>
      <c r="AG230" s="504">
        <v>7094.74</v>
      </c>
      <c r="AH230" s="504">
        <v>7065.13</v>
      </c>
      <c r="AI230" s="505">
        <v>7094.74</v>
      </c>
      <c r="AJ230" s="426"/>
      <c r="AK230" s="426"/>
      <c r="AL230" s="503">
        <v>8054.4122861699507</v>
      </c>
      <c r="AM230" s="504">
        <v>8088.171340762402</v>
      </c>
      <c r="AN230" s="504">
        <v>8054.4122861699507</v>
      </c>
      <c r="AO230" s="505">
        <v>8088.171340762402</v>
      </c>
      <c r="AP230" s="426"/>
      <c r="AQ230" s="426"/>
      <c r="AR230" s="503">
        <v>8255.7099999999991</v>
      </c>
      <c r="AS230" s="504">
        <v>8290.32</v>
      </c>
      <c r="AT230" s="504">
        <v>8255.7099999999991</v>
      </c>
      <c r="AU230" s="505">
        <v>8290.32</v>
      </c>
      <c r="AV230" s="630"/>
      <c r="AW230" s="630"/>
      <c r="AX230" s="630"/>
    </row>
    <row r="231" spans="1:50" ht="13" hidden="1">
      <c r="A231" s="502">
        <v>2</v>
      </c>
      <c r="B231" s="517" t="str">
        <f t="shared" si="33"/>
        <v>2A</v>
      </c>
      <c r="C231" s="503">
        <v>17575.078300059202</v>
      </c>
      <c r="D231" s="504">
        <v>17648.74202705975</v>
      </c>
      <c r="E231" s="504">
        <v>17575.078300059202</v>
      </c>
      <c r="F231" s="505">
        <v>17648.74202705975</v>
      </c>
      <c r="G231" s="426"/>
      <c r="H231" s="426"/>
      <c r="I231" s="483" t="s">
        <v>47</v>
      </c>
      <c r="J231" s="484">
        <v>3</v>
      </c>
      <c r="K231" s="485" t="s">
        <v>40</v>
      </c>
      <c r="L231" s="426"/>
      <c r="M231" s="426"/>
      <c r="N231" s="629"/>
      <c r="O231" s="629"/>
      <c r="P231" s="629"/>
      <c r="Q231" s="629"/>
      <c r="R231" s="629"/>
      <c r="S231" s="426"/>
      <c r="T231" s="503">
        <v>5389.2031657512644</v>
      </c>
      <c r="U231" s="504">
        <v>5411.7913320157104</v>
      </c>
      <c r="V231" s="504">
        <v>5389.2031657512644</v>
      </c>
      <c r="W231" s="505">
        <v>5411.7913320157104</v>
      </c>
      <c r="X231" s="426"/>
      <c r="Y231" s="426"/>
      <c r="Z231" s="503">
        <v>6143.4316732013212</v>
      </c>
      <c r="AA231" s="504">
        <v>6169.1810932548124</v>
      </c>
      <c r="AB231" s="504">
        <v>6143.4316732013212</v>
      </c>
      <c r="AC231" s="505">
        <v>6169.1810932548124</v>
      </c>
      <c r="AD231" s="426"/>
      <c r="AE231" s="426"/>
      <c r="AF231" s="503">
        <v>7065.13</v>
      </c>
      <c r="AG231" s="504">
        <v>7094.74</v>
      </c>
      <c r="AH231" s="504">
        <v>7065.13</v>
      </c>
      <c r="AI231" s="505">
        <v>7094.74</v>
      </c>
      <c r="AJ231" s="426"/>
      <c r="AK231" s="426"/>
      <c r="AL231" s="503">
        <v>8054.4122861699507</v>
      </c>
      <c r="AM231" s="504">
        <v>8088.171340762402</v>
      </c>
      <c r="AN231" s="504">
        <v>8054.4122861699507</v>
      </c>
      <c r="AO231" s="505">
        <v>8088.171340762402</v>
      </c>
      <c r="AP231" s="426"/>
      <c r="AQ231" s="426"/>
      <c r="AR231" s="503">
        <v>8255.7099999999991</v>
      </c>
      <c r="AS231" s="504">
        <v>8290.32</v>
      </c>
      <c r="AT231" s="504">
        <v>8255.7099999999991</v>
      </c>
      <c r="AU231" s="505">
        <v>8290.32</v>
      </c>
      <c r="AV231" s="630"/>
      <c r="AW231" s="630"/>
      <c r="AX231" s="630"/>
    </row>
    <row r="232" spans="1:50" ht="13" hidden="1">
      <c r="A232" s="502">
        <v>3</v>
      </c>
      <c r="B232" s="517" t="str">
        <f t="shared" si="33"/>
        <v>3A</v>
      </c>
      <c r="C232" s="503">
        <v>17575.078300059202</v>
      </c>
      <c r="D232" s="504">
        <v>17648.74202705975</v>
      </c>
      <c r="E232" s="504">
        <v>17575.078300059202</v>
      </c>
      <c r="F232" s="505">
        <v>17648.74202705975</v>
      </c>
      <c r="G232" s="426"/>
      <c r="H232" s="426"/>
      <c r="I232" s="483" t="s">
        <v>48</v>
      </c>
      <c r="J232" s="484">
        <v>4</v>
      </c>
      <c r="K232" s="485" t="s">
        <v>49</v>
      </c>
      <c r="L232" s="426"/>
      <c r="M232" s="426"/>
      <c r="N232" s="629"/>
      <c r="O232" s="629"/>
      <c r="P232" s="629"/>
      <c r="Q232" s="629"/>
      <c r="R232" s="629"/>
      <c r="S232" s="426"/>
      <c r="T232" s="503">
        <v>5389.2031657512644</v>
      </c>
      <c r="U232" s="504">
        <v>5411.7913320157104</v>
      </c>
      <c r="V232" s="504">
        <v>5389.2031657512644</v>
      </c>
      <c r="W232" s="505">
        <v>5411.7913320157104</v>
      </c>
      <c r="X232" s="426"/>
      <c r="Y232" s="426"/>
      <c r="Z232" s="503">
        <v>6143.4316732013158</v>
      </c>
      <c r="AA232" s="504">
        <v>6169.1810932548124</v>
      </c>
      <c r="AB232" s="504">
        <v>6143.4316732013212</v>
      </c>
      <c r="AC232" s="505">
        <v>6169.1810932548124</v>
      </c>
      <c r="AD232" s="426"/>
      <c r="AE232" s="426"/>
      <c r="AF232" s="503">
        <v>7065.13</v>
      </c>
      <c r="AG232" s="504">
        <v>7094.74</v>
      </c>
      <c r="AH232" s="504">
        <v>7065.13</v>
      </c>
      <c r="AI232" s="505">
        <v>7094.74</v>
      </c>
      <c r="AJ232" s="426"/>
      <c r="AK232" s="426"/>
      <c r="AL232" s="503">
        <v>8054.4122861699507</v>
      </c>
      <c r="AM232" s="504">
        <v>8088.171340762402</v>
      </c>
      <c r="AN232" s="504">
        <v>8054.4122861699507</v>
      </c>
      <c r="AO232" s="505">
        <v>8088.171340762402</v>
      </c>
      <c r="AP232" s="426"/>
      <c r="AQ232" s="426"/>
      <c r="AR232" s="503">
        <v>8255.7099999999991</v>
      </c>
      <c r="AS232" s="504">
        <v>8290.32</v>
      </c>
      <c r="AT232" s="504">
        <v>8255.7099999999991</v>
      </c>
      <c r="AU232" s="505">
        <v>8290.32</v>
      </c>
      <c r="AV232" s="630"/>
      <c r="AW232" s="630"/>
      <c r="AX232" s="630"/>
    </row>
    <row r="233" spans="1:50" ht="13" hidden="1">
      <c r="A233" s="502">
        <v>4</v>
      </c>
      <c r="B233" s="517" t="str">
        <f t="shared" si="33"/>
        <v>4A</v>
      </c>
      <c r="C233" s="503">
        <v>17575.078300059202</v>
      </c>
      <c r="D233" s="504">
        <v>17648.74202705975</v>
      </c>
      <c r="E233" s="504">
        <v>17575.078300059202</v>
      </c>
      <c r="F233" s="505">
        <v>17648.74202705975</v>
      </c>
      <c r="G233" s="426"/>
      <c r="H233" s="426"/>
      <c r="I233" s="486" t="s">
        <v>50</v>
      </c>
      <c r="J233" s="487">
        <v>5</v>
      </c>
      <c r="K233" s="488" t="s">
        <v>40</v>
      </c>
      <c r="L233" s="426"/>
      <c r="M233" s="426"/>
      <c r="N233" s="629"/>
      <c r="O233" s="629"/>
      <c r="P233" s="629"/>
      <c r="Q233" s="629"/>
      <c r="R233" s="629"/>
      <c r="S233" s="426"/>
      <c r="T233" s="503">
        <v>5389.2031657512644</v>
      </c>
      <c r="U233" s="504">
        <v>5411.7913320157104</v>
      </c>
      <c r="V233" s="504">
        <v>5389.2031657512644</v>
      </c>
      <c r="W233" s="505">
        <v>5411.7913320157104</v>
      </c>
      <c r="X233" s="426"/>
      <c r="Y233" s="426"/>
      <c r="Z233" s="503">
        <v>6143.4316732013158</v>
      </c>
      <c r="AA233" s="504">
        <v>6169.1810932548124</v>
      </c>
      <c r="AB233" s="504">
        <v>6143.4316732013212</v>
      </c>
      <c r="AC233" s="505">
        <v>6169.1810932548124</v>
      </c>
      <c r="AD233" s="426"/>
      <c r="AE233" s="426"/>
      <c r="AF233" s="503">
        <v>7065.13</v>
      </c>
      <c r="AG233" s="504">
        <v>7094.74</v>
      </c>
      <c r="AH233" s="504">
        <v>7065.13</v>
      </c>
      <c r="AI233" s="505">
        <v>7094.74</v>
      </c>
      <c r="AJ233" s="426"/>
      <c r="AK233" s="426"/>
      <c r="AL233" s="503">
        <v>8054.4122861699507</v>
      </c>
      <c r="AM233" s="504">
        <v>8088.171340762402</v>
      </c>
      <c r="AN233" s="504">
        <v>8054.4122861699507</v>
      </c>
      <c r="AO233" s="505">
        <v>8088.171340762402</v>
      </c>
      <c r="AP233" s="426"/>
      <c r="AQ233" s="426"/>
      <c r="AR233" s="503">
        <v>8255.7099999999991</v>
      </c>
      <c r="AS233" s="504">
        <v>8290.32</v>
      </c>
      <c r="AT233" s="504">
        <v>8255.7099999999991</v>
      </c>
      <c r="AU233" s="505">
        <v>8290.32</v>
      </c>
      <c r="AV233" s="630"/>
      <c r="AW233" s="630"/>
      <c r="AX233" s="630"/>
    </row>
    <row r="234" spans="1:50" ht="13" hidden="1">
      <c r="A234" s="502">
        <v>5</v>
      </c>
      <c r="B234" s="517" t="str">
        <f t="shared" si="33"/>
        <v>5A</v>
      </c>
      <c r="C234" s="503">
        <v>17575.078300059202</v>
      </c>
      <c r="D234" s="504">
        <v>17648.74202705975</v>
      </c>
      <c r="E234" s="504">
        <v>17575.078300059202</v>
      </c>
      <c r="F234" s="505">
        <v>17648.74202705975</v>
      </c>
      <c r="G234" s="426"/>
      <c r="H234" s="426"/>
      <c r="I234" s="426"/>
      <c r="J234" s="426"/>
      <c r="K234" s="426"/>
      <c r="L234" s="426"/>
      <c r="M234" s="426"/>
      <c r="N234" s="629"/>
      <c r="O234" s="629"/>
      <c r="P234" s="629"/>
      <c r="Q234" s="629"/>
      <c r="R234" s="629"/>
      <c r="S234" s="426"/>
      <c r="T234" s="503">
        <v>5389.2031657512644</v>
      </c>
      <c r="U234" s="504">
        <v>5411.7913320157104</v>
      </c>
      <c r="V234" s="504">
        <v>5389.2031657512644</v>
      </c>
      <c r="W234" s="505">
        <v>5411.7913320157104</v>
      </c>
      <c r="X234" s="426"/>
      <c r="Y234" s="426"/>
      <c r="Z234" s="503">
        <v>6143.4316732013158</v>
      </c>
      <c r="AA234" s="504">
        <v>6169.1810932548124</v>
      </c>
      <c r="AB234" s="504">
        <v>6143.4316732013212</v>
      </c>
      <c r="AC234" s="505">
        <v>6169.1810932548124</v>
      </c>
      <c r="AD234" s="426"/>
      <c r="AE234" s="426"/>
      <c r="AF234" s="503">
        <v>7065.13</v>
      </c>
      <c r="AG234" s="504">
        <v>7094.74</v>
      </c>
      <c r="AH234" s="504">
        <v>7065.13</v>
      </c>
      <c r="AI234" s="505">
        <v>7094.74</v>
      </c>
      <c r="AJ234" s="426"/>
      <c r="AK234" s="426"/>
      <c r="AL234" s="503">
        <v>8054.4122861699507</v>
      </c>
      <c r="AM234" s="504">
        <v>8088.171340762402</v>
      </c>
      <c r="AN234" s="504">
        <v>8054.4122861699507</v>
      </c>
      <c r="AO234" s="505">
        <v>8088.171340762402</v>
      </c>
      <c r="AP234" s="426"/>
      <c r="AQ234" s="426"/>
      <c r="AR234" s="503">
        <v>8255.7099999999991</v>
      </c>
      <c r="AS234" s="504">
        <v>8290.32</v>
      </c>
      <c r="AT234" s="504">
        <v>8255.7099999999991</v>
      </c>
      <c r="AU234" s="505">
        <v>8290.32</v>
      </c>
      <c r="AV234" s="630"/>
      <c r="AW234" s="630"/>
      <c r="AX234" s="630"/>
    </row>
    <row r="235" spans="1:50" ht="13" hidden="1">
      <c r="A235" s="502">
        <v>6</v>
      </c>
      <c r="B235" s="517" t="str">
        <f t="shared" si="33"/>
        <v>6A</v>
      </c>
      <c r="C235" s="503">
        <v>17575.078300059202</v>
      </c>
      <c r="D235" s="504">
        <v>17648.74202705975</v>
      </c>
      <c r="E235" s="504">
        <v>17575.078300059202</v>
      </c>
      <c r="F235" s="505">
        <v>17648.74202705975</v>
      </c>
      <c r="G235" s="426"/>
      <c r="H235" s="426"/>
      <c r="I235" s="426"/>
      <c r="J235" s="426"/>
      <c r="K235" s="426"/>
      <c r="L235" s="426"/>
      <c r="M235" s="426"/>
      <c r="N235" s="629"/>
      <c r="O235" s="629"/>
      <c r="P235" s="629"/>
      <c r="Q235" s="629"/>
      <c r="R235" s="629"/>
      <c r="S235" s="426"/>
      <c r="T235" s="503">
        <v>5389.2031657512644</v>
      </c>
      <c r="U235" s="504">
        <v>5411.7913320157104</v>
      </c>
      <c r="V235" s="504">
        <v>5389.2031657512644</v>
      </c>
      <c r="W235" s="505">
        <v>5411.7913320157104</v>
      </c>
      <c r="X235" s="426"/>
      <c r="Y235" s="426"/>
      <c r="Z235" s="503">
        <v>6143.4316732013158</v>
      </c>
      <c r="AA235" s="504">
        <v>6169.1810932548124</v>
      </c>
      <c r="AB235" s="504">
        <v>6143.4316732013212</v>
      </c>
      <c r="AC235" s="505">
        <v>6169.1810932548124</v>
      </c>
      <c r="AD235" s="426"/>
      <c r="AE235" s="426"/>
      <c r="AF235" s="503">
        <v>7065.13</v>
      </c>
      <c r="AG235" s="504">
        <v>7094.74</v>
      </c>
      <c r="AH235" s="504">
        <v>7065.13</v>
      </c>
      <c r="AI235" s="505">
        <v>7094.74</v>
      </c>
      <c r="AJ235" s="426"/>
      <c r="AK235" s="426"/>
      <c r="AL235" s="503">
        <v>8054.4122861699507</v>
      </c>
      <c r="AM235" s="504">
        <v>8088.171340762402</v>
      </c>
      <c r="AN235" s="504">
        <v>8054.4122861699507</v>
      </c>
      <c r="AO235" s="505">
        <v>8088.171340762402</v>
      </c>
      <c r="AP235" s="426"/>
      <c r="AQ235" s="426"/>
      <c r="AR235" s="503">
        <v>8255.7099999999991</v>
      </c>
      <c r="AS235" s="504">
        <v>8290.32</v>
      </c>
      <c r="AT235" s="504">
        <v>8255.7099999999991</v>
      </c>
      <c r="AU235" s="505">
        <v>8290.32</v>
      </c>
      <c r="AV235" s="630"/>
      <c r="AW235" s="630"/>
      <c r="AX235" s="630"/>
    </row>
    <row r="236" spans="1:50" ht="13" hidden="1">
      <c r="A236" s="502">
        <v>7</v>
      </c>
      <c r="B236" s="517" t="str">
        <f t="shared" si="33"/>
        <v>7A</v>
      </c>
      <c r="C236" s="503">
        <v>17575.078300059202</v>
      </c>
      <c r="D236" s="504">
        <v>17648.74202705975</v>
      </c>
      <c r="E236" s="504">
        <v>17575.078300059202</v>
      </c>
      <c r="F236" s="505">
        <v>17648.74202705975</v>
      </c>
      <c r="G236" s="426"/>
      <c r="H236" s="426"/>
      <c r="I236" s="426"/>
      <c r="J236" s="426"/>
      <c r="K236" s="426"/>
      <c r="L236" s="426"/>
      <c r="M236" s="426"/>
      <c r="N236" s="629"/>
      <c r="O236" s="629"/>
      <c r="P236" s="629"/>
      <c r="Q236" s="629"/>
      <c r="R236" s="629"/>
      <c r="S236" s="426"/>
      <c r="T236" s="503">
        <v>5389.2031657512644</v>
      </c>
      <c r="U236" s="504">
        <v>5411.7913320157104</v>
      </c>
      <c r="V236" s="504">
        <v>5389.2031657512644</v>
      </c>
      <c r="W236" s="505">
        <v>5411.7913320157104</v>
      </c>
      <c r="X236" s="426"/>
      <c r="Y236" s="426"/>
      <c r="Z236" s="503">
        <v>6143.4316732013158</v>
      </c>
      <c r="AA236" s="504">
        <v>6169.1810932548124</v>
      </c>
      <c r="AB236" s="504">
        <v>6143.4316732013212</v>
      </c>
      <c r="AC236" s="505">
        <v>6169.1810932548124</v>
      </c>
      <c r="AD236" s="426"/>
      <c r="AE236" s="426"/>
      <c r="AF236" s="503">
        <v>7065.13</v>
      </c>
      <c r="AG236" s="504">
        <v>7094.74</v>
      </c>
      <c r="AH236" s="504">
        <v>7065.13</v>
      </c>
      <c r="AI236" s="505">
        <v>7094.74</v>
      </c>
      <c r="AJ236" s="426"/>
      <c r="AK236" s="426"/>
      <c r="AL236" s="503">
        <v>8054.4122861699507</v>
      </c>
      <c r="AM236" s="504">
        <v>8088.171340762402</v>
      </c>
      <c r="AN236" s="504">
        <v>8054.4122861699507</v>
      </c>
      <c r="AO236" s="505">
        <v>8088.171340762402</v>
      </c>
      <c r="AP236" s="426"/>
      <c r="AQ236" s="426"/>
      <c r="AR236" s="503">
        <v>8255.7099999999991</v>
      </c>
      <c r="AS236" s="504">
        <v>8290.32</v>
      </c>
      <c r="AT236" s="504">
        <v>8255.7099999999991</v>
      </c>
      <c r="AU236" s="505">
        <v>8290.32</v>
      </c>
      <c r="AV236" s="630"/>
      <c r="AW236" s="630"/>
      <c r="AX236" s="630"/>
    </row>
    <row r="237" spans="1:50" ht="13" hidden="1">
      <c r="A237" s="502">
        <v>8</v>
      </c>
      <c r="B237" s="517" t="str">
        <f t="shared" si="33"/>
        <v>8A</v>
      </c>
      <c r="C237" s="503">
        <v>17575.078300059202</v>
      </c>
      <c r="D237" s="504">
        <v>17648.74202705975</v>
      </c>
      <c r="E237" s="504">
        <v>17575.078300059202</v>
      </c>
      <c r="F237" s="505">
        <v>17648.74202705975</v>
      </c>
      <c r="G237" s="426"/>
      <c r="H237" s="426"/>
      <c r="I237" s="426"/>
      <c r="J237" s="426"/>
      <c r="K237" s="426"/>
      <c r="L237" s="426"/>
      <c r="M237" s="426"/>
      <c r="N237" s="629"/>
      <c r="O237" s="629"/>
      <c r="P237" s="629"/>
      <c r="Q237" s="629"/>
      <c r="R237" s="629"/>
      <c r="S237" s="426"/>
      <c r="T237" s="503">
        <v>5389.2031657512644</v>
      </c>
      <c r="U237" s="504">
        <v>5411.7913320157104</v>
      </c>
      <c r="V237" s="504">
        <v>5389.2031657512644</v>
      </c>
      <c r="W237" s="505">
        <v>5411.7913320157104</v>
      </c>
      <c r="X237" s="426"/>
      <c r="Y237" s="426"/>
      <c r="Z237" s="503">
        <v>6143.4316732013212</v>
      </c>
      <c r="AA237" s="504">
        <v>6169.1810932548124</v>
      </c>
      <c r="AB237" s="504">
        <v>6143.4316732013212</v>
      </c>
      <c r="AC237" s="505">
        <v>6169.1810932548124</v>
      </c>
      <c r="AD237" s="426"/>
      <c r="AE237" s="426"/>
      <c r="AF237" s="503">
        <v>7065.13</v>
      </c>
      <c r="AG237" s="504">
        <v>7094.74</v>
      </c>
      <c r="AH237" s="504">
        <v>7065.13</v>
      </c>
      <c r="AI237" s="505">
        <v>7094.74</v>
      </c>
      <c r="AJ237" s="426"/>
      <c r="AK237" s="426"/>
      <c r="AL237" s="503">
        <v>8054.4122861699507</v>
      </c>
      <c r="AM237" s="504">
        <v>8088.171340762402</v>
      </c>
      <c r="AN237" s="504">
        <v>8054.4122861699507</v>
      </c>
      <c r="AO237" s="505">
        <v>8088.171340762402</v>
      </c>
      <c r="AP237" s="426"/>
      <c r="AQ237" s="426"/>
      <c r="AR237" s="503">
        <v>8255.7099999999991</v>
      </c>
      <c r="AS237" s="504">
        <v>8290.32</v>
      </c>
      <c r="AT237" s="504">
        <v>8255.7099999999991</v>
      </c>
      <c r="AU237" s="505">
        <v>8290.32</v>
      </c>
      <c r="AV237" s="630"/>
      <c r="AW237" s="630"/>
      <c r="AX237" s="630"/>
    </row>
    <row r="238" spans="1:50" ht="13" hidden="1">
      <c r="A238" s="502">
        <v>9</v>
      </c>
      <c r="B238" s="517" t="str">
        <f t="shared" si="33"/>
        <v>9A</v>
      </c>
      <c r="C238" s="503">
        <v>17575.078300059202</v>
      </c>
      <c r="D238" s="504">
        <v>17648.74202705975</v>
      </c>
      <c r="E238" s="504">
        <v>17575.078300059202</v>
      </c>
      <c r="F238" s="505">
        <v>17648.74202705975</v>
      </c>
      <c r="G238" s="426"/>
      <c r="H238" s="426"/>
      <c r="I238" s="426"/>
      <c r="J238" s="426"/>
      <c r="K238" s="426"/>
      <c r="L238" s="426"/>
      <c r="M238" s="426"/>
      <c r="N238" s="629"/>
      <c r="O238" s="629"/>
      <c r="P238" s="629"/>
      <c r="Q238" s="629"/>
      <c r="R238" s="629"/>
      <c r="S238" s="426"/>
      <c r="T238" s="503">
        <v>5389.2031657512644</v>
      </c>
      <c r="U238" s="504">
        <v>5411.7913320157104</v>
      </c>
      <c r="V238" s="504">
        <v>5389.2031657512644</v>
      </c>
      <c r="W238" s="505">
        <v>5411.7913320157104</v>
      </c>
      <c r="X238" s="426"/>
      <c r="Y238" s="426"/>
      <c r="Z238" s="503">
        <v>6143.4316732013212</v>
      </c>
      <c r="AA238" s="504">
        <v>6169.1810932548124</v>
      </c>
      <c r="AB238" s="504">
        <v>6143.4316732013212</v>
      </c>
      <c r="AC238" s="505">
        <v>6169.1810932548124</v>
      </c>
      <c r="AD238" s="426"/>
      <c r="AE238" s="426"/>
      <c r="AF238" s="503">
        <v>7065.13</v>
      </c>
      <c r="AG238" s="504">
        <v>7094.74</v>
      </c>
      <c r="AH238" s="504">
        <v>7065.13</v>
      </c>
      <c r="AI238" s="505">
        <v>7094.74</v>
      </c>
      <c r="AJ238" s="426"/>
      <c r="AK238" s="426"/>
      <c r="AL238" s="503">
        <v>8054.4122861699507</v>
      </c>
      <c r="AM238" s="504">
        <v>8088.171340762402</v>
      </c>
      <c r="AN238" s="504">
        <v>8054.4122861699507</v>
      </c>
      <c r="AO238" s="505">
        <v>8088.171340762402</v>
      </c>
      <c r="AP238" s="426"/>
      <c r="AQ238" s="426"/>
      <c r="AR238" s="503">
        <v>8255.7099999999991</v>
      </c>
      <c r="AS238" s="504">
        <v>8290.32</v>
      </c>
      <c r="AT238" s="504">
        <v>8255.7099999999991</v>
      </c>
      <c r="AU238" s="505">
        <v>8290.32</v>
      </c>
      <c r="AV238" s="630"/>
      <c r="AW238" s="630"/>
      <c r="AX238" s="630"/>
    </row>
    <row r="239" spans="1:50" ht="13" hidden="1">
      <c r="A239" s="502">
        <v>10</v>
      </c>
      <c r="B239" s="517" t="str">
        <f t="shared" ref="B239:B293" si="34">+CONCATENATE(A239,$B$227)</f>
        <v>10A</v>
      </c>
      <c r="C239" s="503">
        <v>17575.078300059202</v>
      </c>
      <c r="D239" s="504">
        <v>17648.74202705975</v>
      </c>
      <c r="E239" s="504">
        <v>17575.078300059202</v>
      </c>
      <c r="F239" s="505">
        <v>17648.74202705975</v>
      </c>
      <c r="G239" s="426"/>
      <c r="H239" s="426"/>
      <c r="I239" s="426"/>
      <c r="J239" s="426"/>
      <c r="K239" s="426"/>
      <c r="L239" s="426"/>
      <c r="M239" s="426"/>
      <c r="N239" s="629"/>
      <c r="O239" s="629"/>
      <c r="P239" s="629"/>
      <c r="Q239" s="629"/>
      <c r="R239" s="629"/>
      <c r="S239" s="426"/>
      <c r="T239" s="503">
        <v>5389.2031657512644</v>
      </c>
      <c r="U239" s="504">
        <v>5411.7913320157104</v>
      </c>
      <c r="V239" s="504">
        <v>5389.2031657512644</v>
      </c>
      <c r="W239" s="505">
        <v>5411.7913320157104</v>
      </c>
      <c r="X239" s="426"/>
      <c r="Y239" s="426"/>
      <c r="Z239" s="503">
        <v>6143.4316732013212</v>
      </c>
      <c r="AA239" s="504">
        <v>6169.1810932548124</v>
      </c>
      <c r="AB239" s="504">
        <v>6143.4316732013212</v>
      </c>
      <c r="AC239" s="505">
        <v>6169.1810932548124</v>
      </c>
      <c r="AD239" s="426"/>
      <c r="AE239" s="426"/>
      <c r="AF239" s="503">
        <v>7065.13</v>
      </c>
      <c r="AG239" s="504">
        <v>7094.74</v>
      </c>
      <c r="AH239" s="504">
        <v>7065.13</v>
      </c>
      <c r="AI239" s="505">
        <v>7094.74</v>
      </c>
      <c r="AJ239" s="426"/>
      <c r="AK239" s="426"/>
      <c r="AL239" s="503">
        <v>8054.4122861699507</v>
      </c>
      <c r="AM239" s="504">
        <v>8088.171340762402</v>
      </c>
      <c r="AN239" s="504">
        <v>8054.4122861699507</v>
      </c>
      <c r="AO239" s="505">
        <v>8088.171340762402</v>
      </c>
      <c r="AP239" s="426"/>
      <c r="AQ239" s="426"/>
      <c r="AR239" s="503">
        <v>8255.7099999999991</v>
      </c>
      <c r="AS239" s="504">
        <v>8290.32</v>
      </c>
      <c r="AT239" s="504">
        <v>8255.7099999999991</v>
      </c>
      <c r="AU239" s="505">
        <v>8290.32</v>
      </c>
      <c r="AV239" s="630"/>
      <c r="AW239" s="630"/>
      <c r="AX239" s="630"/>
    </row>
    <row r="240" spans="1:50" ht="13" hidden="1">
      <c r="A240" s="502">
        <v>11</v>
      </c>
      <c r="B240" s="517" t="str">
        <f t="shared" si="34"/>
        <v>11A</v>
      </c>
      <c r="C240" s="503">
        <v>17774.036462017822</v>
      </c>
      <c r="D240" s="504">
        <v>17639.928819442546</v>
      </c>
      <c r="E240" s="504">
        <v>17774.036462017822</v>
      </c>
      <c r="F240" s="505">
        <v>17639.928819442546</v>
      </c>
      <c r="G240" s="426"/>
      <c r="H240" s="426"/>
      <c r="I240" s="426"/>
      <c r="J240" s="426"/>
      <c r="K240" s="426"/>
      <c r="L240" s="426"/>
      <c r="M240" s="426"/>
      <c r="N240" s="629"/>
      <c r="O240" s="629"/>
      <c r="P240" s="629"/>
      <c r="Q240" s="629"/>
      <c r="R240" s="629"/>
      <c r="S240" s="426"/>
      <c r="T240" s="503">
        <v>5450.2114832092766</v>
      </c>
      <c r="U240" s="504">
        <v>5409.0888594815797</v>
      </c>
      <c r="V240" s="504">
        <v>5450.2114832092766</v>
      </c>
      <c r="W240" s="505">
        <v>5409.0888594815797</v>
      </c>
      <c r="X240" s="426"/>
      <c r="Y240" s="426"/>
      <c r="Z240" s="503">
        <v>6212.9782125083111</v>
      </c>
      <c r="AA240" s="504">
        <v>6166.100404913419</v>
      </c>
      <c r="AB240" s="504">
        <v>6212.9782125083111</v>
      </c>
      <c r="AC240" s="505">
        <v>6166.100404913419</v>
      </c>
      <c r="AD240" s="426"/>
      <c r="AE240" s="426"/>
      <c r="AF240" s="503">
        <v>7145.11</v>
      </c>
      <c r="AG240" s="504">
        <v>7091.2</v>
      </c>
      <c r="AH240" s="504">
        <v>7145.11</v>
      </c>
      <c r="AI240" s="505">
        <v>7091.2</v>
      </c>
      <c r="AJ240" s="426"/>
      <c r="AK240" s="426"/>
      <c r="AL240" s="503">
        <v>8145.5920258418882</v>
      </c>
      <c r="AM240" s="504">
        <v>8084.1323711202349</v>
      </c>
      <c r="AN240" s="504">
        <v>8145.5920258418882</v>
      </c>
      <c r="AO240" s="505">
        <v>8084.1323711202349</v>
      </c>
      <c r="AP240" s="426"/>
      <c r="AQ240" s="426"/>
      <c r="AR240" s="503">
        <v>8349.17</v>
      </c>
      <c r="AS240" s="504">
        <v>8286.18</v>
      </c>
      <c r="AT240" s="504">
        <v>8349.17</v>
      </c>
      <c r="AU240" s="505">
        <v>8286.18</v>
      </c>
      <c r="AV240" s="630"/>
      <c r="AW240" s="630"/>
      <c r="AX240" s="630"/>
    </row>
    <row r="241" spans="1:50" ht="13" hidden="1">
      <c r="A241" s="502">
        <v>12</v>
      </c>
      <c r="B241" s="517" t="str">
        <f t="shared" si="34"/>
        <v>12A</v>
      </c>
      <c r="C241" s="503">
        <v>17707.937404888715</v>
      </c>
      <c r="D241" s="504">
        <v>17809.215849089869</v>
      </c>
      <c r="E241" s="504">
        <v>17707.937404888715</v>
      </c>
      <c r="F241" s="505">
        <v>17809.215849089869</v>
      </c>
      <c r="G241" s="426"/>
      <c r="H241" s="426"/>
      <c r="I241" s="426"/>
      <c r="J241" s="426"/>
      <c r="K241" s="426"/>
      <c r="L241" s="426"/>
      <c r="M241" s="426"/>
      <c r="N241" s="629"/>
      <c r="O241" s="629"/>
      <c r="P241" s="629"/>
      <c r="Q241" s="629"/>
      <c r="R241" s="629"/>
      <c r="S241" s="426"/>
      <c r="T241" s="503">
        <v>5429.9429392032926</v>
      </c>
      <c r="U241" s="504">
        <v>5460.9988527413507</v>
      </c>
      <c r="V241" s="504">
        <v>5429.9429392032926</v>
      </c>
      <c r="W241" s="505">
        <v>5460.9988527413507</v>
      </c>
      <c r="X241" s="426"/>
      <c r="Y241" s="426"/>
      <c r="Z241" s="503">
        <v>6189.8730499478497</v>
      </c>
      <c r="AA241" s="504">
        <v>6225.2752934710461</v>
      </c>
      <c r="AB241" s="504">
        <v>6189.8730499478497</v>
      </c>
      <c r="AC241" s="505">
        <v>6225.2752934710461</v>
      </c>
      <c r="AD241" s="426"/>
      <c r="AE241" s="426"/>
      <c r="AF241" s="503">
        <v>7118.54</v>
      </c>
      <c r="AG241" s="504">
        <v>7159.25</v>
      </c>
      <c r="AH241" s="504">
        <v>7118.54</v>
      </c>
      <c r="AI241" s="505">
        <v>7159.25</v>
      </c>
      <c r="AJ241" s="426"/>
      <c r="AK241" s="426"/>
      <c r="AL241" s="503">
        <v>8115.2997535256291</v>
      </c>
      <c r="AM241" s="504">
        <v>8161.7142463302062</v>
      </c>
      <c r="AN241" s="504">
        <v>8115.2997535256291</v>
      </c>
      <c r="AO241" s="505">
        <v>8161.7142463302062</v>
      </c>
      <c r="AP241" s="426"/>
      <c r="AQ241" s="426"/>
      <c r="AR241" s="503">
        <v>8318.1200000000008</v>
      </c>
      <c r="AS241" s="504">
        <v>8365.7000000000007</v>
      </c>
      <c r="AT241" s="504">
        <v>8318.1200000000008</v>
      </c>
      <c r="AU241" s="505">
        <v>8365.7000000000007</v>
      </c>
      <c r="AV241" s="630"/>
      <c r="AW241" s="630"/>
      <c r="AX241" s="630"/>
    </row>
    <row r="242" spans="1:50" ht="13" hidden="1">
      <c r="A242" s="502">
        <v>13</v>
      </c>
      <c r="B242" s="517" t="str">
        <f t="shared" si="34"/>
        <v>13A</v>
      </c>
      <c r="C242" s="503">
        <v>17576.694054789026</v>
      </c>
      <c r="D242" s="504">
        <v>17698.389763303399</v>
      </c>
      <c r="E242" s="504">
        <v>17576.694054789026</v>
      </c>
      <c r="F242" s="505">
        <v>17698.389763303399</v>
      </c>
      <c r="G242" s="426"/>
      <c r="H242" s="426"/>
      <c r="I242" s="426"/>
      <c r="J242" s="426"/>
      <c r="K242" s="426"/>
      <c r="L242" s="426"/>
      <c r="M242" s="426"/>
      <c r="N242" s="629"/>
      <c r="O242" s="629"/>
      <c r="P242" s="629"/>
      <c r="Q242" s="629"/>
      <c r="R242" s="629"/>
      <c r="S242" s="426"/>
      <c r="T242" s="503">
        <v>5389.6986190491871</v>
      </c>
      <c r="U242" s="504">
        <v>5427.0152606246511</v>
      </c>
      <c r="V242" s="504">
        <v>5389.6986190491871</v>
      </c>
      <c r="W242" s="505">
        <v>5427.0152606246511</v>
      </c>
      <c r="X242" s="426"/>
      <c r="Y242" s="426"/>
      <c r="Z242" s="503">
        <v>6143.996466063908</v>
      </c>
      <c r="AA242" s="504">
        <v>6186.5356375780057</v>
      </c>
      <c r="AB242" s="504">
        <v>6143.996466063908</v>
      </c>
      <c r="AC242" s="505">
        <v>6186.5356375780057</v>
      </c>
      <c r="AD242" s="426"/>
      <c r="AE242" s="426"/>
      <c r="AF242" s="503">
        <v>7065.78</v>
      </c>
      <c r="AG242" s="504">
        <v>7114.7</v>
      </c>
      <c r="AH242" s="504">
        <v>7065.78</v>
      </c>
      <c r="AI242" s="505">
        <v>7114.7</v>
      </c>
      <c r="AJ242" s="426"/>
      <c r="AK242" s="426"/>
      <c r="AL242" s="503">
        <v>8055.15276393768</v>
      </c>
      <c r="AM242" s="504">
        <v>8110.924203079946</v>
      </c>
      <c r="AN242" s="504">
        <v>8055.15276393768</v>
      </c>
      <c r="AO242" s="505">
        <v>8110.924203079946</v>
      </c>
      <c r="AP242" s="426"/>
      <c r="AQ242" s="426"/>
      <c r="AR242" s="503">
        <v>8256.4699999999993</v>
      </c>
      <c r="AS242" s="504">
        <v>8313.64</v>
      </c>
      <c r="AT242" s="504">
        <v>8256.4699999999993</v>
      </c>
      <c r="AU242" s="505">
        <v>8313.64</v>
      </c>
      <c r="AV242" s="630"/>
      <c r="AW242" s="630"/>
      <c r="AX242" s="630"/>
    </row>
    <row r="243" spans="1:50" ht="13" hidden="1">
      <c r="A243" s="502">
        <v>14</v>
      </c>
      <c r="B243" s="517" t="str">
        <f t="shared" si="34"/>
        <v>14A</v>
      </c>
      <c r="C243" s="503">
        <v>17101.36839063391</v>
      </c>
      <c r="D243" s="504">
        <v>17353.793345470302</v>
      </c>
      <c r="E243" s="504">
        <v>17101.36839063391</v>
      </c>
      <c r="F243" s="505">
        <v>17353.793345470302</v>
      </c>
      <c r="G243" s="426"/>
      <c r="H243" s="426"/>
      <c r="I243" s="426"/>
      <c r="J243" s="426"/>
      <c r="K243" s="426"/>
      <c r="L243" s="426"/>
      <c r="M243" s="426"/>
      <c r="N243" s="629"/>
      <c r="O243" s="629"/>
      <c r="P243" s="629"/>
      <c r="Q243" s="629"/>
      <c r="R243" s="629"/>
      <c r="S243" s="426"/>
      <c r="T243" s="503">
        <v>5243.9452670417077</v>
      </c>
      <c r="U243" s="504">
        <v>5321.3485845401174</v>
      </c>
      <c r="V243" s="504">
        <v>5243.9452670417077</v>
      </c>
      <c r="W243" s="505">
        <v>5321.3485845401174</v>
      </c>
      <c r="X243" s="426"/>
      <c r="Y243" s="426"/>
      <c r="Z243" s="503">
        <v>5977.8446748513416</v>
      </c>
      <c r="AA243" s="504">
        <v>6066.0807234294616</v>
      </c>
      <c r="AB243" s="504">
        <v>5977.8446748513416</v>
      </c>
      <c r="AC243" s="505">
        <v>6066.0807234294616</v>
      </c>
      <c r="AD243" s="426"/>
      <c r="AE243" s="426"/>
      <c r="AF243" s="503">
        <v>6874.7</v>
      </c>
      <c r="AG243" s="504">
        <v>6976.18</v>
      </c>
      <c r="AH243" s="504">
        <v>6874.7</v>
      </c>
      <c r="AI243" s="505">
        <v>6976.18</v>
      </c>
      <c r="AJ243" s="426"/>
      <c r="AK243" s="426"/>
      <c r="AL243" s="503">
        <v>7837.3176679034314</v>
      </c>
      <c r="AM243" s="504">
        <v>7953.0004900711874</v>
      </c>
      <c r="AN243" s="504">
        <v>7837.3176679034314</v>
      </c>
      <c r="AO243" s="505">
        <v>7953.0004900711874</v>
      </c>
      <c r="AP243" s="426"/>
      <c r="AQ243" s="426"/>
      <c r="AR243" s="503">
        <v>8033.19</v>
      </c>
      <c r="AS243" s="504">
        <v>8151.77</v>
      </c>
      <c r="AT243" s="504">
        <v>8033.19</v>
      </c>
      <c r="AU243" s="505">
        <v>8151.77</v>
      </c>
      <c r="AV243" s="630"/>
      <c r="AW243" s="630"/>
      <c r="AX243" s="630"/>
    </row>
    <row r="244" spans="1:50" ht="13" hidden="1">
      <c r="A244" s="502">
        <v>15</v>
      </c>
      <c r="B244" s="517" t="str">
        <f t="shared" si="34"/>
        <v>15A</v>
      </c>
      <c r="C244" s="503">
        <v>17164.676598684229</v>
      </c>
      <c r="D244" s="504">
        <v>17069.787730005559</v>
      </c>
      <c r="E244" s="504">
        <v>17164.676598684229</v>
      </c>
      <c r="F244" s="505">
        <v>17069.787730005559</v>
      </c>
      <c r="G244" s="426"/>
      <c r="H244" s="426"/>
      <c r="I244" s="426"/>
      <c r="J244" s="426"/>
      <c r="K244" s="426"/>
      <c r="L244" s="426"/>
      <c r="M244" s="426"/>
      <c r="N244" s="629"/>
      <c r="O244" s="629"/>
      <c r="P244" s="629"/>
      <c r="Q244" s="629"/>
      <c r="R244" s="629"/>
      <c r="S244" s="426"/>
      <c r="T244" s="503">
        <v>5263.3580280785482</v>
      </c>
      <c r="U244" s="504">
        <v>5234.2614071277367</v>
      </c>
      <c r="V244" s="504">
        <v>5263.3580280785482</v>
      </c>
      <c r="W244" s="505">
        <v>5234.2614071277367</v>
      </c>
      <c r="X244" s="426"/>
      <c r="Y244" s="426"/>
      <c r="Z244" s="503">
        <v>5999.974286103693</v>
      </c>
      <c r="AA244" s="504">
        <v>5966.8055416280085</v>
      </c>
      <c r="AB244" s="504">
        <v>5999.974286103693</v>
      </c>
      <c r="AC244" s="505">
        <v>5966.8055416280085</v>
      </c>
      <c r="AD244" s="426"/>
      <c r="AE244" s="426"/>
      <c r="AF244" s="503">
        <v>6900.15</v>
      </c>
      <c r="AG244" s="504">
        <v>6862.01</v>
      </c>
      <c r="AH244" s="504">
        <v>6900.15</v>
      </c>
      <c r="AI244" s="505">
        <v>6862.01</v>
      </c>
      <c r="AJ244" s="426"/>
      <c r="AK244" s="426"/>
      <c r="AL244" s="503">
        <v>7866.3309331663359</v>
      </c>
      <c r="AM244" s="504">
        <v>7822.8446933523301</v>
      </c>
      <c r="AN244" s="504">
        <v>7866.3309331663359</v>
      </c>
      <c r="AO244" s="505">
        <v>7822.8446933523301</v>
      </c>
      <c r="AP244" s="426"/>
      <c r="AQ244" s="426"/>
      <c r="AR244" s="503">
        <v>8062.93</v>
      </c>
      <c r="AS244" s="504">
        <v>8018.36</v>
      </c>
      <c r="AT244" s="504">
        <v>8062.93</v>
      </c>
      <c r="AU244" s="505">
        <v>8018.36</v>
      </c>
      <c r="AV244" s="630"/>
      <c r="AW244" s="630"/>
      <c r="AX244" s="630"/>
    </row>
    <row r="245" spans="1:50" ht="13" hidden="1">
      <c r="A245" s="502">
        <v>16</v>
      </c>
      <c r="B245" s="517" t="str">
        <f t="shared" si="34"/>
        <v>16A</v>
      </c>
      <c r="C245" s="503">
        <v>16873.767303919336</v>
      </c>
      <c r="D245" s="504">
        <v>15781.149889575143</v>
      </c>
      <c r="E245" s="504">
        <v>16873.767303919336</v>
      </c>
      <c r="F245" s="505">
        <v>15781.149889575143</v>
      </c>
      <c r="G245" s="426"/>
      <c r="H245" s="426"/>
      <c r="I245" s="426"/>
      <c r="J245" s="426"/>
      <c r="K245" s="426"/>
      <c r="L245" s="426"/>
      <c r="M245" s="426"/>
      <c r="N245" s="629"/>
      <c r="O245" s="629"/>
      <c r="P245" s="629"/>
      <c r="Q245" s="629"/>
      <c r="R245" s="629"/>
      <c r="S245" s="426"/>
      <c r="T245" s="503">
        <v>5174.1539138477656</v>
      </c>
      <c r="U245" s="504">
        <v>4839.114881428839</v>
      </c>
      <c r="V245" s="504">
        <v>5174.1539138477656</v>
      </c>
      <c r="W245" s="505">
        <v>4839.114881428839</v>
      </c>
      <c r="X245" s="426"/>
      <c r="Y245" s="426"/>
      <c r="Z245" s="503">
        <v>5898.285898434815</v>
      </c>
      <c r="AA245" s="504">
        <v>5516.3575613103731</v>
      </c>
      <c r="AB245" s="504">
        <v>5898.285898434815</v>
      </c>
      <c r="AC245" s="505">
        <v>5516.3575613103731</v>
      </c>
      <c r="AD245" s="426"/>
      <c r="AE245" s="426"/>
      <c r="AF245" s="503">
        <v>6783.21</v>
      </c>
      <c r="AG245" s="504">
        <v>6343.98</v>
      </c>
      <c r="AH245" s="504">
        <v>6783.21</v>
      </c>
      <c r="AI245" s="505">
        <v>6343.98</v>
      </c>
      <c r="AJ245" s="426"/>
      <c r="AK245" s="426"/>
      <c r="AL245" s="503">
        <v>7733.0112768944482</v>
      </c>
      <c r="AM245" s="504">
        <v>7232.2800155066971</v>
      </c>
      <c r="AN245" s="504">
        <v>7733.0112768944482</v>
      </c>
      <c r="AO245" s="505">
        <v>7232.2800155066971</v>
      </c>
      <c r="AP245" s="426"/>
      <c r="AQ245" s="426"/>
      <c r="AR245" s="503">
        <v>7926.28</v>
      </c>
      <c r="AS245" s="504">
        <v>7413.03</v>
      </c>
      <c r="AT245" s="504">
        <v>7926.28</v>
      </c>
      <c r="AU245" s="505">
        <v>7413.03</v>
      </c>
      <c r="AV245" s="630"/>
      <c r="AW245" s="630"/>
      <c r="AX245" s="630"/>
    </row>
    <row r="246" spans="1:50" ht="13" hidden="1">
      <c r="A246" s="502">
        <v>17</v>
      </c>
      <c r="B246" s="517" t="str">
        <f t="shared" si="34"/>
        <v>17A</v>
      </c>
      <c r="C246" s="503">
        <v>16981.949427420648</v>
      </c>
      <c r="D246" s="504">
        <v>16040.331636918063</v>
      </c>
      <c r="E246" s="504">
        <v>16981.949427420648</v>
      </c>
      <c r="F246" s="505">
        <v>16040.331636918063</v>
      </c>
      <c r="G246" s="426"/>
      <c r="H246" s="426"/>
      <c r="I246" s="426"/>
      <c r="J246" s="426"/>
      <c r="K246" s="426"/>
      <c r="L246" s="426"/>
      <c r="M246" s="426"/>
      <c r="N246" s="629"/>
      <c r="O246" s="629"/>
      <c r="P246" s="629"/>
      <c r="Q246" s="629"/>
      <c r="R246" s="629"/>
      <c r="S246" s="426"/>
      <c r="T246" s="503">
        <v>5207.3267642042274</v>
      </c>
      <c r="U246" s="504">
        <v>4918.5900945367503</v>
      </c>
      <c r="V246" s="504">
        <v>5207.3267642042274</v>
      </c>
      <c r="W246" s="505">
        <v>4918.5900945367503</v>
      </c>
      <c r="X246" s="426"/>
      <c r="Y246" s="426"/>
      <c r="Z246" s="503">
        <v>5936.1013478254381</v>
      </c>
      <c r="AA246" s="504">
        <v>5606.9554709502299</v>
      </c>
      <c r="AB246" s="504">
        <v>5936.1013478254381</v>
      </c>
      <c r="AC246" s="505">
        <v>5606.9554709502299</v>
      </c>
      <c r="AD246" s="426"/>
      <c r="AE246" s="426"/>
      <c r="AF246" s="503">
        <v>6826.7</v>
      </c>
      <c r="AG246" s="504">
        <v>6448.17</v>
      </c>
      <c r="AH246" s="504">
        <v>6826.7</v>
      </c>
      <c r="AI246" s="505">
        <v>6448.17</v>
      </c>
      <c r="AJ246" s="426"/>
      <c r="AK246" s="426"/>
      <c r="AL246" s="503">
        <v>7782.5896292520556</v>
      </c>
      <c r="AM246" s="504">
        <v>7351.0593810667806</v>
      </c>
      <c r="AN246" s="504">
        <v>7782.5896292520556</v>
      </c>
      <c r="AO246" s="505">
        <v>7351.0593810667806</v>
      </c>
      <c r="AP246" s="426"/>
      <c r="AQ246" s="426"/>
      <c r="AR246" s="503">
        <v>7977.1</v>
      </c>
      <c r="AS246" s="504">
        <v>7534.78</v>
      </c>
      <c r="AT246" s="504">
        <v>7977.1</v>
      </c>
      <c r="AU246" s="505">
        <v>7534.78</v>
      </c>
      <c r="AV246" s="630"/>
      <c r="AW246" s="630"/>
      <c r="AX246" s="630"/>
    </row>
    <row r="247" spans="1:50" ht="13" hidden="1">
      <c r="A247" s="502">
        <v>18</v>
      </c>
      <c r="B247" s="517" t="str">
        <f t="shared" si="34"/>
        <v>18A</v>
      </c>
      <c r="C247" s="503">
        <v>17458.229855734291</v>
      </c>
      <c r="D247" s="504">
        <v>15545.690359401886</v>
      </c>
      <c r="E247" s="504">
        <v>17458.229855734291</v>
      </c>
      <c r="F247" s="505">
        <v>15545.690359401886</v>
      </c>
      <c r="G247" s="426"/>
      <c r="H247" s="426"/>
      <c r="I247" s="426"/>
      <c r="J247" s="426"/>
      <c r="K247" s="426"/>
      <c r="L247" s="426"/>
      <c r="M247" s="426"/>
      <c r="N247" s="629"/>
      <c r="O247" s="629"/>
      <c r="P247" s="629"/>
      <c r="Q247" s="629"/>
      <c r="R247" s="629"/>
      <c r="S247" s="426"/>
      <c r="T247" s="503">
        <v>5353.3728840695721</v>
      </c>
      <c r="U247" s="504">
        <v>4766.9138235586315</v>
      </c>
      <c r="V247" s="504">
        <v>5353.3728840695721</v>
      </c>
      <c r="W247" s="505">
        <v>4766.9138235586315</v>
      </c>
      <c r="X247" s="426"/>
      <c r="Y247" s="426"/>
      <c r="Z247" s="503">
        <v>6102.586880274991</v>
      </c>
      <c r="AA247" s="504">
        <v>5434.0518377894377</v>
      </c>
      <c r="AB247" s="504">
        <v>6102.586880274991</v>
      </c>
      <c r="AC247" s="505">
        <v>5434.0518377894377</v>
      </c>
      <c r="AD247" s="426"/>
      <c r="AE247" s="426"/>
      <c r="AF247" s="503">
        <v>7018.16</v>
      </c>
      <c r="AG247" s="504">
        <v>6249.32</v>
      </c>
      <c r="AH247" s="504">
        <v>7018.16</v>
      </c>
      <c r="AI247" s="505">
        <v>6249.32</v>
      </c>
      <c r="AJ247" s="426"/>
      <c r="AK247" s="426"/>
      <c r="AL247" s="503">
        <v>8000.8622803308745</v>
      </c>
      <c r="AM247" s="504">
        <v>7124.3722099001125</v>
      </c>
      <c r="AN247" s="504">
        <v>8000.8622803308745</v>
      </c>
      <c r="AO247" s="505">
        <v>7124.3722099001125</v>
      </c>
      <c r="AP247" s="426"/>
      <c r="AQ247" s="426"/>
      <c r="AR247" s="503">
        <v>8200.83</v>
      </c>
      <c r="AS247" s="504">
        <v>7302.43</v>
      </c>
      <c r="AT247" s="504">
        <v>8200.83</v>
      </c>
      <c r="AU247" s="505">
        <v>7302.43</v>
      </c>
      <c r="AV247" s="630"/>
      <c r="AW247" s="630"/>
      <c r="AX247" s="630"/>
    </row>
    <row r="248" spans="1:50" ht="13" hidden="1">
      <c r="A248" s="502">
        <v>19</v>
      </c>
      <c r="B248" s="517" t="str">
        <f t="shared" si="34"/>
        <v>19A</v>
      </c>
      <c r="C248" s="503">
        <v>18039.167124502364</v>
      </c>
      <c r="D248" s="504">
        <v>15773.805549894125</v>
      </c>
      <c r="E248" s="504">
        <v>18039.167124502364</v>
      </c>
      <c r="F248" s="505">
        <v>15773.805549894125</v>
      </c>
      <c r="G248" s="426"/>
      <c r="H248" s="426"/>
      <c r="I248" s="426"/>
      <c r="J248" s="426"/>
      <c r="K248" s="426"/>
      <c r="L248" s="426"/>
      <c r="M248" s="426"/>
      <c r="N248" s="629"/>
      <c r="O248" s="629"/>
      <c r="P248" s="629"/>
      <c r="Q248" s="629"/>
      <c r="R248" s="629"/>
      <c r="S248" s="426"/>
      <c r="T248" s="503">
        <v>5531.5108652777262</v>
      </c>
      <c r="U248" s="504">
        <v>4836.8628209837298</v>
      </c>
      <c r="V248" s="504">
        <v>5531.5108652777262</v>
      </c>
      <c r="W248" s="505">
        <v>4836.8628209837298</v>
      </c>
      <c r="X248" s="426"/>
      <c r="Y248" s="426"/>
      <c r="Z248" s="503">
        <v>6305.6555867786092</v>
      </c>
      <c r="AA248" s="504">
        <v>5513.7903210258773</v>
      </c>
      <c r="AB248" s="504">
        <v>6305.6555867786092</v>
      </c>
      <c r="AC248" s="505">
        <v>5513.7903210258773</v>
      </c>
      <c r="AD248" s="426"/>
      <c r="AE248" s="426"/>
      <c r="AF248" s="503">
        <v>7251.69</v>
      </c>
      <c r="AG248" s="504">
        <v>6341.02</v>
      </c>
      <c r="AH248" s="504">
        <v>7251.69</v>
      </c>
      <c r="AI248" s="505">
        <v>6341.02</v>
      </c>
      <c r="AJ248" s="426"/>
      <c r="AK248" s="426"/>
      <c r="AL248" s="503">
        <v>8267.0976959104337</v>
      </c>
      <c r="AM248" s="504">
        <v>7228.9142074715564</v>
      </c>
      <c r="AN248" s="504">
        <v>8267.0976959104337</v>
      </c>
      <c r="AO248" s="505">
        <v>7228.9142074715564</v>
      </c>
      <c r="AP248" s="426"/>
      <c r="AQ248" s="426"/>
      <c r="AR248" s="503">
        <v>8473.7099999999991</v>
      </c>
      <c r="AS248" s="504">
        <v>7409.58</v>
      </c>
      <c r="AT248" s="504">
        <v>8473.7099999999991</v>
      </c>
      <c r="AU248" s="505">
        <v>7409.58</v>
      </c>
      <c r="AV248" s="630"/>
      <c r="AW248" s="630"/>
      <c r="AX248" s="630"/>
    </row>
    <row r="249" spans="1:50" ht="13" hidden="1">
      <c r="A249" s="502">
        <v>20</v>
      </c>
      <c r="B249" s="517" t="str">
        <f t="shared" si="34"/>
        <v>20A</v>
      </c>
      <c r="C249" s="503">
        <v>18695.604205191248</v>
      </c>
      <c r="D249" s="504">
        <v>18678.932554115348</v>
      </c>
      <c r="E249" s="504">
        <v>18695.604205191248</v>
      </c>
      <c r="F249" s="505">
        <v>18678.932554115348</v>
      </c>
      <c r="G249" s="426"/>
      <c r="H249" s="426"/>
      <c r="I249" s="426"/>
      <c r="J249" s="426"/>
      <c r="K249" s="426"/>
      <c r="L249" s="426"/>
      <c r="M249" s="426"/>
      <c r="N249" s="629"/>
      <c r="O249" s="629"/>
      <c r="P249" s="629"/>
      <c r="Q249" s="629"/>
      <c r="R249" s="629"/>
      <c r="S249" s="426"/>
      <c r="T249" s="503">
        <v>5732.8000278616064</v>
      </c>
      <c r="U249" s="504">
        <v>5727.6878506512066</v>
      </c>
      <c r="V249" s="504">
        <v>5732.8000278616064</v>
      </c>
      <c r="W249" s="505">
        <v>5727.6878506512066</v>
      </c>
      <c r="X249" s="426"/>
      <c r="Y249" s="426"/>
      <c r="Z249" s="503">
        <v>6535.1155234068465</v>
      </c>
      <c r="AA249" s="504">
        <v>6529.2878879610398</v>
      </c>
      <c r="AB249" s="504">
        <v>6535.1155234068465</v>
      </c>
      <c r="AC249" s="505">
        <v>6529.2878879610398</v>
      </c>
      <c r="AD249" s="426"/>
      <c r="AE249" s="426"/>
      <c r="AF249" s="503">
        <v>7515.58</v>
      </c>
      <c r="AG249" s="504">
        <v>7508.88</v>
      </c>
      <c r="AH249" s="504">
        <v>7515.58</v>
      </c>
      <c r="AI249" s="505">
        <v>7508.88</v>
      </c>
      <c r="AJ249" s="426"/>
      <c r="AK249" s="426"/>
      <c r="AL249" s="503">
        <v>8567.9336180912323</v>
      </c>
      <c r="AM249" s="504">
        <v>8560.2932338514638</v>
      </c>
      <c r="AN249" s="504">
        <v>8567.9336180912323</v>
      </c>
      <c r="AO249" s="505">
        <v>8560.2932338514638</v>
      </c>
      <c r="AP249" s="426"/>
      <c r="AQ249" s="426"/>
      <c r="AR249" s="503">
        <v>8782.07</v>
      </c>
      <c r="AS249" s="504">
        <v>8774.24</v>
      </c>
      <c r="AT249" s="504">
        <v>8782.07</v>
      </c>
      <c r="AU249" s="505">
        <v>8774.24</v>
      </c>
      <c r="AV249" s="630"/>
      <c r="AW249" s="630"/>
      <c r="AX249" s="630"/>
    </row>
    <row r="250" spans="1:50" ht="13" hidden="1">
      <c r="A250" s="502">
        <v>21</v>
      </c>
      <c r="B250" s="517" t="str">
        <f t="shared" si="34"/>
        <v>21A</v>
      </c>
      <c r="C250" s="503">
        <v>20020.945239991535</v>
      </c>
      <c r="D250" s="504">
        <v>23916.892102740025</v>
      </c>
      <c r="E250" s="504">
        <v>20020.945239991535</v>
      </c>
      <c r="F250" s="505">
        <v>23916.892102740025</v>
      </c>
      <c r="G250" s="426"/>
      <c r="H250" s="426"/>
      <c r="I250" s="426"/>
      <c r="J250" s="426"/>
      <c r="K250" s="426"/>
      <c r="L250" s="426"/>
      <c r="M250" s="426"/>
      <c r="N250" s="629"/>
      <c r="O250" s="629"/>
      <c r="P250" s="629"/>
      <c r="Q250" s="629"/>
      <c r="R250" s="629"/>
      <c r="S250" s="426"/>
      <c r="T250" s="503">
        <v>6192.4455647084351</v>
      </c>
      <c r="U250" s="504">
        <v>7397.4555470731257</v>
      </c>
      <c r="V250" s="504">
        <v>6192.4455647084351</v>
      </c>
      <c r="W250" s="505">
        <v>7397.4555470731257</v>
      </c>
      <c r="X250" s="426"/>
      <c r="Y250" s="426"/>
      <c r="Z250" s="503">
        <v>7059.0892654724394</v>
      </c>
      <c r="AA250" s="504">
        <v>8432.742524497613</v>
      </c>
      <c r="AB250" s="504">
        <v>7059.0892654724394</v>
      </c>
      <c r="AC250" s="505">
        <v>8432.742524497613</v>
      </c>
      <c r="AD250" s="426"/>
      <c r="AE250" s="426"/>
      <c r="AF250" s="503">
        <v>8118.17</v>
      </c>
      <c r="AG250" s="504">
        <v>9697.91</v>
      </c>
      <c r="AH250" s="504">
        <v>8118.17</v>
      </c>
      <c r="AI250" s="505">
        <v>9697.91</v>
      </c>
      <c r="AJ250" s="426"/>
      <c r="AK250" s="426"/>
      <c r="AL250" s="503">
        <v>9254.8950380632705</v>
      </c>
      <c r="AM250" s="504">
        <v>11055.837943425538</v>
      </c>
      <c r="AN250" s="504">
        <v>9254.8950380632705</v>
      </c>
      <c r="AO250" s="505">
        <v>11055.837943425538</v>
      </c>
      <c r="AP250" s="426"/>
      <c r="AQ250" s="426"/>
      <c r="AR250" s="503">
        <v>9486.2000000000007</v>
      </c>
      <c r="AS250" s="504">
        <v>11332.15</v>
      </c>
      <c r="AT250" s="504">
        <v>9486.2000000000007</v>
      </c>
      <c r="AU250" s="505">
        <v>11332.15</v>
      </c>
      <c r="AV250" s="630"/>
      <c r="AW250" s="630"/>
      <c r="AX250" s="630"/>
    </row>
    <row r="251" spans="1:50" ht="13" hidden="1">
      <c r="A251" s="502">
        <v>22</v>
      </c>
      <c r="B251" s="517" t="str">
        <f t="shared" si="34"/>
        <v>22A</v>
      </c>
      <c r="C251" s="503">
        <v>20895.197842100071</v>
      </c>
      <c r="D251" s="504">
        <v>25057.053799784873</v>
      </c>
      <c r="E251" s="504">
        <v>20895.197842100071</v>
      </c>
      <c r="F251" s="505">
        <v>25057.053799784873</v>
      </c>
      <c r="G251" s="426"/>
      <c r="H251" s="426"/>
      <c r="I251" s="426"/>
      <c r="J251" s="426"/>
      <c r="K251" s="426"/>
      <c r="L251" s="426"/>
      <c r="M251" s="426"/>
      <c r="N251" s="629"/>
      <c r="O251" s="629"/>
      <c r="P251" s="629"/>
      <c r="Q251" s="629"/>
      <c r="R251" s="629"/>
      <c r="S251" s="426"/>
      <c r="T251" s="503">
        <v>6462.8504623527224</v>
      </c>
      <c r="U251" s="504">
        <v>7750.1056921728095</v>
      </c>
      <c r="V251" s="504">
        <v>6462.8504623527224</v>
      </c>
      <c r="W251" s="505">
        <v>7750.1056921728095</v>
      </c>
      <c r="X251" s="426"/>
      <c r="Y251" s="426"/>
      <c r="Z251" s="503">
        <v>7367.3378064318531</v>
      </c>
      <c r="AA251" s="504">
        <v>8834.7466806468146</v>
      </c>
      <c r="AB251" s="504">
        <v>7367.3378064318531</v>
      </c>
      <c r="AC251" s="505">
        <v>8834.7466806468146</v>
      </c>
      <c r="AD251" s="426"/>
      <c r="AE251" s="426"/>
      <c r="AF251" s="503">
        <v>8472.66</v>
      </c>
      <c r="AG251" s="504">
        <v>10160.219999999999</v>
      </c>
      <c r="AH251" s="504">
        <v>8472.66</v>
      </c>
      <c r="AI251" s="505">
        <v>10160.219999999999</v>
      </c>
      <c r="AJ251" s="426"/>
      <c r="AK251" s="426"/>
      <c r="AL251" s="503">
        <v>9659.0276088425089</v>
      </c>
      <c r="AM251" s="504">
        <v>11582.889823648082</v>
      </c>
      <c r="AN251" s="504">
        <v>9659.0276088425089</v>
      </c>
      <c r="AO251" s="505">
        <v>11582.889823648082</v>
      </c>
      <c r="AP251" s="426"/>
      <c r="AQ251" s="426"/>
      <c r="AR251" s="503">
        <v>9900.43</v>
      </c>
      <c r="AS251" s="504">
        <v>11872.38</v>
      </c>
      <c r="AT251" s="504">
        <v>9900.43</v>
      </c>
      <c r="AU251" s="505">
        <v>11872.38</v>
      </c>
      <c r="AV251" s="630"/>
      <c r="AW251" s="630"/>
      <c r="AX251" s="630"/>
    </row>
    <row r="252" spans="1:50" ht="13" hidden="1">
      <c r="A252" s="502">
        <v>23</v>
      </c>
      <c r="B252" s="517" t="str">
        <f t="shared" si="34"/>
        <v>23A</v>
      </c>
      <c r="C252" s="503">
        <v>22281.900666049176</v>
      </c>
      <c r="D252" s="504">
        <v>26226.922756066851</v>
      </c>
      <c r="E252" s="504">
        <v>22281.900666049176</v>
      </c>
      <c r="F252" s="505">
        <v>26226.922756066851</v>
      </c>
      <c r="G252" s="426"/>
      <c r="H252" s="426"/>
      <c r="I252" s="426"/>
      <c r="J252" s="426"/>
      <c r="K252" s="426"/>
      <c r="L252" s="426"/>
      <c r="M252" s="426"/>
      <c r="N252" s="629"/>
      <c r="O252" s="629"/>
      <c r="P252" s="629"/>
      <c r="Q252" s="629"/>
      <c r="R252" s="629"/>
      <c r="S252" s="426"/>
      <c r="T252" s="503">
        <v>6891.755374123808</v>
      </c>
      <c r="U252" s="504">
        <v>8111.944243888538</v>
      </c>
      <c r="V252" s="504">
        <v>6891.755374123808</v>
      </c>
      <c r="W252" s="505">
        <v>8111.944243888538</v>
      </c>
      <c r="X252" s="426"/>
      <c r="Y252" s="426"/>
      <c r="Z252" s="503">
        <v>7856.2687186140793</v>
      </c>
      <c r="AA252" s="504">
        <v>9247.2251771567553</v>
      </c>
      <c r="AB252" s="504">
        <v>7856.2687186140793</v>
      </c>
      <c r="AC252" s="505">
        <v>9247.2251771567553</v>
      </c>
      <c r="AD252" s="426"/>
      <c r="AE252" s="426"/>
      <c r="AF252" s="503">
        <v>9034.9500000000007</v>
      </c>
      <c r="AG252" s="504">
        <v>10634.59</v>
      </c>
      <c r="AH252" s="504">
        <v>9034.9500000000007</v>
      </c>
      <c r="AI252" s="505">
        <v>10634.59</v>
      </c>
      <c r="AJ252" s="426"/>
      <c r="AK252" s="426"/>
      <c r="AL252" s="503">
        <v>10300.045749134886</v>
      </c>
      <c r="AM252" s="504">
        <v>12123.674200653997</v>
      </c>
      <c r="AN252" s="504">
        <v>10300.045749134886</v>
      </c>
      <c r="AO252" s="505">
        <v>12123.674200653997</v>
      </c>
      <c r="AP252" s="426"/>
      <c r="AQ252" s="426"/>
      <c r="AR252" s="503">
        <v>10557.47</v>
      </c>
      <c r="AS252" s="504">
        <v>12426.68</v>
      </c>
      <c r="AT252" s="504">
        <v>10557.47</v>
      </c>
      <c r="AU252" s="505">
        <v>12426.68</v>
      </c>
      <c r="AV252" s="630"/>
      <c r="AW252" s="630"/>
      <c r="AX252" s="630"/>
    </row>
    <row r="253" spans="1:50" ht="13" hidden="1">
      <c r="A253" s="502">
        <v>24</v>
      </c>
      <c r="B253" s="517" t="str">
        <f t="shared" si="34"/>
        <v>24A</v>
      </c>
      <c r="C253" s="503">
        <v>23186.297398854203</v>
      </c>
      <c r="D253" s="504">
        <v>27453.220942517408</v>
      </c>
      <c r="E253" s="504">
        <v>23186.297398854203</v>
      </c>
      <c r="F253" s="505">
        <v>27453.220942517408</v>
      </c>
      <c r="G253" s="426"/>
      <c r="H253" s="426"/>
      <c r="I253" s="426"/>
      <c r="J253" s="426"/>
      <c r="K253" s="426"/>
      <c r="L253" s="426"/>
      <c r="M253" s="426"/>
      <c r="N253" s="629"/>
      <c r="O253" s="629"/>
      <c r="P253" s="629"/>
      <c r="Q253" s="629"/>
      <c r="R253" s="629"/>
      <c r="S253" s="426"/>
      <c r="T253" s="503">
        <v>7171.4838020108482</v>
      </c>
      <c r="U253" s="504">
        <v>8491.2362640538613</v>
      </c>
      <c r="V253" s="504">
        <v>7171.4838020108482</v>
      </c>
      <c r="W253" s="505">
        <v>8491.2362640538613</v>
      </c>
      <c r="X253" s="426"/>
      <c r="Y253" s="426"/>
      <c r="Z253" s="503">
        <v>8175.1456343513046</v>
      </c>
      <c r="AA253" s="504">
        <v>9679.5997858715382</v>
      </c>
      <c r="AB253" s="504">
        <v>8175.1456343513046</v>
      </c>
      <c r="AC253" s="505">
        <v>9679.5997858715382</v>
      </c>
      <c r="AD253" s="426"/>
      <c r="AE253" s="426"/>
      <c r="AF253" s="503">
        <v>9401.66</v>
      </c>
      <c r="AG253" s="504">
        <v>11131.83</v>
      </c>
      <c r="AH253" s="504">
        <v>9401.66</v>
      </c>
      <c r="AI253" s="505">
        <v>11131.83</v>
      </c>
      <c r="AJ253" s="426"/>
      <c r="AK253" s="426"/>
      <c r="AL253" s="503">
        <v>10718.112765179605</v>
      </c>
      <c r="AM253" s="504">
        <v>12690.543589932246</v>
      </c>
      <c r="AN253" s="504">
        <v>10718.112765179605</v>
      </c>
      <c r="AO253" s="505">
        <v>12690.543589932246</v>
      </c>
      <c r="AP253" s="426"/>
      <c r="AQ253" s="426"/>
      <c r="AR253" s="503">
        <v>10985.99</v>
      </c>
      <c r="AS253" s="504">
        <v>13007.71</v>
      </c>
      <c r="AT253" s="504">
        <v>10985.99</v>
      </c>
      <c r="AU253" s="505">
        <v>13007.71</v>
      </c>
      <c r="AV253" s="630"/>
      <c r="AW253" s="630"/>
      <c r="AX253" s="630"/>
    </row>
    <row r="254" spans="1:50" ht="13" hidden="1">
      <c r="A254" s="502">
        <v>25</v>
      </c>
      <c r="B254" s="517" t="str">
        <f t="shared" si="34"/>
        <v>25A</v>
      </c>
      <c r="C254" s="503">
        <v>24093.315360415465</v>
      </c>
      <c r="D254" s="504">
        <v>28724.225641643457</v>
      </c>
      <c r="E254" s="504">
        <v>24093.315360415465</v>
      </c>
      <c r="F254" s="505">
        <v>28724.225641643457</v>
      </c>
      <c r="G254" s="426"/>
      <c r="H254" s="426"/>
      <c r="I254" s="426"/>
      <c r="J254" s="426"/>
      <c r="K254" s="426"/>
      <c r="L254" s="426"/>
      <c r="M254" s="426"/>
      <c r="N254" s="629"/>
      <c r="O254" s="629"/>
      <c r="P254" s="629"/>
      <c r="Q254" s="629"/>
      <c r="R254" s="629"/>
      <c r="S254" s="426"/>
      <c r="T254" s="503">
        <v>7452.0229716581271</v>
      </c>
      <c r="U254" s="504">
        <v>8884.3559353521614</v>
      </c>
      <c r="V254" s="504">
        <v>7452.0229716581271</v>
      </c>
      <c r="W254" s="505">
        <v>8884.3559353521614</v>
      </c>
      <c r="X254" s="426"/>
      <c r="Y254" s="426"/>
      <c r="Z254" s="503">
        <v>8494.9467565909472</v>
      </c>
      <c r="AA254" s="504">
        <v>10127.737249933127</v>
      </c>
      <c r="AB254" s="504">
        <v>8494.9467565909472</v>
      </c>
      <c r="AC254" s="505">
        <v>10127.737249933127</v>
      </c>
      <c r="AD254" s="426"/>
      <c r="AE254" s="426"/>
      <c r="AF254" s="503">
        <v>9769.44</v>
      </c>
      <c r="AG254" s="504">
        <v>11647.2</v>
      </c>
      <c r="AH254" s="504">
        <v>9769.44</v>
      </c>
      <c r="AI254" s="505">
        <v>11647.2</v>
      </c>
      <c r="AJ254" s="426"/>
      <c r="AK254" s="426"/>
      <c r="AL254" s="503">
        <v>11137.391472116973</v>
      </c>
      <c r="AM254" s="504">
        <v>13278.079040546252</v>
      </c>
      <c r="AN254" s="504">
        <v>11137.391472116973</v>
      </c>
      <c r="AO254" s="505">
        <v>13278.079040546252</v>
      </c>
      <c r="AP254" s="426"/>
      <c r="AQ254" s="426"/>
      <c r="AR254" s="503">
        <v>11415.75</v>
      </c>
      <c r="AS254" s="504">
        <v>13609.93</v>
      </c>
      <c r="AT254" s="504">
        <v>11415.75</v>
      </c>
      <c r="AU254" s="505">
        <v>13609.93</v>
      </c>
      <c r="AV254" s="630"/>
      <c r="AW254" s="630"/>
      <c r="AX254" s="630"/>
    </row>
    <row r="255" spans="1:50" ht="13" hidden="1">
      <c r="A255" s="502">
        <v>26</v>
      </c>
      <c r="B255" s="517" t="str">
        <f t="shared" si="34"/>
        <v>26A</v>
      </c>
      <c r="C255" s="503">
        <v>25689.716484861987</v>
      </c>
      <c r="D255" s="504">
        <v>29838.830358315176</v>
      </c>
      <c r="E255" s="504">
        <v>25689.716484861987</v>
      </c>
      <c r="F255" s="505">
        <v>29838.830358315176</v>
      </c>
      <c r="G255" s="426"/>
      <c r="H255" s="426"/>
      <c r="I255" s="426"/>
      <c r="J255" s="426"/>
      <c r="K255" s="426"/>
      <c r="L255" s="426"/>
      <c r="M255" s="426"/>
      <c r="N255" s="629"/>
      <c r="O255" s="629"/>
      <c r="P255" s="629"/>
      <c r="Q255" s="629"/>
      <c r="R255" s="629"/>
      <c r="S255" s="426"/>
      <c r="T255" s="503">
        <v>7945.7872242483636</v>
      </c>
      <c r="U255" s="504">
        <v>9229.1013482895087</v>
      </c>
      <c r="V255" s="504">
        <v>7945.7872242483636</v>
      </c>
      <c r="W255" s="505">
        <v>9229.1013482895087</v>
      </c>
      <c r="X255" s="426"/>
      <c r="Y255" s="426"/>
      <c r="Z255" s="503">
        <v>9057.8141889666531</v>
      </c>
      <c r="AA255" s="504">
        <v>10520.730392683745</v>
      </c>
      <c r="AB255" s="504">
        <v>9057.8141889666531</v>
      </c>
      <c r="AC255" s="505">
        <v>10520.730392683745</v>
      </c>
      <c r="AD255" s="426"/>
      <c r="AE255" s="426"/>
      <c r="AF255" s="503">
        <v>10416.76</v>
      </c>
      <c r="AG255" s="504">
        <v>12099.16</v>
      </c>
      <c r="AH255" s="504">
        <v>10416.76</v>
      </c>
      <c r="AI255" s="505">
        <v>12099.16</v>
      </c>
      <c r="AJ255" s="426"/>
      <c r="AK255" s="426"/>
      <c r="AL255" s="503">
        <v>11875.344883821381</v>
      </c>
      <c r="AM255" s="504">
        <v>13793.316934565457</v>
      </c>
      <c r="AN255" s="504">
        <v>11875.344883821381</v>
      </c>
      <c r="AO255" s="505">
        <v>13793.316934565457</v>
      </c>
      <c r="AP255" s="426"/>
      <c r="AQ255" s="426"/>
      <c r="AR255" s="503">
        <v>12172.14</v>
      </c>
      <c r="AS255" s="504">
        <v>14138.05</v>
      </c>
      <c r="AT255" s="504">
        <v>12172.14</v>
      </c>
      <c r="AU255" s="505">
        <v>14138.05</v>
      </c>
      <c r="AV255" s="630"/>
      <c r="AW255" s="630"/>
      <c r="AX255" s="630"/>
    </row>
    <row r="256" spans="1:50" ht="13" hidden="1">
      <c r="A256" s="502">
        <v>27</v>
      </c>
      <c r="B256" s="517" t="str">
        <f t="shared" si="34"/>
        <v>27A</v>
      </c>
      <c r="C256" s="503">
        <v>26826.383210231881</v>
      </c>
      <c r="D256" s="504">
        <v>31202.014935368232</v>
      </c>
      <c r="E256" s="504">
        <v>26826.383210231881</v>
      </c>
      <c r="F256" s="505">
        <v>31202.014935368232</v>
      </c>
      <c r="G256" s="426"/>
      <c r="H256" s="426"/>
      <c r="I256" s="426"/>
      <c r="J256" s="426"/>
      <c r="K256" s="426"/>
      <c r="L256" s="426"/>
      <c r="M256" s="426"/>
      <c r="N256" s="629"/>
      <c r="O256" s="629"/>
      <c r="P256" s="629"/>
      <c r="Q256" s="629"/>
      <c r="R256" s="629"/>
      <c r="S256" s="426"/>
      <c r="T256" s="503">
        <v>8297.3563803343932</v>
      </c>
      <c r="U256" s="504">
        <v>9650.7321048228914</v>
      </c>
      <c r="V256" s="504">
        <v>8297.3563803343932</v>
      </c>
      <c r="W256" s="505">
        <v>9650.7321048228914</v>
      </c>
      <c r="X256" s="426"/>
      <c r="Y256" s="426"/>
      <c r="Z256" s="503">
        <v>9458.5860697792941</v>
      </c>
      <c r="AA256" s="504">
        <v>11001.369118747052</v>
      </c>
      <c r="AB256" s="504">
        <v>9458.5860697792941</v>
      </c>
      <c r="AC256" s="505">
        <v>11001.369118747052</v>
      </c>
      <c r="AD256" s="426"/>
      <c r="AE256" s="426"/>
      <c r="AF256" s="503">
        <v>10877.66</v>
      </c>
      <c r="AG256" s="504">
        <v>12651.91</v>
      </c>
      <c r="AH256" s="504">
        <v>10877.66</v>
      </c>
      <c r="AI256" s="505">
        <v>12651.91</v>
      </c>
      <c r="AJ256" s="426"/>
      <c r="AK256" s="426"/>
      <c r="AL256" s="503">
        <v>12400.78117618706</v>
      </c>
      <c r="AM256" s="504">
        <v>14423.463514904333</v>
      </c>
      <c r="AN256" s="504">
        <v>12400.78117618706</v>
      </c>
      <c r="AO256" s="505">
        <v>14423.463514904333</v>
      </c>
      <c r="AP256" s="426"/>
      <c r="AQ256" s="426"/>
      <c r="AR256" s="503">
        <v>12710.71</v>
      </c>
      <c r="AS256" s="504">
        <v>14783.94</v>
      </c>
      <c r="AT256" s="504">
        <v>12710.71</v>
      </c>
      <c r="AU256" s="505">
        <v>14783.94</v>
      </c>
      <c r="AV256" s="630"/>
      <c r="AW256" s="630"/>
      <c r="AX256" s="630"/>
    </row>
    <row r="257" spans="1:50" ht="13" hidden="1">
      <c r="A257" s="502">
        <v>28</v>
      </c>
      <c r="B257" s="517" t="str">
        <f t="shared" si="34"/>
        <v>28A</v>
      </c>
      <c r="C257" s="503">
        <v>28372.39849303112</v>
      </c>
      <c r="D257" s="504">
        <v>32656.79689506911</v>
      </c>
      <c r="E257" s="504">
        <v>28372.39849303112</v>
      </c>
      <c r="F257" s="505">
        <v>32656.79689506911</v>
      </c>
      <c r="G257" s="426"/>
      <c r="H257" s="426"/>
      <c r="I257" s="426"/>
      <c r="J257" s="426"/>
      <c r="K257" s="426"/>
      <c r="L257" s="426"/>
      <c r="M257" s="426"/>
      <c r="N257" s="629"/>
      <c r="O257" s="629"/>
      <c r="P257" s="629"/>
      <c r="Q257" s="629"/>
      <c r="R257" s="629"/>
      <c r="S257" s="426"/>
      <c r="T257" s="503">
        <v>8775.5363746444764</v>
      </c>
      <c r="U257" s="504">
        <v>10100.693781755752</v>
      </c>
      <c r="V257" s="504">
        <v>8775.5363746444764</v>
      </c>
      <c r="W257" s="505">
        <v>10100.693781755752</v>
      </c>
      <c r="X257" s="426"/>
      <c r="Y257" s="426"/>
      <c r="Z257" s="503">
        <v>10003.688199386292</v>
      </c>
      <c r="AA257" s="504">
        <v>11514.303727589317</v>
      </c>
      <c r="AB257" s="504">
        <v>10003.688199386292</v>
      </c>
      <c r="AC257" s="505">
        <v>11514.303727589317</v>
      </c>
      <c r="AD257" s="426"/>
      <c r="AE257" s="426"/>
      <c r="AF257" s="503">
        <v>11504.54</v>
      </c>
      <c r="AG257" s="504">
        <v>13241.8</v>
      </c>
      <c r="AH257" s="504">
        <v>11504.54</v>
      </c>
      <c r="AI257" s="505">
        <v>13241.8</v>
      </c>
      <c r="AJ257" s="426"/>
      <c r="AK257" s="426"/>
      <c r="AL257" s="503">
        <v>13115.443196288297</v>
      </c>
      <c r="AM257" s="504">
        <v>15095.951960325274</v>
      </c>
      <c r="AN257" s="504">
        <v>13115.443196288297</v>
      </c>
      <c r="AO257" s="505">
        <v>15095.951960325274</v>
      </c>
      <c r="AP257" s="426"/>
      <c r="AQ257" s="426"/>
      <c r="AR257" s="503">
        <v>13443.23</v>
      </c>
      <c r="AS257" s="504">
        <v>15473.24</v>
      </c>
      <c r="AT257" s="504">
        <v>13443.23</v>
      </c>
      <c r="AU257" s="505">
        <v>15473.24</v>
      </c>
      <c r="AV257" s="630"/>
      <c r="AW257" s="630"/>
      <c r="AX257" s="630"/>
    </row>
    <row r="258" spans="1:50" ht="13" hidden="1">
      <c r="A258" s="502">
        <v>29</v>
      </c>
      <c r="B258" s="517" t="str">
        <f t="shared" si="34"/>
        <v>29A</v>
      </c>
      <c r="C258" s="503">
        <v>29806.938741781203</v>
      </c>
      <c r="D258" s="504">
        <v>34124.903434280764</v>
      </c>
      <c r="E258" s="504">
        <v>29806.938741781203</v>
      </c>
      <c r="F258" s="505">
        <v>34124.903434280764</v>
      </c>
      <c r="G258" s="426"/>
      <c r="H258" s="426"/>
      <c r="I258" s="426"/>
      <c r="J258" s="426"/>
      <c r="K258" s="426"/>
      <c r="L258" s="426"/>
      <c r="M258" s="426"/>
      <c r="N258" s="629"/>
      <c r="O258" s="629"/>
      <c r="P258" s="629"/>
      <c r="Q258" s="629"/>
      <c r="R258" s="629"/>
      <c r="S258" s="426"/>
      <c r="T258" s="503">
        <v>9219.2373235399318</v>
      </c>
      <c r="U258" s="504">
        <v>10554.776729303161</v>
      </c>
      <c r="V258" s="504">
        <v>9219.2373235399318</v>
      </c>
      <c r="W258" s="505">
        <v>10554.776729303161</v>
      </c>
      <c r="X258" s="426"/>
      <c r="Y258" s="426"/>
      <c r="Z258" s="503">
        <v>10509.485880237657</v>
      </c>
      <c r="AA258" s="504">
        <v>12031.936386152205</v>
      </c>
      <c r="AB258" s="504">
        <v>10509.485880237657</v>
      </c>
      <c r="AC258" s="505">
        <v>12031.936386152205</v>
      </c>
      <c r="AD258" s="426"/>
      <c r="AE258" s="426"/>
      <c r="AF258" s="503">
        <v>12086.22</v>
      </c>
      <c r="AG258" s="504">
        <v>13837.09</v>
      </c>
      <c r="AH258" s="504">
        <v>12086.22</v>
      </c>
      <c r="AI258" s="505">
        <v>13837.09</v>
      </c>
      <c r="AJ258" s="426"/>
      <c r="AK258" s="426"/>
      <c r="AL258" s="503">
        <v>13778.574695371546</v>
      </c>
      <c r="AM258" s="504">
        <v>15774.599834450515</v>
      </c>
      <c r="AN258" s="504">
        <v>13778.574695371546</v>
      </c>
      <c r="AO258" s="505">
        <v>15774.599834450515</v>
      </c>
      <c r="AP258" s="426"/>
      <c r="AQ258" s="426"/>
      <c r="AR258" s="503">
        <v>14122.94</v>
      </c>
      <c r="AS258" s="504">
        <v>16168.85</v>
      </c>
      <c r="AT258" s="504">
        <v>14122.94</v>
      </c>
      <c r="AU258" s="505">
        <v>16168.85</v>
      </c>
      <c r="AV258" s="630"/>
      <c r="AW258" s="630"/>
      <c r="AX258" s="630"/>
    </row>
    <row r="259" spans="1:50" ht="13" hidden="1">
      <c r="A259" s="502">
        <v>30</v>
      </c>
      <c r="B259" s="517" t="str">
        <f t="shared" si="34"/>
        <v>30A</v>
      </c>
      <c r="C259" s="503">
        <v>31141.43542633564</v>
      </c>
      <c r="D259" s="504">
        <v>35739.216288561445</v>
      </c>
      <c r="E259" s="504">
        <v>31141.43542633564</v>
      </c>
      <c r="F259" s="505">
        <v>35739.216288561445</v>
      </c>
      <c r="G259" s="426"/>
      <c r="H259" s="426"/>
      <c r="I259" s="426"/>
      <c r="J259" s="426"/>
      <c r="K259" s="426"/>
      <c r="L259" s="426"/>
      <c r="M259" s="426"/>
      <c r="N259" s="629"/>
      <c r="O259" s="629"/>
      <c r="P259" s="629"/>
      <c r="Q259" s="629"/>
      <c r="R259" s="629"/>
      <c r="S259" s="426"/>
      <c r="T259" s="503">
        <v>9631.9949619195831</v>
      </c>
      <c r="U259" s="504">
        <v>11054.081050588371</v>
      </c>
      <c r="V259" s="504">
        <v>9631.9949619195831</v>
      </c>
      <c r="W259" s="505">
        <v>11054.081050588371</v>
      </c>
      <c r="X259" s="426"/>
      <c r="Y259" s="426"/>
      <c r="Z259" s="503">
        <v>10980.009679580047</v>
      </c>
      <c r="AA259" s="504">
        <v>12601.119229627775</v>
      </c>
      <c r="AB259" s="504">
        <v>10980.009679580047</v>
      </c>
      <c r="AC259" s="505">
        <v>12601.119229627775</v>
      </c>
      <c r="AD259" s="426"/>
      <c r="AE259" s="426"/>
      <c r="AF259" s="503">
        <v>12627.34</v>
      </c>
      <c r="AG259" s="504">
        <v>14491.67</v>
      </c>
      <c r="AH259" s="504">
        <v>12627.34</v>
      </c>
      <c r="AI259" s="505">
        <v>14491.67</v>
      </c>
      <c r="AJ259" s="426"/>
      <c r="AK259" s="426"/>
      <c r="AL259" s="503">
        <v>14395.459992051972</v>
      </c>
      <c r="AM259" s="504">
        <v>16520.833133921369</v>
      </c>
      <c r="AN259" s="504">
        <v>14395.459992051972</v>
      </c>
      <c r="AO259" s="505">
        <v>16520.833133921369</v>
      </c>
      <c r="AP259" s="426"/>
      <c r="AQ259" s="426"/>
      <c r="AR259" s="503">
        <v>14755.24</v>
      </c>
      <c r="AS259" s="504">
        <v>16933.73</v>
      </c>
      <c r="AT259" s="504">
        <v>14755.24</v>
      </c>
      <c r="AU259" s="505">
        <v>16933.73</v>
      </c>
      <c r="AV259" s="630"/>
      <c r="AW259" s="630"/>
      <c r="AX259" s="630"/>
    </row>
    <row r="260" spans="1:50" ht="13" hidden="1">
      <c r="A260" s="502">
        <v>31</v>
      </c>
      <c r="B260" s="517" t="str">
        <f t="shared" si="34"/>
        <v>31A</v>
      </c>
      <c r="C260" s="503">
        <v>32423.871595315206</v>
      </c>
      <c r="D260" s="504">
        <v>37396.997853049397</v>
      </c>
      <c r="E260" s="504">
        <v>32423.871595315206</v>
      </c>
      <c r="F260" s="505">
        <v>37396.997853049397</v>
      </c>
      <c r="G260" s="426"/>
      <c r="H260" s="426"/>
      <c r="I260" s="426"/>
      <c r="J260" s="426"/>
      <c r="K260" s="426"/>
      <c r="L260" s="426"/>
      <c r="M260" s="426"/>
      <c r="N260" s="629"/>
      <c r="O260" s="629"/>
      <c r="P260" s="629"/>
      <c r="Q260" s="629"/>
      <c r="R260" s="629"/>
      <c r="S260" s="426"/>
      <c r="T260" s="503">
        <v>10028.650368116705</v>
      </c>
      <c r="U260" s="504">
        <v>11566.830172730879</v>
      </c>
      <c r="V260" s="504">
        <v>10028.650368116705</v>
      </c>
      <c r="W260" s="505">
        <v>11566.830172730879</v>
      </c>
      <c r="X260" s="426"/>
      <c r="Y260" s="426"/>
      <c r="Z260" s="503">
        <v>11432.177710888296</v>
      </c>
      <c r="AA260" s="504">
        <v>13185.62849760178</v>
      </c>
      <c r="AB260" s="504">
        <v>11432.177710888296</v>
      </c>
      <c r="AC260" s="505">
        <v>13185.62849760178</v>
      </c>
      <c r="AD260" s="426"/>
      <c r="AE260" s="426"/>
      <c r="AF260" s="503">
        <v>13147.35</v>
      </c>
      <c r="AG260" s="504">
        <v>15163.87</v>
      </c>
      <c r="AH260" s="504">
        <v>13147.35</v>
      </c>
      <c r="AI260" s="505">
        <v>15163.87</v>
      </c>
      <c r="AJ260" s="426"/>
      <c r="AK260" s="426"/>
      <c r="AL260" s="503">
        <v>14988.27976128115</v>
      </c>
      <c r="AM260" s="504">
        <v>17287.160307361999</v>
      </c>
      <c r="AN260" s="504">
        <v>14988.27976128115</v>
      </c>
      <c r="AO260" s="505">
        <v>17287.160307361999</v>
      </c>
      <c r="AP260" s="426"/>
      <c r="AQ260" s="426"/>
      <c r="AR260" s="503">
        <v>15362.88</v>
      </c>
      <c r="AS260" s="504">
        <v>17719.21</v>
      </c>
      <c r="AT260" s="504">
        <v>15362.88</v>
      </c>
      <c r="AU260" s="505">
        <v>17719.21</v>
      </c>
      <c r="AV260" s="630"/>
      <c r="AW260" s="630"/>
      <c r="AX260" s="630"/>
    </row>
    <row r="261" spans="1:50" ht="13" hidden="1">
      <c r="A261" s="502">
        <v>32</v>
      </c>
      <c r="B261" s="517" t="str">
        <f t="shared" si="34"/>
        <v>32A</v>
      </c>
      <c r="C261" s="503">
        <v>34417.752935878198</v>
      </c>
      <c r="D261" s="504">
        <v>39081.355764649037</v>
      </c>
      <c r="E261" s="504">
        <v>34417.752935878198</v>
      </c>
      <c r="F261" s="505">
        <v>39081.355764649037</v>
      </c>
      <c r="G261" s="426"/>
      <c r="H261" s="426"/>
      <c r="I261" s="426"/>
      <c r="J261" s="426"/>
      <c r="K261" s="426"/>
      <c r="L261" s="426"/>
      <c r="M261" s="426"/>
      <c r="N261" s="629"/>
      <c r="O261" s="629"/>
      <c r="P261" s="629"/>
      <c r="Q261" s="629"/>
      <c r="R261" s="629"/>
      <c r="S261" s="426"/>
      <c r="T261" s="503">
        <v>10645.354600405462</v>
      </c>
      <c r="U261" s="504">
        <v>12087.799315498036</v>
      </c>
      <c r="V261" s="504">
        <v>10645.354600405462</v>
      </c>
      <c r="W261" s="505">
        <v>12087.799315498036</v>
      </c>
      <c r="X261" s="426"/>
      <c r="Y261" s="426"/>
      <c r="Z261" s="503">
        <v>12135.190790394627</v>
      </c>
      <c r="AA261" s="504">
        <v>13779.508192614192</v>
      </c>
      <c r="AB261" s="504">
        <v>12135.190790394627</v>
      </c>
      <c r="AC261" s="505">
        <v>13779.508192614192</v>
      </c>
      <c r="AD261" s="426"/>
      <c r="AE261" s="426"/>
      <c r="AF261" s="503">
        <v>13955.83</v>
      </c>
      <c r="AG261" s="504">
        <v>15846.85</v>
      </c>
      <c r="AH261" s="504">
        <v>13955.83</v>
      </c>
      <c r="AI261" s="505">
        <v>15846.85</v>
      </c>
      <c r="AJ261" s="426"/>
      <c r="AK261" s="426"/>
      <c r="AL261" s="503">
        <v>15909.972633623836</v>
      </c>
      <c r="AM261" s="504">
        <v>18065.772680130896</v>
      </c>
      <c r="AN261" s="504">
        <v>15909.972633623836</v>
      </c>
      <c r="AO261" s="505">
        <v>18065.772680130896</v>
      </c>
      <c r="AP261" s="426"/>
      <c r="AQ261" s="426"/>
      <c r="AR261" s="503">
        <v>16307.61</v>
      </c>
      <c r="AS261" s="504">
        <v>18517.29</v>
      </c>
      <c r="AT261" s="504">
        <v>16307.61</v>
      </c>
      <c r="AU261" s="505">
        <v>18517.29</v>
      </c>
      <c r="AV261" s="630"/>
      <c r="AW261" s="630"/>
      <c r="AX261" s="630"/>
    </row>
    <row r="262" spans="1:50" ht="13" hidden="1">
      <c r="A262" s="502">
        <v>33</v>
      </c>
      <c r="B262" s="517" t="str">
        <f t="shared" si="34"/>
        <v>33A</v>
      </c>
      <c r="C262" s="503">
        <v>35631.9643452862</v>
      </c>
      <c r="D262" s="504">
        <v>40798.042164242004</v>
      </c>
      <c r="E262" s="504">
        <v>35631.9643452862</v>
      </c>
      <c r="F262" s="505">
        <v>40798.042164242004</v>
      </c>
      <c r="G262" s="426"/>
      <c r="H262" s="426"/>
      <c r="I262" s="426"/>
      <c r="J262" s="426"/>
      <c r="K262" s="426"/>
      <c r="L262" s="426"/>
      <c r="M262" s="426"/>
      <c r="N262" s="629"/>
      <c r="O262" s="629"/>
      <c r="P262" s="629"/>
      <c r="Q262" s="629"/>
      <c r="R262" s="629"/>
      <c r="S262" s="426"/>
      <c r="T262" s="503">
        <v>11020.908200231906</v>
      </c>
      <c r="U262" s="504">
        <v>12618.767606641484</v>
      </c>
      <c r="V262" s="504">
        <v>11020.908200231906</v>
      </c>
      <c r="W262" s="505">
        <v>12618.767606641484</v>
      </c>
      <c r="X262" s="426"/>
      <c r="Y262" s="426"/>
      <c r="Z262" s="503">
        <v>12563.303780237147</v>
      </c>
      <c r="AA262" s="504">
        <v>14384.786434489772</v>
      </c>
      <c r="AB262" s="504">
        <v>12563.303780237147</v>
      </c>
      <c r="AC262" s="505">
        <v>14384.786434489772</v>
      </c>
      <c r="AD262" s="426"/>
      <c r="AE262" s="426"/>
      <c r="AF262" s="503">
        <v>14448.18</v>
      </c>
      <c r="AG262" s="504">
        <v>16542.939999999999</v>
      </c>
      <c r="AH262" s="504">
        <v>14448.18</v>
      </c>
      <c r="AI262" s="505">
        <v>16542.939999999999</v>
      </c>
      <c r="AJ262" s="426"/>
      <c r="AK262" s="426"/>
      <c r="AL262" s="503">
        <v>16471.254781563759</v>
      </c>
      <c r="AM262" s="504">
        <v>18859.329240575807</v>
      </c>
      <c r="AN262" s="504">
        <v>16471.254781563759</v>
      </c>
      <c r="AO262" s="505">
        <v>18859.329240575807</v>
      </c>
      <c r="AP262" s="426"/>
      <c r="AQ262" s="426"/>
      <c r="AR262" s="503">
        <v>16882.919999999998</v>
      </c>
      <c r="AS262" s="504">
        <v>19330.669999999998</v>
      </c>
      <c r="AT262" s="504">
        <v>16882.919999999998</v>
      </c>
      <c r="AU262" s="505">
        <v>19330.669999999998</v>
      </c>
      <c r="AV262" s="630"/>
      <c r="AW262" s="630"/>
      <c r="AX262" s="630"/>
    </row>
    <row r="263" spans="1:50" ht="13" hidden="1">
      <c r="A263" s="502">
        <v>34</v>
      </c>
      <c r="B263" s="517" t="str">
        <f t="shared" si="34"/>
        <v>34A</v>
      </c>
      <c r="C263" s="503">
        <v>37625.33600247994</v>
      </c>
      <c r="D263" s="504">
        <v>42636.033205719956</v>
      </c>
      <c r="E263" s="504">
        <v>37625.33600247994</v>
      </c>
      <c r="F263" s="505">
        <v>42636.033205719956</v>
      </c>
      <c r="G263" s="426"/>
      <c r="H263" s="426"/>
      <c r="I263" s="426"/>
      <c r="J263" s="426"/>
      <c r="K263" s="426"/>
      <c r="L263" s="426"/>
      <c r="M263" s="426"/>
      <c r="N263" s="629"/>
      <c r="O263" s="629"/>
      <c r="P263" s="629"/>
      <c r="Q263" s="629"/>
      <c r="R263" s="629"/>
      <c r="S263" s="426"/>
      <c r="T263" s="503">
        <v>11637.454788289511</v>
      </c>
      <c r="U263" s="504">
        <v>13187.255224800452</v>
      </c>
      <c r="V263" s="504">
        <v>11637.454788289511</v>
      </c>
      <c r="W263" s="505">
        <v>13187.255224800452</v>
      </c>
      <c r="X263" s="426"/>
      <c r="Y263" s="426"/>
      <c r="Z263" s="503">
        <v>13266.137152923568</v>
      </c>
      <c r="AA263" s="504">
        <v>15032.834899505051</v>
      </c>
      <c r="AB263" s="504">
        <v>13266.137152923568</v>
      </c>
      <c r="AC263" s="505">
        <v>15032.834899505051</v>
      </c>
      <c r="AD263" s="426"/>
      <c r="AE263" s="426"/>
      <c r="AF263" s="503">
        <v>15256.46</v>
      </c>
      <c r="AG263" s="504">
        <v>17288.21</v>
      </c>
      <c r="AH263" s="504">
        <v>15256.46</v>
      </c>
      <c r="AI263" s="505">
        <v>17288.21</v>
      </c>
      <c r="AJ263" s="426"/>
      <c r="AK263" s="426"/>
      <c r="AL263" s="503">
        <v>17392.712047343983</v>
      </c>
      <c r="AM263" s="504">
        <v>19708.960162886156</v>
      </c>
      <c r="AN263" s="504">
        <v>17392.712047343983</v>
      </c>
      <c r="AO263" s="505">
        <v>19708.960162886156</v>
      </c>
      <c r="AP263" s="426"/>
      <c r="AQ263" s="426"/>
      <c r="AR263" s="503">
        <v>17827.400000000001</v>
      </c>
      <c r="AS263" s="504">
        <v>20201.54</v>
      </c>
      <c r="AT263" s="504">
        <v>17827.400000000001</v>
      </c>
      <c r="AU263" s="505">
        <v>20201.54</v>
      </c>
      <c r="AV263" s="630"/>
      <c r="AW263" s="630"/>
      <c r="AX263" s="630"/>
    </row>
    <row r="264" spans="1:50" ht="13" hidden="1">
      <c r="A264" s="502">
        <v>35</v>
      </c>
      <c r="B264" s="517" t="str">
        <f t="shared" si="34"/>
        <v>35A</v>
      </c>
      <c r="C264" s="503">
        <v>39703.315098971601</v>
      </c>
      <c r="D264" s="504">
        <v>44583.67898349966</v>
      </c>
      <c r="E264" s="504">
        <v>39703.315098971601</v>
      </c>
      <c r="F264" s="505">
        <v>44583.67898349966</v>
      </c>
      <c r="G264" s="426"/>
      <c r="H264" s="426"/>
      <c r="I264" s="426"/>
      <c r="J264" s="426"/>
      <c r="K264" s="426"/>
      <c r="L264" s="426"/>
      <c r="M264" s="426"/>
      <c r="N264" s="629"/>
      <c r="O264" s="629"/>
      <c r="P264" s="629"/>
      <c r="Q264" s="629"/>
      <c r="R264" s="629"/>
      <c r="S264" s="426"/>
      <c r="T264" s="503">
        <v>12280.170318719283</v>
      </c>
      <c r="U264" s="504">
        <v>13789.658873262766</v>
      </c>
      <c r="V264" s="504">
        <v>12280.170318719283</v>
      </c>
      <c r="W264" s="505">
        <v>13789.658873262766</v>
      </c>
      <c r="X264" s="426"/>
      <c r="Y264" s="426"/>
      <c r="Z264" s="503">
        <v>13998.801857715825</v>
      </c>
      <c r="AA264" s="504">
        <v>15719.546003204834</v>
      </c>
      <c r="AB264" s="504">
        <v>13998.801857715825</v>
      </c>
      <c r="AC264" s="505">
        <v>15719.546003204834</v>
      </c>
      <c r="AD264" s="426"/>
      <c r="AE264" s="426"/>
      <c r="AF264" s="503">
        <v>16099.04</v>
      </c>
      <c r="AG264" s="504">
        <v>18077.95</v>
      </c>
      <c r="AH264" s="504">
        <v>16099.04</v>
      </c>
      <c r="AI264" s="505">
        <v>18077.95</v>
      </c>
      <c r="AJ264" s="426"/>
      <c r="AK264" s="426"/>
      <c r="AL264" s="503">
        <v>18353.280002492538</v>
      </c>
      <c r="AM264" s="504">
        <v>20609.28015420571</v>
      </c>
      <c r="AN264" s="504">
        <v>18353.280002492538</v>
      </c>
      <c r="AO264" s="505">
        <v>20609.28015420571</v>
      </c>
      <c r="AP264" s="426"/>
      <c r="AQ264" s="426"/>
      <c r="AR264" s="503">
        <v>18811.98</v>
      </c>
      <c r="AS264" s="504">
        <v>21124.36</v>
      </c>
      <c r="AT264" s="504">
        <v>18811.98</v>
      </c>
      <c r="AU264" s="505">
        <v>21124.36</v>
      </c>
      <c r="AV264" s="630"/>
      <c r="AW264" s="630"/>
      <c r="AX264" s="630"/>
    </row>
    <row r="265" spans="1:50" ht="13" hidden="1">
      <c r="A265" s="502">
        <v>36</v>
      </c>
      <c r="B265" s="517" t="str">
        <f t="shared" si="34"/>
        <v>36A</v>
      </c>
      <c r="C265" s="503">
        <v>41400.560718622612</v>
      </c>
      <c r="D265" s="504">
        <v>46580.035928999096</v>
      </c>
      <c r="E265" s="504">
        <v>41400.560718622612</v>
      </c>
      <c r="F265" s="505">
        <v>46580.035928999096</v>
      </c>
      <c r="G265" s="426"/>
      <c r="H265" s="426"/>
      <c r="I265" s="426"/>
      <c r="J265" s="426"/>
      <c r="K265" s="426"/>
      <c r="L265" s="426"/>
      <c r="M265" s="426"/>
      <c r="N265" s="629"/>
      <c r="O265" s="629"/>
      <c r="P265" s="629"/>
      <c r="Q265" s="629"/>
      <c r="R265" s="629"/>
      <c r="S265" s="426"/>
      <c r="T265" s="503">
        <v>12805.125608474285</v>
      </c>
      <c r="U265" s="504">
        <v>14407.128806102866</v>
      </c>
      <c r="V265" s="504">
        <v>12805.125608474285</v>
      </c>
      <c r="W265" s="505">
        <v>14407.128806102866</v>
      </c>
      <c r="X265" s="426"/>
      <c r="Y265" s="426"/>
      <c r="Z265" s="503">
        <v>14597.225568031798</v>
      </c>
      <c r="AA265" s="504">
        <v>16423.431944407894</v>
      </c>
      <c r="AB265" s="504">
        <v>14597.225568031798</v>
      </c>
      <c r="AC265" s="505">
        <v>16423.431944407894</v>
      </c>
      <c r="AD265" s="426"/>
      <c r="AE265" s="426"/>
      <c r="AF265" s="503">
        <v>16787.25</v>
      </c>
      <c r="AG265" s="504">
        <v>18887.439999999999</v>
      </c>
      <c r="AH265" s="504">
        <v>16787.25</v>
      </c>
      <c r="AI265" s="505">
        <v>18887.439999999999</v>
      </c>
      <c r="AJ265" s="426"/>
      <c r="AK265" s="426"/>
      <c r="AL265" s="503">
        <v>19137.84985548363</v>
      </c>
      <c r="AM265" s="504">
        <v>21532.117401280346</v>
      </c>
      <c r="AN265" s="504">
        <v>19137.84985548363</v>
      </c>
      <c r="AO265" s="505">
        <v>21532.117401280346</v>
      </c>
      <c r="AP265" s="426"/>
      <c r="AQ265" s="426"/>
      <c r="AR265" s="503">
        <v>19616.16</v>
      </c>
      <c r="AS265" s="504">
        <v>22070.26</v>
      </c>
      <c r="AT265" s="504">
        <v>19616.16</v>
      </c>
      <c r="AU265" s="505">
        <v>22070.26</v>
      </c>
      <c r="AV265" s="630"/>
      <c r="AW265" s="630"/>
      <c r="AX265" s="630"/>
    </row>
    <row r="266" spans="1:50" ht="13" hidden="1">
      <c r="A266" s="502">
        <v>37</v>
      </c>
      <c r="B266" s="517" t="str">
        <f t="shared" si="34"/>
        <v>37A</v>
      </c>
      <c r="C266" s="503">
        <v>43657.875549185512</v>
      </c>
      <c r="D266" s="504">
        <v>48807.133816955575</v>
      </c>
      <c r="E266" s="504">
        <v>43657.875549185512</v>
      </c>
      <c r="F266" s="505">
        <v>48807.133816955575</v>
      </c>
      <c r="G266" s="426"/>
      <c r="H266" s="426"/>
      <c r="I266" s="426"/>
      <c r="J266" s="426"/>
      <c r="K266" s="426"/>
      <c r="L266" s="426"/>
      <c r="M266" s="426"/>
      <c r="N266" s="629"/>
      <c r="O266" s="629"/>
      <c r="P266" s="629"/>
      <c r="Q266" s="629"/>
      <c r="R266" s="629"/>
      <c r="S266" s="426"/>
      <c r="T266" s="503">
        <v>13503.309387667105</v>
      </c>
      <c r="U266" s="504">
        <v>15095.966534448478</v>
      </c>
      <c r="V266" s="504">
        <v>13503.309387667105</v>
      </c>
      <c r="W266" s="505">
        <v>15095.966534448478</v>
      </c>
      <c r="X266" s="426"/>
      <c r="Y266" s="426"/>
      <c r="Z266" s="503">
        <v>15393.121401031189</v>
      </c>
      <c r="AA266" s="504">
        <v>17208.67373022663</v>
      </c>
      <c r="AB266" s="504">
        <v>15393.121401031189</v>
      </c>
      <c r="AC266" s="505">
        <v>17208.67373022663</v>
      </c>
      <c r="AD266" s="426"/>
      <c r="AE266" s="426"/>
      <c r="AF266" s="503">
        <v>17702.55</v>
      </c>
      <c r="AG266" s="504">
        <v>19790.490000000002</v>
      </c>
      <c r="AH266" s="504">
        <v>17702.55</v>
      </c>
      <c r="AI266" s="505">
        <v>19790.490000000002</v>
      </c>
      <c r="AJ266" s="426"/>
      <c r="AK266" s="426"/>
      <c r="AL266" s="503">
        <v>20181.31766253768</v>
      </c>
      <c r="AM266" s="504">
        <v>22561.617104988567</v>
      </c>
      <c r="AN266" s="504">
        <v>20181.31766253768</v>
      </c>
      <c r="AO266" s="505">
        <v>22561.617104988567</v>
      </c>
      <c r="AP266" s="426"/>
      <c r="AQ266" s="426"/>
      <c r="AR266" s="503">
        <v>20685.7</v>
      </c>
      <c r="AS266" s="504">
        <v>23125.49</v>
      </c>
      <c r="AT266" s="504">
        <v>20685.7</v>
      </c>
      <c r="AU266" s="505">
        <v>23125.49</v>
      </c>
      <c r="AV266" s="630"/>
      <c r="AW266" s="630"/>
      <c r="AX266" s="630"/>
    </row>
    <row r="267" spans="1:50" ht="13" hidden="1">
      <c r="A267" s="502">
        <v>38</v>
      </c>
      <c r="B267" s="517" t="str">
        <f t="shared" si="34"/>
        <v>38A</v>
      </c>
      <c r="C267" s="503">
        <v>45985.817932346501</v>
      </c>
      <c r="D267" s="504">
        <v>50953.847356388054</v>
      </c>
      <c r="E267" s="504">
        <v>45985.817932346501</v>
      </c>
      <c r="F267" s="505">
        <v>50953.847356388054</v>
      </c>
      <c r="G267" s="426"/>
      <c r="H267" s="426"/>
      <c r="I267" s="426"/>
      <c r="J267" s="426"/>
      <c r="K267" s="426"/>
      <c r="L267" s="426"/>
      <c r="M267" s="426"/>
      <c r="N267" s="629"/>
      <c r="O267" s="629"/>
      <c r="P267" s="629"/>
      <c r="Q267" s="629"/>
      <c r="R267" s="629"/>
      <c r="S267" s="426"/>
      <c r="T267" s="503">
        <v>14223.338153177485</v>
      </c>
      <c r="U267" s="504">
        <v>15759.941515480084</v>
      </c>
      <c r="V267" s="504">
        <v>14223.338153177485</v>
      </c>
      <c r="W267" s="505">
        <v>15759.941515480084</v>
      </c>
      <c r="X267" s="426"/>
      <c r="Y267" s="426"/>
      <c r="Z267" s="503">
        <v>16213.919464790193</v>
      </c>
      <c r="AA267" s="504">
        <v>17965.573183304528</v>
      </c>
      <c r="AB267" s="504">
        <v>16213.919464790193</v>
      </c>
      <c r="AC267" s="505">
        <v>17965.573183304528</v>
      </c>
      <c r="AD267" s="426"/>
      <c r="AE267" s="426"/>
      <c r="AF267" s="503">
        <v>18646.5</v>
      </c>
      <c r="AG267" s="504">
        <v>20660.95</v>
      </c>
      <c r="AH267" s="504">
        <v>18646.5</v>
      </c>
      <c r="AI267" s="505">
        <v>20660.95</v>
      </c>
      <c r="AJ267" s="426"/>
      <c r="AK267" s="426"/>
      <c r="AL267" s="503">
        <v>21257.433807532583</v>
      </c>
      <c r="AM267" s="504">
        <v>23553.958287988837</v>
      </c>
      <c r="AN267" s="504">
        <v>21257.433807532583</v>
      </c>
      <c r="AO267" s="505">
        <v>23553.958287988837</v>
      </c>
      <c r="AP267" s="426"/>
      <c r="AQ267" s="426"/>
      <c r="AR267" s="503">
        <v>21788.71</v>
      </c>
      <c r="AS267" s="504">
        <v>24142.639999999999</v>
      </c>
      <c r="AT267" s="504">
        <v>21788.71</v>
      </c>
      <c r="AU267" s="505">
        <v>24142.639999999999</v>
      </c>
      <c r="AV267" s="630"/>
      <c r="AW267" s="630"/>
      <c r="AX267" s="630"/>
    </row>
    <row r="268" spans="1:50" ht="13" hidden="1">
      <c r="A268" s="502">
        <v>39</v>
      </c>
      <c r="B268" s="517" t="str">
        <f t="shared" si="34"/>
        <v>39A</v>
      </c>
      <c r="C268" s="503">
        <v>48496.591021253669</v>
      </c>
      <c r="D268" s="504">
        <v>53263.368326345641</v>
      </c>
      <c r="E268" s="504">
        <v>48496.591021253669</v>
      </c>
      <c r="F268" s="505">
        <v>53263.368326345641</v>
      </c>
      <c r="G268" s="426"/>
      <c r="H268" s="426"/>
      <c r="I268" s="426"/>
      <c r="J268" s="426"/>
      <c r="K268" s="426"/>
      <c r="L268" s="426"/>
      <c r="M268" s="426"/>
      <c r="N268" s="629"/>
      <c r="O268" s="629"/>
      <c r="P268" s="629"/>
      <c r="Q268" s="629"/>
      <c r="R268" s="629"/>
      <c r="S268" s="426"/>
      <c r="T268" s="503">
        <v>14999.916156464562</v>
      </c>
      <c r="U268" s="504">
        <v>16474.272568064334</v>
      </c>
      <c r="V268" s="504">
        <v>14999.916156464562</v>
      </c>
      <c r="W268" s="505">
        <v>16474.272568064334</v>
      </c>
      <c r="X268" s="426"/>
      <c r="Y268" s="426"/>
      <c r="Z268" s="503">
        <v>17099.180932092881</v>
      </c>
      <c r="AA268" s="504">
        <v>18779.876129143748</v>
      </c>
      <c r="AB268" s="504">
        <v>17099.180932092881</v>
      </c>
      <c r="AC268" s="505">
        <v>18779.876129143748</v>
      </c>
      <c r="AD268" s="426"/>
      <c r="AE268" s="426"/>
      <c r="AF268" s="503">
        <v>19664.57</v>
      </c>
      <c r="AG268" s="504">
        <v>21597.42</v>
      </c>
      <c r="AH268" s="504">
        <v>19664.57</v>
      </c>
      <c r="AI268" s="505">
        <v>21597.42</v>
      </c>
      <c r="AJ268" s="426"/>
      <c r="AK268" s="426"/>
      <c r="AL268" s="503">
        <v>22418.065392289849</v>
      </c>
      <c r="AM268" s="504">
        <v>24621.558938654838</v>
      </c>
      <c r="AN268" s="504">
        <v>22418.065392289849</v>
      </c>
      <c r="AO268" s="505">
        <v>24621.558938654838</v>
      </c>
      <c r="AP268" s="426"/>
      <c r="AQ268" s="426"/>
      <c r="AR268" s="503">
        <v>22978.35</v>
      </c>
      <c r="AS268" s="504">
        <v>25236.92</v>
      </c>
      <c r="AT268" s="504">
        <v>22978.35</v>
      </c>
      <c r="AU268" s="505">
        <v>25236.92</v>
      </c>
      <c r="AV268" s="630"/>
      <c r="AW268" s="630"/>
      <c r="AX268" s="630"/>
    </row>
    <row r="269" spans="1:50" ht="13" hidden="1">
      <c r="A269" s="502">
        <v>40</v>
      </c>
      <c r="B269" s="517" t="str">
        <f t="shared" si="34"/>
        <v>40A</v>
      </c>
      <c r="C269" s="503">
        <v>50202.137198632729</v>
      </c>
      <c r="D269" s="504">
        <v>55656.62299268238</v>
      </c>
      <c r="E269" s="504">
        <v>50202.137198632729</v>
      </c>
      <c r="F269" s="505">
        <v>55656.62299268238</v>
      </c>
      <c r="G269" s="426"/>
      <c r="H269" s="426"/>
      <c r="I269" s="426"/>
      <c r="J269" s="426"/>
      <c r="K269" s="426"/>
      <c r="L269" s="426"/>
      <c r="M269" s="426"/>
      <c r="N269" s="629"/>
      <c r="O269" s="629"/>
      <c r="P269" s="629"/>
      <c r="Q269" s="629"/>
      <c r="R269" s="629"/>
      <c r="S269" s="426"/>
      <c r="T269" s="503">
        <v>15527.438795126991</v>
      </c>
      <c r="U269" s="504">
        <v>17214.50231576735</v>
      </c>
      <c r="V269" s="504">
        <v>15527.438795126991</v>
      </c>
      <c r="W269" s="505">
        <v>17214.50231576735</v>
      </c>
      <c r="X269" s="426"/>
      <c r="Y269" s="426"/>
      <c r="Z269" s="503">
        <v>17700.531296333185</v>
      </c>
      <c r="AA269" s="504">
        <v>19623.702338254683</v>
      </c>
      <c r="AB269" s="504">
        <v>17700.531296333185</v>
      </c>
      <c r="AC269" s="505">
        <v>19623.702338254683</v>
      </c>
      <c r="AD269" s="426"/>
      <c r="AE269" s="426"/>
      <c r="AF269" s="503">
        <v>20356.14</v>
      </c>
      <c r="AG269" s="504">
        <v>22567.85</v>
      </c>
      <c r="AH269" s="504">
        <v>20356.14</v>
      </c>
      <c r="AI269" s="505">
        <v>22567.85</v>
      </c>
      <c r="AJ269" s="426"/>
      <c r="AK269" s="426"/>
      <c r="AL269" s="503">
        <v>23206.472266441</v>
      </c>
      <c r="AM269" s="504">
        <v>25727.866381724947</v>
      </c>
      <c r="AN269" s="504">
        <v>23206.472266441</v>
      </c>
      <c r="AO269" s="505">
        <v>25727.866381724947</v>
      </c>
      <c r="AP269" s="426"/>
      <c r="AQ269" s="426"/>
      <c r="AR269" s="503">
        <v>23786.46</v>
      </c>
      <c r="AS269" s="504">
        <v>26370.880000000001</v>
      </c>
      <c r="AT269" s="504">
        <v>23786.46</v>
      </c>
      <c r="AU269" s="505">
        <v>26370.880000000001</v>
      </c>
      <c r="AV269" s="630"/>
      <c r="AW269" s="630"/>
      <c r="AX269" s="630"/>
    </row>
    <row r="270" spans="1:50" ht="13" hidden="1">
      <c r="A270" s="502">
        <v>41</v>
      </c>
      <c r="B270" s="517" t="str">
        <f t="shared" si="34"/>
        <v>41A</v>
      </c>
      <c r="C270" s="503">
        <v>52070.0539350775</v>
      </c>
      <c r="D270" s="504">
        <v>58166.813586310396</v>
      </c>
      <c r="E270" s="504">
        <v>52070.0539350775</v>
      </c>
      <c r="F270" s="505">
        <v>58166.813586310396</v>
      </c>
      <c r="G270" s="426"/>
      <c r="H270" s="426"/>
      <c r="I270" s="426"/>
      <c r="J270" s="426"/>
      <c r="K270" s="426"/>
      <c r="L270" s="426"/>
      <c r="M270" s="426"/>
      <c r="N270" s="629"/>
      <c r="O270" s="629"/>
      <c r="P270" s="629"/>
      <c r="Q270" s="629"/>
      <c r="R270" s="629"/>
      <c r="S270" s="426"/>
      <c r="T270" s="503">
        <v>16105.182381715358</v>
      </c>
      <c r="U270" s="504">
        <v>17990.900154218816</v>
      </c>
      <c r="V270" s="504">
        <v>16105.182381715358</v>
      </c>
      <c r="W270" s="505">
        <v>17990.900154218816</v>
      </c>
      <c r="X270" s="426"/>
      <c r="Y270" s="426"/>
      <c r="Z270" s="503">
        <v>18359.131118917736</v>
      </c>
      <c r="AA270" s="504">
        <v>20508.758426334611</v>
      </c>
      <c r="AB270" s="504">
        <v>18359.131118917736</v>
      </c>
      <c r="AC270" s="505">
        <v>20508.758426334611</v>
      </c>
      <c r="AD270" s="426"/>
      <c r="AE270" s="426"/>
      <c r="AF270" s="503">
        <v>21113.55</v>
      </c>
      <c r="AG270" s="504">
        <v>23585.69</v>
      </c>
      <c r="AH270" s="504">
        <v>21113.55</v>
      </c>
      <c r="AI270" s="505">
        <v>23585.69</v>
      </c>
      <c r="AJ270" s="426"/>
      <c r="AK270" s="426"/>
      <c r="AL270" s="503">
        <v>24069.936659775769</v>
      </c>
      <c r="AM270" s="504">
        <v>26888.228701839405</v>
      </c>
      <c r="AN270" s="504">
        <v>24069.936659775769</v>
      </c>
      <c r="AO270" s="505">
        <v>26888.228701839405</v>
      </c>
      <c r="AP270" s="426"/>
      <c r="AQ270" s="426"/>
      <c r="AR270" s="503">
        <v>24671.51</v>
      </c>
      <c r="AS270" s="504">
        <v>27560.240000000002</v>
      </c>
      <c r="AT270" s="504">
        <v>24671.51</v>
      </c>
      <c r="AU270" s="505">
        <v>27560.240000000002</v>
      </c>
      <c r="AV270" s="630"/>
      <c r="AW270" s="630"/>
      <c r="AX270" s="630"/>
    </row>
    <row r="271" spans="1:50" ht="13" hidden="1">
      <c r="A271" s="502">
        <v>42</v>
      </c>
      <c r="B271" s="517" t="str">
        <f t="shared" si="34"/>
        <v>42A</v>
      </c>
      <c r="C271" s="503">
        <v>54090.511622752143</v>
      </c>
      <c r="D271" s="504">
        <v>60779.086477611127</v>
      </c>
      <c r="E271" s="504">
        <v>54090.511622752143</v>
      </c>
      <c r="F271" s="505">
        <v>60779.086477611127</v>
      </c>
      <c r="G271" s="426"/>
      <c r="H271" s="426"/>
      <c r="I271" s="426"/>
      <c r="J271" s="426"/>
      <c r="K271" s="426"/>
      <c r="L271" s="426"/>
      <c r="M271" s="426"/>
      <c r="N271" s="629"/>
      <c r="O271" s="629"/>
      <c r="P271" s="629"/>
      <c r="Q271" s="629"/>
      <c r="R271" s="629"/>
      <c r="S271" s="426"/>
      <c r="T271" s="503">
        <v>16730.106634628766</v>
      </c>
      <c r="U271" s="504">
        <v>18798.871880110721</v>
      </c>
      <c r="V271" s="504">
        <v>16730.106634628766</v>
      </c>
      <c r="W271" s="505">
        <v>18798.871880110721</v>
      </c>
      <c r="X271" s="426"/>
      <c r="Y271" s="426"/>
      <c r="Z271" s="503">
        <v>19071.514625462478</v>
      </c>
      <c r="AA271" s="504">
        <v>21429.807223203177</v>
      </c>
      <c r="AB271" s="504">
        <v>19071.514625462478</v>
      </c>
      <c r="AC271" s="505">
        <v>21429.807223203177</v>
      </c>
      <c r="AD271" s="426"/>
      <c r="AE271" s="426"/>
      <c r="AF271" s="503">
        <v>21932.82</v>
      </c>
      <c r="AG271" s="504">
        <v>24644.92</v>
      </c>
      <c r="AH271" s="504">
        <v>21932.82</v>
      </c>
      <c r="AI271" s="505">
        <v>24644.92</v>
      </c>
      <c r="AJ271" s="426"/>
      <c r="AK271" s="426"/>
      <c r="AL271" s="503">
        <v>25003.914731446723</v>
      </c>
      <c r="AM271" s="504">
        <v>28095.779650606517</v>
      </c>
      <c r="AN271" s="504">
        <v>25003.914731446723</v>
      </c>
      <c r="AO271" s="505">
        <v>28095.779650606517</v>
      </c>
      <c r="AP271" s="426"/>
      <c r="AQ271" s="426"/>
      <c r="AR271" s="503">
        <v>25628.83</v>
      </c>
      <c r="AS271" s="504">
        <v>28797.97</v>
      </c>
      <c r="AT271" s="504">
        <v>25628.83</v>
      </c>
      <c r="AU271" s="505">
        <v>28797.97</v>
      </c>
      <c r="AV271" s="630"/>
      <c r="AW271" s="630"/>
      <c r="AX271" s="630"/>
    </row>
    <row r="272" spans="1:50" ht="13" hidden="1">
      <c r="A272" s="502">
        <v>43</v>
      </c>
      <c r="B272" s="517" t="str">
        <f t="shared" si="34"/>
        <v>43A</v>
      </c>
      <c r="C272" s="503">
        <v>56250.476929785502</v>
      </c>
      <c r="D272" s="504">
        <v>63496.572578709995</v>
      </c>
      <c r="E272" s="504">
        <v>56250.476929785502</v>
      </c>
      <c r="F272" s="505">
        <v>63496.572578709995</v>
      </c>
      <c r="G272" s="426"/>
      <c r="H272" s="426"/>
      <c r="I272" s="426"/>
      <c r="J272" s="426"/>
      <c r="K272" s="426"/>
      <c r="L272" s="426"/>
      <c r="M272" s="426"/>
      <c r="N272" s="629"/>
      <c r="O272" s="629"/>
      <c r="P272" s="629"/>
      <c r="Q272" s="629"/>
      <c r="R272" s="629"/>
      <c r="S272" s="426"/>
      <c r="T272" s="503">
        <v>17398.180365670476</v>
      </c>
      <c r="U272" s="504">
        <v>19639.385879434449</v>
      </c>
      <c r="V272" s="504">
        <v>17398.180365670476</v>
      </c>
      <c r="W272" s="505">
        <v>19639.385879434449</v>
      </c>
      <c r="X272" s="426"/>
      <c r="Y272" s="426"/>
      <c r="Z272" s="503">
        <v>19833.086455858167</v>
      </c>
      <c r="AA272" s="504">
        <v>22387.952642182696</v>
      </c>
      <c r="AB272" s="504">
        <v>19833.086455858167</v>
      </c>
      <c r="AC272" s="505">
        <v>22387.952642182696</v>
      </c>
      <c r="AD272" s="426"/>
      <c r="AE272" s="426"/>
      <c r="AF272" s="503">
        <v>22808.65</v>
      </c>
      <c r="AG272" s="504">
        <v>25746.82</v>
      </c>
      <c r="AH272" s="504">
        <v>22808.65</v>
      </c>
      <c r="AI272" s="505">
        <v>25746.82</v>
      </c>
      <c r="AJ272" s="426"/>
      <c r="AK272" s="426"/>
      <c r="AL272" s="503">
        <v>26002.381685070955</v>
      </c>
      <c r="AM272" s="504">
        <v>29351.966525481399</v>
      </c>
      <c r="AN272" s="504">
        <v>26002.381685070955</v>
      </c>
      <c r="AO272" s="505">
        <v>29351.966525481399</v>
      </c>
      <c r="AP272" s="426"/>
      <c r="AQ272" s="426"/>
      <c r="AR272" s="503">
        <v>26652.25</v>
      </c>
      <c r="AS272" s="504">
        <v>30085.55</v>
      </c>
      <c r="AT272" s="504">
        <v>26652.25</v>
      </c>
      <c r="AU272" s="505">
        <v>30085.55</v>
      </c>
      <c r="AV272" s="630"/>
      <c r="AW272" s="630"/>
      <c r="AX272" s="630"/>
    </row>
    <row r="273" spans="1:50" ht="13" hidden="1">
      <c r="A273" s="502">
        <v>44</v>
      </c>
      <c r="B273" s="517" t="str">
        <f t="shared" si="34"/>
        <v>44A</v>
      </c>
      <c r="C273" s="503">
        <v>58670.963250422952</v>
      </c>
      <c r="D273" s="504">
        <v>66716.169610444413</v>
      </c>
      <c r="E273" s="504">
        <v>58670.963250422952</v>
      </c>
      <c r="F273" s="505">
        <v>66716.169610444413</v>
      </c>
      <c r="G273" s="426"/>
      <c r="H273" s="426"/>
      <c r="I273" s="426"/>
      <c r="J273" s="426"/>
      <c r="K273" s="426"/>
      <c r="L273" s="426"/>
      <c r="M273" s="426"/>
      <c r="N273" s="629"/>
      <c r="O273" s="629"/>
      <c r="P273" s="629"/>
      <c r="Q273" s="629"/>
      <c r="R273" s="629"/>
      <c r="S273" s="426"/>
      <c r="T273" s="503">
        <v>18146.83281943819</v>
      </c>
      <c r="U273" s="504">
        <v>20635.201967052933</v>
      </c>
      <c r="V273" s="504">
        <v>18146.83281943819</v>
      </c>
      <c r="W273" s="505">
        <v>20635.201967052933</v>
      </c>
      <c r="X273" s="426"/>
      <c r="Y273" s="426"/>
      <c r="Z273" s="503">
        <v>20686.514143633103</v>
      </c>
      <c r="AA273" s="504">
        <v>23523.134951181062</v>
      </c>
      <c r="AB273" s="504">
        <v>20686.514143633103</v>
      </c>
      <c r="AC273" s="505">
        <v>23523.134951181062</v>
      </c>
      <c r="AD273" s="426"/>
      <c r="AE273" s="426"/>
      <c r="AF273" s="503">
        <v>23790.11</v>
      </c>
      <c r="AG273" s="504">
        <v>27052.31</v>
      </c>
      <c r="AH273" s="504">
        <v>23790.11</v>
      </c>
      <c r="AI273" s="505">
        <v>27052.31</v>
      </c>
      <c r="AJ273" s="426"/>
      <c r="AK273" s="426"/>
      <c r="AL273" s="503">
        <v>27121.277250192485</v>
      </c>
      <c r="AM273" s="504">
        <v>30840.259522459532</v>
      </c>
      <c r="AN273" s="504">
        <v>27121.277250192485</v>
      </c>
      <c r="AO273" s="505">
        <v>30840.259522459532</v>
      </c>
      <c r="AP273" s="426"/>
      <c r="AQ273" s="426"/>
      <c r="AR273" s="503">
        <v>27799.11</v>
      </c>
      <c r="AS273" s="504">
        <v>31611.040000000001</v>
      </c>
      <c r="AT273" s="504">
        <v>27799.11</v>
      </c>
      <c r="AU273" s="505">
        <v>31611.040000000001</v>
      </c>
      <c r="AV273" s="630"/>
      <c r="AW273" s="630"/>
      <c r="AX273" s="630"/>
    </row>
    <row r="274" spans="1:50" ht="13" hidden="1">
      <c r="A274" s="502">
        <v>45</v>
      </c>
      <c r="B274" s="517" t="str">
        <f t="shared" si="34"/>
        <v>45A</v>
      </c>
      <c r="C274" s="503">
        <v>61309.084369736389</v>
      </c>
      <c r="D274" s="504">
        <v>69104.691502638001</v>
      </c>
      <c r="E274" s="504">
        <v>61309.084369736389</v>
      </c>
      <c r="F274" s="505">
        <v>69104.691502638001</v>
      </c>
      <c r="G274" s="426"/>
      <c r="H274" s="426"/>
      <c r="I274" s="426"/>
      <c r="J274" s="426"/>
      <c r="K274" s="426"/>
      <c r="L274" s="426"/>
      <c r="M274" s="426"/>
      <c r="N274" s="629"/>
      <c r="O274" s="629"/>
      <c r="P274" s="629"/>
      <c r="Q274" s="629"/>
      <c r="R274" s="629"/>
      <c r="S274" s="426"/>
      <c r="T274" s="503">
        <v>18962.799359910237</v>
      </c>
      <c r="U274" s="504">
        <v>21373.96787546662</v>
      </c>
      <c r="V274" s="504">
        <v>18962.799359910237</v>
      </c>
      <c r="W274" s="505">
        <v>21373.96787546662</v>
      </c>
      <c r="X274" s="426"/>
      <c r="Y274" s="426"/>
      <c r="Z274" s="503">
        <v>21616.67664351163</v>
      </c>
      <c r="AA274" s="504">
        <v>24365.292454107064</v>
      </c>
      <c r="AB274" s="504">
        <v>21616.67664351163</v>
      </c>
      <c r="AC274" s="505">
        <v>24365.292454107064</v>
      </c>
      <c r="AD274" s="426"/>
      <c r="AE274" s="426"/>
      <c r="AF274" s="503">
        <v>24859.83</v>
      </c>
      <c r="AG274" s="504">
        <v>28020.82</v>
      </c>
      <c r="AH274" s="504">
        <v>24859.83</v>
      </c>
      <c r="AI274" s="505">
        <v>28020.82</v>
      </c>
      <c r="AJ274" s="426"/>
      <c r="AK274" s="426"/>
      <c r="AL274" s="503">
        <v>28340.77681748434</v>
      </c>
      <c r="AM274" s="504">
        <v>31944.379190306794</v>
      </c>
      <c r="AN274" s="504">
        <v>28340.77681748434</v>
      </c>
      <c r="AO274" s="505">
        <v>31944.379190306794</v>
      </c>
      <c r="AP274" s="426"/>
      <c r="AQ274" s="426"/>
      <c r="AR274" s="503">
        <v>29049.09</v>
      </c>
      <c r="AS274" s="504">
        <v>32742.76</v>
      </c>
      <c r="AT274" s="504">
        <v>29049.09</v>
      </c>
      <c r="AU274" s="505">
        <v>32742.76</v>
      </c>
      <c r="AV274" s="630"/>
      <c r="AW274" s="630"/>
      <c r="AX274" s="630"/>
    </row>
    <row r="275" spans="1:50" ht="13" hidden="1">
      <c r="A275" s="502">
        <v>46</v>
      </c>
      <c r="B275" s="517" t="str">
        <f t="shared" si="34"/>
        <v>46A</v>
      </c>
      <c r="C275" s="503">
        <v>64201.391866493024</v>
      </c>
      <c r="D275" s="504">
        <v>71704.659181166469</v>
      </c>
      <c r="E275" s="504">
        <v>64201.391866493024</v>
      </c>
      <c r="F275" s="505">
        <v>71704.659181166469</v>
      </c>
      <c r="G275" s="426"/>
      <c r="H275" s="426"/>
      <c r="I275" s="426"/>
      <c r="J275" s="426"/>
      <c r="K275" s="426"/>
      <c r="L275" s="426"/>
      <c r="M275" s="426"/>
      <c r="N275" s="629"/>
      <c r="O275" s="629"/>
      <c r="P275" s="629"/>
      <c r="Q275" s="629"/>
      <c r="R275" s="629"/>
      <c r="S275" s="426"/>
      <c r="T275" s="503">
        <v>19857.385330521043</v>
      </c>
      <c r="U275" s="504">
        <v>22178.133619206292</v>
      </c>
      <c r="V275" s="504">
        <v>19857.385330521043</v>
      </c>
      <c r="W275" s="505">
        <v>22178.133619206292</v>
      </c>
      <c r="X275" s="426"/>
      <c r="Y275" s="426"/>
      <c r="Z275" s="503">
        <v>22636.461501721897</v>
      </c>
      <c r="AA275" s="504">
        <v>25282.002614894831</v>
      </c>
      <c r="AB275" s="504">
        <v>22636.461501721897</v>
      </c>
      <c r="AC275" s="505">
        <v>25282.002614894831</v>
      </c>
      <c r="AD275" s="426"/>
      <c r="AE275" s="426"/>
      <c r="AF275" s="503">
        <v>26032.61</v>
      </c>
      <c r="AG275" s="504">
        <v>29075.06</v>
      </c>
      <c r="AH275" s="504">
        <v>26032.61</v>
      </c>
      <c r="AI275" s="505">
        <v>29075.06</v>
      </c>
      <c r="AJ275" s="426"/>
      <c r="AK275" s="426"/>
      <c r="AL275" s="503">
        <v>29677.776743282939</v>
      </c>
      <c r="AM275" s="504">
        <v>33146.241923494526</v>
      </c>
      <c r="AN275" s="504">
        <v>29677.776743282939</v>
      </c>
      <c r="AO275" s="505">
        <v>33146.241923494526</v>
      </c>
      <c r="AP275" s="426"/>
      <c r="AQ275" s="426"/>
      <c r="AR275" s="503">
        <v>30419.5</v>
      </c>
      <c r="AS275" s="504">
        <v>33974.660000000003</v>
      </c>
      <c r="AT275" s="504">
        <v>30419.5</v>
      </c>
      <c r="AU275" s="505">
        <v>33974.660000000003</v>
      </c>
      <c r="AV275" s="630"/>
      <c r="AW275" s="630"/>
      <c r="AX275" s="630"/>
    </row>
    <row r="276" spans="1:50" ht="13" hidden="1">
      <c r="A276" s="502">
        <v>47</v>
      </c>
      <c r="B276" s="517" t="str">
        <f t="shared" si="34"/>
        <v>47A</v>
      </c>
      <c r="C276" s="503">
        <v>67377.156128470655</v>
      </c>
      <c r="D276" s="504">
        <v>75360.035493622083</v>
      </c>
      <c r="E276" s="504">
        <v>67377.156128470655</v>
      </c>
      <c r="F276" s="505">
        <v>75360.035493622083</v>
      </c>
      <c r="G276" s="426"/>
      <c r="H276" s="426"/>
      <c r="I276" s="426"/>
      <c r="J276" s="426"/>
      <c r="K276" s="426"/>
      <c r="L276" s="426"/>
      <c r="M276" s="426"/>
      <c r="N276" s="629"/>
      <c r="O276" s="629"/>
      <c r="P276" s="629"/>
      <c r="Q276" s="629"/>
      <c r="R276" s="629"/>
      <c r="S276" s="426"/>
      <c r="T276" s="503">
        <v>20839.644014259964</v>
      </c>
      <c r="U276" s="504">
        <v>23308.735524464562</v>
      </c>
      <c r="V276" s="504">
        <v>20839.644014259964</v>
      </c>
      <c r="W276" s="505">
        <v>23308.735524464562</v>
      </c>
      <c r="X276" s="426"/>
      <c r="Y276" s="426"/>
      <c r="Z276" s="503">
        <v>23756.18902420759</v>
      </c>
      <c r="AA276" s="504">
        <v>26570.834254920261</v>
      </c>
      <c r="AB276" s="504">
        <v>23756.18902420759</v>
      </c>
      <c r="AC276" s="505">
        <v>26570.834254920261</v>
      </c>
      <c r="AD276" s="426"/>
      <c r="AE276" s="426"/>
      <c r="AF276" s="503">
        <v>27320.33</v>
      </c>
      <c r="AG276" s="504">
        <v>30557.26</v>
      </c>
      <c r="AH276" s="504">
        <v>27320.33</v>
      </c>
      <c r="AI276" s="505">
        <v>30557.26</v>
      </c>
      <c r="AJ276" s="426"/>
      <c r="AK276" s="426"/>
      <c r="AL276" s="503">
        <v>31145.807575889525</v>
      </c>
      <c r="AM276" s="504">
        <v>34835.978531375767</v>
      </c>
      <c r="AN276" s="504">
        <v>31145.807575889525</v>
      </c>
      <c r="AO276" s="505">
        <v>34835.978531375767</v>
      </c>
      <c r="AP276" s="426"/>
      <c r="AQ276" s="426"/>
      <c r="AR276" s="503">
        <v>31924.23</v>
      </c>
      <c r="AS276" s="504">
        <v>35706.620000000003</v>
      </c>
      <c r="AT276" s="504">
        <v>31924.23</v>
      </c>
      <c r="AU276" s="505">
        <v>35706.620000000003</v>
      </c>
      <c r="AV276" s="630"/>
      <c r="AW276" s="630"/>
      <c r="AX276" s="630"/>
    </row>
    <row r="277" spans="1:50" ht="13" hidden="1">
      <c r="A277" s="502">
        <v>48</v>
      </c>
      <c r="B277" s="517" t="str">
        <f t="shared" si="34"/>
        <v>48A</v>
      </c>
      <c r="C277" s="503">
        <v>70830.260955238147</v>
      </c>
      <c r="D277" s="504">
        <v>78388.938133341624</v>
      </c>
      <c r="E277" s="504">
        <v>70830.260955238147</v>
      </c>
      <c r="F277" s="505">
        <v>78388.938133341624</v>
      </c>
      <c r="G277" s="426"/>
      <c r="H277" s="426"/>
      <c r="I277" s="426"/>
      <c r="J277" s="426"/>
      <c r="K277" s="426"/>
      <c r="L277" s="426"/>
      <c r="M277" s="426"/>
      <c r="N277" s="629"/>
      <c r="O277" s="629"/>
      <c r="P277" s="629"/>
      <c r="Q277" s="629"/>
      <c r="R277" s="629"/>
      <c r="S277" s="426"/>
      <c r="T277" s="503">
        <v>21907.6836803531</v>
      </c>
      <c r="U277" s="504">
        <v>24245.570149025625</v>
      </c>
      <c r="V277" s="504">
        <v>21907.6836803531</v>
      </c>
      <c r="W277" s="505">
        <v>24245.570149025625</v>
      </c>
      <c r="X277" s="426"/>
      <c r="Y277" s="426"/>
      <c r="Z277" s="503">
        <v>24973.702729129731</v>
      </c>
      <c r="AA277" s="504">
        <v>27638.780540867676</v>
      </c>
      <c r="AB277" s="504">
        <v>24973.702729129731</v>
      </c>
      <c r="AC277" s="505">
        <v>27638.780540867676</v>
      </c>
      <c r="AD277" s="426"/>
      <c r="AE277" s="426"/>
      <c r="AF277" s="503">
        <v>28720.51</v>
      </c>
      <c r="AG277" s="504">
        <v>31785.43</v>
      </c>
      <c r="AH277" s="504">
        <v>28720.51</v>
      </c>
      <c r="AI277" s="505">
        <v>31785.43</v>
      </c>
      <c r="AJ277" s="426"/>
      <c r="AK277" s="426"/>
      <c r="AL277" s="503">
        <v>32742.042036554587</v>
      </c>
      <c r="AM277" s="504">
        <v>36236.121015913588</v>
      </c>
      <c r="AN277" s="504">
        <v>32742.042036554587</v>
      </c>
      <c r="AO277" s="505">
        <v>36236.121015913588</v>
      </c>
      <c r="AP277" s="426"/>
      <c r="AQ277" s="426"/>
      <c r="AR277" s="503">
        <v>33560.35</v>
      </c>
      <c r="AS277" s="504">
        <v>37141.760000000002</v>
      </c>
      <c r="AT277" s="504">
        <v>33560.35</v>
      </c>
      <c r="AU277" s="505">
        <v>37141.760000000002</v>
      </c>
      <c r="AV277" s="630"/>
      <c r="AW277" s="630"/>
      <c r="AX277" s="630"/>
    </row>
    <row r="278" spans="1:50" ht="13" hidden="1">
      <c r="A278" s="502">
        <v>49</v>
      </c>
      <c r="B278" s="517" t="str">
        <f t="shared" si="34"/>
        <v>49A</v>
      </c>
      <c r="C278" s="503">
        <v>74616.771517414541</v>
      </c>
      <c r="D278" s="504">
        <v>81655.717282687969</v>
      </c>
      <c r="E278" s="504">
        <v>74616.771517414541</v>
      </c>
      <c r="F278" s="505">
        <v>81655.717282687969</v>
      </c>
      <c r="G278" s="426"/>
      <c r="H278" s="426"/>
      <c r="I278" s="426"/>
      <c r="J278" s="426"/>
      <c r="K278" s="426"/>
      <c r="L278" s="426"/>
      <c r="M278" s="426"/>
      <c r="N278" s="629"/>
      <c r="O278" s="629"/>
      <c r="P278" s="629"/>
      <c r="Q278" s="629"/>
      <c r="R278" s="629"/>
      <c r="S278" s="426"/>
      <c r="T278" s="503">
        <v>23078.845194227793</v>
      </c>
      <c r="U278" s="504">
        <v>25255.979588328417</v>
      </c>
      <c r="V278" s="504">
        <v>23078.845194227793</v>
      </c>
      <c r="W278" s="505">
        <v>25255.979588328417</v>
      </c>
      <c r="X278" s="426"/>
      <c r="Y278" s="426"/>
      <c r="Z278" s="503">
        <v>26308.770366678928</v>
      </c>
      <c r="AA278" s="504">
        <v>28790.598566909568</v>
      </c>
      <c r="AB278" s="504">
        <v>26308.770366678928</v>
      </c>
      <c r="AC278" s="505">
        <v>28790.598566909568</v>
      </c>
      <c r="AD278" s="426"/>
      <c r="AE278" s="426"/>
      <c r="AF278" s="503">
        <v>30255.88</v>
      </c>
      <c r="AG278" s="504">
        <v>33110.050000000003</v>
      </c>
      <c r="AH278" s="504">
        <v>30255.88</v>
      </c>
      <c r="AI278" s="505">
        <v>33110.050000000003</v>
      </c>
      <c r="AJ278" s="426"/>
      <c r="AK278" s="426"/>
      <c r="AL278" s="503">
        <v>34492.396847148695</v>
      </c>
      <c r="AM278" s="504">
        <v>37746.224448959416</v>
      </c>
      <c r="AN278" s="504">
        <v>34492.396847148695</v>
      </c>
      <c r="AO278" s="505">
        <v>37746.224448959416</v>
      </c>
      <c r="AP278" s="426"/>
      <c r="AQ278" s="426"/>
      <c r="AR278" s="503">
        <v>35354.46</v>
      </c>
      <c r="AS278" s="504">
        <v>38689.599999999999</v>
      </c>
      <c r="AT278" s="504">
        <v>35354.46</v>
      </c>
      <c r="AU278" s="505">
        <v>38689.599999999999</v>
      </c>
      <c r="AV278" s="630"/>
      <c r="AW278" s="630"/>
      <c r="AX278" s="630"/>
    </row>
    <row r="279" spans="1:50" ht="13" hidden="1">
      <c r="A279" s="502">
        <v>50</v>
      </c>
      <c r="B279" s="517" t="str">
        <f t="shared" si="34"/>
        <v>50A</v>
      </c>
      <c r="C279" s="503">
        <v>78779.209970378506</v>
      </c>
      <c r="D279" s="504">
        <v>85121.637005596946</v>
      </c>
      <c r="E279" s="504">
        <v>78779.209970378506</v>
      </c>
      <c r="F279" s="505">
        <v>85121.637005596946</v>
      </c>
      <c r="G279" s="426"/>
      <c r="H279" s="426"/>
      <c r="I279" s="426"/>
      <c r="J279" s="426"/>
      <c r="K279" s="426"/>
      <c r="L279" s="426"/>
      <c r="M279" s="426"/>
      <c r="N279" s="629"/>
      <c r="O279" s="629"/>
      <c r="P279" s="629"/>
      <c r="Q279" s="629"/>
      <c r="R279" s="629"/>
      <c r="S279" s="426"/>
      <c r="T279" s="503">
        <v>24366.280588883488</v>
      </c>
      <c r="U279" s="504">
        <v>26327.982880804946</v>
      </c>
      <c r="V279" s="504">
        <v>24366.280588883488</v>
      </c>
      <c r="W279" s="505">
        <v>26327.982880804946</v>
      </c>
      <c r="X279" s="426"/>
      <c r="Y279" s="426"/>
      <c r="Z279" s="503">
        <v>27776.384620116645</v>
      </c>
      <c r="AA279" s="504">
        <v>30012.630614732418</v>
      </c>
      <c r="AB279" s="504">
        <v>27776.384620116645</v>
      </c>
      <c r="AC279" s="505">
        <v>30012.630614732418</v>
      </c>
      <c r="AD279" s="426"/>
      <c r="AE279" s="426"/>
      <c r="AF279" s="503">
        <v>31943.68</v>
      </c>
      <c r="AG279" s="504">
        <v>34515.43</v>
      </c>
      <c r="AH279" s="504">
        <v>31943.68</v>
      </c>
      <c r="AI279" s="505">
        <v>34515.43</v>
      </c>
      <c r="AJ279" s="426"/>
      <c r="AK279" s="426"/>
      <c r="AL279" s="503">
        <v>36416.528326597079</v>
      </c>
      <c r="AM279" s="504">
        <v>39348.382731766324</v>
      </c>
      <c r="AN279" s="504">
        <v>36416.528326597079</v>
      </c>
      <c r="AO279" s="505">
        <v>39348.382731766324</v>
      </c>
      <c r="AP279" s="426"/>
      <c r="AQ279" s="426"/>
      <c r="AR279" s="503">
        <v>37326.68</v>
      </c>
      <c r="AS279" s="504">
        <v>40331.81</v>
      </c>
      <c r="AT279" s="504">
        <v>37326.68</v>
      </c>
      <c r="AU279" s="505">
        <v>40331.81</v>
      </c>
      <c r="AV279" s="630"/>
      <c r="AW279" s="630"/>
      <c r="AX279" s="630"/>
    </row>
    <row r="280" spans="1:50" ht="13" hidden="1">
      <c r="A280" s="502">
        <v>51</v>
      </c>
      <c r="B280" s="517" t="str">
        <f t="shared" si="34"/>
        <v>51A</v>
      </c>
      <c r="C280" s="503">
        <v>83273.961980103006</v>
      </c>
      <c r="D280" s="504">
        <v>88833.588172040909</v>
      </c>
      <c r="E280" s="504">
        <v>83273.961980103006</v>
      </c>
      <c r="F280" s="505">
        <v>88833.588172040909</v>
      </c>
      <c r="G280" s="426"/>
      <c r="H280" s="426"/>
      <c r="I280" s="426"/>
      <c r="J280" s="426"/>
      <c r="K280" s="426"/>
      <c r="L280" s="426"/>
      <c r="M280" s="426"/>
      <c r="N280" s="629"/>
      <c r="O280" s="629"/>
      <c r="P280" s="629"/>
      <c r="Q280" s="629"/>
      <c r="R280" s="629"/>
      <c r="S280" s="426"/>
      <c r="T280" s="503">
        <v>25756.500022253978</v>
      </c>
      <c r="U280" s="504">
        <v>27476.083295721721</v>
      </c>
      <c r="V280" s="504">
        <v>25756.500022253978</v>
      </c>
      <c r="W280" s="505">
        <v>27476.083295721721</v>
      </c>
      <c r="X280" s="426"/>
      <c r="Y280" s="426"/>
      <c r="Z280" s="503">
        <v>29361.167720138761</v>
      </c>
      <c r="AA280" s="504">
        <v>31321.409711768381</v>
      </c>
      <c r="AB280" s="504">
        <v>29361.167720138761</v>
      </c>
      <c r="AC280" s="505">
        <v>31321.409711768381</v>
      </c>
      <c r="AD280" s="426"/>
      <c r="AE280" s="426"/>
      <c r="AF280" s="503">
        <v>33766.230000000003</v>
      </c>
      <c r="AG280" s="504">
        <v>36020.559999999998</v>
      </c>
      <c r="AH280" s="504">
        <v>33766.230000000003</v>
      </c>
      <c r="AI280" s="505">
        <v>36020.559999999998</v>
      </c>
      <c r="AJ280" s="426"/>
      <c r="AK280" s="426"/>
      <c r="AL280" s="503">
        <v>38494.275284769239</v>
      </c>
      <c r="AM280" s="504">
        <v>41064.271668080612</v>
      </c>
      <c r="AN280" s="504">
        <v>38494.275284769239</v>
      </c>
      <c r="AO280" s="505">
        <v>41064.271668080612</v>
      </c>
      <c r="AP280" s="426"/>
      <c r="AQ280" s="426"/>
      <c r="AR280" s="503">
        <v>39456.35</v>
      </c>
      <c r="AS280" s="504">
        <v>42090.58</v>
      </c>
      <c r="AT280" s="504">
        <v>39456.35</v>
      </c>
      <c r="AU280" s="505">
        <v>42090.58</v>
      </c>
      <c r="AV280" s="630"/>
      <c r="AW280" s="630"/>
      <c r="AX280" s="630"/>
    </row>
    <row r="281" spans="1:50" ht="13" hidden="1">
      <c r="A281" s="502">
        <v>52</v>
      </c>
      <c r="B281" s="517" t="str">
        <f t="shared" si="34"/>
        <v>52A</v>
      </c>
      <c r="C281" s="503">
        <v>88185.052490606715</v>
      </c>
      <c r="D281" s="504">
        <v>92823.171150914321</v>
      </c>
      <c r="E281" s="504">
        <v>88185.052490606715</v>
      </c>
      <c r="F281" s="505">
        <v>92823.171150914321</v>
      </c>
      <c r="G281" s="426"/>
      <c r="H281" s="426"/>
      <c r="I281" s="426"/>
      <c r="J281" s="426"/>
      <c r="K281" s="426"/>
      <c r="L281" s="426"/>
      <c r="M281" s="426"/>
      <c r="N281" s="629"/>
      <c r="O281" s="629"/>
      <c r="P281" s="629"/>
      <c r="Q281" s="629"/>
      <c r="R281" s="629"/>
      <c r="S281" s="426"/>
      <c r="T281" s="503">
        <v>27275.492271875824</v>
      </c>
      <c r="U281" s="504">
        <v>28710.054775410517</v>
      </c>
      <c r="V281" s="504">
        <v>27275.492271875824</v>
      </c>
      <c r="W281" s="505">
        <v>28710.054775410517</v>
      </c>
      <c r="X281" s="426"/>
      <c r="Y281" s="426"/>
      <c r="Z281" s="503">
        <v>31092.745619628338</v>
      </c>
      <c r="AA281" s="504">
        <v>32728.077680852166</v>
      </c>
      <c r="AB281" s="504">
        <v>31092.745619628338</v>
      </c>
      <c r="AC281" s="505">
        <v>32728.077680852166</v>
      </c>
      <c r="AD281" s="426"/>
      <c r="AE281" s="426"/>
      <c r="AF281" s="503">
        <v>35757.589999999997</v>
      </c>
      <c r="AG281" s="504">
        <v>37638.269999999997</v>
      </c>
      <c r="AH281" s="504">
        <v>35757.589999999997</v>
      </c>
      <c r="AI281" s="505">
        <v>37638.269999999997</v>
      </c>
      <c r="AJ281" s="426"/>
      <c r="AK281" s="426"/>
      <c r="AL281" s="503">
        <v>40764.479146390702</v>
      </c>
      <c r="AM281" s="504">
        <v>42908.498864774774</v>
      </c>
      <c r="AN281" s="504">
        <v>40764.479146390702</v>
      </c>
      <c r="AO281" s="505">
        <v>42908.498864774774</v>
      </c>
      <c r="AP281" s="426"/>
      <c r="AQ281" s="426"/>
      <c r="AR281" s="503">
        <v>41783.29</v>
      </c>
      <c r="AS281" s="504">
        <v>43980.9</v>
      </c>
      <c r="AT281" s="504">
        <v>41783.29</v>
      </c>
      <c r="AU281" s="505">
        <v>43980.9</v>
      </c>
      <c r="AV281" s="630"/>
      <c r="AW281" s="630"/>
      <c r="AX281" s="630"/>
    </row>
    <row r="282" spans="1:50" ht="13" hidden="1">
      <c r="A282" s="502">
        <v>53</v>
      </c>
      <c r="B282" s="517" t="str">
        <f t="shared" si="34"/>
        <v>53A</v>
      </c>
      <c r="C282" s="503">
        <v>93477.022101770883</v>
      </c>
      <c r="D282" s="504">
        <v>97108.443295871024</v>
      </c>
      <c r="E282" s="504">
        <v>93477.022101770883</v>
      </c>
      <c r="F282" s="505">
        <v>97108.443295871024</v>
      </c>
      <c r="G282" s="426"/>
      <c r="H282" s="426"/>
      <c r="I282" s="426"/>
      <c r="J282" s="426"/>
      <c r="K282" s="426"/>
      <c r="L282" s="426"/>
      <c r="M282" s="426"/>
      <c r="N282" s="629"/>
      <c r="O282" s="629"/>
      <c r="P282" s="629"/>
      <c r="Q282" s="629"/>
      <c r="R282" s="629"/>
      <c r="S282" s="426"/>
      <c r="T282" s="503">
        <v>28912.28980338134</v>
      </c>
      <c r="U282" s="504">
        <v>30035.482429775206</v>
      </c>
      <c r="V282" s="504">
        <v>28912.28980338134</v>
      </c>
      <c r="W282" s="505">
        <v>30035.482429775206</v>
      </c>
      <c r="X282" s="426"/>
      <c r="Y282" s="426"/>
      <c r="Z282" s="503">
        <v>32958.615858399891</v>
      </c>
      <c r="AA282" s="504">
        <v>34239.001277889329</v>
      </c>
      <c r="AB282" s="504">
        <v>32958.615858399891</v>
      </c>
      <c r="AC282" s="505">
        <v>34239.001277889329</v>
      </c>
      <c r="AD282" s="426"/>
      <c r="AE282" s="426"/>
      <c r="AF282" s="503">
        <v>37903.4</v>
      </c>
      <c r="AG282" s="504">
        <v>39375.879999999997</v>
      </c>
      <c r="AH282" s="504">
        <v>37903.4</v>
      </c>
      <c r="AI282" s="505">
        <v>39375.879999999997</v>
      </c>
      <c r="AJ282" s="426"/>
      <c r="AK282" s="426"/>
      <c r="AL282" s="503">
        <v>43210.748426330334</v>
      </c>
      <c r="AM282" s="504">
        <v>44889.411525775962</v>
      </c>
      <c r="AN282" s="504">
        <v>43210.748426330334</v>
      </c>
      <c r="AO282" s="505">
        <v>44889.411525775962</v>
      </c>
      <c r="AP282" s="426"/>
      <c r="AQ282" s="426"/>
      <c r="AR282" s="503">
        <v>44290.7</v>
      </c>
      <c r="AS282" s="504">
        <v>46011.32</v>
      </c>
      <c r="AT282" s="504">
        <v>44290.7</v>
      </c>
      <c r="AU282" s="505">
        <v>46011.32</v>
      </c>
      <c r="AV282" s="630"/>
      <c r="AW282" s="630"/>
      <c r="AX282" s="630"/>
    </row>
    <row r="283" spans="1:50" ht="13" hidden="1">
      <c r="A283" s="502">
        <v>54</v>
      </c>
      <c r="B283" s="517" t="str">
        <f t="shared" si="34"/>
        <v>54A</v>
      </c>
      <c r="C283" s="503">
        <v>99219.478999454994</v>
      </c>
      <c r="D283" s="504">
        <v>101675.20628448161</v>
      </c>
      <c r="E283" s="504">
        <v>99219.478999454994</v>
      </c>
      <c r="F283" s="505">
        <v>101675.20628448161</v>
      </c>
      <c r="G283" s="426"/>
      <c r="H283" s="426"/>
      <c r="I283" s="426"/>
      <c r="J283" s="426"/>
      <c r="K283" s="426"/>
      <c r="L283" s="426"/>
      <c r="M283" s="426"/>
      <c r="N283" s="629"/>
      <c r="O283" s="629"/>
      <c r="P283" s="629"/>
      <c r="Q283" s="629"/>
      <c r="R283" s="629"/>
      <c r="S283" s="426"/>
      <c r="T283" s="503">
        <v>30688.422314625779</v>
      </c>
      <c r="U283" s="504">
        <v>31447.974740947822</v>
      </c>
      <c r="V283" s="504">
        <v>30688.422314625779</v>
      </c>
      <c r="W283" s="505">
        <v>31447.974740947822</v>
      </c>
      <c r="X283" s="426"/>
      <c r="Y283" s="426"/>
      <c r="Z283" s="503">
        <v>34983.321253573209</v>
      </c>
      <c r="AA283" s="504">
        <v>35849.174384325102</v>
      </c>
      <c r="AB283" s="504">
        <v>34983.321253573209</v>
      </c>
      <c r="AC283" s="505">
        <v>35849.174384325102</v>
      </c>
      <c r="AD283" s="426"/>
      <c r="AE283" s="426"/>
      <c r="AF283" s="503">
        <v>40231.870000000003</v>
      </c>
      <c r="AG283" s="504">
        <v>41227.629999999997</v>
      </c>
      <c r="AH283" s="504">
        <v>40231.870000000003</v>
      </c>
      <c r="AI283" s="505">
        <v>41227.629999999997</v>
      </c>
      <c r="AJ283" s="426"/>
      <c r="AK283" s="426"/>
      <c r="AL283" s="503">
        <v>45865.260249404047</v>
      </c>
      <c r="AM283" s="504">
        <v>47000.446325415651</v>
      </c>
      <c r="AN283" s="504">
        <v>45865.260249404047</v>
      </c>
      <c r="AO283" s="505">
        <v>47000.446325415651</v>
      </c>
      <c r="AP283" s="426"/>
      <c r="AQ283" s="426"/>
      <c r="AR283" s="503">
        <v>47011.56</v>
      </c>
      <c r="AS283" s="504">
        <v>48175.11</v>
      </c>
      <c r="AT283" s="504">
        <v>47011.56</v>
      </c>
      <c r="AU283" s="505">
        <v>48175.11</v>
      </c>
      <c r="AV283" s="630"/>
      <c r="AW283" s="630"/>
      <c r="AX283" s="630"/>
    </row>
    <row r="284" spans="1:50" ht="13" hidden="1">
      <c r="A284" s="502">
        <v>55</v>
      </c>
      <c r="B284" s="517" t="str">
        <f t="shared" si="34"/>
        <v>55A</v>
      </c>
      <c r="C284" s="503">
        <v>105397.56955404053</v>
      </c>
      <c r="D284" s="504">
        <v>107175.70920558483</v>
      </c>
      <c r="E284" s="504">
        <v>105397.56955404053</v>
      </c>
      <c r="F284" s="505">
        <v>107175.70920558483</v>
      </c>
      <c r="G284" s="426"/>
      <c r="H284" s="426"/>
      <c r="I284" s="426"/>
      <c r="J284" s="426"/>
      <c r="K284" s="426"/>
      <c r="L284" s="426"/>
      <c r="M284" s="426"/>
      <c r="N284" s="629"/>
      <c r="O284" s="629"/>
      <c r="P284" s="629"/>
      <c r="Q284" s="629"/>
      <c r="R284" s="629"/>
      <c r="S284" s="426"/>
      <c r="T284" s="503">
        <v>32599.29560230111</v>
      </c>
      <c r="U284" s="504">
        <v>33149.27128360128</v>
      </c>
      <c r="V284" s="504">
        <v>32599.29560230111</v>
      </c>
      <c r="W284" s="505">
        <v>33149.27128360128</v>
      </c>
      <c r="X284" s="426"/>
      <c r="Y284" s="426"/>
      <c r="Z284" s="503">
        <v>37161.624634967899</v>
      </c>
      <c r="AA284" s="504">
        <v>37788.570384844628</v>
      </c>
      <c r="AB284" s="504">
        <v>37161.624634967899</v>
      </c>
      <c r="AC284" s="505">
        <v>37788.570384844628</v>
      </c>
      <c r="AD284" s="426"/>
      <c r="AE284" s="426"/>
      <c r="AF284" s="503">
        <v>42736.99</v>
      </c>
      <c r="AG284" s="504">
        <v>43457.99</v>
      </c>
      <c r="AH284" s="504">
        <v>42736.99</v>
      </c>
      <c r="AI284" s="505">
        <v>43457.99</v>
      </c>
      <c r="AJ284" s="426"/>
      <c r="AK284" s="426"/>
      <c r="AL284" s="503">
        <v>48721.148367220194</v>
      </c>
      <c r="AM284" s="504">
        <v>49543.112347481685</v>
      </c>
      <c r="AN284" s="504">
        <v>48721.148367220194</v>
      </c>
      <c r="AO284" s="505">
        <v>49543.112347481685</v>
      </c>
      <c r="AP284" s="426"/>
      <c r="AQ284" s="426"/>
      <c r="AR284" s="503">
        <v>49938.82</v>
      </c>
      <c r="AS284" s="504">
        <v>50781.33</v>
      </c>
      <c r="AT284" s="504">
        <v>49938.82</v>
      </c>
      <c r="AU284" s="505">
        <v>50781.33</v>
      </c>
      <c r="AV284" s="630"/>
      <c r="AW284" s="630"/>
      <c r="AX284" s="630"/>
    </row>
    <row r="285" spans="1:50" ht="13" hidden="1">
      <c r="A285" s="502">
        <v>56</v>
      </c>
      <c r="B285" s="517" t="str">
        <f t="shared" si="34"/>
        <v>56A</v>
      </c>
      <c r="C285" s="503">
        <v>112067.28612423678</v>
      </c>
      <c r="D285" s="504">
        <v>114423.55234034685</v>
      </c>
      <c r="E285" s="504">
        <v>112067.28612423678</v>
      </c>
      <c r="F285" s="505">
        <v>114423.55234034685</v>
      </c>
      <c r="G285" s="426"/>
      <c r="H285" s="426"/>
      <c r="I285" s="426"/>
      <c r="J285" s="426"/>
      <c r="K285" s="426"/>
      <c r="L285" s="426"/>
      <c r="M285" s="426"/>
      <c r="N285" s="629"/>
      <c r="O285" s="629"/>
      <c r="P285" s="629"/>
      <c r="Q285" s="629"/>
      <c r="R285" s="629"/>
      <c r="S285" s="426"/>
      <c r="T285" s="503">
        <v>34662.228011230232</v>
      </c>
      <c r="U285" s="504">
        <v>35391.017291872085</v>
      </c>
      <c r="V285" s="504">
        <v>34662.228011230232</v>
      </c>
      <c r="W285" s="505">
        <v>35391.017291872085</v>
      </c>
      <c r="X285" s="426"/>
      <c r="Y285" s="426"/>
      <c r="Z285" s="503">
        <v>39513.268080371759</v>
      </c>
      <c r="AA285" s="504">
        <v>40344.052708837444</v>
      </c>
      <c r="AB285" s="504">
        <v>39513.268080371759</v>
      </c>
      <c r="AC285" s="505">
        <v>40344.052708837444</v>
      </c>
      <c r="AD285" s="426"/>
      <c r="AE285" s="426"/>
      <c r="AF285" s="503">
        <v>45441.45</v>
      </c>
      <c r="AG285" s="504">
        <v>46396.87</v>
      </c>
      <c r="AH285" s="504">
        <v>45441.45</v>
      </c>
      <c r="AI285" s="505">
        <v>46396.87</v>
      </c>
      <c r="AJ285" s="426"/>
      <c r="AK285" s="426"/>
      <c r="AL285" s="503">
        <v>51804.295843568987</v>
      </c>
      <c r="AM285" s="504">
        <v>52893.504981820573</v>
      </c>
      <c r="AN285" s="504">
        <v>51804.295843568987</v>
      </c>
      <c r="AO285" s="505">
        <v>52893.504981820573</v>
      </c>
      <c r="AP285" s="426"/>
      <c r="AQ285" s="426"/>
      <c r="AR285" s="503">
        <v>53099.03</v>
      </c>
      <c r="AS285" s="504">
        <v>54215.46</v>
      </c>
      <c r="AT285" s="504">
        <v>53099.03</v>
      </c>
      <c r="AU285" s="505">
        <v>54215.46</v>
      </c>
      <c r="AV285" s="630"/>
      <c r="AW285" s="630"/>
      <c r="AX285" s="630"/>
    </row>
    <row r="286" spans="1:50" ht="13" hidden="1">
      <c r="A286" s="502">
        <v>57</v>
      </c>
      <c r="B286" s="517" t="str">
        <f t="shared" si="34"/>
        <v>57A</v>
      </c>
      <c r="C286" s="503">
        <v>119278.79611596116</v>
      </c>
      <c r="D286" s="504">
        <v>118778.57829498294</v>
      </c>
      <c r="E286" s="504">
        <v>119278.79611596116</v>
      </c>
      <c r="F286" s="505">
        <v>118778.57829498294</v>
      </c>
      <c r="G286" s="426"/>
      <c r="H286" s="426"/>
      <c r="I286" s="426"/>
      <c r="J286" s="426"/>
      <c r="K286" s="426"/>
      <c r="L286" s="426"/>
      <c r="M286" s="426"/>
      <c r="N286" s="629"/>
      <c r="O286" s="629"/>
      <c r="P286" s="629"/>
      <c r="Q286" s="629"/>
      <c r="R286" s="629"/>
      <c r="S286" s="426"/>
      <c r="T286" s="503">
        <v>36892.736237879937</v>
      </c>
      <c r="U286" s="504">
        <v>36738.019685300926</v>
      </c>
      <c r="V286" s="504">
        <v>36892.736237879937</v>
      </c>
      <c r="W286" s="505">
        <v>36738.019685300926</v>
      </c>
      <c r="X286" s="426"/>
      <c r="Y286" s="426"/>
      <c r="Z286" s="503">
        <v>42055.939875344928</v>
      </c>
      <c r="AA286" s="504">
        <v>41879.570467800069</v>
      </c>
      <c r="AB286" s="504">
        <v>42055.939875344928</v>
      </c>
      <c r="AC286" s="505">
        <v>41879.570467800069</v>
      </c>
      <c r="AD286" s="426"/>
      <c r="AE286" s="426"/>
      <c r="AF286" s="503">
        <v>48365.599999999999</v>
      </c>
      <c r="AG286" s="504">
        <v>48162.77</v>
      </c>
      <c r="AH286" s="504">
        <v>48365.599999999999</v>
      </c>
      <c r="AI286" s="505">
        <v>48162.77</v>
      </c>
      <c r="AJ286" s="426"/>
      <c r="AK286" s="426"/>
      <c r="AL286" s="503">
        <v>55137.893095812506</v>
      </c>
      <c r="AM286" s="504">
        <v>54906.662083798401</v>
      </c>
      <c r="AN286" s="504">
        <v>55137.893095812506</v>
      </c>
      <c r="AO286" s="505">
        <v>54906.662083798401</v>
      </c>
      <c r="AP286" s="426"/>
      <c r="AQ286" s="426"/>
      <c r="AR286" s="503">
        <v>56515.94</v>
      </c>
      <c r="AS286" s="504">
        <v>56278.93</v>
      </c>
      <c r="AT286" s="504">
        <v>56515.94</v>
      </c>
      <c r="AU286" s="505">
        <v>56278.93</v>
      </c>
      <c r="AV286" s="630"/>
      <c r="AW286" s="630"/>
      <c r="AX286" s="630"/>
    </row>
    <row r="287" spans="1:50" ht="13" hidden="1">
      <c r="A287" s="502">
        <v>58</v>
      </c>
      <c r="B287" s="517" t="str">
        <f t="shared" si="34"/>
        <v>58A</v>
      </c>
      <c r="C287" s="503">
        <v>124400.96835325034</v>
      </c>
      <c r="D287" s="504">
        <v>123521.9101650887</v>
      </c>
      <c r="E287" s="504">
        <v>124400.96835325034</v>
      </c>
      <c r="F287" s="505">
        <v>123521.9101650887</v>
      </c>
      <c r="G287" s="426"/>
      <c r="H287" s="426"/>
      <c r="I287" s="426"/>
      <c r="J287" s="426"/>
      <c r="K287" s="426"/>
      <c r="L287" s="426"/>
      <c r="M287" s="426"/>
      <c r="N287" s="629"/>
      <c r="O287" s="629"/>
      <c r="P287" s="629"/>
      <c r="Q287" s="629"/>
      <c r="R287" s="629"/>
      <c r="S287" s="426"/>
      <c r="T287" s="503">
        <v>38477.015719805509</v>
      </c>
      <c r="U287" s="504">
        <v>38205.124462267449</v>
      </c>
      <c r="V287" s="504">
        <v>38477.015719805509</v>
      </c>
      <c r="W287" s="505">
        <v>38205.124462267449</v>
      </c>
      <c r="X287" s="426"/>
      <c r="Y287" s="426"/>
      <c r="Z287" s="503">
        <v>43861.942070682053</v>
      </c>
      <c r="AA287" s="504">
        <v>43551.999151134878</v>
      </c>
      <c r="AB287" s="504">
        <v>43861.942070682053</v>
      </c>
      <c r="AC287" s="505">
        <v>43551.999151134878</v>
      </c>
      <c r="AD287" s="426"/>
      <c r="AE287" s="426"/>
      <c r="AF287" s="503">
        <v>50442.55</v>
      </c>
      <c r="AG287" s="504">
        <v>50086.11</v>
      </c>
      <c r="AH287" s="504">
        <v>50442.55</v>
      </c>
      <c r="AI287" s="505">
        <v>50086.11</v>
      </c>
      <c r="AJ287" s="426"/>
      <c r="AK287" s="426"/>
      <c r="AL287" s="503">
        <v>57505.67173237267</v>
      </c>
      <c r="AM287" s="504">
        <v>57099.317728290247</v>
      </c>
      <c r="AN287" s="504">
        <v>57505.67173237267</v>
      </c>
      <c r="AO287" s="505">
        <v>57099.317728290247</v>
      </c>
      <c r="AP287" s="426"/>
      <c r="AQ287" s="426"/>
      <c r="AR287" s="503">
        <v>58942.89</v>
      </c>
      <c r="AS287" s="504">
        <v>58526.38</v>
      </c>
      <c r="AT287" s="504">
        <v>58942.89</v>
      </c>
      <c r="AU287" s="505">
        <v>58526.38</v>
      </c>
      <c r="AV287" s="630"/>
      <c r="AW287" s="630"/>
      <c r="AX287" s="630"/>
    </row>
    <row r="288" spans="1:50" ht="13" hidden="1">
      <c r="A288" s="502">
        <v>59</v>
      </c>
      <c r="B288" s="517" t="str">
        <f t="shared" si="34"/>
        <v>59A</v>
      </c>
      <c r="C288" s="503">
        <v>132479.30413227394</v>
      </c>
      <c r="D288" s="504">
        <v>125542.95034804253</v>
      </c>
      <c r="E288" s="504">
        <v>132479.30413227394</v>
      </c>
      <c r="F288" s="505">
        <v>125542.95034804253</v>
      </c>
      <c r="G288" s="426"/>
      <c r="H288" s="426"/>
      <c r="I288" s="426"/>
      <c r="J288" s="426"/>
      <c r="K288" s="426"/>
      <c r="L288" s="426"/>
      <c r="M288" s="426"/>
      <c r="N288" s="629"/>
      <c r="O288" s="629"/>
      <c r="P288" s="629"/>
      <c r="Q288" s="629"/>
      <c r="R288" s="629"/>
      <c r="S288" s="426"/>
      <c r="T288" s="503">
        <v>40975.63174244549</v>
      </c>
      <c r="U288" s="504">
        <v>38830.228880016468</v>
      </c>
      <c r="V288" s="504">
        <v>40975.63174244549</v>
      </c>
      <c r="W288" s="505">
        <v>38830.228880016468</v>
      </c>
      <c r="X288" s="426"/>
      <c r="Y288" s="426"/>
      <c r="Z288" s="503">
        <v>46710.243821524462</v>
      </c>
      <c r="AA288" s="504">
        <v>44264.588036902373</v>
      </c>
      <c r="AB288" s="504">
        <v>46710.243821524462</v>
      </c>
      <c r="AC288" s="505">
        <v>44264.588036902373</v>
      </c>
      <c r="AD288" s="426"/>
      <c r="AE288" s="426"/>
      <c r="AF288" s="503">
        <v>53718.19</v>
      </c>
      <c r="AG288" s="504">
        <v>50905.61</v>
      </c>
      <c r="AH288" s="504">
        <v>53718.19</v>
      </c>
      <c r="AI288" s="505">
        <v>50905.61</v>
      </c>
      <c r="AJ288" s="426"/>
      <c r="AK288" s="426"/>
      <c r="AL288" s="503">
        <v>61239.968431199602</v>
      </c>
      <c r="AM288" s="504">
        <v>58033.565064604009</v>
      </c>
      <c r="AN288" s="504">
        <v>61239.968431199602</v>
      </c>
      <c r="AO288" s="505">
        <v>58033.565064604009</v>
      </c>
      <c r="AP288" s="426"/>
      <c r="AQ288" s="426"/>
      <c r="AR288" s="503">
        <v>62770.52</v>
      </c>
      <c r="AS288" s="504">
        <v>59483.98</v>
      </c>
      <c r="AT288" s="504">
        <v>62770.52</v>
      </c>
      <c r="AU288" s="505">
        <v>59483.98</v>
      </c>
      <c r="AV288" s="630"/>
      <c r="AW288" s="630"/>
      <c r="AX288" s="630"/>
    </row>
    <row r="289" spans="1:50" ht="13" hidden="1">
      <c r="A289" s="502">
        <v>60</v>
      </c>
      <c r="B289" s="517" t="str">
        <f t="shared" si="34"/>
        <v>60A</v>
      </c>
      <c r="C289" s="506">
        <v>169403.12463042687</v>
      </c>
      <c r="D289" s="507">
        <v>163861.93244569231</v>
      </c>
      <c r="E289" s="507">
        <v>213248.63924065509</v>
      </c>
      <c r="F289" s="508">
        <v>206273.25613751859</v>
      </c>
      <c r="G289" s="426"/>
      <c r="H289" s="426"/>
      <c r="I289" s="426"/>
      <c r="J289" s="426"/>
      <c r="K289" s="426"/>
      <c r="L289" s="426"/>
      <c r="M289" s="426"/>
      <c r="N289" s="629"/>
      <c r="O289" s="629"/>
      <c r="P289" s="629"/>
      <c r="Q289" s="629"/>
      <c r="R289" s="629"/>
      <c r="S289" s="426"/>
      <c r="T289" s="506">
        <v>43423.491006798606</v>
      </c>
      <c r="U289" s="507">
        <v>42003.10452027007</v>
      </c>
      <c r="V289" s="507">
        <v>54662.512208558241</v>
      </c>
      <c r="W289" s="508">
        <v>52874.496278457627</v>
      </c>
      <c r="X289" s="426"/>
      <c r="Y289" s="426"/>
      <c r="Z289" s="506">
        <v>49501.800896874011</v>
      </c>
      <c r="AA289" s="507">
        <v>47882.592320535972</v>
      </c>
      <c r="AB289" s="507">
        <v>62314.0317172414</v>
      </c>
      <c r="AC289" s="508">
        <v>60275.733862321766</v>
      </c>
      <c r="AD289" s="426"/>
      <c r="AE289" s="426"/>
      <c r="AF289" s="506">
        <v>69300.17</v>
      </c>
      <c r="AG289" s="507">
        <v>67033.36</v>
      </c>
      <c r="AH289" s="507">
        <v>87236.69</v>
      </c>
      <c r="AI289" s="508">
        <v>84383.17</v>
      </c>
      <c r="AJ289" s="426"/>
      <c r="AK289" s="426"/>
      <c r="AL289" s="506">
        <v>78306.314622598482</v>
      </c>
      <c r="AM289" s="507">
        <v>75744.907685455284</v>
      </c>
      <c r="AN289" s="507">
        <v>98573.831348447522</v>
      </c>
      <c r="AO289" s="508">
        <v>95349.472027573109</v>
      </c>
      <c r="AP289" s="426"/>
      <c r="AQ289" s="426"/>
      <c r="AR289" s="506">
        <v>80260.399999999994</v>
      </c>
      <c r="AS289" s="507">
        <v>77635.070000000007</v>
      </c>
      <c r="AT289" s="507">
        <v>101033.68</v>
      </c>
      <c r="AU289" s="508">
        <v>97728.86</v>
      </c>
      <c r="AV289" s="630"/>
      <c r="AW289" s="630"/>
      <c r="AX289" s="630"/>
    </row>
    <row r="290" spans="1:50" ht="13" hidden="1">
      <c r="A290" s="502">
        <v>61</v>
      </c>
      <c r="B290" s="517" t="str">
        <f t="shared" si="34"/>
        <v>61A</v>
      </c>
      <c r="C290" s="506">
        <v>178549.63735447754</v>
      </c>
      <c r="D290" s="507">
        <v>170796.76262931811</v>
      </c>
      <c r="E290" s="507">
        <v>224762.48466975402</v>
      </c>
      <c r="F290" s="508">
        <v>215002.98354514161</v>
      </c>
      <c r="G290" s="426"/>
      <c r="H290" s="426"/>
      <c r="I290" s="426"/>
      <c r="J290" s="426"/>
      <c r="K290" s="426"/>
      <c r="L290" s="426"/>
      <c r="M290" s="426"/>
      <c r="N290" s="629"/>
      <c r="O290" s="629"/>
      <c r="P290" s="629"/>
      <c r="Q290" s="629"/>
      <c r="R290" s="629"/>
      <c r="S290" s="426"/>
      <c r="T290" s="506">
        <v>45768.037566272418</v>
      </c>
      <c r="U290" s="507">
        <v>43780.725427613506</v>
      </c>
      <c r="V290" s="507">
        <v>57613.882583425257</v>
      </c>
      <c r="W290" s="508">
        <v>55112.207302995819</v>
      </c>
      <c r="X290" s="426"/>
      <c r="Y290" s="426"/>
      <c r="Z290" s="506">
        <v>52174.531123984321</v>
      </c>
      <c r="AA290" s="507">
        <v>49909.040083836677</v>
      </c>
      <c r="AB290" s="507">
        <v>65678.527414897893</v>
      </c>
      <c r="AC290" s="508">
        <v>62826.67398788852</v>
      </c>
      <c r="AD290" s="426"/>
      <c r="AE290" s="426"/>
      <c r="AF290" s="506">
        <v>73041.87</v>
      </c>
      <c r="AG290" s="507">
        <v>69870.289999999994</v>
      </c>
      <c r="AH290" s="507">
        <v>91946.82</v>
      </c>
      <c r="AI290" s="508">
        <v>87954.36</v>
      </c>
      <c r="AJ290" s="426"/>
      <c r="AK290" s="426"/>
      <c r="AL290" s="506">
        <v>82534.275025522846</v>
      </c>
      <c r="AM290" s="507">
        <v>78950.521486251484</v>
      </c>
      <c r="AN290" s="507">
        <v>103896.08738506993</v>
      </c>
      <c r="AO290" s="508">
        <v>99384.774106222438</v>
      </c>
      <c r="AP290" s="426"/>
      <c r="AQ290" s="426"/>
      <c r="AR290" s="506">
        <v>84593.86</v>
      </c>
      <c r="AS290" s="507">
        <v>80920.679999999993</v>
      </c>
      <c r="AT290" s="507">
        <v>106488.75</v>
      </c>
      <c r="AU290" s="508">
        <v>101864.86</v>
      </c>
      <c r="AV290" s="630"/>
      <c r="AW290" s="630"/>
      <c r="AX290" s="630"/>
    </row>
    <row r="291" spans="1:50" ht="13" hidden="1">
      <c r="A291" s="502">
        <v>62</v>
      </c>
      <c r="B291" s="517" t="str">
        <f t="shared" si="34"/>
        <v>62A</v>
      </c>
      <c r="C291" s="506">
        <v>188185.88303915877</v>
      </c>
      <c r="D291" s="507">
        <v>178103.29037733094</v>
      </c>
      <c r="E291" s="507">
        <v>236892.81747282334</v>
      </c>
      <c r="F291" s="508">
        <v>224200.61259264022</v>
      </c>
      <c r="G291" s="426"/>
      <c r="H291" s="426"/>
      <c r="I291" s="426"/>
      <c r="J291" s="426"/>
      <c r="K291" s="426"/>
      <c r="L291" s="426"/>
      <c r="M291" s="426"/>
      <c r="N291" s="629"/>
      <c r="O291" s="629"/>
      <c r="P291" s="629"/>
      <c r="Q291" s="629"/>
      <c r="R291" s="629"/>
      <c r="S291" s="426"/>
      <c r="T291" s="506">
        <v>48238.118497429576</v>
      </c>
      <c r="U291" s="507">
        <v>45653.624423124566</v>
      </c>
      <c r="V291" s="507">
        <v>60723.278579117214</v>
      </c>
      <c r="W291" s="508">
        <v>57469.856626756809</v>
      </c>
      <c r="X291" s="426"/>
      <c r="Y291" s="426"/>
      <c r="Z291" s="506">
        <v>54990.367705022065</v>
      </c>
      <c r="AA291" s="507">
        <v>52044.10271989301</v>
      </c>
      <c r="AB291" s="507">
        <v>69223.168758086584</v>
      </c>
      <c r="AC291" s="508">
        <v>65514.341070924143</v>
      </c>
      <c r="AD291" s="426"/>
      <c r="AE291" s="426"/>
      <c r="AF291" s="506">
        <v>76983.91</v>
      </c>
      <c r="AG291" s="507">
        <v>72859.27</v>
      </c>
      <c r="AH291" s="507">
        <v>96909.15</v>
      </c>
      <c r="AI291" s="508">
        <v>91716.97</v>
      </c>
      <c r="AJ291" s="426"/>
      <c r="AK291" s="426"/>
      <c r="AL291" s="506">
        <v>86988.613680795635</v>
      </c>
      <c r="AM291" s="507">
        <v>82327.95187239605</v>
      </c>
      <c r="AN291" s="507">
        <v>109503.31369229569</v>
      </c>
      <c r="AO291" s="508">
        <v>103636.36294525152</v>
      </c>
      <c r="AP291" s="426"/>
      <c r="AQ291" s="426"/>
      <c r="AR291" s="506">
        <v>89159.360000000001</v>
      </c>
      <c r="AS291" s="507">
        <v>84382.39</v>
      </c>
      <c r="AT291" s="507">
        <v>112235.9</v>
      </c>
      <c r="AU291" s="508">
        <v>106222.54</v>
      </c>
      <c r="AV291" s="630"/>
      <c r="AW291" s="630"/>
      <c r="AX291" s="630"/>
    </row>
    <row r="292" spans="1:50" ht="13" hidden="1">
      <c r="A292" s="502">
        <v>63</v>
      </c>
      <c r="B292" s="517" t="str">
        <f t="shared" si="34"/>
        <v>63A</v>
      </c>
      <c r="C292" s="506">
        <v>198208.68325315966</v>
      </c>
      <c r="D292" s="507">
        <v>185717.25703772187</v>
      </c>
      <c r="E292" s="507">
        <v>249509.75421280088</v>
      </c>
      <c r="F292" s="508">
        <v>233785.252976897</v>
      </c>
      <c r="G292" s="426"/>
      <c r="H292" s="426"/>
      <c r="I292" s="426"/>
      <c r="J292" s="426"/>
      <c r="K292" s="426"/>
      <c r="L292" s="426"/>
      <c r="M292" s="426"/>
      <c r="N292" s="629"/>
      <c r="O292" s="629"/>
      <c r="P292" s="629"/>
      <c r="Q292" s="629"/>
      <c r="R292" s="629"/>
      <c r="S292" s="426"/>
      <c r="T292" s="506">
        <v>50807.285836610012</v>
      </c>
      <c r="U292" s="507">
        <v>47605.329939329451</v>
      </c>
      <c r="V292" s="507">
        <v>63957.406876673791</v>
      </c>
      <c r="W292" s="508">
        <v>59926.70945303826</v>
      </c>
      <c r="X292" s="426"/>
      <c r="Y292" s="426"/>
      <c r="Z292" s="506">
        <v>57919.160557603864</v>
      </c>
      <c r="AA292" s="507">
        <v>54269.00301308636</v>
      </c>
      <c r="AB292" s="507">
        <v>72910.002113689581</v>
      </c>
      <c r="AC292" s="508">
        <v>68315.097910591066</v>
      </c>
      <c r="AD292" s="426"/>
      <c r="AE292" s="426"/>
      <c r="AF292" s="506">
        <v>81084.08</v>
      </c>
      <c r="AG292" s="507">
        <v>75974.03</v>
      </c>
      <c r="AH292" s="507">
        <v>102070.54</v>
      </c>
      <c r="AI292" s="508">
        <v>95637.9</v>
      </c>
      <c r="AJ292" s="426"/>
      <c r="AK292" s="426"/>
      <c r="AL292" s="506">
        <v>91621.636528923395</v>
      </c>
      <c r="AM292" s="507">
        <v>85847.495388109077</v>
      </c>
      <c r="AN292" s="507">
        <v>115335.47186582121</v>
      </c>
      <c r="AO292" s="508">
        <v>108066.8471356197</v>
      </c>
      <c r="AP292" s="426"/>
      <c r="AQ292" s="426"/>
      <c r="AR292" s="506">
        <v>93908</v>
      </c>
      <c r="AS292" s="507">
        <v>87989.759999999995</v>
      </c>
      <c r="AT292" s="507">
        <v>118213.59</v>
      </c>
      <c r="AU292" s="508">
        <v>110763.59</v>
      </c>
      <c r="AV292" s="630"/>
      <c r="AW292" s="630"/>
      <c r="AX292" s="630"/>
    </row>
    <row r="293" spans="1:50" ht="13" hidden="1">
      <c r="A293" s="502">
        <v>64</v>
      </c>
      <c r="B293" s="517" t="str">
        <f t="shared" si="34"/>
        <v>64A</v>
      </c>
      <c r="C293" s="506">
        <v>208791.12619529598</v>
      </c>
      <c r="D293" s="507">
        <v>193847.48044276421</v>
      </c>
      <c r="E293" s="507">
        <v>262831.18238701974</v>
      </c>
      <c r="F293" s="508">
        <v>244019.76949853855</v>
      </c>
      <c r="G293" s="426"/>
      <c r="H293" s="426"/>
      <c r="I293" s="426"/>
      <c r="J293" s="426"/>
      <c r="K293" s="426"/>
      <c r="L293" s="426"/>
      <c r="M293" s="426"/>
      <c r="N293" s="629"/>
      <c r="O293" s="629"/>
      <c r="P293" s="629"/>
      <c r="Q293" s="629"/>
      <c r="R293" s="629"/>
      <c r="S293" s="426"/>
      <c r="T293" s="506">
        <v>53519.90767832828</v>
      </c>
      <c r="U293" s="507">
        <v>49689.368729536669</v>
      </c>
      <c r="V293" s="507">
        <v>67372.119077425014</v>
      </c>
      <c r="W293" s="508">
        <v>62550.146518357935</v>
      </c>
      <c r="X293" s="426"/>
      <c r="Y293" s="426"/>
      <c r="Z293" s="506">
        <v>61011.488309332206</v>
      </c>
      <c r="AA293" s="507">
        <v>56644.760255590147</v>
      </c>
      <c r="AB293" s="507">
        <v>76802.697048218193</v>
      </c>
      <c r="AC293" s="508">
        <v>71305.757027625252</v>
      </c>
      <c r="AD293" s="426"/>
      <c r="AE293" s="426"/>
      <c r="AF293" s="506">
        <v>85413.19</v>
      </c>
      <c r="AG293" s="507">
        <v>79299.98</v>
      </c>
      <c r="AH293" s="507">
        <v>107520.13</v>
      </c>
      <c r="AI293" s="508">
        <v>99824.68</v>
      </c>
      <c r="AJ293" s="426"/>
      <c r="AK293" s="426"/>
      <c r="AL293" s="506">
        <v>96513.353303985699</v>
      </c>
      <c r="AM293" s="507">
        <v>89605.677731535034</v>
      </c>
      <c r="AN293" s="507">
        <v>121493.28004148787</v>
      </c>
      <c r="AO293" s="508">
        <v>112797.7354973441</v>
      </c>
      <c r="AP293" s="426"/>
      <c r="AQ293" s="426"/>
      <c r="AR293" s="506">
        <v>98921.78</v>
      </c>
      <c r="AS293" s="507">
        <v>91841.73</v>
      </c>
      <c r="AT293" s="507">
        <v>124525.07</v>
      </c>
      <c r="AU293" s="508">
        <v>115612.53</v>
      </c>
      <c r="AV293" s="630"/>
      <c r="AW293" s="630"/>
      <c r="AX293" s="630"/>
    </row>
    <row r="294" spans="1:50" ht="13" hidden="1">
      <c r="A294" s="502">
        <v>65</v>
      </c>
      <c r="B294" s="517" t="str">
        <f t="shared" ref="B294:B329" si="35">+CONCATENATE(A294,$B$227)</f>
        <v>65A</v>
      </c>
      <c r="C294" s="506">
        <v>219582.84270482647</v>
      </c>
      <c r="D294" s="507">
        <v>202061.46796297861</v>
      </c>
      <c r="E294" s="507">
        <v>276416.04905195802</v>
      </c>
      <c r="F294" s="508">
        <v>254359.73025927882</v>
      </c>
      <c r="G294" s="426"/>
      <c r="H294" s="426"/>
      <c r="I294" s="426"/>
      <c r="J294" s="426"/>
      <c r="K294" s="426"/>
      <c r="L294" s="426"/>
      <c r="M294" s="426"/>
      <c r="N294" s="629"/>
      <c r="O294" s="629"/>
      <c r="P294" s="629"/>
      <c r="Q294" s="629"/>
      <c r="R294" s="629"/>
      <c r="S294" s="426"/>
      <c r="T294" s="506">
        <v>56286.173092982543</v>
      </c>
      <c r="U294" s="507">
        <v>51794.878967273587</v>
      </c>
      <c r="V294" s="507">
        <v>70854.35906998979</v>
      </c>
      <c r="W294" s="508">
        <v>65200.612347038492</v>
      </c>
      <c r="X294" s="426"/>
      <c r="Y294" s="426"/>
      <c r="Z294" s="506">
        <v>64164.968524975957</v>
      </c>
      <c r="AA294" s="507">
        <v>59044.994464269141</v>
      </c>
      <c r="AB294" s="507">
        <v>80772.372143205022</v>
      </c>
      <c r="AC294" s="508">
        <v>74327.228325609365</v>
      </c>
      <c r="AD294" s="426"/>
      <c r="AE294" s="426"/>
      <c r="AF294" s="506">
        <v>89827.91</v>
      </c>
      <c r="AG294" s="507">
        <v>82660.19</v>
      </c>
      <c r="AH294" s="507">
        <v>113077.49</v>
      </c>
      <c r="AI294" s="508">
        <v>104054.59</v>
      </c>
      <c r="AJ294" s="426"/>
      <c r="AK294" s="426"/>
      <c r="AL294" s="506">
        <v>101501.80643999942</v>
      </c>
      <c r="AM294" s="507">
        <v>93402.579898878408</v>
      </c>
      <c r="AN294" s="507">
        <v>127772.86222446988</v>
      </c>
      <c r="AO294" s="508">
        <v>117577.36528447042</v>
      </c>
      <c r="AP294" s="426"/>
      <c r="AQ294" s="426"/>
      <c r="AR294" s="506">
        <v>104034.72</v>
      </c>
      <c r="AS294" s="507">
        <v>95733.38</v>
      </c>
      <c r="AT294" s="507">
        <v>130961.35</v>
      </c>
      <c r="AU294" s="508">
        <v>120511.43</v>
      </c>
      <c r="AV294" s="630"/>
      <c r="AW294" s="630"/>
      <c r="AX294" s="630"/>
    </row>
    <row r="295" spans="1:50" ht="13" hidden="1">
      <c r="A295" s="502">
        <v>66</v>
      </c>
      <c r="B295" s="517" t="str">
        <f t="shared" si="35"/>
        <v>66A</v>
      </c>
      <c r="C295" s="506">
        <v>231119.04810742047</v>
      </c>
      <c r="D295" s="507">
        <v>211097.23705271567</v>
      </c>
      <c r="E295" s="507">
        <v>290938.09585287049</v>
      </c>
      <c r="F295" s="508">
        <v>265734.1689957715</v>
      </c>
      <c r="G295" s="426"/>
      <c r="H295" s="426"/>
      <c r="I295" s="426"/>
      <c r="J295" s="426"/>
      <c r="K295" s="426"/>
      <c r="L295" s="426"/>
      <c r="M295" s="426"/>
      <c r="N295" s="629"/>
      <c r="O295" s="629"/>
      <c r="P295" s="629"/>
      <c r="Q295" s="629"/>
      <c r="R295" s="629"/>
      <c r="S295" s="426"/>
      <c r="T295" s="506">
        <v>59243.275051077988</v>
      </c>
      <c r="U295" s="507">
        <v>54111.038357271245</v>
      </c>
      <c r="V295" s="507">
        <v>74576.828593709943</v>
      </c>
      <c r="W295" s="508">
        <v>68116.248285035574</v>
      </c>
      <c r="X295" s="426"/>
      <c r="Y295" s="426"/>
      <c r="Z295" s="506">
        <v>67535.998098311713</v>
      </c>
      <c r="AA295" s="507">
        <v>61685.363958079259</v>
      </c>
      <c r="AB295" s="507">
        <v>85015.903488462965</v>
      </c>
      <c r="AC295" s="508">
        <v>77650.987570758603</v>
      </c>
      <c r="AD295" s="426"/>
      <c r="AE295" s="426"/>
      <c r="AF295" s="506">
        <v>94547.19</v>
      </c>
      <c r="AG295" s="507">
        <v>86356.58</v>
      </c>
      <c r="AH295" s="507">
        <v>119018.23</v>
      </c>
      <c r="AI295" s="508">
        <v>108707.7</v>
      </c>
      <c r="AJ295" s="426"/>
      <c r="AK295" s="426"/>
      <c r="AL295" s="506">
        <v>106834.39833744662</v>
      </c>
      <c r="AM295" s="507">
        <v>97579.34923971392</v>
      </c>
      <c r="AN295" s="507">
        <v>134485.6543777269</v>
      </c>
      <c r="AO295" s="508">
        <v>122835.18080763986</v>
      </c>
      <c r="AP295" s="426"/>
      <c r="AQ295" s="426"/>
      <c r="AR295" s="506">
        <v>109500.38</v>
      </c>
      <c r="AS295" s="507">
        <v>100014.38</v>
      </c>
      <c r="AT295" s="507">
        <v>137841.66</v>
      </c>
      <c r="AU295" s="508">
        <v>125900.45</v>
      </c>
      <c r="AV295" s="630"/>
      <c r="AW295" s="630"/>
      <c r="AX295" s="630"/>
    </row>
    <row r="296" spans="1:50" ht="13" hidden="1">
      <c r="A296" s="502">
        <v>67</v>
      </c>
      <c r="B296" s="517" t="str">
        <f t="shared" si="35"/>
        <v>67A</v>
      </c>
      <c r="C296" s="506">
        <v>243159.8434355777</v>
      </c>
      <c r="D296" s="507">
        <v>219769.23836916473</v>
      </c>
      <c r="E296" s="507">
        <v>306095.33232478623</v>
      </c>
      <c r="F296" s="508">
        <v>276650.68830000737</v>
      </c>
      <c r="G296" s="426"/>
      <c r="H296" s="426"/>
      <c r="I296" s="426"/>
      <c r="J296" s="426"/>
      <c r="K296" s="426"/>
      <c r="L296" s="426"/>
      <c r="M296" s="426"/>
      <c r="N296" s="629"/>
      <c r="O296" s="629"/>
      <c r="P296" s="629"/>
      <c r="Q296" s="629"/>
      <c r="R296" s="629"/>
      <c r="S296" s="426"/>
      <c r="T296" s="506">
        <v>62329.719700712463</v>
      </c>
      <c r="U296" s="507">
        <v>56333.952320619319</v>
      </c>
      <c r="V296" s="507">
        <v>78462.117740896836</v>
      </c>
      <c r="W296" s="508">
        <v>70914.504685956083</v>
      </c>
      <c r="X296" s="426"/>
      <c r="Y296" s="426"/>
      <c r="Z296" s="506">
        <v>71054.475424363336</v>
      </c>
      <c r="AA296" s="507">
        <v>64219.435767444134</v>
      </c>
      <c r="AB296" s="507">
        <v>89445.045534198522</v>
      </c>
      <c r="AC296" s="508">
        <v>80840.936789606159</v>
      </c>
      <c r="AD296" s="426"/>
      <c r="AE296" s="426"/>
      <c r="AF296" s="506">
        <v>99472.89</v>
      </c>
      <c r="AG296" s="507">
        <v>89904.16</v>
      </c>
      <c r="AH296" s="507">
        <v>125218.82</v>
      </c>
      <c r="AI296" s="508">
        <v>113173.48</v>
      </c>
      <c r="AJ296" s="426"/>
      <c r="AK296" s="426"/>
      <c r="AL296" s="506">
        <v>112400.23609474881</v>
      </c>
      <c r="AM296" s="507">
        <v>101587.96752804196</v>
      </c>
      <c r="AN296" s="507">
        <v>141492.06190750733</v>
      </c>
      <c r="AO296" s="508">
        <v>127881.32382941755</v>
      </c>
      <c r="AP296" s="426"/>
      <c r="AQ296" s="426"/>
      <c r="AR296" s="506">
        <v>115205.11</v>
      </c>
      <c r="AS296" s="507">
        <v>104123.03</v>
      </c>
      <c r="AT296" s="507">
        <v>145022.9</v>
      </c>
      <c r="AU296" s="508">
        <v>131072.51999999999</v>
      </c>
      <c r="AV296" s="630"/>
      <c r="AW296" s="630"/>
      <c r="AX296" s="630"/>
    </row>
    <row r="297" spans="1:50" ht="13" hidden="1">
      <c r="A297" s="502">
        <v>68</v>
      </c>
      <c r="B297" s="517" t="str">
        <f t="shared" si="35"/>
        <v>68A</v>
      </c>
      <c r="C297" s="506">
        <v>255527.30969820381</v>
      </c>
      <c r="D297" s="507">
        <v>229304.12856301753</v>
      </c>
      <c r="E297" s="507">
        <v>321663.7898553859</v>
      </c>
      <c r="F297" s="508">
        <v>288653.43242638675</v>
      </c>
      <c r="G297" s="426"/>
      <c r="H297" s="426"/>
      <c r="I297" s="426"/>
      <c r="J297" s="426"/>
      <c r="K297" s="426"/>
      <c r="L297" s="426"/>
      <c r="M297" s="426"/>
      <c r="N297" s="629"/>
      <c r="O297" s="629"/>
      <c r="P297" s="629"/>
      <c r="Q297" s="629"/>
      <c r="R297" s="629"/>
      <c r="S297" s="426"/>
      <c r="T297" s="506">
        <v>65499.900659320141</v>
      </c>
      <c r="U297" s="507">
        <v>58778.052566626306</v>
      </c>
      <c r="V297" s="507">
        <v>82452.816124085351</v>
      </c>
      <c r="W297" s="508">
        <v>73991.195583870765</v>
      </c>
      <c r="X297" s="426"/>
      <c r="Y297" s="426"/>
      <c r="Z297" s="506">
        <v>74668.410255063354</v>
      </c>
      <c r="AA297" s="507">
        <v>67005.654953066405</v>
      </c>
      <c r="AB297" s="507">
        <v>93994.351732844443</v>
      </c>
      <c r="AC297" s="508">
        <v>84348.295058565971</v>
      </c>
      <c r="AD297" s="426"/>
      <c r="AE297" s="426"/>
      <c r="AF297" s="506">
        <v>104532.23</v>
      </c>
      <c r="AG297" s="507">
        <v>93804.74</v>
      </c>
      <c r="AH297" s="507">
        <v>131587.63</v>
      </c>
      <c r="AI297" s="508">
        <v>118083.61</v>
      </c>
      <c r="AJ297" s="426"/>
      <c r="AK297" s="426"/>
      <c r="AL297" s="506">
        <v>118117.07695207273</v>
      </c>
      <c r="AM297" s="507">
        <v>105995.45477504907</v>
      </c>
      <c r="AN297" s="507">
        <v>148688.5556926092</v>
      </c>
      <c r="AO297" s="508">
        <v>133429.57248153238</v>
      </c>
      <c r="AP297" s="426"/>
      <c r="AQ297" s="426"/>
      <c r="AR297" s="506">
        <v>121064.61</v>
      </c>
      <c r="AS297" s="507">
        <v>108640.5</v>
      </c>
      <c r="AT297" s="507">
        <v>152398.98000000001</v>
      </c>
      <c r="AU297" s="508">
        <v>136759.22</v>
      </c>
      <c r="AV297" s="630"/>
      <c r="AW297" s="630"/>
      <c r="AX297" s="630"/>
    </row>
    <row r="298" spans="1:50" ht="13" hidden="1">
      <c r="A298" s="502">
        <v>69</v>
      </c>
      <c r="B298" s="517" t="str">
        <f t="shared" si="35"/>
        <v>69A</v>
      </c>
      <c r="C298" s="506">
        <v>268553.40435716638</v>
      </c>
      <c r="D298" s="507">
        <v>239548.05145754883</v>
      </c>
      <c r="E298" s="507">
        <v>338061.34430843295</v>
      </c>
      <c r="F298" s="508">
        <v>301548.72359950264</v>
      </c>
      <c r="G298" s="426"/>
      <c r="H298" s="426"/>
      <c r="I298" s="426"/>
      <c r="J298" s="426"/>
      <c r="K298" s="426"/>
      <c r="L298" s="426"/>
      <c r="M298" s="426"/>
      <c r="N298" s="629"/>
      <c r="O298" s="629"/>
      <c r="P298" s="629"/>
      <c r="Q298" s="629"/>
      <c r="R298" s="629"/>
      <c r="S298" s="426"/>
      <c r="T298" s="506">
        <v>68838.909343552965</v>
      </c>
      <c r="U298" s="507">
        <v>61403.90078905705</v>
      </c>
      <c r="V298" s="507">
        <v>86656.038820707836</v>
      </c>
      <c r="W298" s="508">
        <v>77296.675110930635</v>
      </c>
      <c r="X298" s="426"/>
      <c r="Y298" s="426"/>
      <c r="Z298" s="506">
        <v>78474.804887267121</v>
      </c>
      <c r="AA298" s="507">
        <v>69999.06273485499</v>
      </c>
      <c r="AB298" s="507">
        <v>98785.930858089167</v>
      </c>
      <c r="AC298" s="508">
        <v>88116.467207405687</v>
      </c>
      <c r="AD298" s="426"/>
      <c r="AE298" s="426"/>
      <c r="AF298" s="506">
        <v>109861</v>
      </c>
      <c r="AG298" s="507">
        <v>97995.37</v>
      </c>
      <c r="AH298" s="507">
        <v>138295.62</v>
      </c>
      <c r="AI298" s="508">
        <v>123358.87</v>
      </c>
      <c r="AJ298" s="426"/>
      <c r="AK298" s="426"/>
      <c r="AL298" s="506">
        <v>124138.36769800074</v>
      </c>
      <c r="AM298" s="507">
        <v>110730.69121710899</v>
      </c>
      <c r="AN298" s="507">
        <v>156268.29816101264</v>
      </c>
      <c r="AO298" s="508">
        <v>139390.39953212539</v>
      </c>
      <c r="AP298" s="426"/>
      <c r="AQ298" s="426"/>
      <c r="AR298" s="506">
        <v>127236.16</v>
      </c>
      <c r="AS298" s="507">
        <v>113493.9</v>
      </c>
      <c r="AT298" s="507">
        <v>160167.87</v>
      </c>
      <c r="AU298" s="508">
        <v>142868.79999999999</v>
      </c>
      <c r="AV298" s="630"/>
      <c r="AW298" s="630"/>
      <c r="AX298" s="630"/>
    </row>
    <row r="299" spans="1:50" ht="13" hidden="1">
      <c r="A299" s="502">
        <v>70</v>
      </c>
      <c r="B299" s="517" t="str">
        <f t="shared" si="35"/>
        <v>70A</v>
      </c>
      <c r="C299" s="506">
        <v>281933.51405783568</v>
      </c>
      <c r="D299" s="507">
        <v>249580.78669717952</v>
      </c>
      <c r="E299" s="507">
        <v>354904.54122574604</v>
      </c>
      <c r="F299" s="508">
        <v>314178.16678350826</v>
      </c>
      <c r="G299" s="426"/>
      <c r="H299" s="426"/>
      <c r="I299" s="426"/>
      <c r="J299" s="426"/>
      <c r="K299" s="426"/>
      <c r="L299" s="426"/>
      <c r="M299" s="426"/>
      <c r="N299" s="629"/>
      <c r="O299" s="629"/>
      <c r="P299" s="629"/>
      <c r="Q299" s="629"/>
      <c r="R299" s="629"/>
      <c r="S299" s="426"/>
      <c r="T299" s="506">
        <v>72268.663514407439</v>
      </c>
      <c r="U299" s="507">
        <v>63975.614796116417</v>
      </c>
      <c r="V299" s="507">
        <v>90973.494071077599</v>
      </c>
      <c r="W299" s="508">
        <v>80534.009213934769</v>
      </c>
      <c r="X299" s="426"/>
      <c r="Y299" s="426"/>
      <c r="Z299" s="506">
        <v>82384.647328637846</v>
      </c>
      <c r="AA299" s="507">
        <v>72930.758731411857</v>
      </c>
      <c r="AB299" s="507">
        <v>103707.73251957941</v>
      </c>
      <c r="AC299" s="508">
        <v>91806.955108953742</v>
      </c>
      <c r="AD299" s="426"/>
      <c r="AE299" s="426"/>
      <c r="AF299" s="506">
        <v>115334.6</v>
      </c>
      <c r="AG299" s="507">
        <v>102099.6</v>
      </c>
      <c r="AH299" s="507">
        <v>145185.9</v>
      </c>
      <c r="AI299" s="508">
        <v>128525.38</v>
      </c>
      <c r="AJ299" s="426"/>
      <c r="AK299" s="426"/>
      <c r="AL299" s="506">
        <v>130323.30131236746</v>
      </c>
      <c r="AM299" s="507">
        <v>115368.30651442823</v>
      </c>
      <c r="AN299" s="507">
        <v>164054.03812262727</v>
      </c>
      <c r="AO299" s="508">
        <v>145228.33878875081</v>
      </c>
      <c r="AP299" s="426"/>
      <c r="AQ299" s="426"/>
      <c r="AR299" s="506">
        <v>133575.43</v>
      </c>
      <c r="AS299" s="507">
        <v>118247.25</v>
      </c>
      <c r="AT299" s="507">
        <v>168147.9</v>
      </c>
      <c r="AU299" s="508">
        <v>148852.42000000001</v>
      </c>
      <c r="AV299" s="630"/>
      <c r="AW299" s="630"/>
      <c r="AX299" s="630"/>
    </row>
    <row r="300" spans="1:50" ht="13" hidden="1">
      <c r="A300" s="502">
        <v>71</v>
      </c>
      <c r="B300" s="517" t="str">
        <f t="shared" si="35"/>
        <v>71A</v>
      </c>
      <c r="C300" s="506">
        <v>295553.24928493291</v>
      </c>
      <c r="D300" s="507">
        <v>260094.23134205231</v>
      </c>
      <c r="E300" s="507">
        <v>372049.38439397432</v>
      </c>
      <c r="F300" s="508">
        <v>327412.73827764223</v>
      </c>
      <c r="G300" s="426"/>
      <c r="H300" s="426"/>
      <c r="I300" s="426"/>
      <c r="J300" s="426"/>
      <c r="K300" s="426"/>
      <c r="L300" s="426"/>
      <c r="M300" s="426"/>
      <c r="N300" s="629"/>
      <c r="O300" s="629"/>
      <c r="P300" s="629"/>
      <c r="Q300" s="629"/>
      <c r="R300" s="629"/>
      <c r="S300" s="426"/>
      <c r="T300" s="506">
        <v>75759.841445387661</v>
      </c>
      <c r="U300" s="507">
        <v>66670.550146235153</v>
      </c>
      <c r="V300" s="507">
        <v>95368.270995958577</v>
      </c>
      <c r="W300" s="508">
        <v>83926.457242907767</v>
      </c>
      <c r="X300" s="426"/>
      <c r="Y300" s="426"/>
      <c r="Z300" s="506">
        <v>86364.511471939579</v>
      </c>
      <c r="AA300" s="507">
        <v>76002.924281405038</v>
      </c>
      <c r="AB300" s="507">
        <v>108717.67914702983</v>
      </c>
      <c r="AC300" s="508">
        <v>95674.26938953338</v>
      </c>
      <c r="AD300" s="426"/>
      <c r="AE300" s="426"/>
      <c r="AF300" s="506">
        <v>120906.22</v>
      </c>
      <c r="AG300" s="507">
        <v>106400.49</v>
      </c>
      <c r="AH300" s="507">
        <v>152199.59</v>
      </c>
      <c r="AI300" s="508">
        <v>133939.44</v>
      </c>
      <c r="AJ300" s="426"/>
      <c r="AK300" s="426"/>
      <c r="AL300" s="506">
        <v>136619.0014306285</v>
      </c>
      <c r="AM300" s="507">
        <v>120228.12894051831</v>
      </c>
      <c r="AN300" s="507">
        <v>171979.21356561474</v>
      </c>
      <c r="AO300" s="508">
        <v>151345.99760747596</v>
      </c>
      <c r="AP300" s="426"/>
      <c r="AQ300" s="426"/>
      <c r="AR300" s="506">
        <v>140028.24</v>
      </c>
      <c r="AS300" s="507">
        <v>123228.34</v>
      </c>
      <c r="AT300" s="507">
        <v>176270.84</v>
      </c>
      <c r="AU300" s="508">
        <v>155122.74</v>
      </c>
      <c r="AV300" s="630"/>
      <c r="AW300" s="630"/>
      <c r="AX300" s="630"/>
    </row>
    <row r="301" spans="1:50" ht="13" hidden="1">
      <c r="A301" s="502">
        <v>72</v>
      </c>
      <c r="B301" s="517" t="str">
        <f t="shared" si="35"/>
        <v>72A</v>
      </c>
      <c r="C301" s="506">
        <v>309672.83479233878</v>
      </c>
      <c r="D301" s="507">
        <v>271328.01091859525</v>
      </c>
      <c r="E301" s="507">
        <v>389823.45085623837</v>
      </c>
      <c r="F301" s="508">
        <v>341554.08433281997</v>
      </c>
      <c r="G301" s="426"/>
      <c r="H301" s="426"/>
      <c r="I301" s="426"/>
      <c r="J301" s="426"/>
      <c r="K301" s="426"/>
      <c r="L301" s="426"/>
      <c r="M301" s="426"/>
      <c r="N301" s="629"/>
      <c r="O301" s="629"/>
      <c r="P301" s="629"/>
      <c r="Q301" s="629"/>
      <c r="R301" s="629"/>
      <c r="S301" s="426"/>
      <c r="T301" s="506">
        <v>79379.147143781127</v>
      </c>
      <c r="U301" s="507">
        <v>69550.130599538985</v>
      </c>
      <c r="V301" s="507">
        <v>99924.338169230381</v>
      </c>
      <c r="W301" s="508">
        <v>87551.340872360845</v>
      </c>
      <c r="X301" s="426"/>
      <c r="Y301" s="426"/>
      <c r="Z301" s="506">
        <v>90490.438381840591</v>
      </c>
      <c r="AA301" s="507">
        <v>79285.581086765509</v>
      </c>
      <c r="AB301" s="507">
        <v>113911.49302184641</v>
      </c>
      <c r="AC301" s="508">
        <v>99806.555015104808</v>
      </c>
      <c r="AD301" s="426"/>
      <c r="AE301" s="426"/>
      <c r="AF301" s="506">
        <v>126682.32</v>
      </c>
      <c r="AG301" s="507">
        <v>110996.05</v>
      </c>
      <c r="AH301" s="507">
        <v>159470.68</v>
      </c>
      <c r="AI301" s="508">
        <v>139724.44</v>
      </c>
      <c r="AJ301" s="426"/>
      <c r="AK301" s="426"/>
      <c r="AL301" s="506">
        <v>143145.75651555223</v>
      </c>
      <c r="AM301" s="507">
        <v>125420.9249992735</v>
      </c>
      <c r="AN301" s="507">
        <v>180195.24643722459</v>
      </c>
      <c r="AO301" s="508">
        <v>157882.81146967367</v>
      </c>
      <c r="AP301" s="426"/>
      <c r="AQ301" s="426"/>
      <c r="AR301" s="506">
        <v>146717.87</v>
      </c>
      <c r="AS301" s="507">
        <v>128550.72</v>
      </c>
      <c r="AT301" s="507">
        <v>184691.9</v>
      </c>
      <c r="AU301" s="508">
        <v>161822.67000000001</v>
      </c>
      <c r="AV301" s="630"/>
      <c r="AW301" s="630"/>
      <c r="AX301" s="630"/>
    </row>
    <row r="302" spans="1:50" ht="13" hidden="1">
      <c r="A302" s="502">
        <v>73</v>
      </c>
      <c r="B302" s="517" t="str">
        <f t="shared" si="35"/>
        <v>73A</v>
      </c>
      <c r="C302" s="506">
        <v>324109.88538477669</v>
      </c>
      <c r="D302" s="507">
        <v>282330.73278897814</v>
      </c>
      <c r="E302" s="507">
        <v>407997.14983730711</v>
      </c>
      <c r="F302" s="508">
        <v>355404.56951083115</v>
      </c>
      <c r="G302" s="426"/>
      <c r="H302" s="426"/>
      <c r="I302" s="426"/>
      <c r="J302" s="426"/>
      <c r="K302" s="426"/>
      <c r="L302" s="426"/>
      <c r="M302" s="426"/>
      <c r="N302" s="629"/>
      <c r="O302" s="629"/>
      <c r="P302" s="629"/>
      <c r="Q302" s="629"/>
      <c r="R302" s="629"/>
      <c r="S302" s="426"/>
      <c r="T302" s="506">
        <v>83079.829394672866</v>
      </c>
      <c r="U302" s="507">
        <v>72370.483501713621</v>
      </c>
      <c r="V302" s="507">
        <v>104582.84406152938</v>
      </c>
      <c r="W302" s="508">
        <v>91101.667466863015</v>
      </c>
      <c r="X302" s="426"/>
      <c r="Y302" s="426"/>
      <c r="Z302" s="506">
        <v>94709.132727202144</v>
      </c>
      <c r="AA302" s="507">
        <v>82500.719818944155</v>
      </c>
      <c r="AB302" s="507">
        <v>119222.08472718386</v>
      </c>
      <c r="AC302" s="508">
        <v>103853.84730149439</v>
      </c>
      <c r="AD302" s="426"/>
      <c r="AE302" s="426"/>
      <c r="AF302" s="506">
        <v>132588.29</v>
      </c>
      <c r="AG302" s="507">
        <v>115497.09</v>
      </c>
      <c r="AH302" s="507">
        <v>166905.26</v>
      </c>
      <c r="AI302" s="508">
        <v>145390.46</v>
      </c>
      <c r="AJ302" s="426"/>
      <c r="AK302" s="426"/>
      <c r="AL302" s="506">
        <v>149819.25931179736</v>
      </c>
      <c r="AM302" s="507">
        <v>130506.91501490505</v>
      </c>
      <c r="AN302" s="507">
        <v>188596.00878073316</v>
      </c>
      <c r="AO302" s="508">
        <v>164285.17537170398</v>
      </c>
      <c r="AP302" s="426"/>
      <c r="AQ302" s="426"/>
      <c r="AR302" s="506">
        <v>153557.9</v>
      </c>
      <c r="AS302" s="507">
        <v>133763.63</v>
      </c>
      <c r="AT302" s="507">
        <v>193302.3</v>
      </c>
      <c r="AU302" s="508">
        <v>168384.81</v>
      </c>
      <c r="AV302" s="630"/>
      <c r="AW302" s="630"/>
      <c r="AX302" s="630"/>
    </row>
    <row r="303" spans="1:50" ht="13" hidden="1">
      <c r="A303" s="502">
        <v>74</v>
      </c>
      <c r="B303" s="517" t="str">
        <f t="shared" si="35"/>
        <v>74A</v>
      </c>
      <c r="C303" s="506">
        <v>339719.08670747885</v>
      </c>
      <c r="D303" s="507">
        <v>293553.48357560171</v>
      </c>
      <c r="E303" s="507">
        <v>427646.37973764993</v>
      </c>
      <c r="F303" s="508">
        <v>369532.0322657575</v>
      </c>
      <c r="G303" s="426"/>
      <c r="H303" s="426"/>
      <c r="I303" s="426"/>
      <c r="J303" s="426"/>
      <c r="K303" s="426"/>
      <c r="L303" s="426"/>
      <c r="M303" s="426"/>
      <c r="N303" s="629"/>
      <c r="O303" s="629"/>
      <c r="P303" s="629"/>
      <c r="Q303" s="629"/>
      <c r="R303" s="629"/>
      <c r="S303" s="426"/>
      <c r="T303" s="506">
        <v>87080.971727427241</v>
      </c>
      <c r="U303" s="507">
        <v>75247.236920032592</v>
      </c>
      <c r="V303" s="507">
        <v>109619.57617452608</v>
      </c>
      <c r="W303" s="508">
        <v>94722.992358158692</v>
      </c>
      <c r="X303" s="426"/>
      <c r="Y303" s="426"/>
      <c r="Z303" s="506">
        <v>99270.344792925986</v>
      </c>
      <c r="AA303" s="507">
        <v>85780.153868148802</v>
      </c>
      <c r="AB303" s="507">
        <v>124963.84579815391</v>
      </c>
      <c r="AC303" s="508">
        <v>107982.07604578734</v>
      </c>
      <c r="AD303" s="426"/>
      <c r="AE303" s="426"/>
      <c r="AF303" s="506">
        <v>138973.76999999999</v>
      </c>
      <c r="AG303" s="507">
        <v>120088.14</v>
      </c>
      <c r="AH303" s="507">
        <v>174943.45</v>
      </c>
      <c r="AI303" s="508">
        <v>151169.78</v>
      </c>
      <c r="AJ303" s="426"/>
      <c r="AK303" s="426"/>
      <c r="AL303" s="506">
        <v>157034.5868475177</v>
      </c>
      <c r="AM303" s="507">
        <v>135694.61303373205</v>
      </c>
      <c r="AN303" s="507">
        <v>197678.83285511064</v>
      </c>
      <c r="AO303" s="508">
        <v>170815.57170128624</v>
      </c>
      <c r="AP303" s="426"/>
      <c r="AQ303" s="426"/>
      <c r="AR303" s="506">
        <v>160953.28</v>
      </c>
      <c r="AS303" s="507">
        <v>139080.78</v>
      </c>
      <c r="AT303" s="507">
        <v>202611.78</v>
      </c>
      <c r="AU303" s="508">
        <v>175078.16</v>
      </c>
      <c r="AV303" s="630"/>
      <c r="AW303" s="630"/>
      <c r="AX303" s="630"/>
    </row>
    <row r="304" spans="1:50" ht="13" hidden="1">
      <c r="A304" s="502">
        <v>75</v>
      </c>
      <c r="B304" s="517" t="str">
        <f t="shared" si="35"/>
        <v>75A</v>
      </c>
      <c r="C304" s="506">
        <v>354425.2944621616</v>
      </c>
      <c r="D304" s="507">
        <v>305638.7586515327</v>
      </c>
      <c r="E304" s="507">
        <v>446158.90008766245</v>
      </c>
      <c r="F304" s="508">
        <v>384745.26089075278</v>
      </c>
      <c r="G304" s="426"/>
      <c r="H304" s="426"/>
      <c r="I304" s="426"/>
      <c r="J304" s="426"/>
      <c r="K304" s="426"/>
      <c r="L304" s="426"/>
      <c r="M304" s="426"/>
      <c r="N304" s="629"/>
      <c r="O304" s="629"/>
      <c r="P304" s="629"/>
      <c r="Q304" s="629"/>
      <c r="R304" s="629"/>
      <c r="S304" s="426"/>
      <c r="T304" s="506">
        <v>90850.647650304993</v>
      </c>
      <c r="U304" s="507">
        <v>78345.083165308475</v>
      </c>
      <c r="V304" s="507">
        <v>114364.9329245016</v>
      </c>
      <c r="W304" s="508">
        <v>98622.634102211858</v>
      </c>
      <c r="X304" s="426"/>
      <c r="Y304" s="426"/>
      <c r="Z304" s="506">
        <v>103567.69036909853</v>
      </c>
      <c r="AA304" s="507">
        <v>89311.628756217266</v>
      </c>
      <c r="AB304" s="507">
        <v>130373.44552345345</v>
      </c>
      <c r="AC304" s="508">
        <v>112427.57972841468</v>
      </c>
      <c r="AD304" s="426"/>
      <c r="AE304" s="426"/>
      <c r="AF304" s="506">
        <v>144989.85</v>
      </c>
      <c r="AG304" s="507">
        <v>125032.04</v>
      </c>
      <c r="AH304" s="507">
        <v>182516.64</v>
      </c>
      <c r="AI304" s="508">
        <v>157393.28</v>
      </c>
      <c r="AJ304" s="426"/>
      <c r="AK304" s="426"/>
      <c r="AL304" s="506">
        <v>163832.50709754752</v>
      </c>
      <c r="AM304" s="507">
        <v>141281.01148099257</v>
      </c>
      <c r="AN304" s="507">
        <v>206236.21481691269</v>
      </c>
      <c r="AO304" s="508">
        <v>177847.86151136714</v>
      </c>
      <c r="AP304" s="426"/>
      <c r="AQ304" s="426"/>
      <c r="AR304" s="506">
        <v>167920.84</v>
      </c>
      <c r="AS304" s="507">
        <v>144806.59</v>
      </c>
      <c r="AT304" s="507">
        <v>211382.71</v>
      </c>
      <c r="AU304" s="508">
        <v>182285.94</v>
      </c>
      <c r="AV304" s="630"/>
      <c r="AW304" s="630"/>
      <c r="AX304" s="630"/>
    </row>
    <row r="305" spans="1:50" ht="13" hidden="1">
      <c r="A305" s="502">
        <v>76</v>
      </c>
      <c r="B305" s="517" t="str">
        <f t="shared" si="35"/>
        <v>76A</v>
      </c>
      <c r="C305" s="506">
        <v>372383.1723025504</v>
      </c>
      <c r="D305" s="507">
        <v>318905.75489526114</v>
      </c>
      <c r="E305" s="507">
        <v>468764.69925144577</v>
      </c>
      <c r="F305" s="508">
        <v>401446.06792697567</v>
      </c>
      <c r="G305" s="426"/>
      <c r="H305" s="426"/>
      <c r="I305" s="426"/>
      <c r="J305" s="426"/>
      <c r="K305" s="426"/>
      <c r="L305" s="426"/>
      <c r="M305" s="426"/>
      <c r="N305" s="629"/>
      <c r="O305" s="629"/>
      <c r="P305" s="629"/>
      <c r="Q305" s="629"/>
      <c r="R305" s="629"/>
      <c r="S305" s="426"/>
      <c r="T305" s="506">
        <v>95453.831615208386</v>
      </c>
      <c r="U305" s="507">
        <v>81745.842704623981</v>
      </c>
      <c r="V305" s="507">
        <v>120159.52920973291</v>
      </c>
      <c r="W305" s="508">
        <v>102903.59022817371</v>
      </c>
      <c r="X305" s="426"/>
      <c r="Y305" s="426"/>
      <c r="Z305" s="506">
        <v>108815.21632427</v>
      </c>
      <c r="AA305" s="507">
        <v>93188.417971229588</v>
      </c>
      <c r="AB305" s="507">
        <v>136979.1546670222</v>
      </c>
      <c r="AC305" s="508">
        <v>117307.77321084193</v>
      </c>
      <c r="AD305" s="426"/>
      <c r="AE305" s="426"/>
      <c r="AF305" s="506">
        <v>152336.14000000001</v>
      </c>
      <c r="AG305" s="507">
        <v>130459.36</v>
      </c>
      <c r="AH305" s="507">
        <v>191764.32</v>
      </c>
      <c r="AI305" s="508">
        <v>164225.32</v>
      </c>
      <c r="AJ305" s="426"/>
      <c r="AK305" s="426"/>
      <c r="AL305" s="506">
        <v>172133.50647516522</v>
      </c>
      <c r="AM305" s="507">
        <v>147413.65858667437</v>
      </c>
      <c r="AN305" s="507">
        <v>216685.70815109034</v>
      </c>
      <c r="AO305" s="508">
        <v>185567.78198557827</v>
      </c>
      <c r="AP305" s="426"/>
      <c r="AQ305" s="426"/>
      <c r="AR305" s="506">
        <v>176428.99</v>
      </c>
      <c r="AS305" s="507">
        <v>151092.26999999999</v>
      </c>
      <c r="AT305" s="507">
        <v>222092.96</v>
      </c>
      <c r="AU305" s="508">
        <v>190198.51</v>
      </c>
      <c r="AV305" s="630"/>
      <c r="AW305" s="630"/>
      <c r="AX305" s="630"/>
    </row>
    <row r="306" spans="1:50" ht="13" hidden="1">
      <c r="A306" s="502">
        <v>77</v>
      </c>
      <c r="B306" s="517" t="str">
        <f t="shared" si="35"/>
        <v>77A</v>
      </c>
      <c r="C306" s="506">
        <v>391570.35005733062</v>
      </c>
      <c r="D306" s="507">
        <v>333135.26371376344</v>
      </c>
      <c r="E306" s="507">
        <v>492917.97007216926</v>
      </c>
      <c r="F306" s="508">
        <v>419358.50843967858</v>
      </c>
      <c r="G306" s="426"/>
      <c r="H306" s="426"/>
      <c r="I306" s="426"/>
      <c r="J306" s="426"/>
      <c r="K306" s="426"/>
      <c r="L306" s="426"/>
      <c r="M306" s="426"/>
      <c r="N306" s="629"/>
      <c r="O306" s="629"/>
      <c r="P306" s="629"/>
      <c r="Q306" s="629"/>
      <c r="R306" s="629"/>
      <c r="S306" s="426"/>
      <c r="T306" s="506">
        <v>100372.1248432596</v>
      </c>
      <c r="U306" s="507">
        <v>85393.325297164149</v>
      </c>
      <c r="V306" s="507">
        <v>126350.79244975034</v>
      </c>
      <c r="W306" s="508">
        <v>107495.12713878311</v>
      </c>
      <c r="X306" s="426"/>
      <c r="Y306" s="426"/>
      <c r="Z306" s="506">
        <v>114421.95973624758</v>
      </c>
      <c r="AA306" s="507">
        <v>97346.465905295234</v>
      </c>
      <c r="AB306" s="507">
        <v>144037.05519739405</v>
      </c>
      <c r="AC306" s="508">
        <v>122542.02178666576</v>
      </c>
      <c r="AD306" s="426"/>
      <c r="AE306" s="426"/>
      <c r="AF306" s="506">
        <v>160185.31</v>
      </c>
      <c r="AG306" s="507">
        <v>136280.43</v>
      </c>
      <c r="AH306" s="507">
        <v>201645.04</v>
      </c>
      <c r="AI306" s="508">
        <v>171553.02</v>
      </c>
      <c r="AJ306" s="426"/>
      <c r="AK306" s="426"/>
      <c r="AL306" s="506">
        <v>181002.74770824978</v>
      </c>
      <c r="AM306" s="507">
        <v>153991.22554063439</v>
      </c>
      <c r="AN306" s="507">
        <v>227850.51770332624</v>
      </c>
      <c r="AO306" s="508">
        <v>193847.7780335045</v>
      </c>
      <c r="AP306" s="426"/>
      <c r="AQ306" s="426"/>
      <c r="AR306" s="506">
        <v>185519.55</v>
      </c>
      <c r="AS306" s="507">
        <v>157833.98000000001</v>
      </c>
      <c r="AT306" s="507">
        <v>233536.38</v>
      </c>
      <c r="AU306" s="508">
        <v>198685.12</v>
      </c>
      <c r="AV306" s="630"/>
      <c r="AW306" s="630"/>
      <c r="AX306" s="630"/>
    </row>
    <row r="307" spans="1:50" ht="13" hidden="1">
      <c r="A307" s="502">
        <v>78</v>
      </c>
      <c r="B307" s="517" t="str">
        <f t="shared" si="35"/>
        <v>78A</v>
      </c>
      <c r="C307" s="506">
        <v>411516.69137605862</v>
      </c>
      <c r="D307" s="507">
        <v>347959.14227659325</v>
      </c>
      <c r="E307" s="507">
        <v>518026.89384986216</v>
      </c>
      <c r="F307" s="508">
        <v>438019.15557171148</v>
      </c>
      <c r="G307" s="426"/>
      <c r="H307" s="426"/>
      <c r="I307" s="426"/>
      <c r="J307" s="426"/>
      <c r="K307" s="426"/>
      <c r="L307" s="426"/>
      <c r="M307" s="426"/>
      <c r="N307" s="629"/>
      <c r="O307" s="629"/>
      <c r="P307" s="629"/>
      <c r="Q307" s="629"/>
      <c r="R307" s="629"/>
      <c r="S307" s="426"/>
      <c r="T307" s="506">
        <v>105485.01620675669</v>
      </c>
      <c r="U307" s="507">
        <v>89193.164047855622</v>
      </c>
      <c r="V307" s="507">
        <v>132787.02040144664</v>
      </c>
      <c r="W307" s="508">
        <v>112278.45356612415</v>
      </c>
      <c r="X307" s="426"/>
      <c r="Y307" s="426"/>
      <c r="Z307" s="506">
        <v>120250.54063600879</v>
      </c>
      <c r="AA307" s="507">
        <v>101678.19642524596</v>
      </c>
      <c r="AB307" s="507">
        <v>151374.20997709339</v>
      </c>
      <c r="AC307" s="508">
        <v>127994.90608825082</v>
      </c>
      <c r="AD307" s="426"/>
      <c r="AE307" s="426"/>
      <c r="AF307" s="506">
        <v>168345.05</v>
      </c>
      <c r="AG307" s="507">
        <v>142344.65</v>
      </c>
      <c r="AH307" s="507">
        <v>211916.71</v>
      </c>
      <c r="AI307" s="508">
        <v>179186.79</v>
      </c>
      <c r="AJ307" s="426"/>
      <c r="AK307" s="426"/>
      <c r="AL307" s="506">
        <v>190222.91104515156</v>
      </c>
      <c r="AM307" s="507">
        <v>160843.53892741862</v>
      </c>
      <c r="AN307" s="507">
        <v>239457.07625683778</v>
      </c>
      <c r="AO307" s="508">
        <v>202473.63135569161</v>
      </c>
      <c r="AP307" s="426"/>
      <c r="AQ307" s="426"/>
      <c r="AR307" s="506">
        <v>194969.8</v>
      </c>
      <c r="AS307" s="507">
        <v>164857.29</v>
      </c>
      <c r="AT307" s="507">
        <v>245432.57</v>
      </c>
      <c r="AU307" s="508">
        <v>207526.23</v>
      </c>
      <c r="AV307" s="630"/>
      <c r="AW307" s="630"/>
      <c r="AX307" s="630"/>
    </row>
    <row r="308" spans="1:50" ht="13" hidden="1">
      <c r="A308" s="502">
        <v>79</v>
      </c>
      <c r="B308" s="517" t="str">
        <f t="shared" si="35"/>
        <v>79A</v>
      </c>
      <c r="C308" s="506">
        <v>433411.66492358339</v>
      </c>
      <c r="D308" s="507">
        <v>362830.23499792052</v>
      </c>
      <c r="E308" s="507">
        <v>545588.80172733439</v>
      </c>
      <c r="F308" s="508">
        <v>456739.23699738242</v>
      </c>
      <c r="G308" s="426"/>
      <c r="H308" s="426"/>
      <c r="I308" s="426"/>
      <c r="J308" s="426"/>
      <c r="K308" s="426"/>
      <c r="L308" s="426"/>
      <c r="M308" s="426"/>
      <c r="N308" s="629"/>
      <c r="O308" s="629"/>
      <c r="P308" s="629"/>
      <c r="Q308" s="629"/>
      <c r="R308" s="629"/>
      <c r="S308" s="426"/>
      <c r="T308" s="506">
        <v>111097.40493340627</v>
      </c>
      <c r="U308" s="507">
        <v>93005.105311953434</v>
      </c>
      <c r="V308" s="507">
        <v>139852.02738675851</v>
      </c>
      <c r="W308" s="508">
        <v>117077.01492210609</v>
      </c>
      <c r="X308" s="426"/>
      <c r="Y308" s="426"/>
      <c r="Z308" s="506">
        <v>126648.53727011106</v>
      </c>
      <c r="AA308" s="507">
        <v>106023.72353766547</v>
      </c>
      <c r="AB308" s="507">
        <v>159428.15868119863</v>
      </c>
      <c r="AC308" s="508">
        <v>133465.15786506125</v>
      </c>
      <c r="AD308" s="426"/>
      <c r="AE308" s="426"/>
      <c r="AF308" s="506">
        <v>177301.94</v>
      </c>
      <c r="AG308" s="507">
        <v>148428.18</v>
      </c>
      <c r="AH308" s="507">
        <v>223191.86</v>
      </c>
      <c r="AI308" s="508">
        <v>186844.89</v>
      </c>
      <c r="AJ308" s="426"/>
      <c r="AK308" s="426"/>
      <c r="AL308" s="506">
        <v>200343.82641201001</v>
      </c>
      <c r="AM308" s="507">
        <v>167717.67698100291</v>
      </c>
      <c r="AN308" s="507">
        <v>252197.52265982438</v>
      </c>
      <c r="AO308" s="508">
        <v>211126.9580819683</v>
      </c>
      <c r="AP308" s="426"/>
      <c r="AQ308" s="426"/>
      <c r="AR308" s="506">
        <v>205343.28</v>
      </c>
      <c r="AS308" s="507">
        <v>171902.96</v>
      </c>
      <c r="AT308" s="507">
        <v>258490.95</v>
      </c>
      <c r="AU308" s="508">
        <v>216395.49</v>
      </c>
      <c r="AV308" s="630"/>
      <c r="AW308" s="630"/>
      <c r="AX308" s="630"/>
    </row>
    <row r="309" spans="1:50" ht="13" hidden="1">
      <c r="A309" s="502">
        <v>80</v>
      </c>
      <c r="B309" s="517" t="str">
        <f t="shared" si="35"/>
        <v>80A</v>
      </c>
      <c r="C309" s="506">
        <v>454650.47104442259</v>
      </c>
      <c r="D309" s="507">
        <v>378528.03122807352</v>
      </c>
      <c r="E309" s="507">
        <v>572324.71060886129</v>
      </c>
      <c r="F309" s="508">
        <v>476499.99225181015</v>
      </c>
      <c r="G309" s="426"/>
      <c r="H309" s="426"/>
      <c r="I309" s="426"/>
      <c r="J309" s="426"/>
      <c r="K309" s="426"/>
      <c r="L309" s="426"/>
      <c r="M309" s="426"/>
      <c r="N309" s="629"/>
      <c r="O309" s="629"/>
      <c r="P309" s="629"/>
      <c r="Q309" s="629"/>
      <c r="R309" s="629"/>
      <c r="S309" s="426"/>
      <c r="T309" s="506">
        <v>116541.59676041908</v>
      </c>
      <c r="U309" s="507">
        <v>97028.957380288732</v>
      </c>
      <c r="V309" s="507">
        <v>146705.30415723345</v>
      </c>
      <c r="W309" s="508">
        <v>122142.33458459871</v>
      </c>
      <c r="X309" s="426"/>
      <c r="Y309" s="426"/>
      <c r="Z309" s="506">
        <v>132854.79323011628</v>
      </c>
      <c r="AA309" s="507">
        <v>110610.82419002947</v>
      </c>
      <c r="AB309" s="507">
        <v>167240.7397132052</v>
      </c>
      <c r="AC309" s="508">
        <v>139239.50809803704</v>
      </c>
      <c r="AD309" s="426"/>
      <c r="AE309" s="426"/>
      <c r="AF309" s="506">
        <v>185990.41</v>
      </c>
      <c r="AG309" s="507">
        <v>154849.9</v>
      </c>
      <c r="AH309" s="507">
        <v>234129.1</v>
      </c>
      <c r="AI309" s="508">
        <v>194928.7</v>
      </c>
      <c r="AJ309" s="426"/>
      <c r="AK309" s="426"/>
      <c r="AL309" s="506">
        <v>210161.42946942186</v>
      </c>
      <c r="AM309" s="507">
        <v>174973.95736639437</v>
      </c>
      <c r="AN309" s="507">
        <v>264556.15239091933</v>
      </c>
      <c r="AO309" s="508">
        <v>220261.33456710813</v>
      </c>
      <c r="AP309" s="426"/>
      <c r="AQ309" s="426"/>
      <c r="AR309" s="506">
        <v>215405.87</v>
      </c>
      <c r="AS309" s="507">
        <v>179340.32</v>
      </c>
      <c r="AT309" s="507">
        <v>271157.98</v>
      </c>
      <c r="AU309" s="508">
        <v>225757.81</v>
      </c>
      <c r="AV309" s="630"/>
      <c r="AW309" s="630"/>
      <c r="AX309" s="630"/>
    </row>
    <row r="310" spans="1:50" ht="13" hidden="1">
      <c r="A310" s="502">
        <v>81</v>
      </c>
      <c r="B310" s="517" t="str">
        <f t="shared" si="35"/>
        <v>81A</v>
      </c>
      <c r="C310" s="506">
        <v>479599.69022339553</v>
      </c>
      <c r="D310" s="507">
        <v>394433.55152621033</v>
      </c>
      <c r="E310" s="507">
        <v>603731.37475180393</v>
      </c>
      <c r="F310" s="508">
        <v>496522.23545064108</v>
      </c>
      <c r="G310" s="426"/>
      <c r="H310" s="426"/>
      <c r="I310" s="426"/>
      <c r="J310" s="426"/>
      <c r="K310" s="426"/>
      <c r="L310" s="426"/>
      <c r="M310" s="426"/>
      <c r="N310" s="629"/>
      <c r="O310" s="629"/>
      <c r="P310" s="629"/>
      <c r="Q310" s="629"/>
      <c r="R310" s="629"/>
      <c r="S310" s="426"/>
      <c r="T310" s="506">
        <v>122936.88726647264</v>
      </c>
      <c r="U310" s="507">
        <v>101106.05583482653</v>
      </c>
      <c r="V310" s="507">
        <v>154755.84632367731</v>
      </c>
      <c r="W310" s="508">
        <v>127274.6820508993</v>
      </c>
      <c r="X310" s="426"/>
      <c r="Y310" s="426"/>
      <c r="Z310" s="506">
        <v>140145.28024459345</v>
      </c>
      <c r="AA310" s="507">
        <v>115258.6245223861</v>
      </c>
      <c r="AB310" s="507">
        <v>176418.17630789999</v>
      </c>
      <c r="AC310" s="508">
        <v>145090.26851641544</v>
      </c>
      <c r="AD310" s="426"/>
      <c r="AE310" s="426"/>
      <c r="AF310" s="506">
        <v>196196.74</v>
      </c>
      <c r="AG310" s="507">
        <v>161356.6</v>
      </c>
      <c r="AH310" s="507">
        <v>246977.08</v>
      </c>
      <c r="AI310" s="508">
        <v>203119.49</v>
      </c>
      <c r="AJ310" s="426"/>
      <c r="AK310" s="426"/>
      <c r="AL310" s="506">
        <v>221694.16483589765</v>
      </c>
      <c r="AM310" s="507">
        <v>182326.25785919363</v>
      </c>
      <c r="AN310" s="507">
        <v>279073.83102871821</v>
      </c>
      <c r="AO310" s="508">
        <v>229516.58342274959</v>
      </c>
      <c r="AP310" s="426"/>
      <c r="AQ310" s="426"/>
      <c r="AR310" s="506">
        <v>227226.4</v>
      </c>
      <c r="AS310" s="507">
        <v>186876.09</v>
      </c>
      <c r="AT310" s="507">
        <v>286037.94</v>
      </c>
      <c r="AU310" s="508">
        <v>235244.02</v>
      </c>
      <c r="AV310" s="630"/>
      <c r="AW310" s="630"/>
      <c r="AX310" s="630"/>
    </row>
    <row r="311" spans="1:50" ht="13" hidden="1">
      <c r="A311" s="502">
        <v>82</v>
      </c>
      <c r="B311" s="517" t="str">
        <f t="shared" si="35"/>
        <v>82A</v>
      </c>
      <c r="C311" s="506">
        <v>505494.92436577514</v>
      </c>
      <c r="D311" s="507">
        <v>409689.46698339871</v>
      </c>
      <c r="E311" s="507">
        <v>636328.90478985826</v>
      </c>
      <c r="F311" s="508">
        <v>515726.74079086684</v>
      </c>
      <c r="G311" s="426"/>
      <c r="H311" s="426"/>
      <c r="I311" s="426"/>
      <c r="J311" s="426"/>
      <c r="K311" s="426"/>
      <c r="L311" s="426"/>
      <c r="M311" s="426"/>
      <c r="N311" s="629"/>
      <c r="O311" s="629"/>
      <c r="P311" s="629"/>
      <c r="Q311" s="629"/>
      <c r="R311" s="629"/>
      <c r="S311" s="426"/>
      <c r="T311" s="506">
        <v>129574.67195523632</v>
      </c>
      <c r="U311" s="507">
        <v>105016.63959236321</v>
      </c>
      <c r="V311" s="507">
        <v>163111.6458730622</v>
      </c>
      <c r="W311" s="508">
        <v>132197.41689862189</v>
      </c>
      <c r="X311" s="426"/>
      <c r="Y311" s="426"/>
      <c r="Z311" s="506">
        <v>147712.20516106446</v>
      </c>
      <c r="AA311" s="507">
        <v>119716.60185373013</v>
      </c>
      <c r="AB311" s="507">
        <v>185943.59943804584</v>
      </c>
      <c r="AC311" s="508">
        <v>150702.07527469553</v>
      </c>
      <c r="AD311" s="426"/>
      <c r="AE311" s="426"/>
      <c r="AF311" s="506">
        <v>206790.08</v>
      </c>
      <c r="AG311" s="507">
        <v>167597.56</v>
      </c>
      <c r="AH311" s="507">
        <v>260312.22</v>
      </c>
      <c r="AI311" s="508">
        <v>210975.75</v>
      </c>
      <c r="AJ311" s="426"/>
      <c r="AK311" s="426"/>
      <c r="AL311" s="506">
        <v>233664.19405704009</v>
      </c>
      <c r="AM311" s="507">
        <v>189378.27958696635</v>
      </c>
      <c r="AN311" s="507">
        <v>294141.98546003865</v>
      </c>
      <c r="AO311" s="508">
        <v>238393.83430359294</v>
      </c>
      <c r="AP311" s="426"/>
      <c r="AQ311" s="426"/>
      <c r="AR311" s="506">
        <v>239495.13</v>
      </c>
      <c r="AS311" s="507">
        <v>194104.09</v>
      </c>
      <c r="AT311" s="507">
        <v>301482.11</v>
      </c>
      <c r="AU311" s="508">
        <v>244342.8</v>
      </c>
      <c r="AV311" s="630"/>
      <c r="AW311" s="630"/>
      <c r="AX311" s="630"/>
    </row>
    <row r="312" spans="1:50" ht="13" hidden="1">
      <c r="A312" s="502">
        <v>83</v>
      </c>
      <c r="B312" s="517" t="str">
        <f t="shared" si="35"/>
        <v>83A</v>
      </c>
      <c r="C312" s="506">
        <v>532480.64150480228</v>
      </c>
      <c r="D312" s="507">
        <v>427061.81634080026</v>
      </c>
      <c r="E312" s="507">
        <v>670299.1604825157</v>
      </c>
      <c r="F312" s="508">
        <v>537595.46292312501</v>
      </c>
      <c r="G312" s="426"/>
      <c r="H312" s="426"/>
      <c r="I312" s="426"/>
      <c r="J312" s="426"/>
      <c r="K312" s="426"/>
      <c r="L312" s="426"/>
      <c r="M312" s="426"/>
      <c r="N312" s="629"/>
      <c r="O312" s="629"/>
      <c r="P312" s="629"/>
      <c r="Q312" s="629"/>
      <c r="R312" s="629"/>
      <c r="S312" s="426"/>
      <c r="T312" s="506">
        <v>136491.98264861933</v>
      </c>
      <c r="U312" s="507">
        <v>109469.73369988825</v>
      </c>
      <c r="V312" s="507">
        <v>171819.31933414435</v>
      </c>
      <c r="W312" s="508">
        <v>137803.07653985932</v>
      </c>
      <c r="X312" s="426"/>
      <c r="Y312" s="426"/>
      <c r="Z312" s="506">
        <v>155597.78342173566</v>
      </c>
      <c r="AA312" s="507">
        <v>124793.02875481082</v>
      </c>
      <c r="AB312" s="507">
        <v>195870.15089559671</v>
      </c>
      <c r="AC312" s="508">
        <v>157092.40090311479</v>
      </c>
      <c r="AD312" s="426"/>
      <c r="AE312" s="426"/>
      <c r="AF312" s="506">
        <v>217829.51</v>
      </c>
      <c r="AG312" s="507">
        <v>174704.32</v>
      </c>
      <c r="AH312" s="507">
        <v>274208.92</v>
      </c>
      <c r="AI312" s="508">
        <v>219921.91</v>
      </c>
      <c r="AJ312" s="426"/>
      <c r="AK312" s="426"/>
      <c r="AL312" s="506">
        <v>246138.29724265242</v>
      </c>
      <c r="AM312" s="507">
        <v>197408.61939021482</v>
      </c>
      <c r="AN312" s="507">
        <v>309844.68005839776</v>
      </c>
      <c r="AO312" s="508">
        <v>248502.61499709394</v>
      </c>
      <c r="AP312" s="426"/>
      <c r="AQ312" s="426"/>
      <c r="AR312" s="506">
        <v>252280.52</v>
      </c>
      <c r="AS312" s="507">
        <v>202334.82</v>
      </c>
      <c r="AT312" s="507">
        <v>317576.65000000002</v>
      </c>
      <c r="AU312" s="508">
        <v>254703.84</v>
      </c>
      <c r="AV312" s="630"/>
      <c r="AW312" s="630"/>
      <c r="AX312" s="630"/>
    </row>
    <row r="313" spans="1:50" ht="13" hidden="1">
      <c r="A313" s="502">
        <v>84</v>
      </c>
      <c r="B313" s="517" t="str">
        <f t="shared" si="35"/>
        <v>84A</v>
      </c>
      <c r="C313" s="506">
        <v>560729.47410417139</v>
      </c>
      <c r="D313" s="507">
        <v>443917.45321842952</v>
      </c>
      <c r="E313" s="507">
        <v>705859.45563701564</v>
      </c>
      <c r="F313" s="508">
        <v>558813.73522790556</v>
      </c>
      <c r="G313" s="426"/>
      <c r="H313" s="426"/>
      <c r="I313" s="426"/>
      <c r="J313" s="426"/>
      <c r="K313" s="426"/>
      <c r="L313" s="426"/>
      <c r="M313" s="426"/>
      <c r="N313" s="629"/>
      <c r="O313" s="629"/>
      <c r="P313" s="629"/>
      <c r="Q313" s="629"/>
      <c r="R313" s="629"/>
      <c r="S313" s="426"/>
      <c r="T313" s="506">
        <v>143733.07062150873</v>
      </c>
      <c r="U313" s="507">
        <v>113790.37771378345</v>
      </c>
      <c r="V313" s="507">
        <v>180934.57125295803</v>
      </c>
      <c r="W313" s="508">
        <v>143242.00488676268</v>
      </c>
      <c r="X313" s="426"/>
      <c r="Y313" s="426"/>
      <c r="Z313" s="506">
        <v>163852.46048246761</v>
      </c>
      <c r="AA313" s="507">
        <v>129718.46553483905</v>
      </c>
      <c r="AB313" s="507">
        <v>206261.33260734155</v>
      </c>
      <c r="AC313" s="508">
        <v>163292.65661444442</v>
      </c>
      <c r="AD313" s="426"/>
      <c r="AE313" s="426"/>
      <c r="AF313" s="506">
        <v>229385.67</v>
      </c>
      <c r="AG313" s="507">
        <v>181599.7</v>
      </c>
      <c r="AH313" s="507">
        <v>288756.08</v>
      </c>
      <c r="AI313" s="508">
        <v>228601.97</v>
      </c>
      <c r="AJ313" s="426"/>
      <c r="AK313" s="426"/>
      <c r="AL313" s="506">
        <v>259196.27346400716</v>
      </c>
      <c r="AM313" s="507">
        <v>205200.1097029433</v>
      </c>
      <c r="AN313" s="507">
        <v>326282.36777233845</v>
      </c>
      <c r="AO313" s="508">
        <v>258310.72633194042</v>
      </c>
      <c r="AP313" s="426"/>
      <c r="AQ313" s="426"/>
      <c r="AR313" s="506">
        <v>265664.34999999998</v>
      </c>
      <c r="AS313" s="507">
        <v>210320.75</v>
      </c>
      <c r="AT313" s="507">
        <v>334424.53000000003</v>
      </c>
      <c r="AU313" s="508">
        <v>264756.7</v>
      </c>
      <c r="AV313" s="630"/>
      <c r="AW313" s="630"/>
      <c r="AX313" s="630"/>
    </row>
    <row r="314" spans="1:50" ht="13" hidden="1">
      <c r="A314" s="502">
        <v>85</v>
      </c>
      <c r="B314" s="517" t="str">
        <f t="shared" si="35"/>
        <v>85A</v>
      </c>
      <c r="C314" s="506">
        <v>590444.49773363641</v>
      </c>
      <c r="D314" s="507">
        <v>461249.24215009465</v>
      </c>
      <c r="E314" s="507">
        <v>743265.42655881296</v>
      </c>
      <c r="F314" s="508">
        <v>580631.39894188393</v>
      </c>
      <c r="G314" s="426"/>
      <c r="H314" s="426"/>
      <c r="I314" s="426"/>
      <c r="J314" s="426"/>
      <c r="K314" s="426"/>
      <c r="L314" s="426"/>
      <c r="M314" s="426"/>
      <c r="N314" s="629"/>
      <c r="O314" s="629"/>
      <c r="P314" s="629"/>
      <c r="Q314" s="629"/>
      <c r="R314" s="629"/>
      <c r="S314" s="426"/>
      <c r="T314" s="506">
        <v>151349.99069990686</v>
      </c>
      <c r="U314" s="507">
        <v>118233.07487446332</v>
      </c>
      <c r="V314" s="507">
        <v>190522.92946929453</v>
      </c>
      <c r="W314" s="508">
        <v>148834.57660667738</v>
      </c>
      <c r="X314" s="426"/>
      <c r="Y314" s="426"/>
      <c r="Z314" s="506">
        <v>172535.57767148479</v>
      </c>
      <c r="AA314" s="507">
        <v>134783.04015088384</v>
      </c>
      <c r="AB314" s="507">
        <v>217191.84483351614</v>
      </c>
      <c r="AC314" s="508">
        <v>169668.0623075832</v>
      </c>
      <c r="AD314" s="426"/>
      <c r="AE314" s="426"/>
      <c r="AF314" s="506">
        <v>241541.62</v>
      </c>
      <c r="AG314" s="507">
        <v>188689.86</v>
      </c>
      <c r="AH314" s="507">
        <v>304058.28000000003</v>
      </c>
      <c r="AI314" s="508">
        <v>237527.24</v>
      </c>
      <c r="AJ314" s="426"/>
      <c r="AK314" s="426"/>
      <c r="AL314" s="506">
        <v>272931.99406788155</v>
      </c>
      <c r="AM314" s="507">
        <v>213211.70051637318</v>
      </c>
      <c r="AN314" s="507">
        <v>343573.21606192144</v>
      </c>
      <c r="AO314" s="508">
        <v>268395.90535590507</v>
      </c>
      <c r="AP314" s="426"/>
      <c r="AQ314" s="426"/>
      <c r="AR314" s="506">
        <v>279742.84000000003</v>
      </c>
      <c r="AS314" s="507">
        <v>218532.26</v>
      </c>
      <c r="AT314" s="507">
        <v>352146.86</v>
      </c>
      <c r="AU314" s="508">
        <v>275093.55</v>
      </c>
      <c r="AV314" s="630"/>
      <c r="AW314" s="630"/>
      <c r="AX314" s="630"/>
    </row>
    <row r="315" spans="1:50" ht="13" hidden="1">
      <c r="A315" s="502">
        <v>86</v>
      </c>
      <c r="B315" s="517" t="str">
        <f t="shared" si="35"/>
        <v>86A</v>
      </c>
      <c r="C315" s="506">
        <v>590444.49773363641</v>
      </c>
      <c r="D315" s="507">
        <v>461249.24215009465</v>
      </c>
      <c r="E315" s="507">
        <v>743265.42655881296</v>
      </c>
      <c r="F315" s="508">
        <v>580631.39894188393</v>
      </c>
      <c r="G315" s="426"/>
      <c r="H315" s="426"/>
      <c r="I315" s="426"/>
      <c r="J315" s="426"/>
      <c r="K315" s="426"/>
      <c r="L315" s="426"/>
      <c r="M315" s="426"/>
      <c r="N315" s="629"/>
      <c r="O315" s="629"/>
      <c r="P315" s="629"/>
      <c r="Q315" s="629"/>
      <c r="R315" s="629"/>
      <c r="S315" s="426"/>
      <c r="T315" s="506">
        <v>151349.99069990686</v>
      </c>
      <c r="U315" s="507">
        <v>118233.07487446332</v>
      </c>
      <c r="V315" s="507">
        <v>190522.92946929453</v>
      </c>
      <c r="W315" s="508">
        <v>148834.57660667738</v>
      </c>
      <c r="X315" s="426"/>
      <c r="Y315" s="426"/>
      <c r="Z315" s="506">
        <v>172535.57767148479</v>
      </c>
      <c r="AA315" s="507">
        <v>134783.04015088384</v>
      </c>
      <c r="AB315" s="507">
        <v>217191.84483351614</v>
      </c>
      <c r="AC315" s="508">
        <v>169668.0623075832</v>
      </c>
      <c r="AD315" s="426"/>
      <c r="AE315" s="426"/>
      <c r="AF315" s="506">
        <v>241541.62</v>
      </c>
      <c r="AG315" s="507">
        <v>188689.86</v>
      </c>
      <c r="AH315" s="507">
        <v>304058.28000000003</v>
      </c>
      <c r="AI315" s="508">
        <v>237527.24</v>
      </c>
      <c r="AJ315" s="426"/>
      <c r="AK315" s="426"/>
      <c r="AL315" s="506">
        <v>272931.99406788155</v>
      </c>
      <c r="AM315" s="507">
        <v>213211.70051637318</v>
      </c>
      <c r="AN315" s="507">
        <v>343573.21606192144</v>
      </c>
      <c r="AO315" s="508">
        <v>268395.90535590507</v>
      </c>
      <c r="AP315" s="426"/>
      <c r="AQ315" s="426"/>
      <c r="AR315" s="506">
        <v>279742.84000000003</v>
      </c>
      <c r="AS315" s="507">
        <v>218532.26</v>
      </c>
      <c r="AT315" s="507">
        <v>352146.86</v>
      </c>
      <c r="AU315" s="508">
        <v>275093.55</v>
      </c>
      <c r="AV315" s="630"/>
      <c r="AW315" s="630"/>
      <c r="AX315" s="630"/>
    </row>
    <row r="316" spans="1:50" ht="13" hidden="1">
      <c r="A316" s="502">
        <v>87</v>
      </c>
      <c r="B316" s="517" t="str">
        <f t="shared" si="35"/>
        <v>87A</v>
      </c>
      <c r="C316" s="506">
        <v>590444.49773363641</v>
      </c>
      <c r="D316" s="507">
        <v>461249.24215009465</v>
      </c>
      <c r="E316" s="507">
        <v>743265.42655881296</v>
      </c>
      <c r="F316" s="508">
        <v>580631.39894188393</v>
      </c>
      <c r="G316" s="426"/>
      <c r="H316" s="426"/>
      <c r="I316" s="426"/>
      <c r="J316" s="426"/>
      <c r="K316" s="426"/>
      <c r="L316" s="426"/>
      <c r="M316" s="426"/>
      <c r="N316" s="629"/>
      <c r="O316" s="629"/>
      <c r="P316" s="629"/>
      <c r="Q316" s="629"/>
      <c r="R316" s="629"/>
      <c r="S316" s="426"/>
      <c r="T316" s="506">
        <v>151349.99069990686</v>
      </c>
      <c r="U316" s="507">
        <v>118233.07487446332</v>
      </c>
      <c r="V316" s="507">
        <v>190522.92946929453</v>
      </c>
      <c r="W316" s="508">
        <v>148834.57660667738</v>
      </c>
      <c r="X316" s="426"/>
      <c r="Y316" s="426"/>
      <c r="Z316" s="506">
        <v>172535.57767148479</v>
      </c>
      <c r="AA316" s="507">
        <v>134783.04015088384</v>
      </c>
      <c r="AB316" s="507">
        <v>217191.84483351614</v>
      </c>
      <c r="AC316" s="508">
        <v>169668.0623075832</v>
      </c>
      <c r="AD316" s="426"/>
      <c r="AE316" s="426"/>
      <c r="AF316" s="506">
        <v>241541.62</v>
      </c>
      <c r="AG316" s="507">
        <v>188689.86</v>
      </c>
      <c r="AH316" s="507">
        <v>304058.28000000003</v>
      </c>
      <c r="AI316" s="508">
        <v>237527.24</v>
      </c>
      <c r="AJ316" s="426"/>
      <c r="AK316" s="426"/>
      <c r="AL316" s="506">
        <v>272931.99406788155</v>
      </c>
      <c r="AM316" s="507">
        <v>213211.70051637318</v>
      </c>
      <c r="AN316" s="507">
        <v>343573.21606192144</v>
      </c>
      <c r="AO316" s="508">
        <v>268395.90535590507</v>
      </c>
      <c r="AP316" s="426"/>
      <c r="AQ316" s="426"/>
      <c r="AR316" s="506">
        <v>279742.84000000003</v>
      </c>
      <c r="AS316" s="507">
        <v>218532.26</v>
      </c>
      <c r="AT316" s="507">
        <v>352146.86</v>
      </c>
      <c r="AU316" s="508">
        <v>275093.55</v>
      </c>
      <c r="AV316" s="630"/>
      <c r="AW316" s="630"/>
      <c r="AX316" s="630"/>
    </row>
    <row r="317" spans="1:50" ht="13" hidden="1">
      <c r="A317" s="502">
        <v>88</v>
      </c>
      <c r="B317" s="517" t="str">
        <f t="shared" si="35"/>
        <v>88A</v>
      </c>
      <c r="C317" s="506">
        <v>590444.49773363641</v>
      </c>
      <c r="D317" s="507">
        <v>461249.24215009465</v>
      </c>
      <c r="E317" s="507">
        <v>743265.42655881296</v>
      </c>
      <c r="F317" s="508">
        <v>580631.39894188393</v>
      </c>
      <c r="G317" s="426"/>
      <c r="H317" s="426"/>
      <c r="I317" s="426"/>
      <c r="J317" s="426"/>
      <c r="K317" s="426"/>
      <c r="L317" s="426"/>
      <c r="M317" s="426"/>
      <c r="N317" s="629"/>
      <c r="O317" s="629"/>
      <c r="P317" s="629"/>
      <c r="Q317" s="629"/>
      <c r="R317" s="629"/>
      <c r="S317" s="426"/>
      <c r="T317" s="506">
        <v>151349.99069990686</v>
      </c>
      <c r="U317" s="507">
        <v>118233.07487446332</v>
      </c>
      <c r="V317" s="507">
        <v>190522.92946929453</v>
      </c>
      <c r="W317" s="508">
        <v>148834.57660667738</v>
      </c>
      <c r="X317" s="426"/>
      <c r="Y317" s="426"/>
      <c r="Z317" s="506">
        <v>172535.57767148479</v>
      </c>
      <c r="AA317" s="507">
        <v>134783.04015088384</v>
      </c>
      <c r="AB317" s="507">
        <v>217191.84483351614</v>
      </c>
      <c r="AC317" s="508">
        <v>169668.0623075832</v>
      </c>
      <c r="AD317" s="426"/>
      <c r="AE317" s="426"/>
      <c r="AF317" s="506">
        <v>241541.62</v>
      </c>
      <c r="AG317" s="507">
        <v>188689.86</v>
      </c>
      <c r="AH317" s="507">
        <v>304058.28000000003</v>
      </c>
      <c r="AI317" s="508">
        <v>237527.24</v>
      </c>
      <c r="AJ317" s="426"/>
      <c r="AK317" s="426"/>
      <c r="AL317" s="506">
        <v>272931.99406788155</v>
      </c>
      <c r="AM317" s="507">
        <v>213211.70051637318</v>
      </c>
      <c r="AN317" s="507">
        <v>343573.21606192144</v>
      </c>
      <c r="AO317" s="508">
        <v>268395.90535590507</v>
      </c>
      <c r="AP317" s="426"/>
      <c r="AQ317" s="426"/>
      <c r="AR317" s="506">
        <v>279742.84000000003</v>
      </c>
      <c r="AS317" s="507">
        <v>218532.26</v>
      </c>
      <c r="AT317" s="507">
        <v>352146.86</v>
      </c>
      <c r="AU317" s="508">
        <v>275093.55</v>
      </c>
      <c r="AV317" s="630"/>
      <c r="AW317" s="630"/>
      <c r="AX317" s="630"/>
    </row>
    <row r="318" spans="1:50" ht="13" hidden="1">
      <c r="A318" s="502">
        <v>89</v>
      </c>
      <c r="B318" s="517" t="str">
        <f t="shared" si="35"/>
        <v>89A</v>
      </c>
      <c r="C318" s="506">
        <v>590444.49773363641</v>
      </c>
      <c r="D318" s="507">
        <v>461249.24215009465</v>
      </c>
      <c r="E318" s="507">
        <v>743265.42655881296</v>
      </c>
      <c r="F318" s="508">
        <v>580631.39894188393</v>
      </c>
      <c r="G318" s="426"/>
      <c r="H318" s="426"/>
      <c r="I318" s="426"/>
      <c r="J318" s="426"/>
      <c r="K318" s="426"/>
      <c r="L318" s="426"/>
      <c r="M318" s="426"/>
      <c r="N318" s="629"/>
      <c r="O318" s="629"/>
      <c r="P318" s="629"/>
      <c r="Q318" s="629"/>
      <c r="R318" s="629"/>
      <c r="S318" s="426"/>
      <c r="T318" s="506">
        <v>151349.99069990686</v>
      </c>
      <c r="U318" s="507">
        <v>118233.07487446332</v>
      </c>
      <c r="V318" s="507">
        <v>190522.92946929453</v>
      </c>
      <c r="W318" s="508">
        <v>148834.57660667738</v>
      </c>
      <c r="X318" s="426"/>
      <c r="Y318" s="426"/>
      <c r="Z318" s="506">
        <v>172535.57767148479</v>
      </c>
      <c r="AA318" s="507">
        <v>134783.04015088384</v>
      </c>
      <c r="AB318" s="507">
        <v>217191.84483351614</v>
      </c>
      <c r="AC318" s="508">
        <v>169668.0623075832</v>
      </c>
      <c r="AD318" s="426"/>
      <c r="AE318" s="426"/>
      <c r="AF318" s="506">
        <v>241541.62</v>
      </c>
      <c r="AG318" s="507">
        <v>188689.86</v>
      </c>
      <c r="AH318" s="507">
        <v>304058.28000000003</v>
      </c>
      <c r="AI318" s="508">
        <v>237527.24</v>
      </c>
      <c r="AJ318" s="426"/>
      <c r="AK318" s="426"/>
      <c r="AL318" s="506">
        <v>272931.99406788155</v>
      </c>
      <c r="AM318" s="507">
        <v>213211.70051637318</v>
      </c>
      <c r="AN318" s="507">
        <v>343573.21606192144</v>
      </c>
      <c r="AO318" s="508">
        <v>268395.90535590507</v>
      </c>
      <c r="AP318" s="426"/>
      <c r="AQ318" s="426"/>
      <c r="AR318" s="506">
        <v>279742.84000000003</v>
      </c>
      <c r="AS318" s="507">
        <v>218532.26</v>
      </c>
      <c r="AT318" s="507">
        <v>352146.86</v>
      </c>
      <c r="AU318" s="508">
        <v>275093.55</v>
      </c>
      <c r="AV318" s="630"/>
      <c r="AW318" s="630"/>
      <c r="AX318" s="630"/>
    </row>
    <row r="319" spans="1:50" ht="13" hidden="1">
      <c r="A319" s="502">
        <v>90</v>
      </c>
      <c r="B319" s="517" t="str">
        <f t="shared" si="35"/>
        <v>90A</v>
      </c>
      <c r="C319" s="506">
        <v>590444.49773363641</v>
      </c>
      <c r="D319" s="507">
        <v>461249.24215009465</v>
      </c>
      <c r="E319" s="507">
        <v>743265.42655881296</v>
      </c>
      <c r="F319" s="508">
        <v>580631.39894188393</v>
      </c>
      <c r="G319" s="426"/>
      <c r="H319" s="426"/>
      <c r="I319" s="426"/>
      <c r="J319" s="426"/>
      <c r="K319" s="426"/>
      <c r="L319" s="426"/>
      <c r="M319" s="426"/>
      <c r="N319" s="629"/>
      <c r="O319" s="629"/>
      <c r="P319" s="629"/>
      <c r="Q319" s="629"/>
      <c r="R319" s="629"/>
      <c r="S319" s="426"/>
      <c r="T319" s="506">
        <v>151349.99069990686</v>
      </c>
      <c r="U319" s="507">
        <v>118233.07487446332</v>
      </c>
      <c r="V319" s="507">
        <v>190522.92946929453</v>
      </c>
      <c r="W319" s="508">
        <v>148834.57660667738</v>
      </c>
      <c r="X319" s="426"/>
      <c r="Y319" s="426"/>
      <c r="Z319" s="506">
        <v>172535.57767148479</v>
      </c>
      <c r="AA319" s="507">
        <v>134783.04015088384</v>
      </c>
      <c r="AB319" s="507">
        <v>217191.84483351614</v>
      </c>
      <c r="AC319" s="508">
        <v>169668.0623075832</v>
      </c>
      <c r="AD319" s="426"/>
      <c r="AE319" s="426"/>
      <c r="AF319" s="506">
        <v>241541.62</v>
      </c>
      <c r="AG319" s="507">
        <v>188689.86</v>
      </c>
      <c r="AH319" s="507">
        <v>304058.28000000003</v>
      </c>
      <c r="AI319" s="508">
        <v>237527.24</v>
      </c>
      <c r="AJ319" s="426"/>
      <c r="AK319" s="426"/>
      <c r="AL319" s="506">
        <v>272931.99406788155</v>
      </c>
      <c r="AM319" s="507">
        <v>213211.70051637318</v>
      </c>
      <c r="AN319" s="507">
        <v>343573.21606192144</v>
      </c>
      <c r="AO319" s="508">
        <v>268395.90535590507</v>
      </c>
      <c r="AP319" s="426"/>
      <c r="AQ319" s="426"/>
      <c r="AR319" s="506">
        <v>279742.84000000003</v>
      </c>
      <c r="AS319" s="507">
        <v>218532.26</v>
      </c>
      <c r="AT319" s="507">
        <v>352146.86</v>
      </c>
      <c r="AU319" s="508">
        <v>275093.55</v>
      </c>
      <c r="AV319" s="630"/>
      <c r="AW319" s="630"/>
      <c r="AX319" s="630"/>
    </row>
    <row r="320" spans="1:50" ht="13" hidden="1">
      <c r="A320" s="502">
        <v>91</v>
      </c>
      <c r="B320" s="517" t="str">
        <f t="shared" si="35"/>
        <v>91A</v>
      </c>
      <c r="C320" s="506">
        <v>590444.49773363641</v>
      </c>
      <c r="D320" s="507">
        <v>461249.24215009465</v>
      </c>
      <c r="E320" s="507">
        <v>743265.42655881296</v>
      </c>
      <c r="F320" s="508">
        <v>580631.39894188393</v>
      </c>
      <c r="G320" s="426"/>
      <c r="H320" s="426"/>
      <c r="I320" s="426"/>
      <c r="J320" s="426"/>
      <c r="K320" s="426"/>
      <c r="L320" s="426"/>
      <c r="M320" s="426"/>
      <c r="N320" s="629"/>
      <c r="O320" s="629"/>
      <c r="P320" s="629"/>
      <c r="Q320" s="629"/>
      <c r="R320" s="629"/>
      <c r="S320" s="426"/>
      <c r="T320" s="506">
        <v>151349.99069990686</v>
      </c>
      <c r="U320" s="507">
        <v>118233.07487446332</v>
      </c>
      <c r="V320" s="507">
        <v>190522.92946929453</v>
      </c>
      <c r="W320" s="508">
        <v>148834.57660667738</v>
      </c>
      <c r="X320" s="426"/>
      <c r="Y320" s="426"/>
      <c r="Z320" s="506">
        <v>172535.57767148479</v>
      </c>
      <c r="AA320" s="507">
        <v>134783.04015088384</v>
      </c>
      <c r="AB320" s="507">
        <v>217191.84483351614</v>
      </c>
      <c r="AC320" s="508">
        <v>169668.0623075832</v>
      </c>
      <c r="AD320" s="426"/>
      <c r="AE320" s="426"/>
      <c r="AF320" s="506">
        <v>241541.62</v>
      </c>
      <c r="AG320" s="507">
        <v>188689.86</v>
      </c>
      <c r="AH320" s="507">
        <v>304058.28000000003</v>
      </c>
      <c r="AI320" s="508">
        <v>237527.24</v>
      </c>
      <c r="AJ320" s="426"/>
      <c r="AK320" s="426"/>
      <c r="AL320" s="506">
        <v>272931.99406788155</v>
      </c>
      <c r="AM320" s="507">
        <v>213211.70051637318</v>
      </c>
      <c r="AN320" s="507">
        <v>343573.21606192144</v>
      </c>
      <c r="AO320" s="508">
        <v>268395.90535590507</v>
      </c>
      <c r="AP320" s="426"/>
      <c r="AQ320" s="426"/>
      <c r="AR320" s="506">
        <v>279742.84000000003</v>
      </c>
      <c r="AS320" s="507">
        <v>218532.26</v>
      </c>
      <c r="AT320" s="507">
        <v>352146.86</v>
      </c>
      <c r="AU320" s="508">
        <v>275093.55</v>
      </c>
      <c r="AV320" s="630"/>
      <c r="AW320" s="630"/>
      <c r="AX320" s="630"/>
    </row>
    <row r="321" spans="1:50" ht="13" hidden="1">
      <c r="A321" s="502">
        <v>92</v>
      </c>
      <c r="B321" s="517" t="str">
        <f t="shared" si="35"/>
        <v>92A</v>
      </c>
      <c r="C321" s="506">
        <v>590444.49773363641</v>
      </c>
      <c r="D321" s="507">
        <v>461249.24215009465</v>
      </c>
      <c r="E321" s="507">
        <v>743265.42655881296</v>
      </c>
      <c r="F321" s="508">
        <v>580631.39894188393</v>
      </c>
      <c r="G321" s="426"/>
      <c r="H321" s="426"/>
      <c r="I321" s="426"/>
      <c r="J321" s="426"/>
      <c r="K321" s="426"/>
      <c r="L321" s="426"/>
      <c r="M321" s="426"/>
      <c r="N321" s="629"/>
      <c r="O321" s="629"/>
      <c r="P321" s="629"/>
      <c r="Q321" s="629"/>
      <c r="R321" s="629"/>
      <c r="S321" s="426"/>
      <c r="T321" s="506">
        <v>151349.99069990686</v>
      </c>
      <c r="U321" s="507">
        <v>118233.07487446332</v>
      </c>
      <c r="V321" s="507">
        <v>190522.92946929453</v>
      </c>
      <c r="W321" s="508">
        <v>148834.57660667738</v>
      </c>
      <c r="X321" s="426"/>
      <c r="Y321" s="426"/>
      <c r="Z321" s="506">
        <v>172535.57767148479</v>
      </c>
      <c r="AA321" s="507">
        <v>134783.04015088384</v>
      </c>
      <c r="AB321" s="507">
        <v>217191.84483351614</v>
      </c>
      <c r="AC321" s="508">
        <v>169668.0623075832</v>
      </c>
      <c r="AD321" s="426"/>
      <c r="AE321" s="426"/>
      <c r="AF321" s="506">
        <v>241541.62</v>
      </c>
      <c r="AG321" s="507">
        <v>188689.86</v>
      </c>
      <c r="AH321" s="507">
        <v>304058.28000000003</v>
      </c>
      <c r="AI321" s="508">
        <v>237527.24</v>
      </c>
      <c r="AJ321" s="426"/>
      <c r="AK321" s="426"/>
      <c r="AL321" s="506">
        <v>272931.99406788155</v>
      </c>
      <c r="AM321" s="507">
        <v>213211.70051637318</v>
      </c>
      <c r="AN321" s="507">
        <v>343573.21606192144</v>
      </c>
      <c r="AO321" s="508">
        <v>268395.90535590507</v>
      </c>
      <c r="AP321" s="426"/>
      <c r="AQ321" s="426"/>
      <c r="AR321" s="506">
        <v>279742.84000000003</v>
      </c>
      <c r="AS321" s="507">
        <v>218532.26</v>
      </c>
      <c r="AT321" s="507">
        <v>352146.86</v>
      </c>
      <c r="AU321" s="508">
        <v>275093.55</v>
      </c>
      <c r="AV321" s="630"/>
      <c r="AW321" s="630"/>
      <c r="AX321" s="630"/>
    </row>
    <row r="322" spans="1:50" ht="13" hidden="1">
      <c r="A322" s="502">
        <v>93</v>
      </c>
      <c r="B322" s="517" t="str">
        <f t="shared" si="35"/>
        <v>93A</v>
      </c>
      <c r="C322" s="506">
        <v>590444.49773363641</v>
      </c>
      <c r="D322" s="507">
        <v>461249.24215009465</v>
      </c>
      <c r="E322" s="507">
        <v>743265.42655881296</v>
      </c>
      <c r="F322" s="508">
        <v>580631.39894188393</v>
      </c>
      <c r="G322" s="426"/>
      <c r="H322" s="426"/>
      <c r="I322" s="426"/>
      <c r="J322" s="426"/>
      <c r="K322" s="426"/>
      <c r="L322" s="426"/>
      <c r="M322" s="426"/>
      <c r="N322" s="629"/>
      <c r="O322" s="629"/>
      <c r="P322" s="629"/>
      <c r="Q322" s="629"/>
      <c r="R322" s="629"/>
      <c r="S322" s="426"/>
      <c r="T322" s="506">
        <v>151349.99069990686</v>
      </c>
      <c r="U322" s="507">
        <v>118233.07487446332</v>
      </c>
      <c r="V322" s="507">
        <v>190522.92946929453</v>
      </c>
      <c r="W322" s="508">
        <v>148834.57660667738</v>
      </c>
      <c r="X322" s="426"/>
      <c r="Y322" s="426"/>
      <c r="Z322" s="506">
        <v>172535.57767148479</v>
      </c>
      <c r="AA322" s="507">
        <v>134783.04015088384</v>
      </c>
      <c r="AB322" s="507">
        <v>217191.84483351614</v>
      </c>
      <c r="AC322" s="508">
        <v>169668.0623075832</v>
      </c>
      <c r="AD322" s="426"/>
      <c r="AE322" s="426"/>
      <c r="AF322" s="506">
        <v>241541.62</v>
      </c>
      <c r="AG322" s="507">
        <v>188689.86</v>
      </c>
      <c r="AH322" s="507">
        <v>304058.28000000003</v>
      </c>
      <c r="AI322" s="508">
        <v>237527.24</v>
      </c>
      <c r="AJ322" s="426"/>
      <c r="AK322" s="426"/>
      <c r="AL322" s="506">
        <v>272931.99406788155</v>
      </c>
      <c r="AM322" s="507">
        <v>213211.70051637318</v>
      </c>
      <c r="AN322" s="507">
        <v>343573.21606192144</v>
      </c>
      <c r="AO322" s="508">
        <v>268395.90535590507</v>
      </c>
      <c r="AP322" s="426"/>
      <c r="AQ322" s="426"/>
      <c r="AR322" s="506">
        <v>279742.84000000003</v>
      </c>
      <c r="AS322" s="507">
        <v>218532.26</v>
      </c>
      <c r="AT322" s="507">
        <v>352146.86</v>
      </c>
      <c r="AU322" s="508">
        <v>275093.55</v>
      </c>
      <c r="AV322" s="630"/>
      <c r="AW322" s="630"/>
      <c r="AX322" s="630"/>
    </row>
    <row r="323" spans="1:50" ht="13" hidden="1">
      <c r="A323" s="502">
        <v>94</v>
      </c>
      <c r="B323" s="517" t="str">
        <f t="shared" si="35"/>
        <v>94A</v>
      </c>
      <c r="C323" s="506">
        <v>590444.49773363641</v>
      </c>
      <c r="D323" s="507">
        <v>461249.24215009465</v>
      </c>
      <c r="E323" s="507">
        <v>743265.42655881296</v>
      </c>
      <c r="F323" s="508">
        <v>580631.39894188393</v>
      </c>
      <c r="G323" s="426"/>
      <c r="H323" s="426"/>
      <c r="I323" s="426"/>
      <c r="J323" s="426"/>
      <c r="K323" s="426"/>
      <c r="L323" s="426"/>
      <c r="M323" s="426"/>
      <c r="N323" s="629"/>
      <c r="O323" s="629"/>
      <c r="P323" s="629"/>
      <c r="Q323" s="629"/>
      <c r="R323" s="629"/>
      <c r="S323" s="426"/>
      <c r="T323" s="506">
        <v>151349.99069990686</v>
      </c>
      <c r="U323" s="507">
        <v>118233.07487446332</v>
      </c>
      <c r="V323" s="507">
        <v>190522.92946929453</v>
      </c>
      <c r="W323" s="508">
        <v>148834.57660667738</v>
      </c>
      <c r="X323" s="426"/>
      <c r="Y323" s="426"/>
      <c r="Z323" s="506">
        <v>172535.57767148479</v>
      </c>
      <c r="AA323" s="507">
        <v>134783.04015088384</v>
      </c>
      <c r="AB323" s="507">
        <v>217191.84483351614</v>
      </c>
      <c r="AC323" s="508">
        <v>169668.0623075832</v>
      </c>
      <c r="AD323" s="426"/>
      <c r="AE323" s="426"/>
      <c r="AF323" s="506">
        <v>241541.62</v>
      </c>
      <c r="AG323" s="507">
        <v>188689.86</v>
      </c>
      <c r="AH323" s="507">
        <v>304058.28000000003</v>
      </c>
      <c r="AI323" s="508">
        <v>237527.24</v>
      </c>
      <c r="AJ323" s="426"/>
      <c r="AK323" s="426"/>
      <c r="AL323" s="506">
        <v>272931.99406788155</v>
      </c>
      <c r="AM323" s="507">
        <v>213211.70051637318</v>
      </c>
      <c r="AN323" s="507">
        <v>343573.21606192144</v>
      </c>
      <c r="AO323" s="508">
        <v>268395.90535590507</v>
      </c>
      <c r="AP323" s="426"/>
      <c r="AQ323" s="426"/>
      <c r="AR323" s="506">
        <v>279742.84000000003</v>
      </c>
      <c r="AS323" s="507">
        <v>218532.26</v>
      </c>
      <c r="AT323" s="507">
        <v>352146.86</v>
      </c>
      <c r="AU323" s="508">
        <v>275093.55</v>
      </c>
      <c r="AV323" s="630"/>
      <c r="AW323" s="630"/>
      <c r="AX323" s="630"/>
    </row>
    <row r="324" spans="1:50" ht="13" hidden="1">
      <c r="A324" s="502">
        <v>95</v>
      </c>
      <c r="B324" s="517" t="str">
        <f t="shared" si="35"/>
        <v>95A</v>
      </c>
      <c r="C324" s="506">
        <v>590444.49773363641</v>
      </c>
      <c r="D324" s="507">
        <v>461249.24215009465</v>
      </c>
      <c r="E324" s="507">
        <v>743265.42655881296</v>
      </c>
      <c r="F324" s="508">
        <v>580631.39894188393</v>
      </c>
      <c r="G324" s="426"/>
      <c r="H324" s="426"/>
      <c r="I324" s="426"/>
      <c r="J324" s="426"/>
      <c r="K324" s="426"/>
      <c r="L324" s="426"/>
      <c r="M324" s="426"/>
      <c r="N324" s="629"/>
      <c r="O324" s="629"/>
      <c r="P324" s="629"/>
      <c r="Q324" s="629"/>
      <c r="R324" s="629"/>
      <c r="S324" s="426"/>
      <c r="T324" s="506">
        <v>151349.99069990686</v>
      </c>
      <c r="U324" s="507">
        <v>118233.07487446332</v>
      </c>
      <c r="V324" s="507">
        <v>190522.92946929453</v>
      </c>
      <c r="W324" s="508">
        <v>148834.57660667738</v>
      </c>
      <c r="X324" s="426"/>
      <c r="Y324" s="426"/>
      <c r="Z324" s="506">
        <v>172535.57767148479</v>
      </c>
      <c r="AA324" s="507">
        <v>134783.04015088384</v>
      </c>
      <c r="AB324" s="507">
        <v>217191.84483351614</v>
      </c>
      <c r="AC324" s="508">
        <v>169668.0623075832</v>
      </c>
      <c r="AD324" s="426"/>
      <c r="AE324" s="426"/>
      <c r="AF324" s="506">
        <v>241541.62</v>
      </c>
      <c r="AG324" s="507">
        <v>188689.86</v>
      </c>
      <c r="AH324" s="507">
        <v>304058.28000000003</v>
      </c>
      <c r="AI324" s="508">
        <v>237527.24</v>
      </c>
      <c r="AJ324" s="426"/>
      <c r="AK324" s="426"/>
      <c r="AL324" s="506">
        <v>272931.99406788155</v>
      </c>
      <c r="AM324" s="507">
        <v>213211.70051637318</v>
      </c>
      <c r="AN324" s="507">
        <v>343573.21606192144</v>
      </c>
      <c r="AO324" s="508">
        <v>268395.90535590507</v>
      </c>
      <c r="AP324" s="426"/>
      <c r="AQ324" s="426"/>
      <c r="AR324" s="506">
        <v>279742.84000000003</v>
      </c>
      <c r="AS324" s="507">
        <v>218532.26</v>
      </c>
      <c r="AT324" s="507">
        <v>352146.86</v>
      </c>
      <c r="AU324" s="508">
        <v>275093.55</v>
      </c>
      <c r="AV324" s="630"/>
      <c r="AW324" s="630"/>
      <c r="AX324" s="630"/>
    </row>
    <row r="325" spans="1:50" ht="13" hidden="1">
      <c r="A325" s="502">
        <v>96</v>
      </c>
      <c r="B325" s="517" t="str">
        <f t="shared" si="35"/>
        <v>96A</v>
      </c>
      <c r="C325" s="506">
        <v>590444.49773363641</v>
      </c>
      <c r="D325" s="507">
        <v>461249.24215009465</v>
      </c>
      <c r="E325" s="507">
        <v>743265.42655881296</v>
      </c>
      <c r="F325" s="508">
        <v>580631.39894188393</v>
      </c>
      <c r="G325" s="426"/>
      <c r="H325" s="426"/>
      <c r="I325" s="426"/>
      <c r="J325" s="426"/>
      <c r="K325" s="426"/>
      <c r="L325" s="426"/>
      <c r="M325" s="426"/>
      <c r="N325" s="629"/>
      <c r="O325" s="629"/>
      <c r="P325" s="629"/>
      <c r="Q325" s="629"/>
      <c r="R325" s="629"/>
      <c r="S325" s="426"/>
      <c r="T325" s="506">
        <v>151349.99069990686</v>
      </c>
      <c r="U325" s="507">
        <v>118233.07487446332</v>
      </c>
      <c r="V325" s="507">
        <v>190522.92946929453</v>
      </c>
      <c r="W325" s="508">
        <v>148834.57660667738</v>
      </c>
      <c r="X325" s="426"/>
      <c r="Y325" s="426"/>
      <c r="Z325" s="506">
        <v>172535.57767148479</v>
      </c>
      <c r="AA325" s="507">
        <v>134783.04015088384</v>
      </c>
      <c r="AB325" s="507">
        <v>217191.84483351614</v>
      </c>
      <c r="AC325" s="508">
        <v>169668.0623075832</v>
      </c>
      <c r="AD325" s="426"/>
      <c r="AE325" s="426"/>
      <c r="AF325" s="506">
        <v>241541.62</v>
      </c>
      <c r="AG325" s="507">
        <v>188689.86</v>
      </c>
      <c r="AH325" s="507">
        <v>304058.28000000003</v>
      </c>
      <c r="AI325" s="508">
        <v>237527.24</v>
      </c>
      <c r="AJ325" s="426"/>
      <c r="AK325" s="426"/>
      <c r="AL325" s="506">
        <v>272931.99406788155</v>
      </c>
      <c r="AM325" s="507">
        <v>213211.70051637318</v>
      </c>
      <c r="AN325" s="507">
        <v>343573.21606192144</v>
      </c>
      <c r="AO325" s="508">
        <v>268395.90535590507</v>
      </c>
      <c r="AP325" s="426"/>
      <c r="AQ325" s="426"/>
      <c r="AR325" s="506">
        <v>279742.84000000003</v>
      </c>
      <c r="AS325" s="507">
        <v>218532.26</v>
      </c>
      <c r="AT325" s="507">
        <v>352146.86</v>
      </c>
      <c r="AU325" s="508">
        <v>275093.55</v>
      </c>
      <c r="AV325" s="630"/>
      <c r="AW325" s="630"/>
      <c r="AX325" s="630"/>
    </row>
    <row r="326" spans="1:50" ht="13" hidden="1">
      <c r="A326" s="502">
        <v>97</v>
      </c>
      <c r="B326" s="517" t="str">
        <f t="shared" si="35"/>
        <v>97A</v>
      </c>
      <c r="C326" s="506">
        <v>590444.49773363641</v>
      </c>
      <c r="D326" s="507">
        <v>461249.24215009465</v>
      </c>
      <c r="E326" s="507">
        <v>743265.42655881296</v>
      </c>
      <c r="F326" s="508">
        <v>580631.39894188393</v>
      </c>
      <c r="G326" s="426"/>
      <c r="H326" s="426"/>
      <c r="I326" s="426"/>
      <c r="J326" s="426"/>
      <c r="K326" s="426"/>
      <c r="L326" s="426"/>
      <c r="M326" s="426"/>
      <c r="N326" s="629"/>
      <c r="O326" s="629"/>
      <c r="P326" s="629"/>
      <c r="Q326" s="629"/>
      <c r="R326" s="629"/>
      <c r="S326" s="426"/>
      <c r="T326" s="506">
        <v>151349.99069990686</v>
      </c>
      <c r="U326" s="507">
        <v>118233.07487446332</v>
      </c>
      <c r="V326" s="507">
        <v>190522.92946929453</v>
      </c>
      <c r="W326" s="508">
        <v>148834.57660667738</v>
      </c>
      <c r="X326" s="426"/>
      <c r="Y326" s="426"/>
      <c r="Z326" s="506">
        <v>172535.57767148479</v>
      </c>
      <c r="AA326" s="507">
        <v>134783.04015088384</v>
      </c>
      <c r="AB326" s="507">
        <v>217191.84483351614</v>
      </c>
      <c r="AC326" s="508">
        <v>169668.0623075832</v>
      </c>
      <c r="AD326" s="426"/>
      <c r="AE326" s="426"/>
      <c r="AF326" s="506">
        <v>241541.62</v>
      </c>
      <c r="AG326" s="507">
        <v>188689.86</v>
      </c>
      <c r="AH326" s="507">
        <v>304058.28000000003</v>
      </c>
      <c r="AI326" s="508">
        <v>237527.24</v>
      </c>
      <c r="AJ326" s="426"/>
      <c r="AK326" s="426"/>
      <c r="AL326" s="506">
        <v>272931.99406788155</v>
      </c>
      <c r="AM326" s="507">
        <v>213211.70051637318</v>
      </c>
      <c r="AN326" s="507">
        <v>343573.21606192144</v>
      </c>
      <c r="AO326" s="508">
        <v>268395.90535590507</v>
      </c>
      <c r="AP326" s="426"/>
      <c r="AQ326" s="426"/>
      <c r="AR326" s="506">
        <v>279742.84000000003</v>
      </c>
      <c r="AS326" s="507">
        <v>218532.26</v>
      </c>
      <c r="AT326" s="507">
        <v>352146.86</v>
      </c>
      <c r="AU326" s="508">
        <v>275093.55</v>
      </c>
      <c r="AV326" s="630"/>
      <c r="AW326" s="630"/>
      <c r="AX326" s="630"/>
    </row>
    <row r="327" spans="1:50" ht="13" hidden="1">
      <c r="A327" s="502">
        <v>98</v>
      </c>
      <c r="B327" s="517" t="str">
        <f t="shared" si="35"/>
        <v>98A</v>
      </c>
      <c r="C327" s="506">
        <v>590444.49773363641</v>
      </c>
      <c r="D327" s="507">
        <v>461249.24215009465</v>
      </c>
      <c r="E327" s="507">
        <v>743265.42655881296</v>
      </c>
      <c r="F327" s="508">
        <v>580631.39894188393</v>
      </c>
      <c r="G327" s="426"/>
      <c r="H327" s="426"/>
      <c r="I327" s="426"/>
      <c r="J327" s="426"/>
      <c r="K327" s="426"/>
      <c r="L327" s="426"/>
      <c r="M327" s="426"/>
      <c r="N327" s="629"/>
      <c r="O327" s="629"/>
      <c r="P327" s="629"/>
      <c r="Q327" s="629"/>
      <c r="R327" s="629"/>
      <c r="S327" s="426"/>
      <c r="T327" s="506">
        <v>151349.99069990686</v>
      </c>
      <c r="U327" s="507">
        <v>118233.07487446332</v>
      </c>
      <c r="V327" s="507">
        <v>190522.92946929453</v>
      </c>
      <c r="W327" s="508">
        <v>148834.57660667738</v>
      </c>
      <c r="X327" s="426"/>
      <c r="Y327" s="426"/>
      <c r="Z327" s="506">
        <v>172535.57767148479</v>
      </c>
      <c r="AA327" s="507">
        <v>134783.04015088384</v>
      </c>
      <c r="AB327" s="507">
        <v>217191.84483351614</v>
      </c>
      <c r="AC327" s="508">
        <v>169668.0623075832</v>
      </c>
      <c r="AD327" s="426"/>
      <c r="AE327" s="426"/>
      <c r="AF327" s="506">
        <v>241541.62</v>
      </c>
      <c r="AG327" s="507">
        <v>188689.86</v>
      </c>
      <c r="AH327" s="507">
        <v>304058.28000000003</v>
      </c>
      <c r="AI327" s="508">
        <v>237527.24</v>
      </c>
      <c r="AJ327" s="426"/>
      <c r="AK327" s="426"/>
      <c r="AL327" s="506">
        <v>272931.99406788155</v>
      </c>
      <c r="AM327" s="507">
        <v>213211.70051637318</v>
      </c>
      <c r="AN327" s="507">
        <v>343573.21606192144</v>
      </c>
      <c r="AO327" s="508">
        <v>268395.90535590507</v>
      </c>
      <c r="AP327" s="426"/>
      <c r="AQ327" s="426"/>
      <c r="AR327" s="506">
        <v>279742.84000000003</v>
      </c>
      <c r="AS327" s="507">
        <v>218532.26</v>
      </c>
      <c r="AT327" s="507">
        <v>352146.86</v>
      </c>
      <c r="AU327" s="508">
        <v>275093.55</v>
      </c>
      <c r="AV327" s="630"/>
      <c r="AW327" s="630"/>
      <c r="AX327" s="630"/>
    </row>
    <row r="328" spans="1:50" ht="13" hidden="1">
      <c r="A328" s="502">
        <v>99</v>
      </c>
      <c r="B328" s="517" t="str">
        <f t="shared" si="35"/>
        <v>99A</v>
      </c>
      <c r="C328" s="506">
        <v>590444.49773363641</v>
      </c>
      <c r="D328" s="507">
        <v>461249.24215009465</v>
      </c>
      <c r="E328" s="507">
        <v>743265.42655881296</v>
      </c>
      <c r="F328" s="508">
        <v>580631.39894188393</v>
      </c>
      <c r="G328" s="426"/>
      <c r="H328" s="426"/>
      <c r="I328" s="426"/>
      <c r="J328" s="426"/>
      <c r="K328" s="426"/>
      <c r="L328" s="426"/>
      <c r="M328" s="426"/>
      <c r="N328" s="629"/>
      <c r="O328" s="629"/>
      <c r="P328" s="629"/>
      <c r="Q328" s="629"/>
      <c r="R328" s="629"/>
      <c r="S328" s="426"/>
      <c r="T328" s="506">
        <v>151349.99069990686</v>
      </c>
      <c r="U328" s="507">
        <v>118233.07487446332</v>
      </c>
      <c r="V328" s="507">
        <v>190522.92946929453</v>
      </c>
      <c r="W328" s="508">
        <v>148834.57660667738</v>
      </c>
      <c r="X328" s="426"/>
      <c r="Y328" s="426"/>
      <c r="Z328" s="506">
        <v>172535.57767148479</v>
      </c>
      <c r="AA328" s="507">
        <v>134783.04015088384</v>
      </c>
      <c r="AB328" s="507">
        <v>217191.84483351614</v>
      </c>
      <c r="AC328" s="508">
        <v>169668.0623075832</v>
      </c>
      <c r="AD328" s="426"/>
      <c r="AE328" s="426"/>
      <c r="AF328" s="506">
        <v>241541.62</v>
      </c>
      <c r="AG328" s="507">
        <v>188689.86</v>
      </c>
      <c r="AH328" s="507">
        <v>304058.28000000003</v>
      </c>
      <c r="AI328" s="508">
        <v>237527.24</v>
      </c>
      <c r="AJ328" s="426"/>
      <c r="AK328" s="426"/>
      <c r="AL328" s="506">
        <v>272931.99406788155</v>
      </c>
      <c r="AM328" s="507">
        <v>213211.70051637318</v>
      </c>
      <c r="AN328" s="507">
        <v>343573.21606192144</v>
      </c>
      <c r="AO328" s="508">
        <v>268395.90535590507</v>
      </c>
      <c r="AP328" s="426"/>
      <c r="AQ328" s="426"/>
      <c r="AR328" s="506">
        <v>279742.84000000003</v>
      </c>
      <c r="AS328" s="507">
        <v>218532.26</v>
      </c>
      <c r="AT328" s="507">
        <v>352146.86</v>
      </c>
      <c r="AU328" s="508">
        <v>275093.55</v>
      </c>
      <c r="AV328" s="630"/>
      <c r="AW328" s="630"/>
      <c r="AX328" s="630"/>
    </row>
    <row r="329" spans="1:50" ht="13" hidden="1">
      <c r="A329" s="509">
        <v>100</v>
      </c>
      <c r="B329" s="517" t="str">
        <f t="shared" si="35"/>
        <v>100A</v>
      </c>
      <c r="C329" s="510">
        <v>590444.49773363641</v>
      </c>
      <c r="D329" s="511">
        <v>461249.24215009465</v>
      </c>
      <c r="E329" s="511">
        <v>743265.42655881296</v>
      </c>
      <c r="F329" s="512">
        <v>580631.39894188393</v>
      </c>
      <c r="G329" s="426"/>
      <c r="H329" s="426"/>
      <c r="I329" s="426"/>
      <c r="J329" s="426"/>
      <c r="K329" s="426"/>
      <c r="L329" s="426"/>
      <c r="M329" s="426"/>
      <c r="N329" s="629"/>
      <c r="O329" s="629"/>
      <c r="P329" s="629"/>
      <c r="Q329" s="629"/>
      <c r="R329" s="629"/>
      <c r="S329" s="426"/>
      <c r="T329" s="510">
        <v>151349.99069990686</v>
      </c>
      <c r="U329" s="511">
        <v>118233.07487446332</v>
      </c>
      <c r="V329" s="511">
        <v>190522.92946929453</v>
      </c>
      <c r="W329" s="512">
        <v>148834.57660667738</v>
      </c>
      <c r="X329" s="426"/>
      <c r="Y329" s="426"/>
      <c r="Z329" s="510">
        <v>172535.57767148479</v>
      </c>
      <c r="AA329" s="511">
        <v>134783.04015088384</v>
      </c>
      <c r="AB329" s="511">
        <v>217191.84483351614</v>
      </c>
      <c r="AC329" s="512">
        <v>169668.0623075832</v>
      </c>
      <c r="AD329" s="426"/>
      <c r="AE329" s="426"/>
      <c r="AF329" s="510">
        <v>241541.62</v>
      </c>
      <c r="AG329" s="511">
        <v>188689.86</v>
      </c>
      <c r="AH329" s="511">
        <v>304058.28000000003</v>
      </c>
      <c r="AI329" s="512">
        <v>237527.24</v>
      </c>
      <c r="AJ329" s="426"/>
      <c r="AK329" s="426"/>
      <c r="AL329" s="510">
        <v>272931.99406788155</v>
      </c>
      <c r="AM329" s="511">
        <v>213211.70051637318</v>
      </c>
      <c r="AN329" s="511">
        <v>343573.21606192144</v>
      </c>
      <c r="AO329" s="512">
        <v>268395.90535590507</v>
      </c>
      <c r="AP329" s="426"/>
      <c r="AQ329" s="426"/>
      <c r="AR329" s="510">
        <v>279742.84000000003</v>
      </c>
      <c r="AS329" s="511">
        <v>218532.26</v>
      </c>
      <c r="AT329" s="511">
        <v>352146.86</v>
      </c>
      <c r="AU329" s="512">
        <v>275093.55</v>
      </c>
      <c r="AV329" s="630"/>
      <c r="AW329" s="630"/>
      <c r="AX329" s="630"/>
    </row>
    <row r="330" spans="1:50" ht="13" hidden="1">
      <c r="A330" s="489"/>
      <c r="B330" s="489"/>
      <c r="C330" s="489"/>
      <c r="D330" s="489"/>
      <c r="E330" s="489"/>
      <c r="F330" s="489"/>
      <c r="G330" s="426"/>
      <c r="H330" s="426"/>
      <c r="I330" s="426"/>
      <c r="J330" s="426"/>
      <c r="K330" s="426"/>
      <c r="L330" s="426"/>
      <c r="M330" s="426"/>
      <c r="N330" s="426"/>
      <c r="O330" s="426"/>
      <c r="P330" s="426"/>
      <c r="Q330" s="426"/>
      <c r="R330" s="426"/>
      <c r="S330" s="426"/>
      <c r="T330" s="489"/>
      <c r="U330" s="489"/>
      <c r="V330" s="489"/>
      <c r="W330" s="489"/>
      <c r="X330" s="426"/>
      <c r="Y330" s="426"/>
      <c r="Z330" s="426"/>
      <c r="AA330" s="426"/>
      <c r="AB330" s="426"/>
      <c r="AC330" s="426"/>
      <c r="AD330" s="426"/>
      <c r="AE330" s="426"/>
      <c r="AF330" s="426"/>
      <c r="AG330" s="426"/>
      <c r="AH330" s="426"/>
      <c r="AI330" s="426"/>
      <c r="AJ330" s="426"/>
      <c r="AK330" s="426"/>
      <c r="AL330" s="489"/>
      <c r="AM330" s="489"/>
      <c r="AN330" s="489"/>
      <c r="AO330" s="489"/>
      <c r="AP330" s="426"/>
      <c r="AQ330" s="426"/>
      <c r="AR330" s="489"/>
      <c r="AS330" s="489"/>
      <c r="AT330" s="489"/>
      <c r="AU330" s="489"/>
      <c r="AV330" s="426"/>
      <c r="AW330" s="426"/>
      <c r="AX330" s="426"/>
    </row>
    <row r="331" spans="1:50" ht="13" hidden="1">
      <c r="A331" s="489"/>
      <c r="B331" s="489"/>
      <c r="C331" s="489"/>
      <c r="D331" s="489"/>
      <c r="E331" s="489"/>
      <c r="F331" s="489"/>
      <c r="G331" s="426"/>
      <c r="H331" s="426"/>
      <c r="I331" s="426"/>
      <c r="J331" s="426"/>
      <c r="K331" s="426"/>
      <c r="L331" s="426"/>
      <c r="M331" s="426"/>
      <c r="N331" s="426"/>
      <c r="O331" s="426"/>
      <c r="P331" s="426"/>
      <c r="Q331" s="426"/>
      <c r="R331" s="426"/>
      <c r="S331" s="426"/>
      <c r="T331" s="489"/>
      <c r="U331" s="489"/>
      <c r="V331" s="489"/>
      <c r="W331" s="489"/>
      <c r="X331" s="426"/>
      <c r="Y331" s="426"/>
      <c r="Z331" s="426"/>
      <c r="AA331" s="426"/>
      <c r="AB331" s="426"/>
      <c r="AC331" s="426"/>
      <c r="AD331" s="426"/>
      <c r="AE331" s="426"/>
      <c r="AF331" s="426"/>
      <c r="AG331" s="426"/>
      <c r="AH331" s="426"/>
      <c r="AI331" s="426"/>
      <c r="AJ331" s="426"/>
      <c r="AK331" s="426"/>
      <c r="AL331" s="489"/>
      <c r="AM331" s="489"/>
      <c r="AN331" s="489"/>
      <c r="AO331" s="489"/>
      <c r="AP331" s="426"/>
      <c r="AQ331" s="426"/>
      <c r="AR331" s="489"/>
      <c r="AS331" s="489"/>
      <c r="AT331" s="489"/>
      <c r="AU331" s="489"/>
      <c r="AV331" s="426"/>
      <c r="AW331" s="426"/>
      <c r="AX331" s="426"/>
    </row>
    <row r="332" spans="1:50" ht="13" hidden="1">
      <c r="A332" s="489"/>
      <c r="B332" s="489"/>
      <c r="C332" s="489"/>
      <c r="D332" s="489"/>
      <c r="E332" s="489"/>
      <c r="F332" s="489"/>
      <c r="G332" s="426"/>
      <c r="H332" s="426"/>
      <c r="I332" s="426"/>
      <c r="J332" s="426"/>
      <c r="K332" s="426"/>
      <c r="L332" s="426"/>
      <c r="M332" s="426"/>
      <c r="N332" s="426"/>
      <c r="O332" s="426"/>
      <c r="P332" s="426"/>
      <c r="Q332" s="426"/>
      <c r="R332" s="426"/>
      <c r="S332" s="426"/>
      <c r="T332" s="489"/>
      <c r="U332" s="489"/>
      <c r="V332" s="489"/>
      <c r="W332" s="489"/>
      <c r="X332" s="426"/>
      <c r="Y332" s="426"/>
      <c r="Z332" s="426"/>
      <c r="AA332" s="426"/>
      <c r="AB332" s="426"/>
      <c r="AC332" s="426"/>
      <c r="AD332" s="426"/>
      <c r="AE332" s="426"/>
      <c r="AF332" s="426"/>
      <c r="AG332" s="426"/>
      <c r="AH332" s="426"/>
      <c r="AI332" s="426"/>
      <c r="AJ332" s="426"/>
      <c r="AK332" s="426"/>
      <c r="AL332" s="489"/>
      <c r="AM332" s="489"/>
      <c r="AN332" s="489"/>
      <c r="AO332" s="489"/>
      <c r="AP332" s="426"/>
      <c r="AQ332" s="426"/>
      <c r="AR332" s="489"/>
      <c r="AS332" s="489"/>
      <c r="AT332" s="489"/>
      <c r="AU332" s="489"/>
      <c r="AV332" s="426"/>
      <c r="AW332" s="426"/>
      <c r="AX332" s="426"/>
    </row>
    <row r="333" spans="1:50" ht="13" hidden="1">
      <c r="A333" s="489"/>
      <c r="B333" s="489"/>
      <c r="C333" s="490" t="s">
        <v>49</v>
      </c>
      <c r="D333" s="491" t="s">
        <v>51</v>
      </c>
      <c r="E333" s="491"/>
      <c r="F333" s="492"/>
      <c r="G333" s="426"/>
      <c r="H333" s="426"/>
      <c r="I333" s="426"/>
      <c r="J333" s="426"/>
      <c r="K333" s="426"/>
      <c r="L333" s="426"/>
      <c r="M333" s="426"/>
      <c r="N333" s="426"/>
      <c r="O333" s="426"/>
      <c r="P333" s="426"/>
      <c r="Q333" s="426"/>
      <c r="R333" s="426"/>
      <c r="S333" s="426"/>
      <c r="T333" s="490" t="s">
        <v>49</v>
      </c>
      <c r="U333" s="491" t="s">
        <v>51</v>
      </c>
      <c r="V333" s="491"/>
      <c r="W333" s="492"/>
      <c r="X333" s="426"/>
      <c r="Y333" s="426"/>
      <c r="Z333" s="490" t="s">
        <v>49</v>
      </c>
      <c r="AA333" s="491" t="s">
        <v>51</v>
      </c>
      <c r="AB333" s="491"/>
      <c r="AC333" s="492"/>
      <c r="AD333" s="426"/>
      <c r="AE333" s="426"/>
      <c r="AF333" s="490" t="s">
        <v>49</v>
      </c>
      <c r="AG333" s="491" t="s">
        <v>51</v>
      </c>
      <c r="AH333" s="491"/>
      <c r="AI333" s="492"/>
      <c r="AJ333" s="426"/>
      <c r="AK333" s="426"/>
      <c r="AL333" s="490" t="s">
        <v>49</v>
      </c>
      <c r="AM333" s="491" t="s">
        <v>51</v>
      </c>
      <c r="AN333" s="491"/>
      <c r="AO333" s="492"/>
      <c r="AP333" s="426"/>
      <c r="AQ333" s="426"/>
      <c r="AR333" s="490" t="s">
        <v>49</v>
      </c>
      <c r="AS333" s="491" t="s">
        <v>51</v>
      </c>
      <c r="AT333" s="491"/>
      <c r="AU333" s="492"/>
      <c r="AV333" s="426" t="s">
        <v>39</v>
      </c>
      <c r="AW333" s="426"/>
      <c r="AX333" s="426"/>
    </row>
    <row r="334" spans="1:50" ht="13" hidden="1">
      <c r="A334" s="489"/>
      <c r="B334" s="493" t="s">
        <v>49</v>
      </c>
      <c r="C334" s="513" t="s">
        <v>36</v>
      </c>
      <c r="D334" s="514" t="s">
        <v>36</v>
      </c>
      <c r="E334" s="515" t="s">
        <v>35</v>
      </c>
      <c r="F334" s="516" t="s">
        <v>35</v>
      </c>
      <c r="G334" s="426"/>
      <c r="H334" s="426"/>
      <c r="I334" s="426"/>
      <c r="J334" s="426"/>
      <c r="K334" s="426"/>
      <c r="L334" s="426"/>
      <c r="M334" s="426"/>
      <c r="N334" s="426"/>
      <c r="O334" s="426"/>
      <c r="P334" s="426"/>
      <c r="Q334" s="426"/>
      <c r="R334" s="426"/>
      <c r="S334" s="426"/>
      <c r="T334" s="513" t="s">
        <v>36</v>
      </c>
      <c r="U334" s="514" t="s">
        <v>36</v>
      </c>
      <c r="V334" s="515" t="s">
        <v>35</v>
      </c>
      <c r="W334" s="516" t="s">
        <v>35</v>
      </c>
      <c r="X334" s="426"/>
      <c r="Y334" s="426"/>
      <c r="Z334" s="513" t="s">
        <v>36</v>
      </c>
      <c r="AA334" s="514" t="s">
        <v>36</v>
      </c>
      <c r="AB334" s="515" t="s">
        <v>35</v>
      </c>
      <c r="AC334" s="516" t="s">
        <v>35</v>
      </c>
      <c r="AD334" s="426"/>
      <c r="AE334" s="426"/>
      <c r="AF334" s="513" t="s">
        <v>36</v>
      </c>
      <c r="AG334" s="514" t="s">
        <v>36</v>
      </c>
      <c r="AH334" s="515" t="s">
        <v>35</v>
      </c>
      <c r="AI334" s="516" t="s">
        <v>35</v>
      </c>
      <c r="AJ334" s="426"/>
      <c r="AK334" s="426"/>
      <c r="AL334" s="513" t="s">
        <v>36</v>
      </c>
      <c r="AM334" s="514" t="s">
        <v>36</v>
      </c>
      <c r="AN334" s="515" t="s">
        <v>35</v>
      </c>
      <c r="AO334" s="516" t="s">
        <v>35</v>
      </c>
      <c r="AP334" s="426"/>
      <c r="AQ334" s="426"/>
      <c r="AR334" s="513" t="s">
        <v>36</v>
      </c>
      <c r="AS334" s="514" t="s">
        <v>36</v>
      </c>
      <c r="AT334" s="515" t="s">
        <v>35</v>
      </c>
      <c r="AU334" s="516" t="s">
        <v>35</v>
      </c>
      <c r="AV334" s="426"/>
      <c r="AW334" s="426"/>
      <c r="AX334" s="426"/>
    </row>
    <row r="335" spans="1:50" ht="13" hidden="1">
      <c r="A335" s="498" t="s">
        <v>31</v>
      </c>
      <c r="B335" s="493" t="s">
        <v>41</v>
      </c>
      <c r="C335" s="499" t="s">
        <v>32</v>
      </c>
      <c r="D335" s="500" t="s">
        <v>33</v>
      </c>
      <c r="E335" s="500" t="s">
        <v>32</v>
      </c>
      <c r="F335" s="501" t="s">
        <v>33</v>
      </c>
      <c r="G335" s="426"/>
      <c r="H335" s="426"/>
      <c r="I335" s="426"/>
      <c r="J335" s="426"/>
      <c r="K335" s="426"/>
      <c r="L335" s="426"/>
      <c r="M335" s="426"/>
      <c r="N335" s="426"/>
      <c r="O335" s="426"/>
      <c r="P335" s="426"/>
      <c r="Q335" s="426"/>
      <c r="R335" s="426"/>
      <c r="S335" s="426"/>
      <c r="T335" s="499" t="s">
        <v>32</v>
      </c>
      <c r="U335" s="500" t="s">
        <v>33</v>
      </c>
      <c r="V335" s="500" t="s">
        <v>32</v>
      </c>
      <c r="W335" s="501" t="s">
        <v>33</v>
      </c>
      <c r="X335" s="426"/>
      <c r="Y335" s="426"/>
      <c r="Z335" s="499" t="s">
        <v>32</v>
      </c>
      <c r="AA335" s="500" t="s">
        <v>33</v>
      </c>
      <c r="AB335" s="500" t="s">
        <v>32</v>
      </c>
      <c r="AC335" s="501" t="s">
        <v>33</v>
      </c>
      <c r="AD335" s="426"/>
      <c r="AE335" s="426"/>
      <c r="AF335" s="499" t="s">
        <v>32</v>
      </c>
      <c r="AG335" s="500" t="s">
        <v>33</v>
      </c>
      <c r="AH335" s="500" t="s">
        <v>32</v>
      </c>
      <c r="AI335" s="501" t="s">
        <v>33</v>
      </c>
      <c r="AJ335" s="426"/>
      <c r="AK335" s="426"/>
      <c r="AL335" s="499" t="s">
        <v>32</v>
      </c>
      <c r="AM335" s="500" t="s">
        <v>33</v>
      </c>
      <c r="AN335" s="500" t="s">
        <v>32</v>
      </c>
      <c r="AO335" s="501" t="s">
        <v>33</v>
      </c>
      <c r="AP335" s="426"/>
      <c r="AQ335" s="426"/>
      <c r="AR335" s="499" t="s">
        <v>32</v>
      </c>
      <c r="AS335" s="500" t="s">
        <v>33</v>
      </c>
      <c r="AT335" s="500" t="s">
        <v>32</v>
      </c>
      <c r="AU335" s="501" t="s">
        <v>33</v>
      </c>
      <c r="AV335" s="426"/>
      <c r="AW335" s="426"/>
      <c r="AX335" s="426"/>
    </row>
    <row r="336" spans="1:50" ht="13" hidden="1">
      <c r="A336" s="502">
        <v>0</v>
      </c>
      <c r="B336" s="517" t="str">
        <f>+CONCATENATE(A336,$B$334)</f>
        <v>0B</v>
      </c>
      <c r="C336" s="518">
        <v>16589.985189950028</v>
      </c>
      <c r="D336" s="519">
        <v>16659.520023258367</v>
      </c>
      <c r="E336" s="519">
        <v>16589.985189950028</v>
      </c>
      <c r="F336" s="520">
        <v>16659.520023258367</v>
      </c>
      <c r="G336" s="426"/>
      <c r="H336" s="426"/>
      <c r="I336" s="426"/>
      <c r="J336" s="426"/>
      <c r="K336" s="426"/>
      <c r="L336" s="426"/>
      <c r="M336" s="426"/>
      <c r="N336" s="629"/>
      <c r="O336" s="629"/>
      <c r="P336" s="629"/>
      <c r="Q336" s="629"/>
      <c r="R336" s="629"/>
      <c r="S336" s="426"/>
      <c r="T336" s="518">
        <v>5066.1162671012671</v>
      </c>
      <c r="U336" s="519">
        <v>5087.3502553248945</v>
      </c>
      <c r="V336" s="519">
        <v>5066.1162671012671</v>
      </c>
      <c r="W336" s="520">
        <v>5087.3502553248945</v>
      </c>
      <c r="X336" s="426"/>
      <c r="Y336" s="426"/>
      <c r="Z336" s="518">
        <v>5775.2151256540801</v>
      </c>
      <c r="AA336" s="519">
        <v>5799.4212124277701</v>
      </c>
      <c r="AB336" s="519">
        <v>5775.2151256540801</v>
      </c>
      <c r="AC336" s="520">
        <v>5799.4212124277701</v>
      </c>
      <c r="AD336" s="426"/>
      <c r="AE336" s="426"/>
      <c r="AF336" s="518">
        <v>6641.26</v>
      </c>
      <c r="AG336" s="519">
        <v>6669.1</v>
      </c>
      <c r="AH336" s="519">
        <v>6641.26</v>
      </c>
      <c r="AI336" s="520">
        <v>6669.1</v>
      </c>
      <c r="AJ336" s="426"/>
      <c r="AK336" s="426"/>
      <c r="AL336" s="518">
        <v>7571.2596093886596</v>
      </c>
      <c r="AM336" s="519">
        <v>7602.9935903925698</v>
      </c>
      <c r="AN336" s="519">
        <v>7571.2596093886596</v>
      </c>
      <c r="AO336" s="520">
        <v>7602.9935903925698</v>
      </c>
      <c r="AP336" s="426"/>
      <c r="AQ336" s="426"/>
      <c r="AR336" s="518">
        <v>7760.63</v>
      </c>
      <c r="AS336" s="519">
        <v>7793.16</v>
      </c>
      <c r="AT336" s="519">
        <v>7760.63</v>
      </c>
      <c r="AU336" s="520">
        <v>7793.16</v>
      </c>
      <c r="AV336" s="426"/>
      <c r="AW336" s="426"/>
      <c r="AX336" s="426"/>
    </row>
    <row r="337" spans="1:47" ht="13" hidden="1">
      <c r="A337" s="502">
        <v>1</v>
      </c>
      <c r="B337" s="517" t="str">
        <f t="shared" ref="B337:B400" si="36">+CONCATENATE(A337,$B$334)</f>
        <v>1B</v>
      </c>
      <c r="C337" s="518">
        <v>16589.985189950028</v>
      </c>
      <c r="D337" s="519">
        <v>16659.520023258367</v>
      </c>
      <c r="E337" s="519">
        <v>16589.985189950028</v>
      </c>
      <c r="F337" s="520">
        <v>16659.520023258367</v>
      </c>
      <c r="G337" s="426"/>
      <c r="H337" s="426"/>
      <c r="I337" s="426"/>
      <c r="J337" s="426"/>
      <c r="K337" s="426"/>
      <c r="L337" s="426"/>
      <c r="M337" s="426"/>
      <c r="N337" s="629"/>
      <c r="O337" s="629"/>
      <c r="P337" s="629"/>
      <c r="Q337" s="629"/>
      <c r="R337" s="629"/>
      <c r="S337" s="426"/>
      <c r="T337" s="518">
        <v>5066.1162671012671</v>
      </c>
      <c r="U337" s="519">
        <v>5087.3502553248945</v>
      </c>
      <c r="V337" s="519">
        <v>5066.1162671012671</v>
      </c>
      <c r="W337" s="520">
        <v>5087.3502553248945</v>
      </c>
      <c r="X337" s="426"/>
      <c r="Y337" s="426"/>
      <c r="Z337" s="518">
        <v>5775.2151256540801</v>
      </c>
      <c r="AA337" s="519">
        <v>5799.4212124277701</v>
      </c>
      <c r="AB337" s="519">
        <v>5775.2151256540801</v>
      </c>
      <c r="AC337" s="520">
        <v>5799.4212124277701</v>
      </c>
      <c r="AD337" s="426"/>
      <c r="AE337" s="426"/>
      <c r="AF337" s="518">
        <v>6641.26</v>
      </c>
      <c r="AG337" s="519">
        <v>6669.1</v>
      </c>
      <c r="AH337" s="519">
        <v>6641.26</v>
      </c>
      <c r="AI337" s="520">
        <v>6669.1</v>
      </c>
      <c r="AJ337" s="426"/>
      <c r="AK337" s="426"/>
      <c r="AL337" s="518">
        <v>7571.2596093886596</v>
      </c>
      <c r="AM337" s="519">
        <v>7602.9935903925698</v>
      </c>
      <c r="AN337" s="519">
        <v>7571.2596093886596</v>
      </c>
      <c r="AO337" s="520">
        <v>7602.9935903925698</v>
      </c>
      <c r="AP337" s="426"/>
      <c r="AQ337" s="426"/>
      <c r="AR337" s="518">
        <v>7760.63</v>
      </c>
      <c r="AS337" s="519">
        <v>7793.16</v>
      </c>
      <c r="AT337" s="519">
        <v>7760.63</v>
      </c>
      <c r="AU337" s="520">
        <v>7793.16</v>
      </c>
    </row>
    <row r="338" spans="1:47" ht="13" hidden="1">
      <c r="A338" s="502">
        <v>2</v>
      </c>
      <c r="B338" s="517" t="str">
        <f t="shared" si="36"/>
        <v>2B</v>
      </c>
      <c r="C338" s="518">
        <v>16589.985189950028</v>
      </c>
      <c r="D338" s="519">
        <v>16659.520023258367</v>
      </c>
      <c r="E338" s="519">
        <v>16589.985189950028</v>
      </c>
      <c r="F338" s="520">
        <v>16659.520023258367</v>
      </c>
      <c r="G338" s="426"/>
      <c r="H338" s="426"/>
      <c r="I338" s="426"/>
      <c r="J338" s="426"/>
      <c r="K338" s="426"/>
      <c r="L338" s="426"/>
      <c r="M338" s="426"/>
      <c r="N338" s="629"/>
      <c r="O338" s="629"/>
      <c r="P338" s="629"/>
      <c r="Q338" s="629"/>
      <c r="R338" s="629"/>
      <c r="S338" s="426"/>
      <c r="T338" s="518">
        <v>5066.1162671012671</v>
      </c>
      <c r="U338" s="519">
        <v>5087.3502553248945</v>
      </c>
      <c r="V338" s="519">
        <v>5066.1162671012671</v>
      </c>
      <c r="W338" s="520">
        <v>5087.3502553248945</v>
      </c>
      <c r="X338" s="426"/>
      <c r="Y338" s="426"/>
      <c r="Z338" s="518">
        <v>5775.2151256540801</v>
      </c>
      <c r="AA338" s="519">
        <v>5799.4212124277701</v>
      </c>
      <c r="AB338" s="519">
        <v>5775.2151256540801</v>
      </c>
      <c r="AC338" s="520">
        <v>5799.4212124277701</v>
      </c>
      <c r="AD338" s="426"/>
      <c r="AE338" s="426"/>
      <c r="AF338" s="518">
        <v>6641.26</v>
      </c>
      <c r="AG338" s="519">
        <v>6669.1</v>
      </c>
      <c r="AH338" s="519">
        <v>6641.26</v>
      </c>
      <c r="AI338" s="520">
        <v>6669.1</v>
      </c>
      <c r="AJ338" s="426"/>
      <c r="AK338" s="426"/>
      <c r="AL338" s="518">
        <v>7571.2596093886596</v>
      </c>
      <c r="AM338" s="519">
        <v>7602.9935903925698</v>
      </c>
      <c r="AN338" s="519">
        <v>7571.2596093886596</v>
      </c>
      <c r="AO338" s="520">
        <v>7602.9935903925698</v>
      </c>
      <c r="AP338" s="426"/>
      <c r="AQ338" s="426"/>
      <c r="AR338" s="518">
        <v>7760.63</v>
      </c>
      <c r="AS338" s="519">
        <v>7793.16</v>
      </c>
      <c r="AT338" s="519">
        <v>7760.63</v>
      </c>
      <c r="AU338" s="520">
        <v>7793.16</v>
      </c>
    </row>
    <row r="339" spans="1:47" ht="13" hidden="1">
      <c r="A339" s="502">
        <v>3</v>
      </c>
      <c r="B339" s="517" t="str">
        <f t="shared" si="36"/>
        <v>3B</v>
      </c>
      <c r="C339" s="518">
        <v>16589.985189950028</v>
      </c>
      <c r="D339" s="519">
        <v>16659.520023258367</v>
      </c>
      <c r="E339" s="519">
        <v>16589.985189950028</v>
      </c>
      <c r="F339" s="520">
        <v>16659.520023258367</v>
      </c>
      <c r="G339" s="426"/>
      <c r="H339" s="426"/>
      <c r="I339" s="426"/>
      <c r="J339" s="426"/>
      <c r="K339" s="426"/>
      <c r="L339" s="426"/>
      <c r="M339" s="426"/>
      <c r="N339" s="629"/>
      <c r="O339" s="629"/>
      <c r="P339" s="629"/>
      <c r="Q339" s="629"/>
      <c r="R339" s="629"/>
      <c r="S339" s="426"/>
      <c r="T339" s="518">
        <v>5066.1162671012671</v>
      </c>
      <c r="U339" s="519">
        <v>5087.3502553248945</v>
      </c>
      <c r="V339" s="519">
        <v>5066.1162671012671</v>
      </c>
      <c r="W339" s="520">
        <v>5087.3502553248945</v>
      </c>
      <c r="X339" s="426"/>
      <c r="Y339" s="426"/>
      <c r="Z339" s="518">
        <v>5775.2151256540756</v>
      </c>
      <c r="AA339" s="519">
        <v>5799.4212124277701</v>
      </c>
      <c r="AB339" s="519">
        <v>5775.2151256540801</v>
      </c>
      <c r="AC339" s="520">
        <v>5799.4212124277701</v>
      </c>
      <c r="AD339" s="426"/>
      <c r="AE339" s="426"/>
      <c r="AF339" s="518">
        <v>6641.26</v>
      </c>
      <c r="AG339" s="519">
        <v>6669.1</v>
      </c>
      <c r="AH339" s="519">
        <v>6641.26</v>
      </c>
      <c r="AI339" s="520">
        <v>6669.1</v>
      </c>
      <c r="AJ339" s="426"/>
      <c r="AK339" s="426"/>
      <c r="AL339" s="518">
        <v>7571.2596093886596</v>
      </c>
      <c r="AM339" s="519">
        <v>7602.9935903925698</v>
      </c>
      <c r="AN339" s="519">
        <v>7571.2596093886596</v>
      </c>
      <c r="AO339" s="520">
        <v>7602.9935903925698</v>
      </c>
      <c r="AP339" s="426"/>
      <c r="AQ339" s="426"/>
      <c r="AR339" s="518">
        <v>7760.63</v>
      </c>
      <c r="AS339" s="519">
        <v>7793.16</v>
      </c>
      <c r="AT339" s="519">
        <v>7760.63</v>
      </c>
      <c r="AU339" s="520">
        <v>7793.16</v>
      </c>
    </row>
    <row r="340" spans="1:47" ht="13" hidden="1">
      <c r="A340" s="502">
        <v>4</v>
      </c>
      <c r="B340" s="517" t="str">
        <f t="shared" si="36"/>
        <v>4B</v>
      </c>
      <c r="C340" s="518">
        <v>16589.985189950028</v>
      </c>
      <c r="D340" s="519">
        <v>16659.520023258367</v>
      </c>
      <c r="E340" s="519">
        <v>16589.985189950028</v>
      </c>
      <c r="F340" s="520">
        <v>16659.520023258367</v>
      </c>
      <c r="G340" s="426"/>
      <c r="H340" s="426"/>
      <c r="I340" s="426"/>
      <c r="J340" s="426"/>
      <c r="K340" s="426"/>
      <c r="L340" s="426"/>
      <c r="M340" s="426"/>
      <c r="N340" s="629"/>
      <c r="O340" s="629"/>
      <c r="P340" s="629"/>
      <c r="Q340" s="629"/>
      <c r="R340" s="629"/>
      <c r="S340" s="426"/>
      <c r="T340" s="518">
        <v>5066.1162671012671</v>
      </c>
      <c r="U340" s="519">
        <v>5087.3502553248945</v>
      </c>
      <c r="V340" s="519">
        <v>5066.1162671012671</v>
      </c>
      <c r="W340" s="520">
        <v>5087.3502553248945</v>
      </c>
      <c r="X340" s="426"/>
      <c r="Y340" s="426"/>
      <c r="Z340" s="518">
        <v>5775.2151256540756</v>
      </c>
      <c r="AA340" s="519">
        <v>5799.4212124277701</v>
      </c>
      <c r="AB340" s="519">
        <v>5775.2151256540801</v>
      </c>
      <c r="AC340" s="520">
        <v>5799.4212124277701</v>
      </c>
      <c r="AD340" s="426"/>
      <c r="AE340" s="426"/>
      <c r="AF340" s="518">
        <v>6641.26</v>
      </c>
      <c r="AG340" s="519">
        <v>6669.1</v>
      </c>
      <c r="AH340" s="519">
        <v>6641.26</v>
      </c>
      <c r="AI340" s="520">
        <v>6669.1</v>
      </c>
      <c r="AJ340" s="426"/>
      <c r="AK340" s="426"/>
      <c r="AL340" s="518">
        <v>7571.2596093886596</v>
      </c>
      <c r="AM340" s="519">
        <v>7602.9935903925698</v>
      </c>
      <c r="AN340" s="519">
        <v>7571.2596093886596</v>
      </c>
      <c r="AO340" s="520">
        <v>7602.9935903925698</v>
      </c>
      <c r="AP340" s="426"/>
      <c r="AQ340" s="426"/>
      <c r="AR340" s="518">
        <v>7760.63</v>
      </c>
      <c r="AS340" s="519">
        <v>7793.16</v>
      </c>
      <c r="AT340" s="519">
        <v>7760.63</v>
      </c>
      <c r="AU340" s="520">
        <v>7793.16</v>
      </c>
    </row>
    <row r="341" spans="1:47" ht="13" hidden="1">
      <c r="A341" s="502">
        <v>5</v>
      </c>
      <c r="B341" s="517" t="str">
        <f t="shared" si="36"/>
        <v>5B</v>
      </c>
      <c r="C341" s="518">
        <v>16589.985189950028</v>
      </c>
      <c r="D341" s="519">
        <v>16659.520023258367</v>
      </c>
      <c r="E341" s="519">
        <v>16589.985189950028</v>
      </c>
      <c r="F341" s="520">
        <v>16659.520023258367</v>
      </c>
      <c r="G341" s="426"/>
      <c r="H341" s="426"/>
      <c r="I341" s="426"/>
      <c r="J341" s="426"/>
      <c r="K341" s="426"/>
      <c r="L341" s="426"/>
      <c r="M341" s="426"/>
      <c r="N341" s="629"/>
      <c r="O341" s="629"/>
      <c r="P341" s="629"/>
      <c r="Q341" s="629"/>
      <c r="R341" s="629"/>
      <c r="S341" s="426"/>
      <c r="T341" s="518">
        <v>5066.1162671012671</v>
      </c>
      <c r="U341" s="519">
        <v>5087.3502553248945</v>
      </c>
      <c r="V341" s="519">
        <v>5066.1162671012671</v>
      </c>
      <c r="W341" s="520">
        <v>5087.3502553248945</v>
      </c>
      <c r="X341" s="426"/>
      <c r="Y341" s="426"/>
      <c r="Z341" s="518">
        <v>5775.2151256540756</v>
      </c>
      <c r="AA341" s="519">
        <v>5799.4212124277701</v>
      </c>
      <c r="AB341" s="519">
        <v>5775.2151256540801</v>
      </c>
      <c r="AC341" s="520">
        <v>5799.4212124277701</v>
      </c>
      <c r="AD341" s="426"/>
      <c r="AE341" s="426"/>
      <c r="AF341" s="518">
        <v>6641.26</v>
      </c>
      <c r="AG341" s="519">
        <v>6669.1</v>
      </c>
      <c r="AH341" s="519">
        <v>6641.26</v>
      </c>
      <c r="AI341" s="520">
        <v>6669.1</v>
      </c>
      <c r="AJ341" s="426"/>
      <c r="AK341" s="426"/>
      <c r="AL341" s="518">
        <v>7571.2596093886596</v>
      </c>
      <c r="AM341" s="519">
        <v>7602.9935903925698</v>
      </c>
      <c r="AN341" s="519">
        <v>7571.2596093886596</v>
      </c>
      <c r="AO341" s="520">
        <v>7602.9935903925698</v>
      </c>
      <c r="AP341" s="426"/>
      <c r="AQ341" s="426"/>
      <c r="AR341" s="518">
        <v>7760.63</v>
      </c>
      <c r="AS341" s="519">
        <v>7793.16</v>
      </c>
      <c r="AT341" s="519">
        <v>7760.63</v>
      </c>
      <c r="AU341" s="520">
        <v>7793.16</v>
      </c>
    </row>
    <row r="342" spans="1:47" ht="13" hidden="1">
      <c r="A342" s="502">
        <v>6</v>
      </c>
      <c r="B342" s="517" t="str">
        <f t="shared" si="36"/>
        <v>6B</v>
      </c>
      <c r="C342" s="518">
        <v>16589.985189950028</v>
      </c>
      <c r="D342" s="519">
        <v>16659.520023258367</v>
      </c>
      <c r="E342" s="519">
        <v>16589.985189950028</v>
      </c>
      <c r="F342" s="520">
        <v>16659.520023258367</v>
      </c>
      <c r="G342" s="426"/>
      <c r="H342" s="426"/>
      <c r="I342" s="426"/>
      <c r="J342" s="426"/>
      <c r="K342" s="426"/>
      <c r="L342" s="426"/>
      <c r="M342" s="426"/>
      <c r="N342" s="629"/>
      <c r="O342" s="629"/>
      <c r="P342" s="629"/>
      <c r="Q342" s="629"/>
      <c r="R342" s="629"/>
      <c r="S342" s="426"/>
      <c r="T342" s="518">
        <v>5066.1162671012671</v>
      </c>
      <c r="U342" s="519">
        <v>5087.3502553248945</v>
      </c>
      <c r="V342" s="519">
        <v>5066.1162671012671</v>
      </c>
      <c r="W342" s="520">
        <v>5087.3502553248945</v>
      </c>
      <c r="X342" s="426"/>
      <c r="Y342" s="426"/>
      <c r="Z342" s="518">
        <v>5775.2151256540756</v>
      </c>
      <c r="AA342" s="519">
        <v>5799.4212124277701</v>
      </c>
      <c r="AB342" s="519">
        <v>5775.2151256540801</v>
      </c>
      <c r="AC342" s="520">
        <v>5799.4212124277701</v>
      </c>
      <c r="AD342" s="426"/>
      <c r="AE342" s="426"/>
      <c r="AF342" s="518">
        <v>6641.26</v>
      </c>
      <c r="AG342" s="519">
        <v>6669.1</v>
      </c>
      <c r="AH342" s="519">
        <v>6641.26</v>
      </c>
      <c r="AI342" s="520">
        <v>6669.1</v>
      </c>
      <c r="AJ342" s="426"/>
      <c r="AK342" s="426"/>
      <c r="AL342" s="518">
        <v>7571.2596093886596</v>
      </c>
      <c r="AM342" s="519">
        <v>7602.9935903925698</v>
      </c>
      <c r="AN342" s="519">
        <v>7571.2596093886596</v>
      </c>
      <c r="AO342" s="520">
        <v>7602.9935903925698</v>
      </c>
      <c r="AP342" s="426"/>
      <c r="AQ342" s="426"/>
      <c r="AR342" s="518">
        <v>7760.63</v>
      </c>
      <c r="AS342" s="519">
        <v>7793.16</v>
      </c>
      <c r="AT342" s="519">
        <v>7760.63</v>
      </c>
      <c r="AU342" s="520">
        <v>7793.16</v>
      </c>
    </row>
    <row r="343" spans="1:47" ht="13" hidden="1">
      <c r="A343" s="502">
        <v>7</v>
      </c>
      <c r="B343" s="517" t="str">
        <f t="shared" si="36"/>
        <v>7B</v>
      </c>
      <c r="C343" s="518">
        <v>16589.985189950028</v>
      </c>
      <c r="D343" s="519">
        <v>16659.520023258367</v>
      </c>
      <c r="E343" s="519">
        <v>16589.985189950028</v>
      </c>
      <c r="F343" s="520">
        <v>16659.520023258367</v>
      </c>
      <c r="G343" s="426"/>
      <c r="H343" s="426"/>
      <c r="I343" s="426"/>
      <c r="J343" s="426"/>
      <c r="K343" s="426"/>
      <c r="L343" s="426"/>
      <c r="M343" s="426"/>
      <c r="N343" s="629"/>
      <c r="O343" s="629"/>
      <c r="P343" s="629"/>
      <c r="Q343" s="629"/>
      <c r="R343" s="629"/>
      <c r="S343" s="426"/>
      <c r="T343" s="518">
        <v>5066.1162671012671</v>
      </c>
      <c r="U343" s="519">
        <v>5087.3502553248945</v>
      </c>
      <c r="V343" s="519">
        <v>5066.1162671012671</v>
      </c>
      <c r="W343" s="520">
        <v>5087.3502553248945</v>
      </c>
      <c r="X343" s="426"/>
      <c r="Y343" s="426"/>
      <c r="Z343" s="518">
        <v>5775.2151256540756</v>
      </c>
      <c r="AA343" s="519">
        <v>5799.4212124277701</v>
      </c>
      <c r="AB343" s="519">
        <v>5775.2151256540801</v>
      </c>
      <c r="AC343" s="520">
        <v>5799.4212124277701</v>
      </c>
      <c r="AD343" s="426"/>
      <c r="AE343" s="426"/>
      <c r="AF343" s="518">
        <v>6641.26</v>
      </c>
      <c r="AG343" s="519">
        <v>6669.1</v>
      </c>
      <c r="AH343" s="519">
        <v>6641.26</v>
      </c>
      <c r="AI343" s="520">
        <v>6669.1</v>
      </c>
      <c r="AJ343" s="426"/>
      <c r="AK343" s="426"/>
      <c r="AL343" s="518">
        <v>7571.2596093886596</v>
      </c>
      <c r="AM343" s="519">
        <v>7602.9935903925698</v>
      </c>
      <c r="AN343" s="519">
        <v>7571.2596093886596</v>
      </c>
      <c r="AO343" s="520">
        <v>7602.9935903925698</v>
      </c>
      <c r="AP343" s="426"/>
      <c r="AQ343" s="426"/>
      <c r="AR343" s="518">
        <v>7760.63</v>
      </c>
      <c r="AS343" s="519">
        <v>7793.16</v>
      </c>
      <c r="AT343" s="519">
        <v>7760.63</v>
      </c>
      <c r="AU343" s="520">
        <v>7793.16</v>
      </c>
    </row>
    <row r="344" spans="1:47" ht="13" hidden="1">
      <c r="A344" s="502">
        <v>8</v>
      </c>
      <c r="B344" s="517" t="str">
        <f t="shared" si="36"/>
        <v>8B</v>
      </c>
      <c r="C344" s="518">
        <v>16589.985189950028</v>
      </c>
      <c r="D344" s="519">
        <v>16659.520023258367</v>
      </c>
      <c r="E344" s="519">
        <v>16589.985189950028</v>
      </c>
      <c r="F344" s="520">
        <v>16659.520023258367</v>
      </c>
      <c r="G344" s="426"/>
      <c r="H344" s="426"/>
      <c r="I344" s="426"/>
      <c r="J344" s="426"/>
      <c r="K344" s="426"/>
      <c r="L344" s="426"/>
      <c r="M344" s="426"/>
      <c r="N344" s="629"/>
      <c r="O344" s="629"/>
      <c r="P344" s="629"/>
      <c r="Q344" s="629"/>
      <c r="R344" s="629"/>
      <c r="S344" s="426"/>
      <c r="T344" s="518">
        <v>5066.1162671012671</v>
      </c>
      <c r="U344" s="519">
        <v>5087.3502553248945</v>
      </c>
      <c r="V344" s="519">
        <v>5066.1162671012671</v>
      </c>
      <c r="W344" s="520">
        <v>5087.3502553248945</v>
      </c>
      <c r="X344" s="426"/>
      <c r="Y344" s="426"/>
      <c r="Z344" s="518">
        <v>5775.2151256540801</v>
      </c>
      <c r="AA344" s="519">
        <v>5799.4212124277701</v>
      </c>
      <c r="AB344" s="519">
        <v>5775.2151256540801</v>
      </c>
      <c r="AC344" s="520">
        <v>5799.4212124277701</v>
      </c>
      <c r="AD344" s="426"/>
      <c r="AE344" s="426"/>
      <c r="AF344" s="518">
        <v>6641.26</v>
      </c>
      <c r="AG344" s="519">
        <v>6669.1</v>
      </c>
      <c r="AH344" s="519">
        <v>6641.26</v>
      </c>
      <c r="AI344" s="520">
        <v>6669.1</v>
      </c>
      <c r="AJ344" s="426"/>
      <c r="AK344" s="426"/>
      <c r="AL344" s="518">
        <v>7571.2596093886596</v>
      </c>
      <c r="AM344" s="519">
        <v>7602.9935903925698</v>
      </c>
      <c r="AN344" s="519">
        <v>7571.2596093886596</v>
      </c>
      <c r="AO344" s="520">
        <v>7602.9935903925698</v>
      </c>
      <c r="AP344" s="426"/>
      <c r="AQ344" s="426"/>
      <c r="AR344" s="518">
        <v>7760.63</v>
      </c>
      <c r="AS344" s="519">
        <v>7793.16</v>
      </c>
      <c r="AT344" s="519">
        <v>7760.63</v>
      </c>
      <c r="AU344" s="520">
        <v>7793.16</v>
      </c>
    </row>
    <row r="345" spans="1:47" ht="13" hidden="1">
      <c r="A345" s="502">
        <v>9</v>
      </c>
      <c r="B345" s="517" t="str">
        <f t="shared" si="36"/>
        <v>9B</v>
      </c>
      <c r="C345" s="518">
        <v>16589.985189950028</v>
      </c>
      <c r="D345" s="519">
        <v>16659.520023258367</v>
      </c>
      <c r="E345" s="519">
        <v>16589.985189950028</v>
      </c>
      <c r="F345" s="520">
        <v>16659.520023258367</v>
      </c>
      <c r="G345" s="426"/>
      <c r="H345" s="426"/>
      <c r="I345" s="426"/>
      <c r="J345" s="426"/>
      <c r="K345" s="426"/>
      <c r="L345" s="426"/>
      <c r="M345" s="426"/>
      <c r="N345" s="629"/>
      <c r="O345" s="629"/>
      <c r="P345" s="629"/>
      <c r="Q345" s="629"/>
      <c r="R345" s="629"/>
      <c r="S345" s="426"/>
      <c r="T345" s="518">
        <v>5066.1162671012671</v>
      </c>
      <c r="U345" s="519">
        <v>5087.3502553248945</v>
      </c>
      <c r="V345" s="519">
        <v>5066.1162671012671</v>
      </c>
      <c r="W345" s="520">
        <v>5087.3502553248945</v>
      </c>
      <c r="X345" s="426"/>
      <c r="Y345" s="426"/>
      <c r="Z345" s="518">
        <v>5775.2151256540801</v>
      </c>
      <c r="AA345" s="519">
        <v>5799.4212124277701</v>
      </c>
      <c r="AB345" s="519">
        <v>5775.2151256540801</v>
      </c>
      <c r="AC345" s="520">
        <v>5799.4212124277701</v>
      </c>
      <c r="AD345" s="426"/>
      <c r="AE345" s="426"/>
      <c r="AF345" s="518">
        <v>6641.26</v>
      </c>
      <c r="AG345" s="519">
        <v>6669.1</v>
      </c>
      <c r="AH345" s="519">
        <v>6641.26</v>
      </c>
      <c r="AI345" s="520">
        <v>6669.1</v>
      </c>
      <c r="AJ345" s="426"/>
      <c r="AK345" s="426"/>
      <c r="AL345" s="518">
        <v>7571.2596093886596</v>
      </c>
      <c r="AM345" s="519">
        <v>7602.9935903925698</v>
      </c>
      <c r="AN345" s="519">
        <v>7571.2596093886596</v>
      </c>
      <c r="AO345" s="520">
        <v>7602.9935903925698</v>
      </c>
      <c r="AP345" s="426"/>
      <c r="AQ345" s="426"/>
      <c r="AR345" s="518">
        <v>7760.63</v>
      </c>
      <c r="AS345" s="519">
        <v>7793.16</v>
      </c>
      <c r="AT345" s="519">
        <v>7760.63</v>
      </c>
      <c r="AU345" s="520">
        <v>7793.16</v>
      </c>
    </row>
    <row r="346" spans="1:47" ht="13" hidden="1">
      <c r="A346" s="502">
        <v>10</v>
      </c>
      <c r="B346" s="517" t="str">
        <f t="shared" si="36"/>
        <v>10B</v>
      </c>
      <c r="C346" s="518">
        <v>16589.985189950028</v>
      </c>
      <c r="D346" s="519">
        <v>16659.520023258367</v>
      </c>
      <c r="E346" s="519">
        <v>16589.985189950028</v>
      </c>
      <c r="F346" s="520">
        <v>16659.520023258367</v>
      </c>
      <c r="G346" s="426"/>
      <c r="H346" s="426"/>
      <c r="I346" s="426"/>
      <c r="J346" s="426"/>
      <c r="K346" s="426"/>
      <c r="L346" s="426"/>
      <c r="M346" s="426"/>
      <c r="N346" s="629"/>
      <c r="O346" s="629"/>
      <c r="P346" s="629"/>
      <c r="Q346" s="629"/>
      <c r="R346" s="629"/>
      <c r="S346" s="426"/>
      <c r="T346" s="518">
        <v>5066.1162671012671</v>
      </c>
      <c r="U346" s="519">
        <v>5087.3502553248945</v>
      </c>
      <c r="V346" s="519">
        <v>5066.1162671012671</v>
      </c>
      <c r="W346" s="520">
        <v>5087.3502553248945</v>
      </c>
      <c r="X346" s="426"/>
      <c r="Y346" s="426"/>
      <c r="Z346" s="518">
        <v>5775.2151256540801</v>
      </c>
      <c r="AA346" s="519">
        <v>5799.4212124277701</v>
      </c>
      <c r="AB346" s="519">
        <v>5775.2151256540801</v>
      </c>
      <c r="AC346" s="520">
        <v>5799.4212124277701</v>
      </c>
      <c r="AD346" s="426"/>
      <c r="AE346" s="426"/>
      <c r="AF346" s="518">
        <v>6641.26</v>
      </c>
      <c r="AG346" s="519">
        <v>6669.1</v>
      </c>
      <c r="AH346" s="519">
        <v>6641.26</v>
      </c>
      <c r="AI346" s="520">
        <v>6669.1</v>
      </c>
      <c r="AJ346" s="426"/>
      <c r="AK346" s="426"/>
      <c r="AL346" s="518">
        <v>7571.2596093886596</v>
      </c>
      <c r="AM346" s="519">
        <v>7602.9935903925698</v>
      </c>
      <c r="AN346" s="519">
        <v>7571.2596093886596</v>
      </c>
      <c r="AO346" s="520">
        <v>7602.9935903925698</v>
      </c>
      <c r="AP346" s="426"/>
      <c r="AQ346" s="426"/>
      <c r="AR346" s="518">
        <v>7760.63</v>
      </c>
      <c r="AS346" s="519">
        <v>7793.16</v>
      </c>
      <c r="AT346" s="519">
        <v>7760.63</v>
      </c>
      <c r="AU346" s="520">
        <v>7793.16</v>
      </c>
    </row>
    <row r="347" spans="1:47" ht="13" hidden="1">
      <c r="A347" s="502">
        <v>11</v>
      </c>
      <c r="B347" s="517" t="str">
        <f t="shared" si="36"/>
        <v>11B</v>
      </c>
      <c r="C347" s="503">
        <v>16777.791634050023</v>
      </c>
      <c r="D347" s="504">
        <v>16651.200800928364</v>
      </c>
      <c r="E347" s="504">
        <v>16777.791634050023</v>
      </c>
      <c r="F347" s="505">
        <v>16651.200800928364</v>
      </c>
      <c r="G347" s="426"/>
      <c r="H347" s="426"/>
      <c r="I347" s="426"/>
      <c r="J347" s="426"/>
      <c r="K347" s="426"/>
      <c r="L347" s="426"/>
      <c r="M347" s="426"/>
      <c r="N347" s="629"/>
      <c r="O347" s="629"/>
      <c r="P347" s="629"/>
      <c r="Q347" s="629"/>
      <c r="R347" s="629"/>
      <c r="S347" s="426"/>
      <c r="T347" s="503">
        <v>5123.4670887341772</v>
      </c>
      <c r="U347" s="504">
        <v>5084.8097981097062</v>
      </c>
      <c r="V347" s="504">
        <v>5123.4670887341772</v>
      </c>
      <c r="W347" s="505">
        <v>5084.8097981097062</v>
      </c>
      <c r="X347" s="426"/>
      <c r="Y347" s="426"/>
      <c r="Z347" s="503">
        <v>5840.5932802601892</v>
      </c>
      <c r="AA347" s="504">
        <v>5796.5251701417865</v>
      </c>
      <c r="AB347" s="504">
        <v>5840.5932802601892</v>
      </c>
      <c r="AC347" s="505">
        <v>5796.5251701417865</v>
      </c>
      <c r="AD347" s="426"/>
      <c r="AE347" s="426"/>
      <c r="AF347" s="503">
        <v>6716.44</v>
      </c>
      <c r="AG347" s="504">
        <v>6665.77</v>
      </c>
      <c r="AH347" s="504">
        <v>6716.44</v>
      </c>
      <c r="AI347" s="505">
        <v>6665.77</v>
      </c>
      <c r="AJ347" s="426"/>
      <c r="AK347" s="426"/>
      <c r="AL347" s="503">
        <v>7656.9698332566495</v>
      </c>
      <c r="AM347" s="504">
        <v>7599.1969027350733</v>
      </c>
      <c r="AN347" s="504">
        <v>7656.9698332566495</v>
      </c>
      <c r="AO347" s="505">
        <v>7599.1969027350733</v>
      </c>
      <c r="AP347" s="426"/>
      <c r="AQ347" s="426"/>
      <c r="AR347" s="503">
        <v>7848.48</v>
      </c>
      <c r="AS347" s="504">
        <v>7789.26</v>
      </c>
      <c r="AT347" s="504">
        <v>7848.48</v>
      </c>
      <c r="AU347" s="505">
        <v>7789.26</v>
      </c>
    </row>
    <row r="348" spans="1:47" ht="13" hidden="1">
      <c r="A348" s="502">
        <v>12</v>
      </c>
      <c r="B348" s="517" t="str">
        <f t="shared" si="36"/>
        <v>12B</v>
      </c>
      <c r="C348" s="503">
        <v>16715.397466574945</v>
      </c>
      <c r="D348" s="504">
        <v>16810.999196517321</v>
      </c>
      <c r="E348" s="504">
        <v>16715.397466574945</v>
      </c>
      <c r="F348" s="505">
        <v>16810.999196517321</v>
      </c>
      <c r="G348" s="426"/>
      <c r="H348" s="426"/>
      <c r="I348" s="426"/>
      <c r="J348" s="426"/>
      <c r="K348" s="426"/>
      <c r="L348" s="426"/>
      <c r="M348" s="426"/>
      <c r="N348" s="629"/>
      <c r="O348" s="629"/>
      <c r="P348" s="629"/>
      <c r="Q348" s="629"/>
      <c r="R348" s="629"/>
      <c r="S348" s="426"/>
      <c r="T348" s="503">
        <v>5104.4136596202543</v>
      </c>
      <c r="U348" s="504">
        <v>5133.6077471181434</v>
      </c>
      <c r="V348" s="504">
        <v>5104.4136596202543</v>
      </c>
      <c r="W348" s="505">
        <v>5133.6077471181434</v>
      </c>
      <c r="X348" s="426"/>
      <c r="Y348" s="426"/>
      <c r="Z348" s="503">
        <v>5818.8729631153028</v>
      </c>
      <c r="AA348" s="504">
        <v>5852.1533157184131</v>
      </c>
      <c r="AB348" s="504">
        <v>5818.8729631153028</v>
      </c>
      <c r="AC348" s="505">
        <v>5852.1533157184131</v>
      </c>
      <c r="AD348" s="426"/>
      <c r="AE348" s="426"/>
      <c r="AF348" s="503">
        <v>6691.47</v>
      </c>
      <c r="AG348" s="504">
        <v>6729.74</v>
      </c>
      <c r="AH348" s="504">
        <v>6691.47</v>
      </c>
      <c r="AI348" s="505">
        <v>6729.74</v>
      </c>
      <c r="AJ348" s="426"/>
      <c r="AK348" s="426"/>
      <c r="AL348" s="503">
        <v>7628.4946758254237</v>
      </c>
      <c r="AM348" s="504">
        <v>7672.1249448228227</v>
      </c>
      <c r="AN348" s="504">
        <v>7628.4946758254237</v>
      </c>
      <c r="AO348" s="505">
        <v>7672.1249448228227</v>
      </c>
      <c r="AP348" s="426"/>
      <c r="AQ348" s="426"/>
      <c r="AR348" s="503">
        <v>7819.29</v>
      </c>
      <c r="AS348" s="504">
        <v>7864.02</v>
      </c>
      <c r="AT348" s="504">
        <v>7819.29</v>
      </c>
      <c r="AU348" s="505">
        <v>7864.02</v>
      </c>
    </row>
    <row r="349" spans="1:47" ht="13" hidden="1">
      <c r="A349" s="502">
        <v>13</v>
      </c>
      <c r="B349" s="517" t="str">
        <f t="shared" si="36"/>
        <v>13B</v>
      </c>
      <c r="C349" s="503">
        <v>16591.51038071053</v>
      </c>
      <c r="D349" s="504">
        <v>16706.384975717432</v>
      </c>
      <c r="E349" s="504">
        <v>16591.51038071053</v>
      </c>
      <c r="F349" s="505">
        <v>16706.384975717432</v>
      </c>
      <c r="G349" s="426"/>
      <c r="H349" s="426"/>
      <c r="I349" s="426"/>
      <c r="J349" s="426"/>
      <c r="K349" s="426"/>
      <c r="L349" s="426"/>
      <c r="M349" s="426"/>
      <c r="N349" s="629"/>
      <c r="O349" s="629"/>
      <c r="P349" s="629"/>
      <c r="Q349" s="629"/>
      <c r="R349" s="629"/>
      <c r="S349" s="426"/>
      <c r="T349" s="503">
        <v>5066.5820175907174</v>
      </c>
      <c r="U349" s="504">
        <v>5101.661497637132</v>
      </c>
      <c r="V349" s="504">
        <v>5066.5820175907174</v>
      </c>
      <c r="W349" s="505">
        <v>5101.661497637132</v>
      </c>
      <c r="X349" s="426"/>
      <c r="Y349" s="426"/>
      <c r="Z349" s="503">
        <v>5775.7460667398427</v>
      </c>
      <c r="AA349" s="504">
        <v>5815.7355839721531</v>
      </c>
      <c r="AB349" s="504">
        <v>5775.7460667398427</v>
      </c>
      <c r="AC349" s="505">
        <v>5815.7355839721531</v>
      </c>
      <c r="AD349" s="426"/>
      <c r="AE349" s="426"/>
      <c r="AF349" s="503">
        <v>6641.87</v>
      </c>
      <c r="AG349" s="504">
        <v>6687.86</v>
      </c>
      <c r="AH349" s="504">
        <v>6641.87</v>
      </c>
      <c r="AI349" s="505">
        <v>6687.86</v>
      </c>
      <c r="AJ349" s="426"/>
      <c r="AK349" s="426"/>
      <c r="AL349" s="503">
        <v>7571.9556687925333</v>
      </c>
      <c r="AM349" s="504">
        <v>7624.3815975298012</v>
      </c>
      <c r="AN349" s="504">
        <v>7571.9556687925333</v>
      </c>
      <c r="AO349" s="505">
        <v>7624.3815975298012</v>
      </c>
      <c r="AP349" s="426"/>
      <c r="AQ349" s="426"/>
      <c r="AR349" s="503">
        <v>7761.34</v>
      </c>
      <c r="AS349" s="504">
        <v>7815.08</v>
      </c>
      <c r="AT349" s="504">
        <v>7761.34</v>
      </c>
      <c r="AU349" s="505">
        <v>7815.08</v>
      </c>
    </row>
    <row r="350" spans="1:47" ht="13" hidden="1">
      <c r="A350" s="502">
        <v>14</v>
      </c>
      <c r="B350" s="517" t="str">
        <f t="shared" si="36"/>
        <v>14B</v>
      </c>
      <c r="C350" s="503">
        <v>16142.826989711926</v>
      </c>
      <c r="D350" s="504">
        <v>16381.103382613997</v>
      </c>
      <c r="E350" s="504">
        <v>16142.826989711926</v>
      </c>
      <c r="F350" s="505">
        <v>16381.103382613997</v>
      </c>
      <c r="G350" s="426"/>
      <c r="H350" s="426"/>
      <c r="I350" s="426"/>
      <c r="J350" s="426"/>
      <c r="K350" s="426"/>
      <c r="L350" s="426"/>
      <c r="M350" s="426"/>
      <c r="N350" s="629"/>
      <c r="O350" s="629"/>
      <c r="P350" s="629"/>
      <c r="Q350" s="629"/>
      <c r="R350" s="629"/>
      <c r="S350" s="426"/>
      <c r="T350" s="503">
        <v>4929.5666917848121</v>
      </c>
      <c r="U350" s="504">
        <v>5002.3296205232082</v>
      </c>
      <c r="V350" s="504">
        <v>4929.5666917848121</v>
      </c>
      <c r="W350" s="505">
        <v>5002.3296205232082</v>
      </c>
      <c r="X350" s="426"/>
      <c r="Y350" s="426"/>
      <c r="Z350" s="503">
        <v>5619.5528527823881</v>
      </c>
      <c r="AA350" s="504">
        <v>5702.50033059014</v>
      </c>
      <c r="AB350" s="504">
        <v>5619.5528527823881</v>
      </c>
      <c r="AC350" s="505">
        <v>5702.50033059014</v>
      </c>
      <c r="AD350" s="426"/>
      <c r="AE350" s="426"/>
      <c r="AF350" s="503">
        <v>6462.26</v>
      </c>
      <c r="AG350" s="504">
        <v>6557.64</v>
      </c>
      <c r="AH350" s="504">
        <v>6462.26</v>
      </c>
      <c r="AI350" s="505">
        <v>6557.64</v>
      </c>
      <c r="AJ350" s="426"/>
      <c r="AK350" s="426"/>
      <c r="AL350" s="503">
        <v>7367.1876477982069</v>
      </c>
      <c r="AM350" s="504">
        <v>7475.9311101216772</v>
      </c>
      <c r="AN350" s="504">
        <v>7367.1876477982069</v>
      </c>
      <c r="AO350" s="505">
        <v>7475.9311101216772</v>
      </c>
      <c r="AP350" s="426"/>
      <c r="AQ350" s="426"/>
      <c r="AR350" s="503">
        <v>7551.45</v>
      </c>
      <c r="AS350" s="504">
        <v>7662.91</v>
      </c>
      <c r="AT350" s="504">
        <v>7551.45</v>
      </c>
      <c r="AU350" s="505">
        <v>7662.91</v>
      </c>
    </row>
    <row r="351" spans="1:47" ht="13" hidden="1">
      <c r="A351" s="502">
        <v>15</v>
      </c>
      <c r="B351" s="517" t="str">
        <f t="shared" si="36"/>
        <v>15B</v>
      </c>
      <c r="C351" s="503">
        <v>16202.586736782501</v>
      </c>
      <c r="D351" s="504">
        <v>16113.016443029388</v>
      </c>
      <c r="E351" s="504">
        <v>16202.586736782501</v>
      </c>
      <c r="F351" s="505">
        <v>16113.016443029388</v>
      </c>
      <c r="G351" s="426"/>
      <c r="H351" s="426"/>
      <c r="I351" s="426"/>
      <c r="J351" s="426"/>
      <c r="K351" s="426"/>
      <c r="L351" s="426"/>
      <c r="M351" s="426"/>
      <c r="N351" s="629"/>
      <c r="O351" s="629"/>
      <c r="P351" s="629"/>
      <c r="Q351" s="629"/>
      <c r="R351" s="629"/>
      <c r="S351" s="426"/>
      <c r="T351" s="503">
        <v>4947.8156427805907</v>
      </c>
      <c r="U351" s="504">
        <v>4920.4633867637149</v>
      </c>
      <c r="V351" s="504">
        <v>4947.8156427805907</v>
      </c>
      <c r="W351" s="505">
        <v>4920.4633867637149</v>
      </c>
      <c r="X351" s="426"/>
      <c r="Y351" s="426"/>
      <c r="Z351" s="503">
        <v>5640.3560898700443</v>
      </c>
      <c r="AA351" s="504">
        <v>5609.1753679242747</v>
      </c>
      <c r="AB351" s="504">
        <v>5640.3560898700443</v>
      </c>
      <c r="AC351" s="505">
        <v>5609.1753679242747</v>
      </c>
      <c r="AD351" s="426"/>
      <c r="AE351" s="426"/>
      <c r="AF351" s="503">
        <v>6486.18</v>
      </c>
      <c r="AG351" s="504">
        <v>6450.32</v>
      </c>
      <c r="AH351" s="504">
        <v>6486.18</v>
      </c>
      <c r="AI351" s="505">
        <v>6450.32</v>
      </c>
      <c r="AJ351" s="426"/>
      <c r="AK351" s="426"/>
      <c r="AL351" s="503">
        <v>7394.4605208045577</v>
      </c>
      <c r="AM351" s="504">
        <v>7353.5828503588436</v>
      </c>
      <c r="AN351" s="504">
        <v>7394.4605208045577</v>
      </c>
      <c r="AO351" s="505">
        <v>7353.5828503588436</v>
      </c>
      <c r="AP351" s="426"/>
      <c r="AQ351" s="426"/>
      <c r="AR351" s="503">
        <v>7579.41</v>
      </c>
      <c r="AS351" s="504">
        <v>7537.51</v>
      </c>
      <c r="AT351" s="504">
        <v>7579.41</v>
      </c>
      <c r="AU351" s="505">
        <v>7537.51</v>
      </c>
    </row>
    <row r="352" spans="1:47" ht="13" hidden="1">
      <c r="A352" s="502">
        <v>16</v>
      </c>
      <c r="B352" s="517" t="str">
        <f t="shared" si="36"/>
        <v>16B</v>
      </c>
      <c r="C352" s="503">
        <v>15927.983073039384</v>
      </c>
      <c r="D352" s="504">
        <v>14896.607484676253</v>
      </c>
      <c r="E352" s="504">
        <v>15927.983073039384</v>
      </c>
      <c r="F352" s="505">
        <v>14896.607484676253</v>
      </c>
      <c r="G352" s="426"/>
      <c r="H352" s="426"/>
      <c r="I352" s="426"/>
      <c r="J352" s="426"/>
      <c r="K352" s="426"/>
      <c r="L352" s="426"/>
      <c r="M352" s="426"/>
      <c r="N352" s="629"/>
      <c r="O352" s="629"/>
      <c r="P352" s="629"/>
      <c r="Q352" s="629"/>
      <c r="R352" s="629"/>
      <c r="S352" s="426"/>
      <c r="T352" s="503">
        <v>4863.9593842025324</v>
      </c>
      <c r="U352" s="504">
        <v>4549.0062009493677</v>
      </c>
      <c r="V352" s="504">
        <v>4863.9593842025324</v>
      </c>
      <c r="W352" s="505">
        <v>4549.0062009493677</v>
      </c>
      <c r="X352" s="426"/>
      <c r="Y352" s="426"/>
      <c r="Z352" s="503">
        <v>5544.7625607468253</v>
      </c>
      <c r="AA352" s="504">
        <v>5185.7257183418378</v>
      </c>
      <c r="AB352" s="504">
        <v>5544.7625607468253</v>
      </c>
      <c r="AC352" s="505">
        <v>5185.7257183418378</v>
      </c>
      <c r="AD352" s="426"/>
      <c r="AE352" s="426"/>
      <c r="AF352" s="503">
        <v>6376.25</v>
      </c>
      <c r="AG352" s="504">
        <v>5963.37</v>
      </c>
      <c r="AH352" s="504">
        <v>6376.25</v>
      </c>
      <c r="AI352" s="505">
        <v>5963.37</v>
      </c>
      <c r="AJ352" s="426"/>
      <c r="AK352" s="426"/>
      <c r="AL352" s="503">
        <v>7269.1381890433522</v>
      </c>
      <c r="AM352" s="504">
        <v>6798.4438367051889</v>
      </c>
      <c r="AN352" s="504">
        <v>7269.1381890433522</v>
      </c>
      <c r="AO352" s="505">
        <v>6798.4438367051889</v>
      </c>
      <c r="AP352" s="426"/>
      <c r="AQ352" s="426"/>
      <c r="AR352" s="503">
        <v>7450.95</v>
      </c>
      <c r="AS352" s="504">
        <v>6968.48</v>
      </c>
      <c r="AT352" s="504">
        <v>7450.95</v>
      </c>
      <c r="AU352" s="505">
        <v>6968.48</v>
      </c>
    </row>
    <row r="353" spans="1:47" ht="13" hidden="1">
      <c r="A353" s="502">
        <v>17</v>
      </c>
      <c r="B353" s="517" t="str">
        <f t="shared" si="36"/>
        <v>17B</v>
      </c>
      <c r="C353" s="503">
        <v>16030.101527140274</v>
      </c>
      <c r="D353" s="504">
        <v>15141.26194803133</v>
      </c>
      <c r="E353" s="504">
        <v>16030.101527140274</v>
      </c>
      <c r="F353" s="505">
        <v>15141.26194803133</v>
      </c>
      <c r="G353" s="426"/>
      <c r="H353" s="426"/>
      <c r="I353" s="426"/>
      <c r="J353" s="426"/>
      <c r="K353" s="426"/>
      <c r="L353" s="426"/>
      <c r="M353" s="426"/>
      <c r="N353" s="629"/>
      <c r="O353" s="629"/>
      <c r="P353" s="629"/>
      <c r="Q353" s="629"/>
      <c r="R353" s="629"/>
      <c r="S353" s="426"/>
      <c r="T353" s="503">
        <v>4895.1434965189883</v>
      </c>
      <c r="U353" s="504">
        <v>4623.7168135527427</v>
      </c>
      <c r="V353" s="504">
        <v>4895.1434965189883</v>
      </c>
      <c r="W353" s="505">
        <v>4623.7168135527427</v>
      </c>
      <c r="X353" s="426"/>
      <c r="Y353" s="426"/>
      <c r="Z353" s="503">
        <v>5580.3114798072902</v>
      </c>
      <c r="AA353" s="504">
        <v>5270.8934952355121</v>
      </c>
      <c r="AB353" s="504">
        <v>5580.3114798072902</v>
      </c>
      <c r="AC353" s="505">
        <v>5270.8934952355121</v>
      </c>
      <c r="AD353" s="426"/>
      <c r="AE353" s="426"/>
      <c r="AF353" s="503">
        <v>6417.13</v>
      </c>
      <c r="AG353" s="504">
        <v>6061.31</v>
      </c>
      <c r="AH353" s="504">
        <v>6417.13</v>
      </c>
      <c r="AI353" s="505">
        <v>6061.31</v>
      </c>
      <c r="AJ353" s="426"/>
      <c r="AK353" s="426"/>
      <c r="AL353" s="503">
        <v>7315.7425300391233</v>
      </c>
      <c r="AM353" s="504">
        <v>6910.0980928994059</v>
      </c>
      <c r="AN353" s="504">
        <v>7315.7425300391233</v>
      </c>
      <c r="AO353" s="505">
        <v>6910.0980928994059</v>
      </c>
      <c r="AP353" s="426"/>
      <c r="AQ353" s="426"/>
      <c r="AR353" s="503">
        <v>7498.72</v>
      </c>
      <c r="AS353" s="504">
        <v>7082.93</v>
      </c>
      <c r="AT353" s="504">
        <v>7498.72</v>
      </c>
      <c r="AU353" s="505">
        <v>7082.93</v>
      </c>
    </row>
    <row r="354" spans="1:47" ht="13" hidden="1">
      <c r="A354" s="502">
        <v>18</v>
      </c>
      <c r="B354" s="517" t="str">
        <f t="shared" si="36"/>
        <v>18B</v>
      </c>
      <c r="C354" s="503">
        <v>16479.686167224623</v>
      </c>
      <c r="D354" s="504">
        <v>14674.345594759452</v>
      </c>
      <c r="E354" s="504">
        <v>16479.686167224623</v>
      </c>
      <c r="F354" s="505">
        <v>14674.345594759452</v>
      </c>
      <c r="G354" s="426"/>
      <c r="H354" s="426"/>
      <c r="I354" s="426"/>
      <c r="J354" s="426"/>
      <c r="K354" s="426"/>
      <c r="L354" s="426"/>
      <c r="M354" s="426"/>
      <c r="N354" s="629"/>
      <c r="O354" s="629"/>
      <c r="P354" s="629"/>
      <c r="Q354" s="629"/>
      <c r="R354" s="629"/>
      <c r="S354" s="426"/>
      <c r="T354" s="503">
        <v>5032.4340385232072</v>
      </c>
      <c r="U354" s="504">
        <v>4481.1336523502114</v>
      </c>
      <c r="V354" s="504">
        <v>5032.4340385232072</v>
      </c>
      <c r="W354" s="505">
        <v>4481.1336523502114</v>
      </c>
      <c r="X354" s="426"/>
      <c r="Y354" s="426"/>
      <c r="Z354" s="503">
        <v>5736.8184316790612</v>
      </c>
      <c r="AA354" s="504">
        <v>5108.3531219346069</v>
      </c>
      <c r="AB354" s="504">
        <v>5736.8184316790612</v>
      </c>
      <c r="AC354" s="505">
        <v>5108.3531219346069</v>
      </c>
      <c r="AD354" s="426"/>
      <c r="AE354" s="426"/>
      <c r="AF354" s="503">
        <v>6597.11</v>
      </c>
      <c r="AG354" s="504">
        <v>5874.4</v>
      </c>
      <c r="AH354" s="504">
        <v>6597.11</v>
      </c>
      <c r="AI354" s="505">
        <v>5874.4</v>
      </c>
      <c r="AJ354" s="426"/>
      <c r="AK354" s="426"/>
      <c r="AL354" s="503">
        <v>7520.9218588630138</v>
      </c>
      <c r="AM354" s="504">
        <v>6697.0089981223973</v>
      </c>
      <c r="AN354" s="504">
        <v>7520.9218588630138</v>
      </c>
      <c r="AO354" s="505">
        <v>6697.0089981223973</v>
      </c>
      <c r="AP354" s="426"/>
      <c r="AQ354" s="426"/>
      <c r="AR354" s="503">
        <v>7709.03</v>
      </c>
      <c r="AS354" s="504">
        <v>6864.51</v>
      </c>
      <c r="AT354" s="504">
        <v>7709.03</v>
      </c>
      <c r="AU354" s="505">
        <v>6864.51</v>
      </c>
    </row>
    <row r="355" spans="1:47" ht="13" hidden="1">
      <c r="A355" s="502">
        <v>19</v>
      </c>
      <c r="B355" s="517" t="str">
        <f t="shared" si="36"/>
        <v>19B</v>
      </c>
      <c r="C355" s="503">
        <v>17028.061572477862</v>
      </c>
      <c r="D355" s="504">
        <v>14889.674799401238</v>
      </c>
      <c r="E355" s="504">
        <v>17028.061572477862</v>
      </c>
      <c r="F355" s="505">
        <v>14889.674799401238</v>
      </c>
      <c r="G355" s="426"/>
      <c r="H355" s="426"/>
      <c r="I355" s="426"/>
      <c r="J355" s="426"/>
      <c r="K355" s="426"/>
      <c r="L355" s="426"/>
      <c r="M355" s="426"/>
      <c r="N355" s="629"/>
      <c r="O355" s="629"/>
      <c r="P355" s="629"/>
      <c r="Q355" s="629"/>
      <c r="R355" s="629"/>
      <c r="S355" s="426"/>
      <c r="T355" s="503">
        <v>5199.8925099578064</v>
      </c>
      <c r="U355" s="504">
        <v>4546.8891532700427</v>
      </c>
      <c r="V355" s="504">
        <v>5199.8925099578064</v>
      </c>
      <c r="W355" s="505">
        <v>4546.8891532700427</v>
      </c>
      <c r="X355" s="426"/>
      <c r="Y355" s="426"/>
      <c r="Z355" s="503">
        <v>5927.7158856969036</v>
      </c>
      <c r="AA355" s="504">
        <v>5183.3123497701836</v>
      </c>
      <c r="AB355" s="504">
        <v>5927.7158856969036</v>
      </c>
      <c r="AC355" s="505">
        <v>5183.3123497701836</v>
      </c>
      <c r="AD355" s="426"/>
      <c r="AE355" s="426"/>
      <c r="AF355" s="503">
        <v>6816.63</v>
      </c>
      <c r="AG355" s="504">
        <v>5960.6</v>
      </c>
      <c r="AH355" s="504">
        <v>6816.63</v>
      </c>
      <c r="AI355" s="505">
        <v>5960.6</v>
      </c>
      <c r="AJ355" s="426"/>
      <c r="AK355" s="426"/>
      <c r="AL355" s="503">
        <v>7771.1868536196762</v>
      </c>
      <c r="AM355" s="504">
        <v>6795.2799303239408</v>
      </c>
      <c r="AN355" s="504">
        <v>7771.1868536196762</v>
      </c>
      <c r="AO355" s="505">
        <v>6795.2799303239408</v>
      </c>
      <c r="AP355" s="426"/>
      <c r="AQ355" s="426"/>
      <c r="AR355" s="503">
        <v>7965.56</v>
      </c>
      <c r="AS355" s="504">
        <v>6965.24</v>
      </c>
      <c r="AT355" s="504">
        <v>7965.56</v>
      </c>
      <c r="AU355" s="505">
        <v>6965.24</v>
      </c>
    </row>
    <row r="356" spans="1:47" ht="13" hidden="1">
      <c r="A356" s="502">
        <v>20</v>
      </c>
      <c r="B356" s="517" t="str">
        <f t="shared" si="36"/>
        <v>20B</v>
      </c>
      <c r="C356" s="503">
        <v>17647.704982358198</v>
      </c>
      <c r="D356" s="504">
        <v>17631.967786783927</v>
      </c>
      <c r="E356" s="504">
        <v>17647.704982358198</v>
      </c>
      <c r="F356" s="505">
        <v>17631.967786783927</v>
      </c>
      <c r="G356" s="426"/>
      <c r="H356" s="426"/>
      <c r="I356" s="426"/>
      <c r="J356" s="426"/>
      <c r="K356" s="426"/>
      <c r="L356" s="426"/>
      <c r="M356" s="426"/>
      <c r="N356" s="629"/>
      <c r="O356" s="629"/>
      <c r="P356" s="629"/>
      <c r="Q356" s="629"/>
      <c r="R356" s="629"/>
      <c r="S356" s="426"/>
      <c r="T356" s="503">
        <v>5389.1142315358666</v>
      </c>
      <c r="U356" s="504">
        <v>5384.308533303798</v>
      </c>
      <c r="V356" s="504">
        <v>5389.1142315358666</v>
      </c>
      <c r="W356" s="505">
        <v>5384.308533303798</v>
      </c>
      <c r="X356" s="426"/>
      <c r="Y356" s="426"/>
      <c r="Z356" s="503">
        <v>6143.4227686313525</v>
      </c>
      <c r="AA356" s="504">
        <v>6137.9444219736961</v>
      </c>
      <c r="AB356" s="504">
        <v>6143.4227686313525</v>
      </c>
      <c r="AC356" s="505">
        <v>6137.9444219736961</v>
      </c>
      <c r="AD356" s="426"/>
      <c r="AE356" s="426"/>
      <c r="AF356" s="503">
        <v>7064.68</v>
      </c>
      <c r="AG356" s="504">
        <v>7058.38</v>
      </c>
      <c r="AH356" s="504">
        <v>7064.68</v>
      </c>
      <c r="AI356" s="505">
        <v>7058.38</v>
      </c>
      <c r="AJ356" s="426"/>
      <c r="AK356" s="426"/>
      <c r="AL356" s="503">
        <v>8053.9768059755634</v>
      </c>
      <c r="AM356" s="504">
        <v>8046.7947384901317</v>
      </c>
      <c r="AN356" s="504">
        <v>8053.9768059755634</v>
      </c>
      <c r="AO356" s="505">
        <v>8046.7947384901317</v>
      </c>
      <c r="AP356" s="426"/>
      <c r="AQ356" s="426"/>
      <c r="AR356" s="503">
        <v>8255.42</v>
      </c>
      <c r="AS356" s="504">
        <v>8248.06</v>
      </c>
      <c r="AT356" s="504">
        <v>8255.42</v>
      </c>
      <c r="AU356" s="505">
        <v>8248.06</v>
      </c>
    </row>
    <row r="357" spans="1:47" ht="13" hidden="1">
      <c r="A357" s="502">
        <v>21</v>
      </c>
      <c r="B357" s="517" t="str">
        <f t="shared" si="36"/>
        <v>21B</v>
      </c>
      <c r="C357" s="503">
        <v>19062.666046987597</v>
      </c>
      <c r="D357" s="504">
        <v>22772.137957086827</v>
      </c>
      <c r="E357" s="504">
        <v>19062.666046987597</v>
      </c>
      <c r="F357" s="505">
        <v>22772.137957086827</v>
      </c>
      <c r="G357" s="426"/>
      <c r="H357" s="426"/>
      <c r="I357" s="426"/>
      <c r="J357" s="426"/>
      <c r="K357" s="426"/>
      <c r="L357" s="426"/>
      <c r="M357" s="426"/>
      <c r="N357" s="629"/>
      <c r="O357" s="629"/>
      <c r="P357" s="629"/>
      <c r="Q357" s="629"/>
      <c r="R357" s="629"/>
      <c r="S357" s="426"/>
      <c r="T357" s="503">
        <v>5821.203662886076</v>
      </c>
      <c r="U357" s="504">
        <v>6953.9723646624479</v>
      </c>
      <c r="V357" s="504">
        <v>5821.203662886076</v>
      </c>
      <c r="W357" s="505">
        <v>6953.9723646624479</v>
      </c>
      <c r="X357" s="426"/>
      <c r="Y357" s="426"/>
      <c r="Z357" s="503">
        <v>6635.9912941059611</v>
      </c>
      <c r="AA357" s="504">
        <v>7927.3124157409429</v>
      </c>
      <c r="AB357" s="504">
        <v>6635.9912941059611</v>
      </c>
      <c r="AC357" s="505">
        <v>7927.3124157409429</v>
      </c>
      <c r="AD357" s="426"/>
      <c r="AE357" s="426"/>
      <c r="AF357" s="503">
        <v>7631.12</v>
      </c>
      <c r="AG357" s="504">
        <v>9116.08</v>
      </c>
      <c r="AH357" s="504">
        <v>7631.12</v>
      </c>
      <c r="AI357" s="505">
        <v>9116.08</v>
      </c>
      <c r="AJ357" s="426"/>
      <c r="AK357" s="426"/>
      <c r="AL357" s="503">
        <v>8699.7300983881414</v>
      </c>
      <c r="AM357" s="504">
        <v>10392.641485802149</v>
      </c>
      <c r="AN357" s="504">
        <v>8699.7300983881414</v>
      </c>
      <c r="AO357" s="505">
        <v>10392.641485802149</v>
      </c>
      <c r="AP357" s="426"/>
      <c r="AQ357" s="426"/>
      <c r="AR357" s="503">
        <v>8917.32</v>
      </c>
      <c r="AS357" s="504">
        <v>10652.58</v>
      </c>
      <c r="AT357" s="504">
        <v>8917.32</v>
      </c>
      <c r="AU357" s="505">
        <v>10652.58</v>
      </c>
    </row>
    <row r="358" spans="1:47" ht="13" hidden="1">
      <c r="A358" s="502">
        <v>22</v>
      </c>
      <c r="B358" s="517" t="str">
        <f t="shared" si="36"/>
        <v>22B</v>
      </c>
      <c r="C358" s="503">
        <v>19895.07356795797</v>
      </c>
      <c r="D358" s="504">
        <v>23857.727144300534</v>
      </c>
      <c r="E358" s="504">
        <v>19895.07356795797</v>
      </c>
      <c r="F358" s="505">
        <v>23857.727144300534</v>
      </c>
      <c r="G358" s="426"/>
      <c r="H358" s="426"/>
      <c r="I358" s="426"/>
      <c r="J358" s="426"/>
      <c r="K358" s="426"/>
      <c r="L358" s="426"/>
      <c r="M358" s="426"/>
      <c r="N358" s="629"/>
      <c r="O358" s="629"/>
      <c r="P358" s="629"/>
      <c r="Q358" s="629"/>
      <c r="R358" s="629"/>
      <c r="S358" s="426"/>
      <c r="T358" s="503">
        <v>6075.3975777426167</v>
      </c>
      <c r="U358" s="504">
        <v>7285.4808607679342</v>
      </c>
      <c r="V358" s="504">
        <v>6075.3975777426167</v>
      </c>
      <c r="W358" s="505">
        <v>7285.4808607679342</v>
      </c>
      <c r="X358" s="426"/>
      <c r="Y358" s="426"/>
      <c r="Z358" s="503">
        <v>6925.7644585044754</v>
      </c>
      <c r="AA358" s="504">
        <v>8305.2218003762664</v>
      </c>
      <c r="AB358" s="504">
        <v>6925.7644585044754</v>
      </c>
      <c r="AC358" s="505">
        <v>8305.2218003762664</v>
      </c>
      <c r="AD358" s="426"/>
      <c r="AE358" s="426"/>
      <c r="AF358" s="503">
        <v>7964.35</v>
      </c>
      <c r="AG358" s="504">
        <v>9550.66</v>
      </c>
      <c r="AH358" s="504">
        <v>7964.35</v>
      </c>
      <c r="AI358" s="505">
        <v>9550.66</v>
      </c>
      <c r="AJ358" s="426"/>
      <c r="AK358" s="426"/>
      <c r="AL358" s="503">
        <v>9079.6203375845089</v>
      </c>
      <c r="AM358" s="504">
        <v>10888.077586041667</v>
      </c>
      <c r="AN358" s="504">
        <v>9079.6203375845089</v>
      </c>
      <c r="AO358" s="505">
        <v>10888.077586041667</v>
      </c>
      <c r="AP358" s="426"/>
      <c r="AQ358" s="426"/>
      <c r="AR358" s="503">
        <v>9306.7099999999991</v>
      </c>
      <c r="AS358" s="504">
        <v>11160.4</v>
      </c>
      <c r="AT358" s="504">
        <v>9306.7099999999991</v>
      </c>
      <c r="AU358" s="505">
        <v>11160.4</v>
      </c>
    </row>
    <row r="359" spans="1:47" ht="13" hidden="1">
      <c r="A359" s="502">
        <v>23</v>
      </c>
      <c r="B359" s="517" t="str">
        <f t="shared" si="36"/>
        <v>23B</v>
      </c>
      <c r="C359" s="503">
        <v>21215.403478583488</v>
      </c>
      <c r="D359" s="504">
        <v>24971.601687436279</v>
      </c>
      <c r="E359" s="504">
        <v>21215.403478583488</v>
      </c>
      <c r="F359" s="505">
        <v>24971.601687436279</v>
      </c>
      <c r="G359" s="426"/>
      <c r="H359" s="426"/>
      <c r="I359" s="426"/>
      <c r="J359" s="426"/>
      <c r="K359" s="426"/>
      <c r="L359" s="426"/>
      <c r="M359" s="426"/>
      <c r="N359" s="629"/>
      <c r="O359" s="629"/>
      <c r="P359" s="629"/>
      <c r="Q359" s="629"/>
      <c r="R359" s="629"/>
      <c r="S359" s="426"/>
      <c r="T359" s="503">
        <v>6478.5893082700422</v>
      </c>
      <c r="U359" s="504">
        <v>7625.6269114050647</v>
      </c>
      <c r="V359" s="504">
        <v>6478.5893082700422</v>
      </c>
      <c r="W359" s="505">
        <v>7625.6269114050647</v>
      </c>
      <c r="X359" s="426"/>
      <c r="Y359" s="426"/>
      <c r="Z359" s="503">
        <v>7385.3905029760053</v>
      </c>
      <c r="AA359" s="504">
        <v>8692.977728783937</v>
      </c>
      <c r="AB359" s="504">
        <v>7385.3905029760053</v>
      </c>
      <c r="AC359" s="505">
        <v>8692.977728783937</v>
      </c>
      <c r="AD359" s="426"/>
      <c r="AE359" s="426"/>
      <c r="AF359" s="503">
        <v>8492.9</v>
      </c>
      <c r="AG359" s="504">
        <v>9996.57</v>
      </c>
      <c r="AH359" s="504">
        <v>8492.9</v>
      </c>
      <c r="AI359" s="505">
        <v>9996.57</v>
      </c>
      <c r="AJ359" s="426"/>
      <c r="AK359" s="426"/>
      <c r="AL359" s="503">
        <v>9682.1863078930601</v>
      </c>
      <c r="AM359" s="504">
        <v>11396.422424316675</v>
      </c>
      <c r="AN359" s="504">
        <v>9682.1863078930601</v>
      </c>
      <c r="AO359" s="505">
        <v>11396.422424316675</v>
      </c>
      <c r="AP359" s="426"/>
      <c r="AQ359" s="426"/>
      <c r="AR359" s="503">
        <v>9924.35</v>
      </c>
      <c r="AS359" s="504">
        <v>11681.46</v>
      </c>
      <c r="AT359" s="504">
        <v>9924.35</v>
      </c>
      <c r="AU359" s="505">
        <v>11681.46</v>
      </c>
    </row>
    <row r="360" spans="1:47" ht="13" hidden="1">
      <c r="A360" s="502">
        <v>24</v>
      </c>
      <c r="B360" s="517" t="str">
        <f t="shared" si="36"/>
        <v>24B</v>
      </c>
      <c r="C360" s="503">
        <v>22076.512316592387</v>
      </c>
      <c r="D360" s="504">
        <v>26139.204541453346</v>
      </c>
      <c r="E360" s="504">
        <v>22076.512316592387</v>
      </c>
      <c r="F360" s="505">
        <v>26139.204541453346</v>
      </c>
      <c r="G360" s="426"/>
      <c r="H360" s="426"/>
      <c r="I360" s="426"/>
      <c r="J360" s="426"/>
      <c r="K360" s="426"/>
      <c r="L360" s="426"/>
      <c r="M360" s="426"/>
      <c r="N360" s="629"/>
      <c r="O360" s="629"/>
      <c r="P360" s="629"/>
      <c r="Q360" s="629"/>
      <c r="R360" s="629"/>
      <c r="S360" s="426"/>
      <c r="T360" s="503">
        <v>6741.547800518988</v>
      </c>
      <c r="U360" s="504">
        <v>7982.1800815569613</v>
      </c>
      <c r="V360" s="504">
        <v>6741.547800518988</v>
      </c>
      <c r="W360" s="505">
        <v>7982.1800815569613</v>
      </c>
      <c r="X360" s="426"/>
      <c r="Y360" s="426"/>
      <c r="Z360" s="503">
        <v>7685.1550132611674</v>
      </c>
      <c r="AA360" s="504">
        <v>9099.437263621925</v>
      </c>
      <c r="AB360" s="504">
        <v>7685.1550132611674</v>
      </c>
      <c r="AC360" s="505">
        <v>9099.437263621925</v>
      </c>
      <c r="AD360" s="426"/>
      <c r="AE360" s="426"/>
      <c r="AF360" s="503">
        <v>8837.61</v>
      </c>
      <c r="AG360" s="504">
        <v>10463.98</v>
      </c>
      <c r="AH360" s="504">
        <v>8837.61</v>
      </c>
      <c r="AI360" s="505">
        <v>10463.98</v>
      </c>
      <c r="AJ360" s="426"/>
      <c r="AK360" s="426"/>
      <c r="AL360" s="503">
        <v>10075.17511950779</v>
      </c>
      <c r="AM360" s="504">
        <v>11929.287537046348</v>
      </c>
      <c r="AN360" s="504">
        <v>10075.17511950779</v>
      </c>
      <c r="AO360" s="505">
        <v>11929.287537046348</v>
      </c>
      <c r="AP360" s="426"/>
      <c r="AQ360" s="426"/>
      <c r="AR360" s="503">
        <v>10327.17</v>
      </c>
      <c r="AS360" s="504">
        <v>12227.66</v>
      </c>
      <c r="AT360" s="504">
        <v>10327.17</v>
      </c>
      <c r="AU360" s="505">
        <v>12227.66</v>
      </c>
    </row>
    <row r="361" spans="1:47" ht="13" hidden="1">
      <c r="A361" s="502">
        <v>25</v>
      </c>
      <c r="B361" s="517" t="str">
        <f t="shared" si="36"/>
        <v>25B</v>
      </c>
      <c r="C361" s="503">
        <v>22940.116921300305</v>
      </c>
      <c r="D361" s="504">
        <v>27349.374083058967</v>
      </c>
      <c r="E361" s="504">
        <v>22940.116921300305</v>
      </c>
      <c r="F361" s="505">
        <v>27349.374083058967</v>
      </c>
      <c r="G361" s="426"/>
      <c r="H361" s="426"/>
      <c r="I361" s="426"/>
      <c r="J361" s="426"/>
      <c r="K361" s="426"/>
      <c r="L361" s="426"/>
      <c r="M361" s="426"/>
      <c r="N361" s="629"/>
      <c r="O361" s="629"/>
      <c r="P361" s="629"/>
      <c r="Q361" s="629"/>
      <c r="R361" s="629"/>
      <c r="S361" s="426"/>
      <c r="T361" s="503">
        <v>7005.2684299324901</v>
      </c>
      <c r="U361" s="504">
        <v>8351.7319244599166</v>
      </c>
      <c r="V361" s="504">
        <v>7005.2684299324901</v>
      </c>
      <c r="W361" s="505">
        <v>8351.7319244599166</v>
      </c>
      <c r="X361" s="426"/>
      <c r="Y361" s="426"/>
      <c r="Z361" s="503">
        <v>7985.7883362321236</v>
      </c>
      <c r="AA361" s="504">
        <v>9520.7148814898737</v>
      </c>
      <c r="AB361" s="504">
        <v>7985.7883362321236</v>
      </c>
      <c r="AC361" s="505">
        <v>9520.7148814898737</v>
      </c>
      <c r="AD361" s="426"/>
      <c r="AE361" s="426"/>
      <c r="AF361" s="503">
        <v>9183.33</v>
      </c>
      <c r="AG361" s="504">
        <v>10948.43</v>
      </c>
      <c r="AH361" s="504">
        <v>9183.33</v>
      </c>
      <c r="AI361" s="505">
        <v>10948.43</v>
      </c>
      <c r="AJ361" s="426"/>
      <c r="AK361" s="426"/>
      <c r="AL361" s="503">
        <v>10469.30293741977</v>
      </c>
      <c r="AM361" s="504">
        <v>12481.57903495688</v>
      </c>
      <c r="AN361" s="504">
        <v>10469.30293741977</v>
      </c>
      <c r="AO361" s="505">
        <v>12481.57903495688</v>
      </c>
      <c r="AP361" s="426"/>
      <c r="AQ361" s="426"/>
      <c r="AR361" s="503">
        <v>10731.16</v>
      </c>
      <c r="AS361" s="504">
        <v>12793.76</v>
      </c>
      <c r="AT361" s="504">
        <v>10731.16</v>
      </c>
      <c r="AU361" s="505">
        <v>12793.76</v>
      </c>
    </row>
    <row r="362" spans="1:47" ht="13" hidden="1">
      <c r="A362" s="502">
        <v>26</v>
      </c>
      <c r="B362" s="517" t="str">
        <f t="shared" si="36"/>
        <v>26B</v>
      </c>
      <c r="C362" s="503">
        <v>24460.108167846087</v>
      </c>
      <c r="D362" s="504">
        <v>28410.629544957388</v>
      </c>
      <c r="E362" s="504">
        <v>24460.108167846087</v>
      </c>
      <c r="F362" s="505">
        <v>28410.629544957388</v>
      </c>
      <c r="G362" s="426"/>
      <c r="H362" s="426"/>
      <c r="I362" s="426"/>
      <c r="J362" s="426"/>
      <c r="K362" s="426"/>
      <c r="L362" s="426"/>
      <c r="M362" s="426"/>
      <c r="N362" s="629"/>
      <c r="O362" s="629"/>
      <c r="P362" s="629"/>
      <c r="Q362" s="629"/>
      <c r="R362" s="629"/>
      <c r="S362" s="426"/>
      <c r="T362" s="503">
        <v>7469.4311336244727</v>
      </c>
      <c r="U362" s="504">
        <v>8675.8095832109702</v>
      </c>
      <c r="V362" s="504">
        <v>7469.4311336244727</v>
      </c>
      <c r="W362" s="505">
        <v>8675.8095832109702</v>
      </c>
      <c r="X362" s="426"/>
      <c r="Y362" s="426"/>
      <c r="Z362" s="503">
        <v>8514.9193955672945</v>
      </c>
      <c r="AA362" s="504">
        <v>9890.1533424386889</v>
      </c>
      <c r="AB362" s="504">
        <v>8514.9193955672945</v>
      </c>
      <c r="AC362" s="505">
        <v>9890.1533424386889</v>
      </c>
      <c r="AD362" s="426"/>
      <c r="AE362" s="426"/>
      <c r="AF362" s="503">
        <v>9791.81</v>
      </c>
      <c r="AG362" s="504">
        <v>11373.27</v>
      </c>
      <c r="AH362" s="504">
        <v>9791.81</v>
      </c>
      <c r="AI362" s="505">
        <v>11373.27</v>
      </c>
      <c r="AJ362" s="426"/>
      <c r="AK362" s="426"/>
      <c r="AL362" s="503">
        <v>11162.989411508246</v>
      </c>
      <c r="AM362" s="504">
        <v>12965.90982379822</v>
      </c>
      <c r="AN362" s="504">
        <v>11162.989411508246</v>
      </c>
      <c r="AO362" s="505">
        <v>12965.90982379822</v>
      </c>
      <c r="AP362" s="426"/>
      <c r="AQ362" s="426"/>
      <c r="AR362" s="503">
        <v>11442.19</v>
      </c>
      <c r="AS362" s="504">
        <v>13290.21</v>
      </c>
      <c r="AT362" s="504">
        <v>11442.19</v>
      </c>
      <c r="AU362" s="505">
        <v>13290.21</v>
      </c>
    </row>
    <row r="363" spans="1:47" ht="13" hidden="1">
      <c r="A363" s="502">
        <v>27</v>
      </c>
      <c r="B363" s="517" t="str">
        <f t="shared" si="36"/>
        <v>27B</v>
      </c>
      <c r="C363" s="503">
        <v>25542.369666127794</v>
      </c>
      <c r="D363" s="504">
        <v>29708.566882144642</v>
      </c>
      <c r="E363" s="504">
        <v>25542.369666127794</v>
      </c>
      <c r="F363" s="505">
        <v>29708.566882144642</v>
      </c>
      <c r="G363" s="426"/>
      <c r="H363" s="426"/>
      <c r="I363" s="426"/>
      <c r="J363" s="426"/>
      <c r="K363" s="426"/>
      <c r="L363" s="426"/>
      <c r="M363" s="426"/>
      <c r="N363" s="629"/>
      <c r="O363" s="629"/>
      <c r="P363" s="629"/>
      <c r="Q363" s="629"/>
      <c r="R363" s="629"/>
      <c r="S363" s="426"/>
      <c r="T363" s="503">
        <v>7799.9234468438826</v>
      </c>
      <c r="U363" s="504">
        <v>9072.163249734178</v>
      </c>
      <c r="V363" s="504">
        <v>7799.9234468438826</v>
      </c>
      <c r="W363" s="505">
        <v>9072.163249734178</v>
      </c>
      <c r="X363" s="426"/>
      <c r="Y363" s="426"/>
      <c r="Z363" s="503">
        <v>8891.6703632882218</v>
      </c>
      <c r="AA363" s="504">
        <v>10341.984206423778</v>
      </c>
      <c r="AB363" s="504">
        <v>8891.6703632882218</v>
      </c>
      <c r="AC363" s="505">
        <v>10341.984206423778</v>
      </c>
      <c r="AD363" s="426"/>
      <c r="AE363" s="426"/>
      <c r="AF363" s="503">
        <v>10225.06</v>
      </c>
      <c r="AG363" s="504">
        <v>11892.86</v>
      </c>
      <c r="AH363" s="504">
        <v>10225.06</v>
      </c>
      <c r="AI363" s="505">
        <v>11892.86</v>
      </c>
      <c r="AJ363" s="426"/>
      <c r="AK363" s="426"/>
      <c r="AL363" s="503">
        <v>11656.906836684766</v>
      </c>
      <c r="AM363" s="504">
        <v>13558.256376495343</v>
      </c>
      <c r="AN363" s="504">
        <v>11656.906836684766</v>
      </c>
      <c r="AO363" s="505">
        <v>13558.256376495343</v>
      </c>
      <c r="AP363" s="426"/>
      <c r="AQ363" s="426"/>
      <c r="AR363" s="503">
        <v>11948.46</v>
      </c>
      <c r="AS363" s="504">
        <v>13897.37</v>
      </c>
      <c r="AT363" s="504">
        <v>11948.46</v>
      </c>
      <c r="AU363" s="505">
        <v>13897.37</v>
      </c>
    </row>
    <row r="364" spans="1:47" ht="13" hidden="1">
      <c r="A364" s="502">
        <v>28</v>
      </c>
      <c r="B364" s="517" t="str">
        <f t="shared" si="36"/>
        <v>28B</v>
      </c>
      <c r="C364" s="503">
        <v>27014.386730570524</v>
      </c>
      <c r="D364" s="504">
        <v>31093.7174000915</v>
      </c>
      <c r="E364" s="504">
        <v>27014.386730570524</v>
      </c>
      <c r="F364" s="505">
        <v>31093.7174000915</v>
      </c>
      <c r="G364" s="426"/>
      <c r="H364" s="426"/>
      <c r="I364" s="426"/>
      <c r="J364" s="426"/>
      <c r="K364" s="426"/>
      <c r="L364" s="426"/>
      <c r="M364" s="426"/>
      <c r="N364" s="629"/>
      <c r="O364" s="629"/>
      <c r="P364" s="629"/>
      <c r="Q364" s="629"/>
      <c r="R364" s="629"/>
      <c r="S364" s="426"/>
      <c r="T364" s="503">
        <v>8249.4361805949393</v>
      </c>
      <c r="U364" s="504">
        <v>9495.1493760632929</v>
      </c>
      <c r="V364" s="504">
        <v>8249.4361805949393</v>
      </c>
      <c r="W364" s="505">
        <v>9495.1493760632929</v>
      </c>
      <c r="X364" s="426"/>
      <c r="Y364" s="426"/>
      <c r="Z364" s="503">
        <v>9404.1009121075476</v>
      </c>
      <c r="AA364" s="504">
        <v>10824.175247040277</v>
      </c>
      <c r="AB364" s="504">
        <v>9404.1009121075476</v>
      </c>
      <c r="AC364" s="505">
        <v>10824.175247040277</v>
      </c>
      <c r="AD364" s="426"/>
      <c r="AE364" s="426"/>
      <c r="AF364" s="503">
        <v>10814.33</v>
      </c>
      <c r="AG364" s="504">
        <v>12447.36</v>
      </c>
      <c r="AH364" s="504">
        <v>10814.33</v>
      </c>
      <c r="AI364" s="505">
        <v>12447.36</v>
      </c>
      <c r="AJ364" s="426"/>
      <c r="AK364" s="426"/>
      <c r="AL364" s="503">
        <v>12328.699078615011</v>
      </c>
      <c r="AM364" s="504">
        <v>14190.404871468563</v>
      </c>
      <c r="AN364" s="504">
        <v>12328.699078615011</v>
      </c>
      <c r="AO364" s="505">
        <v>14190.404871468563</v>
      </c>
      <c r="AP364" s="426"/>
      <c r="AQ364" s="426"/>
      <c r="AR364" s="503">
        <v>12637.06</v>
      </c>
      <c r="AS364" s="504">
        <v>14545.33</v>
      </c>
      <c r="AT364" s="504">
        <v>12637.06</v>
      </c>
      <c r="AU364" s="505">
        <v>14545.33</v>
      </c>
    </row>
    <row r="365" spans="1:47" ht="13" hidden="1">
      <c r="A365" s="502">
        <v>29</v>
      </c>
      <c r="B365" s="517" t="str">
        <f t="shared" si="36"/>
        <v>29B</v>
      </c>
      <c r="C365" s="503">
        <v>28380.264383452857</v>
      </c>
      <c r="D365" s="504">
        <v>32491.55473209163</v>
      </c>
      <c r="E365" s="504">
        <v>28380.264383452857</v>
      </c>
      <c r="F365" s="505">
        <v>32491.55473209163</v>
      </c>
      <c r="G365" s="426"/>
      <c r="H365" s="426"/>
      <c r="I365" s="426"/>
      <c r="J365" s="426"/>
      <c r="K365" s="426"/>
      <c r="L365" s="426"/>
      <c r="M365" s="426"/>
      <c r="N365" s="629"/>
      <c r="O365" s="629"/>
      <c r="P365" s="629"/>
      <c r="Q365" s="629"/>
      <c r="R365" s="629"/>
      <c r="S365" s="426"/>
      <c r="T365" s="503">
        <v>8666.5369143755288</v>
      </c>
      <c r="U365" s="504">
        <v>9922.0096996455704</v>
      </c>
      <c r="V365" s="504">
        <v>8666.5369143755288</v>
      </c>
      <c r="W365" s="505">
        <v>9922.0096996455704</v>
      </c>
      <c r="X365" s="426"/>
      <c r="Y365" s="426"/>
      <c r="Z365" s="503">
        <v>9879.5827880948473</v>
      </c>
      <c r="AA365" s="504">
        <v>11310.782752142901</v>
      </c>
      <c r="AB365" s="504">
        <v>9879.5827880948473</v>
      </c>
      <c r="AC365" s="505">
        <v>11310.782752142901</v>
      </c>
      <c r="AD365" s="426"/>
      <c r="AE365" s="426"/>
      <c r="AF365" s="503">
        <v>11361.12</v>
      </c>
      <c r="AG365" s="504">
        <v>13006.94</v>
      </c>
      <c r="AH365" s="504">
        <v>11361.12</v>
      </c>
      <c r="AI365" s="505">
        <v>13006.94</v>
      </c>
      <c r="AJ365" s="426"/>
      <c r="AK365" s="426"/>
      <c r="AL365" s="503">
        <v>12952.05191384836</v>
      </c>
      <c r="AM365" s="504">
        <v>14828.34331511946</v>
      </c>
      <c r="AN365" s="504">
        <v>12952.05191384836</v>
      </c>
      <c r="AO365" s="505">
        <v>14828.34331511946</v>
      </c>
      <c r="AP365" s="426"/>
      <c r="AQ365" s="426"/>
      <c r="AR365" s="503">
        <v>13276</v>
      </c>
      <c r="AS365" s="504">
        <v>15199.22</v>
      </c>
      <c r="AT365" s="504">
        <v>13276</v>
      </c>
      <c r="AU365" s="505">
        <v>15199.22</v>
      </c>
    </row>
    <row r="366" spans="1:47" ht="13" hidden="1">
      <c r="A366" s="502">
        <v>30</v>
      </c>
      <c r="B366" s="517" t="str">
        <f t="shared" si="36"/>
        <v>30B</v>
      </c>
      <c r="C366" s="503">
        <v>29650.886940656561</v>
      </c>
      <c r="D366" s="504">
        <v>34028.600384413941</v>
      </c>
      <c r="E366" s="504">
        <v>29650.886940656561</v>
      </c>
      <c r="F366" s="505">
        <v>34028.600384413941</v>
      </c>
      <c r="G366" s="426"/>
      <c r="H366" s="426"/>
      <c r="I366" s="426"/>
      <c r="J366" s="426"/>
      <c r="K366" s="426"/>
      <c r="L366" s="426"/>
      <c r="M366" s="426"/>
      <c r="N366" s="629"/>
      <c r="O366" s="629"/>
      <c r="P366" s="629"/>
      <c r="Q366" s="629"/>
      <c r="R366" s="629"/>
      <c r="S366" s="426"/>
      <c r="T366" s="503">
        <v>9054.5494130421957</v>
      </c>
      <c r="U366" s="504">
        <v>10391.380340628695</v>
      </c>
      <c r="V366" s="504">
        <v>9054.5494130421957</v>
      </c>
      <c r="W366" s="505">
        <v>10391.380340628695</v>
      </c>
      <c r="X366" s="426"/>
      <c r="Y366" s="426"/>
      <c r="Z366" s="503">
        <v>10321.904979907617</v>
      </c>
      <c r="AA366" s="504">
        <v>11845.850698164344</v>
      </c>
      <c r="AB366" s="504">
        <v>10321.904979907617</v>
      </c>
      <c r="AC366" s="505">
        <v>11845.850698164344</v>
      </c>
      <c r="AD366" s="426"/>
      <c r="AE366" s="426"/>
      <c r="AF366" s="503">
        <v>11869.77</v>
      </c>
      <c r="AG366" s="504">
        <v>13622.24</v>
      </c>
      <c r="AH366" s="504">
        <v>11869.77</v>
      </c>
      <c r="AI366" s="505">
        <v>13622.24</v>
      </c>
      <c r="AJ366" s="426"/>
      <c r="AK366" s="426"/>
      <c r="AL366" s="503">
        <v>13531.932675403368</v>
      </c>
      <c r="AM366" s="504">
        <v>15529.812998905805</v>
      </c>
      <c r="AN366" s="504">
        <v>13531.932675403368</v>
      </c>
      <c r="AO366" s="505">
        <v>15529.812998905805</v>
      </c>
      <c r="AP366" s="426"/>
      <c r="AQ366" s="426"/>
      <c r="AR366" s="503">
        <v>13870.39</v>
      </c>
      <c r="AS366" s="504">
        <v>15918.24</v>
      </c>
      <c r="AT366" s="504">
        <v>13870.39</v>
      </c>
      <c r="AU366" s="505">
        <v>15918.24</v>
      </c>
    </row>
    <row r="367" spans="1:47" ht="13" hidden="1">
      <c r="A367" s="502">
        <v>31</v>
      </c>
      <c r="B367" s="517" t="str">
        <f t="shared" si="36"/>
        <v>31B</v>
      </c>
      <c r="C367" s="503">
        <v>30476.79388181023</v>
      </c>
      <c r="D367" s="504">
        <v>35151.280192293962</v>
      </c>
      <c r="E367" s="504">
        <v>30476.79388181023</v>
      </c>
      <c r="F367" s="505">
        <v>35151.280192293962</v>
      </c>
      <c r="G367" s="426"/>
      <c r="H367" s="426"/>
      <c r="I367" s="426"/>
      <c r="J367" s="426"/>
      <c r="K367" s="426"/>
      <c r="L367" s="426"/>
      <c r="M367" s="426"/>
      <c r="N367" s="629"/>
      <c r="O367" s="629"/>
      <c r="P367" s="629"/>
      <c r="Q367" s="629"/>
      <c r="R367" s="629"/>
      <c r="S367" s="426"/>
      <c r="T367" s="503">
        <v>9427.4250208016911</v>
      </c>
      <c r="U367" s="504">
        <v>10873.389756257386</v>
      </c>
      <c r="V367" s="504">
        <v>9427.4250208016911</v>
      </c>
      <c r="W367" s="505">
        <v>10873.389756257386</v>
      </c>
      <c r="X367" s="426"/>
      <c r="Y367" s="426"/>
      <c r="Z367" s="503">
        <v>10746.971586433063</v>
      </c>
      <c r="AA367" s="504">
        <v>12395.326454558557</v>
      </c>
      <c r="AB367" s="504">
        <v>10746.971586433063</v>
      </c>
      <c r="AC367" s="505">
        <v>12395.326454558557</v>
      </c>
      <c r="AD367" s="426"/>
      <c r="AE367" s="426"/>
      <c r="AF367" s="503">
        <v>12358.58</v>
      </c>
      <c r="AG367" s="504">
        <v>14254.12</v>
      </c>
      <c r="AH367" s="504">
        <v>12358.58</v>
      </c>
      <c r="AI367" s="505">
        <v>14254.12</v>
      </c>
      <c r="AJ367" s="426"/>
      <c r="AK367" s="426"/>
      <c r="AL367" s="503">
        <v>14089.19150633246</v>
      </c>
      <c r="AM367" s="504">
        <v>16250.171203788193</v>
      </c>
      <c r="AN367" s="504">
        <v>14089.19150633246</v>
      </c>
      <c r="AO367" s="505">
        <v>16250.171203788193</v>
      </c>
      <c r="AP367" s="426"/>
      <c r="AQ367" s="426"/>
      <c r="AR367" s="503">
        <v>14441.58</v>
      </c>
      <c r="AS367" s="504">
        <v>16656.61</v>
      </c>
      <c r="AT367" s="504">
        <v>14441.58</v>
      </c>
      <c r="AU367" s="505">
        <v>16656.61</v>
      </c>
    </row>
    <row r="368" spans="1:47" ht="13" hidden="1">
      <c r="A368" s="502">
        <v>32</v>
      </c>
      <c r="B368" s="517" t="str">
        <f t="shared" si="36"/>
        <v>32B</v>
      </c>
      <c r="C368" s="503">
        <v>32350.941158223261</v>
      </c>
      <c r="D368" s="504">
        <v>36734.491152901013</v>
      </c>
      <c r="E368" s="504">
        <v>32350.941158223261</v>
      </c>
      <c r="F368" s="505">
        <v>36734.491152901013</v>
      </c>
      <c r="G368" s="426"/>
      <c r="H368" s="426"/>
      <c r="I368" s="426"/>
      <c r="J368" s="426"/>
      <c r="K368" s="426"/>
      <c r="L368" s="426"/>
      <c r="M368" s="426"/>
      <c r="N368" s="629"/>
      <c r="O368" s="629"/>
      <c r="P368" s="629"/>
      <c r="Q368" s="629"/>
      <c r="R368" s="629"/>
      <c r="S368" s="426"/>
      <c r="T368" s="503">
        <v>10007.157357308019</v>
      </c>
      <c r="U368" s="504">
        <v>11363.126395915611</v>
      </c>
      <c r="V368" s="504">
        <v>10007.157357308019</v>
      </c>
      <c r="W368" s="505">
        <v>11363.126395915611</v>
      </c>
      <c r="X368" s="426"/>
      <c r="Y368" s="426"/>
      <c r="Z368" s="503">
        <v>11407.84843609483</v>
      </c>
      <c r="AA368" s="504">
        <v>12953.611006239307</v>
      </c>
      <c r="AB368" s="504">
        <v>11407.84843609483</v>
      </c>
      <c r="AC368" s="505">
        <v>12953.611006239307</v>
      </c>
      <c r="AD368" s="426"/>
      <c r="AE368" s="426"/>
      <c r="AF368" s="503">
        <v>13118.56</v>
      </c>
      <c r="AG368" s="504">
        <v>14896.12</v>
      </c>
      <c r="AH368" s="504">
        <v>13118.56</v>
      </c>
      <c r="AI368" s="505">
        <v>14896.12</v>
      </c>
      <c r="AJ368" s="426"/>
      <c r="AK368" s="426"/>
      <c r="AL368" s="503">
        <v>14955.595629773225</v>
      </c>
      <c r="AM368" s="504">
        <v>16982.077666962137</v>
      </c>
      <c r="AN368" s="504">
        <v>14955.595629773225</v>
      </c>
      <c r="AO368" s="505">
        <v>16982.077666962137</v>
      </c>
      <c r="AP368" s="426"/>
      <c r="AQ368" s="426"/>
      <c r="AR368" s="503">
        <v>15329.66</v>
      </c>
      <c r="AS368" s="504">
        <v>17406.82</v>
      </c>
      <c r="AT368" s="504">
        <v>15329.66</v>
      </c>
      <c r="AU368" s="505">
        <v>17406.82</v>
      </c>
    </row>
    <row r="369" spans="1:47" ht="13" hidden="1">
      <c r="A369" s="502">
        <v>33</v>
      </c>
      <c r="B369" s="517" t="str">
        <f t="shared" si="36"/>
        <v>33B</v>
      </c>
      <c r="C369" s="503">
        <v>33492.238265346539</v>
      </c>
      <c r="D369" s="504">
        <v>38348.089251644444</v>
      </c>
      <c r="E369" s="504">
        <v>33492.238265346539</v>
      </c>
      <c r="F369" s="505">
        <v>38348.089251644444</v>
      </c>
      <c r="G369" s="426"/>
      <c r="H369" s="426"/>
      <c r="I369" s="426"/>
      <c r="J369" s="426"/>
      <c r="K369" s="426"/>
      <c r="L369" s="426"/>
      <c r="M369" s="426"/>
      <c r="N369" s="629"/>
      <c r="O369" s="629"/>
      <c r="P369" s="629"/>
      <c r="Q369" s="629"/>
      <c r="R369" s="629"/>
      <c r="S369" s="426"/>
      <c r="T369" s="503">
        <v>10360.196228312236</v>
      </c>
      <c r="U369" s="504">
        <v>11862.262727270045</v>
      </c>
      <c r="V369" s="504">
        <v>10360.196228312236</v>
      </c>
      <c r="W369" s="505">
        <v>11862.262727270045</v>
      </c>
      <c r="X369" s="426"/>
      <c r="Y369" s="426"/>
      <c r="Z369" s="503">
        <v>11810.301779103875</v>
      </c>
      <c r="AA369" s="504">
        <v>13522.610914378207</v>
      </c>
      <c r="AB369" s="504">
        <v>11810.301779103875</v>
      </c>
      <c r="AC369" s="505">
        <v>13522.610914378207</v>
      </c>
      <c r="AD369" s="426"/>
      <c r="AE369" s="426"/>
      <c r="AF369" s="503">
        <v>13581.36</v>
      </c>
      <c r="AG369" s="504">
        <v>15550.45</v>
      </c>
      <c r="AH369" s="504">
        <v>13581.36</v>
      </c>
      <c r="AI369" s="505">
        <v>15550.45</v>
      </c>
      <c r="AJ369" s="426"/>
      <c r="AK369" s="426"/>
      <c r="AL369" s="503">
        <v>15483.208657910032</v>
      </c>
      <c r="AM369" s="504">
        <v>17728.031874468816</v>
      </c>
      <c r="AN369" s="504">
        <v>15483.208657910032</v>
      </c>
      <c r="AO369" s="505">
        <v>17728.031874468816</v>
      </c>
      <c r="AP369" s="426"/>
      <c r="AQ369" s="426"/>
      <c r="AR369" s="503">
        <v>15870.47</v>
      </c>
      <c r="AS369" s="504">
        <v>18171.439999999999</v>
      </c>
      <c r="AT369" s="504">
        <v>15870.47</v>
      </c>
      <c r="AU369" s="505">
        <v>18171.439999999999</v>
      </c>
    </row>
    <row r="370" spans="1:47" ht="13" hidden="1">
      <c r="A370" s="502">
        <v>34</v>
      </c>
      <c r="B370" s="517" t="str">
        <f t="shared" si="36"/>
        <v>34B</v>
      </c>
      <c r="C370" s="503">
        <v>35365.906465257438</v>
      </c>
      <c r="D370" s="504">
        <v>40075.707557899725</v>
      </c>
      <c r="E370" s="504">
        <v>35365.906465257438</v>
      </c>
      <c r="F370" s="505">
        <v>40075.707557899725</v>
      </c>
      <c r="G370" s="426"/>
      <c r="H370" s="426"/>
      <c r="I370" s="426"/>
      <c r="J370" s="426"/>
      <c r="K370" s="426"/>
      <c r="L370" s="426"/>
      <c r="M370" s="426"/>
      <c r="N370" s="629"/>
      <c r="O370" s="629"/>
      <c r="P370" s="629"/>
      <c r="Q370" s="629"/>
      <c r="R370" s="629"/>
      <c r="S370" s="426"/>
      <c r="T370" s="503">
        <v>10939.780371481014</v>
      </c>
      <c r="U370" s="504">
        <v>12396.669072962028</v>
      </c>
      <c r="V370" s="504">
        <v>10939.780371481014</v>
      </c>
      <c r="W370" s="505">
        <v>12396.669072962028</v>
      </c>
      <c r="X370" s="426"/>
      <c r="Y370" s="426"/>
      <c r="Z370" s="503">
        <v>12471.00969296563</v>
      </c>
      <c r="AA370" s="504">
        <v>14131.817542920864</v>
      </c>
      <c r="AB370" s="504">
        <v>12471.00969296563</v>
      </c>
      <c r="AC370" s="505">
        <v>14131.817542920864</v>
      </c>
      <c r="AD370" s="426"/>
      <c r="AE370" s="426"/>
      <c r="AF370" s="503">
        <v>14341.15</v>
      </c>
      <c r="AG370" s="504">
        <v>16251.01</v>
      </c>
      <c r="AH370" s="504">
        <v>14341.15</v>
      </c>
      <c r="AI370" s="505">
        <v>16251.01</v>
      </c>
      <c r="AJ370" s="426"/>
      <c r="AK370" s="426"/>
      <c r="AL370" s="503">
        <v>16349.391307904109</v>
      </c>
      <c r="AM370" s="504">
        <v>18526.69676228708</v>
      </c>
      <c r="AN370" s="504">
        <v>16349.391307904109</v>
      </c>
      <c r="AO370" s="505">
        <v>18526.69676228708</v>
      </c>
      <c r="AP370" s="426"/>
      <c r="AQ370" s="426"/>
      <c r="AR370" s="503">
        <v>16758.310000000001</v>
      </c>
      <c r="AS370" s="504">
        <v>18990.080000000002</v>
      </c>
      <c r="AT370" s="504">
        <v>16758.310000000001</v>
      </c>
      <c r="AU370" s="505">
        <v>18990.080000000002</v>
      </c>
    </row>
    <row r="371" spans="1:47" ht="13" hidden="1">
      <c r="A371" s="502">
        <v>35</v>
      </c>
      <c r="B371" s="517" t="str">
        <f t="shared" si="36"/>
        <v>35B</v>
      </c>
      <c r="C371" s="503">
        <v>37319.101364525319</v>
      </c>
      <c r="D371" s="504">
        <v>41906.395751617667</v>
      </c>
      <c r="E371" s="504">
        <v>37319.101364525319</v>
      </c>
      <c r="F371" s="505">
        <v>41906.395751617667</v>
      </c>
      <c r="G371" s="426"/>
      <c r="H371" s="426"/>
      <c r="I371" s="426"/>
      <c r="J371" s="426"/>
      <c r="K371" s="426"/>
      <c r="L371" s="426"/>
      <c r="M371" s="426"/>
      <c r="N371" s="629"/>
      <c r="O371" s="629"/>
      <c r="P371" s="629"/>
      <c r="Q371" s="629"/>
      <c r="R371" s="629"/>
      <c r="S371" s="426"/>
      <c r="T371" s="503">
        <v>11543.964608683544</v>
      </c>
      <c r="U371" s="504">
        <v>12962.958156704643</v>
      </c>
      <c r="V371" s="504">
        <v>11543.964608683544</v>
      </c>
      <c r="W371" s="505">
        <v>12962.958156704643</v>
      </c>
      <c r="X371" s="426"/>
      <c r="Y371" s="426"/>
      <c r="Z371" s="503">
        <v>13159.760949630005</v>
      </c>
      <c r="AA371" s="504">
        <v>14777.369502152629</v>
      </c>
      <c r="AB371" s="504">
        <v>13159.760949630005</v>
      </c>
      <c r="AC371" s="505">
        <v>14777.369502152629</v>
      </c>
      <c r="AD371" s="426"/>
      <c r="AE371" s="426"/>
      <c r="AF371" s="503">
        <v>15133.19</v>
      </c>
      <c r="AG371" s="504">
        <v>16993.37</v>
      </c>
      <c r="AH371" s="504">
        <v>15133.19</v>
      </c>
      <c r="AI371" s="505">
        <v>16993.37</v>
      </c>
      <c r="AJ371" s="426"/>
      <c r="AK371" s="426"/>
      <c r="AL371" s="503">
        <v>17252.33855004828</v>
      </c>
      <c r="AM371" s="504">
        <v>19373.010080206928</v>
      </c>
      <c r="AN371" s="504">
        <v>17252.33855004828</v>
      </c>
      <c r="AO371" s="505">
        <v>19373.010080206928</v>
      </c>
      <c r="AP371" s="426"/>
      <c r="AQ371" s="426"/>
      <c r="AR371" s="503">
        <v>17683.84</v>
      </c>
      <c r="AS371" s="504">
        <v>19857.560000000001</v>
      </c>
      <c r="AT371" s="504">
        <v>17683.84</v>
      </c>
      <c r="AU371" s="505">
        <v>19857.560000000001</v>
      </c>
    </row>
    <row r="372" spans="1:47" ht="13" hidden="1">
      <c r="A372" s="502">
        <v>36</v>
      </c>
      <c r="B372" s="517" t="str">
        <f t="shared" si="36"/>
        <v>36B</v>
      </c>
      <c r="C372" s="503">
        <v>38914.426116686715</v>
      </c>
      <c r="D372" s="504">
        <v>43782.869971041153</v>
      </c>
      <c r="E372" s="504">
        <v>38914.426116686715</v>
      </c>
      <c r="F372" s="505">
        <v>43782.869971041153</v>
      </c>
      <c r="G372" s="426"/>
      <c r="H372" s="426"/>
      <c r="I372" s="426"/>
      <c r="J372" s="426"/>
      <c r="K372" s="426"/>
      <c r="L372" s="426"/>
      <c r="M372" s="426"/>
      <c r="N372" s="629"/>
      <c r="O372" s="629"/>
      <c r="P372" s="629"/>
      <c r="Q372" s="629"/>
      <c r="R372" s="629"/>
      <c r="S372" s="426"/>
      <c r="T372" s="503">
        <v>12037.448422734178</v>
      </c>
      <c r="U372" s="504">
        <v>13543.410289421945</v>
      </c>
      <c r="V372" s="504">
        <v>12037.448422734178</v>
      </c>
      <c r="W372" s="505">
        <v>13543.410289421945</v>
      </c>
      <c r="X372" s="426"/>
      <c r="Y372" s="426"/>
      <c r="Z372" s="503">
        <v>13722.317163682585</v>
      </c>
      <c r="AA372" s="504">
        <v>15439.066897128761</v>
      </c>
      <c r="AB372" s="504">
        <v>13722.317163682585</v>
      </c>
      <c r="AC372" s="505">
        <v>15439.066897128761</v>
      </c>
      <c r="AD372" s="426"/>
      <c r="AE372" s="426"/>
      <c r="AF372" s="503">
        <v>15780.1</v>
      </c>
      <c r="AG372" s="504">
        <v>17754.29</v>
      </c>
      <c r="AH372" s="504">
        <v>15780.1</v>
      </c>
      <c r="AI372" s="505">
        <v>17754.29</v>
      </c>
      <c r="AJ372" s="426"/>
      <c r="AK372" s="426"/>
      <c r="AL372" s="503">
        <v>17989.84512751703</v>
      </c>
      <c r="AM372" s="504">
        <v>20240.489931817319</v>
      </c>
      <c r="AN372" s="504">
        <v>17989.84512751703</v>
      </c>
      <c r="AO372" s="505">
        <v>20240.489931817319</v>
      </c>
      <c r="AP372" s="426"/>
      <c r="AQ372" s="426"/>
      <c r="AR372" s="503">
        <v>18439.8</v>
      </c>
      <c r="AS372" s="504">
        <v>20746.73</v>
      </c>
      <c r="AT372" s="504">
        <v>18439.8</v>
      </c>
      <c r="AU372" s="505">
        <v>20746.73</v>
      </c>
    </row>
    <row r="373" spans="1:47" ht="13" hidden="1">
      <c r="A373" s="502">
        <v>37</v>
      </c>
      <c r="B373" s="517" t="str">
        <f t="shared" si="36"/>
        <v>37B</v>
      </c>
      <c r="C373" s="503">
        <v>41036.187505211303</v>
      </c>
      <c r="D373" s="504">
        <v>45876.228966938223</v>
      </c>
      <c r="E373" s="504">
        <v>41036.187505211303</v>
      </c>
      <c r="F373" s="505">
        <v>45876.228966938223</v>
      </c>
      <c r="G373" s="426"/>
      <c r="H373" s="426"/>
      <c r="I373" s="426"/>
      <c r="J373" s="426"/>
      <c r="K373" s="426"/>
      <c r="L373" s="426"/>
      <c r="M373" s="426"/>
      <c r="N373" s="629"/>
      <c r="O373" s="629"/>
      <c r="P373" s="629"/>
      <c r="Q373" s="629"/>
      <c r="R373" s="629"/>
      <c r="S373" s="426"/>
      <c r="T373" s="503">
        <v>12693.775544278482</v>
      </c>
      <c r="U373" s="504">
        <v>14190.951663097048</v>
      </c>
      <c r="V373" s="504">
        <v>12693.775544278482</v>
      </c>
      <c r="W373" s="505">
        <v>14190.951663097048</v>
      </c>
      <c r="X373" s="426"/>
      <c r="Y373" s="426"/>
      <c r="Z373" s="503">
        <v>14470.509688266802</v>
      </c>
      <c r="AA373" s="504">
        <v>16177.243942140614</v>
      </c>
      <c r="AB373" s="504">
        <v>14470.509688266802</v>
      </c>
      <c r="AC373" s="505">
        <v>16177.243942140614</v>
      </c>
      <c r="AD373" s="426"/>
      <c r="AE373" s="426"/>
      <c r="AF373" s="503">
        <v>16640.490000000002</v>
      </c>
      <c r="AG373" s="504">
        <v>18603.169999999998</v>
      </c>
      <c r="AH373" s="504">
        <v>16640.490000000002</v>
      </c>
      <c r="AI373" s="505">
        <v>18603.169999999998</v>
      </c>
      <c r="AJ373" s="426"/>
      <c r="AK373" s="426"/>
      <c r="AL373" s="503">
        <v>18970.719383831329</v>
      </c>
      <c r="AM373" s="504">
        <v>21208.233976649441</v>
      </c>
      <c r="AN373" s="504">
        <v>18970.719383831329</v>
      </c>
      <c r="AO373" s="505">
        <v>21208.233976649441</v>
      </c>
      <c r="AP373" s="426"/>
      <c r="AQ373" s="426"/>
      <c r="AR373" s="503">
        <v>19445.2</v>
      </c>
      <c r="AS373" s="504">
        <v>21738.68</v>
      </c>
      <c r="AT373" s="504">
        <v>19445.2</v>
      </c>
      <c r="AU373" s="505">
        <v>21738.68</v>
      </c>
    </row>
    <row r="374" spans="1:47" ht="13" hidden="1">
      <c r="A374" s="502">
        <v>38</v>
      </c>
      <c r="B374" s="517" t="str">
        <f t="shared" si="36"/>
        <v>38B</v>
      </c>
      <c r="C374" s="503">
        <v>43224.335209033896</v>
      </c>
      <c r="D374" s="504">
        <v>47894.030754496132</v>
      </c>
      <c r="E374" s="504">
        <v>43224.335209033896</v>
      </c>
      <c r="F374" s="505">
        <v>47894.030754496132</v>
      </c>
      <c r="G374" s="426"/>
      <c r="H374" s="426"/>
      <c r="I374" s="426"/>
      <c r="J374" s="426"/>
      <c r="K374" s="426"/>
      <c r="L374" s="426"/>
      <c r="M374" s="426"/>
      <c r="N374" s="629"/>
      <c r="O374" s="629"/>
      <c r="P374" s="629"/>
      <c r="Q374" s="629"/>
      <c r="R374" s="629"/>
      <c r="S374" s="426"/>
      <c r="T374" s="503">
        <v>13370.638028312238</v>
      </c>
      <c r="U374" s="504">
        <v>14815.120830392407</v>
      </c>
      <c r="V374" s="504">
        <v>13370.638028312238</v>
      </c>
      <c r="W374" s="505">
        <v>14815.120830392407</v>
      </c>
      <c r="X374" s="426"/>
      <c r="Y374" s="426"/>
      <c r="Z374" s="503">
        <v>15242.111887996067</v>
      </c>
      <c r="AA374" s="504">
        <v>16888.777398121405</v>
      </c>
      <c r="AB374" s="504">
        <v>15242.111887996067</v>
      </c>
      <c r="AC374" s="505">
        <v>16888.777398121405</v>
      </c>
      <c r="AD374" s="426"/>
      <c r="AE374" s="426"/>
      <c r="AF374" s="503">
        <v>17527.8</v>
      </c>
      <c r="AG374" s="504">
        <v>19421.400000000001</v>
      </c>
      <c r="AH374" s="504">
        <v>17527.8</v>
      </c>
      <c r="AI374" s="505">
        <v>19421.400000000001</v>
      </c>
      <c r="AJ374" s="426"/>
      <c r="AK374" s="426"/>
      <c r="AL374" s="503">
        <v>19982.283532043723</v>
      </c>
      <c r="AM374" s="504">
        <v>22141.048495032588</v>
      </c>
      <c r="AN374" s="504">
        <v>19982.283532043723</v>
      </c>
      <c r="AO374" s="505">
        <v>22141.048495032588</v>
      </c>
      <c r="AP374" s="426"/>
      <c r="AQ374" s="426"/>
      <c r="AR374" s="503">
        <v>20482.07</v>
      </c>
      <c r="AS374" s="504">
        <v>22694.83</v>
      </c>
      <c r="AT374" s="504">
        <v>20482.07</v>
      </c>
      <c r="AU374" s="505">
        <v>22694.83</v>
      </c>
    </row>
    <row r="375" spans="1:47" ht="13" hidden="1">
      <c r="A375" s="502">
        <v>39</v>
      </c>
      <c r="B375" s="517" t="str">
        <f t="shared" si="36"/>
        <v>39B</v>
      </c>
      <c r="C375" s="503">
        <v>45584.334498127915</v>
      </c>
      <c r="D375" s="504">
        <v>50064.863264741005</v>
      </c>
      <c r="E375" s="504">
        <v>45584.334498127915</v>
      </c>
      <c r="F375" s="505">
        <v>50064.863264741005</v>
      </c>
      <c r="G375" s="426"/>
      <c r="H375" s="426"/>
      <c r="I375" s="426"/>
      <c r="J375" s="426"/>
      <c r="K375" s="426"/>
      <c r="L375" s="426"/>
      <c r="M375" s="426"/>
      <c r="N375" s="629"/>
      <c r="O375" s="629"/>
      <c r="P375" s="629"/>
      <c r="Q375" s="629"/>
      <c r="R375" s="629"/>
      <c r="S375" s="426"/>
      <c r="T375" s="503">
        <v>14100.659579573841</v>
      </c>
      <c r="U375" s="504">
        <v>15486.627183797469</v>
      </c>
      <c r="V375" s="504">
        <v>14100.659579573841</v>
      </c>
      <c r="W375" s="505">
        <v>15486.627183797469</v>
      </c>
      <c r="X375" s="426"/>
      <c r="Y375" s="426"/>
      <c r="Z375" s="503">
        <v>16074.313772559562</v>
      </c>
      <c r="AA375" s="504">
        <v>17654.273775364378</v>
      </c>
      <c r="AB375" s="504">
        <v>16074.313772559562</v>
      </c>
      <c r="AC375" s="505">
        <v>17654.273775364378</v>
      </c>
      <c r="AD375" s="426"/>
      <c r="AE375" s="426"/>
      <c r="AF375" s="503">
        <v>18484.8</v>
      </c>
      <c r="AG375" s="504">
        <v>20301.689999999999</v>
      </c>
      <c r="AH375" s="504">
        <v>18484.8</v>
      </c>
      <c r="AI375" s="505">
        <v>20301.689999999999</v>
      </c>
      <c r="AJ375" s="426"/>
      <c r="AK375" s="426"/>
      <c r="AL375" s="503">
        <v>21073.293369489238</v>
      </c>
      <c r="AM375" s="504">
        <v>23144.607960100424</v>
      </c>
      <c r="AN375" s="504">
        <v>21073.293369489238</v>
      </c>
      <c r="AO375" s="505">
        <v>23144.607960100424</v>
      </c>
      <c r="AP375" s="426"/>
      <c r="AQ375" s="426"/>
      <c r="AR375" s="503">
        <v>21600.37</v>
      </c>
      <c r="AS375" s="504">
        <v>23723.49</v>
      </c>
      <c r="AT375" s="504">
        <v>21600.37</v>
      </c>
      <c r="AU375" s="505">
        <v>23723.49</v>
      </c>
    </row>
    <row r="376" spans="1:47" ht="13" hidden="1">
      <c r="A376" s="502">
        <v>40</v>
      </c>
      <c r="B376" s="517" t="str">
        <f t="shared" si="36"/>
        <v>40B</v>
      </c>
      <c r="C376" s="503">
        <v>47187.461353324361</v>
      </c>
      <c r="D376" s="504">
        <v>52314.401200339176</v>
      </c>
      <c r="E376" s="504">
        <v>47187.461353324361</v>
      </c>
      <c r="F376" s="505">
        <v>52314.401200339176</v>
      </c>
      <c r="G376" s="426"/>
      <c r="H376" s="426"/>
      <c r="I376" s="426"/>
      <c r="J376" s="426"/>
      <c r="K376" s="426"/>
      <c r="L376" s="426"/>
      <c r="M376" s="426"/>
      <c r="N376" s="629"/>
      <c r="O376" s="629"/>
      <c r="P376" s="629"/>
      <c r="Q376" s="629"/>
      <c r="R376" s="629"/>
      <c r="S376" s="426"/>
      <c r="T376" s="503">
        <v>14596.556827978906</v>
      </c>
      <c r="U376" s="504">
        <v>16182.479585514771</v>
      </c>
      <c r="V376" s="504">
        <v>14596.556827978906</v>
      </c>
      <c r="W376" s="505">
        <v>16182.479585514771</v>
      </c>
      <c r="X376" s="426"/>
      <c r="Y376" s="426"/>
      <c r="Z376" s="503">
        <v>16639.621226783835</v>
      </c>
      <c r="AA376" s="504">
        <v>18447.523891181379</v>
      </c>
      <c r="AB376" s="504">
        <v>16639.621226783835</v>
      </c>
      <c r="AC376" s="505">
        <v>18447.523891181379</v>
      </c>
      <c r="AD376" s="426"/>
      <c r="AE376" s="426"/>
      <c r="AF376" s="503">
        <v>19134.88</v>
      </c>
      <c r="AG376" s="504">
        <v>21213.9</v>
      </c>
      <c r="AH376" s="504">
        <v>19134.88</v>
      </c>
      <c r="AI376" s="505">
        <v>21213.9</v>
      </c>
      <c r="AJ376" s="426"/>
      <c r="AK376" s="426"/>
      <c r="AL376" s="503">
        <v>21814.406800232613</v>
      </c>
      <c r="AM376" s="504">
        <v>24184.552348552606</v>
      </c>
      <c r="AN376" s="504">
        <v>21814.406800232613</v>
      </c>
      <c r="AO376" s="505">
        <v>24184.552348552606</v>
      </c>
      <c r="AP376" s="426"/>
      <c r="AQ376" s="426"/>
      <c r="AR376" s="503">
        <v>22360.02</v>
      </c>
      <c r="AS376" s="504">
        <v>24789.439999999999</v>
      </c>
      <c r="AT376" s="504">
        <v>22360.02</v>
      </c>
      <c r="AU376" s="505">
        <v>24789.439999999999</v>
      </c>
    </row>
    <row r="377" spans="1:47" ht="13" hidden="1">
      <c r="A377" s="502">
        <v>41</v>
      </c>
      <c r="B377" s="517" t="str">
        <f t="shared" si="36"/>
        <v>41B</v>
      </c>
      <c r="C377" s="503">
        <v>48943.208294205913</v>
      </c>
      <c r="D377" s="504">
        <v>54673.852973430745</v>
      </c>
      <c r="E377" s="504">
        <v>48943.208294205913</v>
      </c>
      <c r="F377" s="505">
        <v>54673.852973430745</v>
      </c>
      <c r="G377" s="426"/>
      <c r="H377" s="426"/>
      <c r="I377" s="426"/>
      <c r="J377" s="426"/>
      <c r="K377" s="426"/>
      <c r="L377" s="426"/>
      <c r="M377" s="426"/>
      <c r="N377" s="629"/>
      <c r="O377" s="629"/>
      <c r="P377" s="629"/>
      <c r="Q377" s="629"/>
      <c r="R377" s="629"/>
      <c r="S377" s="426"/>
      <c r="T377" s="503">
        <v>15139.664239632915</v>
      </c>
      <c r="U377" s="504">
        <v>16912.331772962025</v>
      </c>
      <c r="V377" s="504">
        <v>15139.664239632915</v>
      </c>
      <c r="W377" s="505">
        <v>16912.331772962025</v>
      </c>
      <c r="X377" s="426"/>
      <c r="Y377" s="426"/>
      <c r="Z377" s="503">
        <v>17258.746800155983</v>
      </c>
      <c r="AA377" s="504">
        <v>19279.532706259146</v>
      </c>
      <c r="AB377" s="504">
        <v>17258.746800155983</v>
      </c>
      <c r="AC377" s="505">
        <v>19279.532706259146</v>
      </c>
      <c r="AD377" s="426"/>
      <c r="AE377" s="426"/>
      <c r="AF377" s="503">
        <v>19846.849999999999</v>
      </c>
      <c r="AG377" s="504">
        <v>22170.67</v>
      </c>
      <c r="AH377" s="504">
        <v>19846.849999999999</v>
      </c>
      <c r="AI377" s="505">
        <v>22170.67</v>
      </c>
      <c r="AJ377" s="426"/>
      <c r="AK377" s="426"/>
      <c r="AL377" s="503">
        <v>22626.0753432778</v>
      </c>
      <c r="AM377" s="504">
        <v>25275.309073487628</v>
      </c>
      <c r="AN377" s="504">
        <v>22626.0753432778</v>
      </c>
      <c r="AO377" s="505">
        <v>25275.309073487628</v>
      </c>
      <c r="AP377" s="426"/>
      <c r="AQ377" s="426"/>
      <c r="AR377" s="503">
        <v>23191.99</v>
      </c>
      <c r="AS377" s="504">
        <v>25907.48</v>
      </c>
      <c r="AT377" s="504">
        <v>23191.99</v>
      </c>
      <c r="AU377" s="505">
        <v>25907.48</v>
      </c>
    </row>
    <row r="378" spans="1:47" ht="13" hidden="1">
      <c r="A378" s="502">
        <v>42</v>
      </c>
      <c r="B378" s="517" t="str">
        <f t="shared" si="36"/>
        <v>42B</v>
      </c>
      <c r="C378" s="503">
        <v>50842.335988231076</v>
      </c>
      <c r="D378" s="504">
        <v>57129.25692595305</v>
      </c>
      <c r="E378" s="504">
        <v>50842.335988231076</v>
      </c>
      <c r="F378" s="505">
        <v>57129.25692595305</v>
      </c>
      <c r="G378" s="426"/>
      <c r="H378" s="426"/>
      <c r="I378" s="426"/>
      <c r="J378" s="426"/>
      <c r="K378" s="426"/>
      <c r="L378" s="426"/>
      <c r="M378" s="426"/>
      <c r="N378" s="629"/>
      <c r="O378" s="629"/>
      <c r="P378" s="629"/>
      <c r="Q378" s="629"/>
      <c r="R378" s="629"/>
      <c r="S378" s="426"/>
      <c r="T378" s="503">
        <v>15727.123800168776</v>
      </c>
      <c r="U378" s="504">
        <v>17671.864968873419</v>
      </c>
      <c r="V378" s="504">
        <v>15727.123800168776</v>
      </c>
      <c r="W378" s="505">
        <v>17671.864968873419</v>
      </c>
      <c r="X378" s="426"/>
      <c r="Y378" s="426"/>
      <c r="Z378" s="503">
        <v>17928.432445104292</v>
      </c>
      <c r="AA378" s="504">
        <v>20145.376948711506</v>
      </c>
      <c r="AB378" s="504">
        <v>17928.432445104292</v>
      </c>
      <c r="AC378" s="505">
        <v>20145.376948711506</v>
      </c>
      <c r="AD378" s="426"/>
      <c r="AE378" s="426"/>
      <c r="AF378" s="503">
        <v>20616.96</v>
      </c>
      <c r="AG378" s="504">
        <v>23166.36</v>
      </c>
      <c r="AH378" s="504">
        <v>20616.96</v>
      </c>
      <c r="AI378" s="505">
        <v>23166.36</v>
      </c>
      <c r="AJ378" s="426"/>
      <c r="AK378" s="426"/>
      <c r="AL378" s="503">
        <v>23504.027725010121</v>
      </c>
      <c r="AM378" s="504">
        <v>26410.423765887728</v>
      </c>
      <c r="AN378" s="504">
        <v>23504.027725010121</v>
      </c>
      <c r="AO378" s="505">
        <v>26410.423765887728</v>
      </c>
      <c r="AP378" s="426"/>
      <c r="AQ378" s="426"/>
      <c r="AR378" s="503">
        <v>24091.9</v>
      </c>
      <c r="AS378" s="504">
        <v>27070.99</v>
      </c>
      <c r="AT378" s="504">
        <v>24091.9</v>
      </c>
      <c r="AU378" s="505">
        <v>27070.99</v>
      </c>
    </row>
    <row r="379" spans="1:47" ht="13" hidden="1">
      <c r="A379" s="502">
        <v>43</v>
      </c>
      <c r="B379" s="517" t="str">
        <f t="shared" si="36"/>
        <v>43B</v>
      </c>
      <c r="C379" s="503">
        <v>52872.593764844896</v>
      </c>
      <c r="D379" s="504">
        <v>59683.555956419259</v>
      </c>
      <c r="E379" s="504">
        <v>52872.593764844896</v>
      </c>
      <c r="F379" s="505">
        <v>59683.555956419259</v>
      </c>
      <c r="G379" s="426"/>
      <c r="H379" s="426"/>
      <c r="I379" s="426"/>
      <c r="J379" s="426"/>
      <c r="K379" s="426"/>
      <c r="L379" s="426"/>
      <c r="M379" s="426"/>
      <c r="N379" s="629"/>
      <c r="O379" s="629"/>
      <c r="P379" s="629"/>
      <c r="Q379" s="629"/>
      <c r="R379" s="629"/>
      <c r="S379" s="426"/>
      <c r="T379" s="503">
        <v>16355.145994240511</v>
      </c>
      <c r="U379" s="504">
        <v>18461.989503751054</v>
      </c>
      <c r="V379" s="504">
        <v>16355.145994240511</v>
      </c>
      <c r="W379" s="505">
        <v>18461.989503751054</v>
      </c>
      <c r="X379" s="426"/>
      <c r="Y379" s="426"/>
      <c r="Z379" s="503">
        <v>18644.358231885501</v>
      </c>
      <c r="AA379" s="504">
        <v>21046.094367024256</v>
      </c>
      <c r="AB379" s="504">
        <v>18644.358231885501</v>
      </c>
      <c r="AC379" s="505">
        <v>21046.094367024256</v>
      </c>
      <c r="AD379" s="426"/>
      <c r="AE379" s="426"/>
      <c r="AF379" s="503">
        <v>21440.25</v>
      </c>
      <c r="AG379" s="504">
        <v>24202.15</v>
      </c>
      <c r="AH379" s="504">
        <v>21440.25</v>
      </c>
      <c r="AI379" s="505">
        <v>24202.15</v>
      </c>
      <c r="AJ379" s="426"/>
      <c r="AK379" s="426"/>
      <c r="AL379" s="503">
        <v>24442.600553007145</v>
      </c>
      <c r="AM379" s="504">
        <v>27591.256905496848</v>
      </c>
      <c r="AN379" s="504">
        <v>24442.600553007145</v>
      </c>
      <c r="AO379" s="505">
        <v>27591.256905496848</v>
      </c>
      <c r="AP379" s="426"/>
      <c r="AQ379" s="426"/>
      <c r="AR379" s="503">
        <v>25053.94</v>
      </c>
      <c r="AS379" s="504">
        <v>28281.35</v>
      </c>
      <c r="AT379" s="504">
        <v>25053.94</v>
      </c>
      <c r="AU379" s="505">
        <v>28281.35</v>
      </c>
    </row>
    <row r="380" spans="1:47" ht="13" hidden="1">
      <c r="A380" s="502">
        <v>44</v>
      </c>
      <c r="B380" s="517" t="str">
        <f t="shared" si="36"/>
        <v>44B</v>
      </c>
      <c r="C380" s="503">
        <v>55147.728073557962</v>
      </c>
      <c r="D380" s="504">
        <v>62709.813781004137</v>
      </c>
      <c r="E380" s="504">
        <v>55147.728073557962</v>
      </c>
      <c r="F380" s="505">
        <v>62709.813781004137</v>
      </c>
      <c r="G380" s="426"/>
      <c r="H380" s="426"/>
      <c r="I380" s="426"/>
      <c r="J380" s="426"/>
      <c r="K380" s="426"/>
      <c r="L380" s="426"/>
      <c r="M380" s="426"/>
      <c r="N380" s="629"/>
      <c r="O380" s="629"/>
      <c r="P380" s="629"/>
      <c r="Q380" s="629"/>
      <c r="R380" s="629"/>
      <c r="S380" s="426"/>
      <c r="T380" s="503">
        <v>17058.916154278482</v>
      </c>
      <c r="U380" s="504">
        <v>19398.105646594944</v>
      </c>
      <c r="V380" s="504">
        <v>17058.916154278482</v>
      </c>
      <c r="W380" s="505">
        <v>19398.105646594944</v>
      </c>
      <c r="X380" s="426"/>
      <c r="Y380" s="426"/>
      <c r="Z380" s="503">
        <v>19446.634346160481</v>
      </c>
      <c r="AA380" s="504">
        <v>22113.237682038296</v>
      </c>
      <c r="AB380" s="504">
        <v>19446.634346160481</v>
      </c>
      <c r="AC380" s="505">
        <v>22113.237682038296</v>
      </c>
      <c r="AD380" s="426"/>
      <c r="AE380" s="426"/>
      <c r="AF380" s="503">
        <v>22362.83</v>
      </c>
      <c r="AG380" s="504">
        <v>25429.32</v>
      </c>
      <c r="AH380" s="504">
        <v>22362.83</v>
      </c>
      <c r="AI380" s="505">
        <v>25429.32</v>
      </c>
      <c r="AJ380" s="426"/>
      <c r="AK380" s="426"/>
      <c r="AL380" s="503">
        <v>25494.377951325187</v>
      </c>
      <c r="AM380" s="504">
        <v>28990.273029156797</v>
      </c>
      <c r="AN380" s="504">
        <v>25494.377951325187</v>
      </c>
      <c r="AO380" s="505">
        <v>28990.273029156797</v>
      </c>
      <c r="AP380" s="426"/>
      <c r="AQ380" s="426"/>
      <c r="AR380" s="503">
        <v>26132.03</v>
      </c>
      <c r="AS380" s="504">
        <v>29715.360000000001</v>
      </c>
      <c r="AT380" s="504">
        <v>26132.03</v>
      </c>
      <c r="AU380" s="505">
        <v>29715.360000000001</v>
      </c>
    </row>
    <row r="381" spans="1:47" ht="13" hidden="1">
      <c r="A381" s="502">
        <v>45</v>
      </c>
      <c r="B381" s="517" t="str">
        <f t="shared" si="36"/>
        <v>45B</v>
      </c>
      <c r="C381" s="503">
        <v>57627.42804868934</v>
      </c>
      <c r="D381" s="504">
        <v>64954.903149082347</v>
      </c>
      <c r="E381" s="504">
        <v>57627.42804868934</v>
      </c>
      <c r="F381" s="505">
        <v>64954.903149082347</v>
      </c>
      <c r="G381" s="426"/>
      <c r="H381" s="426"/>
      <c r="I381" s="426"/>
      <c r="J381" s="426"/>
      <c r="K381" s="426"/>
      <c r="L381" s="426"/>
      <c r="M381" s="426"/>
      <c r="N381" s="629"/>
      <c r="O381" s="629"/>
      <c r="P381" s="629"/>
      <c r="Q381" s="629"/>
      <c r="R381" s="629"/>
      <c r="S381" s="426"/>
      <c r="T381" s="503">
        <v>17825.964869451484</v>
      </c>
      <c r="U381" s="504">
        <v>20092.581967320679</v>
      </c>
      <c r="V381" s="504">
        <v>17825.964869451484</v>
      </c>
      <c r="W381" s="505">
        <v>20092.581967320679</v>
      </c>
      <c r="X381" s="426"/>
      <c r="Y381" s="426"/>
      <c r="Z381" s="503">
        <v>20321.046047042215</v>
      </c>
      <c r="AA381" s="504">
        <v>22904.919108283717</v>
      </c>
      <c r="AB381" s="504">
        <v>20321.046047042215</v>
      </c>
      <c r="AC381" s="505">
        <v>22904.919108283717</v>
      </c>
      <c r="AD381" s="426"/>
      <c r="AE381" s="426"/>
      <c r="AF381" s="503">
        <v>23368.37</v>
      </c>
      <c r="AG381" s="504">
        <v>26339.72</v>
      </c>
      <c r="AH381" s="504">
        <v>23368.37</v>
      </c>
      <c r="AI381" s="505">
        <v>26339.72</v>
      </c>
      <c r="AJ381" s="426"/>
      <c r="AK381" s="426"/>
      <c r="AL381" s="503">
        <v>26640.724511378718</v>
      </c>
      <c r="AM381" s="504">
        <v>30028.160878461167</v>
      </c>
      <c r="AN381" s="504">
        <v>26640.724511378718</v>
      </c>
      <c r="AO381" s="505">
        <v>30028.160878461167</v>
      </c>
      <c r="AP381" s="426"/>
      <c r="AQ381" s="426"/>
      <c r="AR381" s="503">
        <v>27307.05</v>
      </c>
      <c r="AS381" s="504">
        <v>30779.21</v>
      </c>
      <c r="AT381" s="504">
        <v>27307.05</v>
      </c>
      <c r="AU381" s="505">
        <v>30779.21</v>
      </c>
    </row>
    <row r="382" spans="1:47" ht="13" hidden="1">
      <c r="A382" s="502">
        <v>46</v>
      </c>
      <c r="B382" s="517" t="str">
        <f t="shared" si="36"/>
        <v>46B</v>
      </c>
      <c r="C382" s="503">
        <v>60346.050319393216</v>
      </c>
      <c r="D382" s="504">
        <v>67398.740826052715</v>
      </c>
      <c r="E382" s="504">
        <v>60346.050319393216</v>
      </c>
      <c r="F382" s="505">
        <v>67398.740826052715</v>
      </c>
      <c r="G382" s="426"/>
      <c r="H382" s="426"/>
      <c r="I382" s="426"/>
      <c r="J382" s="426"/>
      <c r="K382" s="426"/>
      <c r="L382" s="426"/>
      <c r="M382" s="426"/>
      <c r="N382" s="629"/>
      <c r="O382" s="629"/>
      <c r="P382" s="629"/>
      <c r="Q382" s="629"/>
      <c r="R382" s="629"/>
      <c r="S382" s="426"/>
      <c r="T382" s="503">
        <v>18666.919719109708</v>
      </c>
      <c r="U382" s="504">
        <v>20848.537352654013</v>
      </c>
      <c r="V382" s="504">
        <v>18666.919719109708</v>
      </c>
      <c r="W382" s="505">
        <v>20848.537352654013</v>
      </c>
      <c r="X382" s="426"/>
      <c r="Y382" s="426"/>
      <c r="Z382" s="503">
        <v>21279.708444760385</v>
      </c>
      <c r="AA382" s="504">
        <v>23766.68475784998</v>
      </c>
      <c r="AB382" s="504">
        <v>21279.708444760385</v>
      </c>
      <c r="AC382" s="505">
        <v>23766.68475784998</v>
      </c>
      <c r="AD382" s="426"/>
      <c r="AE382" s="426"/>
      <c r="AF382" s="503">
        <v>24470.79</v>
      </c>
      <c r="AG382" s="504">
        <v>27330.71</v>
      </c>
      <c r="AH382" s="504">
        <v>24470.79</v>
      </c>
      <c r="AI382" s="505">
        <v>27330.71</v>
      </c>
      <c r="AJ382" s="426"/>
      <c r="AK382" s="426"/>
      <c r="AL382" s="503">
        <v>27897.523043201596</v>
      </c>
      <c r="AM382" s="504">
        <v>31157.928569076958</v>
      </c>
      <c r="AN382" s="504">
        <v>27897.523043201596</v>
      </c>
      <c r="AO382" s="505">
        <v>31157.928569076958</v>
      </c>
      <c r="AP382" s="426"/>
      <c r="AQ382" s="426"/>
      <c r="AR382" s="503">
        <v>28595.279999999999</v>
      </c>
      <c r="AS382" s="504">
        <v>31937.23</v>
      </c>
      <c r="AT382" s="504">
        <v>28595.279999999999</v>
      </c>
      <c r="AU382" s="505">
        <v>31937.23</v>
      </c>
    </row>
    <row r="383" spans="1:47" ht="13" hidden="1">
      <c r="A383" s="502">
        <v>47</v>
      </c>
      <c r="B383" s="517" t="str">
        <f t="shared" si="36"/>
        <v>47B</v>
      </c>
      <c r="C383" s="503">
        <v>63331.107564793114</v>
      </c>
      <c r="D383" s="504">
        <v>70834.609059976327</v>
      </c>
      <c r="E383" s="504">
        <v>63331.107564793114</v>
      </c>
      <c r="F383" s="505">
        <v>70834.609059976327</v>
      </c>
      <c r="G383" s="426"/>
      <c r="H383" s="426"/>
      <c r="I383" s="426"/>
      <c r="J383" s="426"/>
      <c r="K383" s="426"/>
      <c r="L383" s="426"/>
      <c r="M383" s="426"/>
      <c r="N383" s="629"/>
      <c r="O383" s="629"/>
      <c r="P383" s="629"/>
      <c r="Q383" s="629"/>
      <c r="R383" s="629"/>
      <c r="S383" s="426"/>
      <c r="T383" s="503">
        <v>19590.291234924054</v>
      </c>
      <c r="U383" s="504">
        <v>21911.358799105488</v>
      </c>
      <c r="V383" s="504">
        <v>19590.291234924054</v>
      </c>
      <c r="W383" s="505">
        <v>21911.358799105488</v>
      </c>
      <c r="X383" s="426"/>
      <c r="Y383" s="426"/>
      <c r="Z383" s="503">
        <v>22332.323280973054</v>
      </c>
      <c r="AA383" s="504">
        <v>24978.268181877505</v>
      </c>
      <c r="AB383" s="504">
        <v>22332.323280973054</v>
      </c>
      <c r="AC383" s="505">
        <v>24978.268181877505</v>
      </c>
      <c r="AD383" s="426"/>
      <c r="AE383" s="426"/>
      <c r="AF383" s="503">
        <v>25681.26</v>
      </c>
      <c r="AG383" s="504">
        <v>28723.98</v>
      </c>
      <c r="AH383" s="504">
        <v>25681.26</v>
      </c>
      <c r="AI383" s="505">
        <v>28723.98</v>
      </c>
      <c r="AJ383" s="426"/>
      <c r="AK383" s="426"/>
      <c r="AL383" s="503">
        <v>29277.492450446429</v>
      </c>
      <c r="AM383" s="504">
        <v>32746.304489654554</v>
      </c>
      <c r="AN383" s="504">
        <v>29277.492450446429</v>
      </c>
      <c r="AO383" s="505">
        <v>32746.304489654554</v>
      </c>
      <c r="AP383" s="426"/>
      <c r="AQ383" s="426"/>
      <c r="AR383" s="503">
        <v>30009.759999999998</v>
      </c>
      <c r="AS383" s="504">
        <v>33565.339999999997</v>
      </c>
      <c r="AT383" s="504">
        <v>30009.759999999998</v>
      </c>
      <c r="AU383" s="505">
        <v>33565.339999999997</v>
      </c>
    </row>
    <row r="384" spans="1:47" ht="13" hidden="1">
      <c r="A384" s="502">
        <v>48</v>
      </c>
      <c r="B384" s="517" t="str">
        <f t="shared" si="36"/>
        <v>48B</v>
      </c>
      <c r="C384" s="503">
        <v>66576.850866863257</v>
      </c>
      <c r="D384" s="504">
        <v>73681.623833256541</v>
      </c>
      <c r="E384" s="504">
        <v>66576.850866863257</v>
      </c>
      <c r="F384" s="505">
        <v>73681.623833256541</v>
      </c>
      <c r="G384" s="426"/>
      <c r="H384" s="426"/>
      <c r="I384" s="426"/>
      <c r="J384" s="426"/>
      <c r="K384" s="426"/>
      <c r="L384" s="426"/>
      <c r="M384" s="426"/>
      <c r="N384" s="629"/>
      <c r="O384" s="629"/>
      <c r="P384" s="629"/>
      <c r="Q384" s="629"/>
      <c r="R384" s="629"/>
      <c r="S384" s="426"/>
      <c r="T384" s="503">
        <v>20594.301096843883</v>
      </c>
      <c r="U384" s="504">
        <v>22792.029463227849</v>
      </c>
      <c r="V384" s="504">
        <v>20594.301096843883</v>
      </c>
      <c r="W384" s="505">
        <v>22792.029463227849</v>
      </c>
      <c r="X384" s="426"/>
      <c r="Y384" s="426"/>
      <c r="Z384" s="503">
        <v>23476.863326080034</v>
      </c>
      <c r="AA384" s="504">
        <v>25982.205373999914</v>
      </c>
      <c r="AB384" s="504">
        <v>23476.863326080034</v>
      </c>
      <c r="AC384" s="505">
        <v>25982.205373999914</v>
      </c>
      <c r="AD384" s="426"/>
      <c r="AE384" s="426"/>
      <c r="AF384" s="503">
        <v>26997.43</v>
      </c>
      <c r="AG384" s="504">
        <v>29878.47</v>
      </c>
      <c r="AH384" s="504">
        <v>26997.43</v>
      </c>
      <c r="AI384" s="505">
        <v>29878.47</v>
      </c>
      <c r="AJ384" s="426"/>
      <c r="AK384" s="426"/>
      <c r="AL384" s="503">
        <v>30777.975051752972</v>
      </c>
      <c r="AM384" s="504">
        <v>34062.457905189629</v>
      </c>
      <c r="AN384" s="504">
        <v>30777.975051752972</v>
      </c>
      <c r="AO384" s="505">
        <v>34062.457905189629</v>
      </c>
      <c r="AP384" s="426"/>
      <c r="AQ384" s="426"/>
      <c r="AR384" s="503">
        <v>31547.78</v>
      </c>
      <c r="AS384" s="504">
        <v>34914.410000000003</v>
      </c>
      <c r="AT384" s="504">
        <v>31547.78</v>
      </c>
      <c r="AU384" s="505">
        <v>34914.410000000003</v>
      </c>
    </row>
    <row r="385" spans="1:47" ht="13" hidden="1">
      <c r="A385" s="502">
        <v>49</v>
      </c>
      <c r="B385" s="517" t="str">
        <f t="shared" si="36"/>
        <v>49B</v>
      </c>
      <c r="C385" s="503">
        <v>70135.978640840156</v>
      </c>
      <c r="D385" s="504">
        <v>76752.230454040502</v>
      </c>
      <c r="E385" s="504">
        <v>70135.978640840156</v>
      </c>
      <c r="F385" s="505">
        <v>76752.230454040502</v>
      </c>
      <c r="G385" s="426"/>
      <c r="H385" s="426"/>
      <c r="I385" s="426"/>
      <c r="J385" s="426"/>
      <c r="K385" s="426"/>
      <c r="L385" s="426"/>
      <c r="M385" s="426"/>
      <c r="N385" s="629"/>
      <c r="O385" s="629"/>
      <c r="P385" s="629"/>
      <c r="Q385" s="629"/>
      <c r="R385" s="629"/>
      <c r="S385" s="426"/>
      <c r="T385" s="503">
        <v>21695.250572000001</v>
      </c>
      <c r="U385" s="504">
        <v>23741.864075033762</v>
      </c>
      <c r="V385" s="504">
        <v>21695.250572000001</v>
      </c>
      <c r="W385" s="505">
        <v>23741.864075033762</v>
      </c>
      <c r="X385" s="426"/>
      <c r="Y385" s="426"/>
      <c r="Z385" s="503">
        <v>24731.911518083049</v>
      </c>
      <c r="AA385" s="504">
        <v>27064.987317358264</v>
      </c>
      <c r="AB385" s="504">
        <v>24731.911518083049</v>
      </c>
      <c r="AC385" s="505">
        <v>27064.987317358264</v>
      </c>
      <c r="AD385" s="426"/>
      <c r="AE385" s="426"/>
      <c r="AF385" s="503">
        <v>28440.68</v>
      </c>
      <c r="AG385" s="504">
        <v>31123.63</v>
      </c>
      <c r="AH385" s="504">
        <v>28440.68</v>
      </c>
      <c r="AI385" s="505">
        <v>31123.63</v>
      </c>
      <c r="AJ385" s="426"/>
      <c r="AK385" s="426"/>
      <c r="AL385" s="503">
        <v>32423.332926256826</v>
      </c>
      <c r="AM385" s="504">
        <v>35481.976142200052</v>
      </c>
      <c r="AN385" s="504">
        <v>32423.332926256826</v>
      </c>
      <c r="AO385" s="505">
        <v>35481.976142200052</v>
      </c>
      <c r="AP385" s="426"/>
      <c r="AQ385" s="426"/>
      <c r="AR385" s="503">
        <v>33234.29</v>
      </c>
      <c r="AS385" s="504">
        <v>36369.43</v>
      </c>
      <c r="AT385" s="504">
        <v>33234.29</v>
      </c>
      <c r="AU385" s="505">
        <v>36369.43</v>
      </c>
    </row>
    <row r="386" spans="1:47" ht="13" hidden="1">
      <c r="A386" s="502">
        <v>50</v>
      </c>
      <c r="B386" s="517" t="str">
        <f t="shared" si="36"/>
        <v>50B</v>
      </c>
      <c r="C386" s="503">
        <v>74048.459554903282</v>
      </c>
      <c r="D386" s="504">
        <v>80010.019108164706</v>
      </c>
      <c r="E386" s="504">
        <v>74048.459554903282</v>
      </c>
      <c r="F386" s="505">
        <v>80010.019108164706</v>
      </c>
      <c r="G386" s="426"/>
      <c r="H386" s="426"/>
      <c r="I386" s="426"/>
      <c r="J386" s="426"/>
      <c r="K386" s="426"/>
      <c r="L386" s="426"/>
      <c r="M386" s="426"/>
      <c r="N386" s="629"/>
      <c r="O386" s="629"/>
      <c r="P386" s="629"/>
      <c r="Q386" s="629"/>
      <c r="R386" s="629"/>
      <c r="S386" s="426"/>
      <c r="T386" s="503">
        <v>22905.503218839665</v>
      </c>
      <c r="U386" s="504">
        <v>24749.599940869204</v>
      </c>
      <c r="V386" s="504">
        <v>22905.503218839665</v>
      </c>
      <c r="W386" s="505">
        <v>24749.599940869204</v>
      </c>
      <c r="X386" s="426"/>
      <c r="Y386" s="426"/>
      <c r="Z386" s="503">
        <v>26111.56192944057</v>
      </c>
      <c r="AA386" s="504">
        <v>28213.774891151352</v>
      </c>
      <c r="AB386" s="504">
        <v>26111.56192944057</v>
      </c>
      <c r="AC386" s="505">
        <v>28213.774891151352</v>
      </c>
      <c r="AD386" s="426"/>
      <c r="AE386" s="426"/>
      <c r="AF386" s="503">
        <v>30027.23</v>
      </c>
      <c r="AG386" s="504">
        <v>32444.68</v>
      </c>
      <c r="AH386" s="504">
        <v>30027.23</v>
      </c>
      <c r="AI386" s="505">
        <v>32444.68</v>
      </c>
      <c r="AJ386" s="426"/>
      <c r="AK386" s="426"/>
      <c r="AL386" s="503">
        <v>34232.043287224486</v>
      </c>
      <c r="AM386" s="504">
        <v>36988.027218737589</v>
      </c>
      <c r="AN386" s="504">
        <v>34232.043287224486</v>
      </c>
      <c r="AO386" s="505">
        <v>36988.027218737589</v>
      </c>
      <c r="AP386" s="426"/>
      <c r="AQ386" s="426"/>
      <c r="AR386" s="503">
        <v>35088.239999999998</v>
      </c>
      <c r="AS386" s="504">
        <v>37913.15</v>
      </c>
      <c r="AT386" s="504">
        <v>35088.239999999998</v>
      </c>
      <c r="AU386" s="505">
        <v>37913.15</v>
      </c>
    </row>
    <row r="387" spans="1:47" ht="13" hidden="1">
      <c r="A387" s="502">
        <v>51</v>
      </c>
      <c r="B387" s="517" t="str">
        <f t="shared" si="36"/>
        <v>51B</v>
      </c>
      <c r="C387" s="503">
        <v>78273.298348368597</v>
      </c>
      <c r="D387" s="504">
        <v>83499.064833827011</v>
      </c>
      <c r="E387" s="504">
        <v>78273.298348368597</v>
      </c>
      <c r="F387" s="505">
        <v>83499.064833827011</v>
      </c>
      <c r="G387" s="426"/>
      <c r="H387" s="426"/>
      <c r="I387" s="426"/>
      <c r="J387" s="426"/>
      <c r="K387" s="426"/>
      <c r="L387" s="426"/>
      <c r="M387" s="426"/>
      <c r="N387" s="629"/>
      <c r="O387" s="629"/>
      <c r="P387" s="629"/>
      <c r="Q387" s="629"/>
      <c r="R387" s="629"/>
      <c r="S387" s="426"/>
      <c r="T387" s="503">
        <v>24212.377921763717</v>
      </c>
      <c r="U387" s="504">
        <v>25828.870847789036</v>
      </c>
      <c r="V387" s="504">
        <v>24212.377921763717</v>
      </c>
      <c r="W387" s="505">
        <v>25828.870847789036</v>
      </c>
      <c r="X387" s="426"/>
      <c r="Y387" s="426"/>
      <c r="Z387" s="503">
        <v>27601.358482408396</v>
      </c>
      <c r="AA387" s="504">
        <v>29444.110188980634</v>
      </c>
      <c r="AB387" s="504">
        <v>27601.358482408396</v>
      </c>
      <c r="AC387" s="505">
        <v>29444.110188980634</v>
      </c>
      <c r="AD387" s="426"/>
      <c r="AE387" s="426"/>
      <c r="AF387" s="503">
        <v>31740.43</v>
      </c>
      <c r="AG387" s="504">
        <v>33859.519999999997</v>
      </c>
      <c r="AH387" s="504">
        <v>31740.43</v>
      </c>
      <c r="AI387" s="505">
        <v>33859.519999999997</v>
      </c>
      <c r="AJ387" s="426"/>
      <c r="AK387" s="426"/>
      <c r="AL387" s="503">
        <v>36185.154335432264</v>
      </c>
      <c r="AM387" s="504">
        <v>38600.98669189748</v>
      </c>
      <c r="AN387" s="504">
        <v>36185.154335432264</v>
      </c>
      <c r="AO387" s="505">
        <v>38600.98669189748</v>
      </c>
      <c r="AP387" s="426"/>
      <c r="AQ387" s="426"/>
      <c r="AR387" s="503">
        <v>37090.199999999997</v>
      </c>
      <c r="AS387" s="504">
        <v>39566.449999999997</v>
      </c>
      <c r="AT387" s="504">
        <v>37090.199999999997</v>
      </c>
      <c r="AU387" s="505">
        <v>39566.449999999997</v>
      </c>
    </row>
    <row r="388" spans="1:47" ht="13" hidden="1">
      <c r="A388" s="502">
        <v>52</v>
      </c>
      <c r="B388" s="517" t="str">
        <f t="shared" si="36"/>
        <v>52B</v>
      </c>
      <c r="C388" s="503">
        <v>82889.474204590573</v>
      </c>
      <c r="D388" s="504">
        <v>87249.070374160787</v>
      </c>
      <c r="E388" s="504">
        <v>82889.474204590573</v>
      </c>
      <c r="F388" s="505">
        <v>87249.070374160787</v>
      </c>
      <c r="G388" s="426"/>
      <c r="H388" s="426"/>
      <c r="I388" s="426"/>
      <c r="J388" s="426"/>
      <c r="K388" s="426"/>
      <c r="L388" s="426"/>
      <c r="M388" s="426"/>
      <c r="N388" s="629"/>
      <c r="O388" s="629"/>
      <c r="P388" s="629"/>
      <c r="Q388" s="629"/>
      <c r="R388" s="629"/>
      <c r="S388" s="426"/>
      <c r="T388" s="503">
        <v>25640.305410991565</v>
      </c>
      <c r="U388" s="504">
        <v>26988.864782721525</v>
      </c>
      <c r="V388" s="504">
        <v>25640.305410991565</v>
      </c>
      <c r="W388" s="505">
        <v>26988.864782721525</v>
      </c>
      <c r="X388" s="426"/>
      <c r="Y388" s="426"/>
      <c r="Z388" s="503">
        <v>29229.151450303398</v>
      </c>
      <c r="AA388" s="504">
        <v>30766.467230447084</v>
      </c>
      <c r="AB388" s="504">
        <v>29229.151450303398</v>
      </c>
      <c r="AC388" s="505">
        <v>30766.467230447084</v>
      </c>
      <c r="AD388" s="426"/>
      <c r="AE388" s="426"/>
      <c r="AF388" s="503">
        <v>33612.33</v>
      </c>
      <c r="AG388" s="504">
        <v>35380.18</v>
      </c>
      <c r="AH388" s="504">
        <v>33612.33</v>
      </c>
      <c r="AI388" s="505">
        <v>35380.18</v>
      </c>
      <c r="AJ388" s="426"/>
      <c r="AK388" s="426"/>
      <c r="AL388" s="503">
        <v>38319.17755051978</v>
      </c>
      <c r="AM388" s="504">
        <v>40334.585915374322</v>
      </c>
      <c r="AN388" s="504">
        <v>38319.17755051978</v>
      </c>
      <c r="AO388" s="505">
        <v>40334.585915374322</v>
      </c>
      <c r="AP388" s="426"/>
      <c r="AQ388" s="426"/>
      <c r="AR388" s="503">
        <v>39277.589999999997</v>
      </c>
      <c r="AS388" s="504">
        <v>41343.410000000003</v>
      </c>
      <c r="AT388" s="504">
        <v>39277.589999999997</v>
      </c>
      <c r="AU388" s="505">
        <v>41343.410000000003</v>
      </c>
    </row>
    <row r="389" spans="1:47" ht="13" hidden="1">
      <c r="A389" s="502">
        <v>53</v>
      </c>
      <c r="B389" s="517" t="str">
        <f t="shared" si="36"/>
        <v>53B</v>
      </c>
      <c r="C389" s="503">
        <v>87863.657086919673</v>
      </c>
      <c r="D389" s="504">
        <v>91277.008725242165</v>
      </c>
      <c r="E389" s="504">
        <v>87863.657086919673</v>
      </c>
      <c r="F389" s="505">
        <v>91277.008725242165</v>
      </c>
      <c r="G389" s="426"/>
      <c r="H389" s="426"/>
      <c r="I389" s="426"/>
      <c r="J389" s="426"/>
      <c r="K389" s="426"/>
      <c r="L389" s="426"/>
      <c r="M389" s="426"/>
      <c r="N389" s="629"/>
      <c r="O389" s="629"/>
      <c r="P389" s="629"/>
      <c r="Q389" s="629"/>
      <c r="R389" s="629"/>
      <c r="S389" s="426"/>
      <c r="T389" s="503">
        <v>27178.975664324898</v>
      </c>
      <c r="U389" s="504">
        <v>28234.832023911396</v>
      </c>
      <c r="V389" s="504">
        <v>27178.975664324898</v>
      </c>
      <c r="W389" s="505">
        <v>28234.832023911396</v>
      </c>
      <c r="X389" s="426"/>
      <c r="Y389" s="426"/>
      <c r="Z389" s="503">
        <v>30983.187728181627</v>
      </c>
      <c r="AA389" s="504">
        <v>32186.831169608409</v>
      </c>
      <c r="AB389" s="504">
        <v>30983.187728181627</v>
      </c>
      <c r="AC389" s="505">
        <v>32186.831169608409</v>
      </c>
      <c r="AD389" s="426"/>
      <c r="AE389" s="426"/>
      <c r="AF389" s="503">
        <v>35629.4</v>
      </c>
      <c r="AG389" s="504">
        <v>37013.54</v>
      </c>
      <c r="AH389" s="504">
        <v>35629.4</v>
      </c>
      <c r="AI389" s="505">
        <v>37013.54</v>
      </c>
      <c r="AJ389" s="426"/>
      <c r="AK389" s="426"/>
      <c r="AL389" s="503">
        <v>40618.70470841034</v>
      </c>
      <c r="AM389" s="504">
        <v>42196.671376993625</v>
      </c>
      <c r="AN389" s="504">
        <v>40618.70470841034</v>
      </c>
      <c r="AO389" s="505">
        <v>42196.671376993625</v>
      </c>
      <c r="AP389" s="426"/>
      <c r="AQ389" s="426"/>
      <c r="AR389" s="503">
        <v>41634.639999999999</v>
      </c>
      <c r="AS389" s="504">
        <v>43252.07</v>
      </c>
      <c r="AT389" s="504">
        <v>41634.639999999999</v>
      </c>
      <c r="AU389" s="505">
        <v>43252.07</v>
      </c>
    </row>
    <row r="390" spans="1:47" ht="13" hidden="1">
      <c r="A390" s="502">
        <v>54</v>
      </c>
      <c r="B390" s="517" t="str">
        <f t="shared" si="36"/>
        <v>54B</v>
      </c>
      <c r="C390" s="503">
        <v>93261.275157649536</v>
      </c>
      <c r="D390" s="504">
        <v>95569.534184511329</v>
      </c>
      <c r="E390" s="504">
        <v>93261.275157649536</v>
      </c>
      <c r="F390" s="505">
        <v>95569.534184511329</v>
      </c>
      <c r="G390" s="426"/>
      <c r="H390" s="426"/>
      <c r="I390" s="426"/>
      <c r="J390" s="426"/>
      <c r="K390" s="426"/>
      <c r="L390" s="426"/>
      <c r="M390" s="426"/>
      <c r="N390" s="629"/>
      <c r="O390" s="629"/>
      <c r="P390" s="629"/>
      <c r="Q390" s="629"/>
      <c r="R390" s="629"/>
      <c r="S390" s="426"/>
      <c r="T390" s="503">
        <v>28848.627657578065</v>
      </c>
      <c r="U390" s="504">
        <v>29562.644328383965</v>
      </c>
      <c r="V390" s="504">
        <v>28848.627657578065</v>
      </c>
      <c r="W390" s="505">
        <v>29562.644328383965</v>
      </c>
      <c r="X390" s="426"/>
      <c r="Y390" s="426"/>
      <c r="Z390" s="503">
        <v>32886.539119588102</v>
      </c>
      <c r="AA390" s="504">
        <v>33700.495937749889</v>
      </c>
      <c r="AB390" s="504">
        <v>32886.539119588102</v>
      </c>
      <c r="AC390" s="505">
        <v>33700.495937749889</v>
      </c>
      <c r="AD390" s="426"/>
      <c r="AE390" s="426"/>
      <c r="AF390" s="503">
        <v>37818.17</v>
      </c>
      <c r="AG390" s="504">
        <v>38754.19</v>
      </c>
      <c r="AH390" s="504">
        <v>37818.17</v>
      </c>
      <c r="AI390" s="505">
        <v>38754.19</v>
      </c>
      <c r="AJ390" s="426"/>
      <c r="AK390" s="426"/>
      <c r="AL390" s="503">
        <v>43113.982754108656</v>
      </c>
      <c r="AM390" s="504">
        <v>44181.073459311934</v>
      </c>
      <c r="AN390" s="504">
        <v>43113.982754108656</v>
      </c>
      <c r="AO390" s="505">
        <v>44181.073459311934</v>
      </c>
      <c r="AP390" s="426"/>
      <c r="AQ390" s="426"/>
      <c r="AR390" s="503">
        <v>44192.32</v>
      </c>
      <c r="AS390" s="504">
        <v>45286.11</v>
      </c>
      <c r="AT390" s="504">
        <v>44192.32</v>
      </c>
      <c r="AU390" s="505">
        <v>45286.11</v>
      </c>
    </row>
    <row r="391" spans="1:47" ht="13" hidden="1">
      <c r="A391" s="502">
        <v>55</v>
      </c>
      <c r="B391" s="517" t="str">
        <f t="shared" si="36"/>
        <v>55B</v>
      </c>
      <c r="C391" s="503">
        <v>99068.366758717544</v>
      </c>
      <c r="D391" s="504">
        <v>100739.72779572028</v>
      </c>
      <c r="E391" s="504">
        <v>99068.366758717544</v>
      </c>
      <c r="F391" s="505">
        <v>100739.72779572028</v>
      </c>
      <c r="G391" s="426"/>
      <c r="H391" s="426"/>
      <c r="I391" s="426"/>
      <c r="J391" s="426"/>
      <c r="K391" s="426"/>
      <c r="L391" s="426"/>
      <c r="M391" s="426"/>
      <c r="N391" s="629"/>
      <c r="O391" s="629"/>
      <c r="P391" s="629"/>
      <c r="Q391" s="629"/>
      <c r="R391" s="629"/>
      <c r="S391" s="426"/>
      <c r="T391" s="503">
        <v>30644.942613485237</v>
      </c>
      <c r="U391" s="504">
        <v>31161.946827253174</v>
      </c>
      <c r="V391" s="504">
        <v>30644.942613485237</v>
      </c>
      <c r="W391" s="505">
        <v>31161.946827253174</v>
      </c>
      <c r="X391" s="426"/>
      <c r="Y391" s="426"/>
      <c r="Z391" s="503">
        <v>34934.282352636641</v>
      </c>
      <c r="AA391" s="504">
        <v>35523.651091520303</v>
      </c>
      <c r="AB391" s="504">
        <v>34934.282352636641</v>
      </c>
      <c r="AC391" s="505">
        <v>35523.651091520303</v>
      </c>
      <c r="AD391" s="426"/>
      <c r="AE391" s="426"/>
      <c r="AF391" s="503">
        <v>40172.99</v>
      </c>
      <c r="AG391" s="504">
        <v>40850.74</v>
      </c>
      <c r="AH391" s="504">
        <v>40172.99</v>
      </c>
      <c r="AI391" s="505">
        <v>40850.74</v>
      </c>
      <c r="AJ391" s="426"/>
      <c r="AK391" s="426"/>
      <c r="AL391" s="503">
        <v>45798.557318597021</v>
      </c>
      <c r="AM391" s="504">
        <v>46571.214895961421</v>
      </c>
      <c r="AN391" s="504">
        <v>45798.557318597021</v>
      </c>
      <c r="AO391" s="505">
        <v>46571.214895961421</v>
      </c>
      <c r="AP391" s="426"/>
      <c r="AQ391" s="426"/>
      <c r="AR391" s="503">
        <v>46944.04</v>
      </c>
      <c r="AS391" s="504">
        <v>47736.03</v>
      </c>
      <c r="AT391" s="504">
        <v>46944.04</v>
      </c>
      <c r="AU391" s="505">
        <v>47736.03</v>
      </c>
    </row>
    <row r="392" spans="1:47" ht="13" hidden="1">
      <c r="A392" s="502">
        <v>56</v>
      </c>
      <c r="B392" s="517" t="str">
        <f t="shared" si="36"/>
        <v>56B</v>
      </c>
      <c r="C392" s="503">
        <v>105337.56186586</v>
      </c>
      <c r="D392" s="504">
        <v>107552.33253530205</v>
      </c>
      <c r="E392" s="504">
        <v>105337.56186586</v>
      </c>
      <c r="F392" s="505">
        <v>107552.33253530205</v>
      </c>
      <c r="G392" s="426"/>
      <c r="H392" s="426"/>
      <c r="I392" s="426"/>
      <c r="J392" s="426"/>
      <c r="K392" s="426"/>
      <c r="L392" s="426"/>
      <c r="M392" s="426"/>
      <c r="N392" s="629"/>
      <c r="O392" s="629"/>
      <c r="P392" s="629"/>
      <c r="Q392" s="629"/>
      <c r="R392" s="629"/>
      <c r="S392" s="426"/>
      <c r="T392" s="503">
        <v>32584.200628700433</v>
      </c>
      <c r="U392" s="504">
        <v>33269.298428206755</v>
      </c>
      <c r="V392" s="504">
        <v>32584.200628700433</v>
      </c>
      <c r="W392" s="505">
        <v>33269.298428206755</v>
      </c>
      <c r="X392" s="426"/>
      <c r="Y392" s="426"/>
      <c r="Z392" s="503">
        <v>37144.976231643275</v>
      </c>
      <c r="AA392" s="504">
        <v>37925.966435116265</v>
      </c>
      <c r="AB392" s="504">
        <v>37144.976231643275</v>
      </c>
      <c r="AC392" s="505">
        <v>37925.966435116265</v>
      </c>
      <c r="AD392" s="426"/>
      <c r="AE392" s="426"/>
      <c r="AF392" s="503">
        <v>42715.199999999997</v>
      </c>
      <c r="AG392" s="504">
        <v>43613.31</v>
      </c>
      <c r="AH392" s="504">
        <v>42715.199999999997</v>
      </c>
      <c r="AI392" s="505">
        <v>43613.31</v>
      </c>
      <c r="AJ392" s="426"/>
      <c r="AK392" s="426"/>
      <c r="AL392" s="503">
        <v>48696.758841947201</v>
      </c>
      <c r="AM392" s="504">
        <v>49720.630585982639</v>
      </c>
      <c r="AN392" s="504">
        <v>48696.758841947201</v>
      </c>
      <c r="AO392" s="505">
        <v>49720.630585982639</v>
      </c>
      <c r="AP392" s="426"/>
      <c r="AQ392" s="426"/>
      <c r="AR392" s="503">
        <v>49914.73</v>
      </c>
      <c r="AS392" s="504">
        <v>50964.21</v>
      </c>
      <c r="AT392" s="504">
        <v>49914.73</v>
      </c>
      <c r="AU392" s="505">
        <v>50964.21</v>
      </c>
    </row>
    <row r="393" spans="1:47" ht="13" hidden="1">
      <c r="A393" s="502">
        <v>57</v>
      </c>
      <c r="B393" s="517" t="str">
        <f t="shared" si="36"/>
        <v>57B</v>
      </c>
      <c r="C393" s="503">
        <v>112116.01529478841</v>
      </c>
      <c r="D393" s="504">
        <v>111645.83592767778</v>
      </c>
      <c r="E393" s="504">
        <v>112116.01529478841</v>
      </c>
      <c r="F393" s="505">
        <v>111645.83592767778</v>
      </c>
      <c r="G393" s="426"/>
      <c r="H393" s="426"/>
      <c r="I393" s="426"/>
      <c r="J393" s="426"/>
      <c r="K393" s="426"/>
      <c r="L393" s="426"/>
      <c r="M393" s="426"/>
      <c r="N393" s="629"/>
      <c r="O393" s="629"/>
      <c r="P393" s="629"/>
      <c r="Q393" s="629"/>
      <c r="R393" s="629"/>
      <c r="S393" s="426"/>
      <c r="T393" s="503">
        <v>34680.988161734182</v>
      </c>
      <c r="U393" s="504">
        <v>34535.546986164562</v>
      </c>
      <c r="V393" s="504">
        <v>34680.988161734182</v>
      </c>
      <c r="W393" s="505">
        <v>34535.546986164562</v>
      </c>
      <c r="X393" s="426"/>
      <c r="Y393" s="426"/>
      <c r="Z393" s="503">
        <v>39535.248866066671</v>
      </c>
      <c r="AA393" s="504">
        <v>39369.450445194037</v>
      </c>
      <c r="AB393" s="504">
        <v>39535.248866066671</v>
      </c>
      <c r="AC393" s="505">
        <v>39369.450445194037</v>
      </c>
      <c r="AD393" s="426"/>
      <c r="AE393" s="426"/>
      <c r="AF393" s="503">
        <v>45463.92</v>
      </c>
      <c r="AG393" s="504">
        <v>45273.25</v>
      </c>
      <c r="AH393" s="504">
        <v>45463.92</v>
      </c>
      <c r="AI393" s="505">
        <v>45273.25</v>
      </c>
      <c r="AJ393" s="426"/>
      <c r="AK393" s="426"/>
      <c r="AL393" s="503">
        <v>51830.386639125973</v>
      </c>
      <c r="AM393" s="504">
        <v>51613.026270734284</v>
      </c>
      <c r="AN393" s="504">
        <v>51830.386639125973</v>
      </c>
      <c r="AO393" s="505">
        <v>51613.026270734284</v>
      </c>
      <c r="AP393" s="426"/>
      <c r="AQ393" s="426"/>
      <c r="AR393" s="503">
        <v>53126.74</v>
      </c>
      <c r="AS393" s="504">
        <v>52903.94</v>
      </c>
      <c r="AT393" s="504">
        <v>53126.74</v>
      </c>
      <c r="AU393" s="505">
        <v>52903.94</v>
      </c>
    </row>
    <row r="394" spans="1:47" ht="13" hidden="1">
      <c r="A394" s="502">
        <v>58</v>
      </c>
      <c r="B394" s="517" t="str">
        <f t="shared" si="36"/>
        <v>58B</v>
      </c>
      <c r="C394" s="503">
        <v>116930.59726240108</v>
      </c>
      <c r="D394" s="504">
        <v>116104.32717519191</v>
      </c>
      <c r="E394" s="504">
        <v>116930.59726240108</v>
      </c>
      <c r="F394" s="505">
        <v>116104.32717519191</v>
      </c>
      <c r="G394" s="426"/>
      <c r="H394" s="426"/>
      <c r="I394" s="426"/>
      <c r="J394" s="426"/>
      <c r="K394" s="426"/>
      <c r="L394" s="426"/>
      <c r="M394" s="426"/>
      <c r="N394" s="629"/>
      <c r="O394" s="629"/>
      <c r="P394" s="629"/>
      <c r="Q394" s="629"/>
      <c r="R394" s="629"/>
      <c r="S394" s="426"/>
      <c r="T394" s="503">
        <v>36170.288863185662</v>
      </c>
      <c r="U394" s="504">
        <v>35914.697696860771</v>
      </c>
      <c r="V394" s="504">
        <v>36170.288863185662</v>
      </c>
      <c r="W394" s="505">
        <v>35914.697696860771</v>
      </c>
      <c r="X394" s="426"/>
      <c r="Y394" s="426"/>
      <c r="Z394" s="503">
        <v>41233.005388853933</v>
      </c>
      <c r="AA394" s="504">
        <v>40941.639401198139</v>
      </c>
      <c r="AB394" s="504">
        <v>41233.005388853933</v>
      </c>
      <c r="AC394" s="505">
        <v>40941.639401198139</v>
      </c>
      <c r="AD394" s="426"/>
      <c r="AE394" s="426"/>
      <c r="AF394" s="503">
        <v>47416.27</v>
      </c>
      <c r="AG394" s="504">
        <v>47081.21</v>
      </c>
      <c r="AH394" s="504">
        <v>47416.27</v>
      </c>
      <c r="AI394" s="505">
        <v>47081.21</v>
      </c>
      <c r="AJ394" s="426"/>
      <c r="AK394" s="426"/>
      <c r="AL394" s="503">
        <v>54056.13150020584</v>
      </c>
      <c r="AM394" s="504">
        <v>53674.153082797864</v>
      </c>
      <c r="AN394" s="504">
        <v>54056.13150020584</v>
      </c>
      <c r="AO394" s="505">
        <v>53674.153082797864</v>
      </c>
      <c r="AP394" s="426"/>
      <c r="AQ394" s="426"/>
      <c r="AR394" s="503">
        <v>55408.15</v>
      </c>
      <c r="AS394" s="504">
        <v>55016.62</v>
      </c>
      <c r="AT394" s="504">
        <v>55408.15</v>
      </c>
      <c r="AU394" s="505">
        <v>55016.62</v>
      </c>
    </row>
    <row r="395" spans="1:47" ht="13" hidden="1">
      <c r="A395" s="502">
        <v>59</v>
      </c>
      <c r="B395" s="517" t="str">
        <f t="shared" si="36"/>
        <v>59B</v>
      </c>
      <c r="C395" s="503">
        <v>124523.82294248698</v>
      </c>
      <c r="D395" s="504">
        <v>118004.00238521956</v>
      </c>
      <c r="E395" s="504">
        <v>124523.82294248698</v>
      </c>
      <c r="F395" s="505">
        <v>118004.00238521956</v>
      </c>
      <c r="G395" s="426"/>
      <c r="H395" s="426"/>
      <c r="I395" s="426"/>
      <c r="J395" s="426"/>
      <c r="K395" s="426"/>
      <c r="L395" s="426"/>
      <c r="M395" s="426"/>
      <c r="N395" s="629"/>
      <c r="O395" s="629"/>
      <c r="P395" s="629"/>
      <c r="Q395" s="629"/>
      <c r="R395" s="629"/>
      <c r="S395" s="426"/>
      <c r="T395" s="503">
        <v>38519.11092244304</v>
      </c>
      <c r="U395" s="504">
        <v>36502.326621210974</v>
      </c>
      <c r="V395" s="504">
        <v>38519.11092244304</v>
      </c>
      <c r="W395" s="505">
        <v>36502.326621210974</v>
      </c>
      <c r="X395" s="426"/>
      <c r="Y395" s="426"/>
      <c r="Z395" s="503">
        <v>43910.589551732774</v>
      </c>
      <c r="AA395" s="504">
        <v>41611.518115632171</v>
      </c>
      <c r="AB395" s="504">
        <v>43910.589551732774</v>
      </c>
      <c r="AC395" s="505">
        <v>41611.518115632171</v>
      </c>
      <c r="AD395" s="426"/>
      <c r="AE395" s="426"/>
      <c r="AF395" s="503">
        <v>50495.38</v>
      </c>
      <c r="AG395" s="504">
        <v>47851.54</v>
      </c>
      <c r="AH395" s="504">
        <v>50495.38</v>
      </c>
      <c r="AI395" s="505">
        <v>47851.54</v>
      </c>
      <c r="AJ395" s="426"/>
      <c r="AK395" s="426"/>
      <c r="AL395" s="503">
        <v>57566.422352072121</v>
      </c>
      <c r="AM395" s="504">
        <v>54552.358577040679</v>
      </c>
      <c r="AN395" s="504">
        <v>57566.422352072121</v>
      </c>
      <c r="AO395" s="505">
        <v>54552.358577040679</v>
      </c>
      <c r="AP395" s="426"/>
      <c r="AQ395" s="426"/>
      <c r="AR395" s="503">
        <v>59006.239999999998</v>
      </c>
      <c r="AS395" s="504">
        <v>55916.79</v>
      </c>
      <c r="AT395" s="504">
        <v>59006.239999999998</v>
      </c>
      <c r="AU395" s="505">
        <v>55916.79</v>
      </c>
    </row>
    <row r="396" spans="1:47" ht="13" hidden="1">
      <c r="A396" s="502">
        <v>60</v>
      </c>
      <c r="B396" s="517" t="str">
        <f t="shared" si="36"/>
        <v>60B</v>
      </c>
      <c r="C396" s="506">
        <v>158567.35775505044</v>
      </c>
      <c r="D396" s="507">
        <v>153380.60452683707</v>
      </c>
      <c r="E396" s="507">
        <v>199608.32093871059</v>
      </c>
      <c r="F396" s="508">
        <v>193079.11393378317</v>
      </c>
      <c r="G396" s="426"/>
      <c r="H396" s="426"/>
      <c r="I396" s="426"/>
      <c r="J396" s="426"/>
      <c r="K396" s="426"/>
      <c r="L396" s="426"/>
      <c r="M396" s="426"/>
      <c r="N396" s="629"/>
      <c r="O396" s="629"/>
      <c r="P396" s="629"/>
      <c r="Q396" s="629"/>
      <c r="R396" s="629"/>
      <c r="S396" s="426"/>
      <c r="T396" s="506">
        <v>40817.923153208103</v>
      </c>
      <c r="U396" s="507">
        <v>39482.765036927223</v>
      </c>
      <c r="V396" s="507">
        <v>51382.562086979611</v>
      </c>
      <c r="W396" s="508">
        <v>49701.833634720162</v>
      </c>
      <c r="X396" s="426"/>
      <c r="Y396" s="426"/>
      <c r="Z396" s="506">
        <v>46534.352480313632</v>
      </c>
      <c r="AA396" s="507">
        <v>45012.209421570507</v>
      </c>
      <c r="AB396" s="507">
        <v>58578.537828159511</v>
      </c>
      <c r="AC396" s="508">
        <v>56662.428330682887</v>
      </c>
      <c r="AD396" s="426"/>
      <c r="AE396" s="426"/>
      <c r="AF396" s="506">
        <v>65147.040000000001</v>
      </c>
      <c r="AG396" s="507">
        <v>63016.07</v>
      </c>
      <c r="AH396" s="507">
        <v>82008.62</v>
      </c>
      <c r="AI396" s="508">
        <v>79326.11</v>
      </c>
      <c r="AJ396" s="426"/>
      <c r="AK396" s="426"/>
      <c r="AL396" s="506">
        <v>73616.538913210577</v>
      </c>
      <c r="AM396" s="507">
        <v>71208.534981860299</v>
      </c>
      <c r="AN396" s="507">
        <v>92670.231337806283</v>
      </c>
      <c r="AO396" s="508">
        <v>89638.979330106478</v>
      </c>
      <c r="AP396" s="426"/>
      <c r="AQ396" s="426"/>
      <c r="AR396" s="506">
        <v>75456.53</v>
      </c>
      <c r="AS396" s="507">
        <v>72988.34</v>
      </c>
      <c r="AT396" s="507">
        <v>94986.46</v>
      </c>
      <c r="AU396" s="508">
        <v>91879.44</v>
      </c>
    </row>
    <row r="397" spans="1:47" ht="13" hidden="1">
      <c r="A397" s="502">
        <v>61</v>
      </c>
      <c r="B397" s="517" t="str">
        <f t="shared" si="36"/>
        <v>61B</v>
      </c>
      <c r="C397" s="506">
        <v>167128.81940748304</v>
      </c>
      <c r="D397" s="507">
        <v>159871.85255485607</v>
      </c>
      <c r="E397" s="507">
        <v>210385.69031294915</v>
      </c>
      <c r="F397" s="508">
        <v>201250.44968670115</v>
      </c>
      <c r="G397" s="426"/>
      <c r="H397" s="426"/>
      <c r="I397" s="426"/>
      <c r="J397" s="426"/>
      <c r="K397" s="426"/>
      <c r="L397" s="426"/>
      <c r="M397" s="426"/>
      <c r="N397" s="629"/>
      <c r="O397" s="629"/>
      <c r="P397" s="629"/>
      <c r="Q397" s="629"/>
      <c r="R397" s="629"/>
      <c r="S397" s="426"/>
      <c r="T397" s="506">
        <v>43021.788367056004</v>
      </c>
      <c r="U397" s="507">
        <v>41153.722205712205</v>
      </c>
      <c r="V397" s="507">
        <v>54156.83947382342</v>
      </c>
      <c r="W397" s="508">
        <v>51805.273835425956</v>
      </c>
      <c r="X397" s="426"/>
      <c r="Y397" s="426"/>
      <c r="Z397" s="506">
        <v>49046.862494489586</v>
      </c>
      <c r="AA397" s="507">
        <v>46917.179196242541</v>
      </c>
      <c r="AB397" s="507">
        <v>61741.344551886868</v>
      </c>
      <c r="AC397" s="508">
        <v>59060.449105858257</v>
      </c>
      <c r="AD397" s="426"/>
      <c r="AE397" s="426"/>
      <c r="AF397" s="506">
        <v>68664.490000000005</v>
      </c>
      <c r="AG397" s="507">
        <v>65682.98</v>
      </c>
      <c r="AH397" s="507">
        <v>86436.479999999996</v>
      </c>
      <c r="AI397" s="508">
        <v>82683.289999999994</v>
      </c>
      <c r="AJ397" s="426"/>
      <c r="AK397" s="426"/>
      <c r="AL397" s="506">
        <v>77591.286199243274</v>
      </c>
      <c r="AM397" s="507">
        <v>74222.164141199319</v>
      </c>
      <c r="AN397" s="507">
        <v>97673.73674492976</v>
      </c>
      <c r="AO397" s="508">
        <v>93432.606624803826</v>
      </c>
      <c r="AP397" s="426"/>
      <c r="AQ397" s="426"/>
      <c r="AR397" s="506">
        <v>79530.62</v>
      </c>
      <c r="AS397" s="507">
        <v>76077.289999999994</v>
      </c>
      <c r="AT397" s="507">
        <v>100115.02</v>
      </c>
      <c r="AU397" s="508">
        <v>95767.89</v>
      </c>
    </row>
    <row r="398" spans="1:47" ht="13" hidden="1">
      <c r="A398" s="502">
        <v>62</v>
      </c>
      <c r="B398" s="517" t="str">
        <f t="shared" si="36"/>
        <v>62B</v>
      </c>
      <c r="C398" s="506">
        <v>176148.68855235216</v>
      </c>
      <c r="D398" s="507">
        <v>166711.02274073029</v>
      </c>
      <c r="E398" s="507">
        <v>221740.11382472565</v>
      </c>
      <c r="F398" s="508">
        <v>209859.75803833117</v>
      </c>
      <c r="G398" s="426"/>
      <c r="H398" s="426"/>
      <c r="I398" s="426"/>
      <c r="J398" s="426"/>
      <c r="K398" s="426"/>
      <c r="L398" s="426"/>
      <c r="M398" s="426"/>
      <c r="N398" s="629"/>
      <c r="O398" s="629"/>
      <c r="P398" s="629"/>
      <c r="Q398" s="629"/>
      <c r="R398" s="629"/>
      <c r="S398" s="426"/>
      <c r="T398" s="506">
        <v>45343.655432382278</v>
      </c>
      <c r="U398" s="507">
        <v>42914.240429834768</v>
      </c>
      <c r="V398" s="507">
        <v>57079.660367822391</v>
      </c>
      <c r="W398" s="508">
        <v>54021.455599909656</v>
      </c>
      <c r="X398" s="426"/>
      <c r="Y398" s="426"/>
      <c r="Z398" s="506">
        <v>51693.900170188492</v>
      </c>
      <c r="AA398" s="507">
        <v>48924.252786974612</v>
      </c>
      <c r="AB398" s="507">
        <v>65073.497861296077</v>
      </c>
      <c r="AC398" s="508">
        <v>61587.000567132753</v>
      </c>
      <c r="AD398" s="426"/>
      <c r="AE398" s="426"/>
      <c r="AF398" s="506">
        <v>72370.28</v>
      </c>
      <c r="AG398" s="507">
        <v>68492.84</v>
      </c>
      <c r="AH398" s="507">
        <v>91101.42</v>
      </c>
      <c r="AI398" s="508">
        <v>86220.4</v>
      </c>
      <c r="AJ398" s="426"/>
      <c r="AK398" s="426"/>
      <c r="AL398" s="506">
        <v>81778.853913659434</v>
      </c>
      <c r="AM398" s="507">
        <v>77397.319767493056</v>
      </c>
      <c r="AN398" s="507">
        <v>102945.14551484188</v>
      </c>
      <c r="AO398" s="508">
        <v>97429.567236726565</v>
      </c>
      <c r="AP398" s="426"/>
      <c r="AQ398" s="426"/>
      <c r="AR398" s="506">
        <v>83822.86</v>
      </c>
      <c r="AS398" s="507">
        <v>79331.81</v>
      </c>
      <c r="AT398" s="507">
        <v>105518.19</v>
      </c>
      <c r="AU398" s="508">
        <v>99864.75</v>
      </c>
    </row>
    <row r="399" spans="1:47" ht="13" hidden="1">
      <c r="A399" s="502">
        <v>63</v>
      </c>
      <c r="B399" s="517" t="str">
        <f t="shared" si="36"/>
        <v>63B</v>
      </c>
      <c r="C399" s="506">
        <v>185530.38650336751</v>
      </c>
      <c r="D399" s="507">
        <v>173837.96669768009</v>
      </c>
      <c r="E399" s="507">
        <v>233550.01595129786</v>
      </c>
      <c r="F399" s="508">
        <v>218831.32278413855</v>
      </c>
      <c r="G399" s="426"/>
      <c r="H399" s="426"/>
      <c r="I399" s="426"/>
      <c r="J399" s="426"/>
      <c r="K399" s="426"/>
      <c r="L399" s="426"/>
      <c r="M399" s="426"/>
      <c r="N399" s="629"/>
      <c r="O399" s="629"/>
      <c r="P399" s="629"/>
      <c r="Q399" s="629"/>
      <c r="R399" s="629"/>
      <c r="S399" s="426"/>
      <c r="T399" s="506">
        <v>47758.663359819089</v>
      </c>
      <c r="U399" s="507">
        <v>44748.836495951859</v>
      </c>
      <c r="V399" s="507">
        <v>60119.729170595798</v>
      </c>
      <c r="W399" s="508">
        <v>56330.888294904107</v>
      </c>
      <c r="X399" s="426"/>
      <c r="Y399" s="426"/>
      <c r="Z399" s="506">
        <v>54447.122810063622</v>
      </c>
      <c r="AA399" s="507">
        <v>51015.778602221275</v>
      </c>
      <c r="AB399" s="507">
        <v>68539.319302080097</v>
      </c>
      <c r="AC399" s="508">
        <v>64219.862475737376</v>
      </c>
      <c r="AD399" s="426"/>
      <c r="AE399" s="426"/>
      <c r="AF399" s="506">
        <v>76224.73</v>
      </c>
      <c r="AG399" s="507">
        <v>71420.929999999993</v>
      </c>
      <c r="AH399" s="507">
        <v>95953.49</v>
      </c>
      <c r="AI399" s="508">
        <v>89906.35</v>
      </c>
      <c r="AJ399" s="426"/>
      <c r="AK399" s="426"/>
      <c r="AL399" s="506">
        <v>86134.404400600135</v>
      </c>
      <c r="AM399" s="507">
        <v>80706.077348921273</v>
      </c>
      <c r="AN399" s="507">
        <v>108428.01495134369</v>
      </c>
      <c r="AO399" s="508">
        <v>101594.70913334799</v>
      </c>
      <c r="AP399" s="426"/>
      <c r="AQ399" s="426"/>
      <c r="AR399" s="506">
        <v>88287.27</v>
      </c>
      <c r="AS399" s="507">
        <v>82723.27</v>
      </c>
      <c r="AT399" s="507">
        <v>111138.09</v>
      </c>
      <c r="AU399" s="508">
        <v>104134</v>
      </c>
    </row>
    <row r="400" spans="1:47" ht="13" hidden="1">
      <c r="A400" s="502">
        <v>64</v>
      </c>
      <c r="B400" s="517" t="str">
        <f t="shared" si="36"/>
        <v>64B</v>
      </c>
      <c r="C400" s="506">
        <v>195435.92997896139</v>
      </c>
      <c r="D400" s="507">
        <v>181448.14535352457</v>
      </c>
      <c r="E400" s="507">
        <v>246019.3471499868</v>
      </c>
      <c r="F400" s="508">
        <v>228411.19473914275</v>
      </c>
      <c r="G400" s="426"/>
      <c r="H400" s="426"/>
      <c r="I400" s="426"/>
      <c r="J400" s="426"/>
      <c r="K400" s="426"/>
      <c r="L400" s="426"/>
      <c r="M400" s="426"/>
      <c r="N400" s="629"/>
      <c r="O400" s="629"/>
      <c r="P400" s="629"/>
      <c r="Q400" s="629"/>
      <c r="R400" s="629"/>
      <c r="S400" s="426"/>
      <c r="T400" s="506">
        <v>50308.517996371331</v>
      </c>
      <c r="U400" s="507">
        <v>46707.825356927235</v>
      </c>
      <c r="V400" s="507">
        <v>63329.546183667444</v>
      </c>
      <c r="W400" s="508">
        <v>58796.909566955466</v>
      </c>
      <c r="X400" s="426"/>
      <c r="Y400" s="426"/>
      <c r="Z400" s="506">
        <v>57354.07704155441</v>
      </c>
      <c r="AA400" s="507">
        <v>53249.118055075625</v>
      </c>
      <c r="AB400" s="507">
        <v>72198.661687603788</v>
      </c>
      <c r="AC400" s="508">
        <v>67031.242728154029</v>
      </c>
      <c r="AD400" s="426"/>
      <c r="AE400" s="426"/>
      <c r="AF400" s="506">
        <v>80294.399999999994</v>
      </c>
      <c r="AG400" s="507">
        <v>74547.55</v>
      </c>
      <c r="AH400" s="507">
        <v>101076.48</v>
      </c>
      <c r="AI400" s="508">
        <v>93842.22</v>
      </c>
      <c r="AJ400" s="426"/>
      <c r="AK400" s="426"/>
      <c r="AL400" s="506">
        <v>90733.15560041531</v>
      </c>
      <c r="AM400" s="507">
        <v>84239.181646590703</v>
      </c>
      <c r="AN400" s="507">
        <v>114217.03116758162</v>
      </c>
      <c r="AO400" s="508">
        <v>106042.26395512007</v>
      </c>
      <c r="AP400" s="426"/>
      <c r="AQ400" s="426"/>
      <c r="AR400" s="506">
        <v>93000.97</v>
      </c>
      <c r="AS400" s="507">
        <v>86344.68</v>
      </c>
      <c r="AT400" s="507">
        <v>117071.8</v>
      </c>
      <c r="AU400" s="508">
        <v>108692.71</v>
      </c>
    </row>
    <row r="401" spans="1:47" ht="13" hidden="1">
      <c r="A401" s="502">
        <v>65</v>
      </c>
      <c r="B401" s="517" t="str">
        <f t="shared" ref="B401:B435" si="37">+CONCATENATE(A401,$B$334)</f>
        <v>65B</v>
      </c>
      <c r="C401" s="506">
        <v>205537.36096667795</v>
      </c>
      <c r="D401" s="507">
        <v>189136.73020433445</v>
      </c>
      <c r="E401" s="507">
        <v>258735.26615805342</v>
      </c>
      <c r="F401" s="508">
        <v>238089.76625722085</v>
      </c>
      <c r="G401" s="426"/>
      <c r="H401" s="426"/>
      <c r="I401" s="426"/>
      <c r="J401" s="426"/>
      <c r="K401" s="426"/>
      <c r="L401" s="426"/>
      <c r="M401" s="426"/>
      <c r="N401" s="629"/>
      <c r="O401" s="629"/>
      <c r="P401" s="629"/>
      <c r="Q401" s="629"/>
      <c r="R401" s="629"/>
      <c r="S401" s="426"/>
      <c r="T401" s="506">
        <v>52908.797395811067</v>
      </c>
      <c r="U401" s="507">
        <v>48686.99730026046</v>
      </c>
      <c r="V401" s="507">
        <v>66602.839074726871</v>
      </c>
      <c r="W401" s="508">
        <v>61288.337777974913</v>
      </c>
      <c r="X401" s="426"/>
      <c r="Y401" s="426"/>
      <c r="Z401" s="506">
        <v>60318.517874730816</v>
      </c>
      <c r="AA401" s="507">
        <v>55505.467171235323</v>
      </c>
      <c r="AB401" s="507">
        <v>75930.369559955259</v>
      </c>
      <c r="AC401" s="508">
        <v>69871.588086143267</v>
      </c>
      <c r="AD401" s="426"/>
      <c r="AE401" s="426"/>
      <c r="AF401" s="506">
        <v>84444.55</v>
      </c>
      <c r="AG401" s="507">
        <v>77706.39</v>
      </c>
      <c r="AH401" s="507">
        <v>106300.79</v>
      </c>
      <c r="AI401" s="508">
        <v>97818.63</v>
      </c>
      <c r="AJ401" s="426"/>
      <c r="AK401" s="426"/>
      <c r="AL401" s="506">
        <v>95422.849607520344</v>
      </c>
      <c r="AM401" s="507">
        <v>87808.686832718085</v>
      </c>
      <c r="AN401" s="507">
        <v>120120.5283294668</v>
      </c>
      <c r="AO401" s="508">
        <v>110535.64107177449</v>
      </c>
      <c r="AP401" s="426"/>
      <c r="AQ401" s="426"/>
      <c r="AR401" s="506">
        <v>97807.87</v>
      </c>
      <c r="AS401" s="507">
        <v>90003.4</v>
      </c>
      <c r="AT401" s="507">
        <v>123122.85</v>
      </c>
      <c r="AU401" s="508">
        <v>113298.4</v>
      </c>
    </row>
    <row r="402" spans="1:47" ht="13" hidden="1">
      <c r="A402" s="502">
        <v>66</v>
      </c>
      <c r="B402" s="517" t="str">
        <f t="shared" si="37"/>
        <v>66B</v>
      </c>
      <c r="C402" s="506">
        <v>216335.66007243312</v>
      </c>
      <c r="D402" s="507">
        <v>197594.53187104003</v>
      </c>
      <c r="E402" s="507">
        <v>272328.41915000411</v>
      </c>
      <c r="F402" s="508">
        <v>248736.64600236807</v>
      </c>
      <c r="G402" s="426"/>
      <c r="H402" s="426"/>
      <c r="I402" s="426"/>
      <c r="J402" s="426"/>
      <c r="K402" s="426"/>
      <c r="L402" s="426"/>
      <c r="M402" s="426"/>
      <c r="N402" s="629"/>
      <c r="O402" s="629"/>
      <c r="P402" s="629"/>
      <c r="Q402" s="629"/>
      <c r="R402" s="629"/>
      <c r="S402" s="426"/>
      <c r="T402" s="506">
        <v>55688.462449982857</v>
      </c>
      <c r="U402" s="507">
        <v>50864.1786783469</v>
      </c>
      <c r="V402" s="507">
        <v>70101.946848801948</v>
      </c>
      <c r="W402" s="508">
        <v>64029.024924507285</v>
      </c>
      <c r="X402" s="426"/>
      <c r="Y402" s="426"/>
      <c r="Z402" s="506">
        <v>63487.466792649342</v>
      </c>
      <c r="AA402" s="507">
        <v>57987.556357428672</v>
      </c>
      <c r="AB402" s="507">
        <v>79919.51702133505</v>
      </c>
      <c r="AC402" s="508">
        <v>72996.100355821967</v>
      </c>
      <c r="AD402" s="426"/>
      <c r="AE402" s="426"/>
      <c r="AF402" s="506">
        <v>88881.01</v>
      </c>
      <c r="AG402" s="507">
        <v>81181.259999999995</v>
      </c>
      <c r="AH402" s="507">
        <v>111885.51</v>
      </c>
      <c r="AI402" s="508">
        <v>102192.88</v>
      </c>
      <c r="AJ402" s="426"/>
      <c r="AK402" s="426"/>
      <c r="AL402" s="506">
        <v>100436.07185937438</v>
      </c>
      <c r="AM402" s="507">
        <v>91735.308896251983</v>
      </c>
      <c r="AN402" s="507">
        <v>126431.29045827127</v>
      </c>
      <c r="AO402" s="508">
        <v>115478.56531645836</v>
      </c>
      <c r="AP402" s="426"/>
      <c r="AQ402" s="426"/>
      <c r="AR402" s="506">
        <v>102946.4</v>
      </c>
      <c r="AS402" s="507">
        <v>94028.17</v>
      </c>
      <c r="AT402" s="507">
        <v>129591.35</v>
      </c>
      <c r="AU402" s="508">
        <v>118364.87</v>
      </c>
    </row>
    <row r="403" spans="1:47" ht="13" hidden="1">
      <c r="A403" s="502">
        <v>67</v>
      </c>
      <c r="B403" s="517" t="str">
        <f t="shared" si="37"/>
        <v>67B</v>
      </c>
      <c r="C403" s="506">
        <v>227606.27331891583</v>
      </c>
      <c r="D403" s="507">
        <v>205711.83394676965</v>
      </c>
      <c r="E403" s="507">
        <v>286516.13229557656</v>
      </c>
      <c r="F403" s="508">
        <v>258954.89685063946</v>
      </c>
      <c r="G403" s="426"/>
      <c r="H403" s="426"/>
      <c r="I403" s="426"/>
      <c r="J403" s="426"/>
      <c r="K403" s="426"/>
      <c r="L403" s="426"/>
      <c r="M403" s="426"/>
      <c r="N403" s="629"/>
      <c r="O403" s="629"/>
      <c r="P403" s="629"/>
      <c r="Q403" s="629"/>
      <c r="R403" s="629"/>
      <c r="S403" s="426"/>
      <c r="T403" s="506">
        <v>58589.709162405998</v>
      </c>
      <c r="U403" s="507">
        <v>52953.709695508296</v>
      </c>
      <c r="V403" s="507">
        <v>73754.104475028696</v>
      </c>
      <c r="W403" s="508">
        <v>66659.37573434574</v>
      </c>
      <c r="X403" s="426"/>
      <c r="Y403" s="426"/>
      <c r="Z403" s="506">
        <v>66795.024520207036</v>
      </c>
      <c r="AA403" s="507">
        <v>60369.720009071854</v>
      </c>
      <c r="AB403" s="507">
        <v>84083.148513672364</v>
      </c>
      <c r="AC403" s="508">
        <v>75994.824011419871</v>
      </c>
      <c r="AD403" s="426"/>
      <c r="AE403" s="426"/>
      <c r="AF403" s="506">
        <v>93511.52</v>
      </c>
      <c r="AG403" s="507">
        <v>84516.24</v>
      </c>
      <c r="AH403" s="507">
        <v>117714.5</v>
      </c>
      <c r="AI403" s="508">
        <v>106391.03</v>
      </c>
      <c r="AJ403" s="426"/>
      <c r="AK403" s="426"/>
      <c r="AL403" s="506">
        <v>105668.57084518166</v>
      </c>
      <c r="AM403" s="507">
        <v>95503.850496417479</v>
      </c>
      <c r="AN403" s="507">
        <v>133018.08329922869</v>
      </c>
      <c r="AO403" s="508">
        <v>120222.49415431378</v>
      </c>
      <c r="AP403" s="426"/>
      <c r="AQ403" s="426"/>
      <c r="AR403" s="506">
        <v>108309.68</v>
      </c>
      <c r="AS403" s="507">
        <v>97890.9</v>
      </c>
      <c r="AT403" s="507">
        <v>136342.76999999999</v>
      </c>
      <c r="AU403" s="508">
        <v>123227.37</v>
      </c>
    </row>
    <row r="404" spans="1:47" ht="13" hidden="1">
      <c r="A404" s="502">
        <v>68</v>
      </c>
      <c r="B404" s="517" t="str">
        <f t="shared" si="37"/>
        <v>68B</v>
      </c>
      <c r="C404" s="506">
        <v>239182.6621940778</v>
      </c>
      <c r="D404" s="507">
        <v>214636.83074256202</v>
      </c>
      <c r="E404" s="507">
        <v>301088.76299725077</v>
      </c>
      <c r="F404" s="508">
        <v>270189.89281710749</v>
      </c>
      <c r="G404" s="426"/>
      <c r="H404" s="426"/>
      <c r="I404" s="426"/>
      <c r="J404" s="426"/>
      <c r="K404" s="426"/>
      <c r="L404" s="426"/>
      <c r="M404" s="426"/>
      <c r="N404" s="629"/>
      <c r="O404" s="629"/>
      <c r="P404" s="629"/>
      <c r="Q404" s="629"/>
      <c r="R404" s="629"/>
      <c r="S404" s="426"/>
      <c r="T404" s="506">
        <v>61569.667699824196</v>
      </c>
      <c r="U404" s="507">
        <v>55251.155011561554</v>
      </c>
      <c r="V404" s="507">
        <v>77505.346398602211</v>
      </c>
      <c r="W404" s="508">
        <v>69551.453955730438</v>
      </c>
      <c r="X404" s="426"/>
      <c r="Y404" s="426"/>
      <c r="Z404" s="506">
        <v>70192.31743088369</v>
      </c>
      <c r="AA404" s="507">
        <v>62988.91574179411</v>
      </c>
      <c r="AB404" s="507">
        <v>88359.740765935916</v>
      </c>
      <c r="AC404" s="508">
        <v>79291.929227905552</v>
      </c>
      <c r="AD404" s="426"/>
      <c r="AE404" s="426"/>
      <c r="AF404" s="506">
        <v>98267.65</v>
      </c>
      <c r="AG404" s="507">
        <v>88183.05</v>
      </c>
      <c r="AH404" s="507">
        <v>123701.63</v>
      </c>
      <c r="AI404" s="508">
        <v>111006.9</v>
      </c>
      <c r="AJ404" s="426"/>
      <c r="AK404" s="426"/>
      <c r="AL404" s="506">
        <v>111043.02933505119</v>
      </c>
      <c r="AM404" s="507">
        <v>99647.372739707163</v>
      </c>
      <c r="AN404" s="507">
        <v>139783.57810412324</v>
      </c>
      <c r="AO404" s="508">
        <v>125438.45744880787</v>
      </c>
      <c r="AP404" s="426"/>
      <c r="AQ404" s="426"/>
      <c r="AR404" s="506">
        <v>113818.47</v>
      </c>
      <c r="AS404" s="507">
        <v>102137.99</v>
      </c>
      <c r="AT404" s="507">
        <v>143277.37</v>
      </c>
      <c r="AU404" s="508">
        <v>128573.7</v>
      </c>
    </row>
    <row r="405" spans="1:47" ht="13" hidden="1">
      <c r="A405" s="502">
        <v>69</v>
      </c>
      <c r="B405" s="517" t="str">
        <f t="shared" si="37"/>
        <v>69B</v>
      </c>
      <c r="C405" s="506">
        <v>251375.5507045172</v>
      </c>
      <c r="D405" s="507">
        <v>224225.5073975884</v>
      </c>
      <c r="E405" s="507">
        <v>316437.4579456863</v>
      </c>
      <c r="F405" s="508">
        <v>282260.34460637596</v>
      </c>
      <c r="G405" s="426"/>
      <c r="H405" s="426"/>
      <c r="I405" s="426"/>
      <c r="J405" s="426"/>
      <c r="K405" s="426"/>
      <c r="L405" s="426"/>
      <c r="M405" s="426"/>
      <c r="N405" s="629"/>
      <c r="O405" s="629"/>
      <c r="P405" s="629"/>
      <c r="Q405" s="629"/>
      <c r="R405" s="629"/>
      <c r="S405" s="426"/>
      <c r="T405" s="506">
        <v>64708.323683507566</v>
      </c>
      <c r="U405" s="507">
        <v>57719.442762502294</v>
      </c>
      <c r="V405" s="507">
        <v>81456.360401591868</v>
      </c>
      <c r="W405" s="508">
        <v>72658.592653973479</v>
      </c>
      <c r="X405" s="426"/>
      <c r="Y405" s="426"/>
      <c r="Z405" s="506">
        <v>73770.532895471551</v>
      </c>
      <c r="AA405" s="507">
        <v>65802.879886760391</v>
      </c>
      <c r="AB405" s="507">
        <v>92864.082586064163</v>
      </c>
      <c r="AC405" s="508">
        <v>82834.213504510146</v>
      </c>
      <c r="AD405" s="426"/>
      <c r="AE405" s="426"/>
      <c r="AF405" s="506">
        <v>103277.07</v>
      </c>
      <c r="AG405" s="507">
        <v>92122.54</v>
      </c>
      <c r="AH405" s="507">
        <v>130007.6</v>
      </c>
      <c r="AI405" s="508">
        <v>115966.02</v>
      </c>
      <c r="AJ405" s="426"/>
      <c r="AK405" s="426"/>
      <c r="AL405" s="506">
        <v>116703.70416876941</v>
      </c>
      <c r="AM405" s="507">
        <v>104099.01523469896</v>
      </c>
      <c r="AN405" s="507">
        <v>146909.36877715675</v>
      </c>
      <c r="AO405" s="508">
        <v>131042.28976603277</v>
      </c>
      <c r="AP405" s="426"/>
      <c r="AQ405" s="426"/>
      <c r="AR405" s="506">
        <v>119620.63</v>
      </c>
      <c r="AS405" s="507">
        <v>106700.89</v>
      </c>
      <c r="AT405" s="507">
        <v>150581.26</v>
      </c>
      <c r="AU405" s="508">
        <v>134317.6</v>
      </c>
    </row>
    <row r="406" spans="1:47" ht="13" hidden="1">
      <c r="A406" s="502">
        <v>70</v>
      </c>
      <c r="B406" s="517" t="str">
        <f t="shared" si="37"/>
        <v>70B</v>
      </c>
      <c r="C406" s="506">
        <v>263899.80990184</v>
      </c>
      <c r="D406" s="507">
        <v>233616.50488641797</v>
      </c>
      <c r="E406" s="507">
        <v>332203.29011172795</v>
      </c>
      <c r="F406" s="508">
        <v>294081.95320996142</v>
      </c>
      <c r="G406" s="426"/>
      <c r="H406" s="426"/>
      <c r="I406" s="426"/>
      <c r="J406" s="426"/>
      <c r="K406" s="426"/>
      <c r="L406" s="426"/>
      <c r="M406" s="426"/>
      <c r="N406" s="629"/>
      <c r="O406" s="629"/>
      <c r="P406" s="629"/>
      <c r="Q406" s="629"/>
      <c r="R406" s="629"/>
      <c r="S406" s="426"/>
      <c r="T406" s="506">
        <v>67932.280093608613</v>
      </c>
      <c r="U406" s="507">
        <v>60136.844548455963</v>
      </c>
      <c r="V406" s="507">
        <v>85514.752588424963</v>
      </c>
      <c r="W406" s="508">
        <v>75701.674902173967</v>
      </c>
      <c r="X406" s="426"/>
      <c r="Y406" s="426"/>
      <c r="Z406" s="506">
        <v>77445.994858729639</v>
      </c>
      <c r="AA406" s="507">
        <v>68558.831637952477</v>
      </c>
      <c r="AB406" s="507">
        <v>97490.840586871418</v>
      </c>
      <c r="AC406" s="508">
        <v>86303.470414834301</v>
      </c>
      <c r="AD406" s="426"/>
      <c r="AE406" s="426"/>
      <c r="AF406" s="506">
        <v>108422.63</v>
      </c>
      <c r="AG406" s="507">
        <v>95980.81</v>
      </c>
      <c r="AH406" s="507">
        <v>136484.96</v>
      </c>
      <c r="AI406" s="508">
        <v>120822.9</v>
      </c>
      <c r="AJ406" s="426"/>
      <c r="AK406" s="426"/>
      <c r="AL406" s="506">
        <v>122518.2212775372</v>
      </c>
      <c r="AM406" s="507">
        <v>108458.88312843171</v>
      </c>
      <c r="AN406" s="507">
        <v>154228.81972584093</v>
      </c>
      <c r="AO406" s="508">
        <v>136530.59405579051</v>
      </c>
      <c r="AP406" s="426"/>
      <c r="AQ406" s="426"/>
      <c r="AR406" s="506">
        <v>125580.48</v>
      </c>
      <c r="AS406" s="507">
        <v>111169.73</v>
      </c>
      <c r="AT406" s="507">
        <v>158083.66</v>
      </c>
      <c r="AU406" s="508">
        <v>139943.07999999999</v>
      </c>
    </row>
    <row r="407" spans="1:47" ht="13" hidden="1">
      <c r="A407" s="502">
        <v>71</v>
      </c>
      <c r="B407" s="517" t="str">
        <f t="shared" si="37"/>
        <v>71B</v>
      </c>
      <c r="C407" s="506">
        <v>276648.36712589191</v>
      </c>
      <c r="D407" s="507">
        <v>243457.46349847675</v>
      </c>
      <c r="E407" s="507">
        <v>348251.47391141683</v>
      </c>
      <c r="F407" s="508">
        <v>306469.98346278828</v>
      </c>
      <c r="G407" s="426"/>
      <c r="H407" s="426"/>
      <c r="I407" s="426"/>
      <c r="J407" s="426"/>
      <c r="K407" s="426"/>
      <c r="L407" s="426"/>
      <c r="M407" s="426"/>
      <c r="N407" s="629"/>
      <c r="O407" s="629"/>
      <c r="P407" s="629"/>
      <c r="Q407" s="629"/>
      <c r="R407" s="629"/>
      <c r="S407" s="426"/>
      <c r="T407" s="506">
        <v>71213.974614176186</v>
      </c>
      <c r="U407" s="507">
        <v>62670.073947418568</v>
      </c>
      <c r="V407" s="507">
        <v>89645.826867257085</v>
      </c>
      <c r="W407" s="508">
        <v>78890.563674985722</v>
      </c>
      <c r="X407" s="426"/>
      <c r="Y407" s="426"/>
      <c r="Z407" s="506">
        <v>81187.280983935212</v>
      </c>
      <c r="AA407" s="507">
        <v>71446.832316535612</v>
      </c>
      <c r="AB407" s="507">
        <v>102200.45959154199</v>
      </c>
      <c r="AC407" s="508">
        <v>89938.953621991881</v>
      </c>
      <c r="AD407" s="426"/>
      <c r="AE407" s="426"/>
      <c r="AF407" s="506">
        <v>113660.35</v>
      </c>
      <c r="AG407" s="507">
        <v>100023.94</v>
      </c>
      <c r="AH407" s="507">
        <v>143078.32</v>
      </c>
      <c r="AI407" s="508">
        <v>125912.49</v>
      </c>
      <c r="AJ407" s="426"/>
      <c r="AK407" s="426"/>
      <c r="AL407" s="506">
        <v>128436.87106939084</v>
      </c>
      <c r="AM407" s="507">
        <v>113027.65013612213</v>
      </c>
      <c r="AN407" s="507">
        <v>161679.35534617439</v>
      </c>
      <c r="AO407" s="508">
        <v>142281.86546547138</v>
      </c>
      <c r="AP407" s="426"/>
      <c r="AQ407" s="426"/>
      <c r="AR407" s="506">
        <v>131647.06</v>
      </c>
      <c r="AS407" s="507">
        <v>115852.69</v>
      </c>
      <c r="AT407" s="507">
        <v>165720.41</v>
      </c>
      <c r="AU407" s="508">
        <v>145838.1</v>
      </c>
    </row>
    <row r="408" spans="1:47" ht="13" hidden="1">
      <c r="A408" s="502">
        <v>72</v>
      </c>
      <c r="B408" s="517" t="str">
        <f t="shared" si="37"/>
        <v>72B</v>
      </c>
      <c r="C408" s="506">
        <v>289864.80201391591</v>
      </c>
      <c r="D408" s="507">
        <v>253972.68126049382</v>
      </c>
      <c r="E408" s="507">
        <v>364888.63312340016</v>
      </c>
      <c r="F408" s="508">
        <v>319706.78699850413</v>
      </c>
      <c r="G408" s="426"/>
      <c r="H408" s="426"/>
      <c r="I408" s="426"/>
      <c r="J408" s="426"/>
      <c r="K408" s="426"/>
      <c r="L408" s="426"/>
      <c r="M408" s="426"/>
      <c r="N408" s="629"/>
      <c r="O408" s="629"/>
      <c r="P408" s="629"/>
      <c r="Q408" s="629"/>
      <c r="R408" s="629"/>
      <c r="S408" s="426"/>
      <c r="T408" s="506">
        <v>74616.108768748498</v>
      </c>
      <c r="U408" s="507">
        <v>65376.869069856642</v>
      </c>
      <c r="V408" s="507">
        <v>93928.513391248125</v>
      </c>
      <c r="W408" s="508">
        <v>82297.941064407773</v>
      </c>
      <c r="X408" s="426"/>
      <c r="Y408" s="426"/>
      <c r="Z408" s="506">
        <v>85065.873957417716</v>
      </c>
      <c r="AA408" s="507">
        <v>74532.70608445727</v>
      </c>
      <c r="AB408" s="507">
        <v>107082.92368757291</v>
      </c>
      <c r="AC408" s="508">
        <v>93823.524129846206</v>
      </c>
      <c r="AD408" s="426"/>
      <c r="AE408" s="426"/>
      <c r="AF408" s="506">
        <v>119090.29</v>
      </c>
      <c r="AG408" s="507">
        <v>104344.09</v>
      </c>
      <c r="AH408" s="507">
        <v>149913.66</v>
      </c>
      <c r="AI408" s="508">
        <v>131350.79999999999</v>
      </c>
      <c r="AJ408" s="426"/>
      <c r="AK408" s="426"/>
      <c r="AL408" s="506">
        <v>134572.73791489325</v>
      </c>
      <c r="AM408" s="507">
        <v>117909.44894085603</v>
      </c>
      <c r="AN408" s="507">
        <v>169403.32890463035</v>
      </c>
      <c r="AO408" s="508">
        <v>148427.18866672463</v>
      </c>
      <c r="AP408" s="426"/>
      <c r="AQ408" s="426"/>
      <c r="AR408" s="506">
        <v>137936.29</v>
      </c>
      <c r="AS408" s="507">
        <v>120856.51</v>
      </c>
      <c r="AT408" s="507">
        <v>173637.44</v>
      </c>
      <c r="AU408" s="508">
        <v>152137.01999999999</v>
      </c>
    </row>
    <row r="409" spans="1:47" ht="13" hidden="1">
      <c r="A409" s="502">
        <v>73</v>
      </c>
      <c r="B409" s="517" t="str">
        <f t="shared" si="37"/>
        <v>73B</v>
      </c>
      <c r="C409" s="506">
        <v>303378.39552769036</v>
      </c>
      <c r="D409" s="507">
        <v>264271.62078068586</v>
      </c>
      <c r="E409" s="507">
        <v>381899.86260544549</v>
      </c>
      <c r="F409" s="508">
        <v>332671.33439451031</v>
      </c>
      <c r="G409" s="426"/>
      <c r="H409" s="426"/>
      <c r="I409" s="426"/>
      <c r="J409" s="426"/>
      <c r="K409" s="426"/>
      <c r="L409" s="426"/>
      <c r="M409" s="426"/>
      <c r="N409" s="629"/>
      <c r="O409" s="629"/>
      <c r="P409" s="629"/>
      <c r="Q409" s="629"/>
      <c r="R409" s="629"/>
      <c r="S409" s="426"/>
      <c r="T409" s="506">
        <v>78094.736585836959</v>
      </c>
      <c r="U409" s="507">
        <v>68027.990510273958</v>
      </c>
      <c r="V409" s="507">
        <v>98307.49193746534</v>
      </c>
      <c r="W409" s="508">
        <v>85635.235112933078</v>
      </c>
      <c r="X409" s="426"/>
      <c r="Y409" s="426"/>
      <c r="Z409" s="506">
        <v>89031.673304450305</v>
      </c>
      <c r="AA409" s="507">
        <v>77555.109235970856</v>
      </c>
      <c r="AB409" s="507">
        <v>112075.1652185433</v>
      </c>
      <c r="AC409" s="508">
        <v>97628.196332339765</v>
      </c>
      <c r="AD409" s="426"/>
      <c r="AE409" s="426"/>
      <c r="AF409" s="506">
        <v>124642.32</v>
      </c>
      <c r="AG409" s="507">
        <v>108575.39</v>
      </c>
      <c r="AH409" s="507">
        <v>156902.68</v>
      </c>
      <c r="AI409" s="508">
        <v>136677.25</v>
      </c>
      <c r="AJ409" s="426"/>
      <c r="AK409" s="426"/>
      <c r="AL409" s="506">
        <v>140846.56373155888</v>
      </c>
      <c r="AM409" s="507">
        <v>122690.8383307468</v>
      </c>
      <c r="AN409" s="507">
        <v>177300.96846208</v>
      </c>
      <c r="AO409" s="508">
        <v>154446.1141339989</v>
      </c>
      <c r="AP409" s="426"/>
      <c r="AQ409" s="426"/>
      <c r="AR409" s="506">
        <v>144366.92000000001</v>
      </c>
      <c r="AS409" s="507">
        <v>125757.41</v>
      </c>
      <c r="AT409" s="507">
        <v>181732.48000000001</v>
      </c>
      <c r="AU409" s="508">
        <v>158306.38</v>
      </c>
    </row>
    <row r="410" spans="1:47" ht="13" hidden="1">
      <c r="A410" s="502">
        <v>74</v>
      </c>
      <c r="B410" s="517" t="str">
        <f t="shared" si="37"/>
        <v>74B</v>
      </c>
      <c r="C410" s="506">
        <v>317989.16386981669</v>
      </c>
      <c r="D410" s="507">
        <v>274776.51520256058</v>
      </c>
      <c r="E410" s="507">
        <v>400292.24157729879</v>
      </c>
      <c r="F410" s="508">
        <v>345895.1426667528</v>
      </c>
      <c r="G410" s="426"/>
      <c r="H410" s="426"/>
      <c r="I410" s="426"/>
      <c r="J410" s="426"/>
      <c r="K410" s="426"/>
      <c r="L410" s="426"/>
      <c r="M410" s="426"/>
      <c r="N410" s="629"/>
      <c r="O410" s="629"/>
      <c r="P410" s="629"/>
      <c r="Q410" s="629"/>
      <c r="R410" s="629"/>
      <c r="S410" s="426"/>
      <c r="T410" s="506">
        <v>81855.795783906622</v>
      </c>
      <c r="U410" s="507">
        <v>70732.128230138245</v>
      </c>
      <c r="V410" s="507">
        <v>103042.00175150602</v>
      </c>
      <c r="W410" s="508">
        <v>89039.267301468164</v>
      </c>
      <c r="X410" s="426"/>
      <c r="Y410" s="426"/>
      <c r="Z410" s="506">
        <v>93319.457711446623</v>
      </c>
      <c r="AA410" s="507">
        <v>80637.953439953519</v>
      </c>
      <c r="AB410" s="507">
        <v>117472.72911911519</v>
      </c>
      <c r="AC410" s="508">
        <v>101508.95315382385</v>
      </c>
      <c r="AD410" s="426"/>
      <c r="AE410" s="426"/>
      <c r="AF410" s="506">
        <v>130645.12</v>
      </c>
      <c r="AG410" s="507">
        <v>112891.3</v>
      </c>
      <c r="AH410" s="507">
        <v>164459.15</v>
      </c>
      <c r="AI410" s="508">
        <v>142110.23000000001</v>
      </c>
      <c r="AJ410" s="426"/>
      <c r="AK410" s="426"/>
      <c r="AL410" s="506">
        <v>147629.76433121559</v>
      </c>
      <c r="AM410" s="507">
        <v>127567.84441784913</v>
      </c>
      <c r="AN410" s="507">
        <v>185839.82098164794</v>
      </c>
      <c r="AO410" s="508">
        <v>160585.40414952775</v>
      </c>
      <c r="AP410" s="426"/>
      <c r="AQ410" s="426"/>
      <c r="AR410" s="506">
        <v>151319.66</v>
      </c>
      <c r="AS410" s="507">
        <v>130756.31</v>
      </c>
      <c r="AT410" s="507">
        <v>190484.75</v>
      </c>
      <c r="AU410" s="508">
        <v>164599.12</v>
      </c>
    </row>
    <row r="411" spans="1:47" ht="13" hidden="1">
      <c r="A411" s="502">
        <v>75</v>
      </c>
      <c r="B411" s="517" t="str">
        <f t="shared" si="37"/>
        <v>75B</v>
      </c>
      <c r="C411" s="506">
        <v>331754.69807318074</v>
      </c>
      <c r="D411" s="507">
        <v>286088.76307705551</v>
      </c>
      <c r="E411" s="507">
        <v>417620.61992741592</v>
      </c>
      <c r="F411" s="508">
        <v>360135.26646170503</v>
      </c>
      <c r="G411" s="426"/>
      <c r="H411" s="426"/>
      <c r="I411" s="426"/>
      <c r="J411" s="426"/>
      <c r="K411" s="426"/>
      <c r="L411" s="426"/>
      <c r="M411" s="426"/>
      <c r="N411" s="629"/>
      <c r="O411" s="629"/>
      <c r="P411" s="629"/>
      <c r="Q411" s="629"/>
      <c r="R411" s="629"/>
      <c r="S411" s="426"/>
      <c r="T411" s="506">
        <v>85399.277400998006</v>
      </c>
      <c r="U411" s="507">
        <v>73644.092400875423</v>
      </c>
      <c r="V411" s="507">
        <v>107502.61978713867</v>
      </c>
      <c r="W411" s="508">
        <v>92704.916316396135</v>
      </c>
      <c r="X411" s="426"/>
      <c r="Y411" s="426"/>
      <c r="Z411" s="506">
        <v>97359.193441222029</v>
      </c>
      <c r="AA411" s="507">
        <v>83957.729574141209</v>
      </c>
      <c r="AB411" s="507">
        <v>122558.04350836185</v>
      </c>
      <c r="AC411" s="508">
        <v>105687.96546391895</v>
      </c>
      <c r="AD411" s="426"/>
      <c r="AE411" s="426"/>
      <c r="AF411" s="506">
        <v>136300.66</v>
      </c>
      <c r="AG411" s="507">
        <v>117538.91</v>
      </c>
      <c r="AH411" s="507">
        <v>171578.47</v>
      </c>
      <c r="AI411" s="508">
        <v>147960.75</v>
      </c>
      <c r="AJ411" s="426"/>
      <c r="AK411" s="426"/>
      <c r="AL411" s="506">
        <v>154020.55622363341</v>
      </c>
      <c r="AM411" s="507">
        <v>132819.67271112921</v>
      </c>
      <c r="AN411" s="507">
        <v>193884.70018739731</v>
      </c>
      <c r="AO411" s="508">
        <v>167196.52917753914</v>
      </c>
      <c r="AP411" s="426"/>
      <c r="AQ411" s="426"/>
      <c r="AR411" s="506">
        <v>157870.19</v>
      </c>
      <c r="AS411" s="507">
        <v>136139.4</v>
      </c>
      <c r="AT411" s="507">
        <v>198730.71</v>
      </c>
      <c r="AU411" s="508">
        <v>171375.49</v>
      </c>
    </row>
    <row r="412" spans="1:47" ht="13" hidden="1">
      <c r="A412" s="502">
        <v>76</v>
      </c>
      <c r="B412" s="517" t="str">
        <f t="shared" si="37"/>
        <v>76B</v>
      </c>
      <c r="C412" s="506">
        <v>348563.91128132341</v>
      </c>
      <c r="D412" s="507">
        <v>298507.14405027364</v>
      </c>
      <c r="E412" s="507">
        <v>438780.45302472479</v>
      </c>
      <c r="F412" s="508">
        <v>375767.81662799144</v>
      </c>
      <c r="G412" s="426"/>
      <c r="H412" s="426"/>
      <c r="I412" s="426"/>
      <c r="J412" s="426"/>
      <c r="K412" s="426"/>
      <c r="L412" s="426"/>
      <c r="M412" s="426"/>
      <c r="N412" s="629"/>
      <c r="O412" s="629"/>
      <c r="P412" s="629"/>
      <c r="Q412" s="629"/>
      <c r="R412" s="629"/>
      <c r="S412" s="426"/>
      <c r="T412" s="506">
        <v>89726.253537257726</v>
      </c>
      <c r="U412" s="507">
        <v>76840.793963091754</v>
      </c>
      <c r="V412" s="507">
        <v>112949.5191586656</v>
      </c>
      <c r="W412" s="508">
        <v>96728.999459421379</v>
      </c>
      <c r="X412" s="426"/>
      <c r="Y412" s="426"/>
      <c r="Z412" s="506">
        <v>102292.14977863406</v>
      </c>
      <c r="AA412" s="507">
        <v>87602.119728735648</v>
      </c>
      <c r="AB412" s="507">
        <v>128767.76501545697</v>
      </c>
      <c r="AC412" s="508">
        <v>110275.60954087898</v>
      </c>
      <c r="AD412" s="426"/>
      <c r="AE412" s="426"/>
      <c r="AF412" s="506">
        <v>143206.68</v>
      </c>
      <c r="AG412" s="507">
        <v>122640.98</v>
      </c>
      <c r="AH412" s="507">
        <v>180271.94</v>
      </c>
      <c r="AI412" s="508">
        <v>154383.35</v>
      </c>
      <c r="AJ412" s="426"/>
      <c r="AK412" s="426"/>
      <c r="AL412" s="506">
        <v>161824.40763263046</v>
      </c>
      <c r="AM412" s="507">
        <v>138585.03475724603</v>
      </c>
      <c r="AN412" s="507">
        <v>203708.37196107596</v>
      </c>
      <c r="AO412" s="508">
        <v>174454.10257676846</v>
      </c>
      <c r="AP412" s="426"/>
      <c r="AQ412" s="426"/>
      <c r="AR412" s="506">
        <v>165869.09</v>
      </c>
      <c r="AS412" s="507">
        <v>142048.87</v>
      </c>
      <c r="AT412" s="507">
        <v>208799.92</v>
      </c>
      <c r="AU412" s="508">
        <v>178814.46</v>
      </c>
    </row>
    <row r="413" spans="1:47" ht="13" hidden="1">
      <c r="A413" s="502">
        <v>77</v>
      </c>
      <c r="B413" s="517" t="str">
        <f t="shared" si="37"/>
        <v>77B</v>
      </c>
      <c r="C413" s="506">
        <v>366523.79298946471</v>
      </c>
      <c r="D413" s="507">
        <v>311826.47107227851</v>
      </c>
      <c r="E413" s="507">
        <v>461388.77470438514</v>
      </c>
      <c r="F413" s="508">
        <v>392534.49887922109</v>
      </c>
      <c r="G413" s="426"/>
      <c r="H413" s="426"/>
      <c r="I413" s="426"/>
      <c r="J413" s="426"/>
      <c r="K413" s="426"/>
      <c r="L413" s="426"/>
      <c r="M413" s="426"/>
      <c r="N413" s="629"/>
      <c r="O413" s="629"/>
      <c r="P413" s="629"/>
      <c r="Q413" s="629"/>
      <c r="R413" s="629"/>
      <c r="S413" s="426"/>
      <c r="T413" s="506">
        <v>94349.431231471826</v>
      </c>
      <c r="U413" s="507">
        <v>80269.414295382841</v>
      </c>
      <c r="V413" s="507">
        <v>118769.28402079397</v>
      </c>
      <c r="W413" s="508">
        <v>101045.02740712899</v>
      </c>
      <c r="X413" s="426"/>
      <c r="Y413" s="426"/>
      <c r="Z413" s="506">
        <v>107562.78982551197</v>
      </c>
      <c r="AA413" s="507">
        <v>91510.908190734204</v>
      </c>
      <c r="AB413" s="507">
        <v>135402.57072152686</v>
      </c>
      <c r="AC413" s="508">
        <v>115196.08442833599</v>
      </c>
      <c r="AD413" s="426"/>
      <c r="AE413" s="426"/>
      <c r="AF413" s="506">
        <v>150585.46</v>
      </c>
      <c r="AG413" s="507">
        <v>128113.19</v>
      </c>
      <c r="AH413" s="507">
        <v>189560.52</v>
      </c>
      <c r="AI413" s="508">
        <v>161271.9</v>
      </c>
      <c r="AJ413" s="426"/>
      <c r="AK413" s="426"/>
      <c r="AL413" s="506">
        <v>170162.46881598225</v>
      </c>
      <c r="AM413" s="507">
        <v>144768.67034211758</v>
      </c>
      <c r="AN413" s="507">
        <v>214204.51956835415</v>
      </c>
      <c r="AO413" s="508">
        <v>182238.20854831272</v>
      </c>
      <c r="AP413" s="426"/>
      <c r="AQ413" s="426"/>
      <c r="AR413" s="506">
        <v>174415.56</v>
      </c>
      <c r="AS413" s="507">
        <v>148387.06</v>
      </c>
      <c r="AT413" s="507">
        <v>219558.41</v>
      </c>
      <c r="AU413" s="508">
        <v>186793.12</v>
      </c>
    </row>
    <row r="414" spans="1:47" ht="13" hidden="1">
      <c r="A414" s="502">
        <v>78</v>
      </c>
      <c r="B414" s="517" t="str">
        <f t="shared" si="37"/>
        <v>78B</v>
      </c>
      <c r="C414" s="506">
        <v>385194.27883021411</v>
      </c>
      <c r="D414" s="507">
        <v>325702.14934278111</v>
      </c>
      <c r="E414" s="507">
        <v>484891.62158626964</v>
      </c>
      <c r="F414" s="508">
        <v>410001.52917267737</v>
      </c>
      <c r="G414" s="426"/>
      <c r="H414" s="426"/>
      <c r="I414" s="426"/>
      <c r="J414" s="426"/>
      <c r="K414" s="426"/>
      <c r="L414" s="426"/>
      <c r="M414" s="426"/>
      <c r="N414" s="629"/>
      <c r="O414" s="629"/>
      <c r="P414" s="629"/>
      <c r="Q414" s="629"/>
      <c r="R414" s="629"/>
      <c r="S414" s="426"/>
      <c r="T414" s="506">
        <v>99155.53046318148</v>
      </c>
      <c r="U414" s="507">
        <v>83841.24886059601</v>
      </c>
      <c r="V414" s="507">
        <v>124819.31481835785</v>
      </c>
      <c r="W414" s="508">
        <v>105541.33680098559</v>
      </c>
      <c r="X414" s="426"/>
      <c r="Y414" s="426"/>
      <c r="Z414" s="506">
        <v>113041.96902981117</v>
      </c>
      <c r="AA414" s="507">
        <v>95582.967615098474</v>
      </c>
      <c r="AB414" s="507">
        <v>142299.89042576228</v>
      </c>
      <c r="AC414" s="508">
        <v>120322.08864488869</v>
      </c>
      <c r="AD414" s="426"/>
      <c r="AE414" s="426"/>
      <c r="AF414" s="506">
        <v>158256.19</v>
      </c>
      <c r="AG414" s="507">
        <v>133813.98000000001</v>
      </c>
      <c r="AH414" s="507">
        <v>199216.61</v>
      </c>
      <c r="AI414" s="508">
        <v>168448.19</v>
      </c>
      <c r="AJ414" s="426"/>
      <c r="AK414" s="426"/>
      <c r="AL414" s="506">
        <v>178830.43533117953</v>
      </c>
      <c r="AM414" s="507">
        <v>151210.59775901758</v>
      </c>
      <c r="AN414" s="507">
        <v>225115.9597698377</v>
      </c>
      <c r="AO414" s="508">
        <v>190347.45835546911</v>
      </c>
      <c r="AP414" s="426"/>
      <c r="AQ414" s="426"/>
      <c r="AR414" s="506">
        <v>183300.17</v>
      </c>
      <c r="AS414" s="507">
        <v>154990</v>
      </c>
      <c r="AT414" s="507">
        <v>230742.57</v>
      </c>
      <c r="AU414" s="508">
        <v>195105.06</v>
      </c>
    </row>
    <row r="415" spans="1:47" ht="13" hidden="1">
      <c r="A415" s="502">
        <v>79</v>
      </c>
      <c r="B415" s="517" t="str">
        <f t="shared" si="37"/>
        <v>79B</v>
      </c>
      <c r="C415" s="506">
        <v>405688.75383545342</v>
      </c>
      <c r="D415" s="507">
        <v>339622.02174711623</v>
      </c>
      <c r="E415" s="507">
        <v>510690.54894580611</v>
      </c>
      <c r="F415" s="508">
        <v>427524.19208166411</v>
      </c>
      <c r="G415" s="426"/>
      <c r="H415" s="426"/>
      <c r="I415" s="426"/>
      <c r="J415" s="426"/>
      <c r="K415" s="426"/>
      <c r="L415" s="426"/>
      <c r="M415" s="426"/>
      <c r="N415" s="629"/>
      <c r="O415" s="629"/>
      <c r="P415" s="629"/>
      <c r="Q415" s="629"/>
      <c r="R415" s="629"/>
      <c r="S415" s="426"/>
      <c r="T415" s="506">
        <v>104431.15539426883</v>
      </c>
      <c r="U415" s="507">
        <v>87424.459744265565</v>
      </c>
      <c r="V415" s="507">
        <v>131460.39561396194</v>
      </c>
      <c r="W415" s="508">
        <v>110051.96697219311</v>
      </c>
      <c r="X415" s="426"/>
      <c r="Y415" s="426"/>
      <c r="Z415" s="506">
        <v>119056.42961801124</v>
      </c>
      <c r="AA415" s="507">
        <v>99667.996577647966</v>
      </c>
      <c r="AB415" s="507">
        <v>149871.03493090827</v>
      </c>
      <c r="AC415" s="508">
        <v>125464.4192212745</v>
      </c>
      <c r="AD415" s="426"/>
      <c r="AE415" s="426"/>
      <c r="AF415" s="506">
        <v>166676.29</v>
      </c>
      <c r="AG415" s="507">
        <v>139532.93</v>
      </c>
      <c r="AH415" s="507">
        <v>209816.04</v>
      </c>
      <c r="AI415" s="508">
        <v>175647.33</v>
      </c>
      <c r="AJ415" s="426"/>
      <c r="AK415" s="426"/>
      <c r="AL415" s="506">
        <v>188345.20771617215</v>
      </c>
      <c r="AM415" s="507">
        <v>157673.0427604891</v>
      </c>
      <c r="AN415" s="507">
        <v>237093.37912506383</v>
      </c>
      <c r="AO415" s="508">
        <v>198482.53618085093</v>
      </c>
      <c r="AP415" s="426"/>
      <c r="AQ415" s="426"/>
      <c r="AR415" s="506">
        <v>193052.76</v>
      </c>
      <c r="AS415" s="507">
        <v>161613.97</v>
      </c>
      <c r="AT415" s="507">
        <v>243019.36</v>
      </c>
      <c r="AU415" s="508">
        <v>203443.46</v>
      </c>
    </row>
    <row r="416" spans="1:47" ht="13" hidden="1">
      <c r="A416" s="502">
        <v>80</v>
      </c>
      <c r="B416" s="517" t="str">
        <f t="shared" si="37"/>
        <v>80B</v>
      </c>
      <c r="C416" s="506">
        <v>425569.03276065318</v>
      </c>
      <c r="D416" s="507">
        <v>354315.7180778241</v>
      </c>
      <c r="E416" s="507">
        <v>535716.3118281163</v>
      </c>
      <c r="F416" s="508">
        <v>446020.96275679034</v>
      </c>
      <c r="G416" s="426"/>
      <c r="H416" s="426"/>
      <c r="I416" s="426"/>
      <c r="J416" s="426"/>
      <c r="K416" s="426"/>
      <c r="L416" s="426"/>
      <c r="M416" s="426"/>
      <c r="N416" s="629"/>
      <c r="O416" s="629"/>
      <c r="P416" s="629"/>
      <c r="Q416" s="629"/>
      <c r="R416" s="629"/>
      <c r="S416" s="426"/>
      <c r="T416" s="506">
        <v>109548.67585321904</v>
      </c>
      <c r="U416" s="507">
        <v>91206.866010944403</v>
      </c>
      <c r="V416" s="507">
        <v>137902.45077993456</v>
      </c>
      <c r="W416" s="508">
        <v>114813.34897848291</v>
      </c>
      <c r="X416" s="426"/>
      <c r="Y416" s="426"/>
      <c r="Z416" s="506">
        <v>124890.64367069973</v>
      </c>
      <c r="AA416" s="507">
        <v>103980.11764703038</v>
      </c>
      <c r="AB416" s="507">
        <v>157215.2808560573</v>
      </c>
      <c r="AC416" s="508">
        <v>130892.61868508524</v>
      </c>
      <c r="AD416" s="426"/>
      <c r="AE416" s="426"/>
      <c r="AF416" s="506">
        <v>174844.06</v>
      </c>
      <c r="AG416" s="507">
        <v>145569.79999999999</v>
      </c>
      <c r="AH416" s="507">
        <v>220097.82</v>
      </c>
      <c r="AI416" s="508">
        <v>183246.69</v>
      </c>
      <c r="AJ416" s="426"/>
      <c r="AK416" s="426"/>
      <c r="AL416" s="506">
        <v>197574.83320670496</v>
      </c>
      <c r="AM416" s="507">
        <v>164494.74353814489</v>
      </c>
      <c r="AN416" s="507">
        <v>248711.84886020512</v>
      </c>
      <c r="AO416" s="508">
        <v>207069.85363037052</v>
      </c>
      <c r="AP416" s="426"/>
      <c r="AQ416" s="426"/>
      <c r="AR416" s="506">
        <v>202513.07</v>
      </c>
      <c r="AS416" s="507">
        <v>168606.17</v>
      </c>
      <c r="AT416" s="507">
        <v>254928.22</v>
      </c>
      <c r="AU416" s="508">
        <v>212245.42</v>
      </c>
    </row>
    <row r="417" spans="1:47" ht="13" hidden="1">
      <c r="A417" s="502">
        <v>81</v>
      </c>
      <c r="B417" s="517" t="str">
        <f t="shared" si="37"/>
        <v>81B</v>
      </c>
      <c r="C417" s="506">
        <v>448922.39045043691</v>
      </c>
      <c r="D417" s="507">
        <v>369203.85153402289</v>
      </c>
      <c r="E417" s="507">
        <v>565114.06797878537</v>
      </c>
      <c r="F417" s="508">
        <v>464762.49546047579</v>
      </c>
      <c r="G417" s="426"/>
      <c r="H417" s="426"/>
      <c r="I417" s="426"/>
      <c r="J417" s="426"/>
      <c r="K417" s="426"/>
      <c r="L417" s="426"/>
      <c r="M417" s="426"/>
      <c r="N417" s="629"/>
      <c r="O417" s="629"/>
      <c r="P417" s="629"/>
      <c r="Q417" s="629"/>
      <c r="R417" s="629"/>
      <c r="S417" s="426"/>
      <c r="T417" s="506">
        <v>115560.22560120374</v>
      </c>
      <c r="U417" s="507">
        <v>95039.323686430071</v>
      </c>
      <c r="V417" s="507">
        <v>145469.93105092706</v>
      </c>
      <c r="W417" s="508">
        <v>119637.73687585903</v>
      </c>
      <c r="X417" s="426"/>
      <c r="Y417" s="426"/>
      <c r="Z417" s="506">
        <v>131744.09316825637</v>
      </c>
      <c r="AA417" s="507">
        <v>108349.29967688376</v>
      </c>
      <c r="AB417" s="507">
        <v>165842.56434121684</v>
      </c>
      <c r="AC417" s="508">
        <v>136392.64782854778</v>
      </c>
      <c r="AD417" s="426"/>
      <c r="AE417" s="426"/>
      <c r="AF417" s="506">
        <v>184438.73</v>
      </c>
      <c r="AG417" s="507">
        <v>151686.56</v>
      </c>
      <c r="AH417" s="507">
        <v>232175.82</v>
      </c>
      <c r="AI417" s="508">
        <v>190946.61</v>
      </c>
      <c r="AJ417" s="426"/>
      <c r="AK417" s="426"/>
      <c r="AL417" s="506">
        <v>208416.8715017483</v>
      </c>
      <c r="AM417" s="507">
        <v>171406.7137660679</v>
      </c>
      <c r="AN417" s="507">
        <v>262360.06177278905</v>
      </c>
      <c r="AO417" s="508">
        <v>215770.80438787368</v>
      </c>
      <c r="AP417" s="426"/>
      <c r="AQ417" s="426"/>
      <c r="AR417" s="506">
        <v>213626.1</v>
      </c>
      <c r="AS417" s="507">
        <v>175690.9</v>
      </c>
      <c r="AT417" s="507">
        <v>268917.56</v>
      </c>
      <c r="AU417" s="508">
        <v>221163.84</v>
      </c>
    </row>
    <row r="418" spans="1:47" ht="13" hidden="1">
      <c r="A418" s="502">
        <v>82</v>
      </c>
      <c r="B418" s="517" t="str">
        <f t="shared" si="37"/>
        <v>82B</v>
      </c>
      <c r="C418" s="506">
        <v>473161.25183722377</v>
      </c>
      <c r="D418" s="507">
        <v>383483.93172415125</v>
      </c>
      <c r="E418" s="507">
        <v>595626.51701862307</v>
      </c>
      <c r="F418" s="508">
        <v>482738.59640569647</v>
      </c>
      <c r="G418" s="426"/>
      <c r="H418" s="426"/>
      <c r="I418" s="426"/>
      <c r="J418" s="426"/>
      <c r="K418" s="426"/>
      <c r="L418" s="426"/>
      <c r="M418" s="426"/>
      <c r="N418" s="629"/>
      <c r="O418" s="629"/>
      <c r="P418" s="629"/>
      <c r="Q418" s="629"/>
      <c r="R418" s="629"/>
      <c r="S418" s="426"/>
      <c r="T418" s="506">
        <v>121799.7189964049</v>
      </c>
      <c r="U418" s="507">
        <v>98715.258154120005</v>
      </c>
      <c r="V418" s="507">
        <v>153324.35214841558</v>
      </c>
      <c r="W418" s="508">
        <v>124265.08967636283</v>
      </c>
      <c r="X418" s="426"/>
      <c r="Y418" s="426"/>
      <c r="Z418" s="506">
        <v>138857.40914616789</v>
      </c>
      <c r="AA418" s="507">
        <v>112540.03788695787</v>
      </c>
      <c r="AB418" s="507">
        <v>174796.97386635255</v>
      </c>
      <c r="AC418" s="508">
        <v>141668.04769299398</v>
      </c>
      <c r="AD418" s="426"/>
      <c r="AE418" s="426"/>
      <c r="AF418" s="506">
        <v>194397.22</v>
      </c>
      <c r="AG418" s="507">
        <v>157553.49</v>
      </c>
      <c r="AH418" s="507">
        <v>244711.79</v>
      </c>
      <c r="AI418" s="508">
        <v>198332.05</v>
      </c>
      <c r="AJ418" s="426"/>
      <c r="AK418" s="426"/>
      <c r="AL418" s="506">
        <v>219670.0140637173</v>
      </c>
      <c r="AM418" s="507">
        <v>178036.388964568</v>
      </c>
      <c r="AN418" s="507">
        <v>276525.78240962059</v>
      </c>
      <c r="AO418" s="508">
        <v>224116.39552010325</v>
      </c>
      <c r="AP418" s="426"/>
      <c r="AQ418" s="426"/>
      <c r="AR418" s="506">
        <v>225160.51</v>
      </c>
      <c r="AS418" s="507">
        <v>182486.28</v>
      </c>
      <c r="AT418" s="507">
        <v>283437.34000000003</v>
      </c>
      <c r="AU418" s="508">
        <v>229718.02</v>
      </c>
    </row>
    <row r="419" spans="1:47" ht="13" hidden="1">
      <c r="A419" s="502">
        <v>83</v>
      </c>
      <c r="B419" s="517" t="str">
        <f t="shared" si="37"/>
        <v>83B</v>
      </c>
      <c r="C419" s="506">
        <v>498420.84414519317</v>
      </c>
      <c r="D419" s="507">
        <v>399745.06941928226</v>
      </c>
      <c r="E419" s="507">
        <v>627423.88615924306</v>
      </c>
      <c r="F419" s="508">
        <v>503208.49915133172</v>
      </c>
      <c r="G419" s="426"/>
      <c r="H419" s="426"/>
      <c r="I419" s="426"/>
      <c r="J419" s="426"/>
      <c r="K419" s="426"/>
      <c r="L419" s="426"/>
      <c r="M419" s="426"/>
      <c r="N419" s="629"/>
      <c r="O419" s="629"/>
      <c r="P419" s="629"/>
      <c r="Q419" s="629"/>
      <c r="R419" s="629"/>
      <c r="S419" s="426"/>
      <c r="T419" s="506">
        <v>128301.96581633852</v>
      </c>
      <c r="U419" s="507">
        <v>102901.15037191758</v>
      </c>
      <c r="V419" s="507">
        <v>161509.53343939086</v>
      </c>
      <c r="W419" s="508">
        <v>129534.38929170801</v>
      </c>
      <c r="X419" s="426"/>
      <c r="Y419" s="426"/>
      <c r="Z419" s="506">
        <v>146270.27638826345</v>
      </c>
      <c r="AA419" s="507">
        <v>117312.15192069906</v>
      </c>
      <c r="AB419" s="507">
        <v>184128.46557110813</v>
      </c>
      <c r="AC419" s="508">
        <v>147675.29712370352</v>
      </c>
      <c r="AD419" s="426"/>
      <c r="AE419" s="426"/>
      <c r="AF419" s="506">
        <v>204775.06</v>
      </c>
      <c r="AG419" s="507">
        <v>164234.34</v>
      </c>
      <c r="AH419" s="507">
        <v>257775.66</v>
      </c>
      <c r="AI419" s="508">
        <v>206742.06</v>
      </c>
      <c r="AJ419" s="426"/>
      <c r="AK419" s="426"/>
      <c r="AL419" s="506">
        <v>231397.04153266194</v>
      </c>
      <c r="AM419" s="507">
        <v>185585.79063748929</v>
      </c>
      <c r="AN419" s="507">
        <v>291288.04051758623</v>
      </c>
      <c r="AO419" s="508">
        <v>233619.7599789571</v>
      </c>
      <c r="AP419" s="426"/>
      <c r="AQ419" s="426"/>
      <c r="AR419" s="506">
        <v>237180.64</v>
      </c>
      <c r="AS419" s="507">
        <v>190224.37</v>
      </c>
      <c r="AT419" s="507">
        <v>298568.57</v>
      </c>
      <c r="AU419" s="508">
        <v>239458.92</v>
      </c>
    </row>
    <row r="420" spans="1:47" ht="13" hidden="1">
      <c r="A420" s="502">
        <v>84</v>
      </c>
      <c r="B420" s="517" t="str">
        <f t="shared" si="37"/>
        <v>84B</v>
      </c>
      <c r="C420" s="506">
        <v>524862.75750847324</v>
      </c>
      <c r="D420" s="507">
        <v>415522.54583121499</v>
      </c>
      <c r="E420" s="507">
        <v>660709.5888636075</v>
      </c>
      <c r="F420" s="508">
        <v>523069.55769341189</v>
      </c>
      <c r="G420" s="426"/>
      <c r="H420" s="426"/>
      <c r="I420" s="426"/>
      <c r="J420" s="426"/>
      <c r="K420" s="426"/>
      <c r="L420" s="426"/>
      <c r="M420" s="426"/>
      <c r="N420" s="629"/>
      <c r="O420" s="629"/>
      <c r="P420" s="629"/>
      <c r="Q420" s="629"/>
      <c r="R420" s="629"/>
      <c r="S420" s="426"/>
      <c r="T420" s="506">
        <v>135108.56209798576</v>
      </c>
      <c r="U420" s="507">
        <v>106962.53998483311</v>
      </c>
      <c r="V420" s="507">
        <v>170077.83699393505</v>
      </c>
      <c r="W420" s="508">
        <v>134646.96209855462</v>
      </c>
      <c r="X420" s="426"/>
      <c r="Y420" s="426"/>
      <c r="Z420" s="506">
        <v>154030.11633338989</v>
      </c>
      <c r="AA420" s="507">
        <v>121942.32712824002</v>
      </c>
      <c r="AB420" s="507">
        <v>193896.73467850254</v>
      </c>
      <c r="AC420" s="508">
        <v>153503.87062025507</v>
      </c>
      <c r="AD420" s="426"/>
      <c r="AE420" s="426"/>
      <c r="AF420" s="506">
        <v>215638.66</v>
      </c>
      <c r="AG420" s="507">
        <v>170716.48</v>
      </c>
      <c r="AH420" s="507">
        <v>271451.02</v>
      </c>
      <c r="AI420" s="508">
        <v>214901.93</v>
      </c>
      <c r="AJ420" s="426"/>
      <c r="AK420" s="426"/>
      <c r="AL420" s="506">
        <v>243672.97380274892</v>
      </c>
      <c r="AM420" s="507">
        <v>192910.64754798613</v>
      </c>
      <c r="AN420" s="507">
        <v>306741.27290463692</v>
      </c>
      <c r="AO420" s="508">
        <v>242840.46220746488</v>
      </c>
      <c r="AP420" s="426"/>
      <c r="AQ420" s="426"/>
      <c r="AR420" s="506">
        <v>249763.4</v>
      </c>
      <c r="AS420" s="507">
        <v>197732.31</v>
      </c>
      <c r="AT420" s="507">
        <v>314408.05</v>
      </c>
      <c r="AU420" s="508">
        <v>248910.07999999999</v>
      </c>
    </row>
    <row r="421" spans="1:47" ht="13" hidden="1">
      <c r="A421" s="502">
        <v>85</v>
      </c>
      <c r="B421" s="517" t="str">
        <f t="shared" si="37"/>
        <v>85B</v>
      </c>
      <c r="C421" s="506">
        <v>552677.07789266098</v>
      </c>
      <c r="D421" s="507">
        <v>431745.71752334299</v>
      </c>
      <c r="E421" s="507">
        <v>695722.9098178203</v>
      </c>
      <c r="F421" s="508">
        <v>543491.66794114944</v>
      </c>
      <c r="G421" s="426"/>
      <c r="H421" s="426"/>
      <c r="I421" s="426"/>
      <c r="J421" s="426"/>
      <c r="K421" s="426"/>
      <c r="L421" s="426"/>
      <c r="M421" s="426"/>
      <c r="N421" s="629"/>
      <c r="O421" s="629"/>
      <c r="P421" s="629"/>
      <c r="Q421" s="629"/>
      <c r="R421" s="629"/>
      <c r="S421" s="426"/>
      <c r="T421" s="506">
        <v>142268.43918791175</v>
      </c>
      <c r="U421" s="507">
        <v>111138.65911052052</v>
      </c>
      <c r="V421" s="507">
        <v>179090.85874243008</v>
      </c>
      <c r="W421" s="508">
        <v>139903.95911559643</v>
      </c>
      <c r="X421" s="426"/>
      <c r="Y421" s="426"/>
      <c r="Z421" s="506">
        <v>162192.71301837458</v>
      </c>
      <c r="AA421" s="507">
        <v>126703.29937724683</v>
      </c>
      <c r="AB421" s="507">
        <v>204172.00344665977</v>
      </c>
      <c r="AC421" s="508">
        <v>159497.09451018131</v>
      </c>
      <c r="AD421" s="426"/>
      <c r="AE421" s="426"/>
      <c r="AF421" s="506">
        <v>227066.11</v>
      </c>
      <c r="AG421" s="507">
        <v>177381.74</v>
      </c>
      <c r="AH421" s="507">
        <v>285836.15999999997</v>
      </c>
      <c r="AI421" s="508">
        <v>223292.31</v>
      </c>
      <c r="AJ421" s="426"/>
      <c r="AK421" s="426"/>
      <c r="AL421" s="506">
        <v>256586.06025317792</v>
      </c>
      <c r="AM421" s="507">
        <v>200442.42311060944</v>
      </c>
      <c r="AN421" s="507">
        <v>322996.56996576511</v>
      </c>
      <c r="AO421" s="508">
        <v>252321.63850394366</v>
      </c>
      <c r="AP421" s="426"/>
      <c r="AQ421" s="426"/>
      <c r="AR421" s="506">
        <v>262999.24</v>
      </c>
      <c r="AS421" s="507">
        <v>205452.34</v>
      </c>
      <c r="AT421" s="507">
        <v>331069.64</v>
      </c>
      <c r="AU421" s="508">
        <v>258628.24</v>
      </c>
    </row>
    <row r="422" spans="1:47" ht="13" hidden="1">
      <c r="A422" s="502">
        <v>86</v>
      </c>
      <c r="B422" s="517" t="str">
        <f t="shared" si="37"/>
        <v>86B</v>
      </c>
      <c r="C422" s="506">
        <v>552677.07789266098</v>
      </c>
      <c r="D422" s="507">
        <v>431745.71752334299</v>
      </c>
      <c r="E422" s="507">
        <v>695722.9098178203</v>
      </c>
      <c r="F422" s="508">
        <v>543491.66794114944</v>
      </c>
      <c r="G422" s="426"/>
      <c r="H422" s="426"/>
      <c r="I422" s="426"/>
      <c r="J422" s="426"/>
      <c r="K422" s="426"/>
      <c r="L422" s="426"/>
      <c r="M422" s="426"/>
      <c r="N422" s="629"/>
      <c r="O422" s="629"/>
      <c r="P422" s="629"/>
      <c r="Q422" s="629"/>
      <c r="R422" s="629"/>
      <c r="S422" s="426"/>
      <c r="T422" s="506">
        <v>142268.43918791175</v>
      </c>
      <c r="U422" s="507">
        <v>111138.65911052052</v>
      </c>
      <c r="V422" s="507">
        <v>179090.85874243008</v>
      </c>
      <c r="W422" s="508">
        <v>139903.95911559643</v>
      </c>
      <c r="X422" s="426"/>
      <c r="Y422" s="426"/>
      <c r="Z422" s="506">
        <v>162192.71301837458</v>
      </c>
      <c r="AA422" s="507">
        <v>126703.29937724683</v>
      </c>
      <c r="AB422" s="507">
        <v>204172.00344665977</v>
      </c>
      <c r="AC422" s="508">
        <v>159497.09451018131</v>
      </c>
      <c r="AD422" s="426"/>
      <c r="AE422" s="426"/>
      <c r="AF422" s="506">
        <v>227066.11</v>
      </c>
      <c r="AG422" s="507">
        <v>177381.74</v>
      </c>
      <c r="AH422" s="507">
        <v>285836.15999999997</v>
      </c>
      <c r="AI422" s="508">
        <v>223292.31</v>
      </c>
      <c r="AJ422" s="426"/>
      <c r="AK422" s="426"/>
      <c r="AL422" s="506">
        <v>256586.06025317792</v>
      </c>
      <c r="AM422" s="507">
        <v>200442.42311060944</v>
      </c>
      <c r="AN422" s="507">
        <v>322996.56996576511</v>
      </c>
      <c r="AO422" s="508">
        <v>252321.63850394366</v>
      </c>
      <c r="AP422" s="426"/>
      <c r="AQ422" s="426"/>
      <c r="AR422" s="506">
        <v>262999.24</v>
      </c>
      <c r="AS422" s="507">
        <v>205452.34</v>
      </c>
      <c r="AT422" s="507">
        <v>331069.64</v>
      </c>
      <c r="AU422" s="508">
        <v>258628.24</v>
      </c>
    </row>
    <row r="423" spans="1:47" ht="13" hidden="1">
      <c r="A423" s="502">
        <v>87</v>
      </c>
      <c r="B423" s="517" t="str">
        <f t="shared" si="37"/>
        <v>87B</v>
      </c>
      <c r="C423" s="506">
        <v>552677.07789266098</v>
      </c>
      <c r="D423" s="507">
        <v>431745.71752334299</v>
      </c>
      <c r="E423" s="507">
        <v>695722.9098178203</v>
      </c>
      <c r="F423" s="508">
        <v>543491.66794114944</v>
      </c>
      <c r="G423" s="426"/>
      <c r="H423" s="426"/>
      <c r="I423" s="426"/>
      <c r="J423" s="426"/>
      <c r="K423" s="426"/>
      <c r="L423" s="426"/>
      <c r="M423" s="426"/>
      <c r="N423" s="629"/>
      <c r="O423" s="629"/>
      <c r="P423" s="629"/>
      <c r="Q423" s="629"/>
      <c r="R423" s="629"/>
      <c r="S423" s="426"/>
      <c r="T423" s="506">
        <v>142268.43918791175</v>
      </c>
      <c r="U423" s="507">
        <v>111138.65911052052</v>
      </c>
      <c r="V423" s="507">
        <v>179090.85874243008</v>
      </c>
      <c r="W423" s="508">
        <v>139903.95911559643</v>
      </c>
      <c r="X423" s="426"/>
      <c r="Y423" s="426"/>
      <c r="Z423" s="506">
        <v>162192.71301837458</v>
      </c>
      <c r="AA423" s="507">
        <v>126703.29937724683</v>
      </c>
      <c r="AB423" s="507">
        <v>204172.00344665977</v>
      </c>
      <c r="AC423" s="508">
        <v>159497.09451018131</v>
      </c>
      <c r="AD423" s="426"/>
      <c r="AE423" s="426"/>
      <c r="AF423" s="506">
        <v>227066.11</v>
      </c>
      <c r="AG423" s="507">
        <v>177381.74</v>
      </c>
      <c r="AH423" s="507">
        <v>285836.15999999997</v>
      </c>
      <c r="AI423" s="508">
        <v>223292.31</v>
      </c>
      <c r="AJ423" s="426"/>
      <c r="AK423" s="426"/>
      <c r="AL423" s="506">
        <v>256586.06025317792</v>
      </c>
      <c r="AM423" s="507">
        <v>200442.42311060944</v>
      </c>
      <c r="AN423" s="507">
        <v>322996.56996576511</v>
      </c>
      <c r="AO423" s="508">
        <v>252321.63850394366</v>
      </c>
      <c r="AP423" s="426"/>
      <c r="AQ423" s="426"/>
      <c r="AR423" s="506">
        <v>262999.24</v>
      </c>
      <c r="AS423" s="507">
        <v>205452.34</v>
      </c>
      <c r="AT423" s="507">
        <v>331069.64</v>
      </c>
      <c r="AU423" s="508">
        <v>258628.24</v>
      </c>
    </row>
    <row r="424" spans="1:47" ht="13" hidden="1">
      <c r="A424" s="502">
        <v>88</v>
      </c>
      <c r="B424" s="517" t="str">
        <f t="shared" si="37"/>
        <v>88B</v>
      </c>
      <c r="C424" s="506">
        <v>552677.07789266098</v>
      </c>
      <c r="D424" s="507">
        <v>431745.71752334299</v>
      </c>
      <c r="E424" s="507">
        <v>695722.9098178203</v>
      </c>
      <c r="F424" s="508">
        <v>543491.66794114944</v>
      </c>
      <c r="G424" s="426"/>
      <c r="H424" s="426"/>
      <c r="I424" s="426"/>
      <c r="J424" s="426"/>
      <c r="K424" s="426"/>
      <c r="L424" s="426"/>
      <c r="M424" s="426"/>
      <c r="N424" s="629"/>
      <c r="O424" s="629"/>
      <c r="P424" s="629"/>
      <c r="Q424" s="629"/>
      <c r="R424" s="629"/>
      <c r="S424" s="426"/>
      <c r="T424" s="506">
        <v>142268.43918791175</v>
      </c>
      <c r="U424" s="507">
        <v>111138.65911052052</v>
      </c>
      <c r="V424" s="507">
        <v>179090.85874243008</v>
      </c>
      <c r="W424" s="508">
        <v>139903.95911559643</v>
      </c>
      <c r="X424" s="426"/>
      <c r="Y424" s="426"/>
      <c r="Z424" s="506">
        <v>162192.71301837458</v>
      </c>
      <c r="AA424" s="507">
        <v>126703.29937724683</v>
      </c>
      <c r="AB424" s="507">
        <v>204172.00344665977</v>
      </c>
      <c r="AC424" s="508">
        <v>159497.09451018131</v>
      </c>
      <c r="AD424" s="426"/>
      <c r="AE424" s="426"/>
      <c r="AF424" s="506">
        <v>227066.11</v>
      </c>
      <c r="AG424" s="507">
        <v>177381.74</v>
      </c>
      <c r="AH424" s="507">
        <v>285836.15999999997</v>
      </c>
      <c r="AI424" s="508">
        <v>223292.31</v>
      </c>
      <c r="AJ424" s="426"/>
      <c r="AK424" s="426"/>
      <c r="AL424" s="506">
        <v>256586.06025317792</v>
      </c>
      <c r="AM424" s="507">
        <v>200442.42311060944</v>
      </c>
      <c r="AN424" s="507">
        <v>322996.56996576511</v>
      </c>
      <c r="AO424" s="508">
        <v>252321.63850394366</v>
      </c>
      <c r="AP424" s="426"/>
      <c r="AQ424" s="426"/>
      <c r="AR424" s="506">
        <v>262999.24</v>
      </c>
      <c r="AS424" s="507">
        <v>205452.34</v>
      </c>
      <c r="AT424" s="507">
        <v>331069.64</v>
      </c>
      <c r="AU424" s="508">
        <v>258628.24</v>
      </c>
    </row>
    <row r="425" spans="1:47" ht="13" hidden="1">
      <c r="A425" s="502">
        <v>89</v>
      </c>
      <c r="B425" s="517" t="str">
        <f t="shared" si="37"/>
        <v>89B</v>
      </c>
      <c r="C425" s="506">
        <v>552677.07789266098</v>
      </c>
      <c r="D425" s="507">
        <v>431745.71752334299</v>
      </c>
      <c r="E425" s="507">
        <v>695722.9098178203</v>
      </c>
      <c r="F425" s="508">
        <v>543491.66794114944</v>
      </c>
      <c r="G425" s="426"/>
      <c r="H425" s="426"/>
      <c r="I425" s="426"/>
      <c r="J425" s="426"/>
      <c r="K425" s="426"/>
      <c r="L425" s="426"/>
      <c r="M425" s="426"/>
      <c r="N425" s="629"/>
      <c r="O425" s="629"/>
      <c r="P425" s="629"/>
      <c r="Q425" s="629"/>
      <c r="R425" s="629"/>
      <c r="S425" s="426"/>
      <c r="T425" s="506">
        <v>142268.43918791175</v>
      </c>
      <c r="U425" s="507">
        <v>111138.65911052052</v>
      </c>
      <c r="V425" s="507">
        <v>179090.85874243008</v>
      </c>
      <c r="W425" s="508">
        <v>139903.95911559643</v>
      </c>
      <c r="X425" s="426"/>
      <c r="Y425" s="426"/>
      <c r="Z425" s="506">
        <v>162192.71301837458</v>
      </c>
      <c r="AA425" s="507">
        <v>126703.29937724683</v>
      </c>
      <c r="AB425" s="507">
        <v>204172.00344665977</v>
      </c>
      <c r="AC425" s="508">
        <v>159497.09451018131</v>
      </c>
      <c r="AD425" s="426"/>
      <c r="AE425" s="426"/>
      <c r="AF425" s="506">
        <v>227066.11</v>
      </c>
      <c r="AG425" s="507">
        <v>177381.74</v>
      </c>
      <c r="AH425" s="507">
        <v>285836.15999999997</v>
      </c>
      <c r="AI425" s="508">
        <v>223292.31</v>
      </c>
      <c r="AJ425" s="426"/>
      <c r="AK425" s="426"/>
      <c r="AL425" s="506">
        <v>256586.06025317792</v>
      </c>
      <c r="AM425" s="507">
        <v>200442.42311060944</v>
      </c>
      <c r="AN425" s="507">
        <v>322996.56996576511</v>
      </c>
      <c r="AO425" s="508">
        <v>252321.63850394366</v>
      </c>
      <c r="AP425" s="426"/>
      <c r="AQ425" s="426"/>
      <c r="AR425" s="506">
        <v>262999.24</v>
      </c>
      <c r="AS425" s="507">
        <v>205452.34</v>
      </c>
      <c r="AT425" s="507">
        <v>331069.64</v>
      </c>
      <c r="AU425" s="508">
        <v>258628.24</v>
      </c>
    </row>
    <row r="426" spans="1:47" ht="13" hidden="1">
      <c r="A426" s="502">
        <v>90</v>
      </c>
      <c r="B426" s="517" t="str">
        <f t="shared" si="37"/>
        <v>90B</v>
      </c>
      <c r="C426" s="506">
        <v>552677.07789266098</v>
      </c>
      <c r="D426" s="507">
        <v>431745.71752334299</v>
      </c>
      <c r="E426" s="507">
        <v>695722.9098178203</v>
      </c>
      <c r="F426" s="508">
        <v>543491.66794114944</v>
      </c>
      <c r="G426" s="426"/>
      <c r="H426" s="426"/>
      <c r="I426" s="426"/>
      <c r="J426" s="426"/>
      <c r="K426" s="426"/>
      <c r="L426" s="426"/>
      <c r="M426" s="426"/>
      <c r="N426" s="629"/>
      <c r="O426" s="629"/>
      <c r="P426" s="629"/>
      <c r="Q426" s="629"/>
      <c r="R426" s="629"/>
      <c r="S426" s="426"/>
      <c r="T426" s="506">
        <v>142268.43918791175</v>
      </c>
      <c r="U426" s="507">
        <v>111138.65911052052</v>
      </c>
      <c r="V426" s="507">
        <v>179090.85874243008</v>
      </c>
      <c r="W426" s="508">
        <v>139903.95911559643</v>
      </c>
      <c r="X426" s="426"/>
      <c r="Y426" s="426"/>
      <c r="Z426" s="506">
        <v>162192.71301837458</v>
      </c>
      <c r="AA426" s="507">
        <v>126703.29937724683</v>
      </c>
      <c r="AB426" s="507">
        <v>204172.00344665977</v>
      </c>
      <c r="AC426" s="508">
        <v>159497.09451018131</v>
      </c>
      <c r="AD426" s="426"/>
      <c r="AE426" s="426"/>
      <c r="AF426" s="506">
        <v>227066.11</v>
      </c>
      <c r="AG426" s="507">
        <v>177381.74</v>
      </c>
      <c r="AH426" s="507">
        <v>285836.15999999997</v>
      </c>
      <c r="AI426" s="508">
        <v>223292.31</v>
      </c>
      <c r="AJ426" s="426"/>
      <c r="AK426" s="426"/>
      <c r="AL426" s="506">
        <v>256586.06025317792</v>
      </c>
      <c r="AM426" s="507">
        <v>200442.42311060944</v>
      </c>
      <c r="AN426" s="507">
        <v>322996.56996576511</v>
      </c>
      <c r="AO426" s="508">
        <v>252321.63850394366</v>
      </c>
      <c r="AP426" s="426"/>
      <c r="AQ426" s="426"/>
      <c r="AR426" s="506">
        <v>262999.24</v>
      </c>
      <c r="AS426" s="507">
        <v>205452.34</v>
      </c>
      <c r="AT426" s="507">
        <v>331069.64</v>
      </c>
      <c r="AU426" s="508">
        <v>258628.24</v>
      </c>
    </row>
    <row r="427" spans="1:47" ht="13" hidden="1">
      <c r="A427" s="502">
        <v>91</v>
      </c>
      <c r="B427" s="517" t="str">
        <f t="shared" si="37"/>
        <v>91B</v>
      </c>
      <c r="C427" s="506">
        <v>552677.07789266098</v>
      </c>
      <c r="D427" s="507">
        <v>431745.71752334299</v>
      </c>
      <c r="E427" s="507">
        <v>695722.9098178203</v>
      </c>
      <c r="F427" s="508">
        <v>543491.66794114944</v>
      </c>
      <c r="G427" s="426"/>
      <c r="H427" s="426"/>
      <c r="I427" s="426"/>
      <c r="J427" s="426"/>
      <c r="K427" s="426"/>
      <c r="L427" s="426"/>
      <c r="M427" s="426"/>
      <c r="N427" s="629"/>
      <c r="O427" s="629"/>
      <c r="P427" s="629"/>
      <c r="Q427" s="629"/>
      <c r="R427" s="629"/>
      <c r="S427" s="426"/>
      <c r="T427" s="506">
        <v>142268.43918791175</v>
      </c>
      <c r="U427" s="507">
        <v>111138.65911052052</v>
      </c>
      <c r="V427" s="507">
        <v>179090.85874243008</v>
      </c>
      <c r="W427" s="508">
        <v>139903.95911559643</v>
      </c>
      <c r="X427" s="426"/>
      <c r="Y427" s="426"/>
      <c r="Z427" s="506">
        <v>162192.71301837458</v>
      </c>
      <c r="AA427" s="507">
        <v>126703.29937724683</v>
      </c>
      <c r="AB427" s="507">
        <v>204172.00344665977</v>
      </c>
      <c r="AC427" s="508">
        <v>159497.09451018131</v>
      </c>
      <c r="AD427" s="426"/>
      <c r="AE427" s="426"/>
      <c r="AF427" s="506">
        <v>227066.11</v>
      </c>
      <c r="AG427" s="507">
        <v>177381.74</v>
      </c>
      <c r="AH427" s="507">
        <v>285836.15999999997</v>
      </c>
      <c r="AI427" s="508">
        <v>223292.31</v>
      </c>
      <c r="AJ427" s="426"/>
      <c r="AK427" s="426"/>
      <c r="AL427" s="506">
        <v>256586.06025317792</v>
      </c>
      <c r="AM427" s="507">
        <v>200442.42311060944</v>
      </c>
      <c r="AN427" s="507">
        <v>322996.56996576511</v>
      </c>
      <c r="AO427" s="508">
        <v>252321.63850394366</v>
      </c>
      <c r="AP427" s="426"/>
      <c r="AQ427" s="426"/>
      <c r="AR427" s="506">
        <v>262999.24</v>
      </c>
      <c r="AS427" s="507">
        <v>205452.34</v>
      </c>
      <c r="AT427" s="507">
        <v>331069.64</v>
      </c>
      <c r="AU427" s="508">
        <v>258628.24</v>
      </c>
    </row>
    <row r="428" spans="1:47" ht="13" hidden="1">
      <c r="A428" s="502">
        <v>92</v>
      </c>
      <c r="B428" s="517" t="str">
        <f t="shared" si="37"/>
        <v>92B</v>
      </c>
      <c r="C428" s="506">
        <v>552677.07789266098</v>
      </c>
      <c r="D428" s="507">
        <v>431745.71752334299</v>
      </c>
      <c r="E428" s="507">
        <v>695722.9098178203</v>
      </c>
      <c r="F428" s="508">
        <v>543491.66794114944</v>
      </c>
      <c r="G428" s="426"/>
      <c r="H428" s="426"/>
      <c r="I428" s="426"/>
      <c r="J428" s="426"/>
      <c r="K428" s="426"/>
      <c r="L428" s="426"/>
      <c r="M428" s="426"/>
      <c r="N428" s="629"/>
      <c r="O428" s="629"/>
      <c r="P428" s="629"/>
      <c r="Q428" s="629"/>
      <c r="R428" s="629"/>
      <c r="S428" s="426"/>
      <c r="T428" s="506">
        <v>142268.43918791175</v>
      </c>
      <c r="U428" s="507">
        <v>111138.65911052052</v>
      </c>
      <c r="V428" s="507">
        <v>179090.85874243008</v>
      </c>
      <c r="W428" s="508">
        <v>139903.95911559643</v>
      </c>
      <c r="X428" s="426"/>
      <c r="Y428" s="426"/>
      <c r="Z428" s="506">
        <v>162192.71301837458</v>
      </c>
      <c r="AA428" s="507">
        <v>126703.29937724683</v>
      </c>
      <c r="AB428" s="507">
        <v>204172.00344665977</v>
      </c>
      <c r="AC428" s="508">
        <v>159497.09451018131</v>
      </c>
      <c r="AD428" s="426"/>
      <c r="AE428" s="426"/>
      <c r="AF428" s="506">
        <v>227066.11</v>
      </c>
      <c r="AG428" s="507">
        <v>177381.74</v>
      </c>
      <c r="AH428" s="507">
        <v>285836.15999999997</v>
      </c>
      <c r="AI428" s="508">
        <v>223292.31</v>
      </c>
      <c r="AJ428" s="426"/>
      <c r="AK428" s="426"/>
      <c r="AL428" s="506">
        <v>256586.06025317792</v>
      </c>
      <c r="AM428" s="507">
        <v>200442.42311060944</v>
      </c>
      <c r="AN428" s="507">
        <v>322996.56996576511</v>
      </c>
      <c r="AO428" s="508">
        <v>252321.63850394366</v>
      </c>
      <c r="AP428" s="426"/>
      <c r="AQ428" s="426"/>
      <c r="AR428" s="506">
        <v>262999.24</v>
      </c>
      <c r="AS428" s="507">
        <v>205452.34</v>
      </c>
      <c r="AT428" s="507">
        <v>331069.64</v>
      </c>
      <c r="AU428" s="508">
        <v>258628.24</v>
      </c>
    </row>
    <row r="429" spans="1:47" ht="13" hidden="1">
      <c r="A429" s="502">
        <v>93</v>
      </c>
      <c r="B429" s="517" t="str">
        <f t="shared" si="37"/>
        <v>93B</v>
      </c>
      <c r="C429" s="506">
        <v>552677.07789266098</v>
      </c>
      <c r="D429" s="507">
        <v>431745.71752334299</v>
      </c>
      <c r="E429" s="507">
        <v>695722.9098178203</v>
      </c>
      <c r="F429" s="508">
        <v>543491.66794114944</v>
      </c>
      <c r="G429" s="426"/>
      <c r="H429" s="426"/>
      <c r="I429" s="426"/>
      <c r="J429" s="426"/>
      <c r="K429" s="426"/>
      <c r="L429" s="426"/>
      <c r="M429" s="426"/>
      <c r="N429" s="629"/>
      <c r="O429" s="629"/>
      <c r="P429" s="629"/>
      <c r="Q429" s="629"/>
      <c r="R429" s="629"/>
      <c r="S429" s="426"/>
      <c r="T429" s="506">
        <v>142268.43918791175</v>
      </c>
      <c r="U429" s="507">
        <v>111138.65911052052</v>
      </c>
      <c r="V429" s="507">
        <v>179090.85874243008</v>
      </c>
      <c r="W429" s="508">
        <v>139903.95911559643</v>
      </c>
      <c r="X429" s="426"/>
      <c r="Y429" s="426"/>
      <c r="Z429" s="506">
        <v>162192.71301837458</v>
      </c>
      <c r="AA429" s="507">
        <v>126703.29937724683</v>
      </c>
      <c r="AB429" s="507">
        <v>204172.00344665977</v>
      </c>
      <c r="AC429" s="508">
        <v>159497.09451018131</v>
      </c>
      <c r="AD429" s="426"/>
      <c r="AE429" s="426"/>
      <c r="AF429" s="506">
        <v>227066.11</v>
      </c>
      <c r="AG429" s="507">
        <v>177381.74</v>
      </c>
      <c r="AH429" s="507">
        <v>285836.15999999997</v>
      </c>
      <c r="AI429" s="508">
        <v>223292.31</v>
      </c>
      <c r="AJ429" s="426"/>
      <c r="AK429" s="426"/>
      <c r="AL429" s="506">
        <v>256586.06025317792</v>
      </c>
      <c r="AM429" s="507">
        <v>200442.42311060944</v>
      </c>
      <c r="AN429" s="507">
        <v>322996.56996576511</v>
      </c>
      <c r="AO429" s="508">
        <v>252321.63850394366</v>
      </c>
      <c r="AP429" s="426"/>
      <c r="AQ429" s="426"/>
      <c r="AR429" s="506">
        <v>262999.24</v>
      </c>
      <c r="AS429" s="507">
        <v>205452.34</v>
      </c>
      <c r="AT429" s="507">
        <v>331069.64</v>
      </c>
      <c r="AU429" s="508">
        <v>258628.24</v>
      </c>
    </row>
    <row r="430" spans="1:47" ht="13" hidden="1">
      <c r="A430" s="502">
        <v>94</v>
      </c>
      <c r="B430" s="517" t="str">
        <f t="shared" si="37"/>
        <v>94B</v>
      </c>
      <c r="C430" s="506">
        <v>552677.07789266098</v>
      </c>
      <c r="D430" s="507">
        <v>431745.71752334299</v>
      </c>
      <c r="E430" s="507">
        <v>695722.9098178203</v>
      </c>
      <c r="F430" s="508">
        <v>543491.66794114944</v>
      </c>
      <c r="G430" s="426"/>
      <c r="H430" s="426"/>
      <c r="I430" s="426"/>
      <c r="J430" s="426"/>
      <c r="K430" s="426"/>
      <c r="L430" s="426"/>
      <c r="M430" s="426"/>
      <c r="N430" s="629"/>
      <c r="O430" s="629"/>
      <c r="P430" s="629"/>
      <c r="Q430" s="629"/>
      <c r="R430" s="629"/>
      <c r="S430" s="426"/>
      <c r="T430" s="506">
        <v>142268.43918791175</v>
      </c>
      <c r="U430" s="507">
        <v>111138.65911052052</v>
      </c>
      <c r="V430" s="507">
        <v>179090.85874243008</v>
      </c>
      <c r="W430" s="508">
        <v>139903.95911559643</v>
      </c>
      <c r="X430" s="426"/>
      <c r="Y430" s="426"/>
      <c r="Z430" s="506">
        <v>162192.71301837458</v>
      </c>
      <c r="AA430" s="507">
        <v>126703.29937724683</v>
      </c>
      <c r="AB430" s="507">
        <v>204172.00344665977</v>
      </c>
      <c r="AC430" s="508">
        <v>159497.09451018131</v>
      </c>
      <c r="AD430" s="426"/>
      <c r="AE430" s="426"/>
      <c r="AF430" s="506">
        <v>227066.11</v>
      </c>
      <c r="AG430" s="507">
        <v>177381.74</v>
      </c>
      <c r="AH430" s="507">
        <v>285836.15999999997</v>
      </c>
      <c r="AI430" s="508">
        <v>223292.31</v>
      </c>
      <c r="AJ430" s="426"/>
      <c r="AK430" s="426"/>
      <c r="AL430" s="506">
        <v>256586.06025317792</v>
      </c>
      <c r="AM430" s="507">
        <v>200442.42311060944</v>
      </c>
      <c r="AN430" s="507">
        <v>322996.56996576511</v>
      </c>
      <c r="AO430" s="508">
        <v>252321.63850394366</v>
      </c>
      <c r="AP430" s="426"/>
      <c r="AQ430" s="426"/>
      <c r="AR430" s="506">
        <v>262999.24</v>
      </c>
      <c r="AS430" s="507">
        <v>205452.34</v>
      </c>
      <c r="AT430" s="507">
        <v>331069.64</v>
      </c>
      <c r="AU430" s="508">
        <v>258628.24</v>
      </c>
    </row>
    <row r="431" spans="1:47" ht="13" hidden="1">
      <c r="A431" s="502">
        <v>95</v>
      </c>
      <c r="B431" s="517" t="str">
        <f t="shared" si="37"/>
        <v>95B</v>
      </c>
      <c r="C431" s="506">
        <v>552677.07789266098</v>
      </c>
      <c r="D431" s="507">
        <v>431745.71752334299</v>
      </c>
      <c r="E431" s="507">
        <v>695722.9098178203</v>
      </c>
      <c r="F431" s="508">
        <v>543491.66794114944</v>
      </c>
      <c r="G431" s="426"/>
      <c r="H431" s="426"/>
      <c r="I431" s="426"/>
      <c r="J431" s="426"/>
      <c r="K431" s="426"/>
      <c r="L431" s="426"/>
      <c r="M431" s="426"/>
      <c r="N431" s="629"/>
      <c r="O431" s="629"/>
      <c r="P431" s="629"/>
      <c r="Q431" s="629"/>
      <c r="R431" s="629"/>
      <c r="S431" s="426"/>
      <c r="T431" s="506">
        <v>142268.43918791175</v>
      </c>
      <c r="U431" s="507">
        <v>111138.65911052052</v>
      </c>
      <c r="V431" s="507">
        <v>179090.85874243008</v>
      </c>
      <c r="W431" s="508">
        <v>139903.95911559643</v>
      </c>
      <c r="X431" s="426"/>
      <c r="Y431" s="426"/>
      <c r="Z431" s="506">
        <v>162192.71301837458</v>
      </c>
      <c r="AA431" s="507">
        <v>126703.29937724683</v>
      </c>
      <c r="AB431" s="507">
        <v>204172.00344665977</v>
      </c>
      <c r="AC431" s="508">
        <v>159497.09451018131</v>
      </c>
      <c r="AD431" s="426"/>
      <c r="AE431" s="426"/>
      <c r="AF431" s="506">
        <v>227066.11</v>
      </c>
      <c r="AG431" s="507">
        <v>177381.74</v>
      </c>
      <c r="AH431" s="507">
        <v>285836.15999999997</v>
      </c>
      <c r="AI431" s="508">
        <v>223292.31</v>
      </c>
      <c r="AJ431" s="426"/>
      <c r="AK431" s="426"/>
      <c r="AL431" s="506">
        <v>256586.06025317792</v>
      </c>
      <c r="AM431" s="507">
        <v>200442.42311060944</v>
      </c>
      <c r="AN431" s="507">
        <v>322996.56996576511</v>
      </c>
      <c r="AO431" s="508">
        <v>252321.63850394366</v>
      </c>
      <c r="AP431" s="426"/>
      <c r="AQ431" s="426"/>
      <c r="AR431" s="506">
        <v>262999.24</v>
      </c>
      <c r="AS431" s="507">
        <v>205452.34</v>
      </c>
      <c r="AT431" s="507">
        <v>331069.64</v>
      </c>
      <c r="AU431" s="508">
        <v>258628.24</v>
      </c>
    </row>
    <row r="432" spans="1:47" ht="13" hidden="1">
      <c r="A432" s="502">
        <v>96</v>
      </c>
      <c r="B432" s="517" t="str">
        <f t="shared" si="37"/>
        <v>96B</v>
      </c>
      <c r="C432" s="506">
        <v>552677.07789266098</v>
      </c>
      <c r="D432" s="507">
        <v>431745.71752334299</v>
      </c>
      <c r="E432" s="507">
        <v>695722.9098178203</v>
      </c>
      <c r="F432" s="508">
        <v>543491.66794114944</v>
      </c>
      <c r="G432" s="426"/>
      <c r="H432" s="426"/>
      <c r="I432" s="426"/>
      <c r="J432" s="426"/>
      <c r="K432" s="426"/>
      <c r="L432" s="426"/>
      <c r="M432" s="426"/>
      <c r="N432" s="629"/>
      <c r="O432" s="629"/>
      <c r="P432" s="629"/>
      <c r="Q432" s="629"/>
      <c r="R432" s="629"/>
      <c r="S432" s="426"/>
      <c r="T432" s="506">
        <v>142268.43918791175</v>
      </c>
      <c r="U432" s="507">
        <v>111138.65911052052</v>
      </c>
      <c r="V432" s="507">
        <v>179090.85874243008</v>
      </c>
      <c r="W432" s="508">
        <v>139903.95911559643</v>
      </c>
      <c r="X432" s="426"/>
      <c r="Y432" s="426"/>
      <c r="Z432" s="506">
        <v>162192.71301837458</v>
      </c>
      <c r="AA432" s="507">
        <v>126703.29937724683</v>
      </c>
      <c r="AB432" s="507">
        <v>204172.00344665977</v>
      </c>
      <c r="AC432" s="508">
        <v>159497.09451018131</v>
      </c>
      <c r="AD432" s="426"/>
      <c r="AE432" s="426"/>
      <c r="AF432" s="506">
        <v>227066.11</v>
      </c>
      <c r="AG432" s="507">
        <v>177381.74</v>
      </c>
      <c r="AH432" s="507">
        <v>285836.15999999997</v>
      </c>
      <c r="AI432" s="508">
        <v>223292.31</v>
      </c>
      <c r="AJ432" s="426"/>
      <c r="AK432" s="426"/>
      <c r="AL432" s="506">
        <v>256586.06025317792</v>
      </c>
      <c r="AM432" s="507">
        <v>200442.42311060944</v>
      </c>
      <c r="AN432" s="507">
        <v>322996.56996576511</v>
      </c>
      <c r="AO432" s="508">
        <v>252321.63850394366</v>
      </c>
      <c r="AP432" s="426"/>
      <c r="AQ432" s="426"/>
      <c r="AR432" s="506">
        <v>262999.24</v>
      </c>
      <c r="AS432" s="507">
        <v>205452.34</v>
      </c>
      <c r="AT432" s="507">
        <v>331069.64</v>
      </c>
      <c r="AU432" s="508">
        <v>258628.24</v>
      </c>
    </row>
    <row r="433" spans="1:47" ht="13" hidden="1">
      <c r="A433" s="502">
        <v>97</v>
      </c>
      <c r="B433" s="517" t="str">
        <f t="shared" si="37"/>
        <v>97B</v>
      </c>
      <c r="C433" s="506">
        <v>552677.07789266098</v>
      </c>
      <c r="D433" s="507">
        <v>431745.71752334299</v>
      </c>
      <c r="E433" s="507">
        <v>695722.9098178203</v>
      </c>
      <c r="F433" s="508">
        <v>543491.66794114944</v>
      </c>
      <c r="G433" s="426"/>
      <c r="H433" s="426"/>
      <c r="I433" s="426"/>
      <c r="J433" s="426"/>
      <c r="K433" s="426"/>
      <c r="L433" s="426"/>
      <c r="M433" s="426"/>
      <c r="N433" s="629"/>
      <c r="O433" s="629"/>
      <c r="P433" s="629"/>
      <c r="Q433" s="629"/>
      <c r="R433" s="629"/>
      <c r="S433" s="426"/>
      <c r="T433" s="506">
        <v>142268.43918791175</v>
      </c>
      <c r="U433" s="507">
        <v>111138.65911052052</v>
      </c>
      <c r="V433" s="507">
        <v>179090.85874243008</v>
      </c>
      <c r="W433" s="508">
        <v>139903.95911559643</v>
      </c>
      <c r="X433" s="426"/>
      <c r="Y433" s="426"/>
      <c r="Z433" s="506">
        <v>162192.71301837458</v>
      </c>
      <c r="AA433" s="507">
        <v>126703.29937724683</v>
      </c>
      <c r="AB433" s="507">
        <v>204172.00344665977</v>
      </c>
      <c r="AC433" s="508">
        <v>159497.09451018131</v>
      </c>
      <c r="AD433" s="426"/>
      <c r="AE433" s="426"/>
      <c r="AF433" s="506">
        <v>227066.11</v>
      </c>
      <c r="AG433" s="507">
        <v>177381.74</v>
      </c>
      <c r="AH433" s="507">
        <v>285836.15999999997</v>
      </c>
      <c r="AI433" s="508">
        <v>223292.31</v>
      </c>
      <c r="AJ433" s="426"/>
      <c r="AK433" s="426"/>
      <c r="AL433" s="506">
        <v>256586.06025317792</v>
      </c>
      <c r="AM433" s="507">
        <v>200442.42311060944</v>
      </c>
      <c r="AN433" s="507">
        <v>322996.56996576511</v>
      </c>
      <c r="AO433" s="508">
        <v>252321.63850394366</v>
      </c>
      <c r="AP433" s="426"/>
      <c r="AQ433" s="426"/>
      <c r="AR433" s="506">
        <v>262999.24</v>
      </c>
      <c r="AS433" s="507">
        <v>205452.34</v>
      </c>
      <c r="AT433" s="507">
        <v>331069.64</v>
      </c>
      <c r="AU433" s="508">
        <v>258628.24</v>
      </c>
    </row>
    <row r="434" spans="1:47" ht="13" hidden="1">
      <c r="A434" s="502">
        <v>98</v>
      </c>
      <c r="B434" s="517" t="str">
        <f t="shared" si="37"/>
        <v>98B</v>
      </c>
      <c r="C434" s="506">
        <v>552677.07789266098</v>
      </c>
      <c r="D434" s="507">
        <v>431745.71752334299</v>
      </c>
      <c r="E434" s="507">
        <v>695722.9098178203</v>
      </c>
      <c r="F434" s="508">
        <v>543491.66794114944</v>
      </c>
      <c r="G434" s="426"/>
      <c r="H434" s="426"/>
      <c r="I434" s="426"/>
      <c r="J434" s="426"/>
      <c r="K434" s="426"/>
      <c r="L434" s="426"/>
      <c r="M434" s="426"/>
      <c r="N434" s="629"/>
      <c r="O434" s="629"/>
      <c r="P434" s="629"/>
      <c r="Q434" s="629"/>
      <c r="R434" s="629"/>
      <c r="S434" s="426"/>
      <c r="T434" s="506">
        <v>142268.43918791175</v>
      </c>
      <c r="U434" s="507">
        <v>111138.65911052052</v>
      </c>
      <c r="V434" s="507">
        <v>179090.85874243008</v>
      </c>
      <c r="W434" s="508">
        <v>139903.95911559643</v>
      </c>
      <c r="X434" s="426"/>
      <c r="Y434" s="426"/>
      <c r="Z434" s="506">
        <v>162192.71301837458</v>
      </c>
      <c r="AA434" s="507">
        <v>126703.29937724683</v>
      </c>
      <c r="AB434" s="507">
        <v>204172.00344665977</v>
      </c>
      <c r="AC434" s="508">
        <v>159497.09451018131</v>
      </c>
      <c r="AD434" s="426"/>
      <c r="AE434" s="426"/>
      <c r="AF434" s="506">
        <v>227066.11</v>
      </c>
      <c r="AG434" s="507">
        <v>177381.74</v>
      </c>
      <c r="AH434" s="507">
        <v>285836.15999999997</v>
      </c>
      <c r="AI434" s="508">
        <v>223292.31</v>
      </c>
      <c r="AJ434" s="426"/>
      <c r="AK434" s="426"/>
      <c r="AL434" s="506">
        <v>256586.06025317792</v>
      </c>
      <c r="AM434" s="507">
        <v>200442.42311060944</v>
      </c>
      <c r="AN434" s="507">
        <v>322996.56996576511</v>
      </c>
      <c r="AO434" s="508">
        <v>252321.63850394366</v>
      </c>
      <c r="AP434" s="426"/>
      <c r="AQ434" s="426"/>
      <c r="AR434" s="506">
        <v>262999.24</v>
      </c>
      <c r="AS434" s="507">
        <v>205452.34</v>
      </c>
      <c r="AT434" s="507">
        <v>331069.64</v>
      </c>
      <c r="AU434" s="508">
        <v>258628.24</v>
      </c>
    </row>
    <row r="435" spans="1:47" ht="13" hidden="1">
      <c r="A435" s="502">
        <v>99</v>
      </c>
      <c r="B435" s="517" t="str">
        <f t="shared" si="37"/>
        <v>99B</v>
      </c>
      <c r="C435" s="506">
        <v>552677.07789266098</v>
      </c>
      <c r="D435" s="507">
        <v>431745.71752334299</v>
      </c>
      <c r="E435" s="507">
        <v>695722.9098178203</v>
      </c>
      <c r="F435" s="508">
        <v>543491.66794114944</v>
      </c>
      <c r="G435" s="426"/>
      <c r="H435" s="426"/>
      <c r="I435" s="426"/>
      <c r="J435" s="426"/>
      <c r="K435" s="426"/>
      <c r="L435" s="426"/>
      <c r="M435" s="426"/>
      <c r="N435" s="629"/>
      <c r="O435" s="629"/>
      <c r="P435" s="629"/>
      <c r="Q435" s="629"/>
      <c r="R435" s="629"/>
      <c r="S435" s="426"/>
      <c r="T435" s="506">
        <v>142268.43918791175</v>
      </c>
      <c r="U435" s="507">
        <v>111138.65911052052</v>
      </c>
      <c r="V435" s="507">
        <v>179090.85874243008</v>
      </c>
      <c r="W435" s="508">
        <v>139903.95911559643</v>
      </c>
      <c r="X435" s="426"/>
      <c r="Y435" s="426"/>
      <c r="Z435" s="506">
        <v>162192.71301837458</v>
      </c>
      <c r="AA435" s="507">
        <v>126703.29937724683</v>
      </c>
      <c r="AB435" s="507">
        <v>204172.00344665977</v>
      </c>
      <c r="AC435" s="508">
        <v>159497.09451018131</v>
      </c>
      <c r="AD435" s="426"/>
      <c r="AE435" s="426"/>
      <c r="AF435" s="506">
        <v>227066.11</v>
      </c>
      <c r="AG435" s="507">
        <v>177381.74</v>
      </c>
      <c r="AH435" s="507">
        <v>285836.15999999997</v>
      </c>
      <c r="AI435" s="508">
        <v>223292.31</v>
      </c>
      <c r="AJ435" s="426"/>
      <c r="AK435" s="426"/>
      <c r="AL435" s="506">
        <v>256586.06025317792</v>
      </c>
      <c r="AM435" s="507">
        <v>200442.42311060944</v>
      </c>
      <c r="AN435" s="507">
        <v>322996.56996576511</v>
      </c>
      <c r="AO435" s="508">
        <v>252321.63850394366</v>
      </c>
      <c r="AP435" s="426"/>
      <c r="AQ435" s="426"/>
      <c r="AR435" s="506">
        <v>262999.24</v>
      </c>
      <c r="AS435" s="507">
        <v>205452.34</v>
      </c>
      <c r="AT435" s="507">
        <v>331069.64</v>
      </c>
      <c r="AU435" s="508">
        <v>258628.24</v>
      </c>
    </row>
    <row r="436" spans="1:47" ht="13" hidden="1">
      <c r="A436" s="509">
        <v>100</v>
      </c>
      <c r="B436" s="517" t="str">
        <f>+CONCATENATE(A436,$B$334)</f>
        <v>100B</v>
      </c>
      <c r="C436" s="510">
        <v>552677.07789266098</v>
      </c>
      <c r="D436" s="511">
        <v>431745.71752334299</v>
      </c>
      <c r="E436" s="511">
        <v>695722.9098178203</v>
      </c>
      <c r="F436" s="512">
        <v>543491.66794114944</v>
      </c>
      <c r="G436" s="426"/>
      <c r="H436" s="426"/>
      <c r="I436" s="426"/>
      <c r="J436" s="426"/>
      <c r="K436" s="426"/>
      <c r="L436" s="426"/>
      <c r="M436" s="426"/>
      <c r="N436" s="629"/>
      <c r="O436" s="629"/>
      <c r="P436" s="629"/>
      <c r="Q436" s="629"/>
      <c r="R436" s="629"/>
      <c r="S436" s="426"/>
      <c r="T436" s="510">
        <v>142268.43918791175</v>
      </c>
      <c r="U436" s="511">
        <v>111138.65911052052</v>
      </c>
      <c r="V436" s="511">
        <v>179090.85874243008</v>
      </c>
      <c r="W436" s="512">
        <v>139903.95911559643</v>
      </c>
      <c r="X436" s="426"/>
      <c r="Y436" s="426"/>
      <c r="Z436" s="510">
        <v>162192.71301837458</v>
      </c>
      <c r="AA436" s="511">
        <v>126703.29937724683</v>
      </c>
      <c r="AB436" s="511">
        <v>204172.00344665977</v>
      </c>
      <c r="AC436" s="512">
        <v>159497.09451018131</v>
      </c>
      <c r="AD436" s="426"/>
      <c r="AE436" s="426"/>
      <c r="AF436" s="510">
        <v>227066.11</v>
      </c>
      <c r="AG436" s="511">
        <v>177381.74</v>
      </c>
      <c r="AH436" s="511">
        <v>285836.15999999997</v>
      </c>
      <c r="AI436" s="512">
        <v>223292.31</v>
      </c>
      <c r="AJ436" s="426"/>
      <c r="AK436" s="426"/>
      <c r="AL436" s="510">
        <v>256586.06025317792</v>
      </c>
      <c r="AM436" s="511">
        <v>200442.42311060944</v>
      </c>
      <c r="AN436" s="511">
        <v>322996.56996576511</v>
      </c>
      <c r="AO436" s="512">
        <v>252321.63850394366</v>
      </c>
      <c r="AP436" s="426"/>
      <c r="AQ436" s="426"/>
      <c r="AR436" s="510">
        <v>262999.24</v>
      </c>
      <c r="AS436" s="511">
        <v>205452.34</v>
      </c>
      <c r="AT436" s="511">
        <v>331069.64</v>
      </c>
      <c r="AU436" s="512">
        <v>258628.24</v>
      </c>
    </row>
  </sheetData>
  <sheetProtection algorithmName="SHA-512" hashValue="uz53+7WanpYawRZZOGneoXiJ/MRvdvdDzx/Y6TuiJI9zDBWQEAl1ZvyjLdxU9J93s3eXnzKrPzB0EVsZqdelfg==" saltValue="84quQzxAIhYQzyXK71WhGA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OutlineSymbols="0" workbookViewId="0">
      <selection activeCell="AP1" sqref="AP1"/>
    </sheetView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1" width="12.81640625" style="3" hidden="1" customWidth="1"/>
    <col min="12" max="12" width="10" style="3" hidden="1" customWidth="1"/>
    <col min="13" max="13" width="15.26953125" hidden="1" customWidth="1"/>
    <col min="14" max="14" width="27.4531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24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19">
      <c r="B1" s="44" t="s">
        <v>52</v>
      </c>
      <c r="C1" s="42"/>
      <c r="D1" s="42"/>
      <c r="E1" s="42"/>
      <c r="F1" s="42"/>
      <c r="G1" s="34"/>
      <c r="I1" s="96" t="s">
        <v>53</v>
      </c>
      <c r="J1" s="103"/>
      <c r="K1" s="103"/>
      <c r="N1" s="540" t="s">
        <v>54</v>
      </c>
      <c r="O1" s="541">
        <v>68.09</v>
      </c>
      <c r="R1" s="540" t="s">
        <v>55</v>
      </c>
      <c r="S1" s="541">
        <v>119.08</v>
      </c>
    </row>
    <row r="2" spans="2:19" ht="14.25" hidden="1" customHeight="1">
      <c r="G2" s="4"/>
      <c r="I2" s="679" t="str">
        <f>IF(ISERROR(VLOOKUP(E3,VALORES!$A$6:$B$11,2,FALSE)),"REGION NO VALIDA",VLOOKUP(E3,VALORES!$A$6:$B$11,2,FALSE))</f>
        <v>BAJA CALIFORNIA, BAJA CALIFORNIA SUR, MORELOS, QUERETARO, SAN LUIS POTOSI, SINALOA, SONORA</v>
      </c>
      <c r="J2" s="679"/>
      <c r="N2" s="542" t="s">
        <v>56</v>
      </c>
      <c r="O2" s="543">
        <v>0.7</v>
      </c>
      <c r="R2" s="542" t="s">
        <v>56</v>
      </c>
      <c r="S2" s="543">
        <v>0.7</v>
      </c>
    </row>
    <row r="3" spans="2:19" ht="13" hidden="1" thickBot="1">
      <c r="B3" s="36" t="s">
        <v>57</v>
      </c>
      <c r="C3" s="37"/>
      <c r="D3" s="37"/>
      <c r="E3" s="141">
        <f>+COTIZACION!D15</f>
        <v>5</v>
      </c>
      <c r="F3" s="70" t="str">
        <f>IF(E3&gt;7,"NO PROCEDE"," ")</f>
        <v xml:space="preserve"> </v>
      </c>
      <c r="G3" s="154" t="s">
        <v>58</v>
      </c>
      <c r="I3" s="679"/>
      <c r="J3" s="679"/>
      <c r="N3" s="544"/>
      <c r="O3" s="545">
        <f>ROUND((O1/(1-O2)),2)</f>
        <v>226.97</v>
      </c>
      <c r="R3" s="544"/>
      <c r="S3" s="545">
        <f>ROUND((S1/(1-S2)),2)</f>
        <v>396.93</v>
      </c>
    </row>
    <row r="4" spans="2:19" ht="10.5" hidden="1" customHeight="1" thickBot="1">
      <c r="E4" s="142"/>
      <c r="G4" s="4"/>
      <c r="I4" s="679"/>
      <c r="J4" s="679"/>
      <c r="R4"/>
    </row>
    <row r="5" spans="2:19" hidden="1">
      <c r="B5" s="36" t="s">
        <v>59</v>
      </c>
      <c r="C5" s="37"/>
      <c r="D5" s="37"/>
      <c r="E5" s="169">
        <f>+COTIZACION!D11</f>
        <v>100000000</v>
      </c>
      <c r="G5" s="252">
        <f>VLOOKUP(E5,FACTORES!$I$33:$J$124,2)</f>
        <v>1.53</v>
      </c>
      <c r="I5" s="679"/>
      <c r="J5" s="679"/>
      <c r="N5" s="540" t="s">
        <v>60</v>
      </c>
      <c r="O5" s="541">
        <v>48.6</v>
      </c>
      <c r="R5"/>
    </row>
    <row r="6" spans="2:19" hidden="1">
      <c r="B6" s="36" t="s">
        <v>61</v>
      </c>
      <c r="C6" s="37"/>
      <c r="D6" s="37"/>
      <c r="E6" s="143">
        <f>+COTIZACION!D12</f>
        <v>15000</v>
      </c>
      <c r="G6" s="589">
        <f>VLOOKUP(E6,FACTORES!$A$2:$B$29,2,0)</f>
        <v>0.79800000000000004</v>
      </c>
      <c r="I6" s="679"/>
      <c r="J6" s="679"/>
      <c r="N6" s="542" t="s">
        <v>56</v>
      </c>
      <c r="O6" s="543">
        <v>0.7</v>
      </c>
      <c r="R6"/>
    </row>
    <row r="7" spans="2:19" ht="13" hidden="1" thickBot="1">
      <c r="B7" s="36" t="s">
        <v>62</v>
      </c>
      <c r="C7" s="37"/>
      <c r="D7" s="37"/>
      <c r="E7" s="143" t="str">
        <f>+COTIZACION!D16</f>
        <v>NO</v>
      </c>
      <c r="G7" s="212">
        <f>IF(H7="SI",VLOOKUP(E6,FACTORES!I5:J18,2,0),0)</f>
        <v>0</v>
      </c>
      <c r="H7" s="3" t="str">
        <f>+IF(COTIZACION!D12&gt;50000,"NO",COTIZACION!D16)</f>
        <v>NO</v>
      </c>
      <c r="I7" s="679"/>
      <c r="J7" s="679"/>
      <c r="N7" s="544"/>
      <c r="O7" s="546">
        <f>ROUND((O5/(1-O6)),2)</f>
        <v>162</v>
      </c>
      <c r="R7"/>
    </row>
    <row r="8" spans="2:19" hidden="1">
      <c r="B8" s="36" t="s">
        <v>63</v>
      </c>
      <c r="C8" s="37"/>
      <c r="D8" s="37"/>
      <c r="E8" s="143">
        <f>+COTIZACION!D13</f>
        <v>0.1</v>
      </c>
      <c r="F8" s="4"/>
      <c r="G8" s="253">
        <f>VLOOKUP(E8,FACTORES!$C$2:$D$6,2)</f>
        <v>1</v>
      </c>
      <c r="H8" s="68"/>
      <c r="I8" s="679"/>
      <c r="J8" s="679"/>
    </row>
    <row r="9" spans="2:19" ht="11.25" hidden="1" customHeight="1">
      <c r="B9" s="36" t="s">
        <v>64</v>
      </c>
      <c r="C9" s="37"/>
      <c r="D9" s="37"/>
      <c r="E9" s="143"/>
      <c r="F9" s="4"/>
      <c r="G9" s="254"/>
      <c r="H9" s="4"/>
      <c r="I9" s="679"/>
      <c r="J9" s="679"/>
      <c r="M9" s="191"/>
      <c r="N9" s="537"/>
      <c r="O9" s="192"/>
    </row>
    <row r="10" spans="2:19" ht="11.25" hidden="1" customHeight="1">
      <c r="B10" s="36" t="s">
        <v>65</v>
      </c>
      <c r="C10" s="37"/>
      <c r="D10" s="37"/>
      <c r="E10" s="194">
        <f>+COTIZACION!D17</f>
        <v>15000</v>
      </c>
      <c r="F10" s="4"/>
      <c r="G10" s="152"/>
      <c r="H10" s="4"/>
      <c r="I10" s="193"/>
      <c r="J10" s="193"/>
      <c r="M10" s="191"/>
      <c r="N10" s="537"/>
      <c r="O10" s="192"/>
    </row>
    <row r="11" spans="2:19" ht="11.25" hidden="1" customHeight="1">
      <c r="B11" s="36" t="s">
        <v>66</v>
      </c>
      <c r="C11" s="37"/>
      <c r="D11" s="37"/>
      <c r="E11" s="222" t="str">
        <f>+COTIZACION!D19</f>
        <v>NO</v>
      </c>
      <c r="F11" s="4"/>
      <c r="G11" s="251">
        <f>IF(E11="NO",0,IF(SUM(COTIZACION!A27:A34)&gt;=1,VLOOKUP(E11,FACTORES!$L$33:$M$55,2,0)*(1-DESC),0))</f>
        <v>0</v>
      </c>
      <c r="H11" s="4"/>
      <c r="I11" s="193"/>
      <c r="J11" s="193"/>
      <c r="M11" s="191"/>
      <c r="N11" s="537"/>
      <c r="O11" s="192"/>
    </row>
    <row r="12" spans="2:19" ht="11.25" hidden="1" customHeight="1">
      <c r="B12" s="36" t="s">
        <v>67</v>
      </c>
      <c r="C12" s="37"/>
      <c r="D12" s="37"/>
      <c r="E12" s="243" t="str">
        <f>+COTIZACION!D18</f>
        <v>NO</v>
      </c>
      <c r="F12" s="4"/>
      <c r="G12" s="155">
        <f>IF(E12="NO",0,G23)</f>
        <v>0</v>
      </c>
      <c r="H12" s="4"/>
      <c r="I12" s="193"/>
      <c r="J12" s="193"/>
      <c r="M12" s="191"/>
      <c r="N12" s="537"/>
      <c r="O12" s="192"/>
    </row>
    <row r="13" spans="2:19" hidden="1">
      <c r="E13" s="144"/>
      <c r="F13" s="38" t="s">
        <v>23</v>
      </c>
      <c r="H13" s="69"/>
      <c r="I13" s="70"/>
      <c r="J13" s="70"/>
      <c r="L13" s="553"/>
      <c r="M13" s="192"/>
      <c r="O13" s="3"/>
      <c r="P13" s="553"/>
      <c r="S13" s="39" t="s">
        <v>40</v>
      </c>
    </row>
    <row r="14" spans="2:19" ht="12.75" hidden="1" customHeight="1">
      <c r="B14" s="36" t="s">
        <v>68</v>
      </c>
      <c r="C14" s="37"/>
      <c r="D14" s="37"/>
      <c r="E14" s="141"/>
      <c r="F14" s="141"/>
      <c r="G14" s="255"/>
      <c r="H14" s="69"/>
      <c r="I14" s="241"/>
      <c r="J14" s="241"/>
      <c r="L14" s="553"/>
      <c r="M14" s="192"/>
      <c r="O14" s="3"/>
      <c r="P14" s="553"/>
      <c r="S14" s="39" t="s">
        <v>69</v>
      </c>
    </row>
    <row r="15" spans="2:19" ht="12.75" hidden="1" customHeight="1">
      <c r="B15" s="36" t="s">
        <v>70</v>
      </c>
      <c r="C15" s="37"/>
      <c r="D15" s="37"/>
      <c r="E15" s="141"/>
      <c r="F15" s="141"/>
      <c r="G15" s="256"/>
      <c r="H15" s="69"/>
      <c r="I15" s="241"/>
      <c r="J15" s="241"/>
      <c r="L15" s="553"/>
      <c r="M15" s="192"/>
      <c r="O15" s="3"/>
      <c r="P15" s="553"/>
      <c r="S15" s="39"/>
    </row>
    <row r="16" spans="2:19" ht="21" hidden="1" customHeight="1">
      <c r="B16" s="2" t="s">
        <v>23</v>
      </c>
      <c r="D16" s="2"/>
      <c r="E16" s="2"/>
      <c r="F16" s="40"/>
      <c r="G16" s="41">
        <f>+COTIZACION!D15</f>
        <v>5</v>
      </c>
      <c r="H16" s="214"/>
      <c r="I16" s="241"/>
      <c r="J16" s="241"/>
      <c r="K16" s="581"/>
    </row>
    <row r="17" spans="2:21" hidden="1">
      <c r="B17" s="36" t="s">
        <v>71</v>
      </c>
      <c r="C17" s="37"/>
      <c r="D17" s="37"/>
      <c r="E17" s="141">
        <f>+COTIZACION!C21</f>
        <v>0</v>
      </c>
      <c r="G17" s="156">
        <v>0</v>
      </c>
      <c r="I17" s="241"/>
      <c r="J17" s="241"/>
      <c r="K17" s="580"/>
      <c r="N17" s="548" t="s">
        <v>72</v>
      </c>
      <c r="O17" s="558">
        <v>795.65012923129018</v>
      </c>
      <c r="P17" s="560">
        <v>0.5615</v>
      </c>
      <c r="Q17" s="191">
        <v>617.90039999999999</v>
      </c>
    </row>
    <row r="18" spans="2:21" hidden="1">
      <c r="B18" s="2" t="s">
        <v>73</v>
      </c>
      <c r="C18" s="2"/>
      <c r="D18" s="2"/>
      <c r="E18" s="257"/>
      <c r="F18" s="4"/>
      <c r="G18" s="397">
        <f>(433.18*(1-DESC))*1.14*0+K18*(1-DESC)</f>
        <v>800.93</v>
      </c>
      <c r="H18" s="3" t="s">
        <v>74</v>
      </c>
      <c r="I18" s="241"/>
      <c r="J18" s="582"/>
      <c r="K18" s="551">
        <f>ROUND(M18,2)</f>
        <v>800.93</v>
      </c>
      <c r="L18" s="3">
        <f>240.28*1.14*1.14</f>
        <v>312.26788799999997</v>
      </c>
      <c r="M18" s="191">
        <v>800.93</v>
      </c>
      <c r="N18" s="557" t="s">
        <v>75</v>
      </c>
      <c r="O18" s="554">
        <v>0</v>
      </c>
      <c r="P18" s="559">
        <f>1-P17</f>
        <v>0.4385</v>
      </c>
      <c r="S18" s="547">
        <v>493.82519999999994</v>
      </c>
      <c r="T18" s="561">
        <f>(M18/S18)-1</f>
        <v>0.62188968890206509</v>
      </c>
    </row>
    <row r="19" spans="2:21" hidden="1">
      <c r="B19" s="47" t="s">
        <v>76</v>
      </c>
      <c r="C19" s="2"/>
      <c r="D19" s="2"/>
      <c r="E19" s="257"/>
      <c r="F19" s="4"/>
      <c r="G19" s="206">
        <f>288*0+181.98*0+208.25*0+K19*(1-DESC)</f>
        <v>226.97</v>
      </c>
      <c r="I19" s="241"/>
      <c r="J19" s="582"/>
      <c r="K19" s="551">
        <f>ROUND(O3,2)</f>
        <v>226.97</v>
      </c>
      <c r="M19" s="553"/>
      <c r="N19" s="557" t="s">
        <v>77</v>
      </c>
      <c r="O19" s="554">
        <v>48.98</v>
      </c>
      <c r="P19" s="549"/>
      <c r="S19" s="547">
        <v>208.25</v>
      </c>
      <c r="T19" s="561">
        <f t="shared" ref="T19:T23" si="0">(K19/S19)-1</f>
        <v>8.9891956782713001E-2</v>
      </c>
    </row>
    <row r="20" spans="2:21" hidden="1">
      <c r="B20" s="47" t="s">
        <v>78</v>
      </c>
      <c r="C20" s="2"/>
      <c r="D20" s="2"/>
      <c r="E20" s="257"/>
      <c r="F20" s="4"/>
      <c r="G20" s="206">
        <f>(528.12*(1-DESC))*1.17*0+K20*(1-DESC)</f>
        <v>1814.48</v>
      </c>
      <c r="I20" s="241"/>
      <c r="J20" s="582"/>
      <c r="K20" s="551">
        <f>ROUND(M21,2)</f>
        <v>1814.48</v>
      </c>
      <c r="N20" s="557" t="s">
        <v>77</v>
      </c>
      <c r="O20" s="554">
        <v>0</v>
      </c>
      <c r="P20" s="549"/>
      <c r="S20" s="547">
        <v>617.90039999999999</v>
      </c>
      <c r="T20" s="561">
        <f t="shared" si="0"/>
        <v>1.9365250451367242</v>
      </c>
    </row>
    <row r="21" spans="2:21" hidden="1">
      <c r="B21" s="47" t="s">
        <v>79</v>
      </c>
      <c r="C21" s="2"/>
      <c r="D21" s="2"/>
      <c r="E21" s="257"/>
      <c r="F21" s="4"/>
      <c r="G21" s="236">
        <f>153.74*0+174.32*0+K21*(1-DESC)</f>
        <v>162</v>
      </c>
      <c r="I21" s="241"/>
      <c r="J21" s="582"/>
      <c r="K21" s="551">
        <f>ROUND(O7,2)</f>
        <v>162</v>
      </c>
      <c r="M21" s="191">
        <f>ROUND(O17/P18,2)</f>
        <v>1814.48</v>
      </c>
      <c r="N21" s="557" t="s">
        <v>80</v>
      </c>
      <c r="O21" s="554">
        <v>8.16</v>
      </c>
      <c r="P21" s="549"/>
      <c r="Q21" s="553">
        <f>(M21/Q17)-1</f>
        <v>1.9365250451367242</v>
      </c>
      <c r="S21" s="547">
        <v>174.32</v>
      </c>
      <c r="T21" s="561">
        <f t="shared" si="0"/>
        <v>-7.0674621385956815E-2</v>
      </c>
    </row>
    <row r="22" spans="2:21" hidden="1">
      <c r="B22" s="47" t="s">
        <v>81</v>
      </c>
      <c r="C22" s="2"/>
      <c r="D22" s="2"/>
      <c r="E22" s="257"/>
      <c r="G22" s="236">
        <f>88*(1-DESC)*0</f>
        <v>0</v>
      </c>
      <c r="I22" s="241"/>
      <c r="J22" s="582"/>
      <c r="K22" s="551"/>
      <c r="M22" s="191"/>
      <c r="N22" s="557" t="s">
        <v>82</v>
      </c>
      <c r="O22" s="554">
        <v>0</v>
      </c>
      <c r="P22" s="549"/>
      <c r="S22" s="547">
        <v>0</v>
      </c>
      <c r="T22" s="561"/>
    </row>
    <row r="23" spans="2:21" ht="13" hidden="1" thickBot="1">
      <c r="B23" s="3" t="s">
        <v>83</v>
      </c>
      <c r="G23" s="236">
        <f>206.61*0+K23*(1-DESC)</f>
        <v>396.93</v>
      </c>
      <c r="H23" s="41"/>
      <c r="J23" s="547"/>
      <c r="K23" s="552">
        <f>ROUND(S3,2)</f>
        <v>396.93</v>
      </c>
      <c r="M23" s="553"/>
      <c r="N23" s="557" t="s">
        <v>84</v>
      </c>
      <c r="O23" s="554">
        <v>0</v>
      </c>
      <c r="P23" s="549"/>
      <c r="S23" s="547">
        <v>206.61</v>
      </c>
      <c r="T23" s="561">
        <f t="shared" si="0"/>
        <v>0.92115580078408588</v>
      </c>
    </row>
    <row r="24" spans="2:21" ht="12.75" hidden="1" customHeight="1" thickTop="1">
      <c r="B24" s="72"/>
      <c r="C24" s="123"/>
      <c r="D24" s="685" t="s">
        <v>85</v>
      </c>
      <c r="E24" s="686"/>
      <c r="F24" s="687" t="s">
        <v>86</v>
      </c>
      <c r="G24" s="686"/>
      <c r="H24" s="79" t="s">
        <v>87</v>
      </c>
      <c r="I24" s="76">
        <f>G17</f>
        <v>0</v>
      </c>
      <c r="J24" s="683" t="s">
        <v>88</v>
      </c>
      <c r="K24" s="684"/>
      <c r="L24" s="45"/>
      <c r="N24" s="557" t="s">
        <v>89</v>
      </c>
      <c r="O24" s="554">
        <v>0</v>
      </c>
      <c r="P24" s="549"/>
    </row>
    <row r="25" spans="2:21" ht="12.75" hidden="1" customHeight="1">
      <c r="B25" s="128"/>
      <c r="C25" s="127"/>
      <c r="D25" s="682" t="s">
        <v>90</v>
      </c>
      <c r="E25" s="681"/>
      <c r="F25" s="680" t="s">
        <v>90</v>
      </c>
      <c r="G25" s="681"/>
      <c r="H25" s="80" t="s">
        <v>91</v>
      </c>
      <c r="I25" s="213">
        <v>1100</v>
      </c>
      <c r="J25" s="74" t="s">
        <v>92</v>
      </c>
      <c r="K25" s="145">
        <f>+COTIZACION!D20</f>
        <v>0.16</v>
      </c>
      <c r="L25" s="84"/>
      <c r="N25" s="688" t="s">
        <v>93</v>
      </c>
      <c r="O25" s="555">
        <v>10.39</v>
      </c>
      <c r="P25" s="549"/>
    </row>
    <row r="26" spans="2:21" ht="12.75" hidden="1" customHeight="1" thickBot="1">
      <c r="B26" s="677" t="s">
        <v>94</v>
      </c>
      <c r="C26" s="678"/>
      <c r="D26" s="244" t="s">
        <v>95</v>
      </c>
      <c r="E26" s="245" t="s">
        <v>96</v>
      </c>
      <c r="F26" s="78" t="s">
        <v>95</v>
      </c>
      <c r="G26" s="245" t="s">
        <v>96</v>
      </c>
      <c r="H26" s="246" t="s">
        <v>95</v>
      </c>
      <c r="I26" s="75" t="s">
        <v>96</v>
      </c>
      <c r="J26" s="246" t="s">
        <v>95</v>
      </c>
      <c r="K26" s="75" t="s">
        <v>96</v>
      </c>
      <c r="L26" s="45"/>
      <c r="N26" s="688"/>
      <c r="O26" s="555">
        <v>13.5</v>
      </c>
      <c r="P26" s="549"/>
    </row>
    <row r="27" spans="2:21" ht="15" hidden="1" customHeight="1" thickTop="1" thickBot="1">
      <c r="B27" s="129">
        <v>0</v>
      </c>
      <c r="C27" s="124"/>
      <c r="D27" s="247">
        <f>FACTORES!F39</f>
        <v>17575.080000000002</v>
      </c>
      <c r="E27" s="247">
        <f>FACTORES!G39</f>
        <v>17648.740000000002</v>
      </c>
      <c r="F27" s="248">
        <f t="shared" ref="F27:F44" si="1">ROUND(D27*$G$5*$G$6*$G$8,2)+ADIC+DENTAL+ENFGVES+IKE+CVISION+DEDXACC</f>
        <v>23661.57</v>
      </c>
      <c r="G27" s="248">
        <f t="shared" ref="G27:G44" si="2">ROUND(E27*$G$5*$G$6*$G$8,2)+ADIC+DENTAL+ENFGVES+IKE+CVISION+DEDXACC</f>
        <v>23751.5</v>
      </c>
      <c r="H27" s="248">
        <f>(F27*(1+$I$24))+$I$25</f>
        <v>24761.57</v>
      </c>
      <c r="I27" s="248">
        <f>(G27*(1+$I$24))+$I$25</f>
        <v>24851.5</v>
      </c>
      <c r="J27" s="248">
        <f>H27*(1+$K$25)</f>
        <v>28723.421199999997</v>
      </c>
      <c r="K27" s="248">
        <f>I27*(1+$K$25)</f>
        <v>28827.739999999998</v>
      </c>
      <c r="L27" s="85"/>
      <c r="M27" s="192"/>
      <c r="N27" s="688"/>
      <c r="O27" s="555">
        <v>13.5</v>
      </c>
      <c r="P27" s="549"/>
      <c r="T27" s="214"/>
      <c r="U27" s="214"/>
    </row>
    <row r="28" spans="2:21" ht="15" hidden="1" customHeight="1" thickTop="1">
      <c r="B28" s="130">
        <f>+B27+1</f>
        <v>1</v>
      </c>
      <c r="C28" s="125"/>
      <c r="D28" s="249">
        <f>FACTORES!F40</f>
        <v>17575.080000000002</v>
      </c>
      <c r="E28" s="249">
        <f>FACTORES!G40</f>
        <v>17648.740000000002</v>
      </c>
      <c r="F28" s="248">
        <f t="shared" si="1"/>
        <v>23661.57</v>
      </c>
      <c r="G28" s="248">
        <f t="shared" si="2"/>
        <v>23751.5</v>
      </c>
      <c r="H28" s="249">
        <f t="shared" ref="H28:H91" si="3">(F28*(1+$I$24))+$I$25</f>
        <v>24761.57</v>
      </c>
      <c r="I28" s="249">
        <f t="shared" ref="I28:I91" si="4">(G28*(1+$I$24))+$I$25</f>
        <v>24851.5</v>
      </c>
      <c r="J28" s="249">
        <f t="shared" ref="J28:J91" si="5">H28*(1+$K$25)</f>
        <v>28723.421199999997</v>
      </c>
      <c r="K28" s="249">
        <f t="shared" ref="K28:K91" si="6">I28*(1+$K$25)</f>
        <v>28827.739999999998</v>
      </c>
      <c r="L28" s="85"/>
      <c r="M28" s="192"/>
      <c r="N28" s="688"/>
      <c r="O28" s="555">
        <v>20.5</v>
      </c>
      <c r="P28" s="549"/>
      <c r="T28" s="214"/>
      <c r="U28" s="214"/>
    </row>
    <row r="29" spans="2:21" ht="15" hidden="1" customHeight="1">
      <c r="B29" s="130">
        <f t="shared" ref="B29:B92" si="7">+B28+1</f>
        <v>2</v>
      </c>
      <c r="C29" s="125"/>
      <c r="D29" s="249">
        <f>FACTORES!F41</f>
        <v>17575.080000000002</v>
      </c>
      <c r="E29" s="249">
        <f>FACTORES!G41</f>
        <v>17648.740000000002</v>
      </c>
      <c r="F29" s="249">
        <f t="shared" si="1"/>
        <v>23661.57</v>
      </c>
      <c r="G29" s="249">
        <f t="shared" si="2"/>
        <v>23751.5</v>
      </c>
      <c r="H29" s="249">
        <f t="shared" si="3"/>
        <v>24761.57</v>
      </c>
      <c r="I29" s="249">
        <f t="shared" si="4"/>
        <v>24851.5</v>
      </c>
      <c r="J29" s="249">
        <f t="shared" si="5"/>
        <v>28723.421199999997</v>
      </c>
      <c r="K29" s="249">
        <f t="shared" si="6"/>
        <v>28827.739999999998</v>
      </c>
      <c r="L29" s="85"/>
      <c r="M29" s="192"/>
      <c r="N29" s="688"/>
      <c r="O29" s="555">
        <v>56</v>
      </c>
      <c r="P29" s="549"/>
      <c r="T29" s="214"/>
      <c r="U29" s="214"/>
    </row>
    <row r="30" spans="2:21" s="2" customFormat="1" ht="15" hidden="1" customHeight="1">
      <c r="B30" s="130">
        <f t="shared" si="7"/>
        <v>3</v>
      </c>
      <c r="C30" s="125"/>
      <c r="D30" s="249">
        <f>FACTORES!F42</f>
        <v>17575.080000000002</v>
      </c>
      <c r="E30" s="249">
        <f>FACTORES!G42</f>
        <v>17648.740000000002</v>
      </c>
      <c r="F30" s="249">
        <f t="shared" si="1"/>
        <v>23661.57</v>
      </c>
      <c r="G30" s="249">
        <f t="shared" si="2"/>
        <v>23751.5</v>
      </c>
      <c r="H30" s="249">
        <f t="shared" si="3"/>
        <v>24761.57</v>
      </c>
      <c r="I30" s="249">
        <f t="shared" si="4"/>
        <v>24851.5</v>
      </c>
      <c r="J30" s="249">
        <f t="shared" si="5"/>
        <v>28723.421199999997</v>
      </c>
      <c r="K30" s="249">
        <f t="shared" si="6"/>
        <v>28827.739999999998</v>
      </c>
      <c r="L30" s="85"/>
      <c r="M30" s="192"/>
      <c r="N30" s="688"/>
      <c r="O30" s="562">
        <v>7.8E-2</v>
      </c>
      <c r="P30" s="549"/>
      <c r="Q30"/>
      <c r="R30" s="3"/>
      <c r="S30" s="3"/>
      <c r="T30" s="214"/>
      <c r="U30" s="214"/>
    </row>
    <row r="31" spans="2:21" s="2" customFormat="1" ht="15" hidden="1" customHeight="1">
      <c r="B31" s="130">
        <f t="shared" si="7"/>
        <v>4</v>
      </c>
      <c r="C31" s="125"/>
      <c r="D31" s="249">
        <f>FACTORES!F43</f>
        <v>17575.080000000002</v>
      </c>
      <c r="E31" s="249">
        <f>FACTORES!G43</f>
        <v>17648.740000000002</v>
      </c>
      <c r="F31" s="249">
        <f t="shared" si="1"/>
        <v>23661.57</v>
      </c>
      <c r="G31" s="249">
        <f t="shared" si="2"/>
        <v>23751.5</v>
      </c>
      <c r="H31" s="249">
        <f t="shared" si="3"/>
        <v>24761.57</v>
      </c>
      <c r="I31" s="249">
        <f t="shared" si="4"/>
        <v>24851.5</v>
      </c>
      <c r="J31" s="249">
        <f t="shared" si="5"/>
        <v>28723.421199999997</v>
      </c>
      <c r="K31" s="249">
        <f t="shared" si="6"/>
        <v>28827.739999999998</v>
      </c>
      <c r="L31" s="85"/>
      <c r="M31" s="192"/>
      <c r="N31" s="689"/>
      <c r="O31" s="556">
        <v>117</v>
      </c>
      <c r="P31" s="550"/>
      <c r="Q31"/>
      <c r="R31" s="3"/>
      <c r="S31" s="3"/>
      <c r="T31" s="214"/>
      <c r="U31" s="214"/>
    </row>
    <row r="32" spans="2:21" s="2" customFormat="1" ht="15" hidden="1" customHeight="1">
      <c r="B32" s="130">
        <f t="shared" si="7"/>
        <v>5</v>
      </c>
      <c r="C32" s="125"/>
      <c r="D32" s="249">
        <f>FACTORES!F44</f>
        <v>17575.080000000002</v>
      </c>
      <c r="E32" s="249">
        <f>FACTORES!G44</f>
        <v>17648.740000000002</v>
      </c>
      <c r="F32" s="249">
        <f t="shared" si="1"/>
        <v>23661.57</v>
      </c>
      <c r="G32" s="249">
        <f t="shared" si="2"/>
        <v>23751.5</v>
      </c>
      <c r="H32" s="249">
        <f t="shared" si="3"/>
        <v>24761.57</v>
      </c>
      <c r="I32" s="249">
        <f t="shared" si="4"/>
        <v>24851.5</v>
      </c>
      <c r="J32" s="249">
        <f t="shared" si="5"/>
        <v>28723.421199999997</v>
      </c>
      <c r="K32" s="249">
        <f t="shared" si="6"/>
        <v>28827.739999999998</v>
      </c>
      <c r="L32" s="85"/>
      <c r="M32" s="192"/>
      <c r="N32" s="192"/>
      <c r="O32" s="216"/>
      <c r="P32"/>
      <c r="Q32"/>
      <c r="R32" s="3"/>
      <c r="S32" s="3"/>
      <c r="T32" s="214"/>
      <c r="U32" s="214"/>
    </row>
    <row r="33" spans="2:21" s="2" customFormat="1" ht="15" hidden="1" customHeight="1">
      <c r="B33" s="130">
        <f t="shared" si="7"/>
        <v>6</v>
      </c>
      <c r="C33" s="125"/>
      <c r="D33" s="249">
        <f>FACTORES!F45</f>
        <v>17575.080000000002</v>
      </c>
      <c r="E33" s="249">
        <f>FACTORES!G45</f>
        <v>17648.740000000002</v>
      </c>
      <c r="F33" s="249">
        <f t="shared" si="1"/>
        <v>23661.57</v>
      </c>
      <c r="G33" s="249">
        <f t="shared" si="2"/>
        <v>23751.5</v>
      </c>
      <c r="H33" s="249">
        <f t="shared" si="3"/>
        <v>24761.57</v>
      </c>
      <c r="I33" s="249">
        <f t="shared" si="4"/>
        <v>24851.5</v>
      </c>
      <c r="J33" s="249">
        <f t="shared" si="5"/>
        <v>28723.421199999997</v>
      </c>
      <c r="K33" s="249">
        <f t="shared" si="6"/>
        <v>28827.739999999998</v>
      </c>
      <c r="L33" s="85"/>
      <c r="M33" s="192"/>
      <c r="N33" s="192"/>
      <c r="O33" s="216"/>
      <c r="P33"/>
      <c r="Q33"/>
      <c r="R33" s="3"/>
      <c r="S33" s="3"/>
      <c r="T33" s="214"/>
      <c r="U33" s="214"/>
    </row>
    <row r="34" spans="2:21" s="2" customFormat="1" ht="15" hidden="1" customHeight="1">
      <c r="B34" s="130">
        <f t="shared" si="7"/>
        <v>7</v>
      </c>
      <c r="C34" s="125"/>
      <c r="D34" s="249">
        <f>FACTORES!F46</f>
        <v>17575.080000000002</v>
      </c>
      <c r="E34" s="249">
        <f>FACTORES!G46</f>
        <v>17648.740000000002</v>
      </c>
      <c r="F34" s="249">
        <f t="shared" si="1"/>
        <v>23661.57</v>
      </c>
      <c r="G34" s="249">
        <f t="shared" si="2"/>
        <v>23751.5</v>
      </c>
      <c r="H34" s="249">
        <f t="shared" si="3"/>
        <v>24761.57</v>
      </c>
      <c r="I34" s="249">
        <f t="shared" si="4"/>
        <v>24851.5</v>
      </c>
      <c r="J34" s="249">
        <f t="shared" si="5"/>
        <v>28723.421199999997</v>
      </c>
      <c r="K34" s="249">
        <f t="shared" si="6"/>
        <v>28827.739999999998</v>
      </c>
      <c r="L34" s="85"/>
      <c r="M34" s="192"/>
      <c r="N34" s="192"/>
      <c r="O34" s="216"/>
      <c r="P34"/>
      <c r="Q34"/>
      <c r="R34" s="3"/>
      <c r="S34" s="3"/>
      <c r="T34" s="214"/>
      <c r="U34" s="214"/>
    </row>
    <row r="35" spans="2:21" s="2" customFormat="1" ht="15" hidden="1" customHeight="1">
      <c r="B35" s="130">
        <f t="shared" si="7"/>
        <v>8</v>
      </c>
      <c r="C35" s="125"/>
      <c r="D35" s="249">
        <f>FACTORES!F47</f>
        <v>17575.080000000002</v>
      </c>
      <c r="E35" s="249">
        <f>FACTORES!G47</f>
        <v>17648.740000000002</v>
      </c>
      <c r="F35" s="249">
        <f t="shared" si="1"/>
        <v>23661.57</v>
      </c>
      <c r="G35" s="249">
        <f t="shared" si="2"/>
        <v>23751.5</v>
      </c>
      <c r="H35" s="249">
        <f t="shared" si="3"/>
        <v>24761.57</v>
      </c>
      <c r="I35" s="249">
        <f t="shared" si="4"/>
        <v>24851.5</v>
      </c>
      <c r="J35" s="249">
        <f t="shared" si="5"/>
        <v>28723.421199999997</v>
      </c>
      <c r="K35" s="249">
        <f t="shared" si="6"/>
        <v>28827.739999999998</v>
      </c>
      <c r="L35" s="85"/>
      <c r="M35" s="192"/>
      <c r="N35" s="192"/>
      <c r="O35" s="216"/>
      <c r="P35"/>
      <c r="Q35"/>
      <c r="R35" s="3"/>
      <c r="S35" s="3"/>
      <c r="T35" s="214"/>
      <c r="U35" s="214"/>
    </row>
    <row r="36" spans="2:21" s="2" customFormat="1" ht="15" hidden="1" customHeight="1">
      <c r="B36" s="130">
        <f t="shared" si="7"/>
        <v>9</v>
      </c>
      <c r="C36" s="125"/>
      <c r="D36" s="249">
        <f>FACTORES!F48</f>
        <v>17575.080000000002</v>
      </c>
      <c r="E36" s="249">
        <f>FACTORES!G48</f>
        <v>17648.740000000002</v>
      </c>
      <c r="F36" s="249">
        <f t="shared" si="1"/>
        <v>23661.57</v>
      </c>
      <c r="G36" s="249">
        <f t="shared" si="2"/>
        <v>23751.5</v>
      </c>
      <c r="H36" s="249">
        <f t="shared" si="3"/>
        <v>24761.57</v>
      </c>
      <c r="I36" s="249">
        <f t="shared" si="4"/>
        <v>24851.5</v>
      </c>
      <c r="J36" s="249">
        <f t="shared" si="5"/>
        <v>28723.421199999997</v>
      </c>
      <c r="K36" s="249">
        <f t="shared" si="6"/>
        <v>28827.739999999998</v>
      </c>
      <c r="L36" s="85"/>
      <c r="M36" s="192"/>
      <c r="N36" s="192"/>
      <c r="O36" s="216"/>
      <c r="P36"/>
      <c r="Q36"/>
      <c r="R36" s="3"/>
      <c r="S36" s="3"/>
      <c r="T36" s="214"/>
      <c r="U36" s="214"/>
    </row>
    <row r="37" spans="2:21" s="2" customFormat="1" ht="15" hidden="1" customHeight="1">
      <c r="B37" s="130">
        <f t="shared" si="7"/>
        <v>10</v>
      </c>
      <c r="C37" s="125"/>
      <c r="D37" s="249">
        <f>FACTORES!F49</f>
        <v>17575.080000000002</v>
      </c>
      <c r="E37" s="249">
        <f>FACTORES!G49</f>
        <v>17648.740000000002</v>
      </c>
      <c r="F37" s="249">
        <f t="shared" si="1"/>
        <v>23661.57</v>
      </c>
      <c r="G37" s="249">
        <f t="shared" si="2"/>
        <v>23751.5</v>
      </c>
      <c r="H37" s="249">
        <f t="shared" si="3"/>
        <v>24761.57</v>
      </c>
      <c r="I37" s="249">
        <f t="shared" si="4"/>
        <v>24851.5</v>
      </c>
      <c r="J37" s="249">
        <f t="shared" si="5"/>
        <v>28723.421199999997</v>
      </c>
      <c r="K37" s="249">
        <f t="shared" si="6"/>
        <v>28827.739999999998</v>
      </c>
      <c r="L37" s="85"/>
      <c r="M37" s="192"/>
      <c r="N37" s="192"/>
      <c r="O37" s="216"/>
      <c r="P37"/>
      <c r="Q37"/>
      <c r="R37" s="3"/>
      <c r="S37" s="3"/>
      <c r="T37" s="214"/>
      <c r="U37" s="214"/>
    </row>
    <row r="38" spans="2:21" s="2" customFormat="1" ht="15" hidden="1" customHeight="1">
      <c r="B38" s="130">
        <f t="shared" si="7"/>
        <v>11</v>
      </c>
      <c r="C38" s="125"/>
      <c r="D38" s="249">
        <f>FACTORES!F50</f>
        <v>17774.04</v>
      </c>
      <c r="E38" s="249">
        <f>FACTORES!G50</f>
        <v>17639.93</v>
      </c>
      <c r="F38" s="249">
        <f t="shared" si="1"/>
        <v>23904.49</v>
      </c>
      <c r="G38" s="249">
        <f t="shared" si="2"/>
        <v>23740.75</v>
      </c>
      <c r="H38" s="249">
        <f t="shared" si="3"/>
        <v>25004.49</v>
      </c>
      <c r="I38" s="249">
        <f t="shared" si="4"/>
        <v>24840.75</v>
      </c>
      <c r="J38" s="249">
        <f t="shared" si="5"/>
        <v>29005.2084</v>
      </c>
      <c r="K38" s="249">
        <f t="shared" si="6"/>
        <v>28815.269999999997</v>
      </c>
      <c r="L38" s="85"/>
      <c r="M38" s="192"/>
      <c r="N38" s="192"/>
      <c r="O38" s="216"/>
      <c r="P38"/>
      <c r="Q38"/>
      <c r="R38" s="3"/>
      <c r="S38" s="3"/>
      <c r="T38" s="214"/>
      <c r="U38" s="214"/>
    </row>
    <row r="39" spans="2:21" s="2" customFormat="1" ht="15" hidden="1" customHeight="1">
      <c r="B39" s="130">
        <f t="shared" si="7"/>
        <v>12</v>
      </c>
      <c r="C39" s="125"/>
      <c r="D39" s="249">
        <f>FACTORES!F51</f>
        <v>17707.939999999999</v>
      </c>
      <c r="E39" s="249">
        <f>FACTORES!G51</f>
        <v>17809.22</v>
      </c>
      <c r="F39" s="249">
        <f t="shared" si="1"/>
        <v>23823.780000000002</v>
      </c>
      <c r="G39" s="249">
        <f t="shared" si="2"/>
        <v>23947.440000000002</v>
      </c>
      <c r="H39" s="249">
        <f t="shared" si="3"/>
        <v>24923.780000000002</v>
      </c>
      <c r="I39" s="249">
        <f t="shared" si="4"/>
        <v>25047.440000000002</v>
      </c>
      <c r="J39" s="249">
        <f t="shared" si="5"/>
        <v>28911.584800000001</v>
      </c>
      <c r="K39" s="249">
        <f t="shared" si="6"/>
        <v>29055.0304</v>
      </c>
      <c r="L39" s="85"/>
      <c r="M39" s="192"/>
      <c r="N39" s="192"/>
      <c r="O39" s="216"/>
      <c r="P39"/>
      <c r="Q39"/>
      <c r="R39" s="3"/>
      <c r="S39" s="3"/>
      <c r="T39" s="214"/>
      <c r="U39" s="214"/>
    </row>
    <row r="40" spans="2:21" s="2" customFormat="1" ht="15" hidden="1" customHeight="1">
      <c r="B40" s="130">
        <f t="shared" si="7"/>
        <v>13</v>
      </c>
      <c r="C40" s="125"/>
      <c r="D40" s="249">
        <f>FACTORES!F52</f>
        <v>17576.689999999999</v>
      </c>
      <c r="E40" s="249">
        <f>FACTORES!G52</f>
        <v>17698.39</v>
      </c>
      <c r="F40" s="249">
        <f t="shared" si="1"/>
        <v>23663.530000000002</v>
      </c>
      <c r="G40" s="249">
        <f t="shared" si="2"/>
        <v>23812.12</v>
      </c>
      <c r="H40" s="249">
        <f t="shared" si="3"/>
        <v>24763.530000000002</v>
      </c>
      <c r="I40" s="249">
        <f t="shared" si="4"/>
        <v>24912.12</v>
      </c>
      <c r="J40" s="249">
        <f t="shared" si="5"/>
        <v>28725.694800000001</v>
      </c>
      <c r="K40" s="249">
        <f t="shared" si="6"/>
        <v>28898.059199999996</v>
      </c>
      <c r="L40" s="85"/>
      <c r="M40" s="192"/>
      <c r="N40" s="192"/>
      <c r="O40" s="216"/>
      <c r="P40"/>
      <c r="Q40"/>
      <c r="R40" s="3"/>
      <c r="S40" s="3"/>
      <c r="T40" s="214"/>
      <c r="U40" s="214"/>
    </row>
    <row r="41" spans="2:21" s="2" customFormat="1" ht="15" hidden="1" customHeight="1">
      <c r="B41" s="130">
        <f t="shared" si="7"/>
        <v>14</v>
      </c>
      <c r="C41" s="125"/>
      <c r="D41" s="249">
        <f>FACTORES!F53</f>
        <v>17101.37</v>
      </c>
      <c r="E41" s="249">
        <f>FACTORES!G53</f>
        <v>17353.79</v>
      </c>
      <c r="F41" s="249">
        <f t="shared" si="1"/>
        <v>23083.200000000001</v>
      </c>
      <c r="G41" s="249">
        <f t="shared" si="2"/>
        <v>23391.39</v>
      </c>
      <c r="H41" s="249">
        <f t="shared" si="3"/>
        <v>24183.200000000001</v>
      </c>
      <c r="I41" s="249">
        <f t="shared" si="4"/>
        <v>24491.39</v>
      </c>
      <c r="J41" s="249">
        <f t="shared" si="5"/>
        <v>28052.511999999999</v>
      </c>
      <c r="K41" s="249">
        <f t="shared" si="6"/>
        <v>28410.012399999996</v>
      </c>
      <c r="L41" s="85"/>
      <c r="M41" s="192"/>
      <c r="N41" s="192"/>
      <c r="O41" s="216"/>
      <c r="P41"/>
      <c r="Q41"/>
      <c r="R41" s="3"/>
      <c r="S41" s="3"/>
      <c r="T41" s="214"/>
      <c r="U41" s="214"/>
    </row>
    <row r="42" spans="2:21" s="2" customFormat="1" ht="15" hidden="1" customHeight="1">
      <c r="B42" s="130">
        <f t="shared" si="7"/>
        <v>15</v>
      </c>
      <c r="C42" s="125"/>
      <c r="D42" s="249">
        <f>FACTORES!F54</f>
        <v>17164.68</v>
      </c>
      <c r="E42" s="249">
        <f>FACTORES!G54</f>
        <v>17069.79</v>
      </c>
      <c r="F42" s="249">
        <f t="shared" si="1"/>
        <v>23160.49</v>
      </c>
      <c r="G42" s="249">
        <f t="shared" si="2"/>
        <v>23044.639999999999</v>
      </c>
      <c r="H42" s="249">
        <f t="shared" si="3"/>
        <v>24260.49</v>
      </c>
      <c r="I42" s="249">
        <f t="shared" si="4"/>
        <v>24144.639999999999</v>
      </c>
      <c r="J42" s="249">
        <f t="shared" si="5"/>
        <v>28142.168399999999</v>
      </c>
      <c r="K42" s="249">
        <f t="shared" si="6"/>
        <v>28007.782399999996</v>
      </c>
      <c r="L42" s="85"/>
      <c r="M42" s="192"/>
      <c r="N42" s="192"/>
      <c r="O42" s="216"/>
      <c r="P42" s="85"/>
      <c r="Q42" s="85"/>
      <c r="R42" s="3"/>
      <c r="S42" s="3"/>
      <c r="T42" s="214"/>
      <c r="U42" s="214"/>
    </row>
    <row r="43" spans="2:21" s="2" customFormat="1" ht="15" hidden="1" customHeight="1">
      <c r="B43" s="130">
        <f t="shared" si="7"/>
        <v>16</v>
      </c>
      <c r="C43" s="125"/>
      <c r="D43" s="249">
        <f>FACTORES!F55</f>
        <v>16873.77</v>
      </c>
      <c r="E43" s="249">
        <f>FACTORES!G55</f>
        <v>15781.15</v>
      </c>
      <c r="F43" s="249">
        <f t="shared" si="1"/>
        <v>22805.31</v>
      </c>
      <c r="G43" s="249">
        <f t="shared" si="2"/>
        <v>21471.29</v>
      </c>
      <c r="H43" s="249">
        <f t="shared" si="3"/>
        <v>23905.31</v>
      </c>
      <c r="I43" s="249">
        <f t="shared" si="4"/>
        <v>22571.29</v>
      </c>
      <c r="J43" s="249">
        <f t="shared" si="5"/>
        <v>27730.159599999999</v>
      </c>
      <c r="K43" s="249">
        <f t="shared" si="6"/>
        <v>26182.696400000001</v>
      </c>
      <c r="L43" s="85"/>
      <c r="M43" s="192"/>
      <c r="N43" s="192"/>
      <c r="O43" s="216"/>
      <c r="P43" s="85"/>
      <c r="Q43" s="85"/>
      <c r="R43" s="3"/>
      <c r="S43" s="3"/>
      <c r="T43" s="214"/>
      <c r="U43" s="214"/>
    </row>
    <row r="44" spans="2:21" s="2" customFormat="1" ht="15" hidden="1" customHeight="1">
      <c r="B44" s="130">
        <f t="shared" si="7"/>
        <v>17</v>
      </c>
      <c r="C44" s="125"/>
      <c r="D44" s="249">
        <f>FACTORES!F56</f>
        <v>16981.95</v>
      </c>
      <c r="E44" s="249">
        <f>FACTORES!G56</f>
        <v>16040.33</v>
      </c>
      <c r="F44" s="249">
        <f t="shared" si="1"/>
        <v>22937.39</v>
      </c>
      <c r="G44" s="249">
        <f t="shared" si="2"/>
        <v>21787.73</v>
      </c>
      <c r="H44" s="249">
        <f t="shared" si="3"/>
        <v>24037.39</v>
      </c>
      <c r="I44" s="249">
        <f t="shared" si="4"/>
        <v>22887.73</v>
      </c>
      <c r="J44" s="249">
        <f t="shared" si="5"/>
        <v>27883.372399999997</v>
      </c>
      <c r="K44" s="249">
        <f t="shared" si="6"/>
        <v>26549.766799999998</v>
      </c>
      <c r="L44" s="85"/>
      <c r="M44" s="192"/>
      <c r="N44" s="192"/>
      <c r="O44" s="216"/>
      <c r="P44" s="85"/>
      <c r="Q44" s="85"/>
      <c r="R44" s="3"/>
      <c r="S44" s="3"/>
      <c r="T44" s="214"/>
      <c r="U44" s="214"/>
    </row>
    <row r="45" spans="2:21" s="2" customFormat="1" ht="15" hidden="1" customHeight="1">
      <c r="B45" s="130">
        <f t="shared" si="7"/>
        <v>18</v>
      </c>
      <c r="C45" s="125"/>
      <c r="D45" s="249">
        <f>FACTORES!F57</f>
        <v>17458.23</v>
      </c>
      <c r="E45" s="249">
        <f>FACTORES!G57</f>
        <v>15545.69</v>
      </c>
      <c r="F45" s="249">
        <f t="shared" ref="F45:F76" si="8">ROUND(D45*$G$5*$G$6*$G$8,2)+ADIC+DENTAL+ENFGVES+IKE+CVISION+DEDXACC</f>
        <v>23518.9</v>
      </c>
      <c r="G45" s="393">
        <f t="shared" ref="G45:G81" si="9">ROUND(E45*$G$5*$G$6*$G$8,2)+ADIC+DENTAL+ENFGVES+IKE+CVISION+PARTO+DEDXACC</f>
        <v>21984.73</v>
      </c>
      <c r="H45" s="249">
        <f t="shared" si="3"/>
        <v>24618.9</v>
      </c>
      <c r="I45" s="249">
        <f t="shared" si="4"/>
        <v>23084.73</v>
      </c>
      <c r="J45" s="249">
        <f t="shared" si="5"/>
        <v>28557.923999999999</v>
      </c>
      <c r="K45" s="249">
        <f t="shared" si="6"/>
        <v>26778.286799999998</v>
      </c>
      <c r="L45" s="85"/>
      <c r="M45" s="192"/>
      <c r="N45" s="192"/>
      <c r="O45" s="216"/>
      <c r="P45" s="85"/>
      <c r="Q45" s="85"/>
      <c r="R45" s="3"/>
      <c r="S45" s="3"/>
      <c r="T45" s="214"/>
      <c r="U45" s="214"/>
    </row>
    <row r="46" spans="2:21" s="2" customFormat="1" ht="15" hidden="1" customHeight="1">
      <c r="B46" s="130">
        <f t="shared" si="7"/>
        <v>19</v>
      </c>
      <c r="C46" s="125"/>
      <c r="D46" s="249">
        <f>FACTORES!F58</f>
        <v>18039.169999999998</v>
      </c>
      <c r="E46" s="249">
        <f>FACTORES!G58</f>
        <v>15773.81</v>
      </c>
      <c r="F46" s="249">
        <f t="shared" si="8"/>
        <v>24228.190000000002</v>
      </c>
      <c r="G46" s="393">
        <f t="shared" si="9"/>
        <v>22263.260000000002</v>
      </c>
      <c r="H46" s="249">
        <f t="shared" si="3"/>
        <v>25328.190000000002</v>
      </c>
      <c r="I46" s="249">
        <f t="shared" si="4"/>
        <v>23363.260000000002</v>
      </c>
      <c r="J46" s="249">
        <f t="shared" si="5"/>
        <v>29380.700400000002</v>
      </c>
      <c r="K46" s="249">
        <f t="shared" si="6"/>
        <v>27101.381600000001</v>
      </c>
      <c r="L46" s="85"/>
      <c r="M46" s="192"/>
      <c r="N46" s="192"/>
      <c r="O46" s="216"/>
      <c r="P46" s="85"/>
      <c r="Q46" s="85"/>
      <c r="R46" s="3"/>
      <c r="S46" s="3"/>
      <c r="T46" s="214"/>
      <c r="U46" s="214"/>
    </row>
    <row r="47" spans="2:21" s="2" customFormat="1" ht="15" hidden="1" customHeight="1">
      <c r="B47" s="130">
        <f t="shared" si="7"/>
        <v>20</v>
      </c>
      <c r="C47" s="125"/>
      <c r="D47" s="249">
        <f>FACTORES!F59</f>
        <v>18695.599999999999</v>
      </c>
      <c r="E47" s="249">
        <f>FACTORES!G59</f>
        <v>18678.93</v>
      </c>
      <c r="F47" s="249">
        <f t="shared" si="8"/>
        <v>25029.66</v>
      </c>
      <c r="G47" s="393">
        <f t="shared" si="9"/>
        <v>25810.23</v>
      </c>
      <c r="H47" s="249">
        <f t="shared" si="3"/>
        <v>26129.66</v>
      </c>
      <c r="I47" s="249">
        <f t="shared" si="4"/>
        <v>26910.23</v>
      </c>
      <c r="J47" s="249">
        <f t="shared" si="5"/>
        <v>30310.405599999998</v>
      </c>
      <c r="K47" s="249">
        <f t="shared" si="6"/>
        <v>31215.866799999996</v>
      </c>
      <c r="L47" s="85"/>
      <c r="M47" s="192"/>
      <c r="N47" s="192"/>
      <c r="O47" s="216"/>
      <c r="P47" s="85"/>
      <c r="Q47" s="85"/>
      <c r="R47" s="3"/>
      <c r="S47" s="3"/>
      <c r="T47" s="214"/>
      <c r="U47" s="214"/>
    </row>
    <row r="48" spans="2:21" s="2" customFormat="1" ht="15" hidden="1" customHeight="1">
      <c r="B48" s="130">
        <f t="shared" si="7"/>
        <v>21</v>
      </c>
      <c r="C48" s="125"/>
      <c r="D48" s="249">
        <f>FACTORES!F60</f>
        <v>20020.95</v>
      </c>
      <c r="E48" s="249">
        <f>FACTORES!G60</f>
        <v>23916.89</v>
      </c>
      <c r="F48" s="249">
        <f t="shared" si="8"/>
        <v>26647.83</v>
      </c>
      <c r="G48" s="393">
        <f t="shared" si="9"/>
        <v>32205.47</v>
      </c>
      <c r="H48" s="249">
        <f t="shared" si="3"/>
        <v>27747.83</v>
      </c>
      <c r="I48" s="249">
        <f t="shared" si="4"/>
        <v>33305.47</v>
      </c>
      <c r="J48" s="249">
        <f t="shared" si="5"/>
        <v>32187.482800000002</v>
      </c>
      <c r="K48" s="249">
        <f t="shared" si="6"/>
        <v>38634.345199999996</v>
      </c>
      <c r="L48" s="85"/>
      <c r="M48" s="192"/>
      <c r="N48" s="192"/>
      <c r="O48" s="216"/>
      <c r="P48" s="85"/>
      <c r="Q48" s="85"/>
      <c r="R48" s="3"/>
      <c r="S48" s="3"/>
      <c r="T48" s="214"/>
      <c r="U48" s="214"/>
    </row>
    <row r="49" spans="2:21" s="2" customFormat="1" ht="15" hidden="1" customHeight="1">
      <c r="B49" s="130">
        <f t="shared" si="7"/>
        <v>22</v>
      </c>
      <c r="C49" s="125"/>
      <c r="D49" s="249">
        <f>FACTORES!F61</f>
        <v>20895.2</v>
      </c>
      <c r="E49" s="249">
        <f>FACTORES!G61</f>
        <v>25057.05</v>
      </c>
      <c r="F49" s="249">
        <f t="shared" si="8"/>
        <v>27715.24</v>
      </c>
      <c r="G49" s="393">
        <f t="shared" si="9"/>
        <v>33597.530000000006</v>
      </c>
      <c r="H49" s="249">
        <f t="shared" si="3"/>
        <v>28815.24</v>
      </c>
      <c r="I49" s="249">
        <f t="shared" si="4"/>
        <v>34697.530000000006</v>
      </c>
      <c r="J49" s="249">
        <f t="shared" si="5"/>
        <v>33425.678399999997</v>
      </c>
      <c r="K49" s="249">
        <f t="shared" si="6"/>
        <v>40249.134800000007</v>
      </c>
      <c r="L49" s="85"/>
      <c r="M49" s="192"/>
      <c r="N49" s="192"/>
      <c r="O49" s="216"/>
      <c r="P49" s="85"/>
      <c r="Q49" s="85"/>
      <c r="R49" s="3"/>
      <c r="S49" s="3"/>
      <c r="T49" s="214"/>
      <c r="U49" s="214"/>
    </row>
    <row r="50" spans="2:21" s="2" customFormat="1" ht="15" hidden="1" customHeight="1">
      <c r="B50" s="130">
        <f t="shared" si="7"/>
        <v>23</v>
      </c>
      <c r="C50" s="125"/>
      <c r="D50" s="249">
        <f>FACTORES!F62</f>
        <v>22281.9</v>
      </c>
      <c r="E50" s="249">
        <f>FACTORES!G62</f>
        <v>26226.92</v>
      </c>
      <c r="F50" s="249">
        <f t="shared" si="8"/>
        <v>29408.31</v>
      </c>
      <c r="G50" s="393">
        <f t="shared" si="9"/>
        <v>35025.880000000005</v>
      </c>
      <c r="H50" s="249">
        <f t="shared" si="3"/>
        <v>30508.31</v>
      </c>
      <c r="I50" s="249">
        <f t="shared" si="4"/>
        <v>36125.880000000005</v>
      </c>
      <c r="J50" s="249">
        <f t="shared" si="5"/>
        <v>35389.639600000002</v>
      </c>
      <c r="K50" s="249">
        <f t="shared" si="6"/>
        <v>41906.020800000006</v>
      </c>
      <c r="L50" s="85"/>
      <c r="M50" s="192"/>
      <c r="N50" s="192"/>
      <c r="O50" s="216"/>
      <c r="P50" s="85"/>
      <c r="Q50" s="85"/>
      <c r="R50" s="3"/>
      <c r="S50" s="3"/>
      <c r="T50" s="214"/>
      <c r="U50" s="214"/>
    </row>
    <row r="51" spans="2:21" s="2" customFormat="1" ht="15" hidden="1" customHeight="1">
      <c r="B51" s="130">
        <f t="shared" si="7"/>
        <v>24</v>
      </c>
      <c r="C51" s="125"/>
      <c r="D51" s="249">
        <f>FACTORES!F63</f>
        <v>23186.3</v>
      </c>
      <c r="E51" s="249">
        <f>FACTORES!G63</f>
        <v>27453.22</v>
      </c>
      <c r="F51" s="249">
        <f t="shared" si="8"/>
        <v>30512.530000000002</v>
      </c>
      <c r="G51" s="393">
        <f t="shared" si="9"/>
        <v>36523.110000000008</v>
      </c>
      <c r="H51" s="249">
        <f t="shared" si="3"/>
        <v>31612.530000000002</v>
      </c>
      <c r="I51" s="249">
        <f t="shared" si="4"/>
        <v>37623.110000000008</v>
      </c>
      <c r="J51" s="249">
        <f t="shared" si="5"/>
        <v>36670.534800000001</v>
      </c>
      <c r="K51" s="249">
        <f t="shared" si="6"/>
        <v>43642.807600000007</v>
      </c>
      <c r="L51" s="85"/>
      <c r="M51" s="192"/>
      <c r="N51" s="192"/>
      <c r="O51" s="216"/>
      <c r="P51" s="85"/>
      <c r="Q51" s="85"/>
      <c r="R51" s="3"/>
      <c r="S51" s="3"/>
      <c r="T51" s="214"/>
      <c r="U51" s="214"/>
    </row>
    <row r="52" spans="2:21" s="2" customFormat="1" ht="15" hidden="1" customHeight="1">
      <c r="B52" s="130">
        <f t="shared" si="7"/>
        <v>25</v>
      </c>
      <c r="C52" s="125"/>
      <c r="D52" s="249">
        <f>FACTORES!F64</f>
        <v>24093.32</v>
      </c>
      <c r="E52" s="249">
        <f>FACTORES!G64</f>
        <v>28724.23</v>
      </c>
      <c r="F52" s="249">
        <f t="shared" si="8"/>
        <v>31619.95</v>
      </c>
      <c r="G52" s="393">
        <f t="shared" si="9"/>
        <v>38074.94</v>
      </c>
      <c r="H52" s="249">
        <f t="shared" si="3"/>
        <v>32719.95</v>
      </c>
      <c r="I52" s="249">
        <f t="shared" si="4"/>
        <v>39174.94</v>
      </c>
      <c r="J52" s="249">
        <f t="shared" si="5"/>
        <v>37955.142</v>
      </c>
      <c r="K52" s="249">
        <f t="shared" si="6"/>
        <v>45442.930399999997</v>
      </c>
      <c r="L52" s="85"/>
      <c r="M52" s="192"/>
      <c r="N52" s="192"/>
      <c r="O52" s="216"/>
      <c r="P52" s="85"/>
      <c r="Q52" s="85"/>
      <c r="R52" s="3"/>
      <c r="S52" s="3"/>
      <c r="T52" s="214"/>
      <c r="U52" s="214"/>
    </row>
    <row r="53" spans="2:21" s="2" customFormat="1" ht="15" hidden="1" customHeight="1">
      <c r="B53" s="130">
        <f t="shared" si="7"/>
        <v>26</v>
      </c>
      <c r="C53" s="125"/>
      <c r="D53" s="249">
        <f>FACTORES!F65</f>
        <v>25689.72</v>
      </c>
      <c r="E53" s="249">
        <f>FACTORES!G65</f>
        <v>29838.83</v>
      </c>
      <c r="F53" s="249">
        <f t="shared" si="8"/>
        <v>33569.060000000005</v>
      </c>
      <c r="G53" s="393">
        <f t="shared" si="9"/>
        <v>39435.800000000003</v>
      </c>
      <c r="H53" s="249">
        <f t="shared" si="3"/>
        <v>34669.060000000005</v>
      </c>
      <c r="I53" s="249">
        <f t="shared" si="4"/>
        <v>40535.800000000003</v>
      </c>
      <c r="J53" s="249">
        <f t="shared" si="5"/>
        <v>40216.109600000003</v>
      </c>
      <c r="K53" s="249">
        <f t="shared" si="6"/>
        <v>47021.527999999998</v>
      </c>
      <c r="L53" s="85"/>
      <c r="M53" s="192"/>
      <c r="N53" s="192"/>
      <c r="O53" s="216"/>
      <c r="P53" s="85"/>
      <c r="Q53" s="85"/>
      <c r="R53" s="3"/>
      <c r="S53" s="3"/>
      <c r="T53" s="214"/>
      <c r="U53" s="214"/>
    </row>
    <row r="54" spans="2:21" s="2" customFormat="1" ht="15" hidden="1" customHeight="1">
      <c r="B54" s="130">
        <f t="shared" si="7"/>
        <v>27</v>
      </c>
      <c r="C54" s="125"/>
      <c r="D54" s="249">
        <f>FACTORES!F66</f>
        <v>26826.38</v>
      </c>
      <c r="E54" s="249">
        <f>FACTORES!G66</f>
        <v>31202.01</v>
      </c>
      <c r="F54" s="249">
        <f t="shared" si="8"/>
        <v>34956.850000000006</v>
      </c>
      <c r="G54" s="393">
        <f t="shared" si="9"/>
        <v>41100.160000000003</v>
      </c>
      <c r="H54" s="249">
        <f t="shared" si="3"/>
        <v>36056.850000000006</v>
      </c>
      <c r="I54" s="249">
        <f t="shared" si="4"/>
        <v>42200.160000000003</v>
      </c>
      <c r="J54" s="249">
        <f t="shared" si="5"/>
        <v>41825.946000000004</v>
      </c>
      <c r="K54" s="249">
        <f t="shared" si="6"/>
        <v>48952.185599999997</v>
      </c>
      <c r="L54" s="85"/>
      <c r="M54" s="192"/>
      <c r="N54" s="192"/>
      <c r="O54" s="216"/>
      <c r="P54" s="85"/>
      <c r="Q54" s="85"/>
      <c r="R54" s="3"/>
      <c r="S54" s="3"/>
      <c r="T54" s="214"/>
      <c r="U54" s="214"/>
    </row>
    <row r="55" spans="2:21" s="2" customFormat="1" ht="15" hidden="1" customHeight="1">
      <c r="B55" s="130">
        <f t="shared" si="7"/>
        <v>28</v>
      </c>
      <c r="C55" s="125"/>
      <c r="D55" s="249">
        <f>FACTORES!F67</f>
        <v>28372.400000000001</v>
      </c>
      <c r="E55" s="249">
        <f>FACTORES!G67</f>
        <v>32656.799999999999</v>
      </c>
      <c r="F55" s="249">
        <f t="shared" si="8"/>
        <v>36844.450000000004</v>
      </c>
      <c r="G55" s="393">
        <f t="shared" si="9"/>
        <v>42876.37</v>
      </c>
      <c r="H55" s="249">
        <f t="shared" si="3"/>
        <v>37944.450000000004</v>
      </c>
      <c r="I55" s="249">
        <f t="shared" si="4"/>
        <v>43976.37</v>
      </c>
      <c r="J55" s="249">
        <f t="shared" si="5"/>
        <v>44015.562000000005</v>
      </c>
      <c r="K55" s="249">
        <f t="shared" si="6"/>
        <v>51012.589200000002</v>
      </c>
      <c r="L55" s="85"/>
      <c r="M55" s="192"/>
      <c r="N55" s="192"/>
      <c r="O55" s="216"/>
      <c r="P55" s="85"/>
      <c r="Q55" s="85"/>
      <c r="R55" s="3"/>
      <c r="S55" s="3"/>
      <c r="T55" s="214"/>
      <c r="U55" s="214"/>
    </row>
    <row r="56" spans="2:21" s="2" customFormat="1" ht="15" hidden="1" customHeight="1">
      <c r="B56" s="130">
        <f t="shared" si="7"/>
        <v>29</v>
      </c>
      <c r="C56" s="125"/>
      <c r="D56" s="249">
        <f>FACTORES!F68</f>
        <v>29806.94</v>
      </c>
      <c r="E56" s="249">
        <f>FACTORES!G68</f>
        <v>34124.9</v>
      </c>
      <c r="F56" s="249">
        <f t="shared" si="8"/>
        <v>38595.94</v>
      </c>
      <c r="G56" s="393">
        <f t="shared" si="9"/>
        <v>44668.840000000004</v>
      </c>
      <c r="H56" s="249">
        <f t="shared" si="3"/>
        <v>39695.94</v>
      </c>
      <c r="I56" s="249">
        <f t="shared" si="4"/>
        <v>45768.840000000004</v>
      </c>
      <c r="J56" s="249">
        <f t="shared" si="5"/>
        <v>46047.290399999998</v>
      </c>
      <c r="K56" s="249">
        <f t="shared" si="6"/>
        <v>53091.854400000004</v>
      </c>
      <c r="L56" s="85"/>
      <c r="M56" s="192"/>
      <c r="N56" s="192"/>
      <c r="O56" s="216"/>
      <c r="P56" s="85"/>
      <c r="Q56" s="85"/>
      <c r="R56" s="3"/>
      <c r="S56" s="3"/>
      <c r="T56" s="214"/>
      <c r="U56" s="214"/>
    </row>
    <row r="57" spans="2:21" s="2" customFormat="1" ht="15" hidden="1" customHeight="1">
      <c r="B57" s="130">
        <f t="shared" si="7"/>
        <v>30</v>
      </c>
      <c r="C57" s="125"/>
      <c r="D57" s="249">
        <f>FACTORES!F69</f>
        <v>31141.439999999999</v>
      </c>
      <c r="E57" s="249">
        <f>FACTORES!G69</f>
        <v>35739.22</v>
      </c>
      <c r="F57" s="249">
        <f t="shared" si="8"/>
        <v>40225.280000000006</v>
      </c>
      <c r="G57" s="393">
        <f t="shared" si="9"/>
        <v>46639.820000000007</v>
      </c>
      <c r="H57" s="249">
        <f t="shared" si="3"/>
        <v>41325.280000000006</v>
      </c>
      <c r="I57" s="249">
        <f t="shared" si="4"/>
        <v>47739.820000000007</v>
      </c>
      <c r="J57" s="249">
        <f t="shared" si="5"/>
        <v>47937.324800000002</v>
      </c>
      <c r="K57" s="249">
        <f t="shared" si="6"/>
        <v>55378.191200000001</v>
      </c>
      <c r="L57" s="85"/>
      <c r="M57" s="192"/>
      <c r="N57" s="192"/>
      <c r="O57" s="216"/>
      <c r="P57" s="85"/>
      <c r="Q57" s="85"/>
      <c r="R57" s="3"/>
      <c r="S57" s="3"/>
      <c r="T57" s="214"/>
      <c r="U57" s="214"/>
    </row>
    <row r="58" spans="2:21" s="2" customFormat="1" ht="15" hidden="1" customHeight="1">
      <c r="B58" s="130">
        <f t="shared" si="7"/>
        <v>31</v>
      </c>
      <c r="C58" s="125"/>
      <c r="D58" s="249">
        <f>FACTORES!F70</f>
        <v>32423.87</v>
      </c>
      <c r="E58" s="249">
        <f>FACTORES!G70</f>
        <v>37397</v>
      </c>
      <c r="F58" s="249">
        <f t="shared" si="8"/>
        <v>41791.050000000003</v>
      </c>
      <c r="G58" s="393">
        <f t="shared" si="9"/>
        <v>48663.87</v>
      </c>
      <c r="H58" s="249">
        <f t="shared" si="3"/>
        <v>42891.05</v>
      </c>
      <c r="I58" s="249">
        <f t="shared" si="4"/>
        <v>49763.87</v>
      </c>
      <c r="J58" s="249">
        <f t="shared" si="5"/>
        <v>49753.618000000002</v>
      </c>
      <c r="K58" s="249">
        <f t="shared" si="6"/>
        <v>57726.089200000002</v>
      </c>
      <c r="L58" s="85"/>
      <c r="M58" s="192"/>
      <c r="N58" s="192"/>
      <c r="O58" s="216"/>
      <c r="P58" s="85"/>
      <c r="Q58" s="85"/>
      <c r="R58" s="3"/>
      <c r="S58" s="3"/>
      <c r="T58" s="214"/>
      <c r="U58" s="214"/>
    </row>
    <row r="59" spans="2:21" s="2" customFormat="1" ht="15" hidden="1" customHeight="1">
      <c r="B59" s="130">
        <f t="shared" si="7"/>
        <v>32</v>
      </c>
      <c r="C59" s="125"/>
      <c r="D59" s="249">
        <f>FACTORES!F71</f>
        <v>34417.75</v>
      </c>
      <c r="E59" s="249">
        <f>FACTORES!G71</f>
        <v>39081.360000000001</v>
      </c>
      <c r="F59" s="249">
        <f t="shared" si="8"/>
        <v>44225.460000000006</v>
      </c>
      <c r="G59" s="393">
        <f t="shared" si="9"/>
        <v>50720.380000000005</v>
      </c>
      <c r="H59" s="249">
        <f t="shared" si="3"/>
        <v>45325.460000000006</v>
      </c>
      <c r="I59" s="249">
        <f t="shared" si="4"/>
        <v>51820.380000000005</v>
      </c>
      <c r="J59" s="249">
        <f t="shared" si="5"/>
        <v>52577.533600000002</v>
      </c>
      <c r="K59" s="249">
        <f t="shared" si="6"/>
        <v>60111.640800000001</v>
      </c>
      <c r="L59" s="85"/>
      <c r="M59" s="192"/>
      <c r="N59" s="192"/>
      <c r="O59" s="216"/>
      <c r="P59" s="85"/>
      <c r="Q59" s="85"/>
      <c r="R59" s="3"/>
      <c r="S59" s="3"/>
      <c r="T59" s="214"/>
      <c r="U59" s="214"/>
    </row>
    <row r="60" spans="2:21" s="2" customFormat="1" ht="15" hidden="1" customHeight="1">
      <c r="B60" s="130">
        <f t="shared" si="7"/>
        <v>33</v>
      </c>
      <c r="C60" s="125"/>
      <c r="D60" s="249">
        <f>FACTORES!F72</f>
        <v>35631.96</v>
      </c>
      <c r="E60" s="249">
        <f>FACTORES!G72</f>
        <v>40798.04</v>
      </c>
      <c r="F60" s="249">
        <f t="shared" si="8"/>
        <v>45707.94</v>
      </c>
      <c r="G60" s="393">
        <f t="shared" si="9"/>
        <v>52816.340000000004</v>
      </c>
      <c r="H60" s="249">
        <f t="shared" si="3"/>
        <v>46807.94</v>
      </c>
      <c r="I60" s="249">
        <f t="shared" si="4"/>
        <v>53916.340000000004</v>
      </c>
      <c r="J60" s="249">
        <f t="shared" si="5"/>
        <v>54297.210399999996</v>
      </c>
      <c r="K60" s="249">
        <f t="shared" si="6"/>
        <v>62542.954400000002</v>
      </c>
      <c r="L60" s="85"/>
      <c r="M60" s="192"/>
      <c r="N60" s="192"/>
      <c r="O60" s="216"/>
      <c r="P60" s="85"/>
      <c r="Q60" s="85"/>
      <c r="R60" s="3"/>
      <c r="S60" s="3"/>
      <c r="T60" s="214"/>
      <c r="U60" s="214"/>
    </row>
    <row r="61" spans="2:21" s="2" customFormat="1" ht="15" hidden="1" customHeight="1">
      <c r="B61" s="130">
        <f t="shared" si="7"/>
        <v>34</v>
      </c>
      <c r="C61" s="125"/>
      <c r="D61" s="249">
        <f>FACTORES!F73</f>
        <v>37625.339999999997</v>
      </c>
      <c r="E61" s="249">
        <f>FACTORES!G73</f>
        <v>42636.03</v>
      </c>
      <c r="F61" s="249">
        <f t="shared" si="8"/>
        <v>48141.73</v>
      </c>
      <c r="G61" s="393">
        <f t="shared" si="9"/>
        <v>55060.41</v>
      </c>
      <c r="H61" s="249">
        <f t="shared" si="3"/>
        <v>49241.73</v>
      </c>
      <c r="I61" s="249">
        <f t="shared" si="4"/>
        <v>56160.41</v>
      </c>
      <c r="J61" s="249">
        <f t="shared" si="5"/>
        <v>57120.406799999997</v>
      </c>
      <c r="K61" s="249">
        <f t="shared" si="6"/>
        <v>65146.075599999996</v>
      </c>
      <c r="L61" s="85"/>
      <c r="M61" s="192"/>
      <c r="N61" s="192"/>
      <c r="O61" s="216"/>
      <c r="P61" s="85"/>
      <c r="Q61" s="85"/>
      <c r="R61" s="3"/>
      <c r="S61" s="3"/>
      <c r="T61" s="214"/>
      <c r="U61" s="214"/>
    </row>
    <row r="62" spans="2:21" s="2" customFormat="1" ht="15" hidden="1" customHeight="1">
      <c r="B62" s="130">
        <f t="shared" si="7"/>
        <v>35</v>
      </c>
      <c r="C62" s="125"/>
      <c r="D62" s="249">
        <f>FACTORES!F74</f>
        <v>39703.32</v>
      </c>
      <c r="E62" s="249">
        <f>FACTORES!G74</f>
        <v>44583.68</v>
      </c>
      <c r="F62" s="249">
        <f t="shared" si="8"/>
        <v>50678.820000000007</v>
      </c>
      <c r="G62" s="393">
        <f t="shared" si="9"/>
        <v>57438.380000000005</v>
      </c>
      <c r="H62" s="249">
        <f t="shared" si="3"/>
        <v>51778.820000000007</v>
      </c>
      <c r="I62" s="249">
        <f t="shared" si="4"/>
        <v>58538.380000000005</v>
      </c>
      <c r="J62" s="249">
        <f t="shared" si="5"/>
        <v>60063.431200000006</v>
      </c>
      <c r="K62" s="249">
        <f t="shared" si="6"/>
        <v>67904.520799999998</v>
      </c>
      <c r="L62" s="85"/>
      <c r="M62" s="192"/>
      <c r="N62" s="192"/>
      <c r="O62" s="216"/>
      <c r="P62" s="85"/>
      <c r="Q62" s="85"/>
      <c r="R62" s="3"/>
      <c r="S62" s="3"/>
      <c r="T62" s="214"/>
      <c r="U62" s="214"/>
    </row>
    <row r="63" spans="2:21" s="2" customFormat="1" ht="15" hidden="1" customHeight="1">
      <c r="B63" s="130">
        <f t="shared" si="7"/>
        <v>36</v>
      </c>
      <c r="C63" s="125"/>
      <c r="D63" s="249">
        <f>FACTORES!F75</f>
        <v>41400.559999999998</v>
      </c>
      <c r="E63" s="249">
        <f>FACTORES!G75</f>
        <v>46580.04</v>
      </c>
      <c r="F63" s="249">
        <f t="shared" si="8"/>
        <v>52751.05</v>
      </c>
      <c r="G63" s="393">
        <f t="shared" si="9"/>
        <v>59875.810000000005</v>
      </c>
      <c r="H63" s="249">
        <f t="shared" si="3"/>
        <v>53851.05</v>
      </c>
      <c r="I63" s="249">
        <f t="shared" si="4"/>
        <v>60975.810000000005</v>
      </c>
      <c r="J63" s="249">
        <f t="shared" si="5"/>
        <v>62467.218000000001</v>
      </c>
      <c r="K63" s="249">
        <f t="shared" si="6"/>
        <v>70731.939599999998</v>
      </c>
      <c r="L63" s="85"/>
      <c r="M63" s="192"/>
      <c r="N63" s="192"/>
      <c r="O63" s="216"/>
      <c r="P63" s="85"/>
      <c r="Q63" s="85"/>
      <c r="R63" s="3"/>
      <c r="S63" s="3"/>
      <c r="T63" s="214"/>
      <c r="U63" s="214"/>
    </row>
    <row r="64" spans="2:21" s="2" customFormat="1" ht="15" hidden="1" customHeight="1">
      <c r="B64" s="130">
        <f t="shared" si="7"/>
        <v>37</v>
      </c>
      <c r="C64" s="125"/>
      <c r="D64" s="249">
        <f>FACTORES!F76</f>
        <v>43657.88</v>
      </c>
      <c r="E64" s="249">
        <f>FACTORES!G76</f>
        <v>48807.13</v>
      </c>
      <c r="F64" s="249">
        <f t="shared" si="8"/>
        <v>55507.100000000006</v>
      </c>
      <c r="G64" s="393">
        <f t="shared" si="9"/>
        <v>62594.960000000006</v>
      </c>
      <c r="H64" s="249">
        <f t="shared" si="3"/>
        <v>56607.100000000006</v>
      </c>
      <c r="I64" s="249">
        <f t="shared" si="4"/>
        <v>63694.960000000006</v>
      </c>
      <c r="J64" s="249">
        <f t="shared" si="5"/>
        <v>65664.236000000004</v>
      </c>
      <c r="K64" s="249">
        <f t="shared" si="6"/>
        <v>73886.153600000005</v>
      </c>
      <c r="L64" s="85"/>
      <c r="M64" s="192"/>
      <c r="N64" s="192"/>
      <c r="O64" s="216"/>
      <c r="P64" s="85"/>
      <c r="Q64" s="85"/>
      <c r="R64" s="3"/>
      <c r="S64" s="3"/>
      <c r="T64" s="214"/>
      <c r="U64" s="214"/>
    </row>
    <row r="65" spans="2:21" s="2" customFormat="1" ht="15" hidden="1" customHeight="1">
      <c r="B65" s="130">
        <f t="shared" si="7"/>
        <v>38</v>
      </c>
      <c r="C65" s="125"/>
      <c r="D65" s="249">
        <f>FACTORES!F77</f>
        <v>45985.82</v>
      </c>
      <c r="E65" s="249">
        <f>FACTORES!G77</f>
        <v>50953.85</v>
      </c>
      <c r="F65" s="249">
        <f t="shared" si="8"/>
        <v>58349.380000000005</v>
      </c>
      <c r="G65" s="393">
        <f t="shared" si="9"/>
        <v>65215.97</v>
      </c>
      <c r="H65" s="249">
        <f t="shared" si="3"/>
        <v>59449.380000000005</v>
      </c>
      <c r="I65" s="249">
        <f t="shared" si="4"/>
        <v>66315.97</v>
      </c>
      <c r="J65" s="249">
        <f t="shared" si="5"/>
        <v>68961.280800000008</v>
      </c>
      <c r="K65" s="249">
        <f t="shared" si="6"/>
        <v>76926.525199999989</v>
      </c>
      <c r="L65" s="85"/>
      <c r="M65" s="192"/>
      <c r="N65" s="192"/>
      <c r="O65" s="216"/>
      <c r="P65" s="85"/>
      <c r="Q65" s="85"/>
      <c r="R65" s="3"/>
      <c r="S65" s="3"/>
      <c r="T65" s="214"/>
      <c r="U65" s="214"/>
    </row>
    <row r="66" spans="2:21" s="2" customFormat="1" ht="15" hidden="1" customHeight="1">
      <c r="B66" s="130">
        <f t="shared" si="7"/>
        <v>39</v>
      </c>
      <c r="C66" s="125"/>
      <c r="D66" s="249">
        <f>FACTORES!F78</f>
        <v>48496.59</v>
      </c>
      <c r="E66" s="249">
        <f>FACTORES!G78</f>
        <v>53263.37</v>
      </c>
      <c r="F66" s="249">
        <f t="shared" si="8"/>
        <v>61414.880000000005</v>
      </c>
      <c r="G66" s="393">
        <f t="shared" si="9"/>
        <v>68035.759999999995</v>
      </c>
      <c r="H66" s="249">
        <f t="shared" si="3"/>
        <v>62514.880000000005</v>
      </c>
      <c r="I66" s="249">
        <f t="shared" si="4"/>
        <v>69135.759999999995</v>
      </c>
      <c r="J66" s="249">
        <f t="shared" si="5"/>
        <v>72517.260800000004</v>
      </c>
      <c r="K66" s="249">
        <f t="shared" si="6"/>
        <v>80197.481599999985</v>
      </c>
      <c r="L66" s="85"/>
      <c r="M66" s="192"/>
      <c r="N66" s="192"/>
      <c r="O66" s="216"/>
      <c r="P66" s="85"/>
      <c r="Q66" s="85"/>
      <c r="R66" s="3"/>
      <c r="S66" s="3"/>
      <c r="T66" s="214"/>
      <c r="U66" s="214"/>
    </row>
    <row r="67" spans="2:21" s="2" customFormat="1" ht="15" hidden="1" customHeight="1">
      <c r="B67" s="130">
        <f t="shared" si="7"/>
        <v>40</v>
      </c>
      <c r="C67" s="125"/>
      <c r="D67" s="249">
        <f>FACTORES!F79</f>
        <v>50202.14</v>
      </c>
      <c r="E67" s="249">
        <f>FACTORES!G79</f>
        <v>55656.62</v>
      </c>
      <c r="F67" s="249">
        <f t="shared" si="8"/>
        <v>63497.250000000007</v>
      </c>
      <c r="G67" s="393">
        <f t="shared" si="9"/>
        <v>70957.76999999999</v>
      </c>
      <c r="H67" s="249">
        <f t="shared" si="3"/>
        <v>64597.250000000007</v>
      </c>
      <c r="I67" s="249">
        <f t="shared" si="4"/>
        <v>72057.76999999999</v>
      </c>
      <c r="J67" s="249">
        <f t="shared" si="5"/>
        <v>74932.81</v>
      </c>
      <c r="K67" s="249">
        <f t="shared" si="6"/>
        <v>83587.013199999987</v>
      </c>
      <c r="L67" s="85"/>
      <c r="M67" s="192"/>
      <c r="N67" s="192"/>
      <c r="O67" s="216"/>
      <c r="P67" s="85"/>
      <c r="Q67" s="85"/>
      <c r="R67" s="3"/>
      <c r="S67" s="3"/>
      <c r="T67" s="214"/>
      <c r="U67" s="214"/>
    </row>
    <row r="68" spans="2:21" s="2" customFormat="1" ht="15" hidden="1" customHeight="1">
      <c r="B68" s="130">
        <f t="shared" si="7"/>
        <v>41</v>
      </c>
      <c r="C68" s="125"/>
      <c r="D68" s="249">
        <f>FACTORES!F80</f>
        <v>52070.05</v>
      </c>
      <c r="E68" s="249">
        <f>FACTORES!G80</f>
        <v>58166.81</v>
      </c>
      <c r="F68" s="249">
        <f t="shared" si="8"/>
        <v>65777.86</v>
      </c>
      <c r="G68" s="393">
        <f t="shared" si="9"/>
        <v>74022.569999999992</v>
      </c>
      <c r="H68" s="249">
        <f t="shared" si="3"/>
        <v>66877.86</v>
      </c>
      <c r="I68" s="249">
        <f t="shared" si="4"/>
        <v>75122.569999999992</v>
      </c>
      <c r="J68" s="249">
        <f t="shared" si="5"/>
        <v>77578.317599999995</v>
      </c>
      <c r="K68" s="249">
        <f t="shared" si="6"/>
        <v>87142.181199999992</v>
      </c>
      <c r="L68" s="85"/>
      <c r="M68" s="192"/>
      <c r="N68" s="192"/>
      <c r="O68" s="216"/>
      <c r="P68" s="85"/>
      <c r="Q68" s="85"/>
      <c r="R68" s="3"/>
      <c r="S68" s="3"/>
      <c r="T68" s="214"/>
      <c r="U68" s="214"/>
    </row>
    <row r="69" spans="2:21" s="2" customFormat="1" ht="15" hidden="1" customHeight="1">
      <c r="B69" s="130">
        <f t="shared" si="7"/>
        <v>42</v>
      </c>
      <c r="C69" s="125"/>
      <c r="D69" s="249">
        <f>FACTORES!F81</f>
        <v>54090.51</v>
      </c>
      <c r="E69" s="249">
        <f>FACTORES!G81</f>
        <v>60779.09</v>
      </c>
      <c r="F69" s="249">
        <f t="shared" si="8"/>
        <v>68244.72</v>
      </c>
      <c r="G69" s="393">
        <f t="shared" si="9"/>
        <v>77211.999999999985</v>
      </c>
      <c r="H69" s="249">
        <f t="shared" si="3"/>
        <v>69344.72</v>
      </c>
      <c r="I69" s="249">
        <f t="shared" si="4"/>
        <v>78311.999999999985</v>
      </c>
      <c r="J69" s="249">
        <f t="shared" si="5"/>
        <v>80439.875199999995</v>
      </c>
      <c r="K69" s="249">
        <f t="shared" si="6"/>
        <v>90841.919999999984</v>
      </c>
      <c r="L69" s="85"/>
      <c r="M69" s="192"/>
      <c r="N69" s="192"/>
      <c r="O69" s="216"/>
      <c r="P69" s="85"/>
      <c r="Q69" s="85"/>
      <c r="R69" s="3"/>
      <c r="S69" s="3"/>
      <c r="T69" s="214"/>
      <c r="U69" s="214"/>
    </row>
    <row r="70" spans="2:21" s="2" customFormat="1" ht="15" hidden="1" customHeight="1">
      <c r="B70" s="130">
        <f t="shared" si="7"/>
        <v>43</v>
      </c>
      <c r="C70" s="125"/>
      <c r="D70" s="249">
        <f>FACTORES!F82</f>
        <v>56250.48</v>
      </c>
      <c r="E70" s="249">
        <f>FACTORES!G82</f>
        <v>63496.57</v>
      </c>
      <c r="F70" s="249">
        <f t="shared" si="8"/>
        <v>70881.91</v>
      </c>
      <c r="G70" s="393">
        <f t="shared" si="9"/>
        <v>80529.87999999999</v>
      </c>
      <c r="H70" s="249">
        <f t="shared" si="3"/>
        <v>71981.91</v>
      </c>
      <c r="I70" s="249">
        <f t="shared" si="4"/>
        <v>81629.87999999999</v>
      </c>
      <c r="J70" s="249">
        <f t="shared" si="5"/>
        <v>83499.015599999999</v>
      </c>
      <c r="K70" s="249">
        <f t="shared" si="6"/>
        <v>94690.660799999983</v>
      </c>
      <c r="L70" s="85"/>
      <c r="M70" s="192"/>
      <c r="N70" s="192"/>
      <c r="O70" s="216"/>
      <c r="P70" s="85"/>
      <c r="Q70" s="85"/>
      <c r="R70" s="3"/>
      <c r="S70" s="3"/>
      <c r="T70" s="214"/>
      <c r="U70" s="214"/>
    </row>
    <row r="71" spans="2:21" s="2" customFormat="1" ht="15" hidden="1" customHeight="1">
      <c r="B71" s="130">
        <f t="shared" si="7"/>
        <v>44</v>
      </c>
      <c r="C71" s="125"/>
      <c r="D71" s="249">
        <f>FACTORES!F83</f>
        <v>58670.96</v>
      </c>
      <c r="E71" s="249">
        <f>FACTORES!G83</f>
        <v>66716.17</v>
      </c>
      <c r="F71" s="249">
        <f t="shared" si="8"/>
        <v>73837.17</v>
      </c>
      <c r="G71" s="393">
        <f t="shared" si="9"/>
        <v>84460.819999999992</v>
      </c>
      <c r="H71" s="249">
        <f t="shared" si="3"/>
        <v>74937.17</v>
      </c>
      <c r="I71" s="249">
        <f t="shared" si="4"/>
        <v>85560.819999999992</v>
      </c>
      <c r="J71" s="249">
        <f t="shared" si="5"/>
        <v>86927.117199999993</v>
      </c>
      <c r="K71" s="249">
        <f t="shared" si="6"/>
        <v>99250.551199999987</v>
      </c>
      <c r="L71" s="85"/>
      <c r="M71" s="192"/>
      <c r="N71" s="192"/>
      <c r="O71" s="216"/>
      <c r="P71" s="85"/>
      <c r="Q71" s="85"/>
      <c r="R71" s="3"/>
      <c r="S71" s="3"/>
      <c r="T71" s="214"/>
      <c r="U71" s="214"/>
    </row>
    <row r="72" spans="2:21" s="2" customFormat="1" ht="15" hidden="1" customHeight="1">
      <c r="B72" s="130">
        <f t="shared" si="7"/>
        <v>45</v>
      </c>
      <c r="C72" s="125"/>
      <c r="D72" s="249">
        <f>FACTORES!F84</f>
        <v>61309.08</v>
      </c>
      <c r="E72" s="249">
        <f>FACTORES!G84</f>
        <v>69104.69</v>
      </c>
      <c r="F72" s="249">
        <f t="shared" si="8"/>
        <v>77058.16</v>
      </c>
      <c r="G72" s="393">
        <f t="shared" si="9"/>
        <v>87377.059999999983</v>
      </c>
      <c r="H72" s="249">
        <f t="shared" si="3"/>
        <v>78158.16</v>
      </c>
      <c r="I72" s="249">
        <f t="shared" si="4"/>
        <v>88477.059999999983</v>
      </c>
      <c r="J72" s="249">
        <f t="shared" si="5"/>
        <v>90663.465599999996</v>
      </c>
      <c r="K72" s="249">
        <f t="shared" si="6"/>
        <v>102633.38959999998</v>
      </c>
      <c r="L72" s="85"/>
      <c r="M72" s="192"/>
      <c r="N72" s="192"/>
      <c r="O72" s="216"/>
      <c r="P72" s="85"/>
      <c r="Q72" s="85"/>
      <c r="R72" s="3"/>
      <c r="S72" s="3"/>
      <c r="T72" s="214"/>
      <c r="U72" s="214"/>
    </row>
    <row r="73" spans="2:21" s="2" customFormat="1" ht="15" hidden="1" customHeight="1">
      <c r="B73" s="130">
        <f t="shared" si="7"/>
        <v>46</v>
      </c>
      <c r="C73" s="125"/>
      <c r="D73" s="249">
        <f>FACTORES!F85</f>
        <v>64201.39</v>
      </c>
      <c r="E73" s="249">
        <f>FACTORES!G85</f>
        <v>71704.66</v>
      </c>
      <c r="F73" s="249">
        <f t="shared" si="8"/>
        <v>80589.5</v>
      </c>
      <c r="G73" s="393">
        <f t="shared" si="9"/>
        <v>90551.469999999987</v>
      </c>
      <c r="H73" s="249">
        <f t="shared" si="3"/>
        <v>81689.5</v>
      </c>
      <c r="I73" s="249">
        <f t="shared" si="4"/>
        <v>91651.469999999987</v>
      </c>
      <c r="J73" s="249">
        <f t="shared" si="5"/>
        <v>94759.819999999992</v>
      </c>
      <c r="K73" s="249">
        <f t="shared" si="6"/>
        <v>106315.70519999998</v>
      </c>
      <c r="L73" s="85"/>
      <c r="M73" s="192"/>
      <c r="N73" s="192"/>
      <c r="O73" s="216"/>
      <c r="P73" s="85"/>
      <c r="Q73" s="85"/>
      <c r="R73" s="3"/>
      <c r="S73" s="3"/>
      <c r="T73" s="214"/>
      <c r="U73" s="214"/>
    </row>
    <row r="74" spans="2:21" s="2" customFormat="1" ht="15" hidden="1" customHeight="1">
      <c r="B74" s="130">
        <f t="shared" si="7"/>
        <v>47</v>
      </c>
      <c r="C74" s="125"/>
      <c r="D74" s="249">
        <f>FACTORES!F86</f>
        <v>67377.16</v>
      </c>
      <c r="E74" s="249">
        <f>FACTORES!G86</f>
        <v>75360.039999999994</v>
      </c>
      <c r="F74" s="249">
        <f t="shared" si="8"/>
        <v>84466.92</v>
      </c>
      <c r="G74" s="393">
        <f t="shared" si="9"/>
        <v>95014.469999999987</v>
      </c>
      <c r="H74" s="249">
        <f t="shared" si="3"/>
        <v>85566.92</v>
      </c>
      <c r="I74" s="249">
        <f t="shared" si="4"/>
        <v>96114.469999999987</v>
      </c>
      <c r="J74" s="249">
        <f t="shared" si="5"/>
        <v>99257.627199999988</v>
      </c>
      <c r="K74" s="249">
        <f t="shared" si="6"/>
        <v>111492.78519999998</v>
      </c>
      <c r="L74" s="85"/>
      <c r="M74" s="192"/>
      <c r="N74" s="192"/>
      <c r="O74" s="216"/>
      <c r="P74" s="85"/>
      <c r="Q74" s="85"/>
      <c r="R74" s="3"/>
      <c r="S74" s="3"/>
      <c r="T74" s="214"/>
      <c r="U74" s="214"/>
    </row>
    <row r="75" spans="2:21" s="2" customFormat="1" ht="15" hidden="1" customHeight="1">
      <c r="B75" s="130">
        <f t="shared" si="7"/>
        <v>48</v>
      </c>
      <c r="C75" s="125"/>
      <c r="D75" s="249">
        <f>FACTORES!F87</f>
        <v>70830.259999999995</v>
      </c>
      <c r="E75" s="249">
        <f>FACTORES!G87</f>
        <v>78388.94</v>
      </c>
      <c r="F75" s="249">
        <f t="shared" si="8"/>
        <v>88682.95</v>
      </c>
      <c r="G75" s="393">
        <f t="shared" si="9"/>
        <v>98712.569999999992</v>
      </c>
      <c r="H75" s="249">
        <f t="shared" si="3"/>
        <v>89782.95</v>
      </c>
      <c r="I75" s="249">
        <f t="shared" si="4"/>
        <v>99812.569999999992</v>
      </c>
      <c r="J75" s="249">
        <f t="shared" si="5"/>
        <v>104148.22199999999</v>
      </c>
      <c r="K75" s="249">
        <f t="shared" si="6"/>
        <v>115782.58119999999</v>
      </c>
      <c r="L75" s="85"/>
      <c r="M75" s="192"/>
      <c r="N75" s="192"/>
      <c r="O75" s="216"/>
      <c r="P75" s="85"/>
      <c r="Q75" s="85"/>
      <c r="R75" s="3"/>
      <c r="S75" s="3"/>
      <c r="T75" s="214"/>
      <c r="U75" s="214"/>
    </row>
    <row r="76" spans="2:21" s="2" customFormat="1" ht="15" hidden="1" customHeight="1">
      <c r="B76" s="130">
        <f t="shared" si="7"/>
        <v>49</v>
      </c>
      <c r="C76" s="125"/>
      <c r="D76" s="249">
        <f>FACTORES!F88</f>
        <v>74616.77</v>
      </c>
      <c r="E76" s="249">
        <f>FACTORES!G88</f>
        <v>81655.72</v>
      </c>
      <c r="F76" s="249">
        <f t="shared" si="8"/>
        <v>93306.05</v>
      </c>
      <c r="G76" s="393">
        <f t="shared" si="9"/>
        <v>102701.10999999999</v>
      </c>
      <c r="H76" s="249">
        <f t="shared" si="3"/>
        <v>94406.05</v>
      </c>
      <c r="I76" s="249">
        <f t="shared" si="4"/>
        <v>103801.10999999999</v>
      </c>
      <c r="J76" s="249">
        <f t="shared" si="5"/>
        <v>109511.018</v>
      </c>
      <c r="K76" s="249">
        <f t="shared" si="6"/>
        <v>120409.28759999998</v>
      </c>
      <c r="L76" s="85"/>
      <c r="M76" s="192"/>
      <c r="N76" s="192"/>
      <c r="O76" s="216"/>
      <c r="P76" s="85"/>
      <c r="Q76" s="85"/>
      <c r="R76" s="3"/>
      <c r="S76" s="3"/>
      <c r="T76" s="214"/>
      <c r="U76" s="214"/>
    </row>
    <row r="77" spans="2:21" s="2" customFormat="1" ht="15" hidden="1" customHeight="1">
      <c r="B77" s="130">
        <f t="shared" si="7"/>
        <v>50</v>
      </c>
      <c r="C77" s="125"/>
      <c r="D77" s="249">
        <f>FACTORES!F89</f>
        <v>78779.210000000006</v>
      </c>
      <c r="E77" s="249">
        <f>FACTORES!G89</f>
        <v>85121.64</v>
      </c>
      <c r="F77" s="249">
        <f t="shared" ref="F77:F112" si="10">ROUND(D77*$G$5*$G$6*$G$8,2)+ADIC+DENTAL+ENFGVES+IKE+CVISION+DEDXACC</f>
        <v>98388.14</v>
      </c>
      <c r="G77" s="393">
        <f t="shared" si="9"/>
        <v>106932.79999999999</v>
      </c>
      <c r="H77" s="249">
        <f t="shared" si="3"/>
        <v>99488.14</v>
      </c>
      <c r="I77" s="249">
        <f t="shared" si="4"/>
        <v>108032.79999999999</v>
      </c>
      <c r="J77" s="249">
        <f t="shared" si="5"/>
        <v>115406.24239999999</v>
      </c>
      <c r="K77" s="249">
        <f t="shared" si="6"/>
        <v>125318.04799999998</v>
      </c>
      <c r="L77" s="85"/>
      <c r="M77" s="192"/>
      <c r="N77" s="192"/>
      <c r="O77" s="216"/>
      <c r="P77" s="85"/>
      <c r="Q77" s="85"/>
      <c r="R77" s="3"/>
      <c r="S77" s="3"/>
      <c r="T77" s="214"/>
      <c r="U77" s="214"/>
    </row>
    <row r="78" spans="2:21" s="2" customFormat="1" ht="15" hidden="1" customHeight="1">
      <c r="B78" s="130">
        <f t="shared" si="7"/>
        <v>51</v>
      </c>
      <c r="C78" s="125"/>
      <c r="D78" s="249">
        <f>FACTORES!F90</f>
        <v>83273.960000000006</v>
      </c>
      <c r="E78" s="249">
        <f>FACTORES!G90</f>
        <v>88833.59</v>
      </c>
      <c r="F78" s="249">
        <f t="shared" si="10"/>
        <v>103875.95999999999</v>
      </c>
      <c r="G78" s="393">
        <f t="shared" si="9"/>
        <v>111464.85999999999</v>
      </c>
      <c r="H78" s="249">
        <f t="shared" si="3"/>
        <v>104975.95999999999</v>
      </c>
      <c r="I78" s="249">
        <f t="shared" si="4"/>
        <v>112564.85999999999</v>
      </c>
      <c r="J78" s="249">
        <f t="shared" si="5"/>
        <v>121772.11359999998</v>
      </c>
      <c r="K78" s="249">
        <f t="shared" si="6"/>
        <v>130575.23759999998</v>
      </c>
      <c r="L78" s="85"/>
      <c r="M78" s="192"/>
      <c r="N78" s="192"/>
      <c r="O78" s="216"/>
      <c r="P78" s="85"/>
      <c r="Q78" s="85"/>
      <c r="R78" s="3"/>
      <c r="S78" s="3"/>
      <c r="T78" s="214"/>
      <c r="U78" s="214"/>
    </row>
    <row r="79" spans="2:21" s="2" customFormat="1" ht="15" hidden="1" customHeight="1">
      <c r="B79" s="130">
        <f t="shared" si="7"/>
        <v>52</v>
      </c>
      <c r="C79" s="125"/>
      <c r="D79" s="249">
        <f>FACTORES!F91</f>
        <v>88185.05</v>
      </c>
      <c r="E79" s="249">
        <f>FACTORES!G91</f>
        <v>92823.17</v>
      </c>
      <c r="F79" s="249">
        <f t="shared" si="10"/>
        <v>109872.09999999999</v>
      </c>
      <c r="G79" s="393">
        <f t="shared" si="9"/>
        <v>116335.9</v>
      </c>
      <c r="H79" s="249">
        <f t="shared" si="3"/>
        <v>110972.09999999999</v>
      </c>
      <c r="I79" s="249">
        <f t="shared" si="4"/>
        <v>117435.9</v>
      </c>
      <c r="J79" s="249">
        <f t="shared" si="5"/>
        <v>128727.63599999998</v>
      </c>
      <c r="K79" s="249">
        <f t="shared" si="6"/>
        <v>136225.64399999997</v>
      </c>
      <c r="L79" s="85"/>
      <c r="M79" s="192"/>
      <c r="N79" s="192"/>
      <c r="O79" s="216"/>
      <c r="P79" s="85"/>
      <c r="Q79" s="85"/>
      <c r="R79" s="3"/>
      <c r="S79" s="3"/>
      <c r="T79" s="214"/>
      <c r="U79" s="214"/>
    </row>
    <row r="80" spans="2:21" s="2" customFormat="1" ht="15" hidden="1" customHeight="1">
      <c r="B80" s="130">
        <f t="shared" si="7"/>
        <v>53</v>
      </c>
      <c r="C80" s="125"/>
      <c r="D80" s="249">
        <f>FACTORES!F92</f>
        <v>93477.02</v>
      </c>
      <c r="E80" s="249">
        <f>FACTORES!G92</f>
        <v>97108.44</v>
      </c>
      <c r="F80" s="249">
        <f t="shared" si="10"/>
        <v>116333.28</v>
      </c>
      <c r="G80" s="393">
        <f t="shared" si="9"/>
        <v>121567.95999999999</v>
      </c>
      <c r="H80" s="249">
        <f t="shared" si="3"/>
        <v>117433.28</v>
      </c>
      <c r="I80" s="249">
        <f t="shared" si="4"/>
        <v>122667.95999999999</v>
      </c>
      <c r="J80" s="249">
        <f t="shared" si="5"/>
        <v>136222.6048</v>
      </c>
      <c r="K80" s="249">
        <f t="shared" si="6"/>
        <v>142294.83359999998</v>
      </c>
      <c r="L80" s="85"/>
      <c r="M80" s="192"/>
      <c r="N80" s="192"/>
      <c r="O80" s="216"/>
      <c r="P80" s="85"/>
      <c r="Q80" s="85"/>
      <c r="R80" s="3"/>
      <c r="S80" s="3"/>
      <c r="T80" s="214"/>
      <c r="U80" s="214"/>
    </row>
    <row r="81" spans="2:21" s="2" customFormat="1" ht="15" hidden="1" customHeight="1">
      <c r="B81" s="130">
        <f t="shared" si="7"/>
        <v>54</v>
      </c>
      <c r="C81" s="125"/>
      <c r="D81" s="249">
        <f>FACTORES!F93</f>
        <v>99219.48</v>
      </c>
      <c r="E81" s="249">
        <f>FACTORES!G93</f>
        <v>101675.21</v>
      </c>
      <c r="F81" s="249">
        <f t="shared" si="10"/>
        <v>123344.48</v>
      </c>
      <c r="G81" s="393">
        <f t="shared" si="9"/>
        <v>127143.70999999999</v>
      </c>
      <c r="H81" s="249">
        <f t="shared" si="3"/>
        <v>124444.48</v>
      </c>
      <c r="I81" s="249">
        <f t="shared" si="4"/>
        <v>128243.70999999999</v>
      </c>
      <c r="J81" s="249">
        <f t="shared" si="5"/>
        <v>144355.5968</v>
      </c>
      <c r="K81" s="249">
        <f t="shared" si="6"/>
        <v>148762.70359999998</v>
      </c>
      <c r="L81" s="85"/>
      <c r="M81" s="192"/>
      <c r="N81" s="192"/>
      <c r="O81" s="216"/>
      <c r="P81" s="85"/>
      <c r="Q81" s="85"/>
      <c r="R81" s="3"/>
      <c r="S81" s="3"/>
      <c r="T81" s="214"/>
      <c r="U81" s="214"/>
    </row>
    <row r="82" spans="2:21" s="2" customFormat="1" ht="15" hidden="1" customHeight="1">
      <c r="B82" s="130">
        <f t="shared" si="7"/>
        <v>55</v>
      </c>
      <c r="C82" s="125"/>
      <c r="D82" s="249">
        <f>FACTORES!F94</f>
        <v>105397.57</v>
      </c>
      <c r="E82" s="249">
        <f>FACTORES!G94</f>
        <v>107175.71</v>
      </c>
      <c r="F82" s="249">
        <f t="shared" si="10"/>
        <v>130887.56</v>
      </c>
      <c r="G82" s="249">
        <f t="shared" ref="G82:G112" si="11">ROUND(E82*$G$5*$G$6*$G$8,2)+ADIC+DENTAL+ENFGVES+IKE+CVISION+DEDXACC</f>
        <v>133058.56</v>
      </c>
      <c r="H82" s="249">
        <f t="shared" si="3"/>
        <v>131987.56</v>
      </c>
      <c r="I82" s="249">
        <f t="shared" si="4"/>
        <v>134158.56</v>
      </c>
      <c r="J82" s="249">
        <f t="shared" si="5"/>
        <v>153105.56959999999</v>
      </c>
      <c r="K82" s="249">
        <f t="shared" si="6"/>
        <v>155623.92959999997</v>
      </c>
      <c r="L82" s="85"/>
      <c r="M82" s="192"/>
      <c r="N82" s="192"/>
      <c r="O82" s="216"/>
      <c r="P82" s="85"/>
      <c r="Q82" s="85"/>
      <c r="R82" s="3"/>
      <c r="S82" s="3"/>
      <c r="T82" s="214"/>
      <c r="U82" s="214"/>
    </row>
    <row r="83" spans="2:21" s="2" customFormat="1" ht="15" hidden="1" customHeight="1">
      <c r="B83" s="130">
        <f t="shared" si="7"/>
        <v>56</v>
      </c>
      <c r="C83" s="125"/>
      <c r="D83" s="249">
        <f>FACTORES!F95</f>
        <v>112067.29</v>
      </c>
      <c r="E83" s="249">
        <f>FACTORES!G95</f>
        <v>114423.55</v>
      </c>
      <c r="F83" s="249">
        <f t="shared" si="10"/>
        <v>139030.89000000001</v>
      </c>
      <c r="G83" s="249">
        <f t="shared" si="11"/>
        <v>141907.74000000002</v>
      </c>
      <c r="H83" s="249">
        <f t="shared" si="3"/>
        <v>140130.89000000001</v>
      </c>
      <c r="I83" s="249">
        <f t="shared" si="4"/>
        <v>143007.74000000002</v>
      </c>
      <c r="J83" s="249">
        <f t="shared" si="5"/>
        <v>162551.83240000001</v>
      </c>
      <c r="K83" s="249">
        <f t="shared" si="6"/>
        <v>165888.97840000002</v>
      </c>
      <c r="L83" s="85"/>
      <c r="M83" s="192"/>
      <c r="N83" s="192"/>
      <c r="O83" s="216"/>
      <c r="P83" s="85"/>
      <c r="Q83" s="85"/>
      <c r="R83" s="3"/>
      <c r="S83" s="3"/>
      <c r="T83" s="214"/>
      <c r="U83" s="214"/>
    </row>
    <row r="84" spans="2:21" s="2" customFormat="1" ht="15" hidden="1" customHeight="1">
      <c r="B84" s="130">
        <f t="shared" si="7"/>
        <v>57</v>
      </c>
      <c r="C84" s="125"/>
      <c r="D84" s="249">
        <f>FACTORES!F96</f>
        <v>119278.8</v>
      </c>
      <c r="E84" s="249">
        <f>FACTORES!G96</f>
        <v>118778.58</v>
      </c>
      <c r="F84" s="249">
        <f t="shared" si="10"/>
        <v>147835.71000000002</v>
      </c>
      <c r="G84" s="249">
        <f t="shared" si="11"/>
        <v>147224.97</v>
      </c>
      <c r="H84" s="249">
        <f t="shared" si="3"/>
        <v>148935.71000000002</v>
      </c>
      <c r="I84" s="249">
        <f t="shared" si="4"/>
        <v>148324.97</v>
      </c>
      <c r="J84" s="249">
        <f t="shared" si="5"/>
        <v>172765.42360000001</v>
      </c>
      <c r="K84" s="249">
        <f t="shared" si="6"/>
        <v>172056.96519999998</v>
      </c>
      <c r="L84" s="85"/>
      <c r="M84" s="192"/>
      <c r="N84" s="192"/>
      <c r="O84" s="216"/>
      <c r="P84" s="85"/>
      <c r="Q84" s="85"/>
      <c r="R84" s="3"/>
      <c r="S84" s="3"/>
      <c r="T84" s="214"/>
      <c r="U84" s="214"/>
    </row>
    <row r="85" spans="2:21" s="2" customFormat="1" ht="15" hidden="1" customHeight="1">
      <c r="B85" s="130">
        <f t="shared" si="7"/>
        <v>58</v>
      </c>
      <c r="C85" s="125"/>
      <c r="D85" s="249">
        <f>FACTORES!F97</f>
        <v>124400.97</v>
      </c>
      <c r="E85" s="249">
        <f>FACTORES!G97</f>
        <v>123521.91</v>
      </c>
      <c r="F85" s="249">
        <f t="shared" si="10"/>
        <v>154089.57</v>
      </c>
      <c r="G85" s="249">
        <f t="shared" si="11"/>
        <v>153016.29</v>
      </c>
      <c r="H85" s="249">
        <f t="shared" si="3"/>
        <v>155189.57</v>
      </c>
      <c r="I85" s="249">
        <f t="shared" si="4"/>
        <v>154116.29</v>
      </c>
      <c r="J85" s="249">
        <f t="shared" si="5"/>
        <v>180019.90119999999</v>
      </c>
      <c r="K85" s="249">
        <f t="shared" si="6"/>
        <v>178774.8964</v>
      </c>
      <c r="L85" s="85"/>
      <c r="M85" s="192"/>
      <c r="N85" s="192"/>
      <c r="O85" s="216"/>
      <c r="P85" s="85"/>
      <c r="Q85" s="85"/>
      <c r="R85" s="3"/>
      <c r="S85" s="3"/>
      <c r="T85" s="214"/>
      <c r="U85" s="214"/>
    </row>
    <row r="86" spans="2:21" s="2" customFormat="1" ht="15" hidden="1" customHeight="1">
      <c r="B86" s="130">
        <f t="shared" si="7"/>
        <v>59</v>
      </c>
      <c r="C86" s="125"/>
      <c r="D86" s="249">
        <f>FACTORES!F98</f>
        <v>132479.29999999999</v>
      </c>
      <c r="E86" s="249">
        <f>FACTORES!G98</f>
        <v>125542.95</v>
      </c>
      <c r="F86" s="249">
        <f t="shared" si="10"/>
        <v>163952.73000000001</v>
      </c>
      <c r="G86" s="249">
        <f t="shared" si="11"/>
        <v>155483.86000000002</v>
      </c>
      <c r="H86" s="249">
        <f t="shared" si="3"/>
        <v>165052.73000000001</v>
      </c>
      <c r="I86" s="249">
        <f t="shared" si="4"/>
        <v>156583.86000000002</v>
      </c>
      <c r="J86" s="249">
        <f t="shared" si="5"/>
        <v>191461.16680000001</v>
      </c>
      <c r="K86" s="249">
        <f t="shared" si="6"/>
        <v>181637.2776</v>
      </c>
      <c r="L86" s="85"/>
      <c r="M86" s="192"/>
      <c r="N86" s="192"/>
      <c r="O86" s="216"/>
      <c r="P86" s="85"/>
      <c r="Q86" s="85"/>
      <c r="R86" s="3"/>
      <c r="S86" s="3"/>
      <c r="T86" s="214"/>
      <c r="U86" s="214"/>
    </row>
    <row r="87" spans="2:21" s="2" customFormat="1" ht="15" hidden="1" customHeight="1">
      <c r="B87" s="130">
        <f t="shared" si="7"/>
        <v>60</v>
      </c>
      <c r="C87" s="125"/>
      <c r="D87" s="249">
        <f>FACTORES!F99</f>
        <v>213248.64000000001</v>
      </c>
      <c r="E87" s="249">
        <f>FACTORES!G99</f>
        <v>206273.26</v>
      </c>
      <c r="F87" s="249">
        <f t="shared" si="10"/>
        <v>262567.24</v>
      </c>
      <c r="G87" s="249">
        <f t="shared" si="11"/>
        <v>254050.72</v>
      </c>
      <c r="H87" s="249">
        <f t="shared" si="3"/>
        <v>263667.24</v>
      </c>
      <c r="I87" s="249">
        <f t="shared" si="4"/>
        <v>255150.72</v>
      </c>
      <c r="J87" s="249">
        <f t="shared" si="5"/>
        <v>305853.99839999998</v>
      </c>
      <c r="K87" s="249">
        <f t="shared" si="6"/>
        <v>295974.83519999997</v>
      </c>
      <c r="L87" s="85"/>
      <c r="M87" s="192"/>
      <c r="N87" s="192"/>
      <c r="O87" s="216"/>
      <c r="P87" s="85"/>
      <c r="Q87" s="85"/>
      <c r="R87" s="3"/>
      <c r="S87" s="3"/>
      <c r="T87" s="214"/>
      <c r="U87" s="214"/>
    </row>
    <row r="88" spans="2:21" s="2" customFormat="1" ht="15" hidden="1" customHeight="1">
      <c r="B88" s="130">
        <f t="shared" si="7"/>
        <v>61</v>
      </c>
      <c r="C88" s="125"/>
      <c r="D88" s="249">
        <f>FACTORES!F100</f>
        <v>224762.48</v>
      </c>
      <c r="E88" s="249">
        <f>FACTORES!G100</f>
        <v>215002.98</v>
      </c>
      <c r="F88" s="249">
        <f t="shared" si="10"/>
        <v>276624.94999999995</v>
      </c>
      <c r="G88" s="249">
        <f t="shared" si="11"/>
        <v>264709.18999999994</v>
      </c>
      <c r="H88" s="249">
        <f t="shared" si="3"/>
        <v>277724.94999999995</v>
      </c>
      <c r="I88" s="249">
        <f t="shared" si="4"/>
        <v>265809.18999999994</v>
      </c>
      <c r="J88" s="249">
        <f t="shared" si="5"/>
        <v>322160.94199999992</v>
      </c>
      <c r="K88" s="249">
        <f t="shared" si="6"/>
        <v>308338.66039999994</v>
      </c>
      <c r="L88" s="85"/>
      <c r="M88" s="192"/>
      <c r="N88" s="192"/>
      <c r="O88" s="216"/>
      <c r="P88" s="85"/>
      <c r="Q88" s="85"/>
      <c r="R88" s="3"/>
      <c r="S88" s="3"/>
      <c r="T88" s="214"/>
      <c r="U88" s="214"/>
    </row>
    <row r="89" spans="2:21" s="2" customFormat="1" ht="15" hidden="1" customHeight="1">
      <c r="B89" s="130">
        <f t="shared" si="7"/>
        <v>62</v>
      </c>
      <c r="C89" s="125"/>
      <c r="D89" s="249">
        <f>FACTORES!F101</f>
        <v>236892.82</v>
      </c>
      <c r="E89" s="249">
        <f>FACTORES!G101</f>
        <v>224200.61</v>
      </c>
      <c r="F89" s="249">
        <f t="shared" si="10"/>
        <v>291435.36999999994</v>
      </c>
      <c r="G89" s="249">
        <f t="shared" si="11"/>
        <v>275938.93999999994</v>
      </c>
      <c r="H89" s="249">
        <f t="shared" si="3"/>
        <v>292535.36999999994</v>
      </c>
      <c r="I89" s="249">
        <f t="shared" si="4"/>
        <v>277038.93999999994</v>
      </c>
      <c r="J89" s="249">
        <f t="shared" si="5"/>
        <v>339341.02919999993</v>
      </c>
      <c r="K89" s="249">
        <f t="shared" si="6"/>
        <v>321365.17039999989</v>
      </c>
      <c r="L89" s="85"/>
      <c r="M89" s="192"/>
      <c r="N89" s="192"/>
      <c r="O89" s="216"/>
      <c r="P89" s="85"/>
      <c r="Q89" s="85"/>
      <c r="R89" s="3"/>
      <c r="S89" s="3"/>
      <c r="T89" s="214"/>
      <c r="U89" s="214"/>
    </row>
    <row r="90" spans="2:21" s="2" customFormat="1" ht="15" hidden="1" customHeight="1">
      <c r="B90" s="130">
        <f t="shared" si="7"/>
        <v>63</v>
      </c>
      <c r="C90" s="125"/>
      <c r="D90" s="249">
        <f>FACTORES!F102</f>
        <v>249509.75</v>
      </c>
      <c r="E90" s="249">
        <f>FACTORES!G102</f>
        <v>233785.25</v>
      </c>
      <c r="F90" s="249">
        <f t="shared" si="10"/>
        <v>306839.87999999995</v>
      </c>
      <c r="G90" s="249">
        <f t="shared" si="11"/>
        <v>287641.20999999996</v>
      </c>
      <c r="H90" s="249">
        <f t="shared" si="3"/>
        <v>307939.87999999995</v>
      </c>
      <c r="I90" s="249">
        <f t="shared" si="4"/>
        <v>288741.20999999996</v>
      </c>
      <c r="J90" s="249">
        <f t="shared" si="5"/>
        <v>357210.26079999993</v>
      </c>
      <c r="K90" s="249">
        <f t="shared" si="6"/>
        <v>334939.80359999993</v>
      </c>
      <c r="L90" s="85"/>
      <c r="M90" s="192"/>
      <c r="N90" s="192"/>
      <c r="O90" s="216"/>
      <c r="P90" s="85"/>
      <c r="Q90" s="85"/>
      <c r="R90" s="3"/>
      <c r="S90" s="3"/>
      <c r="T90" s="214"/>
      <c r="U90" s="214"/>
    </row>
    <row r="91" spans="2:21" s="2" customFormat="1" ht="15" hidden="1" customHeight="1">
      <c r="B91" s="130">
        <f t="shared" si="7"/>
        <v>64</v>
      </c>
      <c r="C91" s="125"/>
      <c r="D91" s="249">
        <f>FACTORES!F103</f>
        <v>262831.18</v>
      </c>
      <c r="E91" s="249">
        <f>FACTORES!G103</f>
        <v>244019.77</v>
      </c>
      <c r="F91" s="249">
        <f t="shared" si="10"/>
        <v>323104.54999999993</v>
      </c>
      <c r="G91" s="249">
        <f t="shared" si="11"/>
        <v>300136.94999999995</v>
      </c>
      <c r="H91" s="249">
        <f t="shared" si="3"/>
        <v>324204.54999999993</v>
      </c>
      <c r="I91" s="249">
        <f t="shared" si="4"/>
        <v>301236.94999999995</v>
      </c>
      <c r="J91" s="249">
        <f t="shared" si="5"/>
        <v>376077.27799999987</v>
      </c>
      <c r="K91" s="249">
        <f t="shared" si="6"/>
        <v>349434.86199999991</v>
      </c>
      <c r="L91" s="85"/>
      <c r="M91" s="192"/>
      <c r="N91" s="192"/>
      <c r="O91" s="216"/>
      <c r="P91" s="85"/>
      <c r="Q91" s="85"/>
      <c r="R91" s="3"/>
      <c r="S91" s="3"/>
      <c r="T91" s="214"/>
      <c r="U91" s="214"/>
    </row>
    <row r="92" spans="2:21" s="2" customFormat="1" ht="15" hidden="1" customHeight="1">
      <c r="B92" s="130">
        <f t="shared" si="7"/>
        <v>65</v>
      </c>
      <c r="C92" s="125"/>
      <c r="D92" s="249">
        <f>FACTORES!F104</f>
        <v>276416.05</v>
      </c>
      <c r="E92" s="249">
        <f>FACTORES!G104</f>
        <v>254359.73</v>
      </c>
      <c r="F92" s="249">
        <f t="shared" si="10"/>
        <v>339690.85999999993</v>
      </c>
      <c r="G92" s="249">
        <f t="shared" si="11"/>
        <v>312761.41999999993</v>
      </c>
      <c r="H92" s="249">
        <f t="shared" ref="H92:H110" si="12">(F92*(1+$I$24))+$I$25</f>
        <v>340790.85999999993</v>
      </c>
      <c r="I92" s="249">
        <f t="shared" ref="I92:I110" si="13">(G92*(1+$I$24))+$I$25</f>
        <v>313861.41999999993</v>
      </c>
      <c r="J92" s="249">
        <f t="shared" ref="J92:J110" si="14">H92*(1+$K$25)</f>
        <v>395317.39759999991</v>
      </c>
      <c r="K92" s="249">
        <f t="shared" ref="K92:K110" si="15">I92*(1+$K$25)</f>
        <v>364079.24719999987</v>
      </c>
      <c r="L92" s="85"/>
      <c r="M92" s="192"/>
      <c r="N92" s="192"/>
      <c r="O92" s="216"/>
      <c r="P92" s="85"/>
      <c r="Q92" s="85"/>
      <c r="R92" s="3"/>
      <c r="S92" s="3"/>
      <c r="T92" s="214"/>
      <c r="U92" s="214"/>
    </row>
    <row r="93" spans="2:21" s="2" customFormat="1" ht="15" hidden="1" customHeight="1">
      <c r="B93" s="130">
        <f t="shared" ref="B93:B127" si="16">+B92+1</f>
        <v>66</v>
      </c>
      <c r="C93" s="125"/>
      <c r="D93" s="249">
        <f>FACTORES!F105</f>
        <v>290938.09999999998</v>
      </c>
      <c r="E93" s="249">
        <f>FACTORES!G105</f>
        <v>265734.17</v>
      </c>
      <c r="F93" s="249">
        <f t="shared" si="10"/>
        <v>357421.41</v>
      </c>
      <c r="G93" s="249">
        <f t="shared" si="11"/>
        <v>326648.92999999993</v>
      </c>
      <c r="H93" s="249">
        <f t="shared" si="12"/>
        <v>358521.41</v>
      </c>
      <c r="I93" s="249">
        <f t="shared" si="13"/>
        <v>327748.92999999993</v>
      </c>
      <c r="J93" s="249">
        <f t="shared" si="14"/>
        <v>415884.83559999993</v>
      </c>
      <c r="K93" s="249">
        <f t="shared" si="15"/>
        <v>380188.75879999989</v>
      </c>
      <c r="L93" s="85"/>
      <c r="M93" s="192"/>
      <c r="N93" s="192"/>
      <c r="O93" s="216"/>
      <c r="P93" s="85"/>
      <c r="Q93" s="85"/>
      <c r="R93" s="3"/>
      <c r="S93" s="3"/>
      <c r="T93" s="214"/>
      <c r="U93" s="214"/>
    </row>
    <row r="94" spans="2:21" s="2" customFormat="1" ht="15" hidden="1" customHeight="1">
      <c r="B94" s="130">
        <f t="shared" si="16"/>
        <v>67</v>
      </c>
      <c r="C94" s="125"/>
      <c r="D94" s="249">
        <f>FACTORES!F106</f>
        <v>306095.33</v>
      </c>
      <c r="E94" s="249">
        <f>FACTORES!G106</f>
        <v>276650.69</v>
      </c>
      <c r="F94" s="249">
        <f t="shared" si="10"/>
        <v>375927.48</v>
      </c>
      <c r="G94" s="249">
        <f t="shared" si="11"/>
        <v>339977.33999999997</v>
      </c>
      <c r="H94" s="249">
        <f t="shared" si="12"/>
        <v>377027.48</v>
      </c>
      <c r="I94" s="249">
        <f t="shared" si="13"/>
        <v>341077.33999999997</v>
      </c>
      <c r="J94" s="249">
        <f t="shared" si="14"/>
        <v>437351.87679999997</v>
      </c>
      <c r="K94" s="249">
        <f t="shared" si="15"/>
        <v>395649.71439999994</v>
      </c>
      <c r="L94" s="85"/>
      <c r="M94" s="192"/>
      <c r="N94" s="192"/>
      <c r="O94" s="216"/>
      <c r="P94" s="85"/>
      <c r="Q94" s="85"/>
      <c r="R94" s="3"/>
      <c r="S94" s="3"/>
      <c r="T94" s="214"/>
      <c r="U94" s="214"/>
    </row>
    <row r="95" spans="2:21" s="2" customFormat="1" ht="15" hidden="1" customHeight="1">
      <c r="B95" s="130">
        <f t="shared" si="16"/>
        <v>68</v>
      </c>
      <c r="C95" s="125"/>
      <c r="D95" s="249">
        <f>FACTORES!F107</f>
        <v>321663.78999999998</v>
      </c>
      <c r="E95" s="249">
        <f>FACTORES!G107</f>
        <v>288653.43</v>
      </c>
      <c r="F95" s="249">
        <f t="shared" si="10"/>
        <v>394935.63999999996</v>
      </c>
      <c r="G95" s="249">
        <f t="shared" si="11"/>
        <v>354631.97</v>
      </c>
      <c r="H95" s="249">
        <f t="shared" si="12"/>
        <v>396035.63999999996</v>
      </c>
      <c r="I95" s="249">
        <f t="shared" si="13"/>
        <v>355731.97</v>
      </c>
      <c r="J95" s="249">
        <f t="shared" si="14"/>
        <v>459401.34239999991</v>
      </c>
      <c r="K95" s="249">
        <f t="shared" si="15"/>
        <v>412649.08519999991</v>
      </c>
      <c r="L95" s="85"/>
      <c r="M95" s="192"/>
      <c r="N95" s="192"/>
      <c r="O95" s="216"/>
      <c r="P95" s="85"/>
      <c r="Q95" s="85"/>
      <c r="R95" s="3"/>
      <c r="S95" s="3"/>
      <c r="T95" s="214"/>
      <c r="U95" s="214"/>
    </row>
    <row r="96" spans="2:21" s="2" customFormat="1" ht="15" hidden="1" customHeight="1">
      <c r="B96" s="130">
        <f t="shared" si="16"/>
        <v>69</v>
      </c>
      <c r="C96" s="125"/>
      <c r="D96" s="249">
        <f>FACTORES!F108</f>
        <v>338061.34</v>
      </c>
      <c r="E96" s="249">
        <f>FACTORES!G108</f>
        <v>301548.71999999997</v>
      </c>
      <c r="F96" s="249">
        <f t="shared" si="10"/>
        <v>414956.05999999994</v>
      </c>
      <c r="G96" s="249">
        <f t="shared" si="11"/>
        <v>370376.33999999997</v>
      </c>
      <c r="H96" s="249">
        <f t="shared" si="12"/>
        <v>416056.05999999994</v>
      </c>
      <c r="I96" s="249">
        <f t="shared" si="13"/>
        <v>371476.33999999997</v>
      </c>
      <c r="J96" s="249">
        <f t="shared" si="14"/>
        <v>482625.02959999989</v>
      </c>
      <c r="K96" s="249">
        <f t="shared" si="15"/>
        <v>430912.55439999991</v>
      </c>
      <c r="L96" s="85"/>
      <c r="M96" s="192"/>
      <c r="N96" s="192"/>
      <c r="O96" s="216"/>
      <c r="P96" s="85"/>
      <c r="Q96" s="85"/>
      <c r="R96" s="3"/>
      <c r="S96" s="3"/>
      <c r="T96" s="214"/>
      <c r="U96" s="214"/>
    </row>
    <row r="97" spans="2:21" s="2" customFormat="1" ht="15" hidden="1" customHeight="1">
      <c r="B97" s="130">
        <f t="shared" si="16"/>
        <v>70</v>
      </c>
      <c r="C97" s="125"/>
      <c r="D97" s="249">
        <f>FACTORES!F109</f>
        <v>354904.54</v>
      </c>
      <c r="E97" s="249">
        <f>FACTORES!G109</f>
        <v>314178.17</v>
      </c>
      <c r="F97" s="249">
        <f t="shared" si="10"/>
        <v>435520.6</v>
      </c>
      <c r="G97" s="249">
        <f t="shared" si="11"/>
        <v>385796.13999999996</v>
      </c>
      <c r="H97" s="249">
        <f t="shared" si="12"/>
        <v>436620.6</v>
      </c>
      <c r="I97" s="249">
        <f t="shared" si="13"/>
        <v>386896.13999999996</v>
      </c>
      <c r="J97" s="249">
        <f t="shared" si="14"/>
        <v>506479.89599999995</v>
      </c>
      <c r="K97" s="249">
        <f t="shared" si="15"/>
        <v>448799.5223999999</v>
      </c>
      <c r="L97" s="85"/>
      <c r="M97" s="192"/>
      <c r="N97" s="192"/>
      <c r="O97" s="216"/>
      <c r="P97" s="85"/>
      <c r="Q97" s="85"/>
      <c r="R97" s="3"/>
      <c r="S97" s="3"/>
      <c r="T97" s="214"/>
      <c r="U97" s="214"/>
    </row>
    <row r="98" spans="2:21" s="2" customFormat="1" ht="15" hidden="1" customHeight="1">
      <c r="B98" s="130">
        <f t="shared" si="16"/>
        <v>71</v>
      </c>
      <c r="C98" s="125"/>
      <c r="D98" s="249">
        <f>FACTORES!F110</f>
        <v>372049.38</v>
      </c>
      <c r="E98" s="249">
        <f>FACTORES!G110</f>
        <v>327412.74</v>
      </c>
      <c r="F98" s="249">
        <f t="shared" si="10"/>
        <v>456453.41999999993</v>
      </c>
      <c r="G98" s="249">
        <f t="shared" si="11"/>
        <v>401954.75999999995</v>
      </c>
      <c r="H98" s="249">
        <f t="shared" si="12"/>
        <v>457553.41999999993</v>
      </c>
      <c r="I98" s="249">
        <f t="shared" si="13"/>
        <v>403054.75999999995</v>
      </c>
      <c r="J98" s="249">
        <f t="shared" si="14"/>
        <v>530761.96719999984</v>
      </c>
      <c r="K98" s="249">
        <f t="shared" si="15"/>
        <v>467543.52159999992</v>
      </c>
      <c r="L98" s="85"/>
      <c r="M98" s="192"/>
      <c r="N98" s="192"/>
      <c r="O98" s="216"/>
      <c r="P98" s="85"/>
      <c r="Q98" s="85"/>
      <c r="R98" s="3"/>
      <c r="S98" s="3"/>
      <c r="T98" s="214"/>
      <c r="U98" s="214"/>
    </row>
    <row r="99" spans="2:21" s="2" customFormat="1" ht="15" hidden="1" customHeight="1">
      <c r="B99" s="130">
        <f t="shared" si="16"/>
        <v>72</v>
      </c>
      <c r="C99" s="125"/>
      <c r="D99" s="249">
        <f>FACTORES!F111</f>
        <v>389823.45</v>
      </c>
      <c r="E99" s="249">
        <f>FACTORES!G111</f>
        <v>341554.08</v>
      </c>
      <c r="F99" s="249">
        <f t="shared" si="10"/>
        <v>478154.48999999993</v>
      </c>
      <c r="G99" s="249">
        <f t="shared" si="11"/>
        <v>419220.48999999993</v>
      </c>
      <c r="H99" s="249">
        <f t="shared" si="12"/>
        <v>479254.48999999993</v>
      </c>
      <c r="I99" s="249">
        <f t="shared" si="13"/>
        <v>420320.48999999993</v>
      </c>
      <c r="J99" s="249">
        <f t="shared" si="14"/>
        <v>555935.20839999989</v>
      </c>
      <c r="K99" s="249">
        <f t="shared" si="15"/>
        <v>487571.76839999988</v>
      </c>
      <c r="L99" s="85"/>
      <c r="M99" s="192"/>
      <c r="N99" s="192"/>
      <c r="O99" s="216"/>
      <c r="P99" s="85"/>
      <c r="Q99" s="85"/>
      <c r="R99" s="3"/>
      <c r="S99" s="3"/>
      <c r="T99" s="214"/>
      <c r="U99" s="214"/>
    </row>
    <row r="100" spans="2:21" s="2" customFormat="1" ht="15" hidden="1" customHeight="1">
      <c r="B100" s="130">
        <f t="shared" si="16"/>
        <v>73</v>
      </c>
      <c r="C100" s="125"/>
      <c r="D100" s="249">
        <f>FACTORES!F112</f>
        <v>407997.15</v>
      </c>
      <c r="E100" s="249">
        <f>FACTORES!G112</f>
        <v>355404.57</v>
      </c>
      <c r="F100" s="249">
        <f t="shared" si="10"/>
        <v>500343.48999999993</v>
      </c>
      <c r="G100" s="249">
        <f t="shared" si="11"/>
        <v>436131.10999999993</v>
      </c>
      <c r="H100" s="249">
        <f t="shared" si="12"/>
        <v>501443.48999999993</v>
      </c>
      <c r="I100" s="249">
        <f t="shared" si="13"/>
        <v>437231.10999999993</v>
      </c>
      <c r="J100" s="249">
        <f t="shared" si="14"/>
        <v>581674.44839999988</v>
      </c>
      <c r="K100" s="249">
        <f t="shared" si="15"/>
        <v>507188.08759999985</v>
      </c>
      <c r="L100" s="85"/>
      <c r="M100" s="192"/>
      <c r="N100" s="192"/>
      <c r="O100" s="216"/>
      <c r="P100" s="85"/>
      <c r="Q100" s="85"/>
      <c r="R100" s="3"/>
      <c r="S100" s="3"/>
      <c r="T100" s="214"/>
      <c r="U100" s="214"/>
    </row>
    <row r="101" spans="2:21" s="2" customFormat="1" ht="15" hidden="1" customHeight="1">
      <c r="B101" s="130">
        <f t="shared" si="16"/>
        <v>74</v>
      </c>
      <c r="C101" s="125"/>
      <c r="D101" s="249">
        <f>FACTORES!F113</f>
        <v>427646.38</v>
      </c>
      <c r="E101" s="249">
        <f>FACTORES!G113</f>
        <v>369532.03</v>
      </c>
      <c r="F101" s="249">
        <f t="shared" si="10"/>
        <v>524334.02</v>
      </c>
      <c r="G101" s="249">
        <f t="shared" si="11"/>
        <v>453379.88999999996</v>
      </c>
      <c r="H101" s="249">
        <f t="shared" si="12"/>
        <v>525434.02</v>
      </c>
      <c r="I101" s="249">
        <f t="shared" si="13"/>
        <v>454479.88999999996</v>
      </c>
      <c r="J101" s="249">
        <f t="shared" si="14"/>
        <v>609503.4632</v>
      </c>
      <c r="K101" s="249">
        <f t="shared" si="15"/>
        <v>527196.67239999992</v>
      </c>
      <c r="L101" s="85"/>
      <c r="M101" s="192"/>
      <c r="N101" s="192"/>
      <c r="O101" s="216"/>
      <c r="P101" s="85"/>
      <c r="Q101" s="85"/>
      <c r="R101" s="3"/>
      <c r="S101" s="3"/>
      <c r="T101" s="214"/>
      <c r="U101" s="214"/>
    </row>
    <row r="102" spans="2:21" s="2" customFormat="1" ht="15" hidden="1" customHeight="1">
      <c r="B102" s="130">
        <f t="shared" si="16"/>
        <v>75</v>
      </c>
      <c r="C102" s="125"/>
      <c r="D102" s="249">
        <f>FACTORES!F114</f>
        <v>446158.9</v>
      </c>
      <c r="E102" s="249">
        <f>FACTORES!G114</f>
        <v>384745.26</v>
      </c>
      <c r="F102" s="249">
        <f t="shared" si="10"/>
        <v>546936.69999999995</v>
      </c>
      <c r="G102" s="249">
        <f t="shared" si="11"/>
        <v>471954.32999999996</v>
      </c>
      <c r="H102" s="249">
        <f t="shared" si="12"/>
        <v>548036.69999999995</v>
      </c>
      <c r="I102" s="249">
        <f t="shared" si="13"/>
        <v>473054.32999999996</v>
      </c>
      <c r="J102" s="249">
        <f t="shared" si="14"/>
        <v>635722.57199999993</v>
      </c>
      <c r="K102" s="249">
        <f t="shared" si="15"/>
        <v>548743.02279999992</v>
      </c>
      <c r="L102" s="85"/>
      <c r="M102" s="192"/>
      <c r="N102" s="192"/>
      <c r="O102" s="216"/>
      <c r="P102" s="85"/>
      <c r="Q102" s="85"/>
      <c r="R102" s="3"/>
      <c r="S102" s="3"/>
      <c r="T102" s="214"/>
      <c r="U102" s="214"/>
    </row>
    <row r="103" spans="2:21" s="2" customFormat="1" ht="15" hidden="1" customHeight="1">
      <c r="B103" s="130">
        <f t="shared" si="16"/>
        <v>76</v>
      </c>
      <c r="C103" s="125"/>
      <c r="D103" s="249">
        <f>FACTORES!F115</f>
        <v>468764.7</v>
      </c>
      <c r="E103" s="249">
        <f>FACTORES!G115</f>
        <v>401446.07</v>
      </c>
      <c r="F103" s="249">
        <f t="shared" si="10"/>
        <v>574537.0199999999</v>
      </c>
      <c r="G103" s="249">
        <f t="shared" si="11"/>
        <v>492345.00999999995</v>
      </c>
      <c r="H103" s="249">
        <f t="shared" si="12"/>
        <v>575637.0199999999</v>
      </c>
      <c r="I103" s="249">
        <f t="shared" si="13"/>
        <v>493445.00999999995</v>
      </c>
      <c r="J103" s="249">
        <f t="shared" si="14"/>
        <v>667738.94319999986</v>
      </c>
      <c r="K103" s="249">
        <f t="shared" si="15"/>
        <v>572396.21159999992</v>
      </c>
      <c r="L103" s="85"/>
      <c r="M103" s="192"/>
      <c r="N103" s="192"/>
      <c r="O103" s="216"/>
      <c r="P103" s="85"/>
      <c r="Q103" s="85"/>
      <c r="R103" s="3"/>
      <c r="S103" s="3"/>
      <c r="T103" s="214"/>
      <c r="U103" s="214"/>
    </row>
    <row r="104" spans="2:21" s="2" customFormat="1" ht="15" hidden="1" customHeight="1">
      <c r="B104" s="130">
        <f t="shared" si="16"/>
        <v>77</v>
      </c>
      <c r="C104" s="125"/>
      <c r="D104" s="249">
        <f>FACTORES!F116</f>
        <v>492917.97</v>
      </c>
      <c r="E104" s="249">
        <f>FACTORES!G116</f>
        <v>419358.51</v>
      </c>
      <c r="F104" s="249">
        <f t="shared" si="10"/>
        <v>604026.72</v>
      </c>
      <c r="G104" s="249">
        <f t="shared" si="11"/>
        <v>514215.02999999997</v>
      </c>
      <c r="H104" s="249">
        <f t="shared" si="12"/>
        <v>605126.72</v>
      </c>
      <c r="I104" s="249">
        <f t="shared" si="13"/>
        <v>515315.02999999997</v>
      </c>
      <c r="J104" s="249">
        <f t="shared" si="14"/>
        <v>701946.99519999989</v>
      </c>
      <c r="K104" s="249">
        <f t="shared" si="15"/>
        <v>597765.43479999993</v>
      </c>
      <c r="L104" s="85"/>
      <c r="M104" s="192"/>
      <c r="N104" s="192"/>
      <c r="O104" s="216"/>
      <c r="P104" s="85"/>
      <c r="Q104" s="85"/>
      <c r="R104" s="3"/>
      <c r="S104" s="3"/>
      <c r="T104" s="214"/>
      <c r="U104" s="214"/>
    </row>
    <row r="105" spans="2:21" s="2" customFormat="1" ht="15" hidden="1" customHeight="1">
      <c r="B105" s="130">
        <f t="shared" si="16"/>
        <v>78</v>
      </c>
      <c r="C105" s="125"/>
      <c r="D105" s="249">
        <f>FACTORES!F117</f>
        <v>518026.89</v>
      </c>
      <c r="E105" s="249">
        <f>FACTORES!G117</f>
        <v>438019.16</v>
      </c>
      <c r="F105" s="249">
        <f t="shared" si="10"/>
        <v>634683.19999999995</v>
      </c>
      <c r="G105" s="249">
        <f t="shared" si="11"/>
        <v>536998.55999999994</v>
      </c>
      <c r="H105" s="249">
        <f t="shared" si="12"/>
        <v>635783.19999999995</v>
      </c>
      <c r="I105" s="249">
        <f t="shared" si="13"/>
        <v>538098.55999999994</v>
      </c>
      <c r="J105" s="249">
        <f t="shared" si="14"/>
        <v>737508.51199999987</v>
      </c>
      <c r="K105" s="249">
        <f t="shared" si="15"/>
        <v>624194.32959999994</v>
      </c>
      <c r="L105" s="85"/>
      <c r="M105" s="192"/>
      <c r="N105" s="192"/>
      <c r="O105" s="216"/>
      <c r="P105" s="85"/>
      <c r="Q105" s="85"/>
      <c r="R105" s="3"/>
      <c r="S105" s="3"/>
      <c r="T105" s="214"/>
      <c r="U105" s="214"/>
    </row>
    <row r="106" spans="2:21" s="2" customFormat="1" ht="15" hidden="1" customHeight="1">
      <c r="B106" s="130">
        <f t="shared" si="16"/>
        <v>79</v>
      </c>
      <c r="C106" s="125"/>
      <c r="D106" s="249">
        <f>FACTORES!F118</f>
        <v>545588.80000000005</v>
      </c>
      <c r="E106" s="249">
        <f>FACTORES!G118</f>
        <v>456739.24</v>
      </c>
      <c r="F106" s="249">
        <f t="shared" si="10"/>
        <v>668334.6399999999</v>
      </c>
      <c r="G106" s="249">
        <f t="shared" si="11"/>
        <v>559854.65999999992</v>
      </c>
      <c r="H106" s="249">
        <f t="shared" si="12"/>
        <v>669434.6399999999</v>
      </c>
      <c r="I106" s="249">
        <f t="shared" si="13"/>
        <v>560954.65999999992</v>
      </c>
      <c r="J106" s="249">
        <f t="shared" si="14"/>
        <v>776544.18239999982</v>
      </c>
      <c r="K106" s="249">
        <f t="shared" si="15"/>
        <v>650707.40559999982</v>
      </c>
      <c r="L106" s="85"/>
      <c r="M106" s="192"/>
      <c r="N106" s="192"/>
      <c r="O106" s="216"/>
      <c r="P106" s="85"/>
      <c r="Q106" s="85"/>
      <c r="R106" s="3"/>
      <c r="S106" s="3"/>
      <c r="T106" s="214"/>
      <c r="U106" s="214"/>
    </row>
    <row r="107" spans="2:21" s="2" customFormat="1" ht="15" hidden="1" customHeight="1">
      <c r="B107" s="130">
        <f t="shared" si="16"/>
        <v>80</v>
      </c>
      <c r="C107" s="125"/>
      <c r="D107" s="249">
        <f>FACTORES!F119</f>
        <v>572324.71</v>
      </c>
      <c r="E107" s="249">
        <f>FACTORES!G119</f>
        <v>476499.99</v>
      </c>
      <c r="F107" s="249">
        <f t="shared" si="10"/>
        <v>700977.58</v>
      </c>
      <c r="G107" s="249">
        <f t="shared" si="11"/>
        <v>583981.35</v>
      </c>
      <c r="H107" s="249">
        <f t="shared" si="12"/>
        <v>702077.58</v>
      </c>
      <c r="I107" s="249">
        <f t="shared" si="13"/>
        <v>585081.35</v>
      </c>
      <c r="J107" s="249">
        <f t="shared" si="14"/>
        <v>814409.99279999989</v>
      </c>
      <c r="K107" s="249">
        <f t="shared" si="15"/>
        <v>678694.36599999992</v>
      </c>
      <c r="L107" s="85"/>
      <c r="M107" s="192"/>
      <c r="N107" s="192"/>
      <c r="O107" s="216"/>
      <c r="P107" s="85"/>
      <c r="Q107" s="85"/>
      <c r="R107" s="3"/>
      <c r="S107" s="3"/>
      <c r="T107" s="214"/>
      <c r="U107" s="214"/>
    </row>
    <row r="108" spans="2:21" s="2" customFormat="1" ht="15" hidden="1" customHeight="1">
      <c r="B108" s="130">
        <f t="shared" si="16"/>
        <v>81</v>
      </c>
      <c r="C108" s="125"/>
      <c r="D108" s="249">
        <f>FACTORES!F120</f>
        <v>603731.37</v>
      </c>
      <c r="E108" s="249">
        <f>FACTORES!G120</f>
        <v>496522.23999999999</v>
      </c>
      <c r="F108" s="249">
        <f t="shared" si="10"/>
        <v>739323.23</v>
      </c>
      <c r="G108" s="249">
        <f t="shared" si="11"/>
        <v>608427.30999999994</v>
      </c>
      <c r="H108" s="249">
        <f t="shared" si="12"/>
        <v>740423.23</v>
      </c>
      <c r="I108" s="249">
        <f t="shared" si="13"/>
        <v>609527.30999999994</v>
      </c>
      <c r="J108" s="249">
        <f t="shared" si="14"/>
        <v>858890.94679999992</v>
      </c>
      <c r="K108" s="249">
        <f t="shared" si="15"/>
        <v>707051.67959999992</v>
      </c>
      <c r="L108" s="85"/>
      <c r="M108" s="192"/>
      <c r="N108" s="192"/>
      <c r="O108" s="216"/>
      <c r="P108" s="85"/>
      <c r="Q108" s="85"/>
      <c r="R108" s="3"/>
      <c r="S108" s="3"/>
      <c r="T108" s="214"/>
      <c r="U108" s="214"/>
    </row>
    <row r="109" spans="2:21" s="2" customFormat="1" ht="15" hidden="1" customHeight="1">
      <c r="B109" s="130">
        <f t="shared" si="16"/>
        <v>82</v>
      </c>
      <c r="C109" s="125"/>
      <c r="D109" s="249">
        <f>FACTORES!F121</f>
        <v>636328.9</v>
      </c>
      <c r="E109" s="249">
        <f>FACTORES!G121</f>
        <v>515726.74</v>
      </c>
      <c r="F109" s="249">
        <f t="shared" si="10"/>
        <v>779122.86</v>
      </c>
      <c r="G109" s="249">
        <f t="shared" si="11"/>
        <v>631874.86</v>
      </c>
      <c r="H109" s="249">
        <f t="shared" si="12"/>
        <v>780222.86</v>
      </c>
      <c r="I109" s="249">
        <f t="shared" si="13"/>
        <v>632974.86</v>
      </c>
      <c r="J109" s="249">
        <f t="shared" si="14"/>
        <v>905058.5175999999</v>
      </c>
      <c r="K109" s="249">
        <f t="shared" si="15"/>
        <v>734250.83759999997</v>
      </c>
      <c r="L109" s="85"/>
      <c r="M109" s="192"/>
      <c r="N109" s="192"/>
      <c r="O109" s="216"/>
      <c r="P109" s="85"/>
      <c r="Q109" s="85"/>
      <c r="R109" s="3"/>
      <c r="S109" s="3"/>
      <c r="T109" s="214"/>
      <c r="U109" s="214"/>
    </row>
    <row r="110" spans="2:21" s="2" customFormat="1" ht="15" hidden="1" customHeight="1">
      <c r="B110" s="130">
        <f t="shared" si="16"/>
        <v>83</v>
      </c>
      <c r="C110" s="125"/>
      <c r="D110" s="249">
        <f>FACTORES!F122</f>
        <v>670299.16</v>
      </c>
      <c r="E110" s="249">
        <f>FACTORES!G122</f>
        <v>537595.46</v>
      </c>
      <c r="F110" s="249">
        <f t="shared" si="10"/>
        <v>820598.51</v>
      </c>
      <c r="G110" s="249">
        <f t="shared" si="11"/>
        <v>658575.25</v>
      </c>
      <c r="H110" s="249">
        <f t="shared" si="12"/>
        <v>821698.51</v>
      </c>
      <c r="I110" s="249">
        <f t="shared" si="13"/>
        <v>659675.25</v>
      </c>
      <c r="J110" s="249">
        <f t="shared" si="14"/>
        <v>953170.27159999998</v>
      </c>
      <c r="K110" s="249">
        <f t="shared" si="15"/>
        <v>765223.28999999992</v>
      </c>
      <c r="L110" s="85"/>
      <c r="M110" s="192"/>
      <c r="N110" s="192"/>
      <c r="O110" s="216"/>
      <c r="P110" s="85"/>
      <c r="Q110" s="85"/>
      <c r="R110" s="3"/>
      <c r="S110" s="3"/>
      <c r="T110" s="214"/>
      <c r="U110" s="214"/>
    </row>
    <row r="111" spans="2:21" s="2" customFormat="1" ht="15" hidden="1" customHeight="1">
      <c r="B111" s="130">
        <f t="shared" si="16"/>
        <v>84</v>
      </c>
      <c r="C111" s="125"/>
      <c r="D111" s="249">
        <f>FACTORES!F123</f>
        <v>705859.46</v>
      </c>
      <c r="E111" s="249">
        <f>FACTORES!G123</f>
        <v>558813.74</v>
      </c>
      <c r="F111" s="249">
        <f t="shared" si="10"/>
        <v>864015.5</v>
      </c>
      <c r="G111" s="249">
        <f t="shared" si="11"/>
        <v>684481.5</v>
      </c>
      <c r="H111" s="249">
        <f t="shared" ref="H111:I113" si="17">(F111*(1+$I$24))+$I$25</f>
        <v>865115.5</v>
      </c>
      <c r="I111" s="249">
        <f t="shared" si="17"/>
        <v>685581.5</v>
      </c>
      <c r="J111" s="249">
        <f t="shared" ref="J111:K113" si="18">H111*(1+$K$25)</f>
        <v>1003533.98</v>
      </c>
      <c r="K111" s="249">
        <f t="shared" si="18"/>
        <v>795274.53999999992</v>
      </c>
      <c r="L111" s="85"/>
      <c r="M111" s="192"/>
      <c r="N111" s="192"/>
      <c r="O111" s="216"/>
      <c r="P111" s="85"/>
      <c r="Q111" s="85"/>
      <c r="R111" s="3"/>
      <c r="S111" s="3"/>
      <c r="T111" s="214"/>
      <c r="U111" s="214"/>
    </row>
    <row r="112" spans="2:21" s="2" customFormat="1" ht="15" hidden="1" customHeight="1">
      <c r="B112" s="130">
        <f t="shared" si="16"/>
        <v>85</v>
      </c>
      <c r="C112" s="125"/>
      <c r="D112" s="249">
        <f>FACTORES!$F$124</f>
        <v>743265.43</v>
      </c>
      <c r="E112" s="249">
        <f>FACTORES!$G$124</f>
        <v>580631.4</v>
      </c>
      <c r="F112" s="249">
        <f t="shared" si="10"/>
        <v>909685.94</v>
      </c>
      <c r="G112" s="249">
        <f t="shared" si="11"/>
        <v>711119.54999999993</v>
      </c>
      <c r="H112" s="249">
        <f t="shared" si="17"/>
        <v>910785.94</v>
      </c>
      <c r="I112" s="249">
        <f t="shared" si="17"/>
        <v>712219.54999999993</v>
      </c>
      <c r="J112" s="249">
        <f t="shared" si="18"/>
        <v>1056511.6904</v>
      </c>
      <c r="K112" s="249">
        <f t="shared" si="18"/>
        <v>826174.67799999984</v>
      </c>
      <c r="L112" s="85"/>
      <c r="M112" s="192"/>
      <c r="N112" s="192"/>
      <c r="O112" s="216"/>
      <c r="P112" s="85"/>
      <c r="Q112" s="85"/>
      <c r="R112" s="3"/>
      <c r="S112" s="3"/>
      <c r="T112" s="214"/>
      <c r="U112" s="214"/>
    </row>
    <row r="113" spans="2:21" s="2" customFormat="1" ht="15" hidden="1" customHeight="1">
      <c r="B113" s="130">
        <f t="shared" si="16"/>
        <v>86</v>
      </c>
      <c r="C113" s="125"/>
      <c r="D113" s="249">
        <f>FACTORES!$F$124</f>
        <v>743265.43</v>
      </c>
      <c r="E113" s="249">
        <f>FACTORES!$G$124</f>
        <v>580631.4</v>
      </c>
      <c r="F113" s="249">
        <f t="shared" ref="F113" si="19">ROUND(D113*$G$5*$G$6*$G$8,2)+ADIC+DENTAL+ENFGVES+IKE+CVISION+DEDXACC</f>
        <v>909685.94</v>
      </c>
      <c r="G113" s="249">
        <f t="shared" ref="G113" si="20">ROUND(E113*$G$5*$G$6*$G$8,2)+ADIC+DENTAL+ENFGVES+IKE+CVISION+DEDXACC</f>
        <v>711119.54999999993</v>
      </c>
      <c r="H113" s="249">
        <f t="shared" si="17"/>
        <v>910785.94</v>
      </c>
      <c r="I113" s="249">
        <f t="shared" si="17"/>
        <v>712219.54999999993</v>
      </c>
      <c r="J113" s="249">
        <f t="shared" si="18"/>
        <v>1056511.6904</v>
      </c>
      <c r="K113" s="249">
        <f t="shared" si="18"/>
        <v>826174.67799999984</v>
      </c>
      <c r="L113" s="85"/>
      <c r="M113" s="85"/>
      <c r="N113" s="85"/>
      <c r="O113" s="216"/>
      <c r="P113" s="85"/>
      <c r="Q113" s="85"/>
      <c r="R113" s="3"/>
      <c r="S113" s="3"/>
      <c r="T113" s="214"/>
      <c r="U113" s="214"/>
    </row>
    <row r="114" spans="2:21" s="2" customFormat="1" ht="15" hidden="1" customHeight="1">
      <c r="B114" s="130">
        <f t="shared" si="16"/>
        <v>87</v>
      </c>
      <c r="C114" s="125"/>
      <c r="D114" s="249">
        <f>FACTORES!$F$124</f>
        <v>743265.43</v>
      </c>
      <c r="E114" s="249">
        <f>FACTORES!$G$124</f>
        <v>580631.4</v>
      </c>
      <c r="F114" s="249">
        <f t="shared" ref="F114:F127" si="21">ROUND(D114*$G$5*$G$6*$G$8,2)+ADIC+DENTAL+ENFGVES+IKE+CVISION+DEDXACC</f>
        <v>909685.94</v>
      </c>
      <c r="G114" s="249">
        <f t="shared" ref="G114:G127" si="22">ROUND(E114*$G$5*$G$6*$G$8,2)+ADIC+DENTAL+ENFGVES+IKE+CVISION+DEDXACC</f>
        <v>711119.54999999993</v>
      </c>
      <c r="H114" s="249">
        <f t="shared" ref="H114:H127" si="23">(F114*(1+$I$24))+$I$25</f>
        <v>910785.94</v>
      </c>
      <c r="I114" s="249">
        <f t="shared" ref="I114:I127" si="24">(G114*(1+$I$24))+$I$25</f>
        <v>712219.54999999993</v>
      </c>
      <c r="J114" s="249">
        <f t="shared" ref="J114:J127" si="25">H114*(1+$K$25)</f>
        <v>1056511.6904</v>
      </c>
      <c r="K114" s="249">
        <f t="shared" ref="K114:K127" si="26">I114*(1+$K$25)</f>
        <v>826174.67799999984</v>
      </c>
      <c r="L114" s="85"/>
      <c r="M114" s="85"/>
      <c r="N114" s="85"/>
      <c r="O114" s="216"/>
      <c r="P114" s="85"/>
      <c r="Q114" s="85"/>
      <c r="R114" s="3"/>
      <c r="S114" s="3"/>
      <c r="T114" s="214"/>
      <c r="U114" s="214"/>
    </row>
    <row r="115" spans="2:21" s="2" customFormat="1" ht="15" hidden="1" customHeight="1">
      <c r="B115" s="130">
        <f t="shared" si="16"/>
        <v>88</v>
      </c>
      <c r="C115" s="125"/>
      <c r="D115" s="249">
        <f>FACTORES!$F$124</f>
        <v>743265.43</v>
      </c>
      <c r="E115" s="249">
        <f>FACTORES!$G$124</f>
        <v>580631.4</v>
      </c>
      <c r="F115" s="249">
        <f t="shared" si="21"/>
        <v>909685.94</v>
      </c>
      <c r="G115" s="249">
        <f t="shared" si="22"/>
        <v>711119.54999999993</v>
      </c>
      <c r="H115" s="249">
        <f t="shared" si="23"/>
        <v>910785.94</v>
      </c>
      <c r="I115" s="249">
        <f t="shared" si="24"/>
        <v>712219.54999999993</v>
      </c>
      <c r="J115" s="249">
        <f t="shared" si="25"/>
        <v>1056511.6904</v>
      </c>
      <c r="K115" s="249">
        <f t="shared" si="26"/>
        <v>826174.67799999984</v>
      </c>
      <c r="M115" s="215"/>
      <c r="R115" s="87"/>
      <c r="S115" s="87"/>
    </row>
    <row r="116" spans="2:21" s="2" customFormat="1" ht="15" hidden="1" customHeight="1">
      <c r="B116" s="130">
        <f t="shared" si="16"/>
        <v>89</v>
      </c>
      <c r="C116" s="125"/>
      <c r="D116" s="249">
        <f>FACTORES!$F$124</f>
        <v>743265.43</v>
      </c>
      <c r="E116" s="249">
        <f>FACTORES!$G$124</f>
        <v>580631.4</v>
      </c>
      <c r="F116" s="249">
        <f t="shared" si="21"/>
        <v>909685.94</v>
      </c>
      <c r="G116" s="249">
        <f t="shared" si="22"/>
        <v>711119.54999999993</v>
      </c>
      <c r="H116" s="249">
        <f t="shared" si="23"/>
        <v>910785.94</v>
      </c>
      <c r="I116" s="249">
        <f t="shared" si="24"/>
        <v>712219.54999999993</v>
      </c>
      <c r="J116" s="249">
        <f t="shared" si="25"/>
        <v>1056511.6904</v>
      </c>
      <c r="K116" s="249">
        <f t="shared" si="26"/>
        <v>826174.67799999984</v>
      </c>
      <c r="M116" s="215"/>
      <c r="N116" s="215"/>
      <c r="O116" s="215"/>
      <c r="P116" s="215"/>
      <c r="R116" s="87"/>
      <c r="S116" s="87"/>
    </row>
    <row r="117" spans="2:21" s="2" customFormat="1" ht="15" hidden="1" customHeight="1">
      <c r="B117" s="130">
        <f t="shared" si="16"/>
        <v>90</v>
      </c>
      <c r="C117" s="125"/>
      <c r="D117" s="249">
        <f>FACTORES!$F$124</f>
        <v>743265.43</v>
      </c>
      <c r="E117" s="249">
        <f>FACTORES!$G$124</f>
        <v>580631.4</v>
      </c>
      <c r="F117" s="249">
        <f t="shared" si="21"/>
        <v>909685.94</v>
      </c>
      <c r="G117" s="249">
        <f t="shared" si="22"/>
        <v>711119.54999999993</v>
      </c>
      <c r="H117" s="249">
        <f t="shared" si="23"/>
        <v>910785.94</v>
      </c>
      <c r="I117" s="249">
        <f t="shared" si="24"/>
        <v>712219.54999999993</v>
      </c>
      <c r="J117" s="249">
        <f t="shared" si="25"/>
        <v>1056511.6904</v>
      </c>
      <c r="K117" s="249">
        <f t="shared" si="26"/>
        <v>826174.67799999984</v>
      </c>
      <c r="O117" s="215"/>
      <c r="P117" s="215"/>
      <c r="R117" s="87"/>
      <c r="S117" s="87"/>
    </row>
    <row r="118" spans="2:21" s="2" customFormat="1" ht="15" hidden="1" customHeight="1">
      <c r="B118" s="130">
        <f t="shared" si="16"/>
        <v>91</v>
      </c>
      <c r="C118" s="125"/>
      <c r="D118" s="249">
        <f>FACTORES!$F$124</f>
        <v>743265.43</v>
      </c>
      <c r="E118" s="249">
        <f>FACTORES!$G$124</f>
        <v>580631.4</v>
      </c>
      <c r="F118" s="249">
        <f t="shared" si="21"/>
        <v>909685.94</v>
      </c>
      <c r="G118" s="249">
        <f t="shared" si="22"/>
        <v>711119.54999999993</v>
      </c>
      <c r="H118" s="249">
        <f t="shared" si="23"/>
        <v>910785.94</v>
      </c>
      <c r="I118" s="249">
        <f t="shared" si="24"/>
        <v>712219.54999999993</v>
      </c>
      <c r="J118" s="249">
        <f t="shared" si="25"/>
        <v>1056511.6904</v>
      </c>
      <c r="K118" s="249">
        <f t="shared" si="26"/>
        <v>826174.67799999984</v>
      </c>
      <c r="O118" s="215"/>
      <c r="P118" s="215"/>
      <c r="R118" s="87"/>
      <c r="S118" s="87"/>
    </row>
    <row r="119" spans="2:21" s="2" customFormat="1" ht="15" hidden="1" customHeight="1">
      <c r="B119" s="130">
        <f t="shared" si="16"/>
        <v>92</v>
      </c>
      <c r="C119" s="125"/>
      <c r="D119" s="249">
        <f>FACTORES!$F$124</f>
        <v>743265.43</v>
      </c>
      <c r="E119" s="249">
        <f>FACTORES!$G$124</f>
        <v>580631.4</v>
      </c>
      <c r="F119" s="249">
        <f t="shared" si="21"/>
        <v>909685.94</v>
      </c>
      <c r="G119" s="249">
        <f t="shared" si="22"/>
        <v>711119.54999999993</v>
      </c>
      <c r="H119" s="249">
        <f t="shared" si="23"/>
        <v>910785.94</v>
      </c>
      <c r="I119" s="249">
        <f t="shared" si="24"/>
        <v>712219.54999999993</v>
      </c>
      <c r="J119" s="249">
        <f t="shared" si="25"/>
        <v>1056511.6904</v>
      </c>
      <c r="K119" s="249">
        <f t="shared" si="26"/>
        <v>826174.67799999984</v>
      </c>
      <c r="O119" s="215"/>
      <c r="P119" s="215"/>
      <c r="R119" s="87"/>
      <c r="S119" s="87"/>
    </row>
    <row r="120" spans="2:21" s="2" customFormat="1" ht="15" hidden="1" customHeight="1">
      <c r="B120" s="130">
        <f t="shared" si="16"/>
        <v>93</v>
      </c>
      <c r="C120" s="125"/>
      <c r="D120" s="249">
        <f>FACTORES!$F$124</f>
        <v>743265.43</v>
      </c>
      <c r="E120" s="249">
        <f>FACTORES!$G$124</f>
        <v>580631.4</v>
      </c>
      <c r="F120" s="249">
        <f t="shared" si="21"/>
        <v>909685.94</v>
      </c>
      <c r="G120" s="249">
        <f t="shared" si="22"/>
        <v>711119.54999999993</v>
      </c>
      <c r="H120" s="249">
        <f t="shared" si="23"/>
        <v>910785.94</v>
      </c>
      <c r="I120" s="249">
        <f t="shared" si="24"/>
        <v>712219.54999999993</v>
      </c>
      <c r="J120" s="249">
        <f t="shared" si="25"/>
        <v>1056511.6904</v>
      </c>
      <c r="K120" s="249">
        <f t="shared" si="26"/>
        <v>826174.67799999984</v>
      </c>
      <c r="O120" s="215"/>
      <c r="P120" s="215"/>
      <c r="R120" s="87"/>
      <c r="S120" s="87"/>
    </row>
    <row r="121" spans="2:21" s="2" customFormat="1" ht="15" hidden="1">
      <c r="B121" s="130">
        <f t="shared" si="16"/>
        <v>94</v>
      </c>
      <c r="C121" s="125"/>
      <c r="D121" s="249">
        <f>FACTORES!$F$124</f>
        <v>743265.43</v>
      </c>
      <c r="E121" s="249">
        <f>FACTORES!$G$124</f>
        <v>580631.4</v>
      </c>
      <c r="F121" s="249">
        <f t="shared" si="21"/>
        <v>909685.94</v>
      </c>
      <c r="G121" s="249">
        <f t="shared" si="22"/>
        <v>711119.54999999993</v>
      </c>
      <c r="H121" s="249">
        <f t="shared" si="23"/>
        <v>910785.94</v>
      </c>
      <c r="I121" s="249">
        <f t="shared" si="24"/>
        <v>712219.54999999993</v>
      </c>
      <c r="J121" s="249">
        <f t="shared" si="25"/>
        <v>1056511.6904</v>
      </c>
      <c r="K121" s="249">
        <f t="shared" si="26"/>
        <v>826174.67799999984</v>
      </c>
      <c r="O121" s="215"/>
      <c r="P121" s="215"/>
      <c r="R121" s="87"/>
      <c r="S121" s="87"/>
    </row>
    <row r="122" spans="2:21" s="2" customFormat="1" ht="15" hidden="1">
      <c r="B122" s="130">
        <f t="shared" si="16"/>
        <v>95</v>
      </c>
      <c r="C122" s="125"/>
      <c r="D122" s="249">
        <f>FACTORES!$F$124</f>
        <v>743265.43</v>
      </c>
      <c r="E122" s="249">
        <f>FACTORES!$G$124</f>
        <v>580631.4</v>
      </c>
      <c r="F122" s="249">
        <f t="shared" si="21"/>
        <v>909685.94</v>
      </c>
      <c r="G122" s="249">
        <f t="shared" si="22"/>
        <v>711119.54999999993</v>
      </c>
      <c r="H122" s="249">
        <f t="shared" si="23"/>
        <v>910785.94</v>
      </c>
      <c r="I122" s="249">
        <f t="shared" si="24"/>
        <v>712219.54999999993</v>
      </c>
      <c r="J122" s="249">
        <f t="shared" si="25"/>
        <v>1056511.6904</v>
      </c>
      <c r="K122" s="249">
        <f t="shared" si="26"/>
        <v>826174.67799999984</v>
      </c>
      <c r="O122" s="215"/>
      <c r="P122" s="215"/>
      <c r="R122" s="87"/>
      <c r="S122" s="87"/>
    </row>
    <row r="123" spans="2:21" s="2" customFormat="1" ht="15" hidden="1">
      <c r="B123" s="130">
        <f t="shared" si="16"/>
        <v>96</v>
      </c>
      <c r="C123" s="125"/>
      <c r="D123" s="249">
        <f>FACTORES!$F$124</f>
        <v>743265.43</v>
      </c>
      <c r="E123" s="249">
        <f>FACTORES!$G$124</f>
        <v>580631.4</v>
      </c>
      <c r="F123" s="249">
        <f t="shared" si="21"/>
        <v>909685.94</v>
      </c>
      <c r="G123" s="249">
        <f t="shared" si="22"/>
        <v>711119.54999999993</v>
      </c>
      <c r="H123" s="249">
        <f t="shared" si="23"/>
        <v>910785.94</v>
      </c>
      <c r="I123" s="249">
        <f t="shared" si="24"/>
        <v>712219.54999999993</v>
      </c>
      <c r="J123" s="249">
        <f t="shared" si="25"/>
        <v>1056511.6904</v>
      </c>
      <c r="K123" s="249">
        <f t="shared" si="26"/>
        <v>826174.67799999984</v>
      </c>
      <c r="O123" s="215"/>
      <c r="P123" s="215"/>
      <c r="R123" s="87"/>
      <c r="S123" s="87"/>
    </row>
    <row r="124" spans="2:21" s="2" customFormat="1" ht="15" hidden="1">
      <c r="B124" s="130">
        <f t="shared" si="16"/>
        <v>97</v>
      </c>
      <c r="C124" s="125"/>
      <c r="D124" s="249">
        <f>FACTORES!$F$124</f>
        <v>743265.43</v>
      </c>
      <c r="E124" s="249">
        <f>FACTORES!$G$124</f>
        <v>580631.4</v>
      </c>
      <c r="F124" s="249">
        <f t="shared" si="21"/>
        <v>909685.94</v>
      </c>
      <c r="G124" s="249">
        <f t="shared" si="22"/>
        <v>711119.54999999993</v>
      </c>
      <c r="H124" s="249">
        <f t="shared" si="23"/>
        <v>910785.94</v>
      </c>
      <c r="I124" s="249">
        <f t="shared" si="24"/>
        <v>712219.54999999993</v>
      </c>
      <c r="J124" s="249">
        <f t="shared" si="25"/>
        <v>1056511.6904</v>
      </c>
      <c r="K124" s="249">
        <f t="shared" si="26"/>
        <v>826174.67799999984</v>
      </c>
      <c r="O124" s="215"/>
      <c r="P124" s="215"/>
      <c r="R124" s="87"/>
      <c r="S124" s="87"/>
    </row>
    <row r="125" spans="2:21" s="2" customFormat="1" ht="15" hidden="1">
      <c r="B125" s="130">
        <f t="shared" si="16"/>
        <v>98</v>
      </c>
      <c r="C125" s="125"/>
      <c r="D125" s="249">
        <f>FACTORES!$F$124</f>
        <v>743265.43</v>
      </c>
      <c r="E125" s="249">
        <f>FACTORES!$G$124</f>
        <v>580631.4</v>
      </c>
      <c r="F125" s="249">
        <f t="shared" si="21"/>
        <v>909685.94</v>
      </c>
      <c r="G125" s="249">
        <f t="shared" si="22"/>
        <v>711119.54999999993</v>
      </c>
      <c r="H125" s="249">
        <f t="shared" si="23"/>
        <v>910785.94</v>
      </c>
      <c r="I125" s="249">
        <f t="shared" si="24"/>
        <v>712219.54999999993</v>
      </c>
      <c r="J125" s="249">
        <f t="shared" si="25"/>
        <v>1056511.6904</v>
      </c>
      <c r="K125" s="249">
        <f t="shared" si="26"/>
        <v>826174.67799999984</v>
      </c>
      <c r="O125" s="215"/>
      <c r="P125" s="215"/>
      <c r="R125" s="87"/>
      <c r="S125" s="87"/>
    </row>
    <row r="126" spans="2:21" s="2" customFormat="1" ht="9" hidden="1" customHeight="1">
      <c r="B126" s="130">
        <f t="shared" si="16"/>
        <v>99</v>
      </c>
      <c r="C126" s="125"/>
      <c r="D126" s="249">
        <f>FACTORES!$F$124</f>
        <v>743265.43</v>
      </c>
      <c r="E126" s="249">
        <f>FACTORES!$G$124</f>
        <v>580631.4</v>
      </c>
      <c r="F126" s="249">
        <f t="shared" si="21"/>
        <v>909685.94</v>
      </c>
      <c r="G126" s="249">
        <f t="shared" si="22"/>
        <v>711119.54999999993</v>
      </c>
      <c r="H126" s="249">
        <f t="shared" si="23"/>
        <v>910785.94</v>
      </c>
      <c r="I126" s="249">
        <f t="shared" si="24"/>
        <v>712219.54999999993</v>
      </c>
      <c r="J126" s="249">
        <f t="shared" si="25"/>
        <v>1056511.6904</v>
      </c>
      <c r="K126" s="249">
        <f t="shared" si="26"/>
        <v>826174.67799999984</v>
      </c>
      <c r="O126" s="215"/>
      <c r="P126" s="215"/>
    </row>
    <row r="127" spans="2:21" s="2" customFormat="1" ht="9" hidden="1" customHeight="1" thickBot="1">
      <c r="B127" s="131">
        <f t="shared" si="16"/>
        <v>100</v>
      </c>
      <c r="C127" s="126"/>
      <c r="D127" s="250">
        <f>FACTORES!$F$124</f>
        <v>743265.43</v>
      </c>
      <c r="E127" s="250">
        <f>FACTORES!$G$124</f>
        <v>580631.4</v>
      </c>
      <c r="F127" s="250">
        <f t="shared" si="21"/>
        <v>909685.94</v>
      </c>
      <c r="G127" s="250">
        <f t="shared" si="22"/>
        <v>711119.54999999993</v>
      </c>
      <c r="H127" s="250">
        <f t="shared" si="23"/>
        <v>910785.94</v>
      </c>
      <c r="I127" s="250">
        <f t="shared" si="24"/>
        <v>712219.54999999993</v>
      </c>
      <c r="J127" s="250">
        <f t="shared" si="25"/>
        <v>1056511.6904</v>
      </c>
      <c r="K127" s="250">
        <f t="shared" si="26"/>
        <v>826174.67799999984</v>
      </c>
      <c r="O127" s="215"/>
      <c r="P127" s="215"/>
    </row>
    <row r="128" spans="2:21" s="2" customFormat="1" ht="9" hidden="1" customHeight="1" thickTop="1">
      <c r="F128" s="65"/>
      <c r="G128" s="65"/>
      <c r="H128" s="215"/>
      <c r="I128" s="215"/>
      <c r="O128" s="215"/>
      <c r="P128" s="215"/>
    </row>
    <row r="129" spans="6:16" s="2" customFormat="1" ht="9" hidden="1" customHeight="1">
      <c r="F129" s="65"/>
      <c r="G129" s="65"/>
      <c r="H129" s="215"/>
      <c r="I129" s="215"/>
      <c r="O129" s="215"/>
      <c r="P129" s="215"/>
    </row>
    <row r="130" spans="6:16" s="2" customFormat="1" ht="9" hidden="1" customHeight="1">
      <c r="F130" s="65"/>
      <c r="G130" s="65"/>
      <c r="H130" s="215"/>
      <c r="I130" s="215"/>
    </row>
    <row r="131" spans="6:16" s="2" customFormat="1" ht="9" hidden="1" customHeight="1">
      <c r="F131" s="65"/>
      <c r="G131" s="65"/>
      <c r="H131" s="215"/>
      <c r="I131" s="215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" hidden="1"/>
    <row r="146" spans="19:27" s="2" customFormat="1" ht="10" hidden="1"/>
    <row r="147" spans="19:27" s="2" customFormat="1" ht="10" hidden="1"/>
    <row r="148" spans="19:27" s="2" customFormat="1" ht="10" hidden="1">
      <c r="AA148" s="49"/>
    </row>
    <row r="149" spans="19:27" s="2" customFormat="1" ht="10" hidden="1"/>
    <row r="150" spans="19:27" s="2" customFormat="1" ht="8.25" hidden="1" customHeight="1"/>
    <row r="151" spans="19:27" s="2" customFormat="1" ht="6" hidden="1" customHeight="1"/>
    <row r="152" spans="19:27" s="2" customFormat="1" ht="10" hidden="1">
      <c r="T152" s="692"/>
      <c r="U152" s="692"/>
      <c r="V152" s="692"/>
      <c r="W152" s="692"/>
      <c r="X152" s="692"/>
      <c r="Y152" s="692"/>
      <c r="Z152" s="692"/>
      <c r="AA152" s="692"/>
    </row>
    <row r="153" spans="19:27" s="2" customFormat="1" ht="9" hidden="1" customHeight="1">
      <c r="T153" s="45"/>
      <c r="U153" s="45"/>
      <c r="V153" s="51"/>
      <c r="W153" s="51"/>
      <c r="AA153" s="52"/>
    </row>
    <row r="154" spans="19:27" s="2" customFormat="1" ht="10" hidden="1">
      <c r="T154" s="45"/>
      <c r="U154" s="45"/>
      <c r="V154" s="51"/>
      <c r="W154" s="51"/>
    </row>
    <row r="155" spans="19:27" s="2" customFormat="1" ht="10" hidden="1">
      <c r="T155" s="53"/>
      <c r="U155" s="45"/>
      <c r="V155" s="54"/>
      <c r="W155" s="45"/>
      <c r="Z155" s="48"/>
      <c r="AA155" s="45"/>
    </row>
    <row r="156" spans="19:27" s="2" customFormat="1" ht="10" hidden="1">
      <c r="T156" s="53"/>
      <c r="U156" s="48"/>
      <c r="V156" s="48"/>
      <c r="W156" s="48"/>
    </row>
    <row r="157" spans="19:27" s="2" customFormat="1" ht="10" hidden="1">
      <c r="T157" s="692"/>
      <c r="U157" s="692"/>
      <c r="V157" s="692"/>
      <c r="W157" s="692"/>
      <c r="X157" s="692"/>
      <c r="Y157" s="692"/>
      <c r="Z157" s="692"/>
      <c r="AA157" s="692"/>
    </row>
    <row r="158" spans="19:27" s="2" customFormat="1" ht="10" hidden="1">
      <c r="T158" s="53"/>
      <c r="U158" s="48"/>
      <c r="V158" s="48"/>
      <c r="W158" s="48"/>
    </row>
    <row r="159" spans="19:27" s="2" customFormat="1" ht="9" hidden="1" customHeight="1">
      <c r="S159" s="55"/>
      <c r="U159" s="48"/>
      <c r="V159" s="48"/>
      <c r="W159" s="48"/>
      <c r="Y159" s="46"/>
    </row>
    <row r="160" spans="19:27" s="2" customFormat="1" ht="9" hidden="1" customHeight="1">
      <c r="U160" s="48"/>
      <c r="V160" s="48"/>
      <c r="W160" s="48"/>
      <c r="Y160" s="46"/>
    </row>
    <row r="161" spans="19:26" s="2" customFormat="1" ht="9" hidden="1" customHeight="1">
      <c r="S161" s="55"/>
      <c r="U161" s="48"/>
      <c r="V161" s="48"/>
      <c r="W161" s="53"/>
      <c r="Y161" s="46"/>
    </row>
    <row r="162" spans="19:26" s="2" customFormat="1" ht="9" hidden="1" customHeight="1">
      <c r="U162" s="48"/>
      <c r="V162" s="48"/>
      <c r="W162" s="53"/>
      <c r="Y162" s="46"/>
    </row>
    <row r="163" spans="19:26" s="2" customFormat="1" ht="9" hidden="1" customHeight="1">
      <c r="U163" s="48"/>
      <c r="V163" s="48"/>
      <c r="W163" s="48"/>
    </row>
    <row r="164" spans="19:26" s="2" customFormat="1" ht="9" hidden="1" customHeight="1">
      <c r="S164" s="55"/>
      <c r="U164" s="48"/>
      <c r="V164" s="48"/>
      <c r="W164" s="53"/>
      <c r="Y164" s="56"/>
    </row>
    <row r="165" spans="19:26" s="2" customFormat="1" ht="9" hidden="1" customHeight="1">
      <c r="U165" s="45"/>
      <c r="V165" s="45"/>
      <c r="W165" s="53"/>
      <c r="Y165" s="56"/>
    </row>
    <row r="166" spans="19:26" s="2" customFormat="1" ht="9" hidden="1" customHeight="1">
      <c r="U166" s="35"/>
      <c r="V166" s="35"/>
    </row>
    <row r="167" spans="19:26" s="2" customFormat="1" ht="9" hidden="1" customHeight="1">
      <c r="S167" s="55"/>
      <c r="Z167" s="57"/>
    </row>
    <row r="168" spans="19:26" s="2" customFormat="1" ht="9" hidden="1" customHeight="1">
      <c r="S168" s="55"/>
      <c r="Z168" s="57"/>
    </row>
    <row r="169" spans="19:26" s="2" customFormat="1" ht="9" hidden="1" customHeight="1">
      <c r="S169" s="55"/>
    </row>
    <row r="170" spans="19:26" s="2" customFormat="1" ht="9" hidden="1" customHeight="1">
      <c r="S170" s="55"/>
      <c r="U170" s="58"/>
      <c r="V170" s="59"/>
    </row>
    <row r="171" spans="19:26" s="2" customFormat="1" ht="9" hidden="1" customHeight="1">
      <c r="S171" s="55"/>
      <c r="U171" s="60"/>
      <c r="V171" s="60"/>
    </row>
    <row r="172" spans="19:26" s="2" customFormat="1" ht="9" hidden="1" customHeight="1">
      <c r="S172" s="55"/>
      <c r="U172" s="53"/>
      <c r="V172" s="53"/>
    </row>
    <row r="173" spans="19:26" s="2" customFormat="1" ht="9" hidden="1" customHeight="1">
      <c r="S173" s="55"/>
      <c r="U173" s="53"/>
      <c r="V173" s="53"/>
    </row>
    <row r="174" spans="19:26" s="2" customFormat="1" ht="9" hidden="1" customHeight="1">
      <c r="S174" s="55"/>
    </row>
    <row r="175" spans="19:26" s="2" customFormat="1" ht="9" hidden="1" customHeight="1">
      <c r="S175" s="55"/>
    </row>
    <row r="176" spans="19:26" s="2" customFormat="1" ht="9" hidden="1" customHeight="1">
      <c r="S176" s="55"/>
    </row>
    <row r="177" spans="19:25" s="2" customFormat="1" ht="9" hidden="1" customHeight="1">
      <c r="S177" s="55"/>
      <c r="Y177" s="61"/>
    </row>
    <row r="178" spans="19:25" s="2" customFormat="1" ht="9" hidden="1" customHeight="1">
      <c r="S178" s="55"/>
      <c r="Y178" s="61"/>
    </row>
    <row r="179" spans="19:25" s="2" customFormat="1" ht="9" hidden="1" customHeight="1">
      <c r="S179" s="55"/>
      <c r="Y179" s="61"/>
    </row>
    <row r="180" spans="19:25" s="2" customFormat="1" ht="9" hidden="1" customHeight="1">
      <c r="S180" s="55"/>
      <c r="Y180" s="61"/>
    </row>
    <row r="181" spans="19:25" s="2" customFormat="1" ht="9" hidden="1" customHeight="1">
      <c r="S181" s="55"/>
      <c r="Y181" s="61"/>
    </row>
    <row r="182" spans="19:25" s="2" customFormat="1" ht="9" hidden="1" customHeight="1">
      <c r="S182" s="55"/>
      <c r="Y182" s="61"/>
    </row>
    <row r="183" spans="19:25" s="2" customFormat="1" ht="9" hidden="1" customHeight="1">
      <c r="S183" s="55"/>
      <c r="Y183" s="61"/>
    </row>
    <row r="184" spans="19:25" s="2" customFormat="1" ht="9" hidden="1" customHeight="1">
      <c r="S184" s="55"/>
      <c r="Y184" s="61"/>
    </row>
    <row r="185" spans="19:25" s="2" customFormat="1" ht="9" hidden="1" customHeight="1">
      <c r="S185" s="55"/>
      <c r="Y185" s="61"/>
    </row>
    <row r="186" spans="19:25" s="2" customFormat="1" ht="9" hidden="1" customHeight="1">
      <c r="S186" s="55"/>
    </row>
    <row r="187" spans="19:25" s="2" customFormat="1" ht="9" hidden="1" customHeight="1">
      <c r="S187" s="55"/>
    </row>
    <row r="188" spans="19:25" s="2" customFormat="1" ht="9" hidden="1" customHeight="1">
      <c r="S188" s="55"/>
    </row>
    <row r="189" spans="19:25" s="2" customFormat="1" ht="9" hidden="1" customHeight="1">
      <c r="S189" s="55"/>
    </row>
    <row r="190" spans="19:25" s="2" customFormat="1" ht="9" hidden="1" customHeight="1">
      <c r="S190" s="55"/>
    </row>
    <row r="191" spans="19:25" s="2" customFormat="1" ht="9" hidden="1" customHeight="1"/>
    <row r="192" spans="19:25" s="2" customFormat="1" ht="9" hidden="1" customHeight="1">
      <c r="S192" s="55"/>
    </row>
    <row r="193" spans="19:19" s="2" customFormat="1" ht="9" hidden="1" customHeight="1">
      <c r="S193" s="55"/>
    </row>
    <row r="194" spans="19:19" s="2" customFormat="1" ht="9" hidden="1" customHeight="1">
      <c r="S194" s="55"/>
    </row>
    <row r="195" spans="19:19" s="2" customFormat="1" ht="9" hidden="1" customHeight="1">
      <c r="S195" s="55"/>
    </row>
    <row r="196" spans="19:19" s="2" customFormat="1" ht="9" hidden="1" customHeight="1"/>
    <row r="197" spans="19:19" s="2" customFormat="1" ht="9" hidden="1" customHeight="1">
      <c r="S197" s="55"/>
    </row>
    <row r="198" spans="19:19" s="2" customFormat="1" ht="9" hidden="1" customHeight="1">
      <c r="S198" s="55"/>
    </row>
    <row r="199" spans="19:19" s="2" customFormat="1" ht="9" hidden="1" customHeight="1">
      <c r="S199" s="55"/>
    </row>
    <row r="200" spans="19:19" s="2" customFormat="1" ht="9" hidden="1" customHeight="1">
      <c r="S200" s="55"/>
    </row>
    <row r="201" spans="19:19" s="2" customFormat="1" ht="9" hidden="1" customHeight="1"/>
    <row r="202" spans="19:19" s="2" customFormat="1" ht="9" hidden="1" customHeight="1">
      <c r="S202" s="55"/>
    </row>
    <row r="203" spans="19:19" s="2" customFormat="1" ht="9" hidden="1" customHeight="1">
      <c r="S203" s="55"/>
    </row>
    <row r="204" spans="19:19" s="2" customFormat="1" ht="9" hidden="1" customHeight="1">
      <c r="S204" s="55"/>
    </row>
    <row r="205" spans="19:19" s="2" customFormat="1" ht="9" hidden="1" customHeight="1">
      <c r="S205" s="55"/>
    </row>
    <row r="206" spans="19:19" s="2" customFormat="1" ht="9" hidden="1" customHeight="1">
      <c r="S206" s="55"/>
    </row>
    <row r="207" spans="19:19" s="2" customFormat="1" ht="9" hidden="1" customHeight="1">
      <c r="S207" s="55"/>
    </row>
    <row r="208" spans="19:19" s="2" customFormat="1" ht="9" hidden="1" customHeight="1">
      <c r="S208" s="55"/>
    </row>
    <row r="209" spans="19:27" s="2" customFormat="1" ht="9" hidden="1" customHeight="1">
      <c r="S209" s="55"/>
    </row>
    <row r="210" spans="19:27" s="2" customFormat="1" ht="9" hidden="1" customHeight="1">
      <c r="S210" s="55"/>
    </row>
    <row r="211" spans="19:27" s="2" customFormat="1" ht="9" hidden="1" customHeight="1">
      <c r="S211" s="55"/>
    </row>
    <row r="212" spans="19:27" s="2" customFormat="1" ht="10" hidden="1"/>
    <row r="213" spans="19:27" s="2" customFormat="1" ht="10" hidden="1">
      <c r="T213" s="692"/>
      <c r="U213" s="692"/>
      <c r="V213" s="692"/>
      <c r="W213" s="692"/>
      <c r="X213" s="692"/>
      <c r="Y213" s="692"/>
      <c r="Z213" s="692"/>
      <c r="AA213" s="692"/>
    </row>
    <row r="214" spans="19:27" s="2" customFormat="1" ht="10" hidden="1">
      <c r="T214" s="692"/>
      <c r="U214" s="692"/>
      <c r="V214" s="692"/>
      <c r="W214" s="692"/>
      <c r="X214" s="45"/>
      <c r="Y214" s="45"/>
      <c r="Z214" s="45"/>
      <c r="AA214" s="45"/>
    </row>
    <row r="215" spans="19:27" s="2" customFormat="1" ht="10" hidden="1">
      <c r="T215" s="45"/>
      <c r="U215" s="45"/>
      <c r="V215" s="45"/>
      <c r="W215" s="45"/>
      <c r="X215" s="45"/>
      <c r="Y215" s="45"/>
      <c r="Z215" s="45"/>
      <c r="AA215" s="45"/>
    </row>
    <row r="216" spans="19:27" s="2" customFormat="1" ht="10" hidden="1">
      <c r="T216" s="35"/>
      <c r="X216" s="62"/>
      <c r="Y216" s="45"/>
      <c r="AA216" s="46"/>
    </row>
    <row r="217" spans="19:27" s="2" customFormat="1" ht="10" hidden="1">
      <c r="W217" s="63"/>
      <c r="X217" s="62"/>
      <c r="Y217" s="48"/>
      <c r="AA217" s="46"/>
    </row>
    <row r="218" spans="19:27" s="2" customFormat="1" ht="10" hidden="1">
      <c r="W218" s="64"/>
      <c r="X218" s="62"/>
      <c r="Y218" s="48"/>
      <c r="AA218" s="46"/>
    </row>
    <row r="219" spans="19:27" s="2" customFormat="1" ht="10" hidden="1">
      <c r="W219" s="64"/>
      <c r="X219" s="62"/>
      <c r="Y219" s="48"/>
      <c r="AA219" s="46"/>
    </row>
    <row r="220" spans="19:27" s="2" customFormat="1" ht="10" hidden="1">
      <c r="W220" s="65"/>
      <c r="X220" s="62"/>
      <c r="Y220" s="48"/>
      <c r="AA220" s="46"/>
    </row>
    <row r="221" spans="19:27" s="2" customFormat="1" ht="10" hidden="1">
      <c r="U221" s="66"/>
      <c r="V221" s="66"/>
      <c r="W221" s="66"/>
      <c r="X221" s="62"/>
      <c r="Y221" s="48"/>
      <c r="AA221" s="46"/>
    </row>
    <row r="222" spans="19:27" s="2" customFormat="1" ht="10" hidden="1">
      <c r="U222" s="66"/>
      <c r="V222" s="66"/>
      <c r="W222" s="66"/>
      <c r="X222" s="62"/>
      <c r="Y222" s="48"/>
      <c r="AA222" s="46"/>
    </row>
    <row r="223" spans="19:27" s="2" customFormat="1" ht="10" hidden="1">
      <c r="U223" s="66"/>
      <c r="V223" s="66"/>
      <c r="X223" s="62"/>
      <c r="Y223" s="48"/>
      <c r="AA223" s="46"/>
    </row>
    <row r="224" spans="19:27" s="2" customFormat="1" ht="10" hidden="1">
      <c r="U224" s="66"/>
      <c r="V224" s="66"/>
      <c r="X224" s="62"/>
      <c r="Y224" s="48"/>
      <c r="AA224" s="46"/>
    </row>
    <row r="225" spans="20:27" s="2" customFormat="1" ht="10" hidden="1">
      <c r="U225" s="67"/>
      <c r="V225" s="58"/>
      <c r="X225" s="62"/>
      <c r="Y225" s="48"/>
      <c r="AA225" s="46"/>
    </row>
    <row r="226" spans="20:27" s="2" customFormat="1" ht="10" hidden="1">
      <c r="U226" s="67"/>
      <c r="V226" s="58"/>
      <c r="X226" s="62"/>
      <c r="Y226" s="48"/>
      <c r="AA226" s="46"/>
    </row>
    <row r="227" spans="20:27" s="2" customFormat="1" ht="10" hidden="1">
      <c r="U227" s="66"/>
      <c r="V227" s="66"/>
      <c r="X227" s="62"/>
      <c r="Y227" s="48"/>
      <c r="AA227" s="46"/>
    </row>
    <row r="228" spans="20:27" s="2" customFormat="1" ht="10" hidden="1">
      <c r="T228" s="57"/>
      <c r="U228" s="66"/>
      <c r="V228" s="66"/>
      <c r="AA228" s="50"/>
    </row>
    <row r="229" spans="20:27" s="2" customFormat="1" ht="10" hidden="1">
      <c r="T229" s="57"/>
      <c r="U229" s="691"/>
      <c r="V229" s="691"/>
      <c r="W229" s="690"/>
      <c r="X229" s="690"/>
      <c r="AA229" s="46"/>
    </row>
    <row r="230" spans="20:27" s="2" customFormat="1" ht="10" hidden="1">
      <c r="T230" s="57"/>
      <c r="U230" s="66"/>
      <c r="V230" s="66"/>
      <c r="AA230" s="46"/>
    </row>
    <row r="231" spans="20:27" s="2" customFormat="1" ht="10" hidden="1">
      <c r="T231" s="49"/>
      <c r="U231" s="67"/>
      <c r="V231" s="67"/>
      <c r="AA231" s="46"/>
    </row>
    <row r="232" spans="20:27" s="2" customFormat="1" ht="10" hidden="1">
      <c r="T232" s="49"/>
      <c r="U232" s="67"/>
      <c r="V232" s="67"/>
      <c r="AA232" s="46"/>
    </row>
    <row r="233" spans="20:27" s="2" customFormat="1" ht="10" hidden="1">
      <c r="T233" s="45"/>
      <c r="V233" s="66"/>
      <c r="Y233" s="35"/>
      <c r="Z233" s="35"/>
      <c r="AA233" s="50"/>
    </row>
    <row r="234" spans="20:27" s="2" customFormat="1" ht="10" hidden="1">
      <c r="V234" s="66"/>
    </row>
    <row r="235" spans="20:27" s="2" customFormat="1" ht="10" hidden="1"/>
    <row r="236" spans="20:27" s="2" customFormat="1" ht="10" hidden="1"/>
    <row r="237" spans="20:27" s="2" customFormat="1" ht="10" hidden="1"/>
    <row r="238" spans="20:27" s="2" customFormat="1" ht="10" hidden="1"/>
    <row r="239" spans="20:27" s="2" customFormat="1" ht="10" hidden="1"/>
    <row r="240" spans="20:27" s="2" customFormat="1" ht="10" hidden="1"/>
    <row r="241" s="2" customFormat="1" ht="10" hidden="1"/>
    <row r="242" s="2" customFormat="1" ht="10" hidden="1"/>
    <row r="243" s="2" customFormat="1" ht="10" hidden="1"/>
    <row r="244" s="2" customFormat="1" ht="10" hidden="1"/>
    <row r="245" s="2" customFormat="1" ht="10" hidden="1"/>
    <row r="246" s="2" customFormat="1" ht="10" hidden="1"/>
    <row r="247" s="2" customFormat="1" ht="10" hidden="1"/>
    <row r="248" s="2" customFormat="1" ht="10" hidden="1"/>
    <row r="249" s="2" customFormat="1" ht="10" hidden="1"/>
    <row r="250" s="2" customFormat="1" ht="10" hidden="1"/>
    <row r="251" s="2" customFormat="1" ht="10" hidden="1"/>
    <row r="252" s="2" customFormat="1" ht="10" hidden="1"/>
    <row r="253" s="2" customFormat="1" ht="10" hidden="1"/>
    <row r="254" s="2" customFormat="1" ht="10" hidden="1"/>
    <row r="255" s="2" customFormat="1" ht="10" hidden="1"/>
    <row r="256" s="2" customFormat="1" ht="10" hidden="1"/>
    <row r="257" s="2" customFormat="1" ht="10" hidden="1"/>
    <row r="258" s="2" customFormat="1" ht="10" hidden="1"/>
    <row r="259" s="2" customFormat="1" ht="10" hidden="1"/>
    <row r="260" s="2" customFormat="1" ht="10" hidden="1"/>
    <row r="261" s="2" customFormat="1" ht="10" hidden="1"/>
    <row r="262" s="2" customFormat="1" ht="10" hidden="1"/>
    <row r="263" s="2" customFormat="1" ht="10" hidden="1"/>
    <row r="264" s="2" customFormat="1" ht="10" hidden="1"/>
    <row r="265" s="2" customFormat="1" ht="10" hidden="1"/>
    <row r="266" s="2" customFormat="1" ht="10" hidden="1"/>
    <row r="267" s="2" customFormat="1" ht="10" hidden="1"/>
    <row r="268" s="2" customFormat="1" ht="10" hidden="1"/>
    <row r="269" s="2" customFormat="1" ht="10" hidden="1"/>
    <row r="270" s="2" customFormat="1" ht="10" hidden="1"/>
    <row r="271" s="2" customFormat="1" ht="10" hidden="1"/>
    <row r="272" s="2" customFormat="1" ht="10" hidden="1"/>
    <row r="273" s="2" customFormat="1" ht="10" hidden="1"/>
    <row r="274" s="2" customFormat="1" ht="10" hidden="1"/>
    <row r="275" s="2" customFormat="1" ht="10" hidden="1"/>
    <row r="276" s="2" customFormat="1" ht="10" hidden="1"/>
    <row r="277" s="2" customFormat="1" ht="10" hidden="1"/>
    <row r="278" s="2" customFormat="1" ht="10" hidden="1"/>
    <row r="279" s="2" customFormat="1" ht="10" hidden="1"/>
    <row r="280" s="2" customFormat="1" ht="10" hidden="1"/>
    <row r="281" s="2" customFormat="1" ht="10" hidden="1"/>
    <row r="282" s="2" customFormat="1" ht="10" hidden="1"/>
    <row r="283" s="2" customFormat="1" ht="10" hidden="1"/>
    <row r="284" s="2" customFormat="1" ht="10" hidden="1"/>
    <row r="285" s="2" customFormat="1" ht="10" hidden="1"/>
    <row r="286" s="2" customFormat="1" ht="10" hidden="1"/>
    <row r="287" s="2" customFormat="1" ht="10" hidden="1"/>
    <row r="288" s="2" customFormat="1" ht="10" hidden="1"/>
    <row r="289" s="2" customFormat="1" ht="10" hidden="1"/>
    <row r="290" s="2" customFormat="1" ht="10" hidden="1"/>
    <row r="291" s="2" customFormat="1" ht="10" hidden="1"/>
    <row r="292" s="2" customFormat="1" ht="10" hidden="1"/>
    <row r="293" s="2" customFormat="1" ht="10" hidden="1"/>
    <row r="294" s="2" customFormat="1" ht="10" hidden="1"/>
    <row r="295" s="2" customFormat="1" ht="10" hidden="1"/>
    <row r="296" s="2" customFormat="1" ht="10" hidden="1"/>
    <row r="297" s="2" customFormat="1" ht="10" hidden="1"/>
    <row r="298" s="2" customFormat="1" ht="10" hidden="1"/>
  </sheetData>
  <sheetProtection algorithmName="SHA-512" hashValue="wKfTv95gZ8+F9ehAayo+6d4gTUK9drzLra0tSoQ14B/wLos3kh+6jVuphWRT7fbUJjX/VGNA7cK9PanzHJPJFA==" saltValue="TjYKB0u5u0C+TnR1Jo46+w==" spinCount="100000" sheet="1" selectLockedCells="1" selectUnlockedCells="1"/>
  <mergeCells count="14">
    <mergeCell ref="N25:N31"/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F25:G25"/>
    <mergeCell ref="D25:E25"/>
    <mergeCell ref="J24:K24"/>
    <mergeCell ref="D24:E24"/>
    <mergeCell ref="F24:G24"/>
  </mergeCells>
  <phoneticPr fontId="0" type="noConversion"/>
  <dataValidations count="4">
    <dataValidation allowBlank="1" showDropDown="1" sqref="E14:E22"/>
    <dataValidation type="whole" allowBlank="1" showInputMessage="1" showErrorMessage="1" errorTitle="Reintentar" error="Suma Asegurada fuera de rango." sqref="E5:E6 E8">
      <formula1>75000</formula1>
      <formula2>2000000</formula2>
    </dataValidation>
    <dataValidation allowBlank="1" showInputMessage="1" showErrorMessage="1" errorTitle="Reintentar" error="Suma Asegurada fuera de rango." sqref="E7"/>
    <dataValidation type="list" allowBlank="1" showDropDown="1" showInputMessage="1" showErrorMessage="1" errorTitle="Reintentar" error="Zona no válida" sqref="F14:F15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AO219"/>
  <sheetViews>
    <sheetView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41" width="11.453125" style="3" hidden="1" customWidth="1"/>
    <col min="42" max="16384" width="11.453125" style="3"/>
  </cols>
  <sheetData>
    <row r="1" spans="2:15">
      <c r="C1" s="44" t="s">
        <v>52</v>
      </c>
      <c r="D1" s="42"/>
      <c r="E1" s="42"/>
      <c r="F1" s="42"/>
      <c r="G1" s="34"/>
      <c r="I1" s="96" t="s">
        <v>53</v>
      </c>
      <c r="J1" s="103"/>
      <c r="K1" s="103"/>
    </row>
    <row r="2" spans="2:15" hidden="1">
      <c r="G2" s="4"/>
      <c r="I2" s="679" t="str">
        <f>IF(ISERROR(VLOOKUP(E3,VALORES!$A$6:$B$11,2,FALSE)),"REGION NO VALIDA",VLOOKUP(E3,VALORES!$A$6:$B$11,2,FALSE))</f>
        <v>BAJA CALIFORNIA, BAJA CALIFORNIA SUR, MORELOS, QUERETARO, SAN LUIS POTOSI, SINALOA, SONORA</v>
      </c>
      <c r="J2" s="679"/>
    </row>
    <row r="3" spans="2:15" hidden="1">
      <c r="B3" s="36" t="s">
        <v>57</v>
      </c>
      <c r="C3" s="37"/>
      <c r="D3" s="37"/>
      <c r="E3" s="141">
        <f>+COTIZACION!D15</f>
        <v>5</v>
      </c>
      <c r="F3" s="70" t="str">
        <f>IF(E3&gt;7,"NO PROCEDE"," ")</f>
        <v xml:space="preserve"> </v>
      </c>
      <c r="G3" s="154" t="s">
        <v>58</v>
      </c>
      <c r="I3" s="679"/>
      <c r="J3" s="679"/>
    </row>
    <row r="4" spans="2:15" ht="10.5" hidden="1" customHeight="1">
      <c r="E4" s="142"/>
      <c r="G4" s="4"/>
      <c r="I4" s="679"/>
      <c r="J4" s="679"/>
    </row>
    <row r="5" spans="2:15" hidden="1">
      <c r="B5" s="36" t="s">
        <v>59</v>
      </c>
      <c r="C5" s="132"/>
      <c r="D5" s="37"/>
      <c r="E5" s="143">
        <f>+COTIZACION!D11</f>
        <v>100000000</v>
      </c>
      <c r="G5" s="151">
        <f>+TITULAR!G5</f>
        <v>1.53</v>
      </c>
      <c r="I5" s="679"/>
      <c r="J5" s="679"/>
    </row>
    <row r="6" spans="2:15" hidden="1">
      <c r="B6" s="36" t="s">
        <v>61</v>
      </c>
      <c r="C6" s="37"/>
      <c r="D6" s="37"/>
      <c r="E6" s="143">
        <f>+COTIZACION!D12</f>
        <v>15000</v>
      </c>
      <c r="G6" s="152">
        <f>+TITULAR!G6</f>
        <v>0.79800000000000004</v>
      </c>
      <c r="I6" s="679"/>
      <c r="J6" s="679"/>
    </row>
    <row r="7" spans="2:15" hidden="1">
      <c r="B7" s="36" t="s">
        <v>63</v>
      </c>
      <c r="C7" s="133"/>
      <c r="D7" s="37"/>
      <c r="E7" s="143">
        <f>+COTIZACION!D13</f>
        <v>0.1</v>
      </c>
      <c r="F7" s="4"/>
      <c r="G7" s="152">
        <f>+TITULAR!G8</f>
        <v>1</v>
      </c>
      <c r="H7" s="68"/>
      <c r="I7" s="679"/>
      <c r="J7" s="679"/>
    </row>
    <row r="8" spans="2:15" ht="11.25" hidden="1" customHeight="1">
      <c r="B8" s="36" t="s">
        <v>64</v>
      </c>
      <c r="C8" s="37"/>
      <c r="D8" s="37"/>
      <c r="E8" s="143"/>
      <c r="F8" s="4"/>
      <c r="G8" s="258"/>
      <c r="H8" s="4"/>
      <c r="I8" s="679"/>
      <c r="J8" s="679"/>
    </row>
    <row r="9" spans="2:15" ht="11.25" hidden="1" customHeight="1">
      <c r="B9" s="36" t="s">
        <v>65</v>
      </c>
      <c r="C9" s="37"/>
      <c r="D9" s="37"/>
      <c r="E9" s="194"/>
      <c r="F9" s="4"/>
      <c r="G9" s="153"/>
      <c r="H9" s="4"/>
      <c r="I9" s="193"/>
      <c r="J9" s="193"/>
    </row>
    <row r="10" spans="2:15" hidden="1">
      <c r="E10" s="144"/>
      <c r="F10" s="38" t="s">
        <v>23</v>
      </c>
      <c r="G10" s="159"/>
      <c r="H10" s="69"/>
      <c r="I10" s="70"/>
      <c r="J10" s="70"/>
      <c r="O10" s="39" t="s">
        <v>40</v>
      </c>
    </row>
    <row r="11" spans="2:15" ht="12.75" hidden="1" customHeight="1">
      <c r="B11" s="36" t="s">
        <v>68</v>
      </c>
      <c r="C11" s="37"/>
      <c r="D11" s="37"/>
      <c r="E11" s="141"/>
      <c r="F11" s="141"/>
      <c r="G11" s="157"/>
      <c r="H11" s="69"/>
      <c r="I11" s="70"/>
      <c r="J11" s="70"/>
      <c r="O11" s="39" t="s">
        <v>69</v>
      </c>
    </row>
    <row r="12" spans="2:15" ht="12.75" hidden="1" customHeight="1">
      <c r="B12" s="36" t="s">
        <v>70</v>
      </c>
      <c r="C12" s="37"/>
      <c r="D12" s="37"/>
      <c r="E12" s="141"/>
      <c r="F12" s="141"/>
      <c r="G12" s="158"/>
      <c r="H12" s="69"/>
      <c r="K12" s="99" t="s">
        <v>40</v>
      </c>
      <c r="O12" s="39"/>
    </row>
    <row r="13" spans="2:15" ht="21" hidden="1" customHeight="1">
      <c r="B13" s="2"/>
      <c r="D13" s="2"/>
      <c r="E13" s="2"/>
      <c r="F13" s="40"/>
      <c r="G13" s="147"/>
      <c r="K13" s="99" t="s">
        <v>49</v>
      </c>
    </row>
    <row r="14" spans="2:15" hidden="1">
      <c r="B14" s="36" t="s">
        <v>71</v>
      </c>
      <c r="C14" s="37"/>
      <c r="D14" s="37"/>
      <c r="E14" s="141">
        <f>+COTIZACION!C21</f>
        <v>0</v>
      </c>
      <c r="G14" s="148">
        <f>+TITULAR!G17</f>
        <v>0</v>
      </c>
      <c r="K14" s="99" t="s">
        <v>97</v>
      </c>
    </row>
    <row r="15" spans="2:15" hidden="1">
      <c r="H15" s="41"/>
    </row>
    <row r="16" spans="2:15" hidden="1">
      <c r="H16" s="41"/>
    </row>
    <row r="17" spans="2:16" ht="13" hidden="1" thickBot="1">
      <c r="H17" s="41"/>
    </row>
    <row r="18" spans="2:16" ht="12.75" hidden="1" customHeight="1" thickTop="1">
      <c r="B18" s="72"/>
      <c r="C18" s="123"/>
      <c r="D18" s="687" t="s">
        <v>85</v>
      </c>
      <c r="E18" s="686"/>
      <c r="F18" s="687" t="s">
        <v>86</v>
      </c>
      <c r="G18" s="686"/>
      <c r="H18" s="79" t="s">
        <v>87</v>
      </c>
      <c r="I18" s="76">
        <f>G14</f>
        <v>0</v>
      </c>
      <c r="J18" s="683" t="s">
        <v>88</v>
      </c>
      <c r="K18" s="684"/>
      <c r="L18" s="45"/>
      <c r="M18" s="683" t="s">
        <v>98</v>
      </c>
      <c r="N18" s="684"/>
    </row>
    <row r="19" spans="2:16" ht="12.75" hidden="1" customHeight="1">
      <c r="B19" s="128"/>
      <c r="C19" s="127"/>
      <c r="D19" s="680" t="s">
        <v>90</v>
      </c>
      <c r="E19" s="681"/>
      <c r="F19" s="680" t="s">
        <v>90</v>
      </c>
      <c r="G19" s="681"/>
      <c r="H19" s="80" t="s">
        <v>91</v>
      </c>
      <c r="I19" s="73">
        <v>0</v>
      </c>
      <c r="J19" s="74" t="s">
        <v>92</v>
      </c>
      <c r="K19" s="77">
        <f>+COTIZACION!D20</f>
        <v>0.16</v>
      </c>
      <c r="L19" s="84"/>
      <c r="M19" s="74" t="s">
        <v>92</v>
      </c>
      <c r="N19" s="77">
        <f>+COTIZACION!D20</f>
        <v>0.16</v>
      </c>
    </row>
    <row r="20" spans="2:16" ht="15" hidden="1" customHeight="1" thickBot="1">
      <c r="B20" s="677" t="s">
        <v>94</v>
      </c>
      <c r="C20" s="678"/>
      <c r="D20" s="244" t="s">
        <v>95</v>
      </c>
      <c r="E20" s="245" t="s">
        <v>96</v>
      </c>
      <c r="F20" s="78" t="s">
        <v>95</v>
      </c>
      <c r="G20" s="245" t="s">
        <v>96</v>
      </c>
      <c r="H20" s="246" t="s">
        <v>95</v>
      </c>
      <c r="I20" s="75" t="s">
        <v>96</v>
      </c>
      <c r="J20" s="246" t="s">
        <v>95</v>
      </c>
      <c r="K20" s="75" t="s">
        <v>96</v>
      </c>
      <c r="L20" s="45"/>
      <c r="M20" s="246" t="s">
        <v>95</v>
      </c>
      <c r="N20" s="75" t="s">
        <v>96</v>
      </c>
    </row>
    <row r="21" spans="2:16" ht="15" hidden="1" customHeight="1" thickTop="1">
      <c r="B21" s="129">
        <v>0</v>
      </c>
      <c r="C21" s="124"/>
      <c r="D21" s="247">
        <f>FACTORES!F39</f>
        <v>17575.080000000002</v>
      </c>
      <c r="E21" s="247">
        <f>FACTORES!G39</f>
        <v>17648.740000000002</v>
      </c>
      <c r="F21" s="248">
        <f t="shared" ref="F21:F38" si="0">ROUND(D21*$G$5*$G$6*$G$7,2)+ADIC+DENTAL+IKE+CVISION</f>
        <v>23661.57</v>
      </c>
      <c r="G21" s="248">
        <f t="shared" ref="G21:G38" si="1">ROUND(E21*$G$5*$G$6*$G$7,2)+ADIC+DENTAL+IKE+CVISION</f>
        <v>23751.5</v>
      </c>
      <c r="H21" s="248">
        <f>(F21*(1+$I$18))+$I$19</f>
        <v>23661.57</v>
      </c>
      <c r="I21" s="248">
        <f>(G21*(1+$I$18))+$I$19</f>
        <v>23751.5</v>
      </c>
      <c r="J21" s="248">
        <f>H21*(1+$K$19)</f>
        <v>27447.421199999997</v>
      </c>
      <c r="K21" s="248">
        <f>I21*(1+$K$19)</f>
        <v>27551.739999999998</v>
      </c>
      <c r="L21" s="85"/>
      <c r="M21" s="248">
        <f t="shared" ref="M21:M52" si="2">(D21*$G$5*$G$6*$G$7*$G$11*$G$12*$G$8+(ADIC+DENTAL+CVISION+IKE)*(1-DESC))*(1+IVA)</f>
        <v>2556.0019999999995</v>
      </c>
      <c r="N21" s="248">
        <f t="shared" ref="N21:N52" si="3">(E21*$G$5*$G$6*$G$7*$G$11*$G$12*$G$8+(ADIC+DENTAL+CVISION+IKE)*(1-DESC))*(1+IVA)</f>
        <v>2556.0019999999995</v>
      </c>
      <c r="O21" s="192"/>
      <c r="P21" s="192"/>
    </row>
    <row r="22" spans="2:16" ht="15" hidden="1" customHeight="1">
      <c r="B22" s="130">
        <f>+B21+1</f>
        <v>1</v>
      </c>
      <c r="C22" s="125"/>
      <c r="D22" s="249">
        <f>FACTORES!F40</f>
        <v>17575.080000000002</v>
      </c>
      <c r="E22" s="249">
        <f>FACTORES!G40</f>
        <v>17648.740000000002</v>
      </c>
      <c r="F22" s="249">
        <f t="shared" si="0"/>
        <v>23661.57</v>
      </c>
      <c r="G22" s="249">
        <f t="shared" si="1"/>
        <v>23751.5</v>
      </c>
      <c r="H22" s="249">
        <f t="shared" ref="H22:H85" si="4">(F22*(1+$I$18))+$I$19</f>
        <v>23661.57</v>
      </c>
      <c r="I22" s="249">
        <f t="shared" ref="I22:I85" si="5">(G22*(1+$I$18))+$I$19</f>
        <v>23751.5</v>
      </c>
      <c r="J22" s="249">
        <f t="shared" ref="J22:J85" si="6">H22*(1+$K$19)</f>
        <v>27447.421199999997</v>
      </c>
      <c r="K22" s="249">
        <f t="shared" ref="K22:K85" si="7">I22*(1+$K$19)</f>
        <v>27551.739999999998</v>
      </c>
      <c r="L22" s="85"/>
      <c r="M22" s="249">
        <f t="shared" si="2"/>
        <v>2556.0019999999995</v>
      </c>
      <c r="N22" s="249">
        <f t="shared" si="3"/>
        <v>2556.0019999999995</v>
      </c>
      <c r="O22" s="192"/>
      <c r="P22" s="192"/>
    </row>
    <row r="23" spans="2:16" ht="15" hidden="1" customHeight="1">
      <c r="B23" s="130">
        <f t="shared" ref="B23:B86" si="8">+B22+1</f>
        <v>2</v>
      </c>
      <c r="C23" s="125"/>
      <c r="D23" s="249">
        <f>FACTORES!F41</f>
        <v>17575.080000000002</v>
      </c>
      <c r="E23" s="249">
        <f>FACTORES!G41</f>
        <v>17648.740000000002</v>
      </c>
      <c r="F23" s="249">
        <f t="shared" si="0"/>
        <v>23661.57</v>
      </c>
      <c r="G23" s="249">
        <f t="shared" si="1"/>
        <v>23751.5</v>
      </c>
      <c r="H23" s="249">
        <f t="shared" si="4"/>
        <v>23661.57</v>
      </c>
      <c r="I23" s="249">
        <f t="shared" si="5"/>
        <v>23751.5</v>
      </c>
      <c r="J23" s="249">
        <f t="shared" si="6"/>
        <v>27447.421199999997</v>
      </c>
      <c r="K23" s="249">
        <f t="shared" si="7"/>
        <v>27551.739999999998</v>
      </c>
      <c r="L23" s="85"/>
      <c r="M23" s="249">
        <f t="shared" si="2"/>
        <v>2556.0019999999995</v>
      </c>
      <c r="N23" s="249">
        <f t="shared" si="3"/>
        <v>2556.0019999999995</v>
      </c>
      <c r="O23" s="192"/>
      <c r="P23" s="192"/>
    </row>
    <row r="24" spans="2:16" s="2" customFormat="1" ht="15" hidden="1" customHeight="1">
      <c r="B24" s="130">
        <f t="shared" si="8"/>
        <v>3</v>
      </c>
      <c r="C24" s="125"/>
      <c r="D24" s="249">
        <f>FACTORES!F42</f>
        <v>17575.080000000002</v>
      </c>
      <c r="E24" s="249">
        <f>FACTORES!G42</f>
        <v>17648.740000000002</v>
      </c>
      <c r="F24" s="249">
        <f t="shared" si="0"/>
        <v>23661.57</v>
      </c>
      <c r="G24" s="249">
        <f t="shared" si="1"/>
        <v>23751.5</v>
      </c>
      <c r="H24" s="249">
        <f t="shared" si="4"/>
        <v>23661.57</v>
      </c>
      <c r="I24" s="249">
        <f t="shared" si="5"/>
        <v>23751.5</v>
      </c>
      <c r="J24" s="249">
        <f t="shared" si="6"/>
        <v>27447.421199999997</v>
      </c>
      <c r="K24" s="249">
        <f t="shared" si="7"/>
        <v>27551.739999999998</v>
      </c>
      <c r="L24" s="85"/>
      <c r="M24" s="249">
        <f t="shared" si="2"/>
        <v>2556.0019999999995</v>
      </c>
      <c r="N24" s="249">
        <f t="shared" si="3"/>
        <v>2556.0019999999995</v>
      </c>
      <c r="O24" s="192"/>
      <c r="P24" s="192"/>
    </row>
    <row r="25" spans="2:16" s="2" customFormat="1" ht="15" hidden="1" customHeight="1">
      <c r="B25" s="130">
        <f t="shared" si="8"/>
        <v>4</v>
      </c>
      <c r="C25" s="125"/>
      <c r="D25" s="249">
        <f>FACTORES!F43</f>
        <v>17575.080000000002</v>
      </c>
      <c r="E25" s="249">
        <f>FACTORES!G43</f>
        <v>17648.740000000002</v>
      </c>
      <c r="F25" s="249">
        <f t="shared" si="0"/>
        <v>23661.57</v>
      </c>
      <c r="G25" s="249">
        <f t="shared" si="1"/>
        <v>23751.5</v>
      </c>
      <c r="H25" s="249">
        <f t="shared" si="4"/>
        <v>23661.57</v>
      </c>
      <c r="I25" s="249">
        <f t="shared" si="5"/>
        <v>23751.5</v>
      </c>
      <c r="J25" s="249">
        <f t="shared" si="6"/>
        <v>27447.421199999997</v>
      </c>
      <c r="K25" s="249">
        <f t="shared" si="7"/>
        <v>27551.739999999998</v>
      </c>
      <c r="L25" s="85"/>
      <c r="M25" s="249">
        <f t="shared" si="2"/>
        <v>2556.0019999999995</v>
      </c>
      <c r="N25" s="249">
        <f t="shared" si="3"/>
        <v>2556.0019999999995</v>
      </c>
      <c r="O25" s="192"/>
      <c r="P25" s="192"/>
    </row>
    <row r="26" spans="2:16" s="2" customFormat="1" ht="15" hidden="1" customHeight="1">
      <c r="B26" s="130">
        <f t="shared" si="8"/>
        <v>5</v>
      </c>
      <c r="C26" s="125"/>
      <c r="D26" s="249">
        <f>FACTORES!F44</f>
        <v>17575.080000000002</v>
      </c>
      <c r="E26" s="249">
        <f>FACTORES!G44</f>
        <v>17648.740000000002</v>
      </c>
      <c r="F26" s="249">
        <f t="shared" si="0"/>
        <v>23661.57</v>
      </c>
      <c r="G26" s="249">
        <f t="shared" si="1"/>
        <v>23751.5</v>
      </c>
      <c r="H26" s="249">
        <f t="shared" si="4"/>
        <v>23661.57</v>
      </c>
      <c r="I26" s="249">
        <f t="shared" si="5"/>
        <v>23751.5</v>
      </c>
      <c r="J26" s="249">
        <f t="shared" si="6"/>
        <v>27447.421199999997</v>
      </c>
      <c r="K26" s="249">
        <f t="shared" si="7"/>
        <v>27551.739999999998</v>
      </c>
      <c r="L26" s="85"/>
      <c r="M26" s="249">
        <f t="shared" si="2"/>
        <v>2556.0019999999995</v>
      </c>
      <c r="N26" s="249">
        <f t="shared" si="3"/>
        <v>2556.0019999999995</v>
      </c>
      <c r="O26" s="192"/>
      <c r="P26" s="192"/>
    </row>
    <row r="27" spans="2:16" s="2" customFormat="1" ht="15" hidden="1" customHeight="1">
      <c r="B27" s="130">
        <f t="shared" si="8"/>
        <v>6</v>
      </c>
      <c r="C27" s="125"/>
      <c r="D27" s="249">
        <f>FACTORES!F45</f>
        <v>17575.080000000002</v>
      </c>
      <c r="E27" s="249">
        <f>FACTORES!G45</f>
        <v>17648.740000000002</v>
      </c>
      <c r="F27" s="249">
        <f t="shared" si="0"/>
        <v>23661.57</v>
      </c>
      <c r="G27" s="249">
        <f t="shared" si="1"/>
        <v>23751.5</v>
      </c>
      <c r="H27" s="249">
        <f t="shared" si="4"/>
        <v>23661.57</v>
      </c>
      <c r="I27" s="249">
        <f t="shared" si="5"/>
        <v>23751.5</v>
      </c>
      <c r="J27" s="249">
        <f t="shared" si="6"/>
        <v>27447.421199999997</v>
      </c>
      <c r="K27" s="249">
        <f t="shared" si="7"/>
        <v>27551.739999999998</v>
      </c>
      <c r="L27" s="85"/>
      <c r="M27" s="249">
        <f t="shared" si="2"/>
        <v>2556.0019999999995</v>
      </c>
      <c r="N27" s="249">
        <f t="shared" si="3"/>
        <v>2556.0019999999995</v>
      </c>
      <c r="O27" s="192"/>
      <c r="P27" s="192"/>
    </row>
    <row r="28" spans="2:16" s="2" customFormat="1" ht="15" hidden="1" customHeight="1">
      <c r="B28" s="130">
        <f t="shared" si="8"/>
        <v>7</v>
      </c>
      <c r="C28" s="125"/>
      <c r="D28" s="249">
        <f>FACTORES!F46</f>
        <v>17575.080000000002</v>
      </c>
      <c r="E28" s="249">
        <f>FACTORES!G46</f>
        <v>17648.740000000002</v>
      </c>
      <c r="F28" s="249">
        <f t="shared" si="0"/>
        <v>23661.57</v>
      </c>
      <c r="G28" s="249">
        <f t="shared" si="1"/>
        <v>23751.5</v>
      </c>
      <c r="H28" s="249">
        <f t="shared" si="4"/>
        <v>23661.57</v>
      </c>
      <c r="I28" s="249">
        <f t="shared" si="5"/>
        <v>23751.5</v>
      </c>
      <c r="J28" s="249">
        <f t="shared" si="6"/>
        <v>27447.421199999997</v>
      </c>
      <c r="K28" s="249">
        <f t="shared" si="7"/>
        <v>27551.739999999998</v>
      </c>
      <c r="L28" s="85"/>
      <c r="M28" s="249">
        <f t="shared" si="2"/>
        <v>2556.0019999999995</v>
      </c>
      <c r="N28" s="249">
        <f t="shared" si="3"/>
        <v>2556.0019999999995</v>
      </c>
      <c r="O28" s="192"/>
      <c r="P28" s="192"/>
    </row>
    <row r="29" spans="2:16" s="2" customFormat="1" ht="15" hidden="1" customHeight="1">
      <c r="B29" s="130">
        <f t="shared" si="8"/>
        <v>8</v>
      </c>
      <c r="C29" s="125"/>
      <c r="D29" s="249">
        <f>FACTORES!F47</f>
        <v>17575.080000000002</v>
      </c>
      <c r="E29" s="249">
        <f>FACTORES!G47</f>
        <v>17648.740000000002</v>
      </c>
      <c r="F29" s="249">
        <f t="shared" si="0"/>
        <v>23661.57</v>
      </c>
      <c r="G29" s="249">
        <f t="shared" si="1"/>
        <v>23751.5</v>
      </c>
      <c r="H29" s="249">
        <f t="shared" si="4"/>
        <v>23661.57</v>
      </c>
      <c r="I29" s="249">
        <f t="shared" si="5"/>
        <v>23751.5</v>
      </c>
      <c r="J29" s="249">
        <f t="shared" si="6"/>
        <v>27447.421199999997</v>
      </c>
      <c r="K29" s="249">
        <f t="shared" si="7"/>
        <v>27551.739999999998</v>
      </c>
      <c r="L29" s="85"/>
      <c r="M29" s="249">
        <f t="shared" si="2"/>
        <v>2556.0019999999995</v>
      </c>
      <c r="N29" s="249">
        <f t="shared" si="3"/>
        <v>2556.0019999999995</v>
      </c>
      <c r="O29" s="192"/>
      <c r="P29" s="192"/>
    </row>
    <row r="30" spans="2:16" s="2" customFormat="1" ht="15" hidden="1" customHeight="1">
      <c r="B30" s="130">
        <f t="shared" si="8"/>
        <v>9</v>
      </c>
      <c r="C30" s="125"/>
      <c r="D30" s="249">
        <f>FACTORES!F48</f>
        <v>17575.080000000002</v>
      </c>
      <c r="E30" s="249">
        <f>FACTORES!G48</f>
        <v>17648.740000000002</v>
      </c>
      <c r="F30" s="249">
        <f t="shared" si="0"/>
        <v>23661.57</v>
      </c>
      <c r="G30" s="249">
        <f t="shared" si="1"/>
        <v>23751.5</v>
      </c>
      <c r="H30" s="249">
        <f t="shared" si="4"/>
        <v>23661.57</v>
      </c>
      <c r="I30" s="249">
        <f t="shared" si="5"/>
        <v>23751.5</v>
      </c>
      <c r="J30" s="249">
        <f t="shared" si="6"/>
        <v>27447.421199999997</v>
      </c>
      <c r="K30" s="249">
        <f t="shared" si="7"/>
        <v>27551.739999999998</v>
      </c>
      <c r="L30" s="85"/>
      <c r="M30" s="249">
        <f t="shared" si="2"/>
        <v>2556.0019999999995</v>
      </c>
      <c r="N30" s="249">
        <f t="shared" si="3"/>
        <v>2556.0019999999995</v>
      </c>
      <c r="O30" s="192"/>
      <c r="P30" s="192"/>
    </row>
    <row r="31" spans="2:16" s="2" customFormat="1" ht="15" hidden="1" customHeight="1">
      <c r="B31" s="130">
        <f t="shared" si="8"/>
        <v>10</v>
      </c>
      <c r="C31" s="125"/>
      <c r="D31" s="249">
        <f>FACTORES!F49</f>
        <v>17575.080000000002</v>
      </c>
      <c r="E31" s="249">
        <f>FACTORES!G49</f>
        <v>17648.740000000002</v>
      </c>
      <c r="F31" s="249">
        <f t="shared" si="0"/>
        <v>23661.57</v>
      </c>
      <c r="G31" s="249">
        <f t="shared" si="1"/>
        <v>23751.5</v>
      </c>
      <c r="H31" s="249">
        <f t="shared" si="4"/>
        <v>23661.57</v>
      </c>
      <c r="I31" s="249">
        <f t="shared" si="5"/>
        <v>23751.5</v>
      </c>
      <c r="J31" s="249">
        <f t="shared" si="6"/>
        <v>27447.421199999997</v>
      </c>
      <c r="K31" s="249">
        <f t="shared" si="7"/>
        <v>27551.739999999998</v>
      </c>
      <c r="L31" s="85"/>
      <c r="M31" s="249">
        <f t="shared" si="2"/>
        <v>2556.0019999999995</v>
      </c>
      <c r="N31" s="249">
        <f t="shared" si="3"/>
        <v>2556.0019999999995</v>
      </c>
      <c r="O31" s="192"/>
      <c r="P31" s="192"/>
    </row>
    <row r="32" spans="2:16" s="2" customFormat="1" ht="15" hidden="1" customHeight="1">
      <c r="B32" s="130">
        <f t="shared" si="8"/>
        <v>11</v>
      </c>
      <c r="C32" s="125"/>
      <c r="D32" s="249">
        <f>FACTORES!F50</f>
        <v>17774.04</v>
      </c>
      <c r="E32" s="249">
        <f>FACTORES!G50</f>
        <v>17639.93</v>
      </c>
      <c r="F32" s="249">
        <f t="shared" si="0"/>
        <v>23904.49</v>
      </c>
      <c r="G32" s="249">
        <f t="shared" si="1"/>
        <v>23740.75</v>
      </c>
      <c r="H32" s="249">
        <f t="shared" si="4"/>
        <v>23904.49</v>
      </c>
      <c r="I32" s="249">
        <f t="shared" si="5"/>
        <v>23740.75</v>
      </c>
      <c r="J32" s="249">
        <f t="shared" si="6"/>
        <v>27729.2084</v>
      </c>
      <c r="K32" s="249">
        <f t="shared" si="7"/>
        <v>27539.269999999997</v>
      </c>
      <c r="L32" s="85"/>
      <c r="M32" s="249">
        <f t="shared" si="2"/>
        <v>2556.0019999999995</v>
      </c>
      <c r="N32" s="249">
        <f t="shared" si="3"/>
        <v>2556.0019999999995</v>
      </c>
      <c r="O32" s="192"/>
      <c r="P32" s="192"/>
    </row>
    <row r="33" spans="2:16" s="2" customFormat="1" ht="15" hidden="1" customHeight="1">
      <c r="B33" s="130">
        <f t="shared" si="8"/>
        <v>12</v>
      </c>
      <c r="C33" s="125"/>
      <c r="D33" s="249">
        <f>FACTORES!F51</f>
        <v>17707.939999999999</v>
      </c>
      <c r="E33" s="249">
        <f>FACTORES!G51</f>
        <v>17809.22</v>
      </c>
      <c r="F33" s="249">
        <f t="shared" si="0"/>
        <v>23823.780000000002</v>
      </c>
      <c r="G33" s="249">
        <f t="shared" si="1"/>
        <v>23947.440000000002</v>
      </c>
      <c r="H33" s="249">
        <f t="shared" si="4"/>
        <v>23823.780000000002</v>
      </c>
      <c r="I33" s="249">
        <f t="shared" si="5"/>
        <v>23947.440000000002</v>
      </c>
      <c r="J33" s="249">
        <f t="shared" si="6"/>
        <v>27635.584800000001</v>
      </c>
      <c r="K33" s="249">
        <f t="shared" si="7"/>
        <v>27779.0304</v>
      </c>
      <c r="L33" s="85"/>
      <c r="M33" s="249">
        <f t="shared" si="2"/>
        <v>2556.0019999999995</v>
      </c>
      <c r="N33" s="249">
        <f t="shared" si="3"/>
        <v>2556.0019999999995</v>
      </c>
      <c r="O33" s="192"/>
      <c r="P33" s="192"/>
    </row>
    <row r="34" spans="2:16" s="2" customFormat="1" ht="15" hidden="1" customHeight="1">
      <c r="B34" s="130">
        <f t="shared" si="8"/>
        <v>13</v>
      </c>
      <c r="C34" s="125"/>
      <c r="D34" s="249">
        <f>FACTORES!F52</f>
        <v>17576.689999999999</v>
      </c>
      <c r="E34" s="249">
        <f>FACTORES!G52</f>
        <v>17698.39</v>
      </c>
      <c r="F34" s="249">
        <f t="shared" si="0"/>
        <v>23663.530000000002</v>
      </c>
      <c r="G34" s="249">
        <f t="shared" si="1"/>
        <v>23812.12</v>
      </c>
      <c r="H34" s="249">
        <f t="shared" si="4"/>
        <v>23663.530000000002</v>
      </c>
      <c r="I34" s="249">
        <f t="shared" si="5"/>
        <v>23812.12</v>
      </c>
      <c r="J34" s="249">
        <f t="shared" si="6"/>
        <v>27449.694800000001</v>
      </c>
      <c r="K34" s="249">
        <f t="shared" si="7"/>
        <v>27622.059199999996</v>
      </c>
      <c r="L34" s="85"/>
      <c r="M34" s="249">
        <f t="shared" si="2"/>
        <v>2556.0019999999995</v>
      </c>
      <c r="N34" s="249">
        <f t="shared" si="3"/>
        <v>2556.0019999999995</v>
      </c>
      <c r="O34" s="192"/>
      <c r="P34" s="192"/>
    </row>
    <row r="35" spans="2:16" s="2" customFormat="1" ht="15" hidden="1" customHeight="1">
      <c r="B35" s="130">
        <f t="shared" si="8"/>
        <v>14</v>
      </c>
      <c r="C35" s="125"/>
      <c r="D35" s="249">
        <f>FACTORES!F53</f>
        <v>17101.37</v>
      </c>
      <c r="E35" s="249">
        <f>FACTORES!G53</f>
        <v>17353.79</v>
      </c>
      <c r="F35" s="249">
        <f t="shared" si="0"/>
        <v>23083.200000000001</v>
      </c>
      <c r="G35" s="249">
        <f t="shared" si="1"/>
        <v>23391.39</v>
      </c>
      <c r="H35" s="249">
        <f t="shared" si="4"/>
        <v>23083.200000000001</v>
      </c>
      <c r="I35" s="249">
        <f t="shared" si="5"/>
        <v>23391.39</v>
      </c>
      <c r="J35" s="249">
        <f t="shared" si="6"/>
        <v>26776.511999999999</v>
      </c>
      <c r="K35" s="249">
        <f t="shared" si="7"/>
        <v>27134.012399999996</v>
      </c>
      <c r="M35" s="249">
        <f t="shared" si="2"/>
        <v>2556.0019999999995</v>
      </c>
      <c r="N35" s="249">
        <f t="shared" si="3"/>
        <v>2556.0019999999995</v>
      </c>
      <c r="O35" s="192"/>
      <c r="P35" s="192"/>
    </row>
    <row r="36" spans="2:16" s="2" customFormat="1" ht="15" hidden="1" customHeight="1">
      <c r="B36" s="130">
        <f t="shared" si="8"/>
        <v>15</v>
      </c>
      <c r="C36" s="125"/>
      <c r="D36" s="249">
        <f>FACTORES!F54</f>
        <v>17164.68</v>
      </c>
      <c r="E36" s="249">
        <f>FACTORES!G54</f>
        <v>17069.79</v>
      </c>
      <c r="F36" s="249">
        <f t="shared" si="0"/>
        <v>23160.49</v>
      </c>
      <c r="G36" s="249">
        <f t="shared" si="1"/>
        <v>23044.639999999999</v>
      </c>
      <c r="H36" s="249">
        <f t="shared" si="4"/>
        <v>23160.49</v>
      </c>
      <c r="I36" s="249">
        <f t="shared" si="5"/>
        <v>23044.639999999999</v>
      </c>
      <c r="J36" s="249">
        <f t="shared" si="6"/>
        <v>26866.168399999999</v>
      </c>
      <c r="K36" s="249">
        <f t="shared" si="7"/>
        <v>26731.782399999996</v>
      </c>
      <c r="M36" s="249">
        <f t="shared" si="2"/>
        <v>2556.0019999999995</v>
      </c>
      <c r="N36" s="249">
        <f t="shared" si="3"/>
        <v>2556.0019999999995</v>
      </c>
      <c r="O36" s="192"/>
      <c r="P36" s="192"/>
    </row>
    <row r="37" spans="2:16" s="2" customFormat="1" ht="15" hidden="1" customHeight="1">
      <c r="B37" s="130">
        <f t="shared" si="8"/>
        <v>16</v>
      </c>
      <c r="C37" s="125"/>
      <c r="D37" s="249">
        <f>FACTORES!F55</f>
        <v>16873.77</v>
      </c>
      <c r="E37" s="249">
        <f>FACTORES!G55</f>
        <v>15781.15</v>
      </c>
      <c r="F37" s="249">
        <f t="shared" si="0"/>
        <v>22805.31</v>
      </c>
      <c r="G37" s="249">
        <f t="shared" si="1"/>
        <v>21471.29</v>
      </c>
      <c r="H37" s="249">
        <f t="shared" si="4"/>
        <v>22805.31</v>
      </c>
      <c r="I37" s="249">
        <f t="shared" si="5"/>
        <v>21471.29</v>
      </c>
      <c r="J37" s="249">
        <f t="shared" si="6"/>
        <v>26454.159599999999</v>
      </c>
      <c r="K37" s="249">
        <f t="shared" si="7"/>
        <v>24906.696400000001</v>
      </c>
      <c r="M37" s="249">
        <f t="shared" si="2"/>
        <v>2556.0019999999995</v>
      </c>
      <c r="N37" s="249">
        <f t="shared" si="3"/>
        <v>2556.0019999999995</v>
      </c>
      <c r="O37" s="192"/>
      <c r="P37" s="192"/>
    </row>
    <row r="38" spans="2:16" s="2" customFormat="1" ht="15" hidden="1" customHeight="1">
      <c r="B38" s="130">
        <f t="shared" si="8"/>
        <v>17</v>
      </c>
      <c r="C38" s="125"/>
      <c r="D38" s="249">
        <f>FACTORES!F56</f>
        <v>16981.95</v>
      </c>
      <c r="E38" s="249">
        <f>FACTORES!G56</f>
        <v>16040.33</v>
      </c>
      <c r="F38" s="249">
        <f t="shared" si="0"/>
        <v>22937.39</v>
      </c>
      <c r="G38" s="249">
        <f t="shared" si="1"/>
        <v>21787.73</v>
      </c>
      <c r="H38" s="249">
        <f t="shared" si="4"/>
        <v>22937.39</v>
      </c>
      <c r="I38" s="249">
        <f t="shared" si="5"/>
        <v>21787.73</v>
      </c>
      <c r="J38" s="249">
        <f t="shared" si="6"/>
        <v>26607.372399999997</v>
      </c>
      <c r="K38" s="249">
        <f t="shared" si="7"/>
        <v>25273.766799999998</v>
      </c>
      <c r="M38" s="249">
        <f t="shared" si="2"/>
        <v>2556.0019999999995</v>
      </c>
      <c r="N38" s="249">
        <f t="shared" si="3"/>
        <v>2556.0019999999995</v>
      </c>
      <c r="O38" s="192"/>
      <c r="P38" s="192"/>
    </row>
    <row r="39" spans="2:16" s="2" customFormat="1" ht="15" hidden="1" customHeight="1">
      <c r="B39" s="130">
        <f t="shared" si="8"/>
        <v>18</v>
      </c>
      <c r="C39" s="125"/>
      <c r="D39" s="249">
        <f>FACTORES!F57</f>
        <v>17458.23</v>
      </c>
      <c r="E39" s="249">
        <f>FACTORES!G57</f>
        <v>15545.69</v>
      </c>
      <c r="F39" s="249">
        <f t="shared" ref="F39:F70" si="9">ROUND(D39*$G$5*$G$6*$G$7,2)+ADIC+DENTAL+IKE+CVISION</f>
        <v>23518.9</v>
      </c>
      <c r="G39" s="393">
        <f t="shared" ref="G39:G75" si="10">ROUND(E39*$G$5*$G$6*$G$7,2)+ADIC+DENTAL+IKE+PARTO+CVISION</f>
        <v>21984.73</v>
      </c>
      <c r="H39" s="249">
        <f t="shared" si="4"/>
        <v>23518.9</v>
      </c>
      <c r="I39" s="249">
        <f t="shared" si="5"/>
        <v>21984.73</v>
      </c>
      <c r="J39" s="249">
        <f t="shared" si="6"/>
        <v>27281.923999999999</v>
      </c>
      <c r="K39" s="249">
        <f t="shared" si="7"/>
        <v>25502.286799999998</v>
      </c>
      <c r="M39" s="249">
        <f t="shared" si="2"/>
        <v>2556.0019999999995</v>
      </c>
      <c r="N39" s="249">
        <f t="shared" si="3"/>
        <v>2556.0019999999995</v>
      </c>
      <c r="O39" s="192"/>
      <c r="P39" s="192"/>
    </row>
    <row r="40" spans="2:16" s="2" customFormat="1" ht="15" hidden="1" customHeight="1">
      <c r="B40" s="130">
        <f t="shared" si="8"/>
        <v>19</v>
      </c>
      <c r="C40" s="125"/>
      <c r="D40" s="249">
        <f>FACTORES!F58</f>
        <v>18039.169999999998</v>
      </c>
      <c r="E40" s="249">
        <f>FACTORES!G58</f>
        <v>15773.81</v>
      </c>
      <c r="F40" s="249">
        <f t="shared" si="9"/>
        <v>24228.190000000002</v>
      </c>
      <c r="G40" s="393">
        <f t="shared" si="10"/>
        <v>22263.260000000002</v>
      </c>
      <c r="H40" s="249">
        <f t="shared" si="4"/>
        <v>24228.190000000002</v>
      </c>
      <c r="I40" s="249">
        <f t="shared" si="5"/>
        <v>22263.260000000002</v>
      </c>
      <c r="J40" s="249">
        <f t="shared" si="6"/>
        <v>28104.700400000002</v>
      </c>
      <c r="K40" s="249">
        <f t="shared" si="7"/>
        <v>25825.381600000001</v>
      </c>
      <c r="M40" s="249">
        <f t="shared" si="2"/>
        <v>2556.0019999999995</v>
      </c>
      <c r="N40" s="249">
        <f t="shared" si="3"/>
        <v>2556.0019999999995</v>
      </c>
      <c r="O40" s="192"/>
      <c r="P40" s="192"/>
    </row>
    <row r="41" spans="2:16" s="2" customFormat="1" ht="15" hidden="1" customHeight="1">
      <c r="B41" s="130">
        <f t="shared" si="8"/>
        <v>20</v>
      </c>
      <c r="C41" s="125"/>
      <c r="D41" s="249">
        <f>FACTORES!F59</f>
        <v>18695.599999999999</v>
      </c>
      <c r="E41" s="249">
        <f>FACTORES!G59</f>
        <v>18678.93</v>
      </c>
      <c r="F41" s="249">
        <f t="shared" si="9"/>
        <v>25029.66</v>
      </c>
      <c r="G41" s="393">
        <f t="shared" si="10"/>
        <v>25810.23</v>
      </c>
      <c r="H41" s="249">
        <f t="shared" si="4"/>
        <v>25029.66</v>
      </c>
      <c r="I41" s="249">
        <f t="shared" si="5"/>
        <v>25810.23</v>
      </c>
      <c r="J41" s="249">
        <f t="shared" si="6"/>
        <v>29034.405599999998</v>
      </c>
      <c r="K41" s="249">
        <f t="shared" si="7"/>
        <v>29939.866799999996</v>
      </c>
      <c r="M41" s="249">
        <f t="shared" si="2"/>
        <v>2556.0019999999995</v>
      </c>
      <c r="N41" s="249">
        <f t="shared" si="3"/>
        <v>2556.0019999999995</v>
      </c>
      <c r="O41" s="192"/>
      <c r="P41" s="192"/>
    </row>
    <row r="42" spans="2:16" s="2" customFormat="1" ht="15" hidden="1" customHeight="1">
      <c r="B42" s="130">
        <f t="shared" si="8"/>
        <v>21</v>
      </c>
      <c r="C42" s="125"/>
      <c r="D42" s="249">
        <f>FACTORES!F60</f>
        <v>20020.95</v>
      </c>
      <c r="E42" s="249">
        <f>FACTORES!G60</f>
        <v>23916.89</v>
      </c>
      <c r="F42" s="249">
        <f t="shared" si="9"/>
        <v>26647.83</v>
      </c>
      <c r="G42" s="393">
        <f t="shared" si="10"/>
        <v>32205.47</v>
      </c>
      <c r="H42" s="249">
        <f t="shared" si="4"/>
        <v>26647.83</v>
      </c>
      <c r="I42" s="249">
        <f t="shared" si="5"/>
        <v>32205.47</v>
      </c>
      <c r="J42" s="249">
        <f t="shared" si="6"/>
        <v>30911.482800000002</v>
      </c>
      <c r="K42" s="249">
        <f t="shared" si="7"/>
        <v>37358.345199999996</v>
      </c>
      <c r="M42" s="249">
        <f t="shared" si="2"/>
        <v>2556.0019999999995</v>
      </c>
      <c r="N42" s="249">
        <f t="shared" si="3"/>
        <v>2556.0019999999995</v>
      </c>
      <c r="O42" s="192"/>
      <c r="P42" s="192"/>
    </row>
    <row r="43" spans="2:16" s="2" customFormat="1" ht="15" hidden="1" customHeight="1">
      <c r="B43" s="130">
        <f t="shared" si="8"/>
        <v>22</v>
      </c>
      <c r="C43" s="125"/>
      <c r="D43" s="249">
        <f>FACTORES!F61</f>
        <v>20895.2</v>
      </c>
      <c r="E43" s="249">
        <f>FACTORES!G61</f>
        <v>25057.05</v>
      </c>
      <c r="F43" s="249">
        <f t="shared" si="9"/>
        <v>27715.24</v>
      </c>
      <c r="G43" s="393">
        <f t="shared" si="10"/>
        <v>33597.530000000006</v>
      </c>
      <c r="H43" s="249">
        <f t="shared" si="4"/>
        <v>27715.24</v>
      </c>
      <c r="I43" s="249">
        <f t="shared" si="5"/>
        <v>33597.530000000006</v>
      </c>
      <c r="J43" s="249">
        <f t="shared" si="6"/>
        <v>32149.678400000001</v>
      </c>
      <c r="K43" s="249">
        <f t="shared" si="7"/>
        <v>38973.134800000007</v>
      </c>
      <c r="M43" s="249">
        <f t="shared" si="2"/>
        <v>2556.0019999999995</v>
      </c>
      <c r="N43" s="249">
        <f t="shared" si="3"/>
        <v>2556.0019999999995</v>
      </c>
      <c r="O43" s="192"/>
      <c r="P43" s="192"/>
    </row>
    <row r="44" spans="2:16" s="2" customFormat="1" ht="15" hidden="1" customHeight="1">
      <c r="B44" s="130">
        <f t="shared" si="8"/>
        <v>23</v>
      </c>
      <c r="C44" s="125"/>
      <c r="D44" s="249">
        <f>FACTORES!F62</f>
        <v>22281.9</v>
      </c>
      <c r="E44" s="249">
        <f>FACTORES!G62</f>
        <v>26226.92</v>
      </c>
      <c r="F44" s="249">
        <f t="shared" si="9"/>
        <v>29408.31</v>
      </c>
      <c r="G44" s="393">
        <f t="shared" si="10"/>
        <v>35025.880000000005</v>
      </c>
      <c r="H44" s="249">
        <f t="shared" si="4"/>
        <v>29408.31</v>
      </c>
      <c r="I44" s="249">
        <f t="shared" si="5"/>
        <v>35025.880000000005</v>
      </c>
      <c r="J44" s="249">
        <f t="shared" si="6"/>
        <v>34113.639600000002</v>
      </c>
      <c r="K44" s="249">
        <f t="shared" si="7"/>
        <v>40630.020800000006</v>
      </c>
      <c r="M44" s="249">
        <f t="shared" si="2"/>
        <v>2556.0019999999995</v>
      </c>
      <c r="N44" s="249">
        <f t="shared" si="3"/>
        <v>2556.0019999999995</v>
      </c>
      <c r="O44" s="192"/>
      <c r="P44" s="192"/>
    </row>
    <row r="45" spans="2:16" s="2" customFormat="1" ht="15" hidden="1" customHeight="1">
      <c r="B45" s="130">
        <f t="shared" si="8"/>
        <v>24</v>
      </c>
      <c r="C45" s="125"/>
      <c r="D45" s="249">
        <f>FACTORES!F63</f>
        <v>23186.3</v>
      </c>
      <c r="E45" s="249">
        <f>FACTORES!G63</f>
        <v>27453.22</v>
      </c>
      <c r="F45" s="249">
        <f t="shared" si="9"/>
        <v>30512.530000000002</v>
      </c>
      <c r="G45" s="393">
        <f t="shared" si="10"/>
        <v>36523.110000000008</v>
      </c>
      <c r="H45" s="249">
        <f t="shared" si="4"/>
        <v>30512.530000000002</v>
      </c>
      <c r="I45" s="249">
        <f t="shared" si="5"/>
        <v>36523.110000000008</v>
      </c>
      <c r="J45" s="249">
        <f t="shared" si="6"/>
        <v>35394.534800000001</v>
      </c>
      <c r="K45" s="249">
        <f t="shared" si="7"/>
        <v>42366.807600000007</v>
      </c>
      <c r="M45" s="249">
        <f t="shared" si="2"/>
        <v>2556.0019999999995</v>
      </c>
      <c r="N45" s="249">
        <f t="shared" si="3"/>
        <v>2556.0019999999995</v>
      </c>
      <c r="O45" s="192"/>
      <c r="P45" s="192"/>
    </row>
    <row r="46" spans="2:16" s="2" customFormat="1" ht="15" hidden="1" customHeight="1">
      <c r="B46" s="130">
        <f t="shared" si="8"/>
        <v>25</v>
      </c>
      <c r="C46" s="125"/>
      <c r="D46" s="249">
        <f>FACTORES!F64</f>
        <v>24093.32</v>
      </c>
      <c r="E46" s="249">
        <f>FACTORES!G64</f>
        <v>28724.23</v>
      </c>
      <c r="F46" s="249">
        <f t="shared" si="9"/>
        <v>31619.95</v>
      </c>
      <c r="G46" s="393">
        <f t="shared" si="10"/>
        <v>38074.94</v>
      </c>
      <c r="H46" s="249">
        <f t="shared" si="4"/>
        <v>31619.95</v>
      </c>
      <c r="I46" s="249">
        <f t="shared" si="5"/>
        <v>38074.94</v>
      </c>
      <c r="J46" s="249">
        <f t="shared" si="6"/>
        <v>36679.142</v>
      </c>
      <c r="K46" s="249">
        <f t="shared" si="7"/>
        <v>44166.930399999997</v>
      </c>
      <c r="M46" s="249">
        <f t="shared" si="2"/>
        <v>2556.0019999999995</v>
      </c>
      <c r="N46" s="249">
        <f t="shared" si="3"/>
        <v>2556.0019999999995</v>
      </c>
      <c r="O46" s="192"/>
      <c r="P46" s="192"/>
    </row>
    <row r="47" spans="2:16" s="2" customFormat="1" ht="15" hidden="1" customHeight="1">
      <c r="B47" s="130">
        <f t="shared" si="8"/>
        <v>26</v>
      </c>
      <c r="C47" s="125"/>
      <c r="D47" s="249">
        <f>FACTORES!F65</f>
        <v>25689.72</v>
      </c>
      <c r="E47" s="249">
        <f>FACTORES!G65</f>
        <v>29838.83</v>
      </c>
      <c r="F47" s="249">
        <f t="shared" si="9"/>
        <v>33569.060000000005</v>
      </c>
      <c r="G47" s="393">
        <f t="shared" si="10"/>
        <v>39435.800000000003</v>
      </c>
      <c r="H47" s="249">
        <f t="shared" si="4"/>
        <v>33569.060000000005</v>
      </c>
      <c r="I47" s="249">
        <f t="shared" si="5"/>
        <v>39435.800000000003</v>
      </c>
      <c r="J47" s="249">
        <f t="shared" si="6"/>
        <v>38940.109600000003</v>
      </c>
      <c r="K47" s="249">
        <f t="shared" si="7"/>
        <v>45745.527999999998</v>
      </c>
      <c r="M47" s="249">
        <f t="shared" si="2"/>
        <v>2556.0019999999995</v>
      </c>
      <c r="N47" s="249">
        <f t="shared" si="3"/>
        <v>2556.0019999999995</v>
      </c>
      <c r="O47" s="192"/>
      <c r="P47" s="192"/>
    </row>
    <row r="48" spans="2:16" s="2" customFormat="1" ht="15" hidden="1" customHeight="1">
      <c r="B48" s="130">
        <f t="shared" si="8"/>
        <v>27</v>
      </c>
      <c r="C48" s="125"/>
      <c r="D48" s="249">
        <f>FACTORES!F66</f>
        <v>26826.38</v>
      </c>
      <c r="E48" s="249">
        <f>FACTORES!G66</f>
        <v>31202.01</v>
      </c>
      <c r="F48" s="249">
        <f t="shared" si="9"/>
        <v>34956.850000000006</v>
      </c>
      <c r="G48" s="393">
        <f t="shared" si="10"/>
        <v>41100.160000000003</v>
      </c>
      <c r="H48" s="249">
        <f t="shared" si="4"/>
        <v>34956.850000000006</v>
      </c>
      <c r="I48" s="249">
        <f t="shared" si="5"/>
        <v>41100.160000000003</v>
      </c>
      <c r="J48" s="249">
        <f t="shared" si="6"/>
        <v>40549.946000000004</v>
      </c>
      <c r="K48" s="249">
        <f t="shared" si="7"/>
        <v>47676.185600000004</v>
      </c>
      <c r="M48" s="249">
        <f t="shared" si="2"/>
        <v>2556.0019999999995</v>
      </c>
      <c r="N48" s="249">
        <f t="shared" si="3"/>
        <v>2556.0019999999995</v>
      </c>
      <c r="O48" s="192"/>
      <c r="P48" s="192"/>
    </row>
    <row r="49" spans="2:16" s="2" customFormat="1" ht="15" hidden="1" customHeight="1">
      <c r="B49" s="130">
        <f t="shared" si="8"/>
        <v>28</v>
      </c>
      <c r="C49" s="125"/>
      <c r="D49" s="249">
        <f>FACTORES!F67</f>
        <v>28372.400000000001</v>
      </c>
      <c r="E49" s="249">
        <f>FACTORES!G67</f>
        <v>32656.799999999999</v>
      </c>
      <c r="F49" s="249">
        <f t="shared" si="9"/>
        <v>36844.450000000004</v>
      </c>
      <c r="G49" s="393">
        <f t="shared" si="10"/>
        <v>42876.37</v>
      </c>
      <c r="H49" s="249">
        <f t="shared" si="4"/>
        <v>36844.450000000004</v>
      </c>
      <c r="I49" s="249">
        <f t="shared" si="5"/>
        <v>42876.37</v>
      </c>
      <c r="J49" s="249">
        <f t="shared" si="6"/>
        <v>42739.562000000005</v>
      </c>
      <c r="K49" s="249">
        <f t="shared" si="7"/>
        <v>49736.589200000002</v>
      </c>
      <c r="M49" s="249">
        <f t="shared" si="2"/>
        <v>2556.0019999999995</v>
      </c>
      <c r="N49" s="249">
        <f t="shared" si="3"/>
        <v>2556.0019999999995</v>
      </c>
      <c r="O49" s="192"/>
      <c r="P49" s="192"/>
    </row>
    <row r="50" spans="2:16" s="2" customFormat="1" ht="15" hidden="1" customHeight="1">
      <c r="B50" s="130">
        <f t="shared" si="8"/>
        <v>29</v>
      </c>
      <c r="C50" s="125"/>
      <c r="D50" s="249">
        <f>FACTORES!F68</f>
        <v>29806.94</v>
      </c>
      <c r="E50" s="249">
        <f>FACTORES!G68</f>
        <v>34124.9</v>
      </c>
      <c r="F50" s="249">
        <f t="shared" si="9"/>
        <v>38595.94</v>
      </c>
      <c r="G50" s="393">
        <f t="shared" si="10"/>
        <v>44668.840000000004</v>
      </c>
      <c r="H50" s="249">
        <f t="shared" si="4"/>
        <v>38595.94</v>
      </c>
      <c r="I50" s="249">
        <f t="shared" si="5"/>
        <v>44668.840000000004</v>
      </c>
      <c r="J50" s="249">
        <f t="shared" si="6"/>
        <v>44771.290399999998</v>
      </c>
      <c r="K50" s="249">
        <f t="shared" si="7"/>
        <v>51815.854400000004</v>
      </c>
      <c r="M50" s="249">
        <f t="shared" si="2"/>
        <v>2556.0019999999995</v>
      </c>
      <c r="N50" s="249">
        <f t="shared" si="3"/>
        <v>2556.0019999999995</v>
      </c>
      <c r="O50" s="192"/>
      <c r="P50" s="192"/>
    </row>
    <row r="51" spans="2:16" s="2" customFormat="1" ht="15" hidden="1" customHeight="1">
      <c r="B51" s="130">
        <f t="shared" si="8"/>
        <v>30</v>
      </c>
      <c r="C51" s="125"/>
      <c r="D51" s="249">
        <f>FACTORES!F69</f>
        <v>31141.439999999999</v>
      </c>
      <c r="E51" s="249">
        <f>FACTORES!G69</f>
        <v>35739.22</v>
      </c>
      <c r="F51" s="249">
        <f t="shared" si="9"/>
        <v>40225.280000000006</v>
      </c>
      <c r="G51" s="393">
        <f t="shared" si="10"/>
        <v>46639.820000000007</v>
      </c>
      <c r="H51" s="249">
        <f t="shared" si="4"/>
        <v>40225.280000000006</v>
      </c>
      <c r="I51" s="249">
        <f t="shared" si="5"/>
        <v>46639.820000000007</v>
      </c>
      <c r="J51" s="249">
        <f t="shared" si="6"/>
        <v>46661.324800000002</v>
      </c>
      <c r="K51" s="249">
        <f t="shared" si="7"/>
        <v>54102.191200000001</v>
      </c>
      <c r="M51" s="249">
        <f t="shared" si="2"/>
        <v>2556.0019999999995</v>
      </c>
      <c r="N51" s="249">
        <f t="shared" si="3"/>
        <v>2556.0019999999995</v>
      </c>
      <c r="O51" s="192"/>
      <c r="P51" s="192"/>
    </row>
    <row r="52" spans="2:16" s="2" customFormat="1" ht="15" hidden="1" customHeight="1">
      <c r="B52" s="130">
        <f t="shared" si="8"/>
        <v>31</v>
      </c>
      <c r="C52" s="125"/>
      <c r="D52" s="249">
        <f>FACTORES!F70</f>
        <v>32423.87</v>
      </c>
      <c r="E52" s="249">
        <f>FACTORES!G70</f>
        <v>37397</v>
      </c>
      <c r="F52" s="249">
        <f t="shared" si="9"/>
        <v>41791.050000000003</v>
      </c>
      <c r="G52" s="393">
        <f t="shared" si="10"/>
        <v>48663.87</v>
      </c>
      <c r="H52" s="249">
        <f t="shared" si="4"/>
        <v>41791.050000000003</v>
      </c>
      <c r="I52" s="249">
        <f t="shared" si="5"/>
        <v>48663.87</v>
      </c>
      <c r="J52" s="249">
        <f t="shared" si="6"/>
        <v>48477.618000000002</v>
      </c>
      <c r="K52" s="249">
        <f t="shared" si="7"/>
        <v>56450.089200000002</v>
      </c>
      <c r="M52" s="249">
        <f t="shared" si="2"/>
        <v>2556.0019999999995</v>
      </c>
      <c r="N52" s="249">
        <f t="shared" si="3"/>
        <v>2556.0019999999995</v>
      </c>
      <c r="O52" s="192"/>
      <c r="P52" s="192"/>
    </row>
    <row r="53" spans="2:16" s="2" customFormat="1" ht="15" hidden="1" customHeight="1">
      <c r="B53" s="130">
        <f t="shared" si="8"/>
        <v>32</v>
      </c>
      <c r="C53" s="125"/>
      <c r="D53" s="249">
        <f>FACTORES!F71</f>
        <v>34417.75</v>
      </c>
      <c r="E53" s="249">
        <f>FACTORES!G71</f>
        <v>39081.360000000001</v>
      </c>
      <c r="F53" s="249">
        <f t="shared" si="9"/>
        <v>44225.460000000006</v>
      </c>
      <c r="G53" s="393">
        <f t="shared" si="10"/>
        <v>50720.380000000005</v>
      </c>
      <c r="H53" s="249">
        <f t="shared" si="4"/>
        <v>44225.460000000006</v>
      </c>
      <c r="I53" s="249">
        <f t="shared" si="5"/>
        <v>50720.380000000005</v>
      </c>
      <c r="J53" s="249">
        <f t="shared" si="6"/>
        <v>51301.533600000002</v>
      </c>
      <c r="K53" s="249">
        <f t="shared" si="7"/>
        <v>58835.640800000001</v>
      </c>
      <c r="M53" s="249">
        <f t="shared" ref="M53:M84" si="11">(D53*$G$5*$G$6*$G$7*$G$11*$G$12*$G$8+(ADIC+DENTAL+CVISION+IKE)*(1-DESC))*(1+IVA)</f>
        <v>2556.0019999999995</v>
      </c>
      <c r="N53" s="249">
        <f t="shared" ref="N53:N84" si="12">(E53*$G$5*$G$6*$G$7*$G$11*$G$12*$G$8+(ADIC+DENTAL+CVISION+IKE)*(1-DESC))*(1+IVA)</f>
        <v>2556.0019999999995</v>
      </c>
      <c r="O53" s="192"/>
      <c r="P53" s="192"/>
    </row>
    <row r="54" spans="2:16" s="2" customFormat="1" ht="15" hidden="1" customHeight="1">
      <c r="B54" s="130">
        <f t="shared" si="8"/>
        <v>33</v>
      </c>
      <c r="C54" s="125"/>
      <c r="D54" s="249">
        <f>FACTORES!F72</f>
        <v>35631.96</v>
      </c>
      <c r="E54" s="249">
        <f>FACTORES!G72</f>
        <v>40798.04</v>
      </c>
      <c r="F54" s="249">
        <f t="shared" si="9"/>
        <v>45707.94</v>
      </c>
      <c r="G54" s="393">
        <f t="shared" si="10"/>
        <v>52816.340000000004</v>
      </c>
      <c r="H54" s="249">
        <f t="shared" si="4"/>
        <v>45707.94</v>
      </c>
      <c r="I54" s="249">
        <f t="shared" si="5"/>
        <v>52816.340000000004</v>
      </c>
      <c r="J54" s="249">
        <f t="shared" si="6"/>
        <v>53021.210399999996</v>
      </c>
      <c r="K54" s="249">
        <f t="shared" si="7"/>
        <v>61266.954400000002</v>
      </c>
      <c r="M54" s="249">
        <f t="shared" si="11"/>
        <v>2556.0019999999995</v>
      </c>
      <c r="N54" s="249">
        <f t="shared" si="12"/>
        <v>2556.0019999999995</v>
      </c>
      <c r="O54" s="192"/>
      <c r="P54" s="192"/>
    </row>
    <row r="55" spans="2:16" s="2" customFormat="1" ht="15" hidden="1" customHeight="1">
      <c r="B55" s="130">
        <f t="shared" si="8"/>
        <v>34</v>
      </c>
      <c r="C55" s="125"/>
      <c r="D55" s="249">
        <f>FACTORES!F73</f>
        <v>37625.339999999997</v>
      </c>
      <c r="E55" s="249">
        <f>FACTORES!G73</f>
        <v>42636.03</v>
      </c>
      <c r="F55" s="249">
        <f t="shared" si="9"/>
        <v>48141.73</v>
      </c>
      <c r="G55" s="393">
        <f t="shared" si="10"/>
        <v>55060.41</v>
      </c>
      <c r="H55" s="249">
        <f t="shared" si="4"/>
        <v>48141.73</v>
      </c>
      <c r="I55" s="249">
        <f t="shared" si="5"/>
        <v>55060.41</v>
      </c>
      <c r="J55" s="249">
        <f t="shared" si="6"/>
        <v>55844.406799999997</v>
      </c>
      <c r="K55" s="249">
        <f t="shared" si="7"/>
        <v>63870.075599999996</v>
      </c>
      <c r="M55" s="249">
        <f t="shared" si="11"/>
        <v>2556.0019999999995</v>
      </c>
      <c r="N55" s="249">
        <f t="shared" si="12"/>
        <v>2556.0019999999995</v>
      </c>
      <c r="O55" s="192"/>
      <c r="P55" s="192"/>
    </row>
    <row r="56" spans="2:16" s="2" customFormat="1" ht="15" hidden="1" customHeight="1">
      <c r="B56" s="130">
        <f t="shared" si="8"/>
        <v>35</v>
      </c>
      <c r="C56" s="125"/>
      <c r="D56" s="249">
        <f>FACTORES!F74</f>
        <v>39703.32</v>
      </c>
      <c r="E56" s="249">
        <f>FACTORES!G74</f>
        <v>44583.68</v>
      </c>
      <c r="F56" s="249">
        <f t="shared" si="9"/>
        <v>50678.820000000007</v>
      </c>
      <c r="G56" s="393">
        <f t="shared" si="10"/>
        <v>57438.380000000005</v>
      </c>
      <c r="H56" s="249">
        <f t="shared" si="4"/>
        <v>50678.820000000007</v>
      </c>
      <c r="I56" s="249">
        <f t="shared" si="5"/>
        <v>57438.380000000005</v>
      </c>
      <c r="J56" s="249">
        <f t="shared" si="6"/>
        <v>58787.431200000006</v>
      </c>
      <c r="K56" s="249">
        <f t="shared" si="7"/>
        <v>66628.520799999998</v>
      </c>
      <c r="M56" s="249">
        <f t="shared" si="11"/>
        <v>2556.0019999999995</v>
      </c>
      <c r="N56" s="249">
        <f t="shared" si="12"/>
        <v>2556.0019999999995</v>
      </c>
      <c r="O56" s="192"/>
      <c r="P56" s="192"/>
    </row>
    <row r="57" spans="2:16" s="2" customFormat="1" ht="15" hidden="1" customHeight="1">
      <c r="B57" s="130">
        <f t="shared" si="8"/>
        <v>36</v>
      </c>
      <c r="C57" s="125"/>
      <c r="D57" s="249">
        <f>FACTORES!F75</f>
        <v>41400.559999999998</v>
      </c>
      <c r="E57" s="249">
        <f>FACTORES!G75</f>
        <v>46580.04</v>
      </c>
      <c r="F57" s="249">
        <f t="shared" si="9"/>
        <v>52751.05</v>
      </c>
      <c r="G57" s="393">
        <f t="shared" si="10"/>
        <v>59875.810000000005</v>
      </c>
      <c r="H57" s="249">
        <f t="shared" si="4"/>
        <v>52751.05</v>
      </c>
      <c r="I57" s="249">
        <f t="shared" si="5"/>
        <v>59875.810000000005</v>
      </c>
      <c r="J57" s="249">
        <f t="shared" si="6"/>
        <v>61191.218000000001</v>
      </c>
      <c r="K57" s="249">
        <f t="shared" si="7"/>
        <v>69455.939599999998</v>
      </c>
      <c r="M57" s="249">
        <f t="shared" si="11"/>
        <v>2556.0019999999995</v>
      </c>
      <c r="N57" s="249">
        <f t="shared" si="12"/>
        <v>2556.0019999999995</v>
      </c>
      <c r="O57" s="192"/>
      <c r="P57" s="192"/>
    </row>
    <row r="58" spans="2:16" s="2" customFormat="1" ht="15" hidden="1" customHeight="1">
      <c r="B58" s="130">
        <f t="shared" si="8"/>
        <v>37</v>
      </c>
      <c r="C58" s="125"/>
      <c r="D58" s="249">
        <f>FACTORES!F76</f>
        <v>43657.88</v>
      </c>
      <c r="E58" s="249">
        <f>FACTORES!G76</f>
        <v>48807.13</v>
      </c>
      <c r="F58" s="249">
        <f t="shared" si="9"/>
        <v>55507.100000000006</v>
      </c>
      <c r="G58" s="393">
        <f t="shared" si="10"/>
        <v>62594.960000000006</v>
      </c>
      <c r="H58" s="249">
        <f t="shared" si="4"/>
        <v>55507.100000000006</v>
      </c>
      <c r="I58" s="249">
        <f t="shared" si="5"/>
        <v>62594.960000000006</v>
      </c>
      <c r="J58" s="249">
        <f t="shared" si="6"/>
        <v>64388.236000000004</v>
      </c>
      <c r="K58" s="249">
        <f t="shared" si="7"/>
        <v>72610.153600000005</v>
      </c>
      <c r="M58" s="249">
        <f t="shared" si="11"/>
        <v>2556.0019999999995</v>
      </c>
      <c r="N58" s="249">
        <f t="shared" si="12"/>
        <v>2556.0019999999995</v>
      </c>
      <c r="O58" s="192"/>
      <c r="P58" s="192"/>
    </row>
    <row r="59" spans="2:16" s="2" customFormat="1" ht="15" hidden="1" customHeight="1">
      <c r="B59" s="130">
        <f t="shared" si="8"/>
        <v>38</v>
      </c>
      <c r="C59" s="125"/>
      <c r="D59" s="249">
        <f>FACTORES!F77</f>
        <v>45985.82</v>
      </c>
      <c r="E59" s="249">
        <f>FACTORES!G77</f>
        <v>50953.85</v>
      </c>
      <c r="F59" s="249">
        <f t="shared" si="9"/>
        <v>58349.380000000005</v>
      </c>
      <c r="G59" s="393">
        <f t="shared" si="10"/>
        <v>65215.97</v>
      </c>
      <c r="H59" s="249">
        <f t="shared" si="4"/>
        <v>58349.380000000005</v>
      </c>
      <c r="I59" s="249">
        <f t="shared" si="5"/>
        <v>65215.97</v>
      </c>
      <c r="J59" s="249">
        <f t="shared" si="6"/>
        <v>67685.280800000008</v>
      </c>
      <c r="K59" s="249">
        <f t="shared" si="7"/>
        <v>75650.525199999989</v>
      </c>
      <c r="M59" s="249">
        <f t="shared" si="11"/>
        <v>2556.0019999999995</v>
      </c>
      <c r="N59" s="249">
        <f t="shared" si="12"/>
        <v>2556.0019999999995</v>
      </c>
      <c r="O59" s="192"/>
      <c r="P59" s="192"/>
    </row>
    <row r="60" spans="2:16" s="2" customFormat="1" ht="15" hidden="1" customHeight="1">
      <c r="B60" s="130">
        <f t="shared" si="8"/>
        <v>39</v>
      </c>
      <c r="C60" s="125"/>
      <c r="D60" s="249">
        <f>FACTORES!F78</f>
        <v>48496.59</v>
      </c>
      <c r="E60" s="249">
        <f>FACTORES!G78</f>
        <v>53263.37</v>
      </c>
      <c r="F60" s="249">
        <f t="shared" si="9"/>
        <v>61414.880000000005</v>
      </c>
      <c r="G60" s="393">
        <f t="shared" si="10"/>
        <v>68035.759999999995</v>
      </c>
      <c r="H60" s="249">
        <f t="shared" si="4"/>
        <v>61414.880000000005</v>
      </c>
      <c r="I60" s="249">
        <f t="shared" si="5"/>
        <v>68035.759999999995</v>
      </c>
      <c r="J60" s="249">
        <f t="shared" si="6"/>
        <v>71241.260800000004</v>
      </c>
      <c r="K60" s="249">
        <f t="shared" si="7"/>
        <v>78921.481599999985</v>
      </c>
      <c r="M60" s="249">
        <f t="shared" si="11"/>
        <v>2556.0019999999995</v>
      </c>
      <c r="N60" s="249">
        <f t="shared" si="12"/>
        <v>2556.0019999999995</v>
      </c>
      <c r="O60" s="192"/>
      <c r="P60" s="192"/>
    </row>
    <row r="61" spans="2:16" s="2" customFormat="1" ht="15" hidden="1" customHeight="1">
      <c r="B61" s="130">
        <f t="shared" si="8"/>
        <v>40</v>
      </c>
      <c r="C61" s="125"/>
      <c r="D61" s="249">
        <f>FACTORES!F79</f>
        <v>50202.14</v>
      </c>
      <c r="E61" s="249">
        <f>FACTORES!G79</f>
        <v>55656.62</v>
      </c>
      <c r="F61" s="249">
        <f t="shared" si="9"/>
        <v>63497.250000000007</v>
      </c>
      <c r="G61" s="393">
        <f t="shared" si="10"/>
        <v>70957.76999999999</v>
      </c>
      <c r="H61" s="249">
        <f t="shared" si="4"/>
        <v>63497.250000000007</v>
      </c>
      <c r="I61" s="249">
        <f t="shared" si="5"/>
        <v>70957.76999999999</v>
      </c>
      <c r="J61" s="249">
        <f t="shared" si="6"/>
        <v>73656.81</v>
      </c>
      <c r="K61" s="249">
        <f t="shared" si="7"/>
        <v>82311.013199999987</v>
      </c>
      <c r="M61" s="249">
        <f t="shared" si="11"/>
        <v>2556.0019999999995</v>
      </c>
      <c r="N61" s="249">
        <f t="shared" si="12"/>
        <v>2556.0019999999995</v>
      </c>
      <c r="O61" s="192"/>
      <c r="P61" s="192"/>
    </row>
    <row r="62" spans="2:16" s="2" customFormat="1" ht="15" hidden="1" customHeight="1">
      <c r="B62" s="130">
        <f t="shared" si="8"/>
        <v>41</v>
      </c>
      <c r="C62" s="125"/>
      <c r="D62" s="249">
        <f>FACTORES!F80</f>
        <v>52070.05</v>
      </c>
      <c r="E62" s="249">
        <f>FACTORES!G80</f>
        <v>58166.81</v>
      </c>
      <c r="F62" s="249">
        <f t="shared" si="9"/>
        <v>65777.86</v>
      </c>
      <c r="G62" s="393">
        <f t="shared" si="10"/>
        <v>74022.569999999992</v>
      </c>
      <c r="H62" s="249">
        <f t="shared" si="4"/>
        <v>65777.86</v>
      </c>
      <c r="I62" s="249">
        <f t="shared" si="5"/>
        <v>74022.569999999992</v>
      </c>
      <c r="J62" s="249">
        <f t="shared" si="6"/>
        <v>76302.317599999995</v>
      </c>
      <c r="K62" s="249">
        <f t="shared" si="7"/>
        <v>85866.181199999992</v>
      </c>
      <c r="M62" s="249">
        <f t="shared" si="11"/>
        <v>2556.0019999999995</v>
      </c>
      <c r="N62" s="249">
        <f t="shared" si="12"/>
        <v>2556.0019999999995</v>
      </c>
      <c r="O62" s="192"/>
      <c r="P62" s="192"/>
    </row>
    <row r="63" spans="2:16" s="2" customFormat="1" ht="15" hidden="1" customHeight="1">
      <c r="B63" s="130">
        <f t="shared" si="8"/>
        <v>42</v>
      </c>
      <c r="C63" s="125"/>
      <c r="D63" s="249">
        <f>FACTORES!F81</f>
        <v>54090.51</v>
      </c>
      <c r="E63" s="249">
        <f>FACTORES!G81</f>
        <v>60779.09</v>
      </c>
      <c r="F63" s="249">
        <f t="shared" si="9"/>
        <v>68244.72</v>
      </c>
      <c r="G63" s="393">
        <f t="shared" si="10"/>
        <v>77211.999999999985</v>
      </c>
      <c r="H63" s="249">
        <f t="shared" si="4"/>
        <v>68244.72</v>
      </c>
      <c r="I63" s="249">
        <f t="shared" si="5"/>
        <v>77211.999999999985</v>
      </c>
      <c r="J63" s="249">
        <f t="shared" si="6"/>
        <v>79163.875199999995</v>
      </c>
      <c r="K63" s="249">
        <f t="shared" si="7"/>
        <v>89565.919999999984</v>
      </c>
      <c r="M63" s="249">
        <f t="shared" si="11"/>
        <v>2556.0019999999995</v>
      </c>
      <c r="N63" s="249">
        <f t="shared" si="12"/>
        <v>2556.0019999999995</v>
      </c>
      <c r="O63" s="192"/>
      <c r="P63" s="192"/>
    </row>
    <row r="64" spans="2:16" s="2" customFormat="1" ht="15" hidden="1" customHeight="1">
      <c r="B64" s="130">
        <f t="shared" si="8"/>
        <v>43</v>
      </c>
      <c r="C64" s="125"/>
      <c r="D64" s="249">
        <f>FACTORES!F82</f>
        <v>56250.48</v>
      </c>
      <c r="E64" s="249">
        <f>FACTORES!G82</f>
        <v>63496.57</v>
      </c>
      <c r="F64" s="249">
        <f t="shared" si="9"/>
        <v>70881.91</v>
      </c>
      <c r="G64" s="393">
        <f t="shared" si="10"/>
        <v>80529.87999999999</v>
      </c>
      <c r="H64" s="249">
        <f t="shared" si="4"/>
        <v>70881.91</v>
      </c>
      <c r="I64" s="249">
        <f t="shared" si="5"/>
        <v>80529.87999999999</v>
      </c>
      <c r="J64" s="249">
        <f t="shared" si="6"/>
        <v>82223.015599999999</v>
      </c>
      <c r="K64" s="249">
        <f t="shared" si="7"/>
        <v>93414.660799999983</v>
      </c>
      <c r="M64" s="249">
        <f t="shared" si="11"/>
        <v>2556.0019999999995</v>
      </c>
      <c r="N64" s="249">
        <f t="shared" si="12"/>
        <v>2556.0019999999995</v>
      </c>
      <c r="O64" s="192"/>
      <c r="P64" s="192"/>
    </row>
    <row r="65" spans="2:23" s="2" customFormat="1" ht="15" hidden="1" customHeight="1">
      <c r="B65" s="130">
        <f t="shared" si="8"/>
        <v>44</v>
      </c>
      <c r="C65" s="125"/>
      <c r="D65" s="249">
        <f>FACTORES!F83</f>
        <v>58670.96</v>
      </c>
      <c r="E65" s="249">
        <f>FACTORES!G83</f>
        <v>66716.17</v>
      </c>
      <c r="F65" s="249">
        <f t="shared" si="9"/>
        <v>73837.17</v>
      </c>
      <c r="G65" s="393">
        <f t="shared" si="10"/>
        <v>84460.819999999992</v>
      </c>
      <c r="H65" s="249">
        <f t="shared" si="4"/>
        <v>73837.17</v>
      </c>
      <c r="I65" s="249">
        <f t="shared" si="5"/>
        <v>84460.819999999992</v>
      </c>
      <c r="J65" s="249">
        <f t="shared" si="6"/>
        <v>85651.117199999993</v>
      </c>
      <c r="K65" s="249">
        <f t="shared" si="7"/>
        <v>97974.551199999987</v>
      </c>
      <c r="M65" s="249">
        <f t="shared" si="11"/>
        <v>2556.0019999999995</v>
      </c>
      <c r="N65" s="249">
        <f t="shared" si="12"/>
        <v>2556.0019999999995</v>
      </c>
      <c r="O65" s="192"/>
      <c r="P65" s="192"/>
    </row>
    <row r="66" spans="2:23" s="2" customFormat="1" ht="15" hidden="1" customHeight="1">
      <c r="B66" s="130">
        <f t="shared" si="8"/>
        <v>45</v>
      </c>
      <c r="C66" s="125"/>
      <c r="D66" s="249">
        <f>FACTORES!F84</f>
        <v>61309.08</v>
      </c>
      <c r="E66" s="249">
        <f>FACTORES!G84</f>
        <v>69104.69</v>
      </c>
      <c r="F66" s="249">
        <f t="shared" si="9"/>
        <v>77058.16</v>
      </c>
      <c r="G66" s="393">
        <f t="shared" si="10"/>
        <v>87377.059999999983</v>
      </c>
      <c r="H66" s="249">
        <f t="shared" si="4"/>
        <v>77058.16</v>
      </c>
      <c r="I66" s="249">
        <f t="shared" si="5"/>
        <v>87377.059999999983</v>
      </c>
      <c r="J66" s="249">
        <f t="shared" si="6"/>
        <v>89387.465599999996</v>
      </c>
      <c r="K66" s="249">
        <f t="shared" si="7"/>
        <v>101357.38959999998</v>
      </c>
      <c r="M66" s="249">
        <f t="shared" si="11"/>
        <v>2556.0019999999995</v>
      </c>
      <c r="N66" s="249">
        <f t="shared" si="12"/>
        <v>2556.0019999999995</v>
      </c>
      <c r="O66" s="192"/>
      <c r="P66" s="192"/>
    </row>
    <row r="67" spans="2:23" s="2" customFormat="1" ht="15" hidden="1" customHeight="1">
      <c r="B67" s="130">
        <f t="shared" si="8"/>
        <v>46</v>
      </c>
      <c r="C67" s="125"/>
      <c r="D67" s="249">
        <f>FACTORES!F85</f>
        <v>64201.39</v>
      </c>
      <c r="E67" s="249">
        <f>FACTORES!G85</f>
        <v>71704.66</v>
      </c>
      <c r="F67" s="249">
        <f t="shared" si="9"/>
        <v>80589.5</v>
      </c>
      <c r="G67" s="393">
        <f t="shared" si="10"/>
        <v>90551.469999999987</v>
      </c>
      <c r="H67" s="249">
        <f t="shared" si="4"/>
        <v>80589.5</v>
      </c>
      <c r="I67" s="249">
        <f t="shared" si="5"/>
        <v>90551.469999999987</v>
      </c>
      <c r="J67" s="249">
        <f t="shared" si="6"/>
        <v>93483.819999999992</v>
      </c>
      <c r="K67" s="249">
        <f t="shared" si="7"/>
        <v>105039.70519999998</v>
      </c>
      <c r="M67" s="249">
        <f t="shared" si="11"/>
        <v>2556.0019999999995</v>
      </c>
      <c r="N67" s="249">
        <f t="shared" si="12"/>
        <v>2556.0019999999995</v>
      </c>
      <c r="O67" s="192"/>
      <c r="P67" s="192"/>
    </row>
    <row r="68" spans="2:23" s="2" customFormat="1" ht="15" hidden="1" customHeight="1">
      <c r="B68" s="130">
        <f t="shared" si="8"/>
        <v>47</v>
      </c>
      <c r="C68" s="125"/>
      <c r="D68" s="249">
        <f>FACTORES!F86</f>
        <v>67377.16</v>
      </c>
      <c r="E68" s="249">
        <f>FACTORES!G86</f>
        <v>75360.039999999994</v>
      </c>
      <c r="F68" s="249">
        <f t="shared" si="9"/>
        <v>84466.92</v>
      </c>
      <c r="G68" s="393">
        <f t="shared" si="10"/>
        <v>95014.469999999987</v>
      </c>
      <c r="H68" s="249">
        <f t="shared" si="4"/>
        <v>84466.92</v>
      </c>
      <c r="I68" s="249">
        <f t="shared" si="5"/>
        <v>95014.469999999987</v>
      </c>
      <c r="J68" s="249">
        <f t="shared" si="6"/>
        <v>97981.627199999988</v>
      </c>
      <c r="K68" s="249">
        <f t="shared" si="7"/>
        <v>110216.78519999998</v>
      </c>
      <c r="M68" s="249">
        <f t="shared" si="11"/>
        <v>2556.0019999999995</v>
      </c>
      <c r="N68" s="249">
        <f t="shared" si="12"/>
        <v>2556.0019999999995</v>
      </c>
      <c r="O68" s="192"/>
      <c r="P68" s="192"/>
      <c r="W68" s="49"/>
    </row>
    <row r="69" spans="2:23" s="2" customFormat="1" ht="15" hidden="1" customHeight="1">
      <c r="B69" s="130">
        <f t="shared" si="8"/>
        <v>48</v>
      </c>
      <c r="C69" s="125"/>
      <c r="D69" s="249">
        <f>FACTORES!F87</f>
        <v>70830.259999999995</v>
      </c>
      <c r="E69" s="249">
        <f>FACTORES!G87</f>
        <v>78388.94</v>
      </c>
      <c r="F69" s="249">
        <f t="shared" si="9"/>
        <v>88682.95</v>
      </c>
      <c r="G69" s="393">
        <f t="shared" si="10"/>
        <v>98712.569999999992</v>
      </c>
      <c r="H69" s="249">
        <f t="shared" si="4"/>
        <v>88682.95</v>
      </c>
      <c r="I69" s="249">
        <f t="shared" si="5"/>
        <v>98712.569999999992</v>
      </c>
      <c r="J69" s="249">
        <f t="shared" si="6"/>
        <v>102872.22199999999</v>
      </c>
      <c r="K69" s="249">
        <f t="shared" si="7"/>
        <v>114506.58119999999</v>
      </c>
      <c r="M69" s="249">
        <f t="shared" si="11"/>
        <v>2556.0019999999995</v>
      </c>
      <c r="N69" s="249">
        <f t="shared" si="12"/>
        <v>2556.0019999999995</v>
      </c>
      <c r="O69" s="192"/>
      <c r="P69" s="192"/>
    </row>
    <row r="70" spans="2:23" s="2" customFormat="1" ht="15" hidden="1" customHeight="1">
      <c r="B70" s="130">
        <f t="shared" si="8"/>
        <v>49</v>
      </c>
      <c r="C70" s="125"/>
      <c r="D70" s="249">
        <f>FACTORES!F88</f>
        <v>74616.77</v>
      </c>
      <c r="E70" s="249">
        <f>FACTORES!G88</f>
        <v>81655.72</v>
      </c>
      <c r="F70" s="249">
        <f t="shared" si="9"/>
        <v>93306.05</v>
      </c>
      <c r="G70" s="393">
        <f t="shared" si="10"/>
        <v>102701.10999999999</v>
      </c>
      <c r="H70" s="249">
        <f t="shared" si="4"/>
        <v>93306.05</v>
      </c>
      <c r="I70" s="249">
        <f t="shared" si="5"/>
        <v>102701.10999999999</v>
      </c>
      <c r="J70" s="249">
        <f t="shared" si="6"/>
        <v>108235.018</v>
      </c>
      <c r="K70" s="249">
        <f t="shared" si="7"/>
        <v>119133.28759999998</v>
      </c>
      <c r="M70" s="249">
        <f t="shared" si="11"/>
        <v>2556.0019999999995</v>
      </c>
      <c r="N70" s="249">
        <f t="shared" si="12"/>
        <v>2556.0019999999995</v>
      </c>
      <c r="O70" s="192"/>
      <c r="P70" s="192"/>
    </row>
    <row r="71" spans="2:23" s="2" customFormat="1" ht="15" hidden="1" customHeight="1">
      <c r="B71" s="130">
        <f t="shared" si="8"/>
        <v>50</v>
      </c>
      <c r="C71" s="125"/>
      <c r="D71" s="249">
        <f>FACTORES!F89</f>
        <v>78779.210000000006</v>
      </c>
      <c r="E71" s="249">
        <f>FACTORES!G89</f>
        <v>85121.64</v>
      </c>
      <c r="F71" s="249">
        <f t="shared" ref="F71:F106" si="13">ROUND(D71*$G$5*$G$6*$G$7,2)+ADIC+DENTAL+IKE+CVISION</f>
        <v>98388.14</v>
      </c>
      <c r="G71" s="393">
        <f t="shared" si="10"/>
        <v>106932.79999999999</v>
      </c>
      <c r="H71" s="249">
        <f t="shared" si="4"/>
        <v>98388.14</v>
      </c>
      <c r="I71" s="249">
        <f t="shared" si="5"/>
        <v>106932.79999999999</v>
      </c>
      <c r="J71" s="249">
        <f t="shared" si="6"/>
        <v>114130.24239999999</v>
      </c>
      <c r="K71" s="249">
        <f t="shared" si="7"/>
        <v>124042.04799999998</v>
      </c>
      <c r="M71" s="249">
        <f t="shared" si="11"/>
        <v>2556.0019999999995</v>
      </c>
      <c r="N71" s="249">
        <f t="shared" si="12"/>
        <v>2556.0019999999995</v>
      </c>
      <c r="O71" s="192"/>
      <c r="P71" s="192"/>
    </row>
    <row r="72" spans="2:23" s="2" customFormat="1" ht="15" hidden="1" customHeight="1">
      <c r="B72" s="130">
        <f t="shared" si="8"/>
        <v>51</v>
      </c>
      <c r="C72" s="125"/>
      <c r="D72" s="249">
        <f>FACTORES!F90</f>
        <v>83273.960000000006</v>
      </c>
      <c r="E72" s="249">
        <f>FACTORES!G90</f>
        <v>88833.59</v>
      </c>
      <c r="F72" s="249">
        <f t="shared" si="13"/>
        <v>103875.95999999999</v>
      </c>
      <c r="G72" s="393">
        <f t="shared" si="10"/>
        <v>111464.85999999999</v>
      </c>
      <c r="H72" s="249">
        <f t="shared" si="4"/>
        <v>103875.95999999999</v>
      </c>
      <c r="I72" s="249">
        <f t="shared" si="5"/>
        <v>111464.85999999999</v>
      </c>
      <c r="J72" s="249">
        <f t="shared" si="6"/>
        <v>120496.11359999998</v>
      </c>
      <c r="K72" s="249">
        <f t="shared" si="7"/>
        <v>129299.23759999998</v>
      </c>
      <c r="M72" s="249">
        <f t="shared" si="11"/>
        <v>2556.0019999999995</v>
      </c>
      <c r="N72" s="249">
        <f t="shared" si="12"/>
        <v>2556.0019999999995</v>
      </c>
      <c r="O72" s="192"/>
      <c r="P72" s="192"/>
      <c r="Q72" s="35"/>
      <c r="R72" s="35"/>
      <c r="S72" s="35"/>
      <c r="T72" s="35"/>
      <c r="U72" s="35"/>
      <c r="V72" s="35"/>
      <c r="W72" s="35"/>
    </row>
    <row r="73" spans="2:23" s="2" customFormat="1" ht="15" hidden="1" customHeight="1">
      <c r="B73" s="130">
        <f t="shared" si="8"/>
        <v>52</v>
      </c>
      <c r="C73" s="125"/>
      <c r="D73" s="249">
        <f>FACTORES!F91</f>
        <v>88185.05</v>
      </c>
      <c r="E73" s="249">
        <f>FACTORES!G91</f>
        <v>92823.17</v>
      </c>
      <c r="F73" s="249">
        <f t="shared" si="13"/>
        <v>109872.09999999999</v>
      </c>
      <c r="G73" s="393">
        <f t="shared" si="10"/>
        <v>116335.9</v>
      </c>
      <c r="H73" s="249">
        <f t="shared" si="4"/>
        <v>109872.09999999999</v>
      </c>
      <c r="I73" s="249">
        <f t="shared" si="5"/>
        <v>116335.9</v>
      </c>
      <c r="J73" s="249">
        <f t="shared" si="6"/>
        <v>127451.63599999998</v>
      </c>
      <c r="K73" s="249">
        <f t="shared" si="7"/>
        <v>134949.64399999997</v>
      </c>
      <c r="M73" s="249">
        <f t="shared" si="11"/>
        <v>2556.0019999999995</v>
      </c>
      <c r="N73" s="249">
        <f t="shared" si="12"/>
        <v>2556.0019999999995</v>
      </c>
      <c r="O73" s="192"/>
      <c r="P73" s="192"/>
      <c r="Q73" s="45"/>
      <c r="R73" s="51"/>
      <c r="S73" s="51"/>
      <c r="W73" s="52"/>
    </row>
    <row r="74" spans="2:23" s="2" customFormat="1" ht="15" hidden="1" customHeight="1">
      <c r="B74" s="130">
        <f t="shared" si="8"/>
        <v>53</v>
      </c>
      <c r="C74" s="125"/>
      <c r="D74" s="249">
        <f>FACTORES!F92</f>
        <v>93477.02</v>
      </c>
      <c r="E74" s="249">
        <f>FACTORES!G92</f>
        <v>97108.44</v>
      </c>
      <c r="F74" s="249">
        <f t="shared" si="13"/>
        <v>116333.28</v>
      </c>
      <c r="G74" s="393">
        <f t="shared" si="10"/>
        <v>121567.95999999999</v>
      </c>
      <c r="H74" s="249">
        <f t="shared" si="4"/>
        <v>116333.28</v>
      </c>
      <c r="I74" s="249">
        <f t="shared" si="5"/>
        <v>121567.95999999999</v>
      </c>
      <c r="J74" s="249">
        <f t="shared" si="6"/>
        <v>134946.6048</v>
      </c>
      <c r="K74" s="249">
        <f t="shared" si="7"/>
        <v>141018.83359999998</v>
      </c>
      <c r="M74" s="249">
        <f t="shared" si="11"/>
        <v>2556.0019999999995</v>
      </c>
      <c r="N74" s="249">
        <f t="shared" si="12"/>
        <v>2556.0019999999995</v>
      </c>
      <c r="O74" s="192"/>
      <c r="P74" s="192"/>
      <c r="Q74" s="45"/>
      <c r="R74" s="51"/>
      <c r="S74" s="51"/>
    </row>
    <row r="75" spans="2:23" s="2" customFormat="1" ht="15" hidden="1" customHeight="1">
      <c r="B75" s="130">
        <f t="shared" si="8"/>
        <v>54</v>
      </c>
      <c r="C75" s="125"/>
      <c r="D75" s="249">
        <f>FACTORES!F93</f>
        <v>99219.48</v>
      </c>
      <c r="E75" s="249">
        <f>FACTORES!G93</f>
        <v>101675.21</v>
      </c>
      <c r="F75" s="249">
        <f t="shared" si="13"/>
        <v>123344.48</v>
      </c>
      <c r="G75" s="393">
        <f t="shared" si="10"/>
        <v>127143.70999999999</v>
      </c>
      <c r="H75" s="249">
        <f t="shared" si="4"/>
        <v>123344.48</v>
      </c>
      <c r="I75" s="249">
        <f t="shared" si="5"/>
        <v>127143.70999999999</v>
      </c>
      <c r="J75" s="249">
        <f t="shared" si="6"/>
        <v>143079.5968</v>
      </c>
      <c r="K75" s="249">
        <f t="shared" si="7"/>
        <v>147486.70359999998</v>
      </c>
      <c r="M75" s="249">
        <f t="shared" si="11"/>
        <v>2556.0019999999995</v>
      </c>
      <c r="N75" s="249">
        <f t="shared" si="12"/>
        <v>2556.0019999999995</v>
      </c>
      <c r="O75" s="192"/>
      <c r="P75" s="192"/>
      <c r="Q75" s="45"/>
      <c r="R75" s="54"/>
      <c r="S75" s="45"/>
      <c r="V75" s="48"/>
      <c r="W75" s="45"/>
    </row>
    <row r="76" spans="2:23" s="2" customFormat="1" ht="15" hidden="1" customHeight="1">
      <c r="B76" s="130">
        <f t="shared" si="8"/>
        <v>55</v>
      </c>
      <c r="C76" s="125"/>
      <c r="D76" s="249">
        <f>FACTORES!F94</f>
        <v>105397.57</v>
      </c>
      <c r="E76" s="249">
        <f>FACTORES!G94</f>
        <v>107175.71</v>
      </c>
      <c r="F76" s="249">
        <f t="shared" si="13"/>
        <v>130887.56</v>
      </c>
      <c r="G76" s="249">
        <f t="shared" ref="G76:G106" si="14">ROUND(E76*$G$5*$G$6*$G$7,2)+ADIC+DENTAL+IKE+CVISION</f>
        <v>133058.56</v>
      </c>
      <c r="H76" s="249">
        <f t="shared" si="4"/>
        <v>130887.56</v>
      </c>
      <c r="I76" s="249">
        <f t="shared" si="5"/>
        <v>133058.56</v>
      </c>
      <c r="J76" s="249">
        <f t="shared" si="6"/>
        <v>151829.56959999999</v>
      </c>
      <c r="K76" s="249">
        <f t="shared" si="7"/>
        <v>154347.92959999997</v>
      </c>
      <c r="M76" s="249">
        <f t="shared" si="11"/>
        <v>2556.0019999999995</v>
      </c>
      <c r="N76" s="249">
        <f t="shared" si="12"/>
        <v>2556.0019999999995</v>
      </c>
      <c r="O76" s="192"/>
      <c r="P76" s="192"/>
      <c r="Q76" s="48"/>
      <c r="R76" s="48"/>
      <c r="S76" s="48"/>
    </row>
    <row r="77" spans="2:23" s="2" customFormat="1" ht="15" hidden="1" customHeight="1">
      <c r="B77" s="130">
        <f t="shared" si="8"/>
        <v>56</v>
      </c>
      <c r="C77" s="125"/>
      <c r="D77" s="249">
        <f>FACTORES!F95</f>
        <v>112067.29</v>
      </c>
      <c r="E77" s="249">
        <f>FACTORES!G95</f>
        <v>114423.55</v>
      </c>
      <c r="F77" s="249">
        <f t="shared" si="13"/>
        <v>139030.89000000001</v>
      </c>
      <c r="G77" s="249">
        <f t="shared" si="14"/>
        <v>141907.74000000002</v>
      </c>
      <c r="H77" s="249">
        <f t="shared" si="4"/>
        <v>139030.89000000001</v>
      </c>
      <c r="I77" s="249">
        <f t="shared" si="5"/>
        <v>141907.74000000002</v>
      </c>
      <c r="J77" s="249">
        <f t="shared" si="6"/>
        <v>161275.83240000001</v>
      </c>
      <c r="K77" s="249">
        <f t="shared" si="7"/>
        <v>164612.97840000002</v>
      </c>
      <c r="M77" s="249">
        <f t="shared" si="11"/>
        <v>2556.0019999999995</v>
      </c>
      <c r="N77" s="249">
        <f t="shared" si="12"/>
        <v>2556.0019999999995</v>
      </c>
      <c r="O77" s="192"/>
      <c r="P77" s="192"/>
      <c r="Q77" s="35"/>
      <c r="R77" s="35"/>
      <c r="S77" s="35"/>
      <c r="T77" s="35"/>
      <c r="U77" s="35"/>
      <c r="V77" s="35"/>
      <c r="W77" s="35"/>
    </row>
    <row r="78" spans="2:23" s="2" customFormat="1" ht="15" hidden="1" customHeight="1">
      <c r="B78" s="130">
        <f t="shared" si="8"/>
        <v>57</v>
      </c>
      <c r="C78" s="125"/>
      <c r="D78" s="249">
        <f>FACTORES!F96</f>
        <v>119278.8</v>
      </c>
      <c r="E78" s="249">
        <f>FACTORES!G96</f>
        <v>118778.58</v>
      </c>
      <c r="F78" s="249">
        <f t="shared" si="13"/>
        <v>147835.71000000002</v>
      </c>
      <c r="G78" s="249">
        <f t="shared" si="14"/>
        <v>147224.97</v>
      </c>
      <c r="H78" s="249">
        <f t="shared" si="4"/>
        <v>147835.71000000002</v>
      </c>
      <c r="I78" s="249">
        <f t="shared" si="5"/>
        <v>147224.97</v>
      </c>
      <c r="J78" s="249">
        <f t="shared" si="6"/>
        <v>171489.42360000001</v>
      </c>
      <c r="K78" s="249">
        <f t="shared" si="7"/>
        <v>170780.96519999998</v>
      </c>
      <c r="M78" s="249">
        <f t="shared" si="11"/>
        <v>2556.0019999999995</v>
      </c>
      <c r="N78" s="249">
        <f t="shared" si="12"/>
        <v>2556.0019999999995</v>
      </c>
      <c r="O78" s="192"/>
      <c r="P78" s="192"/>
      <c r="Q78" s="48"/>
      <c r="R78" s="48"/>
      <c r="S78" s="48"/>
    </row>
    <row r="79" spans="2:23" s="2" customFormat="1" ht="15" hidden="1" customHeight="1">
      <c r="B79" s="130">
        <f t="shared" si="8"/>
        <v>58</v>
      </c>
      <c r="C79" s="125"/>
      <c r="D79" s="249">
        <f>FACTORES!F97</f>
        <v>124400.97</v>
      </c>
      <c r="E79" s="249">
        <f>FACTORES!G97</f>
        <v>123521.91</v>
      </c>
      <c r="F79" s="249">
        <f t="shared" si="13"/>
        <v>154089.57</v>
      </c>
      <c r="G79" s="249">
        <f t="shared" si="14"/>
        <v>153016.29</v>
      </c>
      <c r="H79" s="249">
        <f t="shared" si="4"/>
        <v>154089.57</v>
      </c>
      <c r="I79" s="249">
        <f t="shared" si="5"/>
        <v>153016.29</v>
      </c>
      <c r="J79" s="249">
        <f t="shared" si="6"/>
        <v>178743.90119999999</v>
      </c>
      <c r="K79" s="249">
        <f t="shared" si="7"/>
        <v>177498.8964</v>
      </c>
      <c r="M79" s="249">
        <f t="shared" si="11"/>
        <v>2556.0019999999995</v>
      </c>
      <c r="N79" s="249">
        <f t="shared" si="12"/>
        <v>2556.0019999999995</v>
      </c>
      <c r="O79" s="192"/>
      <c r="P79" s="192"/>
      <c r="Q79" s="48"/>
      <c r="R79" s="48"/>
      <c r="S79" s="48"/>
      <c r="U79" s="46"/>
    </row>
    <row r="80" spans="2:23" s="2" customFormat="1" ht="15" hidden="1" customHeight="1">
      <c r="B80" s="130">
        <f t="shared" si="8"/>
        <v>59</v>
      </c>
      <c r="C80" s="125"/>
      <c r="D80" s="249">
        <f>FACTORES!F98</f>
        <v>132479.29999999999</v>
      </c>
      <c r="E80" s="249">
        <f>FACTORES!G98</f>
        <v>125542.95</v>
      </c>
      <c r="F80" s="249">
        <f t="shared" si="13"/>
        <v>163952.73000000001</v>
      </c>
      <c r="G80" s="249">
        <f t="shared" si="14"/>
        <v>155483.86000000002</v>
      </c>
      <c r="H80" s="249">
        <f t="shared" si="4"/>
        <v>163952.73000000001</v>
      </c>
      <c r="I80" s="249">
        <f t="shared" si="5"/>
        <v>155483.86000000002</v>
      </c>
      <c r="J80" s="249">
        <f t="shared" si="6"/>
        <v>190185.16680000001</v>
      </c>
      <c r="K80" s="249">
        <f t="shared" si="7"/>
        <v>180361.2776</v>
      </c>
      <c r="M80" s="249">
        <f t="shared" si="11"/>
        <v>2556.0019999999995</v>
      </c>
      <c r="N80" s="249">
        <f t="shared" si="12"/>
        <v>2556.0019999999995</v>
      </c>
      <c r="O80" s="192"/>
      <c r="P80" s="192"/>
      <c r="Q80" s="48"/>
      <c r="R80" s="48"/>
      <c r="S80" s="48"/>
      <c r="U80" s="46"/>
    </row>
    <row r="81" spans="2:22" s="2" customFormat="1" ht="15" hidden="1" customHeight="1">
      <c r="B81" s="130">
        <f t="shared" si="8"/>
        <v>60</v>
      </c>
      <c r="C81" s="125"/>
      <c r="D81" s="249">
        <f>FACTORES!F99</f>
        <v>213248.64000000001</v>
      </c>
      <c r="E81" s="249">
        <f>FACTORES!G99</f>
        <v>206273.26</v>
      </c>
      <c r="F81" s="249">
        <f t="shared" si="13"/>
        <v>262567.24</v>
      </c>
      <c r="G81" s="249">
        <f t="shared" si="14"/>
        <v>254050.72</v>
      </c>
      <c r="H81" s="249">
        <f t="shared" si="4"/>
        <v>262567.24</v>
      </c>
      <c r="I81" s="249">
        <f t="shared" si="5"/>
        <v>254050.72</v>
      </c>
      <c r="J81" s="249">
        <f t="shared" si="6"/>
        <v>304577.99839999998</v>
      </c>
      <c r="K81" s="249">
        <f t="shared" si="7"/>
        <v>294698.83519999997</v>
      </c>
      <c r="M81" s="249">
        <f t="shared" si="11"/>
        <v>2556.0019999999995</v>
      </c>
      <c r="N81" s="249">
        <f t="shared" si="12"/>
        <v>2556.0019999999995</v>
      </c>
      <c r="O81" s="192"/>
      <c r="P81" s="192"/>
      <c r="Q81" s="48"/>
      <c r="R81" s="48"/>
      <c r="S81" s="53"/>
      <c r="U81" s="46"/>
    </row>
    <row r="82" spans="2:22" s="2" customFormat="1" ht="15" hidden="1" customHeight="1">
      <c r="B82" s="130">
        <f t="shared" si="8"/>
        <v>61</v>
      </c>
      <c r="C82" s="125"/>
      <c r="D82" s="249">
        <f>FACTORES!F100</f>
        <v>224762.48</v>
      </c>
      <c r="E82" s="249">
        <f>FACTORES!G100</f>
        <v>215002.98</v>
      </c>
      <c r="F82" s="249">
        <f t="shared" si="13"/>
        <v>276624.94999999995</v>
      </c>
      <c r="G82" s="249">
        <f t="shared" si="14"/>
        <v>264709.18999999994</v>
      </c>
      <c r="H82" s="249">
        <f t="shared" si="4"/>
        <v>276624.94999999995</v>
      </c>
      <c r="I82" s="249">
        <f t="shared" si="5"/>
        <v>264709.18999999994</v>
      </c>
      <c r="J82" s="249">
        <f t="shared" si="6"/>
        <v>320884.94199999992</v>
      </c>
      <c r="K82" s="249">
        <f t="shared" si="7"/>
        <v>307062.66039999994</v>
      </c>
      <c r="M82" s="249">
        <f t="shared" si="11"/>
        <v>2556.0019999999995</v>
      </c>
      <c r="N82" s="249">
        <f t="shared" si="12"/>
        <v>2556.0019999999995</v>
      </c>
      <c r="O82" s="192"/>
      <c r="P82" s="192"/>
      <c r="Q82" s="48"/>
      <c r="R82" s="48"/>
      <c r="S82" s="53"/>
      <c r="U82" s="46"/>
    </row>
    <row r="83" spans="2:22" s="2" customFormat="1" ht="15" hidden="1" customHeight="1">
      <c r="B83" s="130">
        <f t="shared" si="8"/>
        <v>62</v>
      </c>
      <c r="C83" s="125"/>
      <c r="D83" s="249">
        <f>FACTORES!F101</f>
        <v>236892.82</v>
      </c>
      <c r="E83" s="249">
        <f>FACTORES!G101</f>
        <v>224200.61</v>
      </c>
      <c r="F83" s="249">
        <f t="shared" si="13"/>
        <v>291435.36999999994</v>
      </c>
      <c r="G83" s="249">
        <f t="shared" si="14"/>
        <v>275938.93999999994</v>
      </c>
      <c r="H83" s="249">
        <f t="shared" si="4"/>
        <v>291435.36999999994</v>
      </c>
      <c r="I83" s="249">
        <f t="shared" si="5"/>
        <v>275938.93999999994</v>
      </c>
      <c r="J83" s="249">
        <f t="shared" si="6"/>
        <v>338065.02919999993</v>
      </c>
      <c r="K83" s="249">
        <f t="shared" si="7"/>
        <v>320089.17039999989</v>
      </c>
      <c r="M83" s="249">
        <f t="shared" si="11"/>
        <v>2556.0019999999995</v>
      </c>
      <c r="N83" s="249">
        <f t="shared" si="12"/>
        <v>2556.0019999999995</v>
      </c>
      <c r="O83" s="192"/>
      <c r="P83" s="192"/>
      <c r="Q83" s="48"/>
      <c r="R83" s="48"/>
      <c r="S83" s="48"/>
    </row>
    <row r="84" spans="2:22" s="2" customFormat="1" ht="15" hidden="1" customHeight="1">
      <c r="B84" s="130">
        <f t="shared" si="8"/>
        <v>63</v>
      </c>
      <c r="C84" s="125"/>
      <c r="D84" s="249">
        <f>FACTORES!F102</f>
        <v>249509.75</v>
      </c>
      <c r="E84" s="249">
        <f>FACTORES!G102</f>
        <v>233785.25</v>
      </c>
      <c r="F84" s="249">
        <f t="shared" si="13"/>
        <v>306839.87999999995</v>
      </c>
      <c r="G84" s="249">
        <f t="shared" si="14"/>
        <v>287641.20999999996</v>
      </c>
      <c r="H84" s="249">
        <f t="shared" si="4"/>
        <v>306839.87999999995</v>
      </c>
      <c r="I84" s="249">
        <f t="shared" si="5"/>
        <v>287641.20999999996</v>
      </c>
      <c r="J84" s="249">
        <f t="shared" si="6"/>
        <v>355934.26079999993</v>
      </c>
      <c r="K84" s="249">
        <f t="shared" si="7"/>
        <v>333663.80359999993</v>
      </c>
      <c r="M84" s="249">
        <f t="shared" si="11"/>
        <v>2556.0019999999995</v>
      </c>
      <c r="N84" s="249">
        <f t="shared" si="12"/>
        <v>2556.0019999999995</v>
      </c>
      <c r="O84" s="192"/>
      <c r="P84" s="192"/>
      <c r="Q84" s="48"/>
      <c r="R84" s="48"/>
      <c r="S84" s="53"/>
      <c r="U84" s="56"/>
    </row>
    <row r="85" spans="2:22" s="2" customFormat="1" ht="15" hidden="1" customHeight="1">
      <c r="B85" s="130">
        <f t="shared" si="8"/>
        <v>64</v>
      </c>
      <c r="C85" s="125"/>
      <c r="D85" s="249">
        <f>FACTORES!F103</f>
        <v>262831.18</v>
      </c>
      <c r="E85" s="249">
        <f>FACTORES!G103</f>
        <v>244019.77</v>
      </c>
      <c r="F85" s="249">
        <f t="shared" si="13"/>
        <v>323104.54999999993</v>
      </c>
      <c r="G85" s="249">
        <f t="shared" si="14"/>
        <v>300136.94999999995</v>
      </c>
      <c r="H85" s="249">
        <f t="shared" si="4"/>
        <v>323104.54999999993</v>
      </c>
      <c r="I85" s="249">
        <f t="shared" si="5"/>
        <v>300136.94999999995</v>
      </c>
      <c r="J85" s="249">
        <f t="shared" si="6"/>
        <v>374801.27799999987</v>
      </c>
      <c r="K85" s="249">
        <f t="shared" si="7"/>
        <v>348158.86199999991</v>
      </c>
      <c r="M85" s="249">
        <f t="shared" ref="M85:M104" si="15">(D85*$G$5*$G$6*$G$7*$G$11*$G$12*$G$8+(ADIC+DENTAL+CVISION+IKE)*(1-DESC))*(1+IVA)</f>
        <v>2556.0019999999995</v>
      </c>
      <c r="N85" s="249">
        <f t="shared" ref="N85:N104" si="16">(E85*$G$5*$G$6*$G$7*$G$11*$G$12*$G$8+(ADIC+DENTAL+CVISION+IKE)*(1-DESC))*(1+IVA)</f>
        <v>2556.0019999999995</v>
      </c>
      <c r="O85" s="192"/>
      <c r="P85" s="192"/>
      <c r="Q85" s="45"/>
      <c r="R85" s="45"/>
      <c r="S85" s="53"/>
      <c r="U85" s="56"/>
    </row>
    <row r="86" spans="2:22" s="2" customFormat="1" ht="15" hidden="1" customHeight="1">
      <c r="B86" s="130">
        <f t="shared" si="8"/>
        <v>65</v>
      </c>
      <c r="C86" s="125"/>
      <c r="D86" s="249">
        <f>FACTORES!F104</f>
        <v>276416.05</v>
      </c>
      <c r="E86" s="249">
        <f>FACTORES!G104</f>
        <v>254359.73</v>
      </c>
      <c r="F86" s="249">
        <f t="shared" si="13"/>
        <v>339690.85999999993</v>
      </c>
      <c r="G86" s="249">
        <f t="shared" si="14"/>
        <v>312761.41999999993</v>
      </c>
      <c r="H86" s="249">
        <f t="shared" ref="H86:H104" si="17">(F86*(1+$I$18))+$I$19</f>
        <v>339690.85999999993</v>
      </c>
      <c r="I86" s="249">
        <f t="shared" ref="I86:I104" si="18">(G86*(1+$I$18))+$I$19</f>
        <v>312761.41999999993</v>
      </c>
      <c r="J86" s="249">
        <f t="shared" ref="J86:J104" si="19">H86*(1+$K$19)</f>
        <v>394041.39759999991</v>
      </c>
      <c r="K86" s="249">
        <f t="shared" ref="K86:K104" si="20">I86*(1+$K$19)</f>
        <v>362803.24719999987</v>
      </c>
      <c r="M86" s="249">
        <f t="shared" si="15"/>
        <v>2556.0019999999995</v>
      </c>
      <c r="N86" s="249">
        <f t="shared" si="16"/>
        <v>2556.0019999999995</v>
      </c>
      <c r="O86" s="192"/>
      <c r="P86" s="192"/>
      <c r="Q86" s="35"/>
      <c r="R86" s="35"/>
    </row>
    <row r="87" spans="2:22" s="2" customFormat="1" ht="15" hidden="1" customHeight="1">
      <c r="B87" s="130">
        <f t="shared" ref="B87:B121" si="21">+B86+1</f>
        <v>66</v>
      </c>
      <c r="C87" s="125"/>
      <c r="D87" s="249">
        <f>FACTORES!F105</f>
        <v>290938.09999999998</v>
      </c>
      <c r="E87" s="249">
        <f>FACTORES!G105</f>
        <v>265734.17</v>
      </c>
      <c r="F87" s="249">
        <f t="shared" si="13"/>
        <v>357421.41</v>
      </c>
      <c r="G87" s="249">
        <f t="shared" si="14"/>
        <v>326648.92999999993</v>
      </c>
      <c r="H87" s="249">
        <f t="shared" si="17"/>
        <v>357421.41</v>
      </c>
      <c r="I87" s="249">
        <f t="shared" si="18"/>
        <v>326648.92999999993</v>
      </c>
      <c r="J87" s="249">
        <f t="shared" si="19"/>
        <v>414608.83559999993</v>
      </c>
      <c r="K87" s="249">
        <f t="shared" si="20"/>
        <v>378912.75879999989</v>
      </c>
      <c r="M87" s="249">
        <f t="shared" si="15"/>
        <v>2556.0019999999995</v>
      </c>
      <c r="N87" s="249">
        <f t="shared" si="16"/>
        <v>2556.0019999999995</v>
      </c>
      <c r="O87" s="192"/>
      <c r="P87" s="192"/>
      <c r="V87" s="57"/>
    </row>
    <row r="88" spans="2:22" s="2" customFormat="1" ht="15" hidden="1" customHeight="1">
      <c r="B88" s="130">
        <f t="shared" si="21"/>
        <v>67</v>
      </c>
      <c r="C88" s="125"/>
      <c r="D88" s="249">
        <f>FACTORES!F106</f>
        <v>306095.33</v>
      </c>
      <c r="E88" s="249">
        <f>FACTORES!G106</f>
        <v>276650.69</v>
      </c>
      <c r="F88" s="249">
        <f t="shared" si="13"/>
        <v>375927.48</v>
      </c>
      <c r="G88" s="249">
        <f t="shared" si="14"/>
        <v>339977.33999999997</v>
      </c>
      <c r="H88" s="249">
        <f t="shared" si="17"/>
        <v>375927.48</v>
      </c>
      <c r="I88" s="249">
        <f t="shared" si="18"/>
        <v>339977.33999999997</v>
      </c>
      <c r="J88" s="249">
        <f t="shared" si="19"/>
        <v>436075.87679999997</v>
      </c>
      <c r="K88" s="249">
        <f t="shared" si="20"/>
        <v>394373.71439999994</v>
      </c>
      <c r="M88" s="249">
        <f t="shared" si="15"/>
        <v>2556.0019999999995</v>
      </c>
      <c r="N88" s="249">
        <f t="shared" si="16"/>
        <v>2556.0019999999995</v>
      </c>
      <c r="O88" s="192"/>
      <c r="P88" s="192"/>
      <c r="V88" s="57"/>
    </row>
    <row r="89" spans="2:22" s="2" customFormat="1" ht="15" hidden="1" customHeight="1">
      <c r="B89" s="130">
        <f t="shared" si="21"/>
        <v>68</v>
      </c>
      <c r="C89" s="125"/>
      <c r="D89" s="249">
        <f>FACTORES!F107</f>
        <v>321663.78999999998</v>
      </c>
      <c r="E89" s="249">
        <f>FACTORES!G107</f>
        <v>288653.43</v>
      </c>
      <c r="F89" s="249">
        <f t="shared" si="13"/>
        <v>394935.63999999996</v>
      </c>
      <c r="G89" s="249">
        <f t="shared" si="14"/>
        <v>354631.97</v>
      </c>
      <c r="H89" s="249">
        <f t="shared" si="17"/>
        <v>394935.63999999996</v>
      </c>
      <c r="I89" s="249">
        <f t="shared" si="18"/>
        <v>354631.97</v>
      </c>
      <c r="J89" s="249">
        <f t="shared" si="19"/>
        <v>458125.34239999991</v>
      </c>
      <c r="K89" s="249">
        <f t="shared" si="20"/>
        <v>411373.08519999991</v>
      </c>
      <c r="M89" s="249">
        <f t="shared" si="15"/>
        <v>2556.0019999999995</v>
      </c>
      <c r="N89" s="249">
        <f t="shared" si="16"/>
        <v>2556.0019999999995</v>
      </c>
      <c r="O89" s="192"/>
      <c r="P89" s="192"/>
    </row>
    <row r="90" spans="2:22" s="2" customFormat="1" ht="15" hidden="1" customHeight="1">
      <c r="B90" s="130">
        <f t="shared" si="21"/>
        <v>69</v>
      </c>
      <c r="C90" s="125"/>
      <c r="D90" s="249">
        <f>FACTORES!F108</f>
        <v>338061.34</v>
      </c>
      <c r="E90" s="249">
        <f>FACTORES!G108</f>
        <v>301548.71999999997</v>
      </c>
      <c r="F90" s="249">
        <f t="shared" si="13"/>
        <v>414956.05999999994</v>
      </c>
      <c r="G90" s="249">
        <f t="shared" si="14"/>
        <v>370376.33999999997</v>
      </c>
      <c r="H90" s="249">
        <f t="shared" si="17"/>
        <v>414956.05999999994</v>
      </c>
      <c r="I90" s="249">
        <f t="shared" si="18"/>
        <v>370376.33999999997</v>
      </c>
      <c r="J90" s="249">
        <f t="shared" si="19"/>
        <v>481349.02959999989</v>
      </c>
      <c r="K90" s="249">
        <f t="shared" si="20"/>
        <v>429636.55439999991</v>
      </c>
      <c r="M90" s="249">
        <f t="shared" si="15"/>
        <v>2556.0019999999995</v>
      </c>
      <c r="N90" s="249">
        <f t="shared" si="16"/>
        <v>2556.0019999999995</v>
      </c>
      <c r="O90" s="192"/>
      <c r="P90" s="192"/>
      <c r="Q90" s="58"/>
      <c r="R90" s="59"/>
    </row>
    <row r="91" spans="2:22" s="2" customFormat="1" ht="15" hidden="1" customHeight="1">
      <c r="B91" s="130">
        <f t="shared" si="21"/>
        <v>70</v>
      </c>
      <c r="C91" s="125"/>
      <c r="D91" s="249">
        <f>FACTORES!F109</f>
        <v>354904.54</v>
      </c>
      <c r="E91" s="249">
        <f>FACTORES!G109</f>
        <v>314178.17</v>
      </c>
      <c r="F91" s="249">
        <f t="shared" si="13"/>
        <v>435520.6</v>
      </c>
      <c r="G91" s="249">
        <f t="shared" si="14"/>
        <v>385796.13999999996</v>
      </c>
      <c r="H91" s="249">
        <f t="shared" si="17"/>
        <v>435520.6</v>
      </c>
      <c r="I91" s="249">
        <f t="shared" si="18"/>
        <v>385796.13999999996</v>
      </c>
      <c r="J91" s="249">
        <f t="shared" si="19"/>
        <v>505203.89599999995</v>
      </c>
      <c r="K91" s="249">
        <f t="shared" si="20"/>
        <v>447523.5223999999</v>
      </c>
      <c r="M91" s="249">
        <f t="shared" si="15"/>
        <v>2556.0019999999995</v>
      </c>
      <c r="N91" s="249">
        <f t="shared" si="16"/>
        <v>2556.0019999999995</v>
      </c>
      <c r="O91" s="192"/>
      <c r="P91" s="192"/>
      <c r="Q91" s="60"/>
      <c r="R91" s="60"/>
    </row>
    <row r="92" spans="2:22" s="2" customFormat="1" ht="15" hidden="1" customHeight="1">
      <c r="B92" s="130">
        <f t="shared" si="21"/>
        <v>71</v>
      </c>
      <c r="C92" s="125"/>
      <c r="D92" s="249">
        <f>FACTORES!F110</f>
        <v>372049.38</v>
      </c>
      <c r="E92" s="249">
        <f>FACTORES!G110</f>
        <v>327412.74</v>
      </c>
      <c r="F92" s="249">
        <f t="shared" si="13"/>
        <v>456453.41999999993</v>
      </c>
      <c r="G92" s="249">
        <f t="shared" si="14"/>
        <v>401954.75999999995</v>
      </c>
      <c r="H92" s="249">
        <f t="shared" si="17"/>
        <v>456453.41999999993</v>
      </c>
      <c r="I92" s="249">
        <f t="shared" si="18"/>
        <v>401954.75999999995</v>
      </c>
      <c r="J92" s="249">
        <f t="shared" si="19"/>
        <v>529485.96719999984</v>
      </c>
      <c r="K92" s="249">
        <f t="shared" si="20"/>
        <v>466267.52159999992</v>
      </c>
      <c r="M92" s="249">
        <f t="shared" si="15"/>
        <v>2556.0019999999995</v>
      </c>
      <c r="N92" s="249">
        <f t="shared" si="16"/>
        <v>2556.0019999999995</v>
      </c>
      <c r="O92" s="192"/>
      <c r="P92" s="192"/>
      <c r="Q92" s="53"/>
      <c r="R92" s="53"/>
    </row>
    <row r="93" spans="2:22" s="2" customFormat="1" ht="15" hidden="1" customHeight="1">
      <c r="B93" s="130">
        <f t="shared" si="21"/>
        <v>72</v>
      </c>
      <c r="C93" s="125"/>
      <c r="D93" s="249">
        <f>FACTORES!F111</f>
        <v>389823.45</v>
      </c>
      <c r="E93" s="249">
        <f>FACTORES!G111</f>
        <v>341554.08</v>
      </c>
      <c r="F93" s="249">
        <f t="shared" si="13"/>
        <v>478154.48999999993</v>
      </c>
      <c r="G93" s="249">
        <f t="shared" si="14"/>
        <v>419220.48999999993</v>
      </c>
      <c r="H93" s="249">
        <f t="shared" si="17"/>
        <v>478154.48999999993</v>
      </c>
      <c r="I93" s="249">
        <f t="shared" si="18"/>
        <v>419220.48999999993</v>
      </c>
      <c r="J93" s="249">
        <f t="shared" si="19"/>
        <v>554659.20839999989</v>
      </c>
      <c r="K93" s="249">
        <f t="shared" si="20"/>
        <v>486295.76839999988</v>
      </c>
      <c r="M93" s="249">
        <f t="shared" si="15"/>
        <v>2556.0019999999995</v>
      </c>
      <c r="N93" s="249">
        <f t="shared" si="16"/>
        <v>2556.0019999999995</v>
      </c>
      <c r="O93" s="192"/>
      <c r="P93" s="192"/>
      <c r="Q93" s="53"/>
      <c r="R93" s="53"/>
    </row>
    <row r="94" spans="2:22" s="2" customFormat="1" ht="15" hidden="1" customHeight="1">
      <c r="B94" s="130">
        <f t="shared" si="21"/>
        <v>73</v>
      </c>
      <c r="C94" s="125"/>
      <c r="D94" s="249">
        <f>FACTORES!F112</f>
        <v>407997.15</v>
      </c>
      <c r="E94" s="249">
        <f>FACTORES!G112</f>
        <v>355404.57</v>
      </c>
      <c r="F94" s="249">
        <f t="shared" si="13"/>
        <v>500343.48999999993</v>
      </c>
      <c r="G94" s="249">
        <f t="shared" si="14"/>
        <v>436131.10999999993</v>
      </c>
      <c r="H94" s="249">
        <f t="shared" si="17"/>
        <v>500343.48999999993</v>
      </c>
      <c r="I94" s="249">
        <f t="shared" si="18"/>
        <v>436131.10999999993</v>
      </c>
      <c r="J94" s="249">
        <f t="shared" si="19"/>
        <v>580398.44839999988</v>
      </c>
      <c r="K94" s="249">
        <f t="shared" si="20"/>
        <v>505912.08759999985</v>
      </c>
      <c r="M94" s="249">
        <f t="shared" si="15"/>
        <v>2556.0019999999995</v>
      </c>
      <c r="N94" s="249">
        <f t="shared" si="16"/>
        <v>2556.0019999999995</v>
      </c>
      <c r="O94" s="192"/>
      <c r="P94" s="192"/>
    </row>
    <row r="95" spans="2:22" s="2" customFormat="1" ht="15" hidden="1" customHeight="1">
      <c r="B95" s="130">
        <f t="shared" si="21"/>
        <v>74</v>
      </c>
      <c r="C95" s="125"/>
      <c r="D95" s="249">
        <f>FACTORES!F113</f>
        <v>427646.38</v>
      </c>
      <c r="E95" s="249">
        <f>FACTORES!G113</f>
        <v>369532.03</v>
      </c>
      <c r="F95" s="249">
        <f t="shared" si="13"/>
        <v>524334.02</v>
      </c>
      <c r="G95" s="249">
        <f t="shared" si="14"/>
        <v>453379.88999999996</v>
      </c>
      <c r="H95" s="249">
        <f t="shared" si="17"/>
        <v>524334.02</v>
      </c>
      <c r="I95" s="249">
        <f t="shared" si="18"/>
        <v>453379.88999999996</v>
      </c>
      <c r="J95" s="249">
        <f t="shared" si="19"/>
        <v>608227.4632</v>
      </c>
      <c r="K95" s="249">
        <f t="shared" si="20"/>
        <v>525920.67239999992</v>
      </c>
      <c r="M95" s="249">
        <f t="shared" si="15"/>
        <v>2556.0019999999995</v>
      </c>
      <c r="N95" s="249">
        <f t="shared" si="16"/>
        <v>2556.0019999999995</v>
      </c>
      <c r="O95" s="192"/>
      <c r="P95" s="192"/>
    </row>
    <row r="96" spans="2:22" s="2" customFormat="1" ht="15" hidden="1" customHeight="1">
      <c r="B96" s="130">
        <f t="shared" si="21"/>
        <v>75</v>
      </c>
      <c r="C96" s="125"/>
      <c r="D96" s="249">
        <f>FACTORES!F114</f>
        <v>446158.9</v>
      </c>
      <c r="E96" s="249">
        <f>FACTORES!G114</f>
        <v>384745.26</v>
      </c>
      <c r="F96" s="249">
        <f t="shared" si="13"/>
        <v>546936.69999999995</v>
      </c>
      <c r="G96" s="249">
        <f t="shared" si="14"/>
        <v>471954.32999999996</v>
      </c>
      <c r="H96" s="249">
        <f t="shared" si="17"/>
        <v>546936.69999999995</v>
      </c>
      <c r="I96" s="249">
        <f t="shared" si="18"/>
        <v>471954.32999999996</v>
      </c>
      <c r="J96" s="249">
        <f t="shared" si="19"/>
        <v>634446.57199999993</v>
      </c>
      <c r="K96" s="249">
        <f t="shared" si="20"/>
        <v>547467.02279999992</v>
      </c>
      <c r="M96" s="249">
        <f t="shared" si="15"/>
        <v>2556.0019999999995</v>
      </c>
      <c r="N96" s="249">
        <f t="shared" si="16"/>
        <v>2556.0019999999995</v>
      </c>
      <c r="O96" s="192"/>
      <c r="P96" s="192"/>
    </row>
    <row r="97" spans="2:21" s="2" customFormat="1" ht="15" hidden="1" customHeight="1">
      <c r="B97" s="130">
        <f t="shared" si="21"/>
        <v>76</v>
      </c>
      <c r="C97" s="125"/>
      <c r="D97" s="249">
        <f>FACTORES!F115</f>
        <v>468764.7</v>
      </c>
      <c r="E97" s="249">
        <f>FACTORES!G115</f>
        <v>401446.07</v>
      </c>
      <c r="F97" s="249">
        <f t="shared" si="13"/>
        <v>574537.0199999999</v>
      </c>
      <c r="G97" s="249">
        <f t="shared" si="14"/>
        <v>492345.00999999995</v>
      </c>
      <c r="H97" s="249">
        <f t="shared" si="17"/>
        <v>574537.0199999999</v>
      </c>
      <c r="I97" s="249">
        <f t="shared" si="18"/>
        <v>492345.00999999995</v>
      </c>
      <c r="J97" s="249">
        <f t="shared" si="19"/>
        <v>666462.94319999986</v>
      </c>
      <c r="K97" s="249">
        <f t="shared" si="20"/>
        <v>571120.21159999992</v>
      </c>
      <c r="M97" s="249">
        <f t="shared" si="15"/>
        <v>2556.0019999999995</v>
      </c>
      <c r="N97" s="249">
        <f t="shared" si="16"/>
        <v>2556.0019999999995</v>
      </c>
      <c r="O97" s="192"/>
      <c r="P97" s="192"/>
      <c r="U97" s="61"/>
    </row>
    <row r="98" spans="2:21" s="2" customFormat="1" ht="15" hidden="1" customHeight="1">
      <c r="B98" s="130">
        <f t="shared" si="21"/>
        <v>77</v>
      </c>
      <c r="C98" s="125"/>
      <c r="D98" s="249">
        <f>FACTORES!F116</f>
        <v>492917.97</v>
      </c>
      <c r="E98" s="249">
        <f>FACTORES!G116</f>
        <v>419358.51</v>
      </c>
      <c r="F98" s="249">
        <f t="shared" si="13"/>
        <v>604026.72</v>
      </c>
      <c r="G98" s="249">
        <f t="shared" si="14"/>
        <v>514215.02999999997</v>
      </c>
      <c r="H98" s="249">
        <f t="shared" si="17"/>
        <v>604026.72</v>
      </c>
      <c r="I98" s="249">
        <f t="shared" si="18"/>
        <v>514215.02999999997</v>
      </c>
      <c r="J98" s="249">
        <f t="shared" si="19"/>
        <v>700670.99519999989</v>
      </c>
      <c r="K98" s="249">
        <f t="shared" si="20"/>
        <v>596489.43479999993</v>
      </c>
      <c r="M98" s="249">
        <f t="shared" si="15"/>
        <v>2556.0019999999995</v>
      </c>
      <c r="N98" s="249">
        <f t="shared" si="16"/>
        <v>2556.0019999999995</v>
      </c>
      <c r="O98" s="192"/>
      <c r="P98" s="192"/>
      <c r="U98" s="61"/>
    </row>
    <row r="99" spans="2:21" s="2" customFormat="1" ht="15" hidden="1" customHeight="1">
      <c r="B99" s="130">
        <f t="shared" si="21"/>
        <v>78</v>
      </c>
      <c r="C99" s="125"/>
      <c r="D99" s="249">
        <f>FACTORES!F117</f>
        <v>518026.89</v>
      </c>
      <c r="E99" s="249">
        <f>FACTORES!G117</f>
        <v>438019.16</v>
      </c>
      <c r="F99" s="249">
        <f t="shared" si="13"/>
        <v>634683.19999999995</v>
      </c>
      <c r="G99" s="249">
        <f t="shared" si="14"/>
        <v>536998.55999999994</v>
      </c>
      <c r="H99" s="249">
        <f t="shared" si="17"/>
        <v>634683.19999999995</v>
      </c>
      <c r="I99" s="249">
        <f t="shared" si="18"/>
        <v>536998.55999999994</v>
      </c>
      <c r="J99" s="249">
        <f t="shared" si="19"/>
        <v>736232.51199999987</v>
      </c>
      <c r="K99" s="249">
        <f t="shared" si="20"/>
        <v>622918.32959999994</v>
      </c>
      <c r="M99" s="249">
        <f t="shared" si="15"/>
        <v>2556.0019999999995</v>
      </c>
      <c r="N99" s="249">
        <f t="shared" si="16"/>
        <v>2556.0019999999995</v>
      </c>
      <c r="O99" s="192"/>
      <c r="P99" s="192"/>
      <c r="U99" s="61"/>
    </row>
    <row r="100" spans="2:21" s="2" customFormat="1" ht="15" hidden="1" customHeight="1">
      <c r="B100" s="130">
        <f t="shared" si="21"/>
        <v>79</v>
      </c>
      <c r="C100" s="125"/>
      <c r="D100" s="249">
        <f>FACTORES!F118</f>
        <v>545588.80000000005</v>
      </c>
      <c r="E100" s="249">
        <f>FACTORES!G118</f>
        <v>456739.24</v>
      </c>
      <c r="F100" s="249">
        <f t="shared" si="13"/>
        <v>668334.6399999999</v>
      </c>
      <c r="G100" s="249">
        <f t="shared" si="14"/>
        <v>559854.65999999992</v>
      </c>
      <c r="H100" s="249">
        <f t="shared" si="17"/>
        <v>668334.6399999999</v>
      </c>
      <c r="I100" s="249">
        <f t="shared" si="18"/>
        <v>559854.65999999992</v>
      </c>
      <c r="J100" s="249">
        <f t="shared" si="19"/>
        <v>775268.18239999982</v>
      </c>
      <c r="K100" s="249">
        <f t="shared" si="20"/>
        <v>649431.40559999982</v>
      </c>
      <c r="M100" s="249">
        <f t="shared" si="15"/>
        <v>2556.0019999999995</v>
      </c>
      <c r="N100" s="249">
        <f t="shared" si="16"/>
        <v>2556.0019999999995</v>
      </c>
      <c r="O100" s="192"/>
      <c r="P100" s="192"/>
      <c r="U100" s="61"/>
    </row>
    <row r="101" spans="2:21" s="2" customFormat="1" ht="15" hidden="1" customHeight="1">
      <c r="B101" s="130">
        <f t="shared" si="21"/>
        <v>80</v>
      </c>
      <c r="C101" s="125"/>
      <c r="D101" s="249">
        <f>FACTORES!F119</f>
        <v>572324.71</v>
      </c>
      <c r="E101" s="249">
        <f>FACTORES!G119</f>
        <v>476499.99</v>
      </c>
      <c r="F101" s="249">
        <f t="shared" si="13"/>
        <v>700977.58</v>
      </c>
      <c r="G101" s="249">
        <f t="shared" si="14"/>
        <v>583981.35</v>
      </c>
      <c r="H101" s="249">
        <f t="shared" si="17"/>
        <v>700977.58</v>
      </c>
      <c r="I101" s="249">
        <f t="shared" si="18"/>
        <v>583981.35</v>
      </c>
      <c r="J101" s="249">
        <f t="shared" si="19"/>
        <v>813133.99279999989</v>
      </c>
      <c r="K101" s="249">
        <f t="shared" si="20"/>
        <v>677418.36599999992</v>
      </c>
      <c r="M101" s="249">
        <f t="shared" si="15"/>
        <v>2556.0019999999995</v>
      </c>
      <c r="N101" s="249">
        <f t="shared" si="16"/>
        <v>2556.0019999999995</v>
      </c>
      <c r="O101" s="192"/>
      <c r="P101" s="192"/>
      <c r="U101" s="61"/>
    </row>
    <row r="102" spans="2:21" s="2" customFormat="1" ht="15" hidden="1" customHeight="1">
      <c r="B102" s="130">
        <f t="shared" si="21"/>
        <v>81</v>
      </c>
      <c r="C102" s="125"/>
      <c r="D102" s="249">
        <f>FACTORES!F120</f>
        <v>603731.37</v>
      </c>
      <c r="E102" s="249">
        <f>FACTORES!G120</f>
        <v>496522.23999999999</v>
      </c>
      <c r="F102" s="249">
        <f t="shared" si="13"/>
        <v>739323.23</v>
      </c>
      <c r="G102" s="249">
        <f t="shared" si="14"/>
        <v>608427.30999999994</v>
      </c>
      <c r="H102" s="249">
        <f t="shared" si="17"/>
        <v>739323.23</v>
      </c>
      <c r="I102" s="249">
        <f t="shared" si="18"/>
        <v>608427.30999999994</v>
      </c>
      <c r="J102" s="249">
        <f t="shared" si="19"/>
        <v>857614.94679999992</v>
      </c>
      <c r="K102" s="249">
        <f t="shared" si="20"/>
        <v>705775.67959999992</v>
      </c>
      <c r="M102" s="249">
        <f t="shared" si="15"/>
        <v>2556.0019999999995</v>
      </c>
      <c r="N102" s="249">
        <f t="shared" si="16"/>
        <v>2556.0019999999995</v>
      </c>
      <c r="O102" s="192"/>
      <c r="P102" s="192"/>
      <c r="U102" s="61"/>
    </row>
    <row r="103" spans="2:21" s="2" customFormat="1" ht="15" hidden="1" customHeight="1">
      <c r="B103" s="130">
        <f t="shared" si="21"/>
        <v>82</v>
      </c>
      <c r="C103" s="125"/>
      <c r="D103" s="249">
        <f>FACTORES!F121</f>
        <v>636328.9</v>
      </c>
      <c r="E103" s="249">
        <f>FACTORES!G121</f>
        <v>515726.74</v>
      </c>
      <c r="F103" s="249">
        <f t="shared" si="13"/>
        <v>779122.86</v>
      </c>
      <c r="G103" s="249">
        <f t="shared" si="14"/>
        <v>631874.86</v>
      </c>
      <c r="H103" s="249">
        <f t="shared" si="17"/>
        <v>779122.86</v>
      </c>
      <c r="I103" s="249">
        <f t="shared" si="18"/>
        <v>631874.86</v>
      </c>
      <c r="J103" s="249">
        <f t="shared" si="19"/>
        <v>903782.5175999999</v>
      </c>
      <c r="K103" s="249">
        <f t="shared" si="20"/>
        <v>732974.83759999997</v>
      </c>
      <c r="M103" s="249">
        <f t="shared" si="15"/>
        <v>2556.0019999999995</v>
      </c>
      <c r="N103" s="249">
        <f t="shared" si="16"/>
        <v>2556.0019999999995</v>
      </c>
      <c r="O103" s="192"/>
      <c r="P103" s="192"/>
      <c r="U103" s="61"/>
    </row>
    <row r="104" spans="2:21" s="2" customFormat="1" ht="15" hidden="1" customHeight="1">
      <c r="B104" s="130">
        <f t="shared" si="21"/>
        <v>83</v>
      </c>
      <c r="C104" s="125"/>
      <c r="D104" s="249">
        <f>FACTORES!F122</f>
        <v>670299.16</v>
      </c>
      <c r="E104" s="249">
        <f>FACTORES!G122</f>
        <v>537595.46</v>
      </c>
      <c r="F104" s="249">
        <f t="shared" si="13"/>
        <v>820598.51</v>
      </c>
      <c r="G104" s="249">
        <f t="shared" si="14"/>
        <v>658575.25</v>
      </c>
      <c r="H104" s="249">
        <f t="shared" si="17"/>
        <v>820598.51</v>
      </c>
      <c r="I104" s="249">
        <f t="shared" si="18"/>
        <v>658575.25</v>
      </c>
      <c r="J104" s="249">
        <f t="shared" si="19"/>
        <v>951894.27159999998</v>
      </c>
      <c r="K104" s="249">
        <f t="shared" si="20"/>
        <v>763947.28999999992</v>
      </c>
      <c r="M104" s="249">
        <f t="shared" si="15"/>
        <v>2556.0019999999995</v>
      </c>
      <c r="N104" s="249">
        <f t="shared" si="16"/>
        <v>2556.0019999999995</v>
      </c>
      <c r="O104" s="192"/>
      <c r="P104" s="192"/>
      <c r="U104" s="61"/>
    </row>
    <row r="105" spans="2:21" s="2" customFormat="1" ht="15" hidden="1" customHeight="1">
      <c r="B105" s="130">
        <f t="shared" si="21"/>
        <v>84</v>
      </c>
      <c r="C105" s="125"/>
      <c r="D105" s="249">
        <f>FACTORES!F123</f>
        <v>705859.46</v>
      </c>
      <c r="E105" s="249">
        <f>FACTORES!G123</f>
        <v>558813.74</v>
      </c>
      <c r="F105" s="249">
        <f t="shared" si="13"/>
        <v>864015.5</v>
      </c>
      <c r="G105" s="249">
        <f t="shared" si="14"/>
        <v>684481.5</v>
      </c>
      <c r="H105" s="249">
        <f t="shared" ref="H105:I107" si="22">(F105*(1+$I$18))+$I$19</f>
        <v>864015.5</v>
      </c>
      <c r="I105" s="249">
        <f t="shared" si="22"/>
        <v>684481.5</v>
      </c>
      <c r="J105" s="249">
        <f t="shared" ref="J105:K107" si="23">H105*(1+$K$19)</f>
        <v>1002257.98</v>
      </c>
      <c r="K105" s="249">
        <f t="shared" si="23"/>
        <v>793998.53999999992</v>
      </c>
      <c r="M105" s="249">
        <f>(D105*$G$5*$G$6*$G$7*$G$11*$G$12*$G$8+(ADIC+DENTAL+CVISION+IKE)*(1-DESC))*(1+IVA)</f>
        <v>2556.0019999999995</v>
      </c>
      <c r="N105" s="249">
        <f>(E105*$G$5*$G$6*$G$7*$G$11*$G$12*$G$8+(ADIC+DENTAL+CVISION+IKE)*(1-DESC))*(1+IVA)</f>
        <v>2556.0019999999995</v>
      </c>
      <c r="O105" s="192"/>
      <c r="P105" s="192"/>
      <c r="U105" s="61"/>
    </row>
    <row r="106" spans="2:21" s="2" customFormat="1" ht="15" hidden="1" customHeight="1" thickBot="1">
      <c r="B106" s="130">
        <f t="shared" si="21"/>
        <v>85</v>
      </c>
      <c r="C106" s="125"/>
      <c r="D106" s="249">
        <f>FACTORES!$F$124</f>
        <v>743265.43</v>
      </c>
      <c r="E106" s="249">
        <f>FACTORES!$G$124</f>
        <v>580631.4</v>
      </c>
      <c r="F106" s="249">
        <f t="shared" si="13"/>
        <v>909685.94</v>
      </c>
      <c r="G106" s="249">
        <f t="shared" si="14"/>
        <v>711119.54999999993</v>
      </c>
      <c r="H106" s="249">
        <f t="shared" si="22"/>
        <v>909685.94</v>
      </c>
      <c r="I106" s="249">
        <f t="shared" si="22"/>
        <v>711119.54999999993</v>
      </c>
      <c r="J106" s="249">
        <f t="shared" si="23"/>
        <v>1055235.6904</v>
      </c>
      <c r="K106" s="249">
        <f t="shared" si="23"/>
        <v>824898.67799999984</v>
      </c>
      <c r="M106" s="250">
        <f>(D106*$G$5*$G$6*$G$7*$G$11*$G$12*$G$8+(ADIC+DENTAL+CVISION+IKE)*(1-DESC))*(1+IVA)</f>
        <v>2556.0019999999995</v>
      </c>
      <c r="N106" s="250">
        <f>(E106*$G$5*$G$6*$G$7*$G$11*$G$12*$G$8+(ADIC+DENTAL+CVISION+IKE)*(1-DESC))*(1+IVA)</f>
        <v>2556.0019999999995</v>
      </c>
      <c r="O106" s="192"/>
      <c r="P106" s="192"/>
      <c r="U106" s="61"/>
    </row>
    <row r="107" spans="2:21" s="2" customFormat="1" ht="15" hidden="1" customHeight="1" thickTop="1">
      <c r="B107" s="130">
        <f t="shared" si="21"/>
        <v>86</v>
      </c>
      <c r="C107" s="125"/>
      <c r="D107" s="249">
        <f>FACTORES!$F$124</f>
        <v>743265.43</v>
      </c>
      <c r="E107" s="249">
        <f>FACTORES!$G$124</f>
        <v>580631.4</v>
      </c>
      <c r="F107" s="249">
        <f t="shared" ref="F107" si="24">ROUND(D107*$G$5*$G$6*$G$7,2)+ADIC+DENTAL+IKE+CVISION</f>
        <v>909685.94</v>
      </c>
      <c r="G107" s="249">
        <f t="shared" ref="G107" si="25">ROUND(E107*$G$5*$G$6*$G$7,2)+ADIC+DENTAL+IKE+CVISION</f>
        <v>711119.54999999993</v>
      </c>
      <c r="H107" s="249">
        <f t="shared" si="22"/>
        <v>909685.94</v>
      </c>
      <c r="I107" s="249">
        <f t="shared" si="22"/>
        <v>711119.54999999993</v>
      </c>
      <c r="J107" s="249">
        <f t="shared" si="23"/>
        <v>1055235.6904</v>
      </c>
      <c r="K107" s="249">
        <f t="shared" si="23"/>
        <v>824898.67799999984</v>
      </c>
      <c r="O107" s="55"/>
    </row>
    <row r="108" spans="2:21" s="2" customFormat="1" ht="15" hidden="1" customHeight="1">
      <c r="B108" s="130">
        <f t="shared" si="21"/>
        <v>87</v>
      </c>
      <c r="C108" s="125"/>
      <c r="D108" s="249">
        <f>FACTORES!$F$124</f>
        <v>743265.43</v>
      </c>
      <c r="E108" s="249">
        <f>FACTORES!$G$124</f>
        <v>580631.4</v>
      </c>
      <c r="F108" s="249">
        <f t="shared" ref="F108:F121" si="26">ROUND(D108*$G$5*$G$6*$G$7,2)+ADIC+DENTAL+IKE+CVISION</f>
        <v>909685.94</v>
      </c>
      <c r="G108" s="249">
        <f t="shared" ref="G108:G121" si="27">ROUND(E108*$G$5*$G$6*$G$7,2)+ADIC+DENTAL+IKE+CVISION</f>
        <v>711119.54999999993</v>
      </c>
      <c r="H108" s="249">
        <f t="shared" ref="H108:H121" si="28">(F108*(1+$I$18))+$I$19</f>
        <v>909685.94</v>
      </c>
      <c r="I108" s="249">
        <f t="shared" ref="I108:I121" si="29">(G108*(1+$I$18))+$I$19</f>
        <v>711119.54999999993</v>
      </c>
      <c r="J108" s="249">
        <f t="shared" ref="J108:J121" si="30">H108*(1+$K$19)</f>
        <v>1055235.6904</v>
      </c>
      <c r="K108" s="249">
        <f t="shared" ref="K108:K121" si="31">I108*(1+$K$19)</f>
        <v>824898.67799999984</v>
      </c>
      <c r="O108" s="55"/>
    </row>
    <row r="109" spans="2:21" s="2" customFormat="1" ht="15" hidden="1" customHeight="1">
      <c r="B109" s="130">
        <f t="shared" si="21"/>
        <v>88</v>
      </c>
      <c r="C109" s="125"/>
      <c r="D109" s="249">
        <f>FACTORES!$F$124</f>
        <v>743265.43</v>
      </c>
      <c r="E109" s="249">
        <f>FACTORES!$G$124</f>
        <v>580631.4</v>
      </c>
      <c r="F109" s="249">
        <f t="shared" si="26"/>
        <v>909685.94</v>
      </c>
      <c r="G109" s="249">
        <f t="shared" si="27"/>
        <v>711119.54999999993</v>
      </c>
      <c r="H109" s="249">
        <f t="shared" si="28"/>
        <v>909685.94</v>
      </c>
      <c r="I109" s="249">
        <f t="shared" si="29"/>
        <v>711119.54999999993</v>
      </c>
      <c r="J109" s="249">
        <f t="shared" si="30"/>
        <v>1055235.6904</v>
      </c>
      <c r="K109" s="249">
        <f t="shared" si="31"/>
        <v>824898.67799999984</v>
      </c>
      <c r="O109" s="55"/>
    </row>
    <row r="110" spans="2:21" s="2" customFormat="1" ht="15" hidden="1" customHeight="1">
      <c r="B110" s="130">
        <f t="shared" si="21"/>
        <v>89</v>
      </c>
      <c r="C110" s="125"/>
      <c r="D110" s="249">
        <f>FACTORES!$F$124</f>
        <v>743265.43</v>
      </c>
      <c r="E110" s="249">
        <f>FACTORES!$G$124</f>
        <v>580631.4</v>
      </c>
      <c r="F110" s="249">
        <f t="shared" si="26"/>
        <v>909685.94</v>
      </c>
      <c r="G110" s="249">
        <f t="shared" si="27"/>
        <v>711119.54999999993</v>
      </c>
      <c r="H110" s="249">
        <f t="shared" si="28"/>
        <v>909685.94</v>
      </c>
      <c r="I110" s="249">
        <f t="shared" si="29"/>
        <v>711119.54999999993</v>
      </c>
      <c r="J110" s="249">
        <f t="shared" si="30"/>
        <v>1055235.6904</v>
      </c>
      <c r="K110" s="249">
        <f t="shared" si="31"/>
        <v>824898.67799999984</v>
      </c>
      <c r="O110" s="55"/>
    </row>
    <row r="111" spans="2:21" s="2" customFormat="1" ht="15" hidden="1" customHeight="1">
      <c r="B111" s="130">
        <f t="shared" si="21"/>
        <v>90</v>
      </c>
      <c r="C111" s="125"/>
      <c r="D111" s="249">
        <f>FACTORES!$F$124</f>
        <v>743265.43</v>
      </c>
      <c r="E111" s="249">
        <f>FACTORES!$G$124</f>
        <v>580631.4</v>
      </c>
      <c r="F111" s="249">
        <f t="shared" si="26"/>
        <v>909685.94</v>
      </c>
      <c r="G111" s="249">
        <f t="shared" si="27"/>
        <v>711119.54999999993</v>
      </c>
      <c r="H111" s="249">
        <f t="shared" si="28"/>
        <v>909685.94</v>
      </c>
      <c r="I111" s="249">
        <f t="shared" si="29"/>
        <v>711119.54999999993</v>
      </c>
      <c r="J111" s="249">
        <f t="shared" si="30"/>
        <v>1055235.6904</v>
      </c>
      <c r="K111" s="249">
        <f t="shared" si="31"/>
        <v>824898.67799999984</v>
      </c>
      <c r="O111" s="55"/>
    </row>
    <row r="112" spans="2:21" s="2" customFormat="1" ht="15" hidden="1" customHeight="1">
      <c r="B112" s="130">
        <f t="shared" si="21"/>
        <v>91</v>
      </c>
      <c r="C112" s="125"/>
      <c r="D112" s="249">
        <f>FACTORES!$F$124</f>
        <v>743265.43</v>
      </c>
      <c r="E112" s="249">
        <f>FACTORES!$G$124</f>
        <v>580631.4</v>
      </c>
      <c r="F112" s="249">
        <f t="shared" si="26"/>
        <v>909685.94</v>
      </c>
      <c r="G112" s="249">
        <f t="shared" si="27"/>
        <v>711119.54999999993</v>
      </c>
      <c r="H112" s="249">
        <f t="shared" si="28"/>
        <v>909685.94</v>
      </c>
      <c r="I112" s="249">
        <f t="shared" si="29"/>
        <v>711119.54999999993</v>
      </c>
      <c r="J112" s="249">
        <f t="shared" si="30"/>
        <v>1055235.6904</v>
      </c>
      <c r="K112" s="249">
        <f t="shared" si="31"/>
        <v>824898.67799999984</v>
      </c>
    </row>
    <row r="113" spans="2:15" s="2" customFormat="1" ht="15" hidden="1" customHeight="1">
      <c r="B113" s="130">
        <f t="shared" si="21"/>
        <v>92</v>
      </c>
      <c r="C113" s="125"/>
      <c r="D113" s="249">
        <f>FACTORES!$F$124</f>
        <v>743265.43</v>
      </c>
      <c r="E113" s="249">
        <f>FACTORES!$G$124</f>
        <v>580631.4</v>
      </c>
      <c r="F113" s="249">
        <f t="shared" si="26"/>
        <v>909685.94</v>
      </c>
      <c r="G113" s="249">
        <f t="shared" si="27"/>
        <v>711119.54999999993</v>
      </c>
      <c r="H113" s="249">
        <f t="shared" si="28"/>
        <v>909685.94</v>
      </c>
      <c r="I113" s="249">
        <f t="shared" si="29"/>
        <v>711119.54999999993</v>
      </c>
      <c r="J113" s="249">
        <f t="shared" si="30"/>
        <v>1055235.6904</v>
      </c>
      <c r="K113" s="249">
        <f t="shared" si="31"/>
        <v>824898.67799999984</v>
      </c>
      <c r="O113" s="55"/>
    </row>
    <row r="114" spans="2:15" s="2" customFormat="1" ht="15" hidden="1" customHeight="1">
      <c r="B114" s="130">
        <f t="shared" si="21"/>
        <v>93</v>
      </c>
      <c r="C114" s="125"/>
      <c r="D114" s="249">
        <f>FACTORES!$F$124</f>
        <v>743265.43</v>
      </c>
      <c r="E114" s="249">
        <f>FACTORES!$G$124</f>
        <v>580631.4</v>
      </c>
      <c r="F114" s="249">
        <f t="shared" si="26"/>
        <v>909685.94</v>
      </c>
      <c r="G114" s="249">
        <f t="shared" si="27"/>
        <v>711119.54999999993</v>
      </c>
      <c r="H114" s="249">
        <f t="shared" si="28"/>
        <v>909685.94</v>
      </c>
      <c r="I114" s="249">
        <f t="shared" si="29"/>
        <v>711119.54999999993</v>
      </c>
      <c r="J114" s="249">
        <f t="shared" si="30"/>
        <v>1055235.6904</v>
      </c>
      <c r="K114" s="249">
        <f t="shared" si="31"/>
        <v>824898.67799999984</v>
      </c>
      <c r="O114" s="55"/>
    </row>
    <row r="115" spans="2:15" s="2" customFormat="1" ht="15" hidden="1" customHeight="1">
      <c r="B115" s="130">
        <f t="shared" si="21"/>
        <v>94</v>
      </c>
      <c r="C115" s="125"/>
      <c r="D115" s="249">
        <f>FACTORES!$F$124</f>
        <v>743265.43</v>
      </c>
      <c r="E115" s="249">
        <f>FACTORES!$G$124</f>
        <v>580631.4</v>
      </c>
      <c r="F115" s="249">
        <f t="shared" si="26"/>
        <v>909685.94</v>
      </c>
      <c r="G115" s="249">
        <f t="shared" si="27"/>
        <v>711119.54999999993</v>
      </c>
      <c r="H115" s="249">
        <f t="shared" si="28"/>
        <v>909685.94</v>
      </c>
      <c r="I115" s="249">
        <f t="shared" si="29"/>
        <v>711119.54999999993</v>
      </c>
      <c r="J115" s="249">
        <f t="shared" si="30"/>
        <v>1055235.6904</v>
      </c>
      <c r="K115" s="249">
        <f t="shared" si="31"/>
        <v>824898.67799999984</v>
      </c>
      <c r="O115" s="55"/>
    </row>
    <row r="116" spans="2:15" s="2" customFormat="1" ht="15" hidden="1" customHeight="1">
      <c r="B116" s="130">
        <f t="shared" si="21"/>
        <v>95</v>
      </c>
      <c r="C116" s="125"/>
      <c r="D116" s="249">
        <f>FACTORES!$F$124</f>
        <v>743265.43</v>
      </c>
      <c r="E116" s="249">
        <f>FACTORES!$G$124</f>
        <v>580631.4</v>
      </c>
      <c r="F116" s="249">
        <f t="shared" si="26"/>
        <v>909685.94</v>
      </c>
      <c r="G116" s="249">
        <f t="shared" si="27"/>
        <v>711119.54999999993</v>
      </c>
      <c r="H116" s="249">
        <f t="shared" si="28"/>
        <v>909685.94</v>
      </c>
      <c r="I116" s="249">
        <f t="shared" si="29"/>
        <v>711119.54999999993</v>
      </c>
      <c r="J116" s="249">
        <f t="shared" si="30"/>
        <v>1055235.6904</v>
      </c>
      <c r="K116" s="249">
        <f t="shared" si="31"/>
        <v>824898.67799999984</v>
      </c>
      <c r="O116" s="55"/>
    </row>
    <row r="117" spans="2:15" s="2" customFormat="1" ht="15" hidden="1" customHeight="1">
      <c r="B117" s="130">
        <f t="shared" si="21"/>
        <v>96</v>
      </c>
      <c r="C117" s="125"/>
      <c r="D117" s="249">
        <f>FACTORES!$F$124</f>
        <v>743265.43</v>
      </c>
      <c r="E117" s="249">
        <f>FACTORES!$G$124</f>
        <v>580631.4</v>
      </c>
      <c r="F117" s="249">
        <f t="shared" si="26"/>
        <v>909685.94</v>
      </c>
      <c r="G117" s="249">
        <f t="shared" si="27"/>
        <v>711119.54999999993</v>
      </c>
      <c r="H117" s="249">
        <f t="shared" si="28"/>
        <v>909685.94</v>
      </c>
      <c r="I117" s="249">
        <f t="shared" si="29"/>
        <v>711119.54999999993</v>
      </c>
      <c r="J117" s="249">
        <f t="shared" si="30"/>
        <v>1055235.6904</v>
      </c>
      <c r="K117" s="249">
        <f t="shared" si="31"/>
        <v>824898.67799999984</v>
      </c>
    </row>
    <row r="118" spans="2:15" s="2" customFormat="1" ht="15" hidden="1" customHeight="1">
      <c r="B118" s="130">
        <f t="shared" si="21"/>
        <v>97</v>
      </c>
      <c r="C118" s="125"/>
      <c r="D118" s="249">
        <f>FACTORES!$F$124</f>
        <v>743265.43</v>
      </c>
      <c r="E118" s="249">
        <f>FACTORES!$G$124</f>
        <v>580631.4</v>
      </c>
      <c r="F118" s="249">
        <f t="shared" si="26"/>
        <v>909685.94</v>
      </c>
      <c r="G118" s="249">
        <f t="shared" si="27"/>
        <v>711119.54999999993</v>
      </c>
      <c r="H118" s="249">
        <f t="shared" si="28"/>
        <v>909685.94</v>
      </c>
      <c r="I118" s="249">
        <f t="shared" si="29"/>
        <v>711119.54999999993</v>
      </c>
      <c r="J118" s="249">
        <f t="shared" si="30"/>
        <v>1055235.6904</v>
      </c>
      <c r="K118" s="249">
        <f t="shared" si="31"/>
        <v>824898.67799999984</v>
      </c>
      <c r="O118" s="55"/>
    </row>
    <row r="119" spans="2:15" s="2" customFormat="1" ht="15" hidden="1" customHeight="1">
      <c r="B119" s="130">
        <f t="shared" si="21"/>
        <v>98</v>
      </c>
      <c r="C119" s="125"/>
      <c r="D119" s="249">
        <f>FACTORES!$F$124</f>
        <v>743265.43</v>
      </c>
      <c r="E119" s="249">
        <f>FACTORES!$G$124</f>
        <v>580631.4</v>
      </c>
      <c r="F119" s="249">
        <f t="shared" si="26"/>
        <v>909685.94</v>
      </c>
      <c r="G119" s="249">
        <f t="shared" si="27"/>
        <v>711119.54999999993</v>
      </c>
      <c r="H119" s="249">
        <f t="shared" si="28"/>
        <v>909685.94</v>
      </c>
      <c r="I119" s="249">
        <f t="shared" si="29"/>
        <v>711119.54999999993</v>
      </c>
      <c r="J119" s="249">
        <f t="shared" si="30"/>
        <v>1055235.6904</v>
      </c>
      <c r="K119" s="249">
        <f t="shared" si="31"/>
        <v>824898.67799999984</v>
      </c>
      <c r="O119" s="55"/>
    </row>
    <row r="120" spans="2:15" s="2" customFormat="1" ht="15" hidden="1" customHeight="1">
      <c r="B120" s="130">
        <f t="shared" si="21"/>
        <v>99</v>
      </c>
      <c r="C120" s="125"/>
      <c r="D120" s="249">
        <f>FACTORES!$F$124</f>
        <v>743265.43</v>
      </c>
      <c r="E120" s="249">
        <f>FACTORES!$G$124</f>
        <v>580631.4</v>
      </c>
      <c r="F120" s="249">
        <f t="shared" si="26"/>
        <v>909685.94</v>
      </c>
      <c r="G120" s="249">
        <f t="shared" si="27"/>
        <v>711119.54999999993</v>
      </c>
      <c r="H120" s="249">
        <f t="shared" si="28"/>
        <v>909685.94</v>
      </c>
      <c r="I120" s="249">
        <f t="shared" si="29"/>
        <v>711119.54999999993</v>
      </c>
      <c r="J120" s="249">
        <f t="shared" si="30"/>
        <v>1055235.6904</v>
      </c>
      <c r="K120" s="249">
        <f t="shared" si="31"/>
        <v>824898.67799999984</v>
      </c>
      <c r="O120" s="55"/>
    </row>
    <row r="121" spans="2:15" s="2" customFormat="1" ht="15" hidden="1" customHeight="1" thickBot="1">
      <c r="B121" s="131">
        <f t="shared" si="21"/>
        <v>100</v>
      </c>
      <c r="C121" s="126"/>
      <c r="D121" s="250">
        <f>FACTORES!$F$124</f>
        <v>743265.43</v>
      </c>
      <c r="E121" s="250">
        <f>FACTORES!$G$124</f>
        <v>580631.4</v>
      </c>
      <c r="F121" s="250">
        <f t="shared" si="26"/>
        <v>909685.94</v>
      </c>
      <c r="G121" s="250">
        <f t="shared" si="27"/>
        <v>711119.54999999993</v>
      </c>
      <c r="H121" s="250">
        <f t="shared" si="28"/>
        <v>909685.94</v>
      </c>
      <c r="I121" s="250">
        <f t="shared" si="29"/>
        <v>711119.54999999993</v>
      </c>
      <c r="J121" s="250">
        <f t="shared" si="30"/>
        <v>1055235.6904</v>
      </c>
      <c r="K121" s="250">
        <f t="shared" si="31"/>
        <v>824898.67799999984</v>
      </c>
      <c r="O121" s="55"/>
    </row>
    <row r="122" spans="2:15" s="2" customFormat="1" ht="15" hidden="1" customHeight="1" thickTop="1"/>
    <row r="123" spans="2:15" s="2" customFormat="1" ht="15" hidden="1" customHeight="1">
      <c r="O123" s="55"/>
    </row>
    <row r="124" spans="2:15" s="2" customFormat="1" ht="15" hidden="1" customHeight="1">
      <c r="O124" s="55"/>
    </row>
    <row r="125" spans="2:15" s="2" customFormat="1" ht="15" hidden="1" customHeight="1">
      <c r="O125" s="55"/>
    </row>
    <row r="126" spans="2:15" s="2" customFormat="1" ht="15" hidden="1" customHeight="1">
      <c r="O126" s="55"/>
    </row>
    <row r="127" spans="2:15" s="2" customFormat="1" ht="15" hidden="1" customHeight="1">
      <c r="O127" s="55"/>
    </row>
    <row r="128" spans="2:15" s="2" customFormat="1" ht="15" hidden="1" customHeight="1">
      <c r="O128" s="55"/>
    </row>
    <row r="129" spans="15:23" s="2" customFormat="1" ht="15" hidden="1" customHeight="1">
      <c r="O129" s="55"/>
    </row>
    <row r="130" spans="15:23" s="2" customFormat="1" ht="15" hidden="1" customHeight="1">
      <c r="O130" s="55"/>
    </row>
    <row r="131" spans="15:23" s="2" customFormat="1" ht="15" hidden="1" customHeight="1">
      <c r="O131" s="55"/>
    </row>
    <row r="132" spans="15:23" s="2" customFormat="1" ht="15" hidden="1" customHeight="1">
      <c r="O132" s="55"/>
    </row>
    <row r="133" spans="15:23" s="2" customFormat="1" ht="15" hidden="1" customHeight="1"/>
    <row r="134" spans="15:23" s="2" customFormat="1" ht="15" hidden="1" customHeight="1">
      <c r="P134" s="692"/>
      <c r="Q134" s="692"/>
      <c r="R134" s="692"/>
      <c r="S134" s="692"/>
      <c r="T134" s="692"/>
      <c r="U134" s="692"/>
      <c r="V134" s="692"/>
      <c r="W134" s="692"/>
    </row>
    <row r="135" spans="15:23" s="2" customFormat="1" ht="15" hidden="1" customHeight="1">
      <c r="P135" s="692"/>
      <c r="Q135" s="692"/>
      <c r="R135" s="692"/>
      <c r="S135" s="692"/>
      <c r="T135" s="45"/>
      <c r="U135" s="45"/>
      <c r="V135" s="45"/>
      <c r="W135" s="45"/>
    </row>
    <row r="136" spans="15:23" s="2" customFormat="1" ht="15" hidden="1" customHeight="1">
      <c r="P136" s="45"/>
      <c r="Q136" s="45"/>
      <c r="R136" s="45"/>
      <c r="S136" s="45"/>
      <c r="T136" s="45"/>
      <c r="U136" s="45"/>
      <c r="V136" s="45"/>
      <c r="W136" s="45"/>
    </row>
    <row r="137" spans="15:23" s="2" customFormat="1" ht="15" hidden="1" customHeight="1">
      <c r="P137" s="35"/>
      <c r="T137" s="62"/>
      <c r="U137" s="45"/>
      <c r="W137" s="46"/>
    </row>
    <row r="138" spans="15:23" s="2" customFormat="1" ht="15" hidden="1" customHeight="1">
      <c r="S138" s="63"/>
      <c r="T138" s="62"/>
      <c r="U138" s="48"/>
      <c r="W138" s="46"/>
    </row>
    <row r="139" spans="15:23" s="2" customFormat="1" ht="10" hidden="1">
      <c r="S139" s="64"/>
      <c r="T139" s="62"/>
      <c r="U139" s="48"/>
      <c r="W139" s="46"/>
    </row>
    <row r="140" spans="15:23" s="2" customFormat="1" ht="10" hidden="1">
      <c r="S140" s="64"/>
      <c r="T140" s="62"/>
      <c r="U140" s="48"/>
      <c r="W140" s="46"/>
    </row>
    <row r="141" spans="15:23" s="2" customFormat="1" ht="10" hidden="1">
      <c r="S141" s="65"/>
      <c r="T141" s="62"/>
      <c r="U141" s="48"/>
      <c r="W141" s="46"/>
    </row>
    <row r="142" spans="15:23" s="2" customFormat="1" ht="10" hidden="1">
      <c r="Q142" s="66"/>
      <c r="R142" s="66"/>
      <c r="S142" s="66"/>
      <c r="T142" s="62"/>
      <c r="U142" s="48"/>
      <c r="W142" s="46"/>
    </row>
    <row r="143" spans="15:23" s="2" customFormat="1" ht="10" hidden="1">
      <c r="Q143" s="66"/>
      <c r="R143" s="66"/>
      <c r="S143" s="66"/>
      <c r="T143" s="62"/>
      <c r="U143" s="48"/>
      <c r="W143" s="46"/>
    </row>
    <row r="144" spans="15:23" s="2" customFormat="1" ht="10" hidden="1">
      <c r="Q144" s="66"/>
      <c r="R144" s="66"/>
      <c r="T144" s="62"/>
      <c r="U144" s="48"/>
      <c r="W144" s="46"/>
    </row>
    <row r="145" spans="16:23" s="2" customFormat="1" ht="10" hidden="1">
      <c r="Q145" s="66"/>
      <c r="R145" s="66"/>
      <c r="T145" s="62"/>
      <c r="U145" s="48"/>
      <c r="W145" s="46"/>
    </row>
    <row r="146" spans="16:23" s="2" customFormat="1" ht="10" hidden="1">
      <c r="Q146" s="67"/>
      <c r="R146" s="58"/>
      <c r="T146" s="62"/>
      <c r="U146" s="48"/>
      <c r="W146" s="46"/>
    </row>
    <row r="147" spans="16:23" s="2" customFormat="1" ht="10" hidden="1">
      <c r="Q147" s="67"/>
      <c r="R147" s="58"/>
      <c r="T147" s="62"/>
      <c r="U147" s="48"/>
      <c r="W147" s="46"/>
    </row>
    <row r="148" spans="16:23" s="2" customFormat="1" ht="10" hidden="1">
      <c r="Q148" s="66"/>
      <c r="R148" s="66"/>
      <c r="T148" s="62"/>
      <c r="U148" s="48"/>
      <c r="W148" s="46"/>
    </row>
    <row r="149" spans="16:23" s="2" customFormat="1" ht="10" hidden="1">
      <c r="P149" s="57"/>
      <c r="Q149" s="66"/>
      <c r="R149" s="66"/>
      <c r="W149" s="50"/>
    </row>
    <row r="150" spans="16:23" s="2" customFormat="1" ht="10" hidden="1">
      <c r="P150" s="57"/>
      <c r="Q150" s="691"/>
      <c r="R150" s="691"/>
      <c r="S150" s="690"/>
      <c r="T150" s="690"/>
      <c r="W150" s="46"/>
    </row>
    <row r="151" spans="16:23" s="2" customFormat="1" ht="10" hidden="1">
      <c r="P151" s="57"/>
      <c r="Q151" s="66"/>
      <c r="R151" s="66"/>
      <c r="W151" s="46"/>
    </row>
    <row r="152" spans="16:23" s="2" customFormat="1" ht="10" hidden="1">
      <c r="P152" s="49"/>
      <c r="Q152" s="67"/>
      <c r="R152" s="67"/>
      <c r="W152" s="46"/>
    </row>
    <row r="153" spans="16:23" s="2" customFormat="1" ht="10" hidden="1">
      <c r="P153" s="49"/>
      <c r="Q153" s="67"/>
      <c r="R153" s="67"/>
      <c r="W153" s="46"/>
    </row>
    <row r="154" spans="16:23" s="2" customFormat="1" ht="10" hidden="1">
      <c r="P154" s="45"/>
      <c r="R154" s="66"/>
      <c r="U154" s="35"/>
      <c r="V154" s="35"/>
      <c r="W154" s="50"/>
    </row>
    <row r="155" spans="16:23" s="2" customFormat="1" ht="10" hidden="1">
      <c r="R155" s="66"/>
    </row>
    <row r="156" spans="16:23" s="2" customFormat="1" ht="10" hidden="1"/>
    <row r="157" spans="16:23" s="2" customFormat="1" ht="10" hidden="1"/>
    <row r="158" spans="16:23" s="2" customFormat="1" ht="10" hidden="1"/>
    <row r="159" spans="16:23" s="2" customFormat="1" ht="10" hidden="1"/>
    <row r="160" spans="16:23" s="2" customFormat="1" ht="10" hidden="1"/>
    <row r="161" s="2" customFormat="1" ht="10" hidden="1"/>
    <row r="162" s="2" customFormat="1" ht="10" hidden="1"/>
    <row r="163" s="2" customFormat="1" ht="10" hidden="1"/>
    <row r="164" s="2" customFormat="1" ht="10" hidden="1"/>
    <row r="165" s="2" customFormat="1" ht="10" hidden="1"/>
    <row r="166" s="2" customFormat="1" ht="10" hidden="1"/>
    <row r="167" s="2" customFormat="1" ht="10" hidden="1"/>
    <row r="168" s="2" customFormat="1" ht="10" hidden="1"/>
    <row r="169" s="2" customFormat="1" ht="10" hidden="1"/>
    <row r="170" s="2" customFormat="1" ht="10" hidden="1"/>
    <row r="171" s="2" customFormat="1" ht="10" hidden="1"/>
    <row r="172" s="2" customFormat="1" ht="10" hidden="1"/>
    <row r="173" s="2" customFormat="1" ht="10" hidden="1"/>
    <row r="174" s="2" customFormat="1" ht="10" hidden="1"/>
    <row r="175" s="2" customFormat="1" ht="10" hidden="1"/>
    <row r="176" s="2" customFormat="1" ht="10" hidden="1"/>
    <row r="177" s="2" customFormat="1" ht="10" hidden="1"/>
    <row r="178" s="2" customFormat="1" ht="10" hidden="1"/>
    <row r="179" s="2" customFormat="1" ht="10" hidden="1"/>
    <row r="180" s="2" customFormat="1" ht="10" hidden="1"/>
    <row r="181" s="2" customFormat="1" ht="10" hidden="1"/>
    <row r="182" s="2" customFormat="1" ht="10" hidden="1"/>
    <row r="183" s="2" customFormat="1" ht="10" hidden="1"/>
    <row r="184" s="2" customFormat="1" ht="10" hidden="1"/>
    <row r="185" s="2" customFormat="1" ht="10" hidden="1"/>
    <row r="186" s="2" customFormat="1" ht="10" hidden="1"/>
    <row r="187" s="2" customFormat="1" ht="10" hidden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  <row r="216" s="2" customFormat="1" ht="10" hidden="1"/>
    <row r="217" s="2" customFormat="1" ht="10" hidden="1"/>
    <row r="218" s="2" customFormat="1" ht="10" hidden="1"/>
    <row r="219" s="2" customFormat="1" ht="10" hidden="1"/>
  </sheetData>
  <sheetProtection algorithmName="SHA-512" hashValue="k6kspzCL+Xo1iPyslrxD+33KWdrCse2mm8P+RDjdAMuTOFCteoOKeR21LNxPjBQDztsTjT1lsIeGH07lBTpqNA==" saltValue="b1GM/hdghqSpfOEX+4B49A==" spinCount="100000" sheet="1" selectLockedCells="1" selectUnlockedCells="1"/>
  <mergeCells count="12">
    <mergeCell ref="B20:C20"/>
    <mergeCell ref="S150:T150"/>
    <mergeCell ref="Q150:R150"/>
    <mergeCell ref="P135:S135"/>
    <mergeCell ref="P134:W134"/>
    <mergeCell ref="M18:N18"/>
    <mergeCell ref="I2:J8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44" t="s">
        <v>52</v>
      </c>
      <c r="D1" s="42"/>
      <c r="E1" s="42"/>
      <c r="F1" s="42"/>
      <c r="G1" s="34"/>
      <c r="I1" s="96" t="s">
        <v>53</v>
      </c>
      <c r="J1" s="103"/>
      <c r="K1" s="103"/>
    </row>
    <row r="2" spans="2:19" hidden="1">
      <c r="G2" s="4"/>
      <c r="I2" s="679" t="str">
        <f>IF(ISERROR(VLOOKUP(E3,VALORES!$A$6:$B$11,2,FALSE)),"REGION NO VALIDA",VLOOKUP(E3,VALORES!$A$6:$B$11,2,FALSE))</f>
        <v>BAJA CALIFORNIA, BAJA CALIFORNIA SUR, MORELOS, QUERETARO, SAN LUIS POTOSI, SINALOA, SONORA</v>
      </c>
      <c r="J2" s="679"/>
    </row>
    <row r="3" spans="2:19" hidden="1">
      <c r="B3" s="36" t="s">
        <v>57</v>
      </c>
      <c r="C3" s="37"/>
      <c r="D3" s="37"/>
      <c r="E3" s="141">
        <f>+COTIZACION!D15</f>
        <v>5</v>
      </c>
      <c r="F3" s="70" t="str">
        <f>IF(E3&gt;7,"NO PROCEDE"," ")</f>
        <v xml:space="preserve"> </v>
      </c>
      <c r="G3" s="38" t="s">
        <v>58</v>
      </c>
      <c r="I3" s="679"/>
      <c r="J3" s="679"/>
    </row>
    <row r="4" spans="2:19" ht="10.5" hidden="1" customHeight="1">
      <c r="E4" s="142"/>
      <c r="G4" s="4"/>
      <c r="I4" s="679"/>
      <c r="J4" s="679"/>
    </row>
    <row r="5" spans="2:19" hidden="1">
      <c r="B5" s="36" t="s">
        <v>59</v>
      </c>
      <c r="C5" s="37"/>
      <c r="D5" s="37"/>
      <c r="E5" s="143">
        <f>+COTIZACION!D11</f>
        <v>100000000</v>
      </c>
      <c r="G5" s="151">
        <f>+TITULAR!G5</f>
        <v>1.53</v>
      </c>
      <c r="I5" s="679"/>
      <c r="J5" s="679"/>
    </row>
    <row r="6" spans="2:19" hidden="1">
      <c r="B6" s="36" t="s">
        <v>61</v>
      </c>
      <c r="C6" s="37"/>
      <c r="D6" s="37"/>
      <c r="E6" s="143">
        <f>+COTIZACION!D12</f>
        <v>15000</v>
      </c>
      <c r="G6" s="151">
        <f>+TITULAR!G6</f>
        <v>0.79800000000000004</v>
      </c>
      <c r="I6" s="679"/>
      <c r="J6" s="679"/>
    </row>
    <row r="7" spans="2:19" hidden="1">
      <c r="B7" s="36" t="s">
        <v>63</v>
      </c>
      <c r="C7" s="37"/>
      <c r="D7" s="37"/>
      <c r="E7" s="143">
        <f>+COTIZACION!D13</f>
        <v>0.1</v>
      </c>
      <c r="F7" s="4"/>
      <c r="G7" s="160">
        <f>+TITULAR!G8</f>
        <v>1</v>
      </c>
      <c r="H7" s="68"/>
      <c r="I7" s="679"/>
      <c r="J7" s="679"/>
    </row>
    <row r="8" spans="2:19" ht="11.25" hidden="1" customHeight="1">
      <c r="B8" s="36" t="s">
        <v>64</v>
      </c>
      <c r="C8" s="37"/>
      <c r="D8" s="37"/>
      <c r="E8" s="143"/>
      <c r="F8" s="4"/>
      <c r="G8" s="153"/>
      <c r="H8" s="4"/>
      <c r="I8" s="679"/>
      <c r="J8" s="679"/>
    </row>
    <row r="9" spans="2:19" hidden="1">
      <c r="E9" s="144"/>
      <c r="F9" s="38" t="s">
        <v>23</v>
      </c>
      <c r="G9" s="159"/>
      <c r="H9" s="69"/>
      <c r="I9" s="70"/>
      <c r="J9" s="70"/>
      <c r="S9" s="39" t="s">
        <v>40</v>
      </c>
    </row>
    <row r="10" spans="2:19" ht="12.75" hidden="1" customHeight="1">
      <c r="B10" s="36" t="s">
        <v>68</v>
      </c>
      <c r="C10" s="37"/>
      <c r="D10" s="37"/>
      <c r="E10" s="141"/>
      <c r="F10" s="141"/>
      <c r="G10" s="160"/>
      <c r="H10" s="69"/>
      <c r="S10" s="39" t="s">
        <v>69</v>
      </c>
    </row>
    <row r="11" spans="2:19" ht="12.75" hidden="1" customHeight="1">
      <c r="B11" s="36" t="s">
        <v>70</v>
      </c>
      <c r="C11" s="37"/>
      <c r="D11" s="37"/>
      <c r="E11" s="141"/>
      <c r="F11" s="141"/>
      <c r="G11" s="160"/>
      <c r="H11" s="69"/>
      <c r="K11" s="99" t="s">
        <v>40</v>
      </c>
      <c r="S11" s="39"/>
    </row>
    <row r="12" spans="2:19" ht="21" hidden="1" customHeight="1">
      <c r="B12" s="2"/>
      <c r="D12" s="2"/>
      <c r="E12" s="2"/>
      <c r="F12" s="40"/>
      <c r="G12" s="161"/>
      <c r="K12" s="99" t="s">
        <v>49</v>
      </c>
    </row>
    <row r="13" spans="2:19" hidden="1">
      <c r="B13" s="36" t="s">
        <v>71</v>
      </c>
      <c r="C13" s="37"/>
      <c r="D13" s="37"/>
      <c r="E13" s="141">
        <f>+COTIZACION!C21</f>
        <v>0</v>
      </c>
      <c r="G13" s="160">
        <f>+TITULAR!G17</f>
        <v>0</v>
      </c>
      <c r="K13" s="99" t="s">
        <v>97</v>
      </c>
    </row>
    <row r="14" spans="2:19" hidden="1">
      <c r="H14" s="41"/>
    </row>
    <row r="15" spans="2:19" hidden="1">
      <c r="H15" s="41"/>
    </row>
    <row r="16" spans="2:19" hidden="1">
      <c r="H16" s="41"/>
    </row>
    <row r="17" spans="2:19" ht="13" hidden="1" thickBot="1">
      <c r="H17" s="41"/>
    </row>
    <row r="18" spans="2:19" ht="12.75" hidden="1" customHeight="1" thickTop="1">
      <c r="B18" s="72"/>
      <c r="C18" s="123"/>
      <c r="D18" s="687" t="s">
        <v>85</v>
      </c>
      <c r="E18" s="686"/>
      <c r="F18" s="687" t="s">
        <v>86</v>
      </c>
      <c r="G18" s="686"/>
      <c r="H18" s="79" t="s">
        <v>87</v>
      </c>
      <c r="I18" s="76">
        <f>G13</f>
        <v>0</v>
      </c>
      <c r="J18" s="683" t="s">
        <v>88</v>
      </c>
      <c r="K18" s="684"/>
      <c r="L18" s="45"/>
    </row>
    <row r="19" spans="2:19" ht="12.75" hidden="1" customHeight="1">
      <c r="B19" s="128"/>
      <c r="C19" s="127"/>
      <c r="D19" s="680" t="s">
        <v>90</v>
      </c>
      <c r="E19" s="681"/>
      <c r="F19" s="680" t="s">
        <v>90</v>
      </c>
      <c r="G19" s="681"/>
      <c r="H19" s="80" t="s">
        <v>91</v>
      </c>
      <c r="I19" s="73">
        <v>0</v>
      </c>
      <c r="J19" s="74" t="s">
        <v>92</v>
      </c>
      <c r="K19" s="77">
        <f>+COTIZACION!D20</f>
        <v>0.16</v>
      </c>
      <c r="L19" s="84"/>
    </row>
    <row r="20" spans="2:19" ht="15" hidden="1" customHeight="1" thickBot="1">
      <c r="B20" s="677" t="s">
        <v>94</v>
      </c>
      <c r="C20" s="678"/>
      <c r="D20" s="244" t="s">
        <v>95</v>
      </c>
      <c r="E20" s="245" t="s">
        <v>96</v>
      </c>
      <c r="F20" s="78" t="s">
        <v>95</v>
      </c>
      <c r="G20" s="245" t="s">
        <v>96</v>
      </c>
      <c r="H20" s="246" t="s">
        <v>95</v>
      </c>
      <c r="I20" s="75" t="s">
        <v>96</v>
      </c>
      <c r="J20" s="246" t="s">
        <v>95</v>
      </c>
      <c r="K20" s="75" t="s">
        <v>96</v>
      </c>
      <c r="L20" s="45"/>
    </row>
    <row r="21" spans="2:19" ht="15" hidden="1" customHeight="1" thickTop="1">
      <c r="B21" s="129">
        <v>0</v>
      </c>
      <c r="C21" s="124"/>
      <c r="D21" s="247">
        <f>FACTORES!F39</f>
        <v>17575.080000000002</v>
      </c>
      <c r="E21" s="247">
        <f>FACTORES!G39</f>
        <v>17648.740000000002</v>
      </c>
      <c r="F21" s="248">
        <f t="shared" ref="F21:F38" si="0">ROUND(D21*$G$5*$G$6*$G$7,2)+ADIC+DENTAL+IKE+CVISION</f>
        <v>23661.57</v>
      </c>
      <c r="G21" s="248">
        <f t="shared" ref="G21:G38" si="1">ROUND(E21*$G$5*$G$6*$G$7,2)+ADIC+DENTAL+IKE+CVISION</f>
        <v>23751.5</v>
      </c>
      <c r="H21" s="248">
        <f>(F21*(1+$I$18))+$I$19</f>
        <v>23661.57</v>
      </c>
      <c r="I21" s="248">
        <f>(G21*(1+$I$18))+$I$19</f>
        <v>23751.5</v>
      </c>
      <c r="J21" s="248">
        <f>H21*(1+$K$19)</f>
        <v>27447.421199999997</v>
      </c>
      <c r="K21" s="248">
        <f>I21*(1+$K$19)</f>
        <v>27551.739999999998</v>
      </c>
      <c r="L21" s="85"/>
      <c r="M21" s="85"/>
    </row>
    <row r="22" spans="2:19" ht="15" hidden="1" customHeight="1">
      <c r="B22" s="130">
        <f>+B21+1</f>
        <v>1</v>
      </c>
      <c r="C22" s="125"/>
      <c r="D22" s="249">
        <f>FACTORES!F40</f>
        <v>17575.080000000002</v>
      </c>
      <c r="E22" s="249">
        <f>FACTORES!G40</f>
        <v>17648.740000000002</v>
      </c>
      <c r="F22" s="249">
        <f t="shared" si="0"/>
        <v>23661.57</v>
      </c>
      <c r="G22" s="249">
        <f t="shared" si="1"/>
        <v>23751.5</v>
      </c>
      <c r="H22" s="249">
        <f t="shared" ref="H22:H45" si="2">(F22*(1+$I$18))+$I$19</f>
        <v>23661.57</v>
      </c>
      <c r="I22" s="249">
        <f t="shared" ref="I22:I45" si="3">(G22*(1+$I$18))+$I$19</f>
        <v>23751.5</v>
      </c>
      <c r="J22" s="249">
        <f t="shared" ref="J22:J45" si="4">H22*(1+$K$19)</f>
        <v>27447.421199999997</v>
      </c>
      <c r="K22" s="249">
        <f t="shared" ref="K22:K45" si="5">I22*(1+$K$19)</f>
        <v>27551.739999999998</v>
      </c>
      <c r="L22" s="85"/>
      <c r="M22" s="85"/>
    </row>
    <row r="23" spans="2:19" ht="15" hidden="1" customHeight="1">
      <c r="B23" s="130">
        <f t="shared" ref="B23:B45" si="6">+B22+1</f>
        <v>2</v>
      </c>
      <c r="C23" s="125"/>
      <c r="D23" s="249">
        <f>FACTORES!F41</f>
        <v>17575.080000000002</v>
      </c>
      <c r="E23" s="249">
        <f>FACTORES!G41</f>
        <v>17648.740000000002</v>
      </c>
      <c r="F23" s="249">
        <f t="shared" si="0"/>
        <v>23661.57</v>
      </c>
      <c r="G23" s="249">
        <f t="shared" si="1"/>
        <v>23751.5</v>
      </c>
      <c r="H23" s="249">
        <f t="shared" si="2"/>
        <v>23661.57</v>
      </c>
      <c r="I23" s="249">
        <f t="shared" si="3"/>
        <v>23751.5</v>
      </c>
      <c r="J23" s="249">
        <f t="shared" si="4"/>
        <v>27447.421199999997</v>
      </c>
      <c r="K23" s="249">
        <f t="shared" si="5"/>
        <v>27551.739999999998</v>
      </c>
      <c r="L23" s="85"/>
      <c r="M23" s="85"/>
    </row>
    <row r="24" spans="2:19" s="2" customFormat="1" ht="15" hidden="1" customHeight="1">
      <c r="B24" s="130">
        <f t="shared" si="6"/>
        <v>3</v>
      </c>
      <c r="C24" s="125"/>
      <c r="D24" s="249">
        <f>FACTORES!F42</f>
        <v>17575.080000000002</v>
      </c>
      <c r="E24" s="249">
        <f>FACTORES!G42</f>
        <v>17648.740000000002</v>
      </c>
      <c r="F24" s="249">
        <f t="shared" si="0"/>
        <v>23661.57</v>
      </c>
      <c r="G24" s="249">
        <f t="shared" si="1"/>
        <v>23751.5</v>
      </c>
      <c r="H24" s="249">
        <f t="shared" si="2"/>
        <v>23661.57</v>
      </c>
      <c r="I24" s="249">
        <f t="shared" si="3"/>
        <v>23751.5</v>
      </c>
      <c r="J24" s="249">
        <f t="shared" si="4"/>
        <v>27447.421199999997</v>
      </c>
      <c r="K24" s="249">
        <f t="shared" si="5"/>
        <v>27551.739999999998</v>
      </c>
      <c r="L24" s="85"/>
      <c r="M24" s="85"/>
      <c r="N24"/>
      <c r="O24"/>
      <c r="P24"/>
      <c r="Q24"/>
    </row>
    <row r="25" spans="2:19" s="2" customFormat="1" ht="15" hidden="1" customHeight="1">
      <c r="B25" s="130">
        <f t="shared" si="6"/>
        <v>4</v>
      </c>
      <c r="C25" s="125"/>
      <c r="D25" s="249">
        <f>FACTORES!F43</f>
        <v>17575.080000000002</v>
      </c>
      <c r="E25" s="249">
        <f>FACTORES!G43</f>
        <v>17648.740000000002</v>
      </c>
      <c r="F25" s="249">
        <f t="shared" si="0"/>
        <v>23661.57</v>
      </c>
      <c r="G25" s="249">
        <f t="shared" si="1"/>
        <v>23751.5</v>
      </c>
      <c r="H25" s="249">
        <f t="shared" si="2"/>
        <v>23661.57</v>
      </c>
      <c r="I25" s="249">
        <f t="shared" si="3"/>
        <v>23751.5</v>
      </c>
      <c r="J25" s="249">
        <f t="shared" si="4"/>
        <v>27447.421199999997</v>
      </c>
      <c r="K25" s="249">
        <f t="shared" si="5"/>
        <v>27551.739999999998</v>
      </c>
      <c r="L25" s="85"/>
      <c r="M25" s="85"/>
      <c r="N25"/>
      <c r="O25"/>
      <c r="P25"/>
      <c r="Q25"/>
    </row>
    <row r="26" spans="2:19" s="2" customFormat="1" ht="15" hidden="1" customHeight="1">
      <c r="B26" s="130">
        <f t="shared" si="6"/>
        <v>5</v>
      </c>
      <c r="C26" s="125"/>
      <c r="D26" s="249">
        <f>FACTORES!F44</f>
        <v>17575.080000000002</v>
      </c>
      <c r="E26" s="249">
        <f>FACTORES!G44</f>
        <v>17648.740000000002</v>
      </c>
      <c r="F26" s="249">
        <f t="shared" si="0"/>
        <v>23661.57</v>
      </c>
      <c r="G26" s="249">
        <f t="shared" si="1"/>
        <v>23751.5</v>
      </c>
      <c r="H26" s="249">
        <f t="shared" si="2"/>
        <v>23661.57</v>
      </c>
      <c r="I26" s="249">
        <f t="shared" si="3"/>
        <v>23751.5</v>
      </c>
      <c r="J26" s="249">
        <f t="shared" si="4"/>
        <v>27447.421199999997</v>
      </c>
      <c r="K26" s="249">
        <f t="shared" si="5"/>
        <v>27551.739999999998</v>
      </c>
      <c r="L26" s="85"/>
      <c r="M26" s="85"/>
      <c r="N26"/>
      <c r="O26"/>
      <c r="P26"/>
      <c r="Q26"/>
    </row>
    <row r="27" spans="2:19" s="2" customFormat="1" ht="15" hidden="1" customHeight="1">
      <c r="B27" s="130">
        <f t="shared" si="6"/>
        <v>6</v>
      </c>
      <c r="C27" s="125"/>
      <c r="D27" s="249">
        <f>FACTORES!F45</f>
        <v>17575.080000000002</v>
      </c>
      <c r="E27" s="249">
        <f>FACTORES!G45</f>
        <v>17648.740000000002</v>
      </c>
      <c r="F27" s="249">
        <f t="shared" si="0"/>
        <v>23661.57</v>
      </c>
      <c r="G27" s="249">
        <f t="shared" si="1"/>
        <v>23751.5</v>
      </c>
      <c r="H27" s="249">
        <f t="shared" si="2"/>
        <v>23661.57</v>
      </c>
      <c r="I27" s="249">
        <f t="shared" si="3"/>
        <v>23751.5</v>
      </c>
      <c r="J27" s="249">
        <f t="shared" si="4"/>
        <v>27447.421199999997</v>
      </c>
      <c r="K27" s="249">
        <f t="shared" si="5"/>
        <v>27551.739999999998</v>
      </c>
      <c r="L27" s="85"/>
      <c r="M27" s="85"/>
      <c r="N27"/>
      <c r="O27"/>
      <c r="P27"/>
      <c r="Q27"/>
    </row>
    <row r="28" spans="2:19" s="2" customFormat="1" ht="15" hidden="1" customHeight="1">
      <c r="B28" s="130">
        <f t="shared" si="6"/>
        <v>7</v>
      </c>
      <c r="C28" s="125"/>
      <c r="D28" s="249">
        <f>FACTORES!F46</f>
        <v>17575.080000000002</v>
      </c>
      <c r="E28" s="249">
        <f>FACTORES!G46</f>
        <v>17648.740000000002</v>
      </c>
      <c r="F28" s="249">
        <f t="shared" si="0"/>
        <v>23661.57</v>
      </c>
      <c r="G28" s="249">
        <f t="shared" si="1"/>
        <v>23751.5</v>
      </c>
      <c r="H28" s="249">
        <f t="shared" si="2"/>
        <v>23661.57</v>
      </c>
      <c r="I28" s="249">
        <f t="shared" si="3"/>
        <v>23751.5</v>
      </c>
      <c r="J28" s="249">
        <f t="shared" si="4"/>
        <v>27447.421199999997</v>
      </c>
      <c r="K28" s="249">
        <f t="shared" si="5"/>
        <v>27551.739999999998</v>
      </c>
      <c r="L28" s="85"/>
      <c r="M28" s="85"/>
      <c r="N28"/>
      <c r="O28"/>
      <c r="P28"/>
      <c r="Q28"/>
    </row>
    <row r="29" spans="2:19" s="2" customFormat="1" ht="15" hidden="1" customHeight="1">
      <c r="B29" s="130">
        <f t="shared" si="6"/>
        <v>8</v>
      </c>
      <c r="C29" s="125"/>
      <c r="D29" s="249">
        <f>FACTORES!F47</f>
        <v>17575.080000000002</v>
      </c>
      <c r="E29" s="249">
        <f>FACTORES!G47</f>
        <v>17648.740000000002</v>
      </c>
      <c r="F29" s="249">
        <f t="shared" si="0"/>
        <v>23661.57</v>
      </c>
      <c r="G29" s="249">
        <f t="shared" si="1"/>
        <v>23751.5</v>
      </c>
      <c r="H29" s="249">
        <f t="shared" si="2"/>
        <v>23661.57</v>
      </c>
      <c r="I29" s="249">
        <f t="shared" si="3"/>
        <v>23751.5</v>
      </c>
      <c r="J29" s="249">
        <f t="shared" si="4"/>
        <v>27447.421199999997</v>
      </c>
      <c r="K29" s="249">
        <f t="shared" si="5"/>
        <v>27551.739999999998</v>
      </c>
      <c r="L29" s="85"/>
      <c r="M29" s="85"/>
      <c r="N29"/>
      <c r="O29"/>
      <c r="P29"/>
      <c r="Q29"/>
      <c r="R29" s="693"/>
      <c r="S29" s="693"/>
    </row>
    <row r="30" spans="2:19" s="2" customFormat="1" ht="15" hidden="1" customHeight="1">
      <c r="B30" s="130">
        <f t="shared" si="6"/>
        <v>9</v>
      </c>
      <c r="C30" s="125"/>
      <c r="D30" s="249">
        <f>FACTORES!F48</f>
        <v>17575.080000000002</v>
      </c>
      <c r="E30" s="249">
        <f>FACTORES!G48</f>
        <v>17648.740000000002</v>
      </c>
      <c r="F30" s="249">
        <f t="shared" si="0"/>
        <v>23661.57</v>
      </c>
      <c r="G30" s="249">
        <f t="shared" si="1"/>
        <v>23751.5</v>
      </c>
      <c r="H30" s="249">
        <f t="shared" si="2"/>
        <v>23661.57</v>
      </c>
      <c r="I30" s="249">
        <f t="shared" si="3"/>
        <v>23751.5</v>
      </c>
      <c r="J30" s="249">
        <f t="shared" si="4"/>
        <v>27447.421199999997</v>
      </c>
      <c r="K30" s="249">
        <f t="shared" si="5"/>
        <v>27551.739999999998</v>
      </c>
      <c r="L30" s="85"/>
      <c r="M30" s="85"/>
      <c r="N30"/>
      <c r="O30"/>
      <c r="P30"/>
      <c r="Q30"/>
      <c r="R30" s="693"/>
      <c r="S30" s="693"/>
    </row>
    <row r="31" spans="2:19" s="2" customFormat="1" ht="15" hidden="1" customHeight="1">
      <c r="B31" s="130">
        <f t="shared" si="6"/>
        <v>10</v>
      </c>
      <c r="C31" s="125"/>
      <c r="D31" s="249">
        <f>FACTORES!F49</f>
        <v>17575.080000000002</v>
      </c>
      <c r="E31" s="249">
        <f>FACTORES!G49</f>
        <v>17648.740000000002</v>
      </c>
      <c r="F31" s="249">
        <f t="shared" si="0"/>
        <v>23661.57</v>
      </c>
      <c r="G31" s="249">
        <f t="shared" si="1"/>
        <v>23751.5</v>
      </c>
      <c r="H31" s="249">
        <f t="shared" si="2"/>
        <v>23661.57</v>
      </c>
      <c r="I31" s="249">
        <f t="shared" si="3"/>
        <v>23751.5</v>
      </c>
      <c r="J31" s="249">
        <f t="shared" si="4"/>
        <v>27447.421199999997</v>
      </c>
      <c r="K31" s="249">
        <f t="shared" si="5"/>
        <v>27551.739999999998</v>
      </c>
      <c r="L31" s="85"/>
      <c r="M31" s="85"/>
      <c r="N31"/>
      <c r="O31"/>
      <c r="P31"/>
      <c r="Q31"/>
      <c r="R31" s="86"/>
      <c r="S31" s="86"/>
    </row>
    <row r="32" spans="2:19" s="2" customFormat="1" ht="15" hidden="1" customHeight="1">
      <c r="B32" s="130">
        <f t="shared" si="6"/>
        <v>11</v>
      </c>
      <c r="C32" s="125"/>
      <c r="D32" s="249">
        <f>FACTORES!F50</f>
        <v>17774.04</v>
      </c>
      <c r="E32" s="249">
        <f>FACTORES!G50</f>
        <v>17639.93</v>
      </c>
      <c r="F32" s="249">
        <f t="shared" si="0"/>
        <v>23904.49</v>
      </c>
      <c r="G32" s="249">
        <f t="shared" si="1"/>
        <v>23740.75</v>
      </c>
      <c r="H32" s="249">
        <f t="shared" si="2"/>
        <v>23904.49</v>
      </c>
      <c r="I32" s="249">
        <f t="shared" si="3"/>
        <v>23740.75</v>
      </c>
      <c r="J32" s="249">
        <f t="shared" si="4"/>
        <v>27729.2084</v>
      </c>
      <c r="K32" s="249">
        <f t="shared" si="5"/>
        <v>27539.269999999997</v>
      </c>
      <c r="L32" s="85"/>
      <c r="M32" s="85"/>
      <c r="N32"/>
      <c r="O32"/>
      <c r="P32"/>
      <c r="Q32"/>
      <c r="R32" s="87"/>
      <c r="S32" s="87"/>
    </row>
    <row r="33" spans="2:19" s="2" customFormat="1" ht="15" hidden="1" customHeight="1">
      <c r="B33" s="130">
        <f t="shared" si="6"/>
        <v>12</v>
      </c>
      <c r="C33" s="125"/>
      <c r="D33" s="249">
        <f>FACTORES!F51</f>
        <v>17707.939999999999</v>
      </c>
      <c r="E33" s="249">
        <f>FACTORES!G51</f>
        <v>17809.22</v>
      </c>
      <c r="F33" s="249">
        <f t="shared" si="0"/>
        <v>23823.780000000002</v>
      </c>
      <c r="G33" s="249">
        <f t="shared" si="1"/>
        <v>23947.440000000002</v>
      </c>
      <c r="H33" s="249">
        <f t="shared" si="2"/>
        <v>23823.780000000002</v>
      </c>
      <c r="I33" s="249">
        <f t="shared" si="3"/>
        <v>23947.440000000002</v>
      </c>
      <c r="J33" s="249">
        <f t="shared" si="4"/>
        <v>27635.584800000001</v>
      </c>
      <c r="K33" s="249">
        <f t="shared" si="5"/>
        <v>27779.0304</v>
      </c>
      <c r="L33" s="85"/>
      <c r="M33" s="85"/>
      <c r="N33"/>
      <c r="O33"/>
      <c r="P33"/>
      <c r="Q33"/>
      <c r="R33" s="87"/>
      <c r="S33" s="87"/>
    </row>
    <row r="34" spans="2:19" s="2" customFormat="1" ht="15" hidden="1" customHeight="1">
      <c r="B34" s="130">
        <f t="shared" si="6"/>
        <v>13</v>
      </c>
      <c r="C34" s="125"/>
      <c r="D34" s="249">
        <f>FACTORES!F52</f>
        <v>17576.689999999999</v>
      </c>
      <c r="E34" s="249">
        <f>FACTORES!G52</f>
        <v>17698.39</v>
      </c>
      <c r="F34" s="249">
        <f t="shared" si="0"/>
        <v>23663.530000000002</v>
      </c>
      <c r="G34" s="249">
        <f t="shared" si="1"/>
        <v>23812.12</v>
      </c>
      <c r="H34" s="249">
        <f t="shared" si="2"/>
        <v>23663.530000000002</v>
      </c>
      <c r="I34" s="249">
        <f t="shared" si="3"/>
        <v>23812.12</v>
      </c>
      <c r="J34" s="249">
        <f t="shared" si="4"/>
        <v>27449.694800000001</v>
      </c>
      <c r="K34" s="249">
        <f t="shared" si="5"/>
        <v>27622.059199999996</v>
      </c>
      <c r="L34" s="85"/>
      <c r="M34" s="85"/>
      <c r="N34"/>
      <c r="O34"/>
      <c r="P34"/>
      <c r="Q34"/>
      <c r="R34" s="87"/>
      <c r="S34" s="87"/>
    </row>
    <row r="35" spans="2:19" s="2" customFormat="1" ht="15" hidden="1" customHeight="1">
      <c r="B35" s="130">
        <f t="shared" si="6"/>
        <v>14</v>
      </c>
      <c r="C35" s="125"/>
      <c r="D35" s="249">
        <f>FACTORES!F53</f>
        <v>17101.37</v>
      </c>
      <c r="E35" s="249">
        <f>FACTORES!G53</f>
        <v>17353.79</v>
      </c>
      <c r="F35" s="249">
        <f t="shared" si="0"/>
        <v>23083.200000000001</v>
      </c>
      <c r="G35" s="249">
        <f t="shared" si="1"/>
        <v>23391.39</v>
      </c>
      <c r="H35" s="249">
        <f t="shared" si="2"/>
        <v>23083.200000000001</v>
      </c>
      <c r="I35" s="249">
        <f t="shared" si="3"/>
        <v>23391.39</v>
      </c>
      <c r="J35" s="249">
        <f t="shared" si="4"/>
        <v>26776.511999999999</v>
      </c>
      <c r="K35" s="249">
        <f t="shared" si="5"/>
        <v>27134.012399999996</v>
      </c>
      <c r="L35" s="85"/>
      <c r="M35" s="85"/>
      <c r="R35" s="87"/>
      <c r="S35" s="87"/>
    </row>
    <row r="36" spans="2:19" s="2" customFormat="1" ht="15" hidden="1" customHeight="1">
      <c r="B36" s="130">
        <f t="shared" si="6"/>
        <v>15</v>
      </c>
      <c r="C36" s="125"/>
      <c r="D36" s="249">
        <f>FACTORES!F54</f>
        <v>17164.68</v>
      </c>
      <c r="E36" s="249">
        <f>FACTORES!G54</f>
        <v>17069.79</v>
      </c>
      <c r="F36" s="249">
        <f t="shared" si="0"/>
        <v>23160.49</v>
      </c>
      <c r="G36" s="249">
        <f t="shared" si="1"/>
        <v>23044.639999999999</v>
      </c>
      <c r="H36" s="249">
        <f t="shared" si="2"/>
        <v>23160.49</v>
      </c>
      <c r="I36" s="249">
        <f t="shared" si="3"/>
        <v>23044.639999999999</v>
      </c>
      <c r="J36" s="249">
        <f t="shared" si="4"/>
        <v>26866.168399999999</v>
      </c>
      <c r="K36" s="249">
        <f t="shared" si="5"/>
        <v>26731.782399999996</v>
      </c>
      <c r="L36" s="85"/>
      <c r="M36" s="85"/>
      <c r="R36" s="87"/>
      <c r="S36" s="87"/>
    </row>
    <row r="37" spans="2:19" s="2" customFormat="1" ht="15" hidden="1" customHeight="1">
      <c r="B37" s="130">
        <f t="shared" si="6"/>
        <v>16</v>
      </c>
      <c r="C37" s="125"/>
      <c r="D37" s="249">
        <f>FACTORES!F55</f>
        <v>16873.77</v>
      </c>
      <c r="E37" s="249">
        <f>FACTORES!G55</f>
        <v>15781.15</v>
      </c>
      <c r="F37" s="249">
        <f t="shared" si="0"/>
        <v>22805.31</v>
      </c>
      <c r="G37" s="249">
        <f t="shared" si="1"/>
        <v>21471.29</v>
      </c>
      <c r="H37" s="249">
        <f t="shared" si="2"/>
        <v>22805.31</v>
      </c>
      <c r="I37" s="249">
        <f t="shared" si="3"/>
        <v>21471.29</v>
      </c>
      <c r="J37" s="249">
        <f t="shared" si="4"/>
        <v>26454.159599999999</v>
      </c>
      <c r="K37" s="249">
        <f t="shared" si="5"/>
        <v>24906.696400000001</v>
      </c>
      <c r="L37" s="85"/>
      <c r="M37" s="85"/>
      <c r="R37" s="87"/>
      <c r="S37" s="87"/>
    </row>
    <row r="38" spans="2:19" s="2" customFormat="1" ht="15" hidden="1" customHeight="1">
      <c r="B38" s="130">
        <f t="shared" si="6"/>
        <v>17</v>
      </c>
      <c r="C38" s="125"/>
      <c r="D38" s="249">
        <f>FACTORES!F56</f>
        <v>16981.95</v>
      </c>
      <c r="E38" s="249">
        <f>FACTORES!G56</f>
        <v>16040.33</v>
      </c>
      <c r="F38" s="249">
        <f t="shared" si="0"/>
        <v>22937.39</v>
      </c>
      <c r="G38" s="249">
        <f t="shared" si="1"/>
        <v>21787.73</v>
      </c>
      <c r="H38" s="249">
        <f t="shared" si="2"/>
        <v>22937.39</v>
      </c>
      <c r="I38" s="249">
        <f t="shared" si="3"/>
        <v>21787.73</v>
      </c>
      <c r="J38" s="249">
        <f t="shared" si="4"/>
        <v>26607.372399999997</v>
      </c>
      <c r="K38" s="249">
        <f t="shared" si="5"/>
        <v>25273.766799999998</v>
      </c>
      <c r="L38" s="85"/>
      <c r="M38" s="85"/>
      <c r="R38" s="87"/>
      <c r="S38" s="87"/>
    </row>
    <row r="39" spans="2:19" s="2" customFormat="1" ht="15" hidden="1" customHeight="1">
      <c r="B39" s="130">
        <f t="shared" si="6"/>
        <v>18</v>
      </c>
      <c r="C39" s="125"/>
      <c r="D39" s="249">
        <f>FACTORES!F57</f>
        <v>17458.23</v>
      </c>
      <c r="E39" s="249">
        <f>FACTORES!G57</f>
        <v>15545.69</v>
      </c>
      <c r="F39" s="249">
        <f t="shared" ref="F39:F45" si="7">ROUND(D39*$G$5*$G$6*$G$7,2)+ADIC+DENTAL+IKE+CVISION</f>
        <v>23518.9</v>
      </c>
      <c r="G39" s="393">
        <f t="shared" ref="G39:G45" si="8">ROUND(E39*$G$5*$G$6*$G$7,2)+ADIC+DENTAL+IKE+PARTO+CVISION</f>
        <v>21984.73</v>
      </c>
      <c r="H39" s="249">
        <f t="shared" si="2"/>
        <v>23518.9</v>
      </c>
      <c r="I39" s="249">
        <f t="shared" si="3"/>
        <v>21984.73</v>
      </c>
      <c r="J39" s="249">
        <f t="shared" si="4"/>
        <v>27281.923999999999</v>
      </c>
      <c r="K39" s="249">
        <f t="shared" si="5"/>
        <v>25502.286799999998</v>
      </c>
      <c r="L39" s="85"/>
      <c r="M39" s="85"/>
      <c r="R39" s="87"/>
      <c r="S39" s="87"/>
    </row>
    <row r="40" spans="2:19" s="2" customFormat="1" ht="15" hidden="1" customHeight="1">
      <c r="B40" s="130">
        <f t="shared" si="6"/>
        <v>19</v>
      </c>
      <c r="C40" s="125"/>
      <c r="D40" s="249">
        <f>FACTORES!F58</f>
        <v>18039.169999999998</v>
      </c>
      <c r="E40" s="249">
        <f>FACTORES!G58</f>
        <v>15773.81</v>
      </c>
      <c r="F40" s="249">
        <f t="shared" si="7"/>
        <v>24228.190000000002</v>
      </c>
      <c r="G40" s="393">
        <f t="shared" si="8"/>
        <v>22263.260000000002</v>
      </c>
      <c r="H40" s="249">
        <f t="shared" si="2"/>
        <v>24228.190000000002</v>
      </c>
      <c r="I40" s="249">
        <f t="shared" si="3"/>
        <v>22263.260000000002</v>
      </c>
      <c r="J40" s="249">
        <f t="shared" si="4"/>
        <v>28104.700400000002</v>
      </c>
      <c r="K40" s="249">
        <f t="shared" si="5"/>
        <v>25825.381600000001</v>
      </c>
      <c r="L40" s="85"/>
      <c r="M40" s="85"/>
      <c r="R40" s="87"/>
      <c r="S40" s="87"/>
    </row>
    <row r="41" spans="2:19" s="2" customFormat="1" ht="15" hidden="1" customHeight="1">
      <c r="B41" s="130">
        <f t="shared" si="6"/>
        <v>20</v>
      </c>
      <c r="C41" s="125"/>
      <c r="D41" s="249">
        <f>FACTORES!F59</f>
        <v>18695.599999999999</v>
      </c>
      <c r="E41" s="249">
        <f>FACTORES!G59</f>
        <v>18678.93</v>
      </c>
      <c r="F41" s="249">
        <f t="shared" si="7"/>
        <v>25029.66</v>
      </c>
      <c r="G41" s="393">
        <f t="shared" si="8"/>
        <v>25810.23</v>
      </c>
      <c r="H41" s="249">
        <f t="shared" si="2"/>
        <v>25029.66</v>
      </c>
      <c r="I41" s="249">
        <f t="shared" si="3"/>
        <v>25810.23</v>
      </c>
      <c r="J41" s="249">
        <f t="shared" si="4"/>
        <v>29034.405599999998</v>
      </c>
      <c r="K41" s="249">
        <f t="shared" si="5"/>
        <v>29939.866799999996</v>
      </c>
      <c r="L41" s="85"/>
      <c r="M41" s="85"/>
      <c r="R41" s="87"/>
      <c r="S41" s="87"/>
    </row>
    <row r="42" spans="2:19" s="2" customFormat="1" ht="15" hidden="1" customHeight="1">
      <c r="B42" s="130">
        <f t="shared" si="6"/>
        <v>21</v>
      </c>
      <c r="C42" s="125"/>
      <c r="D42" s="249">
        <f>FACTORES!F60</f>
        <v>20020.95</v>
      </c>
      <c r="E42" s="249">
        <f>FACTORES!G60</f>
        <v>23916.89</v>
      </c>
      <c r="F42" s="249">
        <f t="shared" si="7"/>
        <v>26647.83</v>
      </c>
      <c r="G42" s="393">
        <f t="shared" si="8"/>
        <v>32205.47</v>
      </c>
      <c r="H42" s="249">
        <f t="shared" si="2"/>
        <v>26647.83</v>
      </c>
      <c r="I42" s="249">
        <f t="shared" si="3"/>
        <v>32205.47</v>
      </c>
      <c r="J42" s="249">
        <f t="shared" si="4"/>
        <v>30911.482800000002</v>
      </c>
      <c r="K42" s="249">
        <f t="shared" si="5"/>
        <v>37358.345199999996</v>
      </c>
      <c r="L42" s="85"/>
      <c r="M42" s="85"/>
      <c r="R42" s="87"/>
      <c r="S42" s="87"/>
    </row>
    <row r="43" spans="2:19" s="2" customFormat="1" ht="15" hidden="1" customHeight="1">
      <c r="B43" s="130">
        <f t="shared" si="6"/>
        <v>22</v>
      </c>
      <c r="C43" s="125"/>
      <c r="D43" s="249">
        <f>FACTORES!F61</f>
        <v>20895.2</v>
      </c>
      <c r="E43" s="249">
        <f>FACTORES!G61</f>
        <v>25057.05</v>
      </c>
      <c r="F43" s="249">
        <f t="shared" si="7"/>
        <v>27715.24</v>
      </c>
      <c r="G43" s="393">
        <f t="shared" si="8"/>
        <v>33597.530000000006</v>
      </c>
      <c r="H43" s="249">
        <f t="shared" si="2"/>
        <v>27715.24</v>
      </c>
      <c r="I43" s="249">
        <f t="shared" si="3"/>
        <v>33597.530000000006</v>
      </c>
      <c r="J43" s="249">
        <f t="shared" si="4"/>
        <v>32149.678400000001</v>
      </c>
      <c r="K43" s="249">
        <f t="shared" si="5"/>
        <v>38973.134800000007</v>
      </c>
      <c r="L43" s="85"/>
      <c r="M43" s="85"/>
    </row>
    <row r="44" spans="2:19" s="2" customFormat="1" ht="15" hidden="1" customHeight="1">
      <c r="B44" s="130">
        <f t="shared" si="6"/>
        <v>23</v>
      </c>
      <c r="C44" s="125"/>
      <c r="D44" s="249">
        <f>FACTORES!F62</f>
        <v>22281.9</v>
      </c>
      <c r="E44" s="249">
        <f>FACTORES!G62</f>
        <v>26226.92</v>
      </c>
      <c r="F44" s="249">
        <f t="shared" si="7"/>
        <v>29408.31</v>
      </c>
      <c r="G44" s="393">
        <f t="shared" si="8"/>
        <v>35025.880000000005</v>
      </c>
      <c r="H44" s="249">
        <f t="shared" si="2"/>
        <v>29408.31</v>
      </c>
      <c r="I44" s="249">
        <f t="shared" si="3"/>
        <v>35025.880000000005</v>
      </c>
      <c r="J44" s="249">
        <f t="shared" si="4"/>
        <v>34113.639600000002</v>
      </c>
      <c r="K44" s="249">
        <f t="shared" si="5"/>
        <v>40630.020800000006</v>
      </c>
      <c r="L44" s="85"/>
      <c r="M44" s="85"/>
    </row>
    <row r="45" spans="2:19" s="2" customFormat="1" ht="15" hidden="1" customHeight="1" thickBot="1">
      <c r="B45" s="131">
        <f t="shared" si="6"/>
        <v>24</v>
      </c>
      <c r="C45" s="126"/>
      <c r="D45" s="250">
        <f>FACTORES!F63</f>
        <v>23186.3</v>
      </c>
      <c r="E45" s="250">
        <f>FACTORES!G63</f>
        <v>27453.22</v>
      </c>
      <c r="F45" s="250">
        <f t="shared" si="7"/>
        <v>30512.530000000002</v>
      </c>
      <c r="G45" s="398">
        <f t="shared" si="8"/>
        <v>36523.110000000008</v>
      </c>
      <c r="H45" s="250">
        <f t="shared" si="2"/>
        <v>30512.530000000002</v>
      </c>
      <c r="I45" s="250">
        <f t="shared" si="3"/>
        <v>36523.110000000008</v>
      </c>
      <c r="J45" s="250">
        <f t="shared" si="4"/>
        <v>35394.534800000001</v>
      </c>
      <c r="K45" s="250">
        <f t="shared" si="5"/>
        <v>42366.807600000007</v>
      </c>
      <c r="L45" s="85"/>
      <c r="M45" s="85"/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49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692"/>
      <c r="U69" s="692"/>
      <c r="V69" s="692"/>
      <c r="W69" s="692"/>
      <c r="X69" s="692"/>
      <c r="Y69" s="692"/>
      <c r="Z69" s="692"/>
      <c r="AA69" s="692"/>
    </row>
    <row r="70" spans="19:27" s="2" customFormat="1" ht="15" hidden="1" customHeight="1">
      <c r="T70" s="45"/>
      <c r="U70" s="45"/>
      <c r="V70" s="51"/>
      <c r="W70" s="51"/>
      <c r="AA70" s="52"/>
    </row>
    <row r="71" spans="19:27" s="2" customFormat="1" ht="15" hidden="1" customHeight="1">
      <c r="T71" s="45"/>
      <c r="U71" s="45"/>
      <c r="V71" s="51"/>
      <c r="W71" s="51"/>
    </row>
    <row r="72" spans="19:27" s="2" customFormat="1" ht="15" hidden="1" customHeight="1">
      <c r="T72" s="53"/>
      <c r="U72" s="45"/>
      <c r="V72" s="54"/>
      <c r="W72" s="45"/>
      <c r="Z72" s="48"/>
      <c r="AA72" s="45"/>
    </row>
    <row r="73" spans="19:27" s="2" customFormat="1" ht="15" hidden="1" customHeight="1">
      <c r="T73" s="53"/>
      <c r="U73" s="48"/>
      <c r="V73" s="48"/>
      <c r="W73" s="48"/>
    </row>
    <row r="74" spans="19:27" s="2" customFormat="1" ht="15" hidden="1" customHeight="1">
      <c r="T74" s="692"/>
      <c r="U74" s="692"/>
      <c r="V74" s="692"/>
      <c r="W74" s="692"/>
      <c r="X74" s="692"/>
      <c r="Y74" s="692"/>
      <c r="Z74" s="692"/>
      <c r="AA74" s="692"/>
    </row>
    <row r="75" spans="19:27" s="2" customFormat="1" ht="15" hidden="1" customHeight="1">
      <c r="T75" s="53"/>
      <c r="U75" s="48"/>
      <c r="V75" s="48"/>
      <c r="W75" s="48"/>
    </row>
    <row r="76" spans="19:27" s="2" customFormat="1" ht="15" hidden="1" customHeight="1">
      <c r="S76" s="55"/>
      <c r="U76" s="48"/>
      <c r="V76" s="48"/>
      <c r="W76" s="48"/>
      <c r="Y76" s="46"/>
    </row>
    <row r="77" spans="19:27" s="2" customFormat="1" ht="15" hidden="1" customHeight="1">
      <c r="U77" s="48"/>
      <c r="V77" s="48"/>
      <c r="W77" s="48"/>
      <c r="Y77" s="46"/>
    </row>
    <row r="78" spans="19:27" s="2" customFormat="1" ht="15" hidden="1" customHeight="1">
      <c r="S78" s="55"/>
      <c r="U78" s="48"/>
      <c r="V78" s="48"/>
      <c r="W78" s="53"/>
      <c r="Y78" s="46"/>
    </row>
    <row r="79" spans="19:27" s="2" customFormat="1" ht="15" hidden="1" customHeight="1">
      <c r="U79" s="48"/>
      <c r="V79" s="48"/>
      <c r="W79" s="53"/>
      <c r="Y79" s="46"/>
    </row>
    <row r="80" spans="19:27" s="2" customFormat="1" ht="15" hidden="1" customHeight="1">
      <c r="U80" s="48"/>
      <c r="V80" s="48"/>
      <c r="W80" s="48"/>
    </row>
    <row r="81" spans="19:26" s="2" customFormat="1" ht="15" hidden="1" customHeight="1">
      <c r="S81" s="55"/>
      <c r="U81" s="48"/>
      <c r="V81" s="48"/>
      <c r="W81" s="53"/>
      <c r="Y81" s="56"/>
    </row>
    <row r="82" spans="19:26" s="2" customFormat="1" ht="15" hidden="1" customHeight="1">
      <c r="U82" s="45"/>
      <c r="V82" s="45"/>
      <c r="W82" s="53"/>
      <c r="Y82" s="56"/>
    </row>
    <row r="83" spans="19:26" s="2" customFormat="1" ht="15" hidden="1" customHeight="1">
      <c r="U83" s="35"/>
      <c r="V83" s="35"/>
    </row>
    <row r="84" spans="19:26" s="2" customFormat="1" ht="15" hidden="1" customHeight="1">
      <c r="S84" s="55"/>
      <c r="Z84" s="57"/>
    </row>
    <row r="85" spans="19:26" s="2" customFormat="1" ht="15" hidden="1" customHeight="1">
      <c r="S85" s="55"/>
      <c r="Z85" s="57"/>
    </row>
    <row r="86" spans="19:26" s="2" customFormat="1" ht="15" hidden="1" customHeight="1">
      <c r="S86" s="55"/>
    </row>
    <row r="87" spans="19:26" s="2" customFormat="1" ht="15" hidden="1" customHeight="1">
      <c r="S87" s="55"/>
      <c r="U87" s="58"/>
      <c r="V87" s="59"/>
    </row>
    <row r="88" spans="19:26" s="2" customFormat="1" ht="15" hidden="1" customHeight="1">
      <c r="S88" s="55"/>
      <c r="U88" s="60"/>
      <c r="V88" s="60"/>
    </row>
    <row r="89" spans="19:26" s="2" customFormat="1" ht="15" hidden="1" customHeight="1">
      <c r="S89" s="55"/>
      <c r="U89" s="53"/>
      <c r="V89" s="53"/>
    </row>
    <row r="90" spans="19:26" s="2" customFormat="1" ht="15" hidden="1" customHeight="1">
      <c r="S90" s="55"/>
      <c r="U90" s="53"/>
      <c r="V90" s="53"/>
    </row>
    <row r="91" spans="19:26" s="2" customFormat="1" ht="15" hidden="1" customHeight="1">
      <c r="S91" s="55"/>
    </row>
    <row r="92" spans="19:26" s="2" customFormat="1" ht="15" hidden="1" customHeight="1">
      <c r="S92" s="55"/>
    </row>
    <row r="93" spans="19:26" s="2" customFormat="1" ht="15" hidden="1" customHeight="1">
      <c r="S93" s="55"/>
    </row>
    <row r="94" spans="19:26" s="2" customFormat="1" ht="15" hidden="1" customHeight="1">
      <c r="S94" s="55"/>
      <c r="Y94" s="61"/>
    </row>
    <row r="95" spans="19:26" s="2" customFormat="1" ht="15" hidden="1" customHeight="1">
      <c r="S95" s="55"/>
      <c r="Y95" s="61"/>
    </row>
    <row r="96" spans="19:26" s="2" customFormat="1" ht="15" hidden="1" customHeight="1">
      <c r="S96" s="55"/>
      <c r="Y96" s="61"/>
    </row>
    <row r="97" spans="19:25" s="2" customFormat="1" ht="15" hidden="1" customHeight="1">
      <c r="S97" s="55"/>
      <c r="Y97" s="61"/>
    </row>
    <row r="98" spans="19:25" s="2" customFormat="1" ht="15" hidden="1" customHeight="1">
      <c r="S98" s="55"/>
      <c r="Y98" s="61"/>
    </row>
    <row r="99" spans="19:25" s="2" customFormat="1" ht="15" hidden="1" customHeight="1">
      <c r="S99" s="55"/>
      <c r="Y99" s="61"/>
    </row>
    <row r="100" spans="19:25" s="2" customFormat="1" ht="15" hidden="1" customHeight="1">
      <c r="S100" s="55"/>
      <c r="Y100" s="61"/>
    </row>
    <row r="101" spans="19:25" s="2" customFormat="1" ht="15" hidden="1" customHeight="1">
      <c r="S101" s="55"/>
      <c r="Y101" s="61"/>
    </row>
    <row r="102" spans="19:25" s="2" customFormat="1" ht="15" hidden="1" customHeight="1">
      <c r="S102" s="55"/>
      <c r="Y102" s="61"/>
    </row>
    <row r="103" spans="19:25" s="2" customFormat="1" ht="15" hidden="1" customHeight="1">
      <c r="S103" s="55"/>
    </row>
    <row r="104" spans="19:25" s="2" customFormat="1" ht="15" hidden="1" customHeight="1">
      <c r="S104" s="55"/>
    </row>
    <row r="105" spans="19:25" s="2" customFormat="1" ht="15" hidden="1" customHeight="1">
      <c r="S105" s="55"/>
    </row>
    <row r="106" spans="19:25" s="2" customFormat="1" ht="15" hidden="1" customHeight="1">
      <c r="S106" s="55"/>
    </row>
    <row r="107" spans="19:25" s="2" customFormat="1" ht="15" hidden="1" customHeight="1">
      <c r="S107" s="55"/>
    </row>
    <row r="108" spans="19:25" s="2" customFormat="1" ht="15" hidden="1" customHeight="1"/>
    <row r="109" spans="19:25" s="2" customFormat="1" ht="15" hidden="1" customHeight="1">
      <c r="S109" s="55"/>
    </row>
    <row r="110" spans="19:25" s="2" customFormat="1" ht="15" hidden="1" customHeight="1">
      <c r="S110" s="55"/>
    </row>
    <row r="111" spans="19:25" s="2" customFormat="1" ht="15" hidden="1" customHeight="1">
      <c r="S111" s="55"/>
    </row>
    <row r="112" spans="19:25" s="2" customFormat="1" ht="15" hidden="1" customHeight="1">
      <c r="S112" s="55"/>
    </row>
    <row r="113" spans="19:19" s="2" customFormat="1" ht="15" hidden="1" customHeight="1"/>
    <row r="114" spans="19:19" s="2" customFormat="1" ht="15" hidden="1" customHeight="1">
      <c r="S114" s="55"/>
    </row>
    <row r="115" spans="19:19" s="2" customFormat="1" ht="15" hidden="1" customHeight="1">
      <c r="S115" s="55"/>
    </row>
    <row r="116" spans="19:19" s="2" customFormat="1" ht="15" hidden="1" customHeight="1">
      <c r="S116" s="55"/>
    </row>
    <row r="117" spans="19:19" s="2" customFormat="1" ht="15" hidden="1" customHeight="1">
      <c r="S117" s="55"/>
    </row>
    <row r="118" spans="19:19" s="2" customFormat="1" ht="15" hidden="1" customHeight="1"/>
    <row r="119" spans="19:19" s="2" customFormat="1" ht="15" hidden="1" customHeight="1">
      <c r="S119" s="55"/>
    </row>
    <row r="120" spans="19:19" s="2" customFormat="1" ht="15" hidden="1" customHeight="1">
      <c r="S120" s="55"/>
    </row>
    <row r="121" spans="19:19" s="2" customFormat="1" ht="15" hidden="1" customHeight="1">
      <c r="S121" s="55"/>
    </row>
    <row r="122" spans="19:19" s="2" customFormat="1" ht="15" hidden="1" customHeight="1">
      <c r="S122" s="55"/>
    </row>
    <row r="123" spans="19:19" s="2" customFormat="1" ht="15" hidden="1" customHeight="1">
      <c r="S123" s="55"/>
    </row>
    <row r="124" spans="19:19" s="2" customFormat="1" ht="15" hidden="1" customHeight="1">
      <c r="S124" s="55"/>
    </row>
    <row r="125" spans="19:19" s="2" customFormat="1" ht="15" hidden="1" customHeight="1">
      <c r="S125" s="55"/>
    </row>
    <row r="126" spans="19:19" s="2" customFormat="1" ht="15" hidden="1" customHeight="1">
      <c r="S126" s="55"/>
    </row>
    <row r="127" spans="19:19" s="2" customFormat="1" ht="15" hidden="1" customHeight="1">
      <c r="S127" s="55"/>
    </row>
    <row r="128" spans="19:19" s="2" customFormat="1" ht="15" hidden="1" customHeight="1">
      <c r="S128" s="55"/>
    </row>
    <row r="129" spans="20:27" s="2" customFormat="1" ht="15" hidden="1" customHeight="1"/>
    <row r="130" spans="20:27" s="2" customFormat="1" ht="15" hidden="1" customHeight="1">
      <c r="T130" s="692"/>
      <c r="U130" s="692"/>
      <c r="V130" s="692"/>
      <c r="W130" s="692"/>
      <c r="X130" s="692"/>
      <c r="Y130" s="692"/>
      <c r="Z130" s="692"/>
      <c r="AA130" s="692"/>
    </row>
    <row r="131" spans="20:27" s="2" customFormat="1" ht="15" hidden="1" customHeight="1">
      <c r="T131" s="692"/>
      <c r="U131" s="692"/>
      <c r="V131" s="692"/>
      <c r="W131" s="692"/>
      <c r="X131" s="45"/>
      <c r="Y131" s="45"/>
      <c r="Z131" s="45"/>
      <c r="AA131" s="45"/>
    </row>
    <row r="132" spans="20:27" s="2" customFormat="1" ht="15" hidden="1" customHeight="1">
      <c r="T132" s="45"/>
      <c r="U132" s="45"/>
      <c r="V132" s="45"/>
      <c r="W132" s="45"/>
      <c r="X132" s="45"/>
      <c r="Y132" s="45"/>
      <c r="Z132" s="45"/>
      <c r="AA132" s="45"/>
    </row>
    <row r="133" spans="20:27" s="2" customFormat="1" ht="15" hidden="1" customHeight="1">
      <c r="T133" s="35"/>
      <c r="X133" s="62"/>
      <c r="Y133" s="45"/>
      <c r="AA133" s="46"/>
    </row>
    <row r="134" spans="20:27" s="2" customFormat="1" ht="15" hidden="1" customHeight="1">
      <c r="W134" s="63"/>
      <c r="X134" s="62"/>
      <c r="Y134" s="48"/>
      <c r="AA134" s="46"/>
    </row>
    <row r="135" spans="20:27" s="2" customFormat="1" ht="15" hidden="1" customHeight="1">
      <c r="W135" s="64"/>
      <c r="X135" s="62"/>
      <c r="Y135" s="48"/>
      <c r="AA135" s="46"/>
    </row>
    <row r="136" spans="20:27" s="2" customFormat="1" ht="15" hidden="1" customHeight="1">
      <c r="W136" s="64"/>
      <c r="X136" s="62"/>
      <c r="Y136" s="48"/>
      <c r="AA136" s="46"/>
    </row>
    <row r="137" spans="20:27" s="2" customFormat="1" ht="15" hidden="1" customHeight="1">
      <c r="W137" s="65"/>
      <c r="X137" s="62"/>
      <c r="Y137" s="48"/>
      <c r="AA137" s="46"/>
    </row>
    <row r="138" spans="20:27" s="2" customFormat="1" ht="15" hidden="1" customHeight="1">
      <c r="U138" s="66"/>
      <c r="V138" s="66"/>
      <c r="W138" s="66"/>
      <c r="X138" s="62"/>
      <c r="Y138" s="48"/>
      <c r="AA138" s="46"/>
    </row>
    <row r="139" spans="20:27" s="2" customFormat="1" ht="15" hidden="1" customHeight="1">
      <c r="U139" s="66"/>
      <c r="V139" s="66"/>
      <c r="W139" s="66"/>
      <c r="X139" s="62"/>
      <c r="Y139" s="48"/>
      <c r="AA139" s="46"/>
    </row>
    <row r="140" spans="20:27" s="2" customFormat="1" ht="15" hidden="1" customHeight="1">
      <c r="U140" s="66"/>
      <c r="V140" s="66"/>
      <c r="X140" s="62"/>
      <c r="Y140" s="48"/>
      <c r="AA140" s="46"/>
    </row>
    <row r="141" spans="20:27" s="2" customFormat="1" ht="15" hidden="1" customHeight="1">
      <c r="U141" s="66"/>
      <c r="V141" s="66"/>
      <c r="X141" s="62"/>
      <c r="Y141" s="48"/>
      <c r="AA141" s="46"/>
    </row>
    <row r="142" spans="20:27" s="2" customFormat="1" ht="15" hidden="1" customHeight="1">
      <c r="U142" s="67"/>
      <c r="V142" s="58"/>
      <c r="X142" s="62"/>
      <c r="Y142" s="48"/>
      <c r="AA142" s="46"/>
    </row>
    <row r="143" spans="20:27" s="2" customFormat="1" ht="15" hidden="1" customHeight="1">
      <c r="U143" s="67"/>
      <c r="V143" s="58"/>
      <c r="X143" s="62"/>
      <c r="Y143" s="48"/>
      <c r="AA143" s="46"/>
    </row>
    <row r="144" spans="20:27" s="2" customFormat="1" ht="15" hidden="1" customHeight="1">
      <c r="U144" s="66"/>
      <c r="V144" s="66"/>
      <c r="X144" s="62"/>
      <c r="Y144" s="48"/>
      <c r="AA144" s="46"/>
    </row>
    <row r="145" spans="20:27" s="2" customFormat="1" ht="15" hidden="1" customHeight="1">
      <c r="T145" s="57"/>
      <c r="U145" s="66"/>
      <c r="V145" s="66"/>
      <c r="AA145" s="50"/>
    </row>
    <row r="146" spans="20:27" s="2" customFormat="1" ht="15" hidden="1" customHeight="1">
      <c r="T146" s="57"/>
      <c r="U146" s="691"/>
      <c r="V146" s="691"/>
      <c r="W146" s="690"/>
      <c r="X146" s="690"/>
      <c r="AA146" s="46"/>
    </row>
    <row r="147" spans="20:27" s="2" customFormat="1" ht="15" hidden="1" customHeight="1">
      <c r="T147" s="57"/>
      <c r="U147" s="66"/>
      <c r="V147" s="66"/>
      <c r="AA147" s="46"/>
    </row>
    <row r="148" spans="20:27" s="2" customFormat="1" ht="15" hidden="1" customHeight="1">
      <c r="T148" s="49"/>
      <c r="U148" s="67"/>
      <c r="V148" s="67"/>
      <c r="AA148" s="46"/>
    </row>
    <row r="149" spans="20:27" s="2" customFormat="1" ht="15" hidden="1" customHeight="1">
      <c r="T149" s="49"/>
      <c r="U149" s="67"/>
      <c r="V149" s="67"/>
      <c r="AA149" s="46"/>
    </row>
    <row r="150" spans="20:27" s="2" customFormat="1" ht="15" hidden="1" customHeight="1">
      <c r="T150" s="45"/>
      <c r="V150" s="66"/>
      <c r="Y150" s="35"/>
      <c r="Z150" s="35"/>
      <c r="AA150" s="50"/>
    </row>
    <row r="151" spans="20:27" s="2" customFormat="1" ht="15" hidden="1" customHeight="1">
      <c r="V151" s="66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</sheetData>
  <sheetProtection algorithmName="SHA-512" hashValue="Z5wEc1eFLa8JoJInuVbtTgi27faQGgV+15SMj/1/OZYQj+W5rCkfDeIVNE3MKJOfPb3h5Upq6GJDQpq03auKvg==" saltValue="3DC4GyCmGD26KNrimd8+3g==" spinCount="100000" sheet="1" objects="1" scenarios="1"/>
  <mergeCells count="14"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24" t="s">
        <v>99</v>
      </c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  <c r="R1" s="426"/>
      <c r="S1" s="426"/>
    </row>
    <row r="2" spans="1:19">
      <c r="A2" s="32" t="s">
        <v>100</v>
      </c>
      <c r="B2" s="426"/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</row>
    <row r="3" spans="1:19" ht="13" thickBot="1">
      <c r="A3" s="33" t="s">
        <v>101</v>
      </c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</row>
    <row r="4" spans="1:19" ht="13.5" thickTop="1" thickBot="1">
      <c r="A4" s="426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</row>
    <row r="5" spans="1:19" ht="13" thickTop="1">
      <c r="A5" s="24" t="s">
        <v>102</v>
      </c>
      <c r="B5" s="23" t="s">
        <v>103</v>
      </c>
      <c r="C5" s="631"/>
      <c r="D5" s="631"/>
      <c r="E5" s="631"/>
      <c r="F5" s="631"/>
      <c r="G5" s="631"/>
      <c r="H5" s="631"/>
      <c r="I5" s="631"/>
      <c r="J5" s="631"/>
      <c r="K5" s="632"/>
      <c r="L5" s="606"/>
      <c r="M5" s="606"/>
      <c r="N5" s="426"/>
      <c r="O5" s="426"/>
      <c r="P5" s="426"/>
      <c r="Q5" s="426"/>
      <c r="R5" s="426"/>
      <c r="S5" s="426"/>
    </row>
    <row r="6" spans="1:19">
      <c r="A6" s="81">
        <v>1</v>
      </c>
      <c r="B6" s="185" t="s">
        <v>104</v>
      </c>
      <c r="C6" s="606"/>
      <c r="D6" s="606"/>
      <c r="E6" s="606"/>
      <c r="F6" s="606"/>
      <c r="G6" s="606"/>
      <c r="H6" s="606"/>
      <c r="I6" s="606"/>
      <c r="J6" s="606"/>
      <c r="K6" s="633"/>
      <c r="L6" s="606"/>
      <c r="M6" s="606"/>
      <c r="N6" s="426"/>
      <c r="O6" s="426"/>
      <c r="P6" s="426"/>
      <c r="Q6" s="426"/>
      <c r="R6" s="426"/>
      <c r="S6" s="426"/>
    </row>
    <row r="7" spans="1:19">
      <c r="A7" s="82">
        <v>2</v>
      </c>
      <c r="B7" s="185" t="s">
        <v>105</v>
      </c>
      <c r="C7" s="606"/>
      <c r="D7" s="606"/>
      <c r="E7" s="606"/>
      <c r="F7" s="606"/>
      <c r="G7" s="606"/>
      <c r="H7" s="606"/>
      <c r="I7" s="606"/>
      <c r="J7" s="606"/>
      <c r="K7" s="633"/>
      <c r="L7" s="606"/>
      <c r="M7" s="606"/>
      <c r="N7" s="426"/>
      <c r="O7" s="426"/>
      <c r="P7" s="426"/>
      <c r="Q7" s="426"/>
      <c r="R7" s="426"/>
      <c r="S7" s="426"/>
    </row>
    <row r="8" spans="1:19">
      <c r="A8" s="82">
        <v>3</v>
      </c>
      <c r="B8" s="185" t="s">
        <v>106</v>
      </c>
      <c r="C8" s="606"/>
      <c r="D8" s="606"/>
      <c r="E8" s="606"/>
      <c r="F8" s="606"/>
      <c r="G8" s="606"/>
      <c r="H8" s="606"/>
      <c r="I8" s="606"/>
      <c r="J8" s="606"/>
      <c r="K8" s="633"/>
      <c r="L8" s="606"/>
      <c r="M8" s="606"/>
      <c r="N8" s="426"/>
      <c r="O8" s="426"/>
      <c r="P8" s="426"/>
      <c r="Q8" s="426"/>
      <c r="R8" s="426"/>
      <c r="S8" s="426"/>
    </row>
    <row r="9" spans="1:19">
      <c r="A9" s="82">
        <v>4</v>
      </c>
      <c r="B9" s="185" t="s">
        <v>107</v>
      </c>
      <c r="C9" s="606"/>
      <c r="D9" s="606"/>
      <c r="E9" s="606"/>
      <c r="F9" s="606"/>
      <c r="G9" s="606"/>
      <c r="H9" s="606"/>
      <c r="I9" s="606"/>
      <c r="J9" s="606"/>
      <c r="K9" s="633"/>
      <c r="L9" s="606"/>
      <c r="M9" s="606"/>
      <c r="N9" s="426"/>
      <c r="O9" s="426"/>
      <c r="P9" s="426"/>
      <c r="Q9" s="426"/>
      <c r="R9" s="14"/>
      <c r="S9" s="14"/>
    </row>
    <row r="10" spans="1:19">
      <c r="A10" s="82">
        <v>5</v>
      </c>
      <c r="B10" s="186" t="s">
        <v>108</v>
      </c>
      <c r="C10" s="606"/>
      <c r="D10" s="606"/>
      <c r="E10" s="606"/>
      <c r="F10" s="606"/>
      <c r="G10" s="606"/>
      <c r="H10" s="606"/>
      <c r="I10" s="606"/>
      <c r="J10" s="606"/>
      <c r="K10" s="633"/>
      <c r="L10" s="606"/>
      <c r="M10" s="606"/>
      <c r="N10" s="426"/>
      <c r="O10" s="426"/>
      <c r="P10" s="426"/>
      <c r="Q10" s="426"/>
      <c r="R10" s="14"/>
      <c r="S10" s="14"/>
    </row>
    <row r="11" spans="1:19" ht="13" thickBot="1">
      <c r="A11" s="83">
        <v>6</v>
      </c>
      <c r="B11" s="187" t="s">
        <v>109</v>
      </c>
      <c r="C11" s="634"/>
      <c r="D11" s="634"/>
      <c r="E11" s="634"/>
      <c r="F11" s="634"/>
      <c r="G11" s="634"/>
      <c r="H11" s="634"/>
      <c r="I11" s="634"/>
      <c r="J11" s="634"/>
      <c r="K11" s="635"/>
      <c r="L11" s="606"/>
      <c r="M11" s="606"/>
      <c r="N11" s="426"/>
      <c r="O11" s="426"/>
      <c r="P11" s="426"/>
      <c r="Q11" s="426"/>
      <c r="R11" s="14"/>
      <c r="S11" s="14"/>
    </row>
    <row r="12" spans="1:19" ht="13.5" thickTop="1" thickBot="1">
      <c r="A12" s="426"/>
      <c r="B12" s="426"/>
      <c r="C12" s="426"/>
      <c r="D12" s="426"/>
      <c r="E12" s="426"/>
      <c r="F12" s="426"/>
      <c r="G12" s="426"/>
      <c r="H12" s="426"/>
      <c r="I12" s="426"/>
      <c r="J12" s="426"/>
      <c r="K12" s="426"/>
      <c r="L12" s="426"/>
      <c r="M12" s="426"/>
      <c r="N12" s="426"/>
      <c r="O12" s="426"/>
      <c r="P12" s="14"/>
      <c r="Q12" s="14"/>
      <c r="R12" s="14"/>
      <c r="S12" s="426"/>
    </row>
    <row r="13" spans="1:19" ht="13" thickTop="1">
      <c r="A13" s="24" t="s">
        <v>26</v>
      </c>
      <c r="B13" s="426"/>
      <c r="C13" s="24" t="s">
        <v>0</v>
      </c>
      <c r="D13" s="426"/>
      <c r="E13" s="24" t="s">
        <v>1</v>
      </c>
      <c r="F13" s="426"/>
      <c r="G13" s="24" t="s">
        <v>15</v>
      </c>
      <c r="H13" s="24" t="s">
        <v>15</v>
      </c>
      <c r="I13" s="426"/>
      <c r="J13" s="426"/>
      <c r="K13" s="426"/>
      <c r="L13" s="426"/>
      <c r="M13" s="426"/>
      <c r="N13" s="426"/>
      <c r="O13" s="426"/>
      <c r="P13" s="14"/>
      <c r="Q13" s="14"/>
      <c r="R13" s="14"/>
      <c r="S13" s="426"/>
    </row>
    <row r="14" spans="1:19">
      <c r="A14" s="25">
        <v>500000</v>
      </c>
      <c r="B14" s="426"/>
      <c r="C14" s="25">
        <v>4000</v>
      </c>
      <c r="D14" s="426"/>
      <c r="E14" s="188">
        <v>0</v>
      </c>
      <c r="F14" s="426"/>
      <c r="G14" s="636" t="s">
        <v>40</v>
      </c>
      <c r="H14" s="636" t="s">
        <v>110</v>
      </c>
      <c r="I14" s="426"/>
      <c r="J14" s="426"/>
      <c r="K14" s="426"/>
      <c r="L14" s="426"/>
      <c r="M14" s="426"/>
      <c r="N14" s="426"/>
      <c r="O14" s="426"/>
      <c r="P14" s="14"/>
      <c r="Q14" s="14"/>
      <c r="R14" s="14"/>
      <c r="S14" s="426"/>
    </row>
    <row r="15" spans="1:19" ht="13" thickBot="1">
      <c r="A15" s="25">
        <v>750000</v>
      </c>
      <c r="B15" s="426"/>
      <c r="C15" s="25">
        <v>4500</v>
      </c>
      <c r="D15" s="426"/>
      <c r="E15" s="26">
        <v>0.05</v>
      </c>
      <c r="F15" s="426"/>
      <c r="G15" s="637" t="s">
        <v>69</v>
      </c>
      <c r="H15" s="637" t="s">
        <v>10</v>
      </c>
      <c r="I15" s="426"/>
      <c r="J15" s="426"/>
      <c r="K15" s="426"/>
      <c r="L15" s="426"/>
      <c r="M15" s="426"/>
      <c r="N15" s="426"/>
      <c r="O15" s="426"/>
      <c r="P15" s="14"/>
      <c r="Q15" s="14"/>
      <c r="R15" s="14"/>
      <c r="S15" s="426"/>
    </row>
    <row r="16" spans="1:19" ht="13" thickTop="1">
      <c r="A16" s="25">
        <v>1000000</v>
      </c>
      <c r="B16" s="426"/>
      <c r="C16" s="25">
        <v>5000</v>
      </c>
      <c r="D16" s="426"/>
      <c r="E16" s="26">
        <v>0.1</v>
      </c>
      <c r="F16" s="426"/>
      <c r="G16"/>
      <c r="H16"/>
      <c r="I16" s="426"/>
      <c r="J16" s="426"/>
      <c r="K16" s="426"/>
      <c r="L16" s="426"/>
      <c r="M16" s="426"/>
      <c r="N16" s="14"/>
      <c r="O16" s="426"/>
      <c r="P16" s="14"/>
      <c r="Q16" s="14"/>
      <c r="R16" s="14"/>
      <c r="S16" s="426"/>
    </row>
    <row r="17" spans="1:9">
      <c r="A17" s="25">
        <f>+A16+1000000</f>
        <v>2000000</v>
      </c>
      <c r="B17" s="426"/>
      <c r="C17" s="25">
        <v>6000</v>
      </c>
      <c r="D17" s="426"/>
      <c r="E17" s="26">
        <v>0.15</v>
      </c>
      <c r="F17" s="426"/>
      <c r="G17" s="426"/>
      <c r="H17" s="426"/>
      <c r="I17" s="426"/>
    </row>
    <row r="18" spans="1:9">
      <c r="A18" s="25">
        <f t="shared" ref="A18:A24" si="0">+A17+1000000</f>
        <v>3000000</v>
      </c>
      <c r="B18" s="426"/>
      <c r="C18" s="25">
        <v>7000</v>
      </c>
      <c r="D18" s="426"/>
      <c r="E18" s="26">
        <v>0.2</v>
      </c>
      <c r="F18" s="426"/>
      <c r="G18" s="426"/>
      <c r="H18" s="426"/>
      <c r="I18" s="426"/>
    </row>
    <row r="19" spans="1:9">
      <c r="A19" s="25">
        <f t="shared" si="0"/>
        <v>4000000</v>
      </c>
      <c r="B19" s="426"/>
      <c r="C19" s="25">
        <v>8000</v>
      </c>
      <c r="D19" s="426"/>
      <c r="E19" s="26">
        <v>0.25</v>
      </c>
      <c r="F19" s="426"/>
      <c r="G19" s="426"/>
      <c r="H19" s="426"/>
      <c r="I19" s="426"/>
    </row>
    <row r="20" spans="1:9">
      <c r="A20" s="25">
        <f t="shared" si="0"/>
        <v>5000000</v>
      </c>
      <c r="B20" s="426"/>
      <c r="C20" s="25">
        <v>9000</v>
      </c>
      <c r="D20" s="426"/>
      <c r="E20" s="26">
        <v>0.3</v>
      </c>
      <c r="F20" s="426"/>
      <c r="G20" s="426"/>
      <c r="H20" s="426"/>
      <c r="I20" s="426"/>
    </row>
    <row r="21" spans="1:9">
      <c r="A21" s="25">
        <f t="shared" si="0"/>
        <v>6000000</v>
      </c>
      <c r="B21" s="426"/>
      <c r="C21" s="25">
        <v>10000</v>
      </c>
      <c r="D21" s="426"/>
      <c r="E21" s="26">
        <v>0.35</v>
      </c>
      <c r="F21" s="426"/>
      <c r="G21" s="426"/>
      <c r="H21" s="426"/>
      <c r="I21" s="426"/>
    </row>
    <row r="22" spans="1:9" ht="13" thickBot="1">
      <c r="A22" s="25">
        <f t="shared" si="0"/>
        <v>7000000</v>
      </c>
      <c r="B22" s="426"/>
      <c r="C22" s="25">
        <v>20000</v>
      </c>
      <c r="D22" s="426"/>
      <c r="E22" s="27">
        <v>0.4</v>
      </c>
      <c r="F22" s="426"/>
      <c r="G22" s="426"/>
      <c r="H22" s="426"/>
      <c r="I22" s="426"/>
    </row>
    <row r="23" spans="1:9" ht="13.5" thickTop="1" thickBot="1">
      <c r="A23" s="25">
        <f t="shared" si="0"/>
        <v>8000000</v>
      </c>
      <c r="B23" s="426"/>
      <c r="C23" s="28">
        <v>50000</v>
      </c>
      <c r="D23" s="426"/>
      <c r="E23" s="426"/>
      <c r="F23" s="426"/>
      <c r="G23" s="426"/>
      <c r="H23" s="426"/>
      <c r="I23" s="426"/>
    </row>
    <row r="24" spans="1:9" ht="13.5" thickTop="1" thickBot="1">
      <c r="A24" s="28">
        <f t="shared" si="0"/>
        <v>9000000</v>
      </c>
      <c r="B24" s="426"/>
      <c r="C24" s="426"/>
      <c r="D24" s="426"/>
      <c r="E24" s="426"/>
      <c r="F24" s="426"/>
      <c r="G24" s="426"/>
      <c r="H24" s="426"/>
      <c r="I24" s="426"/>
    </row>
    <row r="25" spans="1:9" ht="13" thickTop="1">
      <c r="A25" s="426"/>
      <c r="B25" s="426"/>
      <c r="C25" s="426"/>
      <c r="D25" s="426"/>
      <c r="E25" s="426"/>
      <c r="F25" s="426"/>
      <c r="G25" s="426"/>
      <c r="H25" s="426"/>
      <c r="I25" s="426"/>
    </row>
    <row r="26" spans="1:9">
      <c r="A26" s="16"/>
      <c r="B26" s="426"/>
      <c r="C26" s="426"/>
      <c r="D26" s="426"/>
      <c r="E26" s="426"/>
      <c r="F26" s="426"/>
      <c r="G26" s="426"/>
      <c r="H26" s="426"/>
      <c r="I26" s="426"/>
    </row>
    <row r="27" spans="1:9">
      <c r="A27" s="16"/>
      <c r="B27" s="426"/>
      <c r="C27" s="426"/>
      <c r="D27" s="426"/>
      <c r="E27" s="426"/>
      <c r="F27" s="426"/>
      <c r="G27" s="426"/>
      <c r="H27" s="426"/>
      <c r="I27" s="426"/>
    </row>
    <row r="28" spans="1:9">
      <c r="A28" s="16"/>
      <c r="B28" s="426"/>
      <c r="C28" s="16"/>
      <c r="D28" s="426"/>
      <c r="E28" s="426"/>
      <c r="F28" s="426"/>
      <c r="G28" s="426"/>
      <c r="H28" s="426"/>
      <c r="I28" s="426"/>
    </row>
    <row r="29" spans="1:9" ht="13" thickBot="1">
      <c r="A29" s="426"/>
      <c r="B29" s="426"/>
      <c r="C29" s="426"/>
      <c r="D29" s="426"/>
      <c r="E29" s="426"/>
      <c r="F29" s="426"/>
      <c r="G29" s="426"/>
      <c r="H29" s="426"/>
      <c r="I29" s="426"/>
    </row>
    <row r="30" spans="1:9" ht="13" thickTop="1">
      <c r="A30" s="24" t="s">
        <v>23</v>
      </c>
      <c r="B30" s="29" t="s">
        <v>111</v>
      </c>
      <c r="C30" s="631"/>
      <c r="D30" s="631"/>
      <c r="E30" s="631"/>
      <c r="F30" s="631"/>
      <c r="G30" s="631"/>
      <c r="H30" s="631"/>
      <c r="I30" s="632"/>
    </row>
    <row r="31" spans="1:9">
      <c r="A31" s="100" t="s">
        <v>40</v>
      </c>
      <c r="B31" s="97" t="s">
        <v>112</v>
      </c>
      <c r="C31" s="606"/>
      <c r="D31" s="606"/>
      <c r="E31" s="606"/>
      <c r="F31" s="606"/>
      <c r="G31" s="606"/>
      <c r="H31" s="606"/>
      <c r="I31" s="633"/>
    </row>
    <row r="32" spans="1:9">
      <c r="A32" s="101" t="s">
        <v>49</v>
      </c>
      <c r="B32" s="97" t="s">
        <v>113</v>
      </c>
      <c r="C32" s="606"/>
      <c r="D32" s="606"/>
      <c r="E32" s="606"/>
      <c r="F32" s="606"/>
      <c r="G32" s="606"/>
      <c r="H32" s="606"/>
      <c r="I32" s="633"/>
    </row>
    <row r="33" spans="1:9" ht="13" thickBot="1">
      <c r="A33" s="102" t="s">
        <v>97</v>
      </c>
      <c r="B33" s="98" t="s">
        <v>114</v>
      </c>
      <c r="C33" s="634"/>
      <c r="D33" s="634"/>
      <c r="E33" s="634"/>
      <c r="F33" s="634"/>
      <c r="G33" s="634"/>
      <c r="H33" s="634"/>
      <c r="I33" s="635"/>
    </row>
    <row r="34" spans="1:9" ht="13.5" thickTop="1" thickBot="1">
      <c r="A34" s="606"/>
      <c r="B34" s="426"/>
      <c r="C34" s="426"/>
      <c r="D34" s="426"/>
      <c r="E34" s="426"/>
      <c r="F34" s="426"/>
      <c r="G34" s="426"/>
      <c r="H34" s="426"/>
      <c r="I34" s="426"/>
    </row>
    <row r="35" spans="1:9" ht="13" thickTop="1">
      <c r="A35" s="29" t="s">
        <v>115</v>
      </c>
      <c r="B35" s="631"/>
      <c r="C35" s="631"/>
      <c r="D35" s="631"/>
      <c r="E35" s="631"/>
      <c r="F35" s="631"/>
      <c r="G35" s="631"/>
      <c r="H35" s="632"/>
      <c r="I35" s="426"/>
    </row>
    <row r="36" spans="1:9">
      <c r="A36" s="30" t="s">
        <v>116</v>
      </c>
      <c r="B36" s="606"/>
      <c r="C36" s="606"/>
      <c r="D36" s="606"/>
      <c r="E36" s="606"/>
      <c r="F36" s="606"/>
      <c r="G36" s="606"/>
      <c r="H36" s="633"/>
      <c r="I36" s="426"/>
    </row>
    <row r="37" spans="1:9">
      <c r="A37" s="30" t="s">
        <v>117</v>
      </c>
      <c r="B37" s="606"/>
      <c r="C37" s="606"/>
      <c r="D37" s="606"/>
      <c r="E37" s="606"/>
      <c r="F37" s="606"/>
      <c r="G37" s="606"/>
      <c r="H37" s="633"/>
      <c r="I37" s="426"/>
    </row>
    <row r="38" spans="1:9" ht="13" thickBot="1">
      <c r="A38" s="31" t="s">
        <v>118</v>
      </c>
      <c r="B38" s="634"/>
      <c r="C38" s="634"/>
      <c r="D38" s="634"/>
      <c r="E38" s="634"/>
      <c r="F38" s="634"/>
      <c r="G38" s="634"/>
      <c r="H38" s="635"/>
      <c r="I38" s="426"/>
    </row>
    <row r="39" spans="1:9" ht="13" thickTop="1">
      <c r="A39" s="426"/>
      <c r="B39" s="426"/>
      <c r="C39" s="426"/>
      <c r="D39" s="426"/>
      <c r="E39" s="426"/>
      <c r="F39" s="426"/>
      <c r="G39" s="426"/>
      <c r="H39" s="426"/>
      <c r="I39" s="426"/>
    </row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C15" sqref="C15"/>
    </sheetView>
  </sheetViews>
  <sheetFormatPr baseColWidth="10" defaultColWidth="11.453125" defaultRowHeight="10"/>
  <cols>
    <col min="1" max="2" width="3.453125" style="104" customWidth="1"/>
    <col min="3" max="6" width="11.453125" style="104"/>
    <col min="7" max="7" width="23.81640625" style="104" customWidth="1"/>
    <col min="8" max="8" width="11.453125" style="104"/>
    <col min="9" max="9" width="6.81640625" style="104" customWidth="1"/>
    <col min="10" max="10" width="14.1796875" style="104" bestFit="1" customWidth="1"/>
    <col min="11" max="16384" width="11.453125" style="104"/>
  </cols>
  <sheetData>
    <row r="1" spans="2:10">
      <c r="B1" s="105"/>
      <c r="C1" s="105"/>
      <c r="D1" s="105"/>
      <c r="E1" s="105"/>
      <c r="F1" s="105"/>
      <c r="G1" s="105"/>
      <c r="H1" s="105"/>
      <c r="I1" s="105"/>
      <c r="J1" s="105"/>
    </row>
    <row r="2" spans="2:10">
      <c r="B2" s="105"/>
      <c r="C2" s="105"/>
      <c r="D2" s="105"/>
      <c r="E2" s="105"/>
      <c r="F2" s="105"/>
      <c r="G2" s="105"/>
      <c r="H2" s="105"/>
      <c r="I2" s="105"/>
      <c r="J2" s="105"/>
    </row>
    <row r="3" spans="2:10">
      <c r="B3" s="105"/>
      <c r="C3" s="105"/>
      <c r="D3" s="105"/>
      <c r="E3" s="105"/>
      <c r="F3" s="105"/>
      <c r="G3" s="105"/>
      <c r="H3" s="105"/>
      <c r="I3" s="105"/>
      <c r="J3" s="106"/>
    </row>
    <row r="4" spans="2:10">
      <c r="B4" s="105"/>
      <c r="C4" s="105"/>
      <c r="D4" s="105"/>
      <c r="E4" s="105"/>
      <c r="F4" s="105"/>
      <c r="G4" s="105"/>
      <c r="H4" s="105"/>
      <c r="I4" s="105"/>
      <c r="J4" s="105"/>
    </row>
    <row r="5" spans="2:10">
      <c r="B5" s="105"/>
      <c r="C5" s="105"/>
      <c r="D5" s="105"/>
      <c r="E5" s="105"/>
      <c r="F5" s="105"/>
      <c r="G5" s="105"/>
      <c r="H5" s="105"/>
      <c r="I5" s="105"/>
      <c r="J5" s="105"/>
    </row>
    <row r="6" spans="2:10">
      <c r="B6" s="105"/>
      <c r="C6" s="105"/>
      <c r="D6" s="105"/>
      <c r="E6" s="105"/>
      <c r="F6" s="105"/>
      <c r="G6" s="105"/>
      <c r="H6" s="105"/>
      <c r="I6" s="105"/>
      <c r="J6" s="105"/>
    </row>
    <row r="7" spans="2:10">
      <c r="B7" s="105"/>
      <c r="C7" s="105"/>
      <c r="D7" s="105"/>
      <c r="E7" s="105"/>
      <c r="F7" s="105"/>
      <c r="G7" s="105"/>
      <c r="H7" s="105"/>
      <c r="I7" s="105"/>
      <c r="J7" s="105"/>
    </row>
    <row r="8" spans="2:10">
      <c r="B8" s="105"/>
      <c r="C8" s="105"/>
      <c r="D8" s="105"/>
      <c r="E8" s="105"/>
      <c r="F8" s="105"/>
      <c r="G8" s="105"/>
      <c r="H8" s="105"/>
      <c r="I8" s="105"/>
      <c r="J8" s="105"/>
    </row>
    <row r="9" spans="2:10" ht="12.5">
      <c r="B9" s="105"/>
      <c r="C9" s="694"/>
      <c r="D9" s="694"/>
      <c r="E9" s="694"/>
      <c r="F9" s="694"/>
      <c r="G9" s="694"/>
      <c r="H9" s="694"/>
      <c r="I9" s="694"/>
      <c r="J9" s="694"/>
    </row>
    <row r="10" spans="2:10">
      <c r="B10" s="105"/>
      <c r="C10" s="107"/>
      <c r="D10" s="107"/>
      <c r="E10" s="108"/>
      <c r="F10" s="108"/>
      <c r="G10" s="105"/>
      <c r="H10" s="105"/>
      <c r="I10" s="105"/>
      <c r="J10" s="109">
        <f ca="1">TODAY()</f>
        <v>45713</v>
      </c>
    </row>
    <row r="11" spans="2:10">
      <c r="B11" s="105"/>
      <c r="C11" s="107"/>
      <c r="D11" s="107"/>
      <c r="E11" s="108"/>
      <c r="F11" s="108"/>
      <c r="G11" s="105"/>
      <c r="H11" s="105"/>
      <c r="I11" s="105"/>
      <c r="J11" s="105"/>
    </row>
    <row r="12" spans="2:10">
      <c r="B12" s="105"/>
      <c r="C12" s="110"/>
      <c r="D12" s="107"/>
      <c r="E12" s="111"/>
      <c r="F12" s="107"/>
      <c r="G12" s="105"/>
      <c r="H12" s="105"/>
      <c r="I12" s="112" t="s">
        <v>103</v>
      </c>
      <c r="J12" s="113">
        <f>TITULAR!E3</f>
        <v>5</v>
      </c>
    </row>
    <row r="13" spans="2:10">
      <c r="B13" s="105"/>
      <c r="C13" s="110"/>
      <c r="D13" s="114"/>
      <c r="E13" s="114"/>
      <c r="F13" s="114"/>
      <c r="G13" s="105"/>
      <c r="H13" s="105"/>
      <c r="I13" s="105"/>
      <c r="J13" s="105"/>
    </row>
    <row r="14" spans="2:10" ht="12.75" customHeight="1">
      <c r="B14" s="695" t="s">
        <v>119</v>
      </c>
      <c r="C14" s="696"/>
      <c r="D14" s="696"/>
      <c r="E14" s="696"/>
      <c r="F14" s="696"/>
      <c r="G14" s="696"/>
      <c r="H14" s="696"/>
      <c r="I14" s="696"/>
      <c r="J14" s="697"/>
    </row>
    <row r="15" spans="2:10">
      <c r="B15" s="105" t="s">
        <v>120</v>
      </c>
      <c r="C15" s="110" t="s">
        <v>121</v>
      </c>
      <c r="D15" s="114"/>
      <c r="E15" s="114"/>
      <c r="F15" s="114"/>
      <c r="G15" s="105"/>
      <c r="H15" s="105" t="s">
        <v>122</v>
      </c>
      <c r="I15" s="105"/>
      <c r="J15" s="105"/>
    </row>
    <row r="16" spans="2:10">
      <c r="B16" s="105"/>
      <c r="C16" s="110"/>
      <c r="D16" s="114"/>
      <c r="E16" s="114"/>
      <c r="F16" s="114"/>
      <c r="G16" s="105"/>
      <c r="H16" s="105"/>
      <c r="I16" s="105"/>
      <c r="J16" s="105"/>
    </row>
    <row r="17" spans="2:10">
      <c r="B17" s="115" t="s">
        <v>120</v>
      </c>
      <c r="C17" s="116" t="s">
        <v>123</v>
      </c>
      <c r="D17" s="114"/>
      <c r="E17" s="114"/>
      <c r="F17" s="114"/>
      <c r="G17" s="105"/>
      <c r="H17" s="170">
        <f>+TITULAR!E5</f>
        <v>100000000</v>
      </c>
      <c r="I17" s="105" t="str">
        <f>IF(H17&lt;&gt;"SIN LÍMITE","M.N.","")</f>
        <v>M.N.</v>
      </c>
      <c r="J17" s="105"/>
    </row>
    <row r="18" spans="2:10">
      <c r="B18" s="105"/>
      <c r="C18" s="105"/>
      <c r="D18" s="114"/>
      <c r="E18" s="114"/>
      <c r="F18" s="114"/>
      <c r="G18" s="105"/>
      <c r="H18" s="117"/>
      <c r="I18" s="105"/>
      <c r="J18" s="105"/>
    </row>
    <row r="19" spans="2:10">
      <c r="B19" s="115" t="s">
        <v>120</v>
      </c>
      <c r="C19" s="116" t="s">
        <v>124</v>
      </c>
      <c r="D19" s="114"/>
      <c r="E19" s="114"/>
      <c r="F19" s="110" t="s">
        <v>125</v>
      </c>
      <c r="G19" s="105"/>
      <c r="H19" s="117">
        <f>+TITULAR!E6</f>
        <v>15000</v>
      </c>
      <c r="I19" s="105" t="s">
        <v>126</v>
      </c>
      <c r="J19" s="105"/>
    </row>
    <row r="20" spans="2:10">
      <c r="B20" s="105"/>
      <c r="C20" s="105"/>
      <c r="D20" s="114"/>
      <c r="E20" s="114"/>
      <c r="F20" s="110" t="s">
        <v>127</v>
      </c>
      <c r="G20" s="105"/>
      <c r="H20" s="117">
        <v>0</v>
      </c>
      <c r="I20" s="105" t="s">
        <v>126</v>
      </c>
      <c r="J20" s="105"/>
    </row>
    <row r="21" spans="2:10">
      <c r="B21" s="105"/>
      <c r="C21" s="105"/>
      <c r="D21" s="114"/>
      <c r="E21" s="114"/>
      <c r="F21" s="114"/>
      <c r="G21" s="105"/>
      <c r="H21" s="105"/>
      <c r="I21" s="105"/>
      <c r="J21" s="105"/>
    </row>
    <row r="22" spans="2:10">
      <c r="B22" s="115" t="s">
        <v>120</v>
      </c>
      <c r="C22" s="116" t="s">
        <v>128</v>
      </c>
      <c r="D22" s="114"/>
      <c r="E22" s="114"/>
      <c r="F22" s="110" t="s">
        <v>125</v>
      </c>
      <c r="G22" s="105"/>
      <c r="H22" s="118">
        <f>+TITULAR!E8</f>
        <v>0.1</v>
      </c>
      <c r="I22" s="105">
        <f>+COTIZACION!S26</f>
        <v>0</v>
      </c>
      <c r="J22" s="105"/>
    </row>
    <row r="23" spans="2:10">
      <c r="B23" s="105"/>
      <c r="C23" s="116"/>
      <c r="D23" s="107"/>
      <c r="E23" s="107"/>
      <c r="F23" s="110" t="s">
        <v>127</v>
      </c>
      <c r="G23" s="105"/>
      <c r="H23" s="118">
        <v>0</v>
      </c>
      <c r="I23" s="105"/>
      <c r="J23" s="105"/>
    </row>
    <row r="24" spans="2:10">
      <c r="B24" s="105"/>
      <c r="C24" s="116"/>
      <c r="D24" s="107"/>
      <c r="E24" s="107"/>
      <c r="F24" s="110"/>
      <c r="G24" s="105"/>
      <c r="H24" s="118"/>
      <c r="I24" s="105"/>
      <c r="J24" s="105"/>
    </row>
    <row r="25" spans="2:10">
      <c r="B25" s="116">
        <f>+COTIZACION!L29</f>
        <v>0</v>
      </c>
      <c r="C25" s="116">
        <f>+COTIZACION!M29</f>
        <v>0</v>
      </c>
      <c r="D25" s="107"/>
      <c r="E25" s="107"/>
      <c r="F25" s="110"/>
      <c r="G25" s="105"/>
      <c r="H25" s="118">
        <f>+TITULAR!E9</f>
        <v>0</v>
      </c>
      <c r="I25" s="105"/>
      <c r="J25" s="105"/>
    </row>
    <row r="26" spans="2:10">
      <c r="B26" s="116">
        <f>+COTIZACION!L30</f>
        <v>0</v>
      </c>
      <c r="C26" s="116">
        <f>+COTIZACION!M30</f>
        <v>0</v>
      </c>
      <c r="D26" s="119"/>
      <c r="E26" s="119"/>
      <c r="F26" s="105"/>
      <c r="G26" s="105"/>
      <c r="H26" s="162">
        <f>+COTIZACION!R30</f>
        <v>0</v>
      </c>
      <c r="I26" s="175">
        <f>+COTIZACION!S30</f>
        <v>0</v>
      </c>
      <c r="J26" s="105"/>
    </row>
    <row r="27" spans="2:10" hidden="1">
      <c r="B27" s="116"/>
      <c r="C27" s="116"/>
      <c r="D27" s="120"/>
      <c r="E27" s="121"/>
      <c r="F27" s="116"/>
      <c r="G27" s="105"/>
      <c r="H27" s="162"/>
      <c r="I27" s="162"/>
      <c r="J27" s="105"/>
    </row>
    <row r="28" spans="2:10" hidden="1">
      <c r="B28" s="116"/>
      <c r="C28" s="116"/>
      <c r="D28" s="120"/>
      <c r="E28" s="121"/>
      <c r="F28" s="116"/>
      <c r="G28" s="105"/>
      <c r="H28" s="162"/>
      <c r="I28" s="162"/>
      <c r="J28" s="105"/>
    </row>
    <row r="29" spans="2:10">
      <c r="B29" s="116">
        <f>+COTIZACION!L33</f>
        <v>0</v>
      </c>
      <c r="C29" s="116">
        <f>+COTIZACION!M33</f>
        <v>0</v>
      </c>
      <c r="D29" s="120"/>
      <c r="E29" s="121"/>
      <c r="F29" s="116"/>
      <c r="G29" s="105"/>
      <c r="H29" s="175">
        <f>+COTIZACION!R33</f>
        <v>0</v>
      </c>
      <c r="I29" s="162"/>
      <c r="J29" s="105"/>
    </row>
    <row r="30" spans="2:10">
      <c r="B30" s="116">
        <f>+COTIZACION!L34</f>
        <v>0</v>
      </c>
      <c r="C30" s="116">
        <f>+COTIZACION!M34</f>
        <v>0</v>
      </c>
      <c r="D30" s="120"/>
      <c r="E30" s="121"/>
      <c r="F30" s="116"/>
      <c r="G30" s="105"/>
      <c r="H30" s="175">
        <f>+COTIZACION!R34</f>
        <v>0</v>
      </c>
      <c r="I30" s="162"/>
      <c r="J30" s="105"/>
    </row>
    <row r="31" spans="2:10">
      <c r="B31" s="116">
        <f>+COTIZACION!L35</f>
        <v>0</v>
      </c>
      <c r="C31" s="116">
        <f>+COTIZACION!M35</f>
        <v>0</v>
      </c>
      <c r="D31" s="120"/>
      <c r="E31" s="121"/>
      <c r="F31" s="116"/>
      <c r="G31" s="105"/>
      <c r="H31" s="175">
        <f>+COTIZACION!R35</f>
        <v>0</v>
      </c>
      <c r="I31" s="162"/>
      <c r="J31" s="105"/>
    </row>
    <row r="32" spans="2:10">
      <c r="B32" s="116">
        <f>+COTIZACION!L36</f>
        <v>0</v>
      </c>
      <c r="C32" s="116">
        <f>+COTIZACION!M36</f>
        <v>0</v>
      </c>
      <c r="D32" s="120"/>
      <c r="E32" s="121"/>
      <c r="F32" s="116"/>
      <c r="G32" s="105"/>
      <c r="H32" s="175">
        <f>+COTIZACION!R36</f>
        <v>0</v>
      </c>
      <c r="I32" s="162"/>
      <c r="J32" s="105"/>
    </row>
    <row r="33" spans="2:10">
      <c r="B33" s="116">
        <f>+COTIZACION!L37</f>
        <v>0</v>
      </c>
      <c r="C33" s="116">
        <f>+COTIZACION!M37</f>
        <v>0</v>
      </c>
      <c r="D33" s="120"/>
      <c r="E33" s="121"/>
      <c r="F33" s="116"/>
      <c r="G33" s="105"/>
      <c r="H33" s="175"/>
      <c r="I33" s="162"/>
      <c r="J33" s="105"/>
    </row>
    <row r="34" spans="2:10">
      <c r="B34" s="116"/>
      <c r="C34" s="116">
        <f>+COTIZACION!M38</f>
        <v>0</v>
      </c>
      <c r="D34" s="120"/>
      <c r="E34" s="121"/>
      <c r="F34" s="116"/>
      <c r="G34" s="105"/>
      <c r="H34" s="200">
        <f>+COTIZACION!R38</f>
        <v>0</v>
      </c>
      <c r="I34" s="162"/>
      <c r="J34" s="105"/>
    </row>
    <row r="35" spans="2:10">
      <c r="B35" s="116">
        <f>+COTIZACION!L39</f>
        <v>0</v>
      </c>
      <c r="C35" s="116">
        <f>+COTIZACION!M39</f>
        <v>0</v>
      </c>
      <c r="D35" s="120"/>
      <c r="E35" s="121"/>
      <c r="F35" s="116"/>
      <c r="G35" s="105"/>
      <c r="H35" s="200">
        <f>+COTIZACION!R39</f>
        <v>0</v>
      </c>
      <c r="I35" s="162"/>
      <c r="J35" s="105"/>
    </row>
    <row r="36" spans="2:10">
      <c r="B36" s="116">
        <f>+COTIZACION!L40</f>
        <v>0</v>
      </c>
      <c r="C36" s="116">
        <f>+COTIZACION!M40</f>
        <v>0</v>
      </c>
      <c r="D36" s="120"/>
      <c r="E36" s="121"/>
      <c r="F36" s="116"/>
      <c r="G36" s="105"/>
      <c r="H36" s="175">
        <f>+COTIZACION!R40</f>
        <v>0</v>
      </c>
      <c r="I36" s="162"/>
      <c r="J36" s="105"/>
    </row>
    <row r="37" spans="2:10">
      <c r="B37" s="116">
        <f>+COTIZACION!L41</f>
        <v>0</v>
      </c>
      <c r="C37" s="116">
        <f>+COTIZACION!M41</f>
        <v>0</v>
      </c>
      <c r="D37" s="120"/>
      <c r="E37" s="121"/>
      <c r="F37" s="116"/>
      <c r="G37" s="105"/>
      <c r="H37" s="175">
        <f>+COTIZACION!R41</f>
        <v>0</v>
      </c>
      <c r="I37" s="162"/>
      <c r="J37" s="105"/>
    </row>
    <row r="38" spans="2:10">
      <c r="B38" s="116">
        <f>+COTIZACION!L42</f>
        <v>0</v>
      </c>
      <c r="C38" s="116">
        <f>+COTIZACION!M42</f>
        <v>0</v>
      </c>
      <c r="D38" s="120"/>
      <c r="E38" s="121"/>
      <c r="F38" s="116"/>
      <c r="G38" s="105"/>
      <c r="H38" s="175">
        <f>+COTIZACION!R42</f>
        <v>0</v>
      </c>
      <c r="I38" s="162"/>
      <c r="J38" s="105"/>
    </row>
    <row r="39" spans="2:10">
      <c r="B39" s="116">
        <f>+COTIZACION!L43</f>
        <v>0</v>
      </c>
      <c r="C39" s="116">
        <f>+COTIZACION!M43</f>
        <v>0</v>
      </c>
      <c r="D39" s="120"/>
      <c r="E39" s="121"/>
      <c r="F39" s="116"/>
      <c r="G39" s="105"/>
      <c r="H39" s="175">
        <f>+COTIZACION!R43</f>
        <v>0</v>
      </c>
      <c r="I39" s="162"/>
      <c r="J39" s="105"/>
    </row>
    <row r="40" spans="2:10">
      <c r="B40" s="116">
        <f>+COTIZACION!L44</f>
        <v>0</v>
      </c>
      <c r="C40" s="116">
        <f>+COTIZACION!M44</f>
        <v>0</v>
      </c>
      <c r="D40" s="120"/>
      <c r="E40" s="121"/>
      <c r="F40" s="116"/>
      <c r="G40" s="105"/>
      <c r="H40" s="175">
        <f>+COTIZACION!R44</f>
        <v>0</v>
      </c>
      <c r="I40" s="162"/>
      <c r="J40" s="105"/>
    </row>
    <row r="41" spans="2:10">
      <c r="B41" s="116">
        <f>+COTIZACION!L45</f>
        <v>0</v>
      </c>
      <c r="C41" s="116">
        <f>+COTIZACION!M45</f>
        <v>0</v>
      </c>
      <c r="D41" s="120"/>
      <c r="E41" s="121"/>
      <c r="F41" s="116"/>
      <c r="G41" s="105"/>
      <c r="H41" s="175"/>
      <c r="I41" s="162"/>
      <c r="J41" s="105"/>
    </row>
    <row r="42" spans="2:10">
      <c r="B42" s="116"/>
      <c r="C42" s="116">
        <f>+COTIZACION!M46</f>
        <v>0</v>
      </c>
      <c r="D42" s="120"/>
      <c r="E42" s="121"/>
      <c r="F42" s="116"/>
      <c r="G42" s="105"/>
      <c r="H42" s="175">
        <f>FACTORES!D37</f>
        <v>15000</v>
      </c>
      <c r="I42" s="162"/>
      <c r="J42" s="105"/>
    </row>
    <row r="43" spans="2:10">
      <c r="B43" s="116">
        <f>+COTIZACION!L47</f>
        <v>0</v>
      </c>
      <c r="C43" s="116">
        <f>+COTIZACION!M47</f>
        <v>0</v>
      </c>
      <c r="D43" s="120"/>
      <c r="E43" s="121"/>
      <c r="F43" s="116"/>
      <c r="G43" s="105"/>
      <c r="H43" s="175"/>
      <c r="I43" s="162"/>
      <c r="J43" s="105"/>
    </row>
    <row r="44" spans="2:10">
      <c r="B44" s="116"/>
      <c r="C44" s="116">
        <f>+COTIZACION!M48</f>
        <v>0</v>
      </c>
      <c r="D44" s="120"/>
      <c r="E44" s="121"/>
      <c r="F44" s="116"/>
      <c r="G44" s="105"/>
      <c r="H44" s="176">
        <f>+COTIZACION!R48</f>
        <v>0</v>
      </c>
      <c r="I44" s="162"/>
      <c r="J44" s="105"/>
    </row>
    <row r="45" spans="2:10">
      <c r="B45" s="116">
        <f>+COTIZACION!L49</f>
        <v>0</v>
      </c>
      <c r="C45" s="116">
        <f>+COTIZACION!M49</f>
        <v>0</v>
      </c>
      <c r="D45" s="120"/>
      <c r="E45" s="121"/>
      <c r="F45" s="116"/>
      <c r="G45" s="105"/>
      <c r="H45" s="175"/>
      <c r="I45" s="162"/>
      <c r="J45" s="105"/>
    </row>
    <row r="46" spans="2:10">
      <c r="B46" s="116"/>
      <c r="C46" s="116">
        <f>+COTIZACION!M50</f>
        <v>0</v>
      </c>
      <c r="D46" s="120"/>
      <c r="E46" s="121"/>
      <c r="F46" s="116"/>
      <c r="G46" s="105"/>
      <c r="H46" s="176">
        <f>+COTIZACION!R50</f>
        <v>0</v>
      </c>
      <c r="I46" s="162"/>
      <c r="J46" s="105"/>
    </row>
    <row r="47" spans="2:10">
      <c r="B47" s="116">
        <f>+COTIZACION!L51</f>
        <v>0</v>
      </c>
      <c r="C47" s="116">
        <f>+COTIZACION!M51</f>
        <v>0</v>
      </c>
      <c r="D47" s="120"/>
      <c r="E47" s="121"/>
      <c r="F47" s="116"/>
      <c r="G47" s="105"/>
      <c r="H47" s="176">
        <f>+COTIZACION!R51</f>
        <v>0</v>
      </c>
      <c r="I47" s="162"/>
      <c r="J47" s="105"/>
    </row>
    <row r="48" spans="2:10">
      <c r="B48" s="116"/>
      <c r="C48" s="116">
        <f>+COTIZACION!M52</f>
        <v>0</v>
      </c>
      <c r="D48" s="120"/>
      <c r="E48" s="121"/>
      <c r="F48" s="116"/>
      <c r="G48" s="105"/>
      <c r="H48" s="175"/>
      <c r="I48" s="162"/>
      <c r="J48" s="105"/>
    </row>
    <row r="49" spans="2:10">
      <c r="B49" s="116">
        <f>+COTIZACION!L53</f>
        <v>0</v>
      </c>
      <c r="C49" s="116">
        <f>+COTIZACION!M53</f>
        <v>0</v>
      </c>
      <c r="D49" s="120"/>
      <c r="E49" s="121"/>
      <c r="F49" s="116"/>
      <c r="G49" s="105"/>
      <c r="H49" s="176">
        <f>+COTIZACION!R53</f>
        <v>0</v>
      </c>
      <c r="I49" s="162"/>
      <c r="J49" s="105"/>
    </row>
    <row r="50" spans="2:10">
      <c r="B50" s="116">
        <f>+COTIZACION!L54</f>
        <v>0</v>
      </c>
      <c r="C50" s="116">
        <f>+COTIZACION!M54</f>
        <v>0</v>
      </c>
      <c r="D50" s="120"/>
      <c r="E50" s="121"/>
      <c r="F50" s="116"/>
      <c r="G50" s="105"/>
      <c r="H50" s="116"/>
      <c r="I50" s="162"/>
      <c r="J50" s="105"/>
    </row>
    <row r="51" spans="2:10">
      <c r="B51" s="116"/>
      <c r="C51" s="116">
        <f>+COTIZACION!M55</f>
        <v>0</v>
      </c>
      <c r="D51" s="116"/>
      <c r="E51" s="116"/>
      <c r="F51" s="116"/>
      <c r="G51" s="116"/>
      <c r="H51" s="116"/>
      <c r="I51" s="162"/>
      <c r="J51" s="105"/>
    </row>
    <row r="52" spans="2:10">
      <c r="B52" s="116"/>
      <c r="C52" s="116">
        <f>+COTIZACION!M56</f>
        <v>0</v>
      </c>
      <c r="D52" s="116"/>
      <c r="E52" s="116"/>
      <c r="F52" s="116"/>
      <c r="G52" s="116"/>
      <c r="H52" s="116"/>
      <c r="I52" s="162"/>
      <c r="J52" s="105"/>
    </row>
    <row r="53" spans="2:10">
      <c r="B53" s="116"/>
      <c r="C53" s="116">
        <f>+COTIZACION!M57</f>
        <v>0</v>
      </c>
      <c r="D53" s="116"/>
      <c r="E53" s="116"/>
      <c r="F53" s="116"/>
      <c r="G53" s="116"/>
      <c r="H53" s="116"/>
      <c r="I53" s="162"/>
      <c r="J53" s="105"/>
    </row>
    <row r="54" spans="2:10">
      <c r="B54" s="116"/>
      <c r="C54" s="116">
        <f>+COTIZACION!M58</f>
        <v>0</v>
      </c>
      <c r="D54" s="116"/>
      <c r="E54" s="116"/>
      <c r="F54" s="116"/>
      <c r="G54" s="116"/>
      <c r="H54" s="116">
        <f>+COTIZACION!R58</f>
        <v>0</v>
      </c>
      <c r="I54" s="162"/>
      <c r="J54" s="105"/>
    </row>
    <row r="55" spans="2:10">
      <c r="B55" s="116">
        <f>+COTIZACION!L59</f>
        <v>0</v>
      </c>
      <c r="C55" s="116">
        <f>+COTIZACION!M59</f>
        <v>0</v>
      </c>
      <c r="D55" s="116"/>
      <c r="E55" s="116"/>
      <c r="F55" s="116"/>
      <c r="G55" s="116"/>
      <c r="H55" s="116">
        <f>+COTIZACION!R59</f>
        <v>0</v>
      </c>
      <c r="I55" s="162"/>
      <c r="J55" s="105"/>
    </row>
    <row r="56" spans="2:10">
      <c r="B56" s="116">
        <f>+COTIZACION!L60</f>
        <v>0</v>
      </c>
      <c r="C56" s="116">
        <f>+COTIZACION!M60</f>
        <v>0</v>
      </c>
      <c r="D56" s="116"/>
      <c r="E56" s="116"/>
      <c r="F56" s="116"/>
      <c r="G56" s="116"/>
      <c r="H56" s="116"/>
      <c r="I56" s="162"/>
      <c r="J56" s="105"/>
    </row>
    <row r="57" spans="2:10">
      <c r="B57" s="116"/>
      <c r="C57" s="116">
        <f>+COTIZACION!M61</f>
        <v>0</v>
      </c>
      <c r="D57" s="116"/>
      <c r="E57" s="116"/>
      <c r="F57" s="116"/>
      <c r="G57" s="116"/>
      <c r="H57" s="116">
        <f>+COTIZACION!R61</f>
        <v>0</v>
      </c>
      <c r="I57" s="162"/>
      <c r="J57" s="105"/>
    </row>
    <row r="58" spans="2:10">
      <c r="B58" s="116">
        <f>+COTIZACION!L62</f>
        <v>0</v>
      </c>
      <c r="C58" s="116">
        <f>+COTIZACION!M62</f>
        <v>0</v>
      </c>
      <c r="D58" s="116"/>
      <c r="E58" s="116"/>
      <c r="F58" s="116"/>
      <c r="G58" s="116"/>
      <c r="H58" s="116">
        <f>+COTIZACION!R62</f>
        <v>0</v>
      </c>
      <c r="I58" s="162"/>
      <c r="J58" s="105"/>
    </row>
    <row r="59" spans="2:10">
      <c r="B59" s="116">
        <f>+COTIZACION!L63</f>
        <v>0</v>
      </c>
      <c r="C59" s="116">
        <f>+COTIZACION!M63</f>
        <v>0</v>
      </c>
      <c r="D59" s="116"/>
      <c r="E59" s="116"/>
      <c r="F59" s="116"/>
      <c r="G59" s="116"/>
      <c r="H59" s="116"/>
      <c r="I59" s="175"/>
      <c r="J59" s="105"/>
    </row>
    <row r="60" spans="2:10">
      <c r="B60" s="116"/>
      <c r="C60" s="116">
        <f>+COTIZACION!M64</f>
        <v>0</v>
      </c>
      <c r="D60" s="116"/>
      <c r="E60" s="116"/>
      <c r="F60" s="116"/>
      <c r="G60" s="116"/>
      <c r="H60" s="116">
        <f>+COTIZACION!R64</f>
        <v>0</v>
      </c>
      <c r="I60" s="162"/>
      <c r="J60" s="105"/>
    </row>
    <row r="61" spans="2:10">
      <c r="B61" s="116">
        <f>+COTIZACION!L65</f>
        <v>0</v>
      </c>
      <c r="C61" s="116">
        <f>+COTIZACION!M65</f>
        <v>0</v>
      </c>
      <c r="D61" s="116"/>
      <c r="E61" s="116"/>
      <c r="F61" s="116"/>
      <c r="G61" s="116"/>
      <c r="H61" s="116">
        <f>+COTIZACION!R65</f>
        <v>0</v>
      </c>
      <c r="I61" s="162"/>
      <c r="J61" s="105"/>
    </row>
    <row r="62" spans="2:10">
      <c r="B62" s="116">
        <f>+COTIZACION!L66</f>
        <v>0</v>
      </c>
      <c r="C62" s="116">
        <f>+COTIZACION!M66</f>
        <v>0</v>
      </c>
      <c r="D62" s="116"/>
      <c r="E62" s="116"/>
      <c r="F62" s="116"/>
      <c r="G62" s="116"/>
      <c r="H62" s="116">
        <f>+COTIZACION!R66</f>
        <v>0</v>
      </c>
      <c r="I62" s="162"/>
      <c r="J62" s="105"/>
    </row>
    <row r="63" spans="2:10">
      <c r="B63" s="116">
        <f>+COTIZACION!L67</f>
        <v>0</v>
      </c>
      <c r="C63" s="116">
        <f>+COTIZACION!M67</f>
        <v>0</v>
      </c>
      <c r="D63" s="116"/>
      <c r="E63" s="116"/>
      <c r="F63" s="116"/>
      <c r="G63" s="116"/>
      <c r="H63" s="116">
        <f>+COTIZACION!R67</f>
        <v>0</v>
      </c>
      <c r="I63" s="162"/>
      <c r="J63" s="105"/>
    </row>
    <row r="64" spans="2:10">
      <c r="B64" s="116">
        <f>+COTIZACION!L68</f>
        <v>0</v>
      </c>
      <c r="C64" s="116">
        <f>+COTIZACION!M68</f>
        <v>0</v>
      </c>
      <c r="D64" s="116"/>
      <c r="E64" s="116"/>
      <c r="F64" s="116"/>
      <c r="G64" s="116"/>
      <c r="H64" s="116">
        <f>+COTIZACION!R68</f>
        <v>0</v>
      </c>
      <c r="I64" s="162"/>
      <c r="J64" s="105"/>
    </row>
    <row r="65" spans="2:10">
      <c r="B65" s="116">
        <f>+COTIZACION!L69</f>
        <v>0</v>
      </c>
      <c r="C65" s="116">
        <f>+COTIZACION!M69</f>
        <v>0</v>
      </c>
      <c r="D65" s="116"/>
      <c r="E65" s="116"/>
      <c r="F65" s="116"/>
      <c r="G65" s="116"/>
      <c r="H65" s="116">
        <f>+COTIZACION!R69</f>
        <v>0</v>
      </c>
      <c r="I65" s="162"/>
      <c r="J65" s="105"/>
    </row>
    <row r="66" spans="2:10">
      <c r="B66" s="116">
        <f>+COTIZACION!L70</f>
        <v>0</v>
      </c>
      <c r="C66" s="116">
        <f>+COTIZACION!M70</f>
        <v>0</v>
      </c>
      <c r="H66" s="116">
        <f>+COTIZACION!R70</f>
        <v>0</v>
      </c>
    </row>
    <row r="67" spans="2:10">
      <c r="B67" s="116">
        <f>+COTIZACION!L71</f>
        <v>0</v>
      </c>
      <c r="C67" s="116">
        <f>+COTIZACION!M71</f>
        <v>0</v>
      </c>
      <c r="H67" s="116">
        <f>+COTIZACION!R71</f>
        <v>0</v>
      </c>
    </row>
    <row r="68" spans="2:10">
      <c r="B68" s="116">
        <f>+COTIZACION!L72</f>
        <v>0</v>
      </c>
      <c r="C68" s="116">
        <f>+COTIZACION!M72</f>
        <v>0</v>
      </c>
      <c r="H68" s="116">
        <f>+COTIZACION!R72</f>
        <v>0</v>
      </c>
    </row>
    <row r="69" spans="2:10">
      <c r="B69" s="116">
        <f>+COTIZACION!L73</f>
        <v>0</v>
      </c>
      <c r="C69" s="116">
        <f>+COTIZACION!M73</f>
        <v>0</v>
      </c>
      <c r="H69" s="116">
        <f>+COTIZACION!R73</f>
        <v>0</v>
      </c>
    </row>
    <row r="70" spans="2:10">
      <c r="B70" s="116">
        <f>+COTIZACION!L74</f>
        <v>0</v>
      </c>
      <c r="C70" s="116">
        <f>+COTIZACION!M74</f>
        <v>0</v>
      </c>
      <c r="H70" s="116">
        <f>+COTIZACION!R74</f>
        <v>0</v>
      </c>
    </row>
    <row r="71" spans="2:10">
      <c r="B71" s="201" t="s">
        <v>120</v>
      </c>
      <c r="C71" s="122" t="s">
        <v>129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AL363"/>
  <sheetViews>
    <sheetView showGridLines="0" zoomScale="85" zoomScaleNormal="85" workbookViewId="0">
      <selection activeCell="AP1" sqref="AP1"/>
    </sheetView>
  </sheetViews>
  <sheetFormatPr baseColWidth="10" defaultColWidth="0" defaultRowHeight="10" zeroHeight="1"/>
  <cols>
    <col min="1" max="1" width="3.453125" style="104" customWidth="1"/>
    <col min="2" max="2" width="32.54296875" style="104" customWidth="1"/>
    <col min="3" max="3" width="37.453125" style="104" customWidth="1"/>
    <col min="4" max="4" width="23.81640625" style="104" bestFit="1" customWidth="1"/>
    <col min="5" max="5" width="14" style="104" customWidth="1"/>
    <col min="6" max="6" width="18" style="104" customWidth="1"/>
    <col min="7" max="8" width="15.1796875" style="104" customWidth="1"/>
    <col min="9" max="9" width="17.7265625" style="104" customWidth="1"/>
    <col min="10" max="10" width="14.26953125" style="104" customWidth="1"/>
    <col min="11" max="11" width="4.26953125" style="104" customWidth="1"/>
    <col min="12" max="12" width="7" style="104" bestFit="1" customWidth="1"/>
    <col min="13" max="13" width="12.54296875" style="104" customWidth="1"/>
    <col min="14" max="14" width="11.7265625" style="104" customWidth="1"/>
    <col min="15" max="15" width="13.453125" style="104" customWidth="1"/>
    <col min="16" max="16" width="11.453125" style="104" hidden="1" customWidth="1"/>
    <col min="17" max="17" width="8" style="104" hidden="1" customWidth="1"/>
    <col min="18" max="19" width="11.453125" style="104" hidden="1" customWidth="1"/>
    <col min="20" max="20" width="15.54296875" style="104" hidden="1" customWidth="1"/>
    <col min="21" max="21" width="13.54296875" style="104" hidden="1" customWidth="1"/>
    <col min="22" max="38" width="0" style="104" hidden="1" customWidth="1"/>
    <col min="39" max="16384" width="11.453125" style="104" hidden="1"/>
  </cols>
  <sheetData>
    <row r="1" spans="1:20" ht="3.75" customHeight="1"/>
    <row r="2" spans="1:20" ht="12.5">
      <c r="B2" s="701"/>
      <c r="C2" s="701"/>
    </row>
    <row r="3" spans="1:20" ht="12.5">
      <c r="B3" s="701"/>
      <c r="C3" s="701"/>
      <c r="D3" s="296"/>
    </row>
    <row r="4" spans="1:20" s="134" customFormat="1" ht="14.25" customHeight="1">
      <c r="A4" s="104"/>
      <c r="G4" s="430"/>
      <c r="H4" s="430"/>
      <c r="I4" s="430"/>
      <c r="L4" s="297"/>
      <c r="M4" s="297"/>
      <c r="Q4" s="297"/>
      <c r="R4" s="297"/>
      <c r="S4" s="297"/>
      <c r="T4" s="298"/>
    </row>
    <row r="5" spans="1:20" s="134" customFormat="1" ht="6" customHeight="1">
      <c r="E5" s="290"/>
      <c r="F5" s="290"/>
      <c r="G5" s="430"/>
      <c r="H5" s="430"/>
      <c r="I5" s="430"/>
      <c r="L5" s="297"/>
      <c r="M5" s="297"/>
      <c r="Q5" s="297"/>
      <c r="R5" s="297"/>
      <c r="S5" s="297"/>
      <c r="T5" s="297"/>
    </row>
    <row r="6" spans="1:20" s="134" customFormat="1" ht="7.5" customHeight="1" thickBot="1">
      <c r="B6" s="271"/>
      <c r="C6" s="271"/>
      <c r="G6" s="430"/>
      <c r="H6" s="430"/>
      <c r="I6" s="430"/>
      <c r="L6" s="297"/>
      <c r="M6" s="297"/>
      <c r="Q6" s="297"/>
      <c r="R6" s="297"/>
      <c r="S6" s="297"/>
      <c r="T6" s="297"/>
    </row>
    <row r="7" spans="1:20" s="134" customFormat="1" ht="21.75" customHeight="1" thickBot="1">
      <c r="B7" s="704" t="s">
        <v>130</v>
      </c>
      <c r="C7" s="705"/>
      <c r="D7" s="706"/>
      <c r="E7" s="291"/>
      <c r="F7" s="291"/>
      <c r="G7" s="430"/>
      <c r="H7" s="430"/>
      <c r="I7" s="430"/>
      <c r="L7" s="297"/>
      <c r="M7" s="297"/>
      <c r="Q7" s="297"/>
      <c r="R7" s="297"/>
      <c r="S7" s="297"/>
      <c r="T7" s="297"/>
    </row>
    <row r="8" spans="1:20" s="134" customFormat="1" ht="12.5">
      <c r="B8" s="407" t="s">
        <v>131</v>
      </c>
      <c r="C8" s="272"/>
      <c r="D8" s="433" t="s">
        <v>132</v>
      </c>
      <c r="E8" s="429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291"/>
      <c r="G8" s="430"/>
      <c r="H8" s="430"/>
      <c r="I8" s="430"/>
      <c r="L8" s="297"/>
      <c r="M8" s="297"/>
      <c r="Q8" s="297"/>
      <c r="R8" s="297"/>
      <c r="S8" s="297"/>
      <c r="T8" s="297"/>
    </row>
    <row r="9" spans="1:20" s="134" customFormat="1" ht="12.5">
      <c r="B9" s="573" t="s">
        <v>133</v>
      </c>
      <c r="C9" s="272"/>
      <c r="D9" s="432" t="s">
        <v>134</v>
      </c>
      <c r="E9" s="429" t="str">
        <f>+IF(IFERROR(FACTORES!A37,"VALIDAR INICIO DE VIGENCIA")=0,"","VALIDAR INICIO DE VIGENCIA")</f>
        <v/>
      </c>
      <c r="F9" s="291"/>
      <c r="G9" s="430"/>
      <c r="H9" s="430"/>
      <c r="I9" s="430"/>
      <c r="L9" s="297"/>
      <c r="M9" s="297"/>
      <c r="Q9" s="297"/>
      <c r="R9" s="297"/>
      <c r="S9" s="297"/>
      <c r="T9" s="297"/>
    </row>
    <row r="10" spans="1:20" s="134" customFormat="1" ht="12.5">
      <c r="B10" s="54" t="s">
        <v>135</v>
      </c>
      <c r="C10" s="273"/>
      <c r="D10" s="433" t="s">
        <v>136</v>
      </c>
      <c r="E10" s="291"/>
      <c r="F10" s="291"/>
      <c r="G10" s="430"/>
      <c r="H10" s="430"/>
      <c r="I10" s="430"/>
      <c r="L10" s="297"/>
      <c r="M10" s="297"/>
      <c r="Q10" s="297"/>
      <c r="R10" s="297"/>
      <c r="S10" s="297"/>
      <c r="T10" s="297"/>
    </row>
    <row r="11" spans="1:20" s="134" customFormat="1" ht="14.25" customHeight="1">
      <c r="B11" s="54" t="s">
        <v>123</v>
      </c>
      <c r="D11" s="453">
        <v>100000000</v>
      </c>
      <c r="E11" s="290"/>
      <c r="F11" s="290"/>
      <c r="G11" s="430"/>
      <c r="H11" s="430"/>
      <c r="I11" s="430"/>
      <c r="L11" s="297"/>
      <c r="M11" s="297"/>
      <c r="Q11" s="297"/>
      <c r="R11" s="297"/>
      <c r="S11" s="297"/>
      <c r="T11" s="297"/>
    </row>
    <row r="12" spans="1:20" s="134" customFormat="1" ht="14.25" customHeight="1">
      <c r="B12" s="274" t="s">
        <v>124</v>
      </c>
      <c r="D12" s="454">
        <v>15000</v>
      </c>
      <c r="E12" s="429" t="str">
        <f>+IF(D8="NUEVA ",IF(D12&lt;10000,"Deducible no permitido para pólizas nuevas",""),"")</f>
        <v/>
      </c>
      <c r="F12" s="292"/>
      <c r="G12" s="430"/>
      <c r="H12" s="430"/>
      <c r="I12" s="430"/>
      <c r="L12" s="297"/>
      <c r="M12" s="300"/>
      <c r="N12" s="300"/>
      <c r="O12" s="300"/>
      <c r="P12" s="300"/>
      <c r="Q12" s="300"/>
      <c r="R12" s="300"/>
      <c r="S12" s="300"/>
      <c r="T12" s="300"/>
    </row>
    <row r="13" spans="1:20" s="134" customFormat="1" ht="14.25" customHeight="1">
      <c r="B13" s="54" t="str">
        <f>+CONCATENATE("Coaseguro con tope a ",VLOOKUP(D13,FACTORES!C16:D20,2,FALSE))</f>
        <v>Coaseguro con tope a $30,000</v>
      </c>
      <c r="D13" s="455">
        <v>0.1</v>
      </c>
      <c r="E13" s="290"/>
      <c r="F13" s="290"/>
      <c r="G13" s="290"/>
      <c r="J13" s="137"/>
      <c r="L13" s="297"/>
      <c r="N13" s="296"/>
      <c r="O13" s="301"/>
      <c r="P13" s="301"/>
      <c r="Q13" s="297"/>
      <c r="R13" s="297"/>
      <c r="S13" s="297"/>
      <c r="T13" s="302"/>
    </row>
    <row r="14" spans="1:20" s="134" customFormat="1" ht="14.25" customHeight="1">
      <c r="B14" s="54" t="s">
        <v>137</v>
      </c>
      <c r="D14" s="456" t="s">
        <v>138</v>
      </c>
      <c r="E14" s="290"/>
      <c r="F14" s="290"/>
      <c r="G14" s="290"/>
      <c r="J14" s="137"/>
      <c r="L14" s="297"/>
      <c r="M14" s="296"/>
      <c r="N14" s="296"/>
      <c r="O14" s="301"/>
      <c r="P14" s="301"/>
      <c r="Q14" s="297"/>
      <c r="R14" s="297"/>
      <c r="S14" s="297"/>
      <c r="T14" s="302"/>
    </row>
    <row r="15" spans="1:20" s="134" customFormat="1" ht="14.25" customHeight="1">
      <c r="B15" s="54" t="s">
        <v>139</v>
      </c>
      <c r="D15" s="457">
        <f>+VLOOKUP(D14,C310:D341,2,0)</f>
        <v>5</v>
      </c>
      <c r="E15" s="290"/>
      <c r="F15" s="290"/>
      <c r="G15" s="290"/>
      <c r="J15" s="137"/>
      <c r="L15" s="297"/>
      <c r="M15" s="296"/>
      <c r="N15" s="296"/>
      <c r="O15" s="301"/>
      <c r="P15" s="301"/>
      <c r="Q15" s="297"/>
      <c r="R15" s="297"/>
      <c r="S15" s="297"/>
      <c r="T15" s="302"/>
    </row>
    <row r="16" spans="1:20" s="134" customFormat="1" ht="14.25" customHeight="1">
      <c r="B16" s="54" t="s">
        <v>140</v>
      </c>
      <c r="D16" s="433" t="s">
        <v>141</v>
      </c>
      <c r="E16" s="290"/>
      <c r="F16" s="290"/>
      <c r="G16" s="290"/>
      <c r="J16" s="137"/>
      <c r="L16" s="297"/>
      <c r="M16" s="296"/>
      <c r="N16" s="296"/>
      <c r="O16" s="301"/>
      <c r="P16" s="301"/>
      <c r="Q16" s="297"/>
      <c r="R16" s="297"/>
      <c r="S16" s="297"/>
      <c r="T16" s="302"/>
    </row>
    <row r="17" spans="1:20" s="134" customFormat="1" ht="14.25" customHeight="1">
      <c r="B17" s="703" t="s">
        <v>142</v>
      </c>
      <c r="C17" s="703"/>
      <c r="D17" s="458">
        <v>15000</v>
      </c>
      <c r="E17" s="290"/>
      <c r="F17" s="290"/>
      <c r="G17" s="290"/>
      <c r="J17" s="137"/>
      <c r="L17" s="297"/>
      <c r="M17" s="296"/>
      <c r="N17" s="296"/>
      <c r="O17" s="301"/>
      <c r="P17" s="301"/>
      <c r="Q17" s="297"/>
      <c r="R17" s="297"/>
      <c r="S17" s="297"/>
      <c r="T17" s="302"/>
    </row>
    <row r="18" spans="1:20" s="134" customFormat="1" ht="14.25" customHeight="1">
      <c r="B18" s="54" t="s">
        <v>143</v>
      </c>
      <c r="C18" s="299"/>
      <c r="D18" s="433" t="s">
        <v>141</v>
      </c>
      <c r="E18" s="290"/>
      <c r="F18" s="290"/>
      <c r="G18" s="293"/>
      <c r="H18" s="293"/>
      <c r="I18" s="293"/>
      <c r="J18" s="137"/>
      <c r="L18" s="116"/>
      <c r="M18" s="116"/>
      <c r="N18" s="116"/>
      <c r="O18" s="116"/>
      <c r="P18" s="116"/>
      <c r="Q18" s="116"/>
      <c r="R18" s="116"/>
      <c r="S18" s="116"/>
      <c r="T18" s="116"/>
    </row>
    <row r="19" spans="1:20" s="134" customFormat="1" ht="14.25" customHeight="1">
      <c r="B19" s="54" t="s">
        <v>144</v>
      </c>
      <c r="D19" s="459" t="s">
        <v>141</v>
      </c>
      <c r="E19" s="285" t="str">
        <f>IF(AND(D19&lt;&gt;"NO",SUM(A27:A34)&lt;1),"NO CUMPLE CON LOS LIMITES DE EDAD","")</f>
        <v/>
      </c>
      <c r="F19" s="270"/>
      <c r="G19" s="270"/>
      <c r="H19" s="270"/>
      <c r="I19" s="270"/>
      <c r="J19" s="137"/>
      <c r="L19" s="297"/>
      <c r="M19" s="303"/>
      <c r="N19" s="304"/>
      <c r="O19" s="304"/>
      <c r="P19" s="304"/>
      <c r="Q19" s="297"/>
      <c r="R19" s="297"/>
      <c r="S19" s="297"/>
      <c r="T19" s="297"/>
    </row>
    <row r="20" spans="1:20" s="134" customFormat="1" ht="14.25" customHeight="1">
      <c r="B20" s="54" t="s">
        <v>92</v>
      </c>
      <c r="D20" s="574">
        <v>0.16</v>
      </c>
      <c r="E20" s="242"/>
      <c r="F20" s="242"/>
      <c r="G20" s="242"/>
      <c r="H20" s="275"/>
      <c r="I20" s="242"/>
      <c r="J20" s="137"/>
      <c r="L20" s="297"/>
      <c r="M20" s="303"/>
      <c r="N20" s="304"/>
      <c r="O20" s="304"/>
      <c r="P20" s="304"/>
      <c r="Q20" s="297"/>
      <c r="R20" s="297"/>
      <c r="S20" s="297"/>
      <c r="T20" s="297"/>
    </row>
    <row r="21" spans="1:20" ht="12.75" customHeight="1">
      <c r="A21" s="134"/>
      <c r="B21" s="54"/>
      <c r="C21" s="134"/>
      <c r="E21" s="202"/>
      <c r="F21" s="202"/>
      <c r="H21" s="276" t="s">
        <v>145</v>
      </c>
      <c r="J21" s="134"/>
      <c r="K21" s="134"/>
      <c r="L21" s="305"/>
      <c r="M21" s="276" t="s">
        <v>145</v>
      </c>
      <c r="N21" s="306"/>
      <c r="O21" s="306"/>
      <c r="P21" s="306"/>
      <c r="Q21" s="116"/>
      <c r="R21" s="307"/>
      <c r="S21" s="308"/>
      <c r="T21" s="116"/>
    </row>
    <row r="22" spans="1:20" s="134" customFormat="1">
      <c r="B22" s="137"/>
      <c r="C22" s="137"/>
      <c r="E22" s="242"/>
      <c r="F22" s="242"/>
      <c r="H22" s="294"/>
      <c r="L22" s="305"/>
      <c r="M22" s="294"/>
      <c r="N22" s="306"/>
      <c r="O22" s="306"/>
      <c r="P22" s="306"/>
      <c r="Q22" s="116"/>
      <c r="R22" s="309"/>
      <c r="S22" s="116"/>
      <c r="T22" s="116"/>
    </row>
    <row r="23" spans="1:20" s="134" customFormat="1" ht="13.5" customHeight="1">
      <c r="E23" s="242"/>
      <c r="F23" s="242"/>
      <c r="H23" s="295">
        <v>0</v>
      </c>
      <c r="L23" s="116"/>
      <c r="M23" s="295">
        <v>0</v>
      </c>
      <c r="N23" s="306"/>
      <c r="O23" s="306"/>
      <c r="P23" s="306"/>
      <c r="Q23" s="116"/>
      <c r="R23" s="310"/>
      <c r="S23" s="116"/>
      <c r="T23" s="116"/>
    </row>
    <row r="24" spans="1:20" s="134" customFormat="1">
      <c r="B24" s="311"/>
      <c r="C24" s="312"/>
      <c r="H24" s="294"/>
      <c r="L24" s="305"/>
      <c r="M24" s="116"/>
      <c r="N24" s="306"/>
      <c r="O24" s="313"/>
      <c r="P24" s="314"/>
      <c r="Q24" s="116"/>
      <c r="R24" s="310"/>
      <c r="S24" s="116"/>
      <c r="T24" s="116"/>
    </row>
    <row r="25" spans="1:20" s="134" customFormat="1" ht="10.5" thickBot="1">
      <c r="L25" s="116"/>
      <c r="M25" s="116"/>
      <c r="N25" s="306"/>
      <c r="O25" s="306"/>
      <c r="P25" s="306"/>
      <c r="Q25" s="116"/>
      <c r="R25" s="116"/>
      <c r="S25" s="116"/>
      <c r="T25" s="116"/>
    </row>
    <row r="26" spans="1:20" s="134" customFormat="1" ht="21" customHeight="1" thickBot="1">
      <c r="B26" s="474" t="s">
        <v>146</v>
      </c>
      <c r="C26" s="474" t="s">
        <v>147</v>
      </c>
      <c r="D26" s="474" t="s">
        <v>148</v>
      </c>
      <c r="E26" s="475" t="s">
        <v>94</v>
      </c>
      <c r="F26" s="315"/>
      <c r="G26" s="468" t="s">
        <v>149</v>
      </c>
      <c r="H26" s="468" t="s">
        <v>150</v>
      </c>
      <c r="I26" s="468" t="s">
        <v>151</v>
      </c>
      <c r="J26" s="468" t="s">
        <v>152</v>
      </c>
      <c r="L26" s="305"/>
      <c r="M26" s="116"/>
      <c r="N26" s="306"/>
      <c r="O26" s="313"/>
      <c r="P26" s="314"/>
      <c r="Q26" s="116"/>
      <c r="R26" s="316"/>
      <c r="S26" s="116"/>
      <c r="T26" s="116"/>
    </row>
    <row r="27" spans="1:20" s="134" customFormat="1" ht="15" customHeight="1">
      <c r="A27" s="281">
        <f>IF($D$8="NUEVA ",IF(AND(E27&gt;=18,E27&lt;60),1,0),IF(AND(E27&gt;=18,E27&lt;65),1,0))</f>
        <v>0</v>
      </c>
      <c r="B27" s="462" t="s">
        <v>153</v>
      </c>
      <c r="C27" s="463"/>
      <c r="D27" s="464"/>
      <c r="E27" s="464"/>
      <c r="F27" s="431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465" t="s">
        <v>110</v>
      </c>
      <c r="H27" s="466">
        <f>+IMPRESION!K86</f>
        <v>0</v>
      </c>
      <c r="I27" s="466">
        <v>0</v>
      </c>
      <c r="J27" s="467">
        <f>+H27</f>
        <v>0</v>
      </c>
      <c r="L27" s="116"/>
      <c r="M27" s="116"/>
      <c r="N27" s="204"/>
      <c r="O27" s="313"/>
      <c r="P27" s="317"/>
      <c r="Q27" s="318"/>
      <c r="R27" s="316"/>
      <c r="S27" s="116"/>
      <c r="T27" s="116"/>
    </row>
    <row r="28" spans="1:20" s="134" customFormat="1" ht="15" customHeight="1">
      <c r="A28" s="281">
        <f t="shared" ref="A28:A34" si="0">IF($D$8="NUEVA ",IF(AND(E28&gt;=18,E28&lt;60),1,0),IF(AND(E28&gt;=18,E28&lt;65),1,0))</f>
        <v>0</v>
      </c>
      <c r="B28" s="435" t="str">
        <f>IF(D10="FAMILIAR","Cónyuge","")</f>
        <v/>
      </c>
      <c r="C28" s="436"/>
      <c r="D28" s="437"/>
      <c r="E28" s="437"/>
      <c r="F28" s="410" t="str">
        <f>IF($D$8="NUEVA ",IF(E28&gt;64,"EDAD NO PERMITIDA"," ")," ")</f>
        <v xml:space="preserve"> </v>
      </c>
      <c r="G28" s="438" t="s">
        <v>10</v>
      </c>
      <c r="H28" s="439">
        <f>IF((IMPRESION!K81*RSEM/2+DER)*(1+$D$20)&lt;2000,0,(IMPRESION!K81*RSEM/2+DER)*(1+$D$20))</f>
        <v>0</v>
      </c>
      <c r="I28" s="439">
        <f>IF(H28=0,0,(IMPRESION!K81*RSEM/2)*(1+$D$20))</f>
        <v>0</v>
      </c>
      <c r="J28" s="452">
        <f>+I28+H28</f>
        <v>0</v>
      </c>
      <c r="L28" s="319"/>
      <c r="M28" s="318"/>
      <c r="N28" s="318"/>
      <c r="O28" s="318"/>
      <c r="P28" s="320"/>
      <c r="Q28" s="116"/>
      <c r="R28" s="116"/>
      <c r="S28" s="116"/>
      <c r="T28" s="116"/>
    </row>
    <row r="29" spans="1:20" s="134" customFormat="1" ht="15" customHeight="1">
      <c r="A29" s="281">
        <f t="shared" si="0"/>
        <v>0</v>
      </c>
      <c r="B29" s="435" t="str">
        <f>IF($D$10="FAMILIAR","Dependiente 1","")</f>
        <v/>
      </c>
      <c r="C29" s="436"/>
      <c r="D29" s="437"/>
      <c r="E29" s="437"/>
      <c r="F29" s="410" t="str">
        <f t="shared" ref="F29:F34" si="1">IF($D$8="NUEVA ",IF(E29&gt;69,"EDAD NO PERMITIDA"," ")," ")</f>
        <v xml:space="preserve"> </v>
      </c>
      <c r="G29" s="438" t="s">
        <v>11</v>
      </c>
      <c r="H29" s="439">
        <f>IF((IMPRESION!K81*RTRIM/4+DER)*(1+$D$20)&lt;2000,0,(IMPRESION!K81*RTRIM/4+DER)*(1+$D$20))</f>
        <v>0</v>
      </c>
      <c r="I29" s="439">
        <f>IF(H29=0,0,(IMPRESION!K81*RTRIM/4)*(1+$D$20))</f>
        <v>0</v>
      </c>
      <c r="J29" s="452">
        <f>+I29*3+H29</f>
        <v>0</v>
      </c>
      <c r="L29" s="321"/>
      <c r="M29" s="318"/>
      <c r="N29" s="318"/>
      <c r="O29" s="318"/>
      <c r="P29" s="322"/>
      <c r="Q29" s="116"/>
      <c r="R29" s="316"/>
      <c r="S29" s="116"/>
      <c r="T29" s="308"/>
    </row>
    <row r="30" spans="1:20" s="134" customFormat="1" ht="15" customHeight="1">
      <c r="A30" s="281">
        <f t="shared" si="0"/>
        <v>0</v>
      </c>
      <c r="B30" s="435" t="str">
        <f>IF($D$10="FAMILIAR","Dependiente 2","")</f>
        <v/>
      </c>
      <c r="C30" s="436"/>
      <c r="D30" s="437"/>
      <c r="E30" s="437"/>
      <c r="F30" s="410" t="str">
        <f t="shared" si="1"/>
        <v xml:space="preserve"> </v>
      </c>
      <c r="G30" s="438" t="s">
        <v>12</v>
      </c>
      <c r="H30" s="439">
        <f>IF((IMPRESION!K81*RMES/12+DER)*(1+$D$20)&lt;2000,0,(IMPRESION!K81*RMES/12+DER)*(1+$D$20))</f>
        <v>0</v>
      </c>
      <c r="I30" s="439">
        <f>IF(H30=0,0,(IMPRESION!K81*RMES/12)*(1+$D$20))</f>
        <v>0</v>
      </c>
      <c r="J30" s="452">
        <f>+I30*11+H30</f>
        <v>0</v>
      </c>
      <c r="L30" s="321"/>
      <c r="M30" s="318"/>
      <c r="N30" s="318"/>
      <c r="O30" s="318"/>
      <c r="P30" s="320"/>
      <c r="Q30" s="116"/>
      <c r="R30" s="162"/>
      <c r="S30" s="116"/>
      <c r="T30" s="116"/>
    </row>
    <row r="31" spans="1:20" s="134" customFormat="1" ht="15" customHeight="1">
      <c r="A31" s="281">
        <f t="shared" si="0"/>
        <v>0</v>
      </c>
      <c r="B31" s="435" t="str">
        <f>IF($D$10="FAMILIAR","Dependiente 3","")</f>
        <v/>
      </c>
      <c r="C31" s="436"/>
      <c r="D31" s="437"/>
      <c r="E31" s="437"/>
      <c r="F31" s="410" t="str">
        <f t="shared" si="1"/>
        <v xml:space="preserve"> </v>
      </c>
      <c r="G31" s="267"/>
      <c r="H31" s="137"/>
      <c r="I31" s="137"/>
      <c r="J31" s="323"/>
      <c r="L31" s="305"/>
      <c r="M31" s="324"/>
      <c r="N31" s="325"/>
      <c r="O31" s="325"/>
      <c r="P31" s="116"/>
      <c r="Q31" s="116"/>
      <c r="R31" s="116"/>
      <c r="S31" s="116"/>
      <c r="T31" s="116"/>
    </row>
    <row r="32" spans="1:20" s="134" customFormat="1" ht="15" customHeight="1">
      <c r="A32" s="281">
        <f t="shared" si="0"/>
        <v>0</v>
      </c>
      <c r="B32" s="435" t="str">
        <f>IF($D$10="FAMILIAR","Dependiente 4","")</f>
        <v/>
      </c>
      <c r="C32" s="436"/>
      <c r="D32" s="437"/>
      <c r="E32" s="437"/>
      <c r="F32" s="410" t="str">
        <f t="shared" si="1"/>
        <v xml:space="preserve"> </v>
      </c>
      <c r="G32" s="137"/>
      <c r="H32" s="137"/>
      <c r="I32" s="702"/>
      <c r="J32" s="702"/>
      <c r="L32" s="305"/>
      <c r="M32" s="324"/>
      <c r="N32" s="325"/>
      <c r="O32" s="325"/>
      <c r="P32" s="116"/>
      <c r="Q32" s="116"/>
      <c r="R32" s="116"/>
      <c r="S32" s="116"/>
      <c r="T32" s="116"/>
    </row>
    <row r="33" spans="1:20" s="134" customFormat="1" ht="15" customHeight="1">
      <c r="A33" s="281">
        <f t="shared" si="0"/>
        <v>0</v>
      </c>
      <c r="B33" s="435" t="str">
        <f>IF($D$10="FAMILIAR","Dependiente 5","")</f>
        <v/>
      </c>
      <c r="C33" s="436"/>
      <c r="D33" s="437"/>
      <c r="E33" s="437"/>
      <c r="F33" s="410" t="str">
        <f t="shared" si="1"/>
        <v xml:space="preserve"> </v>
      </c>
      <c r="G33" s="282"/>
      <c r="H33" s="137"/>
      <c r="L33" s="305"/>
      <c r="M33" s="324"/>
      <c r="N33" s="314"/>
      <c r="O33" s="314"/>
      <c r="P33" s="116"/>
      <c r="Q33" s="116"/>
      <c r="R33" s="116"/>
      <c r="S33" s="308"/>
      <c r="T33" s="308"/>
    </row>
    <row r="34" spans="1:20" s="134" customFormat="1" ht="15" customHeight="1" thickBot="1">
      <c r="A34" s="281">
        <f t="shared" si="0"/>
        <v>0</v>
      </c>
      <c r="B34" s="435" t="str">
        <f>IF($D$10="FAMILIAR","Dependiente 6","")</f>
        <v/>
      </c>
      <c r="C34" s="436"/>
      <c r="D34" s="437"/>
      <c r="E34" s="437"/>
      <c r="F34" s="410" t="str">
        <f t="shared" si="1"/>
        <v xml:space="preserve"> </v>
      </c>
      <c r="G34" s="282" t="s">
        <v>154</v>
      </c>
      <c r="L34" s="305"/>
      <c r="M34" s="324"/>
      <c r="N34" s="116"/>
      <c r="O34" s="116"/>
      <c r="P34" s="116"/>
      <c r="Q34" s="116"/>
      <c r="R34" s="116"/>
      <c r="S34" s="308"/>
      <c r="T34" s="308"/>
    </row>
    <row r="35" spans="1:20" s="134" customFormat="1" ht="20.25" customHeight="1" thickBot="1">
      <c r="E35" s="326"/>
      <c r="F35" s="326"/>
      <c r="G35" s="470" t="s">
        <v>149</v>
      </c>
      <c r="H35" s="470" t="s">
        <v>155</v>
      </c>
      <c r="L35" s="305"/>
      <c r="M35" s="324"/>
      <c r="N35" s="116"/>
      <c r="O35" s="116"/>
      <c r="P35" s="116"/>
      <c r="Q35" s="116"/>
      <c r="R35" s="116"/>
      <c r="S35" s="308"/>
      <c r="T35" s="308"/>
    </row>
    <row r="36" spans="1:20" s="134" customFormat="1" ht="15" customHeight="1">
      <c r="B36" s="327" t="s">
        <v>156</v>
      </c>
      <c r="F36" s="327"/>
      <c r="G36" s="469" t="s">
        <v>10</v>
      </c>
      <c r="H36" s="471">
        <v>4.7300000000000002E-2</v>
      </c>
      <c r="L36" s="305"/>
      <c r="M36" s="324"/>
      <c r="N36" s="116"/>
      <c r="O36" s="116"/>
      <c r="P36" s="116"/>
      <c r="Q36" s="116"/>
      <c r="R36" s="116"/>
      <c r="S36" s="308"/>
      <c r="T36" s="308"/>
    </row>
    <row r="37" spans="1:20" s="134" customFormat="1" ht="15" customHeight="1">
      <c r="E37" s="326"/>
      <c r="F37" s="326"/>
      <c r="G37" s="440" t="s">
        <v>11</v>
      </c>
      <c r="H37" s="472">
        <v>6.9900000000000004E-2</v>
      </c>
      <c r="I37" s="699" t="s">
        <v>157</v>
      </c>
      <c r="J37" s="699"/>
      <c r="L37" s="305"/>
      <c r="M37" s="324"/>
      <c r="N37" s="116"/>
      <c r="O37" s="116"/>
      <c r="P37" s="116"/>
      <c r="Q37" s="116"/>
      <c r="R37" s="137"/>
      <c r="S37" s="308"/>
      <c r="T37" s="308"/>
    </row>
    <row r="38" spans="1:20" s="134" customFormat="1" ht="15" customHeight="1">
      <c r="G38" s="440" t="s">
        <v>12</v>
      </c>
      <c r="H38" s="472">
        <v>9.9900000000000003E-2</v>
      </c>
      <c r="I38" s="699"/>
      <c r="J38" s="699"/>
      <c r="L38" s="305"/>
      <c r="M38" s="324"/>
      <c r="N38" s="116"/>
      <c r="O38" s="116"/>
      <c r="P38" s="116"/>
      <c r="Q38" s="116"/>
      <c r="R38" s="328"/>
      <c r="S38" s="308"/>
      <c r="T38" s="308"/>
    </row>
    <row r="39" spans="1:20" s="134" customFormat="1" ht="15" customHeight="1">
      <c r="B39" s="473" t="s">
        <v>158</v>
      </c>
      <c r="C39" s="700"/>
      <c r="D39" s="700"/>
      <c r="E39" s="700"/>
      <c r="F39" s="638"/>
      <c r="G39" s="329"/>
      <c r="H39" s="122"/>
      <c r="I39" s="699"/>
      <c r="J39" s="699"/>
      <c r="L39" s="305"/>
      <c r="M39" s="324"/>
      <c r="N39" s="116"/>
      <c r="O39" s="116"/>
      <c r="P39" s="116"/>
      <c r="Q39" s="116"/>
      <c r="R39" s="328"/>
      <c r="S39" s="308"/>
      <c r="T39" s="308"/>
    </row>
    <row r="40" spans="1:20" s="134" customFormat="1" ht="14.15" customHeight="1">
      <c r="D40" s="330"/>
      <c r="L40" s="305"/>
      <c r="M40" s="324"/>
      <c r="N40" s="116"/>
      <c r="O40" s="116"/>
      <c r="P40" s="116"/>
      <c r="Q40" s="116"/>
      <c r="R40" s="116"/>
      <c r="S40" s="116"/>
      <c r="T40" s="308"/>
    </row>
    <row r="41" spans="1:20" s="134" customFormat="1" ht="30" customHeight="1">
      <c r="B41" s="698" t="s">
        <v>159</v>
      </c>
      <c r="C41" s="698"/>
      <c r="D41" s="698"/>
      <c r="E41" s="698"/>
      <c r="F41" s="698"/>
      <c r="L41" s="305"/>
      <c r="M41" s="324"/>
      <c r="N41" s="116"/>
      <c r="O41" s="116"/>
      <c r="P41" s="116"/>
      <c r="Q41" s="116"/>
      <c r="R41" s="116"/>
      <c r="S41" s="308"/>
      <c r="T41" s="308"/>
    </row>
    <row r="42" spans="1:20" s="134" customFormat="1" ht="14.15" customHeight="1">
      <c r="D42" s="330"/>
      <c r="L42" s="305"/>
      <c r="M42" s="324"/>
      <c r="N42" s="116"/>
      <c r="O42" s="116"/>
      <c r="P42" s="116"/>
      <c r="Q42" s="116"/>
      <c r="R42" s="116"/>
      <c r="S42" s="116"/>
      <c r="T42" s="306"/>
    </row>
    <row r="43" spans="1:20" s="134" customFormat="1" ht="14.15" customHeight="1">
      <c r="L43" s="305"/>
      <c r="M43" s="116"/>
      <c r="N43" s="116"/>
      <c r="O43" s="116"/>
      <c r="P43" s="116"/>
      <c r="Q43" s="116"/>
      <c r="R43" s="116"/>
      <c r="S43" s="308"/>
      <c r="T43" s="308"/>
    </row>
    <row r="44" spans="1:20" s="134" customFormat="1" ht="24.5">
      <c r="B44" s="583" t="str">
        <f>IF(OR(E27&gt;64,E28&gt;64),"Esta cotización solo es valida para renovaciones"," ")</f>
        <v xml:space="preserve"> </v>
      </c>
      <c r="D44" s="331"/>
      <c r="L44" s="305"/>
      <c r="M44" s="116"/>
      <c r="N44" s="116"/>
      <c r="O44" s="116"/>
      <c r="P44" s="116"/>
      <c r="Q44" s="116"/>
      <c r="R44" s="116"/>
      <c r="S44" s="308"/>
      <c r="T44" s="116"/>
    </row>
    <row r="45" spans="1:20" s="134" customFormat="1">
      <c r="L45" s="305"/>
      <c r="M45" s="116"/>
      <c r="N45" s="116"/>
      <c r="O45" s="116"/>
      <c r="P45" s="116"/>
      <c r="Q45" s="116"/>
      <c r="R45" s="116"/>
      <c r="S45" s="116"/>
      <c r="T45" s="308"/>
    </row>
    <row r="46" spans="1:20" s="134" customFormat="1">
      <c r="L46" s="305"/>
      <c r="M46" s="116"/>
      <c r="N46" s="116"/>
      <c r="O46" s="116"/>
      <c r="P46" s="116"/>
      <c r="Q46" s="116"/>
      <c r="R46" s="332"/>
      <c r="S46" s="116"/>
      <c r="T46" s="308"/>
    </row>
    <row r="47" spans="1:20" s="134" customFormat="1">
      <c r="L47" s="305"/>
      <c r="M47" s="116"/>
      <c r="N47" s="116"/>
      <c r="O47" s="116"/>
      <c r="P47" s="116"/>
      <c r="Q47" s="116"/>
      <c r="R47" s="116"/>
      <c r="S47" s="116"/>
      <c r="T47" s="308"/>
    </row>
    <row r="48" spans="1:20" s="134" customFormat="1">
      <c r="L48" s="116"/>
      <c r="M48" s="116"/>
      <c r="N48" s="116"/>
      <c r="O48" s="116"/>
      <c r="P48" s="116"/>
      <c r="Q48" s="116"/>
      <c r="R48" s="116"/>
      <c r="S48" s="116"/>
      <c r="T48" s="116"/>
    </row>
    <row r="49" spans="12:20" s="134" customFormat="1" ht="10.5" customHeight="1">
      <c r="L49" s="305"/>
      <c r="M49" s="116"/>
      <c r="N49" s="116"/>
      <c r="O49" s="116"/>
      <c r="P49" s="116"/>
      <c r="Q49" s="116"/>
      <c r="R49" s="116"/>
      <c r="S49" s="116"/>
      <c r="T49" s="116"/>
    </row>
    <row r="50" spans="12:20" s="134" customFormat="1" ht="10.5" customHeight="1">
      <c r="L50" s="305"/>
      <c r="M50" s="116"/>
      <c r="N50" s="116"/>
      <c r="O50" s="116"/>
      <c r="P50" s="116"/>
      <c r="Q50" s="116"/>
      <c r="R50" s="333"/>
      <c r="S50" s="116"/>
      <c r="T50" s="116"/>
    </row>
    <row r="51" spans="12:20" s="134" customFormat="1" ht="12.75" customHeight="1">
      <c r="L51" s="305"/>
      <c r="M51" s="116"/>
      <c r="N51" s="116"/>
      <c r="O51" s="334"/>
      <c r="P51" s="116"/>
      <c r="Q51" s="116"/>
      <c r="R51" s="116"/>
      <c r="S51" s="137"/>
      <c r="T51" s="116"/>
    </row>
    <row r="52" spans="12:20" s="134" customFormat="1" ht="10.5" customHeight="1">
      <c r="L52" s="305"/>
      <c r="M52" s="116"/>
      <c r="N52" s="116"/>
      <c r="O52" s="116"/>
      <c r="P52" s="116"/>
      <c r="Q52" s="116"/>
      <c r="R52" s="116"/>
      <c r="S52" s="137"/>
      <c r="T52" s="116"/>
    </row>
    <row r="53" spans="12:20" s="134" customFormat="1" ht="12.75" customHeight="1">
      <c r="L53" s="305"/>
      <c r="M53" s="116"/>
      <c r="N53" s="116"/>
      <c r="O53" s="334"/>
      <c r="P53" s="116"/>
      <c r="Q53" s="116"/>
      <c r="R53" s="116"/>
      <c r="S53" s="137"/>
      <c r="T53" s="116"/>
    </row>
    <row r="54" spans="12:20" s="134" customFormat="1" ht="10.5" hidden="1" customHeight="1">
      <c r="L54" s="305"/>
      <c r="M54" s="116"/>
      <c r="N54" s="116"/>
      <c r="O54" s="116"/>
      <c r="P54" s="116"/>
      <c r="Q54" s="116"/>
      <c r="R54" s="116"/>
      <c r="S54" s="116"/>
      <c r="T54" s="116"/>
    </row>
    <row r="55" spans="12:20" s="134" customFormat="1" ht="10.5" hidden="1" customHeight="1">
      <c r="L55" s="305"/>
      <c r="M55" s="116"/>
      <c r="N55" s="116"/>
      <c r="O55" s="116"/>
      <c r="P55" s="116"/>
      <c r="Q55" s="116"/>
      <c r="R55" s="116"/>
      <c r="S55" s="116"/>
      <c r="T55" s="116"/>
    </row>
    <row r="56" spans="12:20" s="134" customFormat="1" ht="10.5" hidden="1" customHeight="1">
      <c r="L56" s="305"/>
      <c r="M56" s="116"/>
      <c r="N56" s="116"/>
      <c r="O56" s="116"/>
      <c r="P56" s="116"/>
      <c r="Q56" s="116"/>
      <c r="R56" s="116"/>
      <c r="S56" s="116"/>
      <c r="T56" s="116"/>
    </row>
    <row r="57" spans="12:20" s="134" customFormat="1" ht="10.5" hidden="1" customHeight="1">
      <c r="L57" s="305"/>
      <c r="M57" s="116"/>
      <c r="N57" s="116"/>
      <c r="O57" s="116"/>
      <c r="P57" s="116"/>
      <c r="Q57" s="116"/>
      <c r="R57" s="308"/>
      <c r="S57" s="116"/>
      <c r="T57" s="116"/>
    </row>
    <row r="58" spans="12:20" s="134" customFormat="1" ht="10.5" hidden="1" customHeight="1">
      <c r="L58" s="305"/>
      <c r="M58" s="116"/>
      <c r="N58" s="116"/>
      <c r="O58" s="116"/>
      <c r="P58" s="116"/>
      <c r="Q58" s="116"/>
      <c r="R58" s="116"/>
      <c r="S58" s="116"/>
      <c r="T58" s="116"/>
    </row>
    <row r="59" spans="12:20" s="134" customFormat="1" ht="10.5" hidden="1" customHeight="1">
      <c r="L59" s="305"/>
      <c r="M59" s="116"/>
      <c r="N59" s="116"/>
      <c r="O59" s="116"/>
      <c r="P59" s="116"/>
      <c r="Q59" s="116"/>
      <c r="R59" s="116"/>
      <c r="S59" s="116"/>
      <c r="T59" s="308"/>
    </row>
    <row r="60" spans="12:20" s="134" customFormat="1" ht="10.5" hidden="1" customHeight="1">
      <c r="L60" s="305"/>
      <c r="M60" s="116"/>
      <c r="N60" s="116"/>
      <c r="O60" s="116"/>
      <c r="P60" s="116"/>
      <c r="Q60" s="116"/>
      <c r="R60" s="116"/>
      <c r="S60" s="116"/>
      <c r="T60" s="308"/>
    </row>
    <row r="61" spans="12:20" s="134" customFormat="1" ht="10.5" hidden="1" customHeight="1">
      <c r="L61" s="305"/>
      <c r="M61" s="116"/>
      <c r="N61" s="116"/>
      <c r="O61" s="116"/>
      <c r="P61" s="116"/>
      <c r="Q61" s="116"/>
      <c r="R61" s="116"/>
      <c r="S61" s="116"/>
      <c r="T61" s="308"/>
    </row>
    <row r="62" spans="12:20" s="134" customFormat="1" ht="12.75" hidden="1" customHeight="1">
      <c r="L62" s="305"/>
      <c r="M62" s="116"/>
      <c r="N62" s="116"/>
      <c r="O62" s="334"/>
      <c r="P62" s="116"/>
      <c r="Q62" s="116"/>
      <c r="R62" s="116"/>
      <c r="S62" s="137"/>
      <c r="T62" s="308"/>
    </row>
    <row r="63" spans="12:20" s="134" customFormat="1" ht="10.5" hidden="1" customHeight="1">
      <c r="L63" s="305"/>
      <c r="M63" s="116"/>
      <c r="N63" s="116"/>
      <c r="O63" s="116"/>
      <c r="P63" s="116"/>
      <c r="Q63" s="116"/>
      <c r="R63" s="116"/>
      <c r="S63" s="116"/>
      <c r="T63" s="116"/>
    </row>
    <row r="64" spans="12:20" s="134" customFormat="1" ht="10.5" hidden="1" customHeight="1">
      <c r="L64" s="305"/>
      <c r="M64" s="116"/>
      <c r="N64" s="116"/>
      <c r="O64" s="116"/>
      <c r="P64" s="116"/>
      <c r="Q64" s="116"/>
      <c r="R64" s="116"/>
      <c r="S64" s="116"/>
      <c r="T64" s="116"/>
    </row>
    <row r="65" spans="1:22" s="134" customFormat="1" ht="10.5" hidden="1" customHeight="1">
      <c r="L65" s="305"/>
      <c r="M65" s="116"/>
      <c r="N65" s="116"/>
      <c r="O65" s="116"/>
      <c r="P65" s="116"/>
      <c r="Q65" s="116"/>
      <c r="R65" s="116"/>
      <c r="S65" s="116"/>
      <c r="T65" s="116"/>
    </row>
    <row r="66" spans="1:22" s="134" customFormat="1" ht="10.5" hidden="1" customHeight="1">
      <c r="L66" s="305"/>
      <c r="M66" s="116"/>
      <c r="N66" s="116"/>
      <c r="O66" s="116"/>
      <c r="P66" s="116"/>
      <c r="Q66" s="116"/>
      <c r="R66" s="116"/>
      <c r="S66" s="116"/>
      <c r="T66" s="116"/>
    </row>
    <row r="67" spans="1:22" s="134" customFormat="1" ht="10.5" hidden="1" customHeight="1">
      <c r="L67" s="305"/>
      <c r="M67" s="116"/>
      <c r="N67" s="116"/>
      <c r="O67" s="116"/>
      <c r="P67" s="116"/>
      <c r="Q67" s="116"/>
      <c r="R67" s="116"/>
      <c r="S67" s="116"/>
      <c r="T67" s="116"/>
    </row>
    <row r="68" spans="1:22" s="134" customFormat="1" ht="10.5" hidden="1" customHeight="1">
      <c r="L68" s="305"/>
      <c r="M68" s="116"/>
      <c r="N68" s="116"/>
      <c r="O68" s="116"/>
      <c r="P68" s="116"/>
      <c r="Q68" s="335"/>
      <c r="R68" s="314"/>
      <c r="S68" s="336"/>
      <c r="T68" s="116"/>
    </row>
    <row r="69" spans="1:22" s="134" customFormat="1" ht="10.5" hidden="1" customHeight="1">
      <c r="L69" s="305"/>
      <c r="M69" s="116"/>
      <c r="N69" s="116"/>
      <c r="O69" s="116"/>
      <c r="P69" s="116"/>
      <c r="Q69" s="335"/>
      <c r="R69" s="314"/>
      <c r="S69" s="336"/>
      <c r="T69" s="314"/>
    </row>
    <row r="70" spans="1:22" s="134" customFormat="1" ht="10.5" hidden="1" customHeight="1">
      <c r="L70" s="305"/>
      <c r="M70" s="116"/>
      <c r="N70" s="116"/>
      <c r="O70" s="116"/>
      <c r="P70" s="116"/>
      <c r="Q70" s="335"/>
      <c r="R70" s="314"/>
      <c r="S70" s="336"/>
      <c r="T70" s="314"/>
    </row>
    <row r="71" spans="1:22" s="134" customFormat="1" ht="10.5" hidden="1" customHeight="1">
      <c r="L71" s="305"/>
      <c r="M71" s="116"/>
      <c r="N71" s="116"/>
      <c r="O71" s="116"/>
      <c r="P71" s="116"/>
      <c r="Q71" s="335"/>
      <c r="R71" s="116"/>
      <c r="S71" s="336"/>
      <c r="T71" s="314"/>
    </row>
    <row r="72" spans="1:22" s="134" customFormat="1" ht="10.5" hidden="1" customHeight="1">
      <c r="L72" s="305"/>
      <c r="M72" s="116"/>
      <c r="N72" s="116"/>
      <c r="O72" s="116"/>
      <c r="P72" s="116"/>
      <c r="Q72" s="335"/>
      <c r="R72" s="116"/>
      <c r="S72" s="336"/>
      <c r="T72" s="314"/>
    </row>
    <row r="73" spans="1:22" s="134" customFormat="1" ht="10.5" hidden="1" customHeight="1">
      <c r="L73" s="305"/>
      <c r="M73" s="116"/>
      <c r="N73" s="116"/>
      <c r="O73" s="116"/>
      <c r="P73" s="116"/>
      <c r="Q73" s="116"/>
      <c r="R73" s="116"/>
      <c r="S73" s="116"/>
      <c r="T73" s="116"/>
    </row>
    <row r="74" spans="1:22" s="134" customFormat="1" ht="10.5" hidden="1" customHeight="1">
      <c r="L74" s="305"/>
      <c r="M74" s="116"/>
      <c r="N74" s="116"/>
      <c r="O74" s="116"/>
      <c r="P74" s="116"/>
      <c r="Q74" s="116"/>
      <c r="R74" s="116"/>
      <c r="S74" s="116"/>
      <c r="T74" s="116"/>
    </row>
    <row r="75" spans="1:22" ht="3.75" hidden="1" customHeight="1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308"/>
      <c r="M75" s="308"/>
      <c r="N75" s="308"/>
      <c r="O75" s="308"/>
      <c r="P75" s="308"/>
      <c r="Q75" s="308"/>
      <c r="R75" s="308"/>
      <c r="S75" s="308"/>
      <c r="T75" s="308"/>
    </row>
    <row r="76" spans="1:22" ht="10.5" hidden="1" customHeight="1">
      <c r="L76" s="308"/>
      <c r="M76" s="284"/>
      <c r="N76" s="204"/>
      <c r="O76" s="204"/>
      <c r="P76" s="204"/>
      <c r="Q76" s="204"/>
      <c r="R76" s="204"/>
      <c r="S76" s="204"/>
      <c r="T76" s="204"/>
    </row>
    <row r="77" spans="1:22" s="134" customFormat="1" ht="12.75" hidden="1" customHeight="1">
      <c r="A77" s="104"/>
      <c r="B77" s="104"/>
      <c r="C77" s="104"/>
      <c r="D77" s="104"/>
      <c r="E77" s="104"/>
      <c r="F77" s="104"/>
      <c r="G77" s="104"/>
      <c r="H77" s="104"/>
      <c r="I77" s="104"/>
      <c r="J77" s="104"/>
      <c r="K77" s="104"/>
      <c r="L77" s="308"/>
      <c r="M77" s="337"/>
      <c r="N77" s="338"/>
      <c r="O77" s="338"/>
      <c r="P77" s="338"/>
      <c r="Q77" s="204"/>
      <c r="R77" s="204"/>
      <c r="S77" s="204"/>
      <c r="T77" s="204"/>
    </row>
    <row r="78" spans="1:22" s="134" customFormat="1" ht="10.5" hidden="1" customHeight="1">
      <c r="L78" s="308"/>
      <c r="M78" s="204"/>
      <c r="N78" s="204"/>
      <c r="O78" s="204"/>
      <c r="P78" s="204"/>
      <c r="Q78" s="204"/>
      <c r="R78" s="204"/>
      <c r="S78" s="204"/>
      <c r="T78" s="204"/>
    </row>
    <row r="79" spans="1:22" s="134" customFormat="1" ht="10.5" hidden="1" customHeight="1">
      <c r="L79" s="137"/>
      <c r="M79" s="308"/>
      <c r="N79" s="308"/>
      <c r="O79" s="308"/>
      <c r="P79" s="308"/>
      <c r="Q79" s="339"/>
      <c r="R79" s="339"/>
      <c r="S79" s="339"/>
      <c r="T79" s="340"/>
      <c r="U79" s="330"/>
      <c r="V79" s="330"/>
    </row>
    <row r="80" spans="1:22" s="134" customFormat="1" ht="10.5" hidden="1" customHeight="1">
      <c r="L80" s="137"/>
      <c r="M80" s="308"/>
      <c r="N80" s="308"/>
      <c r="O80" s="308"/>
      <c r="P80" s="308"/>
      <c r="Q80" s="339"/>
      <c r="R80" s="339"/>
      <c r="S80" s="339"/>
      <c r="T80" s="340"/>
      <c r="U80" s="330"/>
      <c r="V80" s="330"/>
    </row>
    <row r="81" spans="1:23" s="134" customFormat="1" ht="10.5" hidden="1" customHeight="1">
      <c r="L81" s="137"/>
      <c r="M81" s="308"/>
      <c r="N81" s="308"/>
      <c r="O81" s="308"/>
      <c r="P81" s="308"/>
      <c r="Q81" s="339"/>
      <c r="R81" s="339"/>
      <c r="S81" s="339"/>
      <c r="T81" s="340"/>
      <c r="U81" s="330"/>
      <c r="V81" s="330"/>
    </row>
    <row r="82" spans="1:23" s="134" customFormat="1" ht="10.5" hidden="1" customHeight="1">
      <c r="L82" s="137"/>
      <c r="M82" s="308"/>
      <c r="N82" s="308"/>
      <c r="O82" s="308"/>
      <c r="P82" s="308"/>
      <c r="Q82" s="339"/>
      <c r="R82" s="339"/>
      <c r="S82" s="339"/>
      <c r="T82" s="340"/>
      <c r="U82" s="330"/>
      <c r="V82" s="330"/>
    </row>
    <row r="83" spans="1:23" s="134" customFormat="1" ht="10.5" hidden="1" customHeight="1">
      <c r="L83" s="137"/>
      <c r="M83" s="308"/>
      <c r="N83" s="308"/>
      <c r="O83" s="308"/>
      <c r="P83" s="308"/>
      <c r="Q83" s="339"/>
      <c r="R83" s="339"/>
      <c r="S83" s="339"/>
      <c r="T83" s="340"/>
      <c r="U83" s="330"/>
      <c r="V83" s="330"/>
      <c r="W83" s="331"/>
    </row>
    <row r="84" spans="1:23" s="134" customFormat="1" ht="10.5" hidden="1" customHeight="1">
      <c r="L84" s="137"/>
      <c r="M84" s="308"/>
      <c r="N84" s="308"/>
      <c r="O84" s="308"/>
      <c r="P84" s="308"/>
      <c r="Q84" s="339"/>
      <c r="R84" s="339"/>
      <c r="S84" s="339"/>
      <c r="T84" s="340"/>
      <c r="U84" s="330"/>
      <c r="V84" s="330"/>
      <c r="W84" s="341"/>
    </row>
    <row r="85" spans="1:23" s="134" customFormat="1" ht="10.5" hidden="1" customHeight="1">
      <c r="L85" s="137"/>
      <c r="M85" s="308"/>
      <c r="N85" s="308"/>
      <c r="O85" s="308"/>
      <c r="P85" s="308"/>
      <c r="Q85" s="339"/>
      <c r="R85" s="339"/>
      <c r="S85" s="339"/>
      <c r="T85" s="340"/>
      <c r="U85" s="331"/>
      <c r="V85" s="330"/>
    </row>
    <row r="86" spans="1:23" s="134" customFormat="1" ht="10.5" hidden="1" customHeight="1">
      <c r="L86" s="137"/>
      <c r="M86" s="308"/>
      <c r="N86" s="308"/>
      <c r="O86" s="308"/>
      <c r="P86" s="308"/>
      <c r="Q86" s="339"/>
      <c r="R86" s="339"/>
      <c r="S86" s="339"/>
      <c r="T86" s="340"/>
      <c r="U86" s="331"/>
      <c r="V86" s="330"/>
    </row>
    <row r="87" spans="1:23" s="134" customFormat="1" ht="10.5" hidden="1" customHeight="1">
      <c r="L87" s="137"/>
      <c r="M87" s="308"/>
      <c r="N87" s="308"/>
      <c r="O87" s="308"/>
      <c r="P87" s="308"/>
      <c r="Q87" s="339"/>
      <c r="R87" s="339"/>
      <c r="S87" s="339"/>
      <c r="T87" s="340"/>
      <c r="U87" s="331"/>
      <c r="V87" s="330"/>
    </row>
    <row r="88" spans="1:23" s="134" customFormat="1" ht="12.75" hidden="1" customHeight="1">
      <c r="L88" s="137"/>
      <c r="M88" s="342"/>
      <c r="N88" s="343"/>
      <c r="O88" s="344"/>
      <c r="P88" s="338"/>
      <c r="Q88" s="308"/>
      <c r="R88" s="345"/>
      <c r="S88" s="308"/>
      <c r="T88" s="346"/>
      <c r="U88" s="331"/>
      <c r="V88" s="330"/>
    </row>
    <row r="89" spans="1:23" s="134" customFormat="1" ht="12.75" hidden="1" customHeight="1">
      <c r="L89" s="137"/>
      <c r="M89" s="347"/>
      <c r="N89" s="343"/>
      <c r="O89" s="310"/>
      <c r="P89" s="338"/>
      <c r="Q89" s="308"/>
      <c r="R89" s="116"/>
      <c r="S89" s="116"/>
      <c r="T89" s="348"/>
      <c r="U89" s="331"/>
      <c r="V89" s="349"/>
    </row>
    <row r="90" spans="1:23" s="134" customFormat="1" ht="12.75" hidden="1" customHeight="1">
      <c r="L90" s="137"/>
      <c r="M90" s="347"/>
      <c r="N90" s="343"/>
      <c r="O90" s="310"/>
      <c r="P90" s="338"/>
      <c r="Q90" s="116"/>
      <c r="R90" s="116"/>
      <c r="S90" s="116"/>
      <c r="T90" s="310"/>
      <c r="U90" s="341"/>
      <c r="V90" s="350"/>
    </row>
    <row r="91" spans="1:23" s="134" customFormat="1" ht="10.5" hidden="1" customHeight="1">
      <c r="L91" s="137"/>
      <c r="M91" s="308"/>
      <c r="N91" s="308"/>
      <c r="O91" s="308"/>
      <c r="P91" s="308"/>
      <c r="Q91" s="116"/>
      <c r="R91" s="116"/>
      <c r="S91" s="116"/>
      <c r="T91" s="340"/>
      <c r="V91" s="330"/>
    </row>
    <row r="92" spans="1:23" s="134" customFormat="1" ht="12.75" hidden="1" customHeight="1">
      <c r="L92" s="137"/>
      <c r="M92" s="337"/>
      <c r="N92" s="338"/>
      <c r="O92" s="204"/>
      <c r="P92" s="116"/>
      <c r="Q92" s="116"/>
      <c r="R92" s="116"/>
      <c r="S92" s="116"/>
      <c r="T92" s="310"/>
      <c r="V92" s="350"/>
    </row>
    <row r="93" spans="1:23" ht="12.75" hidden="1" customHeight="1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7"/>
      <c r="M93" s="308"/>
      <c r="N93" s="308"/>
      <c r="O93" s="308"/>
      <c r="P93" s="308"/>
      <c r="Q93" s="116"/>
      <c r="R93" s="337"/>
      <c r="S93" s="337"/>
      <c r="T93" s="351"/>
      <c r="V93" s="352"/>
    </row>
    <row r="94" spans="1:23" ht="12.75" hidden="1" customHeight="1">
      <c r="L94" s="137"/>
      <c r="M94" s="204"/>
      <c r="N94" s="116"/>
      <c r="O94" s="338"/>
      <c r="P94" s="338"/>
      <c r="Q94" s="308"/>
      <c r="R94" s="308"/>
      <c r="S94" s="308"/>
      <c r="T94" s="308"/>
    </row>
    <row r="95" spans="1:23" ht="3.75" hidden="1" customHeight="1">
      <c r="L95" s="137"/>
      <c r="M95" s="204"/>
      <c r="N95" s="116"/>
      <c r="O95" s="116"/>
      <c r="P95" s="116"/>
      <c r="Q95" s="308"/>
      <c r="R95" s="308"/>
      <c r="S95" s="308"/>
      <c r="T95" s="308"/>
    </row>
    <row r="96" spans="1:23" ht="10.5" hidden="1" customHeight="1">
      <c r="L96" s="137"/>
      <c r="M96" s="353"/>
      <c r="N96" s="353"/>
      <c r="O96" s="353"/>
      <c r="P96" s="353"/>
      <c r="Q96" s="116"/>
      <c r="R96" s="308"/>
      <c r="S96" s="308"/>
      <c r="T96" s="308"/>
    </row>
    <row r="97" spans="12:20" ht="10.5" hidden="1" customHeight="1">
      <c r="L97" s="137"/>
      <c r="M97" s="204"/>
      <c r="N97" s="309"/>
      <c r="O97" s="309"/>
      <c r="P97" s="309"/>
      <c r="Q97" s="116"/>
      <c r="R97" s="308"/>
      <c r="S97" s="308"/>
      <c r="T97" s="308"/>
    </row>
    <row r="98" spans="12:20" ht="10.5" hidden="1" customHeight="1">
      <c r="L98" s="137"/>
      <c r="M98" s="204"/>
      <c r="N98" s="309"/>
      <c r="O98" s="309"/>
      <c r="P98" s="309"/>
      <c r="Q98" s="116"/>
      <c r="R98" s="308"/>
      <c r="S98" s="308"/>
      <c r="T98" s="308"/>
    </row>
    <row r="99" spans="12:20" ht="10.5" hidden="1" customHeight="1">
      <c r="L99" s="137"/>
      <c r="M99" s="354"/>
      <c r="N99" s="309"/>
      <c r="O99" s="309"/>
      <c r="P99" s="309"/>
      <c r="Q99" s="116"/>
      <c r="R99" s="308"/>
      <c r="S99" s="308"/>
      <c r="T99" s="308"/>
    </row>
    <row r="100" spans="12:20" ht="10.5" hidden="1" customHeight="1">
      <c r="L100" s="137"/>
      <c r="M100" s="354"/>
      <c r="N100" s="309"/>
      <c r="O100" s="309"/>
      <c r="P100" s="309"/>
      <c r="Q100" s="355"/>
      <c r="R100" s="308"/>
      <c r="S100" s="308"/>
      <c r="T100" s="308"/>
    </row>
    <row r="101" spans="12:20" ht="3.75" hidden="1" customHeight="1">
      <c r="L101" s="308"/>
      <c r="M101" s="308"/>
      <c r="N101" s="308"/>
      <c r="O101" s="308"/>
      <c r="P101" s="308"/>
      <c r="Q101" s="308"/>
      <c r="R101" s="308"/>
      <c r="S101" s="308"/>
      <c r="T101" s="308"/>
    </row>
    <row r="102" spans="12:20" ht="12.75" hidden="1" customHeight="1">
      <c r="L102" s="308"/>
      <c r="M102" s="356"/>
      <c r="N102" s="356"/>
      <c r="O102" s="356"/>
      <c r="P102" s="356"/>
      <c r="Q102" s="356"/>
      <c r="R102" s="356"/>
      <c r="S102" s="356"/>
      <c r="T102" s="356"/>
    </row>
    <row r="103" spans="12:20" ht="10.5" hidden="1" customHeight="1">
      <c r="L103" s="308"/>
      <c r="M103" s="356"/>
      <c r="N103" s="356"/>
      <c r="O103" s="356"/>
      <c r="P103" s="356"/>
      <c r="Q103" s="356"/>
      <c r="R103" s="356"/>
      <c r="S103" s="356"/>
      <c r="T103" s="356"/>
    </row>
    <row r="104" spans="12:20" ht="10.5" hidden="1" customHeight="1">
      <c r="L104" s="308"/>
      <c r="M104" s="356"/>
      <c r="N104" s="356"/>
      <c r="O104" s="356"/>
      <c r="P104" s="356"/>
      <c r="Q104" s="356"/>
      <c r="R104" s="356"/>
      <c r="S104" s="356"/>
      <c r="T104" s="356"/>
    </row>
    <row r="105" spans="12:20" ht="10.5" hidden="1" customHeight="1">
      <c r="L105" s="308"/>
      <c r="M105" s="308"/>
      <c r="N105" s="308"/>
      <c r="O105" s="308"/>
      <c r="P105" s="308"/>
      <c r="Q105" s="308"/>
      <c r="R105" s="308"/>
      <c r="S105" s="308"/>
      <c r="T105" s="308"/>
    </row>
    <row r="106" spans="12:20" ht="10.5" hidden="1" customHeight="1">
      <c r="L106" s="308"/>
      <c r="M106" s="308"/>
      <c r="N106" s="308"/>
      <c r="O106" s="308"/>
      <c r="P106" s="308"/>
      <c r="Q106" s="308"/>
      <c r="R106" s="308"/>
      <c r="S106" s="308"/>
      <c r="T106" s="308"/>
    </row>
    <row r="107" spans="12:20" ht="10.5" hidden="1" customHeight="1">
      <c r="L107" s="308"/>
      <c r="M107" s="308"/>
      <c r="N107" s="308"/>
      <c r="O107" s="308"/>
      <c r="P107" s="308"/>
      <c r="Q107" s="308"/>
      <c r="R107" s="308"/>
      <c r="S107" s="308"/>
      <c r="T107" s="308"/>
    </row>
    <row r="108" spans="12:20" ht="10.5" hidden="1" customHeight="1">
      <c r="L108" s="308"/>
      <c r="M108" s="308"/>
      <c r="N108" s="308"/>
      <c r="O108" s="308"/>
      <c r="P108" s="308"/>
      <c r="Q108" s="308"/>
      <c r="R108" s="308"/>
      <c r="S108" s="308"/>
      <c r="T108" s="308"/>
    </row>
    <row r="109" spans="12:20" ht="10.5" hidden="1" customHeight="1">
      <c r="L109" s="308"/>
      <c r="M109" s="308"/>
      <c r="N109" s="308"/>
      <c r="O109" s="308"/>
      <c r="P109" s="308"/>
      <c r="Q109" s="308"/>
      <c r="R109" s="308"/>
      <c r="S109" s="308"/>
      <c r="T109" s="308"/>
    </row>
    <row r="110" spans="12:20" ht="10.5" hidden="1" customHeight="1">
      <c r="L110" s="308"/>
      <c r="M110" s="308"/>
      <c r="N110" s="308"/>
      <c r="O110" s="308"/>
      <c r="P110" s="308"/>
      <c r="Q110" s="308"/>
      <c r="R110" s="308"/>
      <c r="S110" s="308"/>
      <c r="T110" s="308"/>
    </row>
    <row r="111" spans="12:20" ht="10.5" hidden="1" customHeight="1">
      <c r="L111" s="308"/>
      <c r="M111" s="308"/>
      <c r="N111" s="308"/>
      <c r="O111" s="308"/>
      <c r="P111" s="308"/>
      <c r="Q111" s="308"/>
      <c r="R111" s="308"/>
      <c r="S111" s="308"/>
      <c r="T111" s="308"/>
    </row>
    <row r="112" spans="12:20" ht="10.5" hidden="1" customHeight="1">
      <c r="L112" s="308"/>
      <c r="M112" s="308"/>
      <c r="N112" s="308"/>
      <c r="O112" s="308"/>
      <c r="P112" s="308"/>
      <c r="Q112" s="308"/>
      <c r="R112" s="308"/>
      <c r="S112" s="308"/>
      <c r="T112" s="308"/>
    </row>
    <row r="113" spans="12:20" ht="10.5" hidden="1" customHeight="1">
      <c r="L113" s="308"/>
      <c r="M113" s="308"/>
      <c r="N113" s="308"/>
      <c r="O113" s="308"/>
      <c r="P113" s="308"/>
      <c r="Q113" s="308"/>
      <c r="R113" s="308"/>
      <c r="S113" s="308"/>
      <c r="T113" s="308"/>
    </row>
    <row r="114" spans="12:20" ht="10.5" hidden="1" customHeight="1">
      <c r="L114" s="308"/>
      <c r="M114" s="308"/>
      <c r="N114" s="308"/>
      <c r="O114" s="308"/>
      <c r="P114" s="308"/>
      <c r="Q114" s="308"/>
      <c r="R114" s="308"/>
      <c r="S114" s="308"/>
      <c r="T114" s="308"/>
    </row>
    <row r="115" spans="12:20" ht="10.5" hidden="1" customHeight="1">
      <c r="L115" s="308"/>
      <c r="M115" s="308"/>
      <c r="N115" s="308"/>
      <c r="O115" s="308"/>
      <c r="P115" s="308"/>
      <c r="Q115" s="308"/>
      <c r="R115" s="308"/>
      <c r="S115" s="308"/>
      <c r="T115" s="308"/>
    </row>
    <row r="116" spans="12:20" ht="10.5" hidden="1" customHeight="1">
      <c r="L116" s="308"/>
      <c r="M116" s="308"/>
      <c r="N116" s="308"/>
      <c r="O116" s="308"/>
      <c r="P116" s="308"/>
      <c r="Q116" s="308"/>
      <c r="R116" s="308"/>
      <c r="S116" s="308"/>
      <c r="T116" s="308"/>
    </row>
    <row r="117" spans="12:20" ht="10.5" hidden="1" customHeight="1">
      <c r="L117" s="308"/>
      <c r="M117" s="308"/>
      <c r="N117" s="308"/>
      <c r="O117" s="308"/>
      <c r="P117" s="308"/>
      <c r="Q117" s="308"/>
      <c r="R117" s="308"/>
      <c r="S117" s="308"/>
      <c r="T117" s="308"/>
    </row>
    <row r="118" spans="12:20" ht="10.5" hidden="1" customHeight="1">
      <c r="L118" s="308"/>
      <c r="M118" s="308"/>
      <c r="N118" s="308"/>
      <c r="O118" s="308"/>
      <c r="P118" s="308"/>
      <c r="Q118" s="308"/>
      <c r="R118" s="308"/>
      <c r="S118" s="308"/>
      <c r="T118" s="308"/>
    </row>
    <row r="119" spans="12:20" ht="10.5" hidden="1" customHeight="1">
      <c r="L119" s="308"/>
      <c r="M119" s="308"/>
      <c r="N119" s="308"/>
      <c r="O119" s="308"/>
      <c r="P119" s="308"/>
      <c r="Q119" s="308"/>
      <c r="R119" s="308"/>
      <c r="S119" s="308"/>
      <c r="T119" s="308"/>
    </row>
    <row r="120" spans="12:20" ht="10.5" hidden="1" customHeight="1">
      <c r="L120" s="308"/>
      <c r="M120" s="308"/>
      <c r="N120" s="308"/>
      <c r="O120" s="308"/>
      <c r="P120" s="308"/>
      <c r="Q120" s="308"/>
      <c r="R120" s="308"/>
      <c r="S120" s="308"/>
      <c r="T120" s="308"/>
    </row>
    <row r="121" spans="12:20" ht="10.5" hidden="1" customHeight="1">
      <c r="L121" s="308"/>
      <c r="M121" s="308"/>
      <c r="N121" s="308"/>
      <c r="O121" s="308"/>
      <c r="P121" s="308"/>
      <c r="Q121" s="308"/>
      <c r="R121" s="308"/>
      <c r="S121" s="308"/>
      <c r="T121" s="308"/>
    </row>
    <row r="122" spans="12:20" ht="10.5" hidden="1" customHeight="1">
      <c r="L122" s="308"/>
      <c r="M122" s="308"/>
      <c r="N122" s="308"/>
      <c r="O122" s="308"/>
      <c r="P122" s="308"/>
      <c r="Q122" s="308"/>
      <c r="R122" s="308"/>
      <c r="S122" s="308"/>
      <c r="T122" s="308"/>
    </row>
    <row r="123" spans="12:20" ht="10.5" hidden="1" customHeight="1">
      <c r="L123" s="308"/>
      <c r="M123" s="308"/>
      <c r="N123" s="308"/>
      <c r="O123" s="308"/>
      <c r="P123" s="308"/>
      <c r="Q123" s="308"/>
      <c r="R123" s="308"/>
      <c r="S123" s="308"/>
      <c r="T123" s="308"/>
    </row>
    <row r="124" spans="12:20" ht="10.5" hidden="1" customHeight="1">
      <c r="L124" s="308"/>
      <c r="M124" s="308"/>
      <c r="N124" s="308"/>
      <c r="O124" s="308"/>
      <c r="P124" s="308"/>
      <c r="Q124" s="308"/>
      <c r="R124" s="308"/>
      <c r="S124" s="308"/>
      <c r="T124" s="308"/>
    </row>
    <row r="125" spans="12:20" ht="10.5" hidden="1" customHeight="1">
      <c r="L125" s="308"/>
      <c r="M125" s="308"/>
      <c r="N125" s="308"/>
      <c r="O125" s="308"/>
      <c r="P125" s="308"/>
      <c r="Q125" s="308"/>
      <c r="R125" s="308"/>
      <c r="S125" s="308"/>
      <c r="T125" s="308"/>
    </row>
    <row r="126" spans="12:20" ht="10.5" hidden="1" customHeight="1">
      <c r="L126" s="308"/>
      <c r="M126" s="308"/>
      <c r="N126" s="308"/>
      <c r="O126" s="308"/>
      <c r="P126" s="308"/>
      <c r="Q126" s="308"/>
      <c r="R126" s="308"/>
      <c r="S126" s="308"/>
      <c r="T126" s="308"/>
    </row>
    <row r="127" spans="12:20" ht="10.5" hidden="1" customHeight="1">
      <c r="L127" s="308"/>
      <c r="M127" s="308"/>
      <c r="N127" s="308"/>
      <c r="O127" s="308"/>
      <c r="P127" s="308"/>
      <c r="Q127" s="308"/>
      <c r="R127" s="308"/>
      <c r="S127" s="308"/>
      <c r="T127" s="308"/>
    </row>
    <row r="128" spans="12:20" ht="10.5" hidden="1" customHeight="1">
      <c r="L128" s="308"/>
      <c r="M128" s="308"/>
      <c r="N128" s="308"/>
      <c r="O128" s="308"/>
      <c r="P128" s="308"/>
      <c r="Q128" s="308"/>
      <c r="R128" s="308"/>
      <c r="S128" s="308"/>
      <c r="T128" s="308"/>
    </row>
    <row r="129" spans="12:20" ht="10.5" hidden="1" customHeight="1">
      <c r="L129" s="308"/>
      <c r="M129" s="308"/>
      <c r="N129" s="308"/>
      <c r="O129" s="308"/>
      <c r="P129" s="308"/>
      <c r="Q129" s="308"/>
      <c r="R129" s="308"/>
      <c r="S129" s="308"/>
      <c r="T129" s="308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105" customFormat="1" ht="11.25" hidden="1" customHeight="1" thickTop="1">
      <c r="A215" s="277" t="s">
        <v>102</v>
      </c>
      <c r="B215" s="278" t="s">
        <v>103</v>
      </c>
      <c r="C215" s="357"/>
      <c r="D215" s="357"/>
      <c r="E215" s="357"/>
      <c r="F215" s="357"/>
      <c r="G215" s="357"/>
      <c r="H215" s="357"/>
      <c r="I215" s="357"/>
      <c r="J215" s="357"/>
      <c r="K215" s="357"/>
      <c r="L215" s="358"/>
      <c r="M215" s="116"/>
      <c r="N215" s="116"/>
    </row>
    <row r="216" spans="1:14" s="105" customFormat="1" ht="10.5" hidden="1" customHeight="1">
      <c r="A216" s="359">
        <v>1</v>
      </c>
      <c r="B216" s="360" t="s">
        <v>160</v>
      </c>
      <c r="C216" s="2"/>
      <c r="D216" s="2"/>
      <c r="E216" s="2"/>
      <c r="F216" s="2"/>
      <c r="G216" s="2"/>
      <c r="H216" s="2"/>
      <c r="I216" s="2"/>
      <c r="J216" s="2"/>
      <c r="K216" s="2"/>
      <c r="L216" s="127"/>
      <c r="M216" s="116"/>
      <c r="N216" s="116"/>
    </row>
    <row r="217" spans="1:14" s="105" customFormat="1" ht="10.5" hidden="1" customHeight="1">
      <c r="A217" s="279">
        <v>2</v>
      </c>
      <c r="B217" s="360" t="s">
        <v>161</v>
      </c>
      <c r="C217" s="2"/>
      <c r="D217" s="2"/>
      <c r="E217" s="2"/>
      <c r="F217" s="2"/>
      <c r="G217" s="2"/>
      <c r="H217" s="2"/>
      <c r="I217" s="2"/>
      <c r="J217" s="2"/>
      <c r="K217" s="2"/>
      <c r="L217" s="127"/>
      <c r="M217" s="116"/>
      <c r="N217" s="116"/>
    </row>
    <row r="218" spans="1:14" s="105" customFormat="1" ht="10.5" hidden="1" customHeight="1">
      <c r="A218" s="279">
        <v>3</v>
      </c>
      <c r="B218" s="360" t="s">
        <v>162</v>
      </c>
      <c r="C218" s="2"/>
      <c r="D218" s="2"/>
      <c r="E218" s="2"/>
      <c r="F218" s="2"/>
      <c r="G218" s="2"/>
      <c r="H218" s="2"/>
      <c r="I218" s="2"/>
      <c r="J218" s="2"/>
      <c r="K218" s="2"/>
      <c r="L218" s="127"/>
      <c r="M218" s="116"/>
      <c r="N218" s="116"/>
    </row>
    <row r="219" spans="1:14" s="105" customFormat="1" ht="10.5" hidden="1" customHeight="1">
      <c r="A219" s="279">
        <v>4</v>
      </c>
      <c r="B219" s="360" t="s">
        <v>163</v>
      </c>
      <c r="C219" s="2"/>
      <c r="D219" s="2"/>
      <c r="E219" s="2"/>
      <c r="F219" s="2"/>
      <c r="G219" s="2"/>
      <c r="H219" s="2"/>
      <c r="I219" s="2"/>
      <c r="J219" s="2"/>
      <c r="K219" s="2"/>
      <c r="L219" s="127"/>
      <c r="M219" s="116"/>
      <c r="N219" s="116"/>
    </row>
    <row r="220" spans="1:14" s="105" customFormat="1" ht="10.5" hidden="1" customHeight="1">
      <c r="A220" s="279">
        <v>5</v>
      </c>
      <c r="B220" s="361" t="s">
        <v>164</v>
      </c>
      <c r="C220" s="2"/>
      <c r="D220" s="2"/>
      <c r="E220" s="2"/>
      <c r="F220" s="2"/>
      <c r="G220" s="2"/>
      <c r="H220" s="2"/>
      <c r="I220" s="2"/>
      <c r="J220" s="2"/>
      <c r="K220" s="2"/>
      <c r="L220" s="127"/>
      <c r="M220" s="116"/>
      <c r="N220" s="116"/>
    </row>
    <row r="221" spans="1:14" s="105" customFormat="1" ht="11.25" hidden="1" customHeight="1" thickBot="1">
      <c r="A221" s="362">
        <v>6</v>
      </c>
      <c r="B221" s="363" t="s">
        <v>109</v>
      </c>
      <c r="C221" s="364"/>
      <c r="D221" s="364"/>
      <c r="E221" s="364"/>
      <c r="F221" s="364"/>
      <c r="G221" s="364"/>
      <c r="H221" s="364"/>
      <c r="I221" s="364"/>
      <c r="J221" s="364"/>
      <c r="K221" s="364"/>
      <c r="L221" s="365"/>
      <c r="M221" s="116"/>
      <c r="N221" s="116"/>
    </row>
    <row r="222" spans="1:14" s="105" customFormat="1" ht="12" hidden="1" customHeight="1" thickTop="1" thickBo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</row>
    <row r="223" spans="1:14" s="105" customFormat="1" ht="14.25" hidden="1" customHeight="1" thickTop="1" thickBot="1">
      <c r="A223"/>
      <c r="B223" s="3"/>
      <c r="C223" s="366" t="s">
        <v>0</v>
      </c>
      <c r="D223" s="3"/>
      <c r="E223" s="277" t="s">
        <v>1</v>
      </c>
      <c r="F223" s="367"/>
      <c r="G223" s="3"/>
      <c r="H223" s="368" t="s">
        <v>15</v>
      </c>
      <c r="I223" s="369"/>
      <c r="J223" s="3"/>
      <c r="K223" s="142" t="s">
        <v>165</v>
      </c>
      <c r="L223" s="3"/>
    </row>
    <row r="224" spans="1:14" s="105" customFormat="1" ht="13.5" hidden="1" customHeight="1" thickTop="1">
      <c r="A224"/>
      <c r="B224" s="3"/>
      <c r="C224" s="370">
        <v>3500</v>
      </c>
      <c r="D224" s="3"/>
      <c r="E224" s="371"/>
      <c r="F224" s="367"/>
      <c r="G224" s="3"/>
      <c r="H224" s="372"/>
      <c r="I224" s="373"/>
      <c r="J224" s="3"/>
      <c r="K224" s="142"/>
      <c r="L224" s="3"/>
    </row>
    <row r="225" spans="1:12" s="105" customFormat="1" ht="12.75" hidden="1" customHeight="1">
      <c r="A225"/>
      <c r="B225" s="3"/>
      <c r="C225" s="280">
        <v>4000</v>
      </c>
      <c r="D225" s="3"/>
      <c r="E225" s="146"/>
      <c r="F225" s="374"/>
      <c r="G225" s="3"/>
      <c r="H225" s="375" t="s">
        <v>40</v>
      </c>
      <c r="I225" s="376" t="str">
        <f>IF(H27=0,"NO APLICA","ANUAL")</f>
        <v>NO APLICA</v>
      </c>
      <c r="J225" s="3"/>
      <c r="K225" s="142">
        <f>IF(C21="ANUAL",1,IF(C21="SEMESTRAL",2,IF(C21="TRIMESTRAL",4,IF(C21="MENSUAL",12,1))))</f>
        <v>1</v>
      </c>
      <c r="L225" s="3"/>
    </row>
    <row r="226" spans="1:12" s="105" customFormat="1" ht="12.75" hidden="1" customHeight="1">
      <c r="A226"/>
      <c r="B226" s="3"/>
      <c r="C226" s="280">
        <v>4500</v>
      </c>
      <c r="D226" s="3"/>
      <c r="E226" s="146"/>
      <c r="F226" s="374"/>
      <c r="G226" s="3"/>
      <c r="H226" s="376" t="s">
        <v>69</v>
      </c>
      <c r="I226" s="376" t="str">
        <f>IF(H28=0,"NO APLICA","SEMESTRAL")</f>
        <v>NO APLICA</v>
      </c>
      <c r="J226" s="3"/>
      <c r="K226" s="3"/>
      <c r="L226" s="3"/>
    </row>
    <row r="227" spans="1:12" s="105" customFormat="1" ht="12.75" hidden="1" customHeight="1">
      <c r="A227"/>
      <c r="B227" s="3"/>
      <c r="C227" s="280">
        <v>5500</v>
      </c>
      <c r="D227" s="3"/>
      <c r="E227" s="146">
        <v>0.1</v>
      </c>
      <c r="F227" s="374"/>
      <c r="G227" s="3"/>
      <c r="H227" s="376" t="s">
        <v>166</v>
      </c>
      <c r="I227" s="376" t="str">
        <f>IF(H29=0,"NO APLICA","TRIMESTRAL")</f>
        <v>NO APLICA</v>
      </c>
      <c r="J227" s="3"/>
      <c r="K227" s="3" t="s">
        <v>92</v>
      </c>
      <c r="L227" s="3"/>
    </row>
    <row r="228" spans="1:12" s="105" customFormat="1" ht="13.5" hidden="1" customHeight="1" thickBot="1">
      <c r="A228"/>
      <c r="B228" s="3"/>
      <c r="C228" s="280">
        <v>6000</v>
      </c>
      <c r="D228" s="3"/>
      <c r="E228" s="146">
        <v>0.15</v>
      </c>
      <c r="F228" s="374"/>
      <c r="G228" s="3"/>
      <c r="H228" s="376" t="s">
        <v>167</v>
      </c>
      <c r="I228" s="376" t="str">
        <f>IF(H30=0,"NO APLICA","MENSUAL")</f>
        <v>NO APLICA</v>
      </c>
      <c r="J228" s="3"/>
      <c r="K228" s="377">
        <v>0.11</v>
      </c>
      <c r="L228" s="3"/>
    </row>
    <row r="229" spans="1:12" s="105" customFormat="1" ht="14.25" hidden="1" customHeight="1" thickTop="1" thickBot="1">
      <c r="A229"/>
      <c r="B229" s="3"/>
      <c r="C229" s="280">
        <v>8000</v>
      </c>
      <c r="D229" s="3"/>
      <c r="E229" s="378">
        <v>0.2</v>
      </c>
      <c r="F229" s="374"/>
      <c r="G229" s="3"/>
      <c r="H229" s="368" t="s">
        <v>168</v>
      </c>
      <c r="I229" s="369"/>
      <c r="J229" s="3"/>
      <c r="K229" s="377">
        <v>0.16</v>
      </c>
      <c r="L229" s="3"/>
    </row>
    <row r="230" spans="1:12" s="105" customFormat="1" ht="13.5" hidden="1" customHeight="1" thickTop="1">
      <c r="A230"/>
      <c r="B230" s="3"/>
      <c r="C230" s="588">
        <v>12000</v>
      </c>
      <c r="D230" s="3"/>
      <c r="E230" s="3"/>
      <c r="F230" s="3"/>
      <c r="G230" s="3"/>
      <c r="H230" s="375" t="s">
        <v>69</v>
      </c>
      <c r="I230" s="375" t="s">
        <v>169</v>
      </c>
      <c r="J230" s="3"/>
      <c r="K230" s="3"/>
      <c r="L230" s="3"/>
    </row>
    <row r="231" spans="1:12" s="105" customFormat="1" ht="12.75" hidden="1" customHeight="1">
      <c r="A231"/>
      <c r="B231" s="3"/>
      <c r="C231" s="588">
        <v>15000</v>
      </c>
      <c r="D231" s="3"/>
      <c r="E231" s="3"/>
      <c r="F231" s="3"/>
      <c r="G231" s="3"/>
      <c r="H231" s="376" t="s">
        <v>170</v>
      </c>
      <c r="I231" s="376" t="s">
        <v>141</v>
      </c>
      <c r="J231" s="3"/>
      <c r="K231" s="3"/>
      <c r="L231" s="3"/>
    </row>
    <row r="232" spans="1:12" s="105" customFormat="1" ht="13.5" hidden="1" customHeight="1" thickBot="1">
      <c r="A232"/>
      <c r="B232" s="3"/>
      <c r="C232" s="588">
        <v>25000</v>
      </c>
      <c r="D232" s="3"/>
      <c r="G232" s="3"/>
      <c r="H232" s="379"/>
      <c r="I232" s="379"/>
      <c r="J232" s="3"/>
      <c r="K232" s="3"/>
      <c r="L232" s="3"/>
    </row>
    <row r="233" spans="1:12" s="105" customFormat="1" ht="14.25" hidden="1" customHeight="1" thickTop="1" thickBot="1">
      <c r="A233"/>
      <c r="B233" s="3"/>
      <c r="C233" s="588">
        <v>35000</v>
      </c>
      <c r="D233" s="3"/>
      <c r="E233" s="3"/>
      <c r="F233" s="3"/>
      <c r="G233" s="3"/>
      <c r="H233" s="368" t="s">
        <v>171</v>
      </c>
      <c r="I233" s="369"/>
      <c r="J233" s="3"/>
      <c r="K233" s="3"/>
      <c r="L233" s="3"/>
    </row>
    <row r="234" spans="1:12" s="105" customFormat="1" ht="13.5" hidden="1" customHeight="1" thickTop="1">
      <c r="A234"/>
      <c r="B234" s="3"/>
      <c r="C234" s="588">
        <v>40000</v>
      </c>
      <c r="D234" s="3"/>
      <c r="E234" s="3"/>
      <c r="F234" s="3"/>
      <c r="G234" s="277" t="s">
        <v>172</v>
      </c>
      <c r="H234" s="375" t="s">
        <v>69</v>
      </c>
      <c r="I234" s="375" t="s">
        <v>169</v>
      </c>
      <c r="J234" s="3"/>
      <c r="K234" s="3"/>
      <c r="L234" s="3"/>
    </row>
    <row r="235" spans="1:12" s="105" customFormat="1" ht="12.75" hidden="1" customHeight="1">
      <c r="A235"/>
      <c r="B235" s="3"/>
      <c r="C235" s="588">
        <v>50000</v>
      </c>
      <c r="D235" s="3"/>
      <c r="E235" s="3"/>
      <c r="F235" s="3"/>
      <c r="G235" s="371"/>
      <c r="H235" s="376" t="s">
        <v>170</v>
      </c>
      <c r="I235" s="376" t="s">
        <v>141</v>
      </c>
      <c r="J235" s="3"/>
      <c r="K235" s="3"/>
      <c r="L235" s="3"/>
    </row>
    <row r="236" spans="1:12" s="105" customFormat="1" ht="13.5" hidden="1" customHeight="1" thickBot="1">
      <c r="A236"/>
      <c r="B236" s="3"/>
      <c r="C236" s="280">
        <v>55000</v>
      </c>
      <c r="D236" s="3"/>
      <c r="E236" s="3"/>
      <c r="F236" s="3"/>
      <c r="G236" s="371"/>
      <c r="H236" s="379"/>
      <c r="I236" s="379"/>
      <c r="J236" s="3"/>
      <c r="K236" s="3"/>
      <c r="L236" s="3"/>
    </row>
    <row r="237" spans="1:12" s="105" customFormat="1" ht="13.5" hidden="1" customHeight="1" thickTop="1" thickBot="1">
      <c r="A237"/>
      <c r="B237" s="3"/>
      <c r="C237" s="280">
        <v>60000</v>
      </c>
      <c r="D237" s="3"/>
      <c r="E237" s="3"/>
      <c r="F237" s="3"/>
      <c r="G237" s="371"/>
      <c r="H237" s="3"/>
      <c r="I237" s="3"/>
      <c r="J237" s="3"/>
      <c r="K237" s="3"/>
      <c r="L237" s="3"/>
    </row>
    <row r="238" spans="1:12" s="105" customFormat="1" ht="12.75" hidden="1" customHeight="1" thickTop="1">
      <c r="A238"/>
      <c r="B238" s="3"/>
      <c r="C238" s="280">
        <v>70000</v>
      </c>
      <c r="D238" s="3"/>
      <c r="E238" s="3"/>
      <c r="F238" s="3"/>
      <c r="G238" s="371"/>
      <c r="H238" s="368" t="s">
        <v>131</v>
      </c>
      <c r="I238" s="369"/>
      <c r="J238" s="3"/>
      <c r="K238" s="3"/>
      <c r="L238" s="3"/>
    </row>
    <row r="239" spans="1:12" s="105" customFormat="1" ht="12.75" hidden="1" customHeight="1">
      <c r="A239"/>
      <c r="B239" s="3"/>
      <c r="C239" s="280">
        <v>80000</v>
      </c>
      <c r="D239" s="3"/>
      <c r="E239" s="3"/>
      <c r="F239" s="3"/>
      <c r="G239" s="371"/>
      <c r="H239" s="375" t="s">
        <v>132</v>
      </c>
      <c r="I239" s="375">
        <v>0</v>
      </c>
      <c r="J239" s="3"/>
      <c r="K239" s="3"/>
      <c r="L239" s="3"/>
    </row>
    <row r="240" spans="1:12" s="105" customFormat="1" ht="12.75" hidden="1" customHeight="1">
      <c r="A240"/>
      <c r="B240" s="3"/>
      <c r="C240" s="280">
        <v>90000</v>
      </c>
      <c r="D240" s="3"/>
      <c r="E240" s="3"/>
      <c r="F240" s="3"/>
      <c r="G240" s="371"/>
      <c r="H240" s="376" t="s">
        <v>173</v>
      </c>
      <c r="I240" s="376">
        <v>1</v>
      </c>
      <c r="J240" s="3"/>
      <c r="K240" s="3"/>
      <c r="L240" s="3"/>
    </row>
    <row r="241" spans="1:12" s="105" customFormat="1" ht="12.75" hidden="1" customHeight="1" thickBot="1">
      <c r="A241"/>
      <c r="B241" s="3"/>
      <c r="C241" s="280">
        <v>100000</v>
      </c>
      <c r="D241" s="3"/>
      <c r="E241" s="3"/>
      <c r="F241" s="3"/>
      <c r="G241" s="371"/>
      <c r="H241" s="379" t="s">
        <v>174</v>
      </c>
      <c r="I241" s="379">
        <v>1</v>
      </c>
      <c r="J241" s="3"/>
      <c r="K241" s="3"/>
      <c r="L241" s="3"/>
    </row>
    <row r="242" spans="1:12" s="105" customFormat="1" ht="12.75" hidden="1" customHeight="1" thickTop="1" thickBot="1">
      <c r="A242"/>
      <c r="B242" s="3"/>
      <c r="C242" s="280">
        <v>200000</v>
      </c>
      <c r="D242" s="3"/>
      <c r="E242" s="3"/>
      <c r="F242" s="3"/>
      <c r="G242" s="371"/>
      <c r="H242" s="379" t="s">
        <v>134</v>
      </c>
      <c r="I242" s="379">
        <v>0</v>
      </c>
      <c r="J242" s="3"/>
      <c r="K242" s="3"/>
      <c r="L242" s="3"/>
    </row>
    <row r="243" spans="1:12" s="105" customFormat="1" ht="12.75" hidden="1" customHeight="1" thickTop="1">
      <c r="A243"/>
      <c r="B243" s="3"/>
      <c r="C243" s="280">
        <v>300000</v>
      </c>
      <c r="D243" s="3"/>
      <c r="E243" s="3"/>
      <c r="F243" s="3"/>
      <c r="G243" s="371"/>
      <c r="H243" s="3"/>
      <c r="I243" s="3"/>
      <c r="J243" s="3"/>
      <c r="K243" s="3"/>
      <c r="L243" s="3"/>
    </row>
    <row r="244" spans="1:12" s="105" customFormat="1" ht="12.75" hidden="1" customHeight="1">
      <c r="A244"/>
      <c r="B244" s="3"/>
      <c r="C244" s="280">
        <v>400000</v>
      </c>
      <c r="D244" s="3"/>
      <c r="E244" s="3"/>
      <c r="F244" s="3"/>
      <c r="G244" s="371"/>
      <c r="H244" s="3" t="str">
        <f>+CONCATENATE(H239,H242)</f>
        <v>NUEVA A PARTIR DEL 01/10/2016</v>
      </c>
      <c r="I244" s="3">
        <v>0</v>
      </c>
      <c r="J244" s="3"/>
      <c r="K244" s="3"/>
      <c r="L244" s="3"/>
    </row>
    <row r="245" spans="1:12" s="105" customFormat="1" ht="12.75" hidden="1" customHeight="1">
      <c r="A245"/>
      <c r="B245" s="3"/>
      <c r="C245" s="280">
        <v>500000</v>
      </c>
      <c r="D245" s="3"/>
      <c r="E245" s="3"/>
      <c r="F245" s="3"/>
      <c r="G245" s="371"/>
      <c r="H245" s="3" t="str">
        <f>+CONCATENATE(H240,H241)</f>
        <v>RENOVADAANTES DEL 01/10/2016</v>
      </c>
      <c r="I245" s="3">
        <v>1</v>
      </c>
      <c r="J245" s="3"/>
      <c r="K245" s="3"/>
      <c r="L245" s="3"/>
    </row>
    <row r="246" spans="1:12" s="105" customFormat="1" ht="12.75" hidden="1" customHeight="1">
      <c r="A246"/>
      <c r="B246" s="3"/>
      <c r="C246" s="280">
        <v>600000</v>
      </c>
      <c r="D246" s="3"/>
      <c r="E246" s="3"/>
      <c r="F246" s="3"/>
      <c r="G246" s="371"/>
      <c r="H246" s="3" t="str">
        <f>+CONCATENATE(H240,H242)</f>
        <v>RENOVADAA PARTIR DEL 01/10/2016</v>
      </c>
      <c r="I246" s="3">
        <v>0</v>
      </c>
      <c r="J246" s="3"/>
      <c r="K246" s="3"/>
      <c r="L246" s="3"/>
    </row>
    <row r="247" spans="1:12" s="105" customFormat="1" ht="12.75" hidden="1" customHeight="1">
      <c r="A247"/>
      <c r="B247" s="3"/>
      <c r="C247" s="280">
        <v>700000</v>
      </c>
      <c r="D247" s="3"/>
      <c r="E247" s="3"/>
      <c r="F247" s="3"/>
      <c r="G247" s="371"/>
      <c r="H247" s="3"/>
      <c r="I247" s="3"/>
      <c r="J247" s="3"/>
      <c r="K247" s="3"/>
      <c r="L247" s="3"/>
    </row>
    <row r="248" spans="1:12" s="105" customFormat="1" ht="12.75" hidden="1" customHeight="1">
      <c r="A248"/>
      <c r="B248" s="3"/>
      <c r="C248" s="280">
        <v>800000</v>
      </c>
      <c r="D248" s="3"/>
      <c r="E248" s="3"/>
      <c r="F248" s="3"/>
      <c r="G248" s="371"/>
      <c r="H248" s="3"/>
      <c r="I248" s="3"/>
      <c r="J248" s="3"/>
      <c r="K248" s="3"/>
      <c r="L248" s="3"/>
    </row>
    <row r="249" spans="1:12" s="105" customFormat="1" ht="12.75" hidden="1" customHeight="1">
      <c r="A249"/>
      <c r="B249" s="3"/>
      <c r="C249" s="280">
        <v>900000</v>
      </c>
      <c r="D249" s="3"/>
      <c r="E249" s="3"/>
      <c r="F249" s="3"/>
      <c r="G249" s="371"/>
      <c r="H249" s="3"/>
      <c r="I249" s="3"/>
      <c r="J249" s="3"/>
      <c r="K249" s="3"/>
      <c r="L249" s="3"/>
    </row>
    <row r="250" spans="1:12" s="105" customFormat="1" ht="13.5" hidden="1" customHeight="1" thickBot="1">
      <c r="A250"/>
      <c r="B250" s="3"/>
      <c r="C250" s="380">
        <v>1000000</v>
      </c>
      <c r="D250" s="3"/>
      <c r="E250" s="3"/>
      <c r="F250" s="3"/>
      <c r="G250" s="371"/>
      <c r="H250" s="3"/>
      <c r="I250" s="3"/>
      <c r="J250" s="3"/>
      <c r="K250" s="3"/>
      <c r="L250" s="3"/>
    </row>
    <row r="251" spans="1:12" s="105" customFormat="1" ht="13.5" hidden="1" customHeight="1" thickTop="1">
      <c r="A251"/>
      <c r="B251" s="3"/>
      <c r="C251" s="41"/>
      <c r="D251" s="3"/>
      <c r="E251" s="3"/>
      <c r="F251" s="3"/>
      <c r="G251" s="371"/>
      <c r="H251" s="3"/>
      <c r="I251" s="3"/>
      <c r="J251" s="3"/>
      <c r="K251" s="3"/>
      <c r="L251" s="3"/>
    </row>
    <row r="252" spans="1:12" s="105" customFormat="1" ht="13.5" hidden="1" customHeight="1" thickBot="1">
      <c r="A252"/>
      <c r="B252" s="3"/>
      <c r="C252" s="3"/>
      <c r="D252" s="3"/>
      <c r="E252" s="3"/>
      <c r="F252" s="3"/>
      <c r="G252" s="146">
        <v>0</v>
      </c>
      <c r="H252"/>
      <c r="I252" s="3"/>
      <c r="J252" s="3"/>
      <c r="K252" s="3"/>
      <c r="L252" s="3"/>
    </row>
    <row r="253" spans="1:12" s="105" customFormat="1" ht="13.5" hidden="1" customHeight="1" thickTop="1">
      <c r="A253"/>
      <c r="B253" s="381" t="s">
        <v>175</v>
      </c>
      <c r="C253" s="277" t="s">
        <v>176</v>
      </c>
      <c r="D253" s="3"/>
      <c r="E253" s="3"/>
      <c r="F253" s="3"/>
      <c r="G253" s="146">
        <v>0.15</v>
      </c>
      <c r="H253" s="639">
        <v>25800</v>
      </c>
      <c r="I253" s="3">
        <f>+Base</f>
        <v>25800</v>
      </c>
      <c r="J253" s="3"/>
      <c r="K253" s="3"/>
      <c r="L253" s="3"/>
    </row>
    <row r="254" spans="1:12" s="105" customFormat="1" ht="12.75" hidden="1" customHeight="1">
      <c r="A254"/>
      <c r="B254" s="382" t="s">
        <v>169</v>
      </c>
      <c r="C254" s="383">
        <v>20000</v>
      </c>
      <c r="D254" s="3"/>
      <c r="E254" s="3"/>
      <c r="F254" s="3"/>
      <c r="G254" s="146">
        <v>0.25</v>
      </c>
      <c r="H254"/>
      <c r="I254" s="3"/>
      <c r="J254" s="3"/>
      <c r="K254" s="3"/>
      <c r="L254" s="3"/>
    </row>
    <row r="255" spans="1:12" s="105" customFormat="1" ht="13.5" hidden="1" customHeight="1" thickBot="1">
      <c r="A255"/>
      <c r="B255" s="384" t="s">
        <v>141</v>
      </c>
      <c r="C255" s="383">
        <v>30000</v>
      </c>
      <c r="D255" s="3"/>
      <c r="E255" s="3"/>
      <c r="F255" s="3"/>
      <c r="G255" s="146">
        <v>0.5</v>
      </c>
      <c r="H255"/>
      <c r="I255" s="3"/>
      <c r="J255" s="3"/>
      <c r="K255" s="3"/>
      <c r="L255" s="3"/>
    </row>
    <row r="256" spans="1:12" s="105" customFormat="1" ht="13.5" hidden="1" customHeight="1" thickTop="1">
      <c r="A256" s="41"/>
      <c r="B256" s="3"/>
      <c r="C256" s="383">
        <v>40000</v>
      </c>
      <c r="D256" s="3"/>
      <c r="E256" s="3"/>
      <c r="F256" s="3"/>
      <c r="G256" s="146">
        <v>0.75</v>
      </c>
      <c r="H256"/>
      <c r="I256" s="3"/>
      <c r="J256" s="3"/>
      <c r="K256" s="3"/>
      <c r="L256" s="3"/>
    </row>
    <row r="257" spans="1:12" s="105" customFormat="1" ht="13.5" hidden="1" customHeight="1" thickBot="1">
      <c r="A257" s="41"/>
      <c r="B257" s="3"/>
      <c r="C257" s="384">
        <v>50000</v>
      </c>
      <c r="D257" s="3"/>
      <c r="E257" s="3"/>
      <c r="F257" s="3"/>
      <c r="G257" s="378">
        <v>1</v>
      </c>
      <c r="H257"/>
      <c r="I257" s="3"/>
      <c r="J257" s="3"/>
      <c r="K257" s="3"/>
      <c r="L257" s="3"/>
    </row>
    <row r="258" spans="1:12" s="105" customFormat="1" ht="12" hidden="1" customHeight="1" thickTop="1" thickBo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</row>
    <row r="259" spans="1:12" s="105" customFormat="1" ht="11.25" hidden="1" customHeight="1" thickTop="1">
      <c r="A259" s="369" t="s">
        <v>23</v>
      </c>
      <c r="B259" s="385" t="s">
        <v>111</v>
      </c>
      <c r="C259" s="357"/>
      <c r="D259" s="357"/>
      <c r="E259" s="357"/>
      <c r="F259" s="357"/>
      <c r="G259" s="357"/>
      <c r="H259" s="357"/>
      <c r="I259" s="357"/>
      <c r="J259" s="358"/>
      <c r="K259" s="3"/>
      <c r="L259" s="3"/>
    </row>
    <row r="260" spans="1:12" s="105" customFormat="1" ht="10.5" hidden="1" customHeight="1">
      <c r="A260" s="386" t="s">
        <v>40</v>
      </c>
      <c r="B260" s="387" t="s">
        <v>112</v>
      </c>
      <c r="C260" s="2"/>
      <c r="D260" s="2"/>
      <c r="E260" s="2"/>
      <c r="F260" s="2"/>
      <c r="G260" s="2"/>
      <c r="H260" s="2"/>
      <c r="I260" s="2"/>
      <c r="J260" s="127"/>
      <c r="K260" s="3"/>
      <c r="L260" s="3"/>
    </row>
    <row r="261" spans="1:12" s="105" customFormat="1" ht="10.5" hidden="1" customHeight="1">
      <c r="A261" s="388" t="s">
        <v>49</v>
      </c>
      <c r="B261" s="387" t="s">
        <v>113</v>
      </c>
      <c r="C261" s="2"/>
      <c r="D261" s="2"/>
      <c r="E261" s="2"/>
      <c r="F261" s="2"/>
      <c r="G261" s="2"/>
      <c r="H261" s="2"/>
      <c r="I261" s="2"/>
      <c r="J261" s="127"/>
      <c r="K261" s="3"/>
      <c r="L261" s="3"/>
    </row>
    <row r="262" spans="1:12" s="105" customFormat="1" ht="11.25" hidden="1" customHeight="1" thickBot="1">
      <c r="A262" s="389" t="s">
        <v>97</v>
      </c>
      <c r="B262" s="390" t="s">
        <v>114</v>
      </c>
      <c r="C262" s="364"/>
      <c r="D262" s="364"/>
      <c r="E262" s="364"/>
      <c r="F262" s="364"/>
      <c r="G262" s="364"/>
      <c r="H262" s="364"/>
      <c r="I262" s="364"/>
      <c r="J262" s="365"/>
      <c r="K262" s="3"/>
      <c r="L262" s="3"/>
    </row>
    <row r="263" spans="1:12" ht="11.25" hidden="1" customHeight="1" thickTop="1">
      <c r="A263" s="104">
        <v>0</v>
      </c>
    </row>
    <row r="264" spans="1:12" ht="10.5" hidden="1" customHeight="1">
      <c r="A264" s="104">
        <f>1+A263</f>
        <v>1</v>
      </c>
    </row>
    <row r="265" spans="1:12" ht="10.5" hidden="1" customHeight="1">
      <c r="A265" s="104">
        <f t="shared" ref="A265:A328" si="2">1+A264</f>
        <v>2</v>
      </c>
      <c r="C265" s="104" t="s">
        <v>177</v>
      </c>
      <c r="D265" s="104" t="s">
        <v>178</v>
      </c>
    </row>
    <row r="266" spans="1:12" ht="10.5" hidden="1" customHeight="1">
      <c r="A266" s="104">
        <f t="shared" si="2"/>
        <v>3</v>
      </c>
      <c r="C266" s="104" t="s">
        <v>179</v>
      </c>
      <c r="D266" s="104" t="str">
        <f>IF((IF(C28=""," ",D27))="H","M",IF((IF(C28="","",D27))="M","H",IF((IF(C28="","",D27))="","")))</f>
        <v/>
      </c>
    </row>
    <row r="267" spans="1:12" ht="10.5" hidden="1" customHeight="1">
      <c r="A267" s="104">
        <f t="shared" si="2"/>
        <v>4</v>
      </c>
      <c r="C267" s="104" t="s">
        <v>167</v>
      </c>
    </row>
    <row r="268" spans="1:12" ht="10.5" hidden="1" customHeight="1">
      <c r="A268" s="104">
        <f t="shared" si="2"/>
        <v>5</v>
      </c>
    </row>
    <row r="269" spans="1:12" ht="11.25" hidden="1" customHeight="1" thickBot="1">
      <c r="A269" s="104">
        <f t="shared" si="2"/>
        <v>6</v>
      </c>
    </row>
    <row r="270" spans="1:12" ht="13.5" hidden="1" customHeight="1" thickTop="1">
      <c r="A270" s="104">
        <f t="shared" si="2"/>
        <v>7</v>
      </c>
      <c r="C270" s="369" t="s">
        <v>26</v>
      </c>
      <c r="D270" s="338"/>
      <c r="H270" s="369" t="s">
        <v>180</v>
      </c>
    </row>
    <row r="271" spans="1:12" ht="12.75" hidden="1" customHeight="1">
      <c r="A271" s="104">
        <f t="shared" si="2"/>
        <v>8</v>
      </c>
      <c r="C271" s="208">
        <v>200000</v>
      </c>
      <c r="D271" s="338"/>
      <c r="E271" s="104" t="s">
        <v>135</v>
      </c>
      <c r="H271" s="208" t="s">
        <v>141</v>
      </c>
    </row>
    <row r="272" spans="1:12" ht="12.75" hidden="1" customHeight="1">
      <c r="A272" s="104">
        <f t="shared" si="2"/>
        <v>9</v>
      </c>
      <c r="C272" s="208">
        <v>250000</v>
      </c>
      <c r="D272" s="338"/>
      <c r="E272" s="104" t="s">
        <v>136</v>
      </c>
      <c r="H272" s="208">
        <v>10000</v>
      </c>
    </row>
    <row r="273" spans="1:8" ht="12.75" hidden="1" customHeight="1">
      <c r="A273" s="104">
        <f t="shared" si="2"/>
        <v>10</v>
      </c>
      <c r="C273" s="208">
        <v>300000</v>
      </c>
      <c r="D273" s="338"/>
      <c r="E273" s="104" t="s">
        <v>181</v>
      </c>
      <c r="H273" s="208">
        <v>20000</v>
      </c>
    </row>
    <row r="274" spans="1:8" ht="12.75" hidden="1" customHeight="1">
      <c r="A274" s="104">
        <f t="shared" si="2"/>
        <v>11</v>
      </c>
      <c r="C274" s="208">
        <v>350000</v>
      </c>
      <c r="D274" s="338"/>
      <c r="H274" s="208">
        <v>30000</v>
      </c>
    </row>
    <row r="275" spans="1:8" ht="12.75" hidden="1" customHeight="1">
      <c r="A275" s="104">
        <f t="shared" si="2"/>
        <v>12</v>
      </c>
      <c r="C275" s="208">
        <v>400000</v>
      </c>
      <c r="D275" s="338"/>
      <c r="H275" s="208">
        <v>40000</v>
      </c>
    </row>
    <row r="276" spans="1:8" ht="12.75" hidden="1" customHeight="1">
      <c r="A276" s="104">
        <f t="shared" si="2"/>
        <v>13</v>
      </c>
      <c r="C276" s="208">
        <v>450000</v>
      </c>
      <c r="D276" s="338"/>
      <c r="H276" s="208">
        <v>50000</v>
      </c>
    </row>
    <row r="277" spans="1:8" ht="12.75" hidden="1" customHeight="1">
      <c r="A277" s="104">
        <f t="shared" si="2"/>
        <v>14</v>
      </c>
      <c r="C277" s="208">
        <v>500000</v>
      </c>
      <c r="D277" s="338"/>
      <c r="H277" s="208">
        <v>75000</v>
      </c>
    </row>
    <row r="278" spans="1:8" ht="12.75" hidden="1" customHeight="1">
      <c r="A278" s="104">
        <f t="shared" si="2"/>
        <v>15</v>
      </c>
      <c r="C278" s="208">
        <v>550000</v>
      </c>
      <c r="D278" s="338"/>
      <c r="H278" s="208">
        <v>100000</v>
      </c>
    </row>
    <row r="279" spans="1:8" ht="12.75" hidden="1" customHeight="1">
      <c r="A279" s="104">
        <f t="shared" si="2"/>
        <v>16</v>
      </c>
      <c r="C279" s="208">
        <v>600000</v>
      </c>
      <c r="D279" s="338"/>
      <c r="H279" s="208">
        <v>150000</v>
      </c>
    </row>
    <row r="280" spans="1:8" ht="12.75" hidden="1" customHeight="1">
      <c r="A280" s="104">
        <f t="shared" si="2"/>
        <v>17</v>
      </c>
      <c r="C280" s="208">
        <v>650000</v>
      </c>
      <c r="D280" s="338"/>
      <c r="H280" s="208">
        <v>200000</v>
      </c>
    </row>
    <row r="281" spans="1:8" ht="12.75" hidden="1" customHeight="1">
      <c r="A281" s="104">
        <f t="shared" si="2"/>
        <v>18</v>
      </c>
      <c r="C281" s="208">
        <v>700000</v>
      </c>
      <c r="D281" s="338"/>
      <c r="H281" s="208">
        <v>250000</v>
      </c>
    </row>
    <row r="282" spans="1:8" ht="12.75" hidden="1" customHeight="1">
      <c r="A282" s="104">
        <f t="shared" si="2"/>
        <v>19</v>
      </c>
      <c r="C282" s="208">
        <v>750000</v>
      </c>
      <c r="D282" s="338"/>
      <c r="H282" s="208">
        <v>300000</v>
      </c>
    </row>
    <row r="283" spans="1:8" ht="12.75" hidden="1" customHeight="1">
      <c r="A283" s="104">
        <f t="shared" si="2"/>
        <v>20</v>
      </c>
      <c r="C283" s="208">
        <v>1000000</v>
      </c>
      <c r="D283" s="338"/>
      <c r="H283" s="208">
        <v>350000</v>
      </c>
    </row>
    <row r="284" spans="1:8" ht="12.75" hidden="1" customHeight="1">
      <c r="A284" s="104">
        <f t="shared" si="2"/>
        <v>21</v>
      </c>
      <c r="C284" s="208">
        <v>2000000</v>
      </c>
      <c r="D284" s="338"/>
      <c r="H284" s="208">
        <v>400000</v>
      </c>
    </row>
    <row r="285" spans="1:8" ht="12.75" hidden="1" customHeight="1">
      <c r="A285" s="104">
        <f t="shared" si="2"/>
        <v>22</v>
      </c>
      <c r="C285" s="208">
        <v>3000000</v>
      </c>
      <c r="D285" s="338"/>
      <c r="H285" s="208">
        <v>450000</v>
      </c>
    </row>
    <row r="286" spans="1:8" ht="12.75" hidden="1" customHeight="1">
      <c r="A286" s="104">
        <f t="shared" si="2"/>
        <v>23</v>
      </c>
      <c r="C286" s="208">
        <v>4000000</v>
      </c>
      <c r="D286" s="338"/>
      <c r="H286" s="208">
        <v>500000</v>
      </c>
    </row>
    <row r="287" spans="1:8" ht="12.75" hidden="1" customHeight="1">
      <c r="A287" s="104">
        <f t="shared" si="2"/>
        <v>24</v>
      </c>
      <c r="C287" s="208">
        <v>5000000</v>
      </c>
      <c r="D287" s="338"/>
      <c r="H287" s="208">
        <v>550000</v>
      </c>
    </row>
    <row r="288" spans="1:8" ht="12.75" hidden="1" customHeight="1">
      <c r="A288" s="104">
        <f t="shared" si="2"/>
        <v>25</v>
      </c>
      <c r="C288" s="208">
        <v>6000000</v>
      </c>
      <c r="D288" s="338"/>
      <c r="H288" s="208">
        <v>600000</v>
      </c>
    </row>
    <row r="289" spans="1:8" ht="12.75" hidden="1" customHeight="1">
      <c r="A289" s="104">
        <f t="shared" si="2"/>
        <v>26</v>
      </c>
      <c r="C289" s="208">
        <v>7000000</v>
      </c>
      <c r="D289" s="338"/>
      <c r="H289" s="208">
        <v>650000</v>
      </c>
    </row>
    <row r="290" spans="1:8" ht="12.75" hidden="1" customHeight="1">
      <c r="A290" s="104">
        <f t="shared" si="2"/>
        <v>27</v>
      </c>
      <c r="C290" s="208">
        <v>8000000</v>
      </c>
      <c r="D290" s="338"/>
      <c r="H290" s="208">
        <v>700000</v>
      </c>
    </row>
    <row r="291" spans="1:8" ht="12.75" hidden="1" customHeight="1">
      <c r="A291" s="104">
        <f t="shared" si="2"/>
        <v>28</v>
      </c>
      <c r="C291" s="208">
        <v>9000000</v>
      </c>
      <c r="D291" s="338"/>
      <c r="H291" s="208">
        <v>750000</v>
      </c>
    </row>
    <row r="292" spans="1:8" ht="12.75" hidden="1" customHeight="1">
      <c r="A292" s="104">
        <f t="shared" si="2"/>
        <v>29</v>
      </c>
      <c r="C292" s="208">
        <v>10000000</v>
      </c>
      <c r="D292" s="338"/>
      <c r="H292" s="208">
        <v>800000</v>
      </c>
    </row>
    <row r="293" spans="1:8" ht="13.5" hidden="1" customHeight="1" thickBot="1">
      <c r="A293" s="104">
        <f t="shared" si="2"/>
        <v>30</v>
      </c>
      <c r="C293" s="208">
        <v>20000000</v>
      </c>
      <c r="D293" s="338"/>
      <c r="H293" s="391">
        <v>850000</v>
      </c>
    </row>
    <row r="294" spans="1:8" ht="13.5" hidden="1" customHeight="1" thickTop="1">
      <c r="A294" s="104">
        <f t="shared" si="2"/>
        <v>31</v>
      </c>
      <c r="C294" s="208">
        <v>30000000</v>
      </c>
      <c r="D294" s="338"/>
    </row>
    <row r="295" spans="1:8" ht="12.75" hidden="1" customHeight="1">
      <c r="A295" s="104">
        <f t="shared" si="2"/>
        <v>32</v>
      </c>
      <c r="C295" s="208">
        <v>40000000</v>
      </c>
      <c r="D295" s="338"/>
    </row>
    <row r="296" spans="1:8" ht="12.75" hidden="1" customHeight="1">
      <c r="A296" s="104">
        <f t="shared" si="2"/>
        <v>33</v>
      </c>
      <c r="C296" s="208">
        <v>50000000</v>
      </c>
      <c r="D296" s="338"/>
    </row>
    <row r="297" spans="1:8" ht="12.75" hidden="1" customHeight="1">
      <c r="A297" s="104">
        <f t="shared" si="2"/>
        <v>34</v>
      </c>
      <c r="C297" s="208">
        <v>70000000</v>
      </c>
      <c r="D297" s="338"/>
    </row>
    <row r="298" spans="1:8" ht="12.75" hidden="1" customHeight="1">
      <c r="A298" s="104">
        <f t="shared" si="2"/>
        <v>35</v>
      </c>
      <c r="C298" s="208">
        <v>100000000</v>
      </c>
      <c r="D298" s="338"/>
    </row>
    <row r="299" spans="1:8" ht="12.75" hidden="1" customHeight="1">
      <c r="A299" s="104">
        <f t="shared" si="2"/>
        <v>36</v>
      </c>
      <c r="C299" s="208">
        <v>125000000</v>
      </c>
      <c r="D299" s="308"/>
    </row>
    <row r="300" spans="1:8" ht="12.75" hidden="1" customHeight="1">
      <c r="A300" s="104">
        <f t="shared" si="2"/>
        <v>37</v>
      </c>
      <c r="C300" s="208">
        <v>150000000</v>
      </c>
      <c r="D300" s="308"/>
    </row>
    <row r="301" spans="1:8" ht="12.75" hidden="1" customHeight="1">
      <c r="A301" s="104">
        <f t="shared" si="2"/>
        <v>38</v>
      </c>
      <c r="C301" s="208"/>
    </row>
    <row r="302" spans="1:8" ht="12.75" hidden="1" customHeight="1">
      <c r="A302" s="104">
        <f t="shared" si="2"/>
        <v>39</v>
      </c>
      <c r="C302" s="208"/>
    </row>
    <row r="303" spans="1:8" ht="12.75" hidden="1" customHeight="1">
      <c r="A303" s="104">
        <f t="shared" si="2"/>
        <v>40</v>
      </c>
      <c r="C303" s="208"/>
    </row>
    <row r="304" spans="1:8" ht="12.75" hidden="1" customHeight="1">
      <c r="A304" s="104">
        <f t="shared" si="2"/>
        <v>41</v>
      </c>
      <c r="C304" s="208"/>
    </row>
    <row r="305" spans="1:5" ht="13.5" hidden="1" customHeight="1" thickBot="1">
      <c r="A305" s="104">
        <f t="shared" si="2"/>
        <v>42</v>
      </c>
      <c r="C305" s="391"/>
    </row>
    <row r="306" spans="1:5" ht="14.25" hidden="1" customHeight="1" thickTop="1" thickBot="1">
      <c r="A306" s="104">
        <f t="shared" si="2"/>
        <v>43</v>
      </c>
      <c r="C306" s="391"/>
    </row>
    <row r="307" spans="1:5" ht="11.25" hidden="1" customHeight="1" thickTop="1">
      <c r="A307" s="104">
        <f t="shared" si="2"/>
        <v>44</v>
      </c>
    </row>
    <row r="308" spans="1:5" ht="11.25" hidden="1" customHeight="1" thickBot="1">
      <c r="A308" s="104">
        <f t="shared" si="2"/>
        <v>45</v>
      </c>
    </row>
    <row r="309" spans="1:5" ht="11.25" hidden="1" customHeight="1" thickTop="1">
      <c r="A309" s="104">
        <f t="shared" si="2"/>
        <v>46</v>
      </c>
      <c r="C309" s="277" t="s">
        <v>137</v>
      </c>
      <c r="D309" s="278" t="s">
        <v>103</v>
      </c>
      <c r="E309" s="278" t="s">
        <v>182</v>
      </c>
    </row>
    <row r="310" spans="1:5" ht="10.5" hidden="1" customHeight="1">
      <c r="A310" s="104">
        <f t="shared" si="2"/>
        <v>47</v>
      </c>
      <c r="C310" s="279" t="s">
        <v>183</v>
      </c>
      <c r="D310" s="280">
        <v>3</v>
      </c>
      <c r="E310" s="280">
        <v>2</v>
      </c>
    </row>
    <row r="311" spans="1:5" ht="10.5" hidden="1" customHeight="1">
      <c r="A311" s="104">
        <f t="shared" si="2"/>
        <v>48</v>
      </c>
      <c r="C311" s="279" t="s">
        <v>184</v>
      </c>
      <c r="D311" s="280">
        <v>2</v>
      </c>
      <c r="E311" s="280">
        <v>3</v>
      </c>
    </row>
    <row r="312" spans="1:5" ht="10.5" hidden="1" customHeight="1">
      <c r="A312" s="104">
        <f t="shared" si="2"/>
        <v>49</v>
      </c>
      <c r="C312" s="279" t="s">
        <v>185</v>
      </c>
      <c r="D312" s="280">
        <v>3</v>
      </c>
      <c r="E312" s="280">
        <v>3</v>
      </c>
    </row>
    <row r="313" spans="1:5" ht="10.5" hidden="1" customHeight="1">
      <c r="A313" s="104">
        <f t="shared" si="2"/>
        <v>50</v>
      </c>
      <c r="C313" s="279" t="s">
        <v>186</v>
      </c>
      <c r="D313" s="280">
        <v>1</v>
      </c>
      <c r="E313" s="280">
        <v>1</v>
      </c>
    </row>
    <row r="314" spans="1:5" ht="10.5" hidden="1" customHeight="1">
      <c r="A314" s="104">
        <f t="shared" si="2"/>
        <v>51</v>
      </c>
      <c r="C314" s="279" t="s">
        <v>187</v>
      </c>
      <c r="D314" s="280">
        <v>2</v>
      </c>
      <c r="E314" s="280">
        <v>1</v>
      </c>
    </row>
    <row r="315" spans="1:5" ht="10.5" hidden="1" customHeight="1">
      <c r="A315" s="104">
        <f t="shared" si="2"/>
        <v>52</v>
      </c>
      <c r="C315" s="279" t="s">
        <v>188</v>
      </c>
      <c r="D315" s="280">
        <v>4</v>
      </c>
      <c r="E315" s="280">
        <v>3</v>
      </c>
    </row>
    <row r="316" spans="1:5" ht="10.5" hidden="1" customHeight="1">
      <c r="A316" s="104">
        <f t="shared" si="2"/>
        <v>53</v>
      </c>
      <c r="C316" s="279" t="s">
        <v>189</v>
      </c>
      <c r="D316" s="280">
        <v>4</v>
      </c>
      <c r="E316" s="280">
        <v>2</v>
      </c>
    </row>
    <row r="317" spans="1:5" ht="10.5" hidden="1" customHeight="1">
      <c r="A317" s="104">
        <f t="shared" si="2"/>
        <v>54</v>
      </c>
      <c r="C317" s="279" t="s">
        <v>190</v>
      </c>
      <c r="D317" s="280">
        <v>3</v>
      </c>
      <c r="E317" s="280">
        <v>2</v>
      </c>
    </row>
    <row r="318" spans="1:5" ht="10.5" hidden="1" customHeight="1">
      <c r="A318" s="104">
        <f t="shared" si="2"/>
        <v>55</v>
      </c>
      <c r="C318" s="279" t="s">
        <v>138</v>
      </c>
      <c r="D318" s="280">
        <v>5</v>
      </c>
      <c r="E318" s="280">
        <v>4</v>
      </c>
    </row>
    <row r="319" spans="1:5" ht="10.5" hidden="1" customHeight="1">
      <c r="A319" s="104">
        <f t="shared" si="2"/>
        <v>56</v>
      </c>
      <c r="C319" s="279" t="s">
        <v>191</v>
      </c>
      <c r="D319" s="280">
        <v>3</v>
      </c>
      <c r="E319" s="280">
        <v>2</v>
      </c>
    </row>
    <row r="320" spans="1:5" ht="10.5" hidden="1" customHeight="1">
      <c r="A320" s="104">
        <f t="shared" si="2"/>
        <v>57</v>
      </c>
      <c r="C320" s="279" t="s">
        <v>192</v>
      </c>
      <c r="D320" s="280">
        <v>5</v>
      </c>
      <c r="E320" s="280">
        <v>4</v>
      </c>
    </row>
    <row r="321" spans="1:5" ht="10.5" hidden="1" customHeight="1">
      <c r="A321" s="104">
        <f t="shared" si="2"/>
        <v>58</v>
      </c>
      <c r="C321" s="279" t="s">
        <v>193</v>
      </c>
      <c r="D321" s="280">
        <v>2</v>
      </c>
      <c r="E321" s="280">
        <v>2</v>
      </c>
    </row>
    <row r="322" spans="1:5" ht="10.5" hidden="1" customHeight="1">
      <c r="A322" s="104">
        <f t="shared" si="2"/>
        <v>59</v>
      </c>
      <c r="C322" s="279" t="s">
        <v>194</v>
      </c>
      <c r="D322" s="280">
        <v>2</v>
      </c>
      <c r="E322" s="280">
        <v>1</v>
      </c>
    </row>
    <row r="323" spans="1:5" ht="10.5" hidden="1" customHeight="1">
      <c r="A323" s="104">
        <f t="shared" si="2"/>
        <v>60</v>
      </c>
      <c r="C323" s="279" t="s">
        <v>195</v>
      </c>
      <c r="D323" s="280">
        <v>3</v>
      </c>
      <c r="E323" s="280">
        <v>1</v>
      </c>
    </row>
    <row r="324" spans="1:5" ht="10.5" hidden="1" customHeight="1">
      <c r="A324" s="104">
        <f t="shared" si="2"/>
        <v>61</v>
      </c>
      <c r="C324" s="279" t="s">
        <v>196</v>
      </c>
      <c r="D324" s="280">
        <v>3</v>
      </c>
      <c r="E324" s="280">
        <v>2</v>
      </c>
    </row>
    <row r="325" spans="1:5" ht="10.5" hidden="1" customHeight="1">
      <c r="A325" s="104">
        <f t="shared" si="2"/>
        <v>62</v>
      </c>
      <c r="C325" s="279" t="s">
        <v>197</v>
      </c>
      <c r="D325" s="280">
        <v>3</v>
      </c>
      <c r="E325" s="280">
        <v>2</v>
      </c>
    </row>
    <row r="326" spans="1:5" ht="10.5" hidden="1" customHeight="1">
      <c r="A326" s="104">
        <f t="shared" si="2"/>
        <v>63</v>
      </c>
      <c r="C326" s="279" t="s">
        <v>198</v>
      </c>
      <c r="D326" s="280">
        <v>4</v>
      </c>
      <c r="E326" s="280">
        <v>3</v>
      </c>
    </row>
    <row r="327" spans="1:5" ht="10.5" hidden="1" customHeight="1">
      <c r="A327" s="104">
        <f t="shared" si="2"/>
        <v>64</v>
      </c>
      <c r="C327" s="279" t="s">
        <v>199</v>
      </c>
      <c r="D327" s="280">
        <v>2</v>
      </c>
      <c r="E327" s="280">
        <v>1</v>
      </c>
    </row>
    <row r="328" spans="1:5" ht="10.5" hidden="1" customHeight="1">
      <c r="A328" s="104">
        <f t="shared" si="2"/>
        <v>65</v>
      </c>
      <c r="C328" s="279" t="s">
        <v>200</v>
      </c>
      <c r="D328" s="280">
        <v>4</v>
      </c>
      <c r="E328" s="280">
        <v>3</v>
      </c>
    </row>
    <row r="329" spans="1:5" ht="10.5" hidden="1" customHeight="1">
      <c r="A329" s="104">
        <f>1+A328</f>
        <v>66</v>
      </c>
      <c r="C329" s="279" t="s">
        <v>201</v>
      </c>
      <c r="D329" s="280">
        <v>1</v>
      </c>
      <c r="E329" s="280">
        <v>1</v>
      </c>
    </row>
    <row r="330" spans="1:5" ht="10.5" hidden="1" customHeight="1">
      <c r="A330" s="104">
        <f>1+A329</f>
        <v>67</v>
      </c>
      <c r="C330" s="279" t="s">
        <v>202</v>
      </c>
      <c r="D330" s="280">
        <v>2</v>
      </c>
      <c r="E330" s="280">
        <v>1</v>
      </c>
    </row>
    <row r="331" spans="1:5" ht="10.5" hidden="1" customHeight="1">
      <c r="A331" s="104">
        <f>1+A330</f>
        <v>68</v>
      </c>
      <c r="C331" s="279" t="s">
        <v>203</v>
      </c>
      <c r="D331" s="280">
        <v>3</v>
      </c>
      <c r="E331" s="280">
        <v>3</v>
      </c>
    </row>
    <row r="332" spans="1:5" ht="10.5" hidden="1" customHeight="1">
      <c r="A332" s="104">
        <f>1+A331</f>
        <v>69</v>
      </c>
      <c r="C332" s="405" t="s">
        <v>204</v>
      </c>
      <c r="D332" s="406">
        <v>2</v>
      </c>
      <c r="E332" s="406">
        <v>1</v>
      </c>
    </row>
    <row r="333" spans="1:5" ht="10.5" hidden="1" customHeight="1">
      <c r="A333" s="104">
        <f t="shared" ref="A333:A353" si="3">1+A332</f>
        <v>70</v>
      </c>
      <c r="C333" s="279" t="s">
        <v>205</v>
      </c>
      <c r="D333" s="280">
        <v>4</v>
      </c>
      <c r="E333" s="280">
        <v>3</v>
      </c>
    </row>
    <row r="334" spans="1:5" ht="10.5" hidden="1" customHeight="1">
      <c r="A334" s="104">
        <f t="shared" si="3"/>
        <v>71</v>
      </c>
      <c r="C334" s="279" t="s">
        <v>206</v>
      </c>
      <c r="D334" s="280">
        <v>3</v>
      </c>
      <c r="E334" s="280">
        <v>3</v>
      </c>
    </row>
    <row r="335" spans="1:5" ht="10.5" hidden="1" customHeight="1">
      <c r="A335" s="104">
        <f t="shared" si="3"/>
        <v>72</v>
      </c>
      <c r="C335" s="279" t="s">
        <v>207</v>
      </c>
      <c r="D335" s="280">
        <v>4</v>
      </c>
      <c r="E335" s="280">
        <v>3</v>
      </c>
    </row>
    <row r="336" spans="1:5" ht="10.5" hidden="1" customHeight="1">
      <c r="A336" s="104">
        <f t="shared" si="3"/>
        <v>73</v>
      </c>
      <c r="C336" s="279" t="s">
        <v>208</v>
      </c>
      <c r="D336" s="280">
        <v>2</v>
      </c>
      <c r="E336" s="280">
        <v>1</v>
      </c>
    </row>
    <row r="337" spans="1:5" ht="10.5" hidden="1" customHeight="1">
      <c r="A337" s="104">
        <f t="shared" si="3"/>
        <v>74</v>
      </c>
      <c r="C337" s="279" t="s">
        <v>209</v>
      </c>
      <c r="D337" s="280">
        <v>4</v>
      </c>
      <c r="E337" s="280">
        <v>3</v>
      </c>
    </row>
    <row r="338" spans="1:5" ht="10.5" hidden="1" customHeight="1">
      <c r="A338" s="104">
        <f t="shared" si="3"/>
        <v>75</v>
      </c>
      <c r="C338" s="279" t="s">
        <v>210</v>
      </c>
      <c r="D338" s="280">
        <v>1</v>
      </c>
      <c r="E338" s="280">
        <v>1</v>
      </c>
    </row>
    <row r="339" spans="1:5" ht="10.5" hidden="1" customHeight="1">
      <c r="A339" s="104">
        <f t="shared" si="3"/>
        <v>76</v>
      </c>
      <c r="C339" s="279" t="s">
        <v>211</v>
      </c>
      <c r="D339" s="280">
        <v>2</v>
      </c>
      <c r="E339" s="280">
        <v>1</v>
      </c>
    </row>
    <row r="340" spans="1:5" ht="10.5" hidden="1" customHeight="1">
      <c r="A340" s="104">
        <f t="shared" si="3"/>
        <v>77</v>
      </c>
      <c r="C340" s="279" t="s">
        <v>212</v>
      </c>
      <c r="D340" s="280">
        <v>1</v>
      </c>
      <c r="E340" s="280">
        <v>1</v>
      </c>
    </row>
    <row r="341" spans="1:5" ht="10.5" hidden="1" customHeight="1">
      <c r="A341" s="104">
        <f t="shared" si="3"/>
        <v>78</v>
      </c>
      <c r="C341" s="279" t="s">
        <v>213</v>
      </c>
      <c r="D341" s="280">
        <v>3</v>
      </c>
      <c r="E341" s="280">
        <v>2</v>
      </c>
    </row>
    <row r="342" spans="1:5" ht="10.5" hidden="1" customHeight="1">
      <c r="A342" s="104">
        <f t="shared" si="3"/>
        <v>79</v>
      </c>
    </row>
    <row r="343" spans="1:5" ht="10.5" hidden="1" customHeight="1">
      <c r="A343" s="104">
        <f t="shared" si="3"/>
        <v>80</v>
      </c>
    </row>
    <row r="344" spans="1:5" ht="10.5" hidden="1" customHeight="1">
      <c r="A344" s="104">
        <f t="shared" si="3"/>
        <v>81</v>
      </c>
    </row>
    <row r="345" spans="1:5" ht="10.5" hidden="1" customHeight="1">
      <c r="A345" s="104">
        <f t="shared" si="3"/>
        <v>82</v>
      </c>
    </row>
    <row r="346" spans="1:5" ht="10.5" hidden="1" customHeight="1">
      <c r="A346" s="104">
        <f t="shared" si="3"/>
        <v>83</v>
      </c>
    </row>
    <row r="347" spans="1:5" ht="10.5" hidden="1" customHeight="1">
      <c r="A347" s="104">
        <f t="shared" si="3"/>
        <v>84</v>
      </c>
    </row>
    <row r="348" spans="1:5" ht="10.5" hidden="1" customHeight="1">
      <c r="A348" s="104">
        <f t="shared" si="3"/>
        <v>85</v>
      </c>
    </row>
    <row r="349" spans="1:5" ht="10.5" hidden="1" customHeight="1">
      <c r="A349" s="104">
        <f t="shared" si="3"/>
        <v>86</v>
      </c>
    </row>
    <row r="350" spans="1:5" ht="10.5" hidden="1" customHeight="1">
      <c r="A350" s="104">
        <f t="shared" si="3"/>
        <v>87</v>
      </c>
    </row>
    <row r="351" spans="1:5" ht="10.5" hidden="1" customHeight="1">
      <c r="A351" s="104">
        <f t="shared" si="3"/>
        <v>88</v>
      </c>
    </row>
    <row r="352" spans="1:5" ht="10.5" hidden="1" customHeight="1">
      <c r="A352" s="104">
        <f t="shared" si="3"/>
        <v>89</v>
      </c>
    </row>
    <row r="353" spans="1:1" ht="10.5" hidden="1" customHeight="1">
      <c r="A353" s="104">
        <f t="shared" si="3"/>
        <v>90</v>
      </c>
    </row>
    <row r="354" spans="1:1" ht="10.5" hidden="1" customHeight="1">
      <c r="A354" s="104">
        <f>1+A353</f>
        <v>91</v>
      </c>
    </row>
    <row r="355" spans="1:1" ht="10.5" hidden="1" customHeight="1">
      <c r="A355" s="104">
        <f>1+A354</f>
        <v>92</v>
      </c>
    </row>
    <row r="356" spans="1:1" ht="10.5" hidden="1" customHeight="1">
      <c r="A356" s="104">
        <f>1+A355</f>
        <v>93</v>
      </c>
    </row>
    <row r="357" spans="1:1" ht="10.5" hidden="1" customHeight="1">
      <c r="A357" s="104">
        <f t="shared" ref="A357:A363" si="4">1+A356</f>
        <v>94</v>
      </c>
    </row>
    <row r="358" spans="1:1" ht="10.5" hidden="1" customHeight="1">
      <c r="A358" s="104">
        <f t="shared" si="4"/>
        <v>95</v>
      </c>
    </row>
    <row r="359" spans="1:1" ht="10.5" hidden="1" customHeight="1">
      <c r="A359" s="104">
        <f t="shared" si="4"/>
        <v>96</v>
      </c>
    </row>
    <row r="360" spans="1:1" ht="10.5" hidden="1" customHeight="1">
      <c r="A360" s="104">
        <f t="shared" si="4"/>
        <v>97</v>
      </c>
    </row>
    <row r="361" spans="1:1" ht="10.5" hidden="1" customHeight="1">
      <c r="A361" s="104">
        <f t="shared" si="4"/>
        <v>98</v>
      </c>
    </row>
    <row r="362" spans="1:1" ht="10.5" hidden="1" customHeight="1">
      <c r="A362" s="104">
        <f t="shared" si="4"/>
        <v>99</v>
      </c>
    </row>
    <row r="363" spans="1:1" ht="10.5" hidden="1" customHeight="1">
      <c r="A363" s="104">
        <f t="shared" si="4"/>
        <v>100</v>
      </c>
    </row>
  </sheetData>
  <sheetProtection algorithmName="SHA-512" hashValue="L4VHUYbt72v3iGglYSALIHb0RxgUih96BgqBIywqiowEWTzufNbdbyzXXQ7zoBv0/DTLuzS9LJmd9IIa+Trf8g==" saltValue="2JTikCPzfY7H9ApUwx68kw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>
      <formula1>$I$230:$I$231</formula1>
    </dataValidation>
    <dataValidation type="list" allowBlank="1" showInputMessage="1" showErrorMessage="1" sqref="D27:D34">
      <formula1>$C$266:$C$267</formula1>
    </dataValidation>
    <dataValidation type="list" allowBlank="1" showInputMessage="1" showErrorMessage="1" sqref="D19">
      <formula1>$H$271:$H$278</formula1>
    </dataValidation>
    <dataValidation type="list" allowBlank="1" showInputMessage="1" showErrorMessage="1" sqref="D10">
      <formula1>$E$272:$E$273</formula1>
    </dataValidation>
    <dataValidation type="list" operator="notBetween" allowBlank="1" showInputMessage="1" showErrorMessage="1" errorTitle="AVISO" error="SUMA ASEGURADA FUERA DE RANGO" sqref="D11">
      <formula1>$C$271:$C$298</formula1>
    </dataValidation>
    <dataValidation type="list" allowBlank="1" showInputMessage="1" showErrorMessage="1" sqref="D14">
      <formula1>$C$310:$C$341</formula1>
    </dataValidation>
    <dataValidation type="list" allowBlank="1" showInputMessage="1" showErrorMessage="1" sqref="D12">
      <formula1>$C$231:$C$235</formula1>
    </dataValidation>
    <dataValidation type="list" allowBlank="1" showInputMessage="1" showErrorMessage="1" sqref="D8">
      <formula1>$H$239:$H$240</formula1>
    </dataValidation>
    <dataValidation type="list" allowBlank="1" showInputMessage="1" showErrorMessage="1" sqref="D9">
      <formula1>$H$241:$H$242</formula1>
    </dataValidation>
    <dataValidation type="list" allowBlank="1" showInputMessage="1" showErrorMessage="1" sqref="D16">
      <formula1>$I$234:$I$235</formula1>
    </dataValidation>
    <dataValidation type="list" allowBlank="1" showInputMessage="1" showErrorMessage="1" sqref="E29:E34">
      <formula1>A$263:A$287</formula1>
    </dataValidation>
    <dataValidation type="list" allowBlank="1" showInputMessage="1" showErrorMessage="1" sqref="E27:E28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AC241"/>
  <sheetViews>
    <sheetView showGridLines="0" zoomScaleNormal="100" workbookViewId="0">
      <selection activeCell="AP1" sqref="AP1"/>
    </sheetView>
  </sheetViews>
  <sheetFormatPr baseColWidth="10" defaultColWidth="0" defaultRowHeight="10" zeroHeight="1"/>
  <cols>
    <col min="1" max="1" width="3.453125" style="104" customWidth="1"/>
    <col min="2" max="2" width="3" style="104" customWidth="1"/>
    <col min="3" max="3" width="14.81640625" style="104" customWidth="1"/>
    <col min="4" max="4" width="14" style="104" customWidth="1"/>
    <col min="5" max="5" width="14.54296875" style="104" customWidth="1"/>
    <col min="6" max="6" width="19.26953125" style="104" customWidth="1"/>
    <col min="7" max="7" width="13.7265625" style="104" customWidth="1"/>
    <col min="8" max="8" width="18.81640625" style="104" customWidth="1"/>
    <col min="9" max="9" width="15.453125" style="104" customWidth="1"/>
    <col min="10" max="10" width="12.26953125" style="104" customWidth="1"/>
    <col min="11" max="11" width="18.1796875" style="104" customWidth="1"/>
    <col min="12" max="12" width="13.54296875" style="104" bestFit="1" customWidth="1"/>
    <col min="13" max="16384" width="0" style="104" hidden="1"/>
  </cols>
  <sheetData>
    <row r="1" spans="1:29" s="134" customFormat="1" ht="9" customHeight="1">
      <c r="B1" s="135"/>
      <c r="C1" s="135"/>
      <c r="D1" s="135"/>
      <c r="E1" s="135"/>
      <c r="F1" s="135"/>
      <c r="G1" s="135"/>
      <c r="H1" s="135"/>
      <c r="I1" s="135"/>
      <c r="J1" s="135"/>
      <c r="K1" s="13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</row>
    <row r="2" spans="1:29" s="134" customFormat="1" ht="7">
      <c r="B2" s="135"/>
      <c r="C2" s="135"/>
      <c r="D2" s="135"/>
      <c r="E2" s="135"/>
      <c r="F2" s="135"/>
      <c r="G2" s="135"/>
      <c r="H2" s="135"/>
      <c r="I2" s="135"/>
      <c r="J2" s="135"/>
      <c r="K2" s="135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</row>
    <row r="3" spans="1:29" s="134" customFormat="1" ht="7">
      <c r="B3" s="135"/>
      <c r="C3" s="135"/>
      <c r="D3" s="135"/>
      <c r="E3" s="135"/>
      <c r="F3" s="135"/>
      <c r="G3" s="135"/>
      <c r="H3" s="135"/>
      <c r="I3" s="135"/>
      <c r="J3" s="135"/>
      <c r="K3" s="135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</row>
    <row r="4" spans="1:29" s="134" customFormat="1" ht="7">
      <c r="B4" s="135"/>
      <c r="C4" s="135"/>
      <c r="D4" s="135"/>
      <c r="E4" s="135"/>
      <c r="F4" s="135"/>
      <c r="G4" s="135"/>
      <c r="H4" s="135"/>
      <c r="I4" s="135"/>
      <c r="J4" s="135"/>
      <c r="K4" s="135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</row>
    <row r="5" spans="1:29" s="137" customFormat="1" ht="15.75" customHeight="1">
      <c r="B5" s="297"/>
      <c r="C5" s="297"/>
      <c r="D5" s="297"/>
      <c r="E5" s="297"/>
      <c r="F5" s="297"/>
      <c r="G5" s="297"/>
      <c r="H5" s="297"/>
      <c r="I5" s="297"/>
      <c r="J5" s="297"/>
      <c r="K5" s="297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</row>
    <row r="6" spans="1:29" s="134" customFormat="1" ht="15">
      <c r="B6" s="265"/>
      <c r="C6" s="136"/>
      <c r="D6" s="136"/>
      <c r="E6" s="136"/>
      <c r="F6" s="138"/>
      <c r="G6" s="138"/>
      <c r="H6" s="135"/>
      <c r="I6" s="135"/>
      <c r="J6" s="135"/>
      <c r="K6" s="288">
        <f ca="1">TODAY()</f>
        <v>45713</v>
      </c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</row>
    <row r="7" spans="1:29" s="134" customFormat="1" ht="10.5" customHeight="1">
      <c r="B7" s="712" t="str">
        <f>+"Apreciable  "&amp;COTIZACION!C27</f>
        <v xml:space="preserve">Apreciable  </v>
      </c>
      <c r="C7" s="712"/>
      <c r="D7" s="712"/>
      <c r="E7" s="712"/>
      <c r="F7" s="712"/>
      <c r="G7" s="712"/>
      <c r="H7" s="712"/>
      <c r="I7" s="712"/>
      <c r="J7" s="712"/>
      <c r="K7" s="712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</row>
    <row r="8" spans="1:29" s="134" customFormat="1" ht="13.5" customHeight="1">
      <c r="B8" s="712"/>
      <c r="C8" s="712"/>
      <c r="D8" s="712"/>
      <c r="E8" s="712"/>
      <c r="F8" s="712"/>
      <c r="G8" s="712"/>
      <c r="H8" s="712"/>
      <c r="I8" s="712"/>
      <c r="J8" s="712"/>
      <c r="K8" s="712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</row>
    <row r="9" spans="1:29" s="134" customFormat="1" ht="13.5" customHeight="1">
      <c r="B9" s="713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13"/>
      <c r="D9" s="713"/>
      <c r="E9" s="713"/>
      <c r="F9" s="713"/>
      <c r="G9" s="713"/>
      <c r="H9" s="713"/>
      <c r="I9" s="713"/>
      <c r="J9" s="713"/>
      <c r="K9" s="713"/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</row>
    <row r="10" spans="1:29" s="134" customFormat="1" ht="13.5" customHeight="1">
      <c r="B10" s="713"/>
      <c r="C10" s="713"/>
      <c r="D10" s="713"/>
      <c r="E10" s="713"/>
      <c r="F10" s="713"/>
      <c r="G10" s="713"/>
      <c r="H10" s="713"/>
      <c r="I10" s="713"/>
      <c r="J10" s="713"/>
      <c r="K10" s="713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</row>
    <row r="11" spans="1:29" s="134" customFormat="1" ht="3" customHeight="1" thickBot="1">
      <c r="B11" s="135"/>
      <c r="C11" s="563"/>
      <c r="D11" s="563"/>
      <c r="E11" s="564"/>
      <c r="F11" s="564"/>
      <c r="G11" s="564"/>
      <c r="H11" s="135"/>
      <c r="I11" s="135"/>
      <c r="J11" s="135"/>
      <c r="K11" s="135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</row>
    <row r="12" spans="1:29" s="134" customFormat="1" ht="15.75" customHeight="1" thickBot="1">
      <c r="A12" s="104"/>
      <c r="B12" s="719" t="s">
        <v>119</v>
      </c>
      <c r="C12" s="720"/>
      <c r="D12" s="720"/>
      <c r="E12" s="720"/>
      <c r="F12" s="720"/>
      <c r="G12" s="720"/>
      <c r="H12" s="720"/>
      <c r="I12" s="720"/>
      <c r="J12" s="720"/>
      <c r="K12" s="721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</row>
    <row r="13" spans="1:29" ht="12.75" customHeight="1">
      <c r="A13" s="134"/>
      <c r="B13" s="115" t="s">
        <v>120</v>
      </c>
      <c r="C13" s="399" t="s">
        <v>121</v>
      </c>
      <c r="D13" s="399"/>
      <c r="E13" s="640"/>
      <c r="F13" s="640"/>
      <c r="G13" s="640"/>
      <c r="H13" s="400"/>
      <c r="I13" s="641" t="s">
        <v>214</v>
      </c>
      <c r="J13" s="642"/>
      <c r="K13" s="40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</row>
    <row r="14" spans="1:29" s="134" customFormat="1" ht="3" customHeight="1">
      <c r="B14" s="104"/>
      <c r="C14" s="642"/>
      <c r="D14" s="642"/>
      <c r="E14" s="642"/>
      <c r="F14" s="642"/>
      <c r="G14" s="642"/>
      <c r="H14" s="642"/>
      <c r="I14" s="642"/>
      <c r="J14" s="642"/>
      <c r="K14" s="642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</row>
    <row r="15" spans="1:29" s="134" customFormat="1" ht="12.5">
      <c r="B15" s="115" t="s">
        <v>120</v>
      </c>
      <c r="C15" s="399" t="s">
        <v>123</v>
      </c>
      <c r="D15" s="399"/>
      <c r="E15" s="640"/>
      <c r="F15" s="640"/>
      <c r="G15" s="640"/>
      <c r="H15" s="400"/>
      <c r="I15" s="643">
        <f>+COTIZACION!D11</f>
        <v>100000000</v>
      </c>
      <c r="J15" s="400" t="str">
        <f>IF(I15&lt;&gt;"SIN LÍMITE","M.N.","")</f>
        <v>M.N.</v>
      </c>
      <c r="K15" s="400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</row>
    <row r="16" spans="1:29" s="134" customFormat="1" ht="3" customHeight="1">
      <c r="B16" s="105"/>
      <c r="C16" s="400"/>
      <c r="D16" s="400"/>
      <c r="E16" s="640"/>
      <c r="F16" s="640"/>
      <c r="G16" s="640"/>
      <c r="H16" s="400"/>
      <c r="I16" s="641"/>
      <c r="J16" s="400"/>
      <c r="K16" s="400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  <c r="AA16" s="149"/>
      <c r="AB16" s="149"/>
      <c r="AC16" s="149"/>
    </row>
    <row r="17" spans="2:29" s="134" customFormat="1" ht="12.5">
      <c r="B17" s="115" t="s">
        <v>120</v>
      </c>
      <c r="C17" s="399" t="s">
        <v>215</v>
      </c>
      <c r="D17" s="399"/>
      <c r="E17" s="640"/>
      <c r="F17" s="640"/>
      <c r="G17" s="289"/>
      <c r="H17" s="400"/>
      <c r="I17" s="643">
        <f>+TITULAR!E6</f>
        <v>15000</v>
      </c>
      <c r="J17" s="400" t="s">
        <v>126</v>
      </c>
      <c r="K17" s="400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</row>
    <row r="18" spans="2:29" s="134" customFormat="1" ht="3" customHeight="1">
      <c r="B18" s="105"/>
      <c r="C18" s="400"/>
      <c r="D18" s="400"/>
      <c r="E18" s="640"/>
      <c r="F18" s="640"/>
      <c r="G18" s="640"/>
      <c r="H18" s="400"/>
      <c r="I18" s="289"/>
      <c r="J18" s="400"/>
      <c r="K18" s="400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</row>
    <row r="19" spans="2:29" s="134" customFormat="1" ht="12.5">
      <c r="B19" s="115" t="s">
        <v>120</v>
      </c>
      <c r="C19" s="399" t="s">
        <v>128</v>
      </c>
      <c r="D19" s="399"/>
      <c r="E19" s="640"/>
      <c r="F19" s="640"/>
      <c r="G19" s="289" t="s">
        <v>125</v>
      </c>
      <c r="H19" s="400"/>
      <c r="I19" s="644" t="str">
        <f>+CONCATENATE(TITULAR!E8*100,"% con tope de ",VLOOKUP(COTIZACION!D13,FACTORES!C16:D20,2,FALSE)&amp;" M.N.")</f>
        <v>10% con tope de $30,000 M.N.</v>
      </c>
      <c r="J19" s="400"/>
      <c r="K19" s="400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</row>
    <row r="20" spans="2:29" s="134" customFormat="1" ht="12" customHeight="1">
      <c r="B20" s="105"/>
      <c r="C20" s="399"/>
      <c r="D20" s="399"/>
      <c r="E20" s="205"/>
      <c r="F20" s="205"/>
      <c r="G20" s="289" t="s">
        <v>127</v>
      </c>
      <c r="H20" s="400"/>
      <c r="I20" s="644">
        <v>0</v>
      </c>
      <c r="J20" s="400"/>
      <c r="K20" s="400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49"/>
    </row>
    <row r="21" spans="2:29" s="134" customFormat="1" ht="6" customHeight="1">
      <c r="B21" s="105"/>
      <c r="C21" s="399"/>
      <c r="D21" s="399"/>
      <c r="E21" s="565"/>
      <c r="F21" s="565"/>
      <c r="G21" s="400"/>
      <c r="H21" s="400"/>
      <c r="I21" s="289"/>
      <c r="J21" s="400"/>
      <c r="K21" s="400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</row>
    <row r="22" spans="2:29" s="134" customFormat="1" ht="10.5" hidden="1" customHeight="1">
      <c r="B22" s="115" t="s">
        <v>120</v>
      </c>
      <c r="C22" s="287" t="s">
        <v>216</v>
      </c>
      <c r="D22" s="287"/>
      <c r="E22" s="205"/>
      <c r="F22" s="205"/>
      <c r="G22" s="289"/>
      <c r="H22" s="400"/>
      <c r="I22" s="644">
        <f>+TITULAR!E9</f>
        <v>0</v>
      </c>
      <c r="J22" s="400"/>
      <c r="K22" s="642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</row>
    <row r="23" spans="2:29" s="134" customFormat="1" ht="13.5" customHeight="1">
      <c r="B23" s="115" t="s">
        <v>120</v>
      </c>
      <c r="C23" s="287" t="s">
        <v>217</v>
      </c>
      <c r="D23" s="287"/>
      <c r="E23" s="645"/>
      <c r="F23" s="646"/>
      <c r="G23" s="399"/>
      <c r="H23" s="400"/>
      <c r="I23" s="399" t="s">
        <v>218</v>
      </c>
      <c r="J23" s="400"/>
      <c r="K23" s="400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49"/>
    </row>
    <row r="24" spans="2:29" s="134" customFormat="1" ht="13.5" customHeight="1">
      <c r="B24" s="115" t="s">
        <v>120</v>
      </c>
      <c r="C24" s="287" t="s">
        <v>219</v>
      </c>
      <c r="D24" s="287"/>
      <c r="E24" s="647"/>
      <c r="F24" s="647"/>
      <c r="G24" s="399"/>
      <c r="H24" s="400"/>
      <c r="I24" s="399" t="s">
        <v>218</v>
      </c>
      <c r="J24" s="642"/>
      <c r="K24" s="642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</row>
    <row r="25" spans="2:29" s="134" customFormat="1" ht="13.5" customHeight="1">
      <c r="B25" s="115" t="s">
        <v>120</v>
      </c>
      <c r="C25" s="287" t="s">
        <v>220</v>
      </c>
      <c r="D25" s="287"/>
      <c r="E25" s="400"/>
      <c r="F25" s="399"/>
      <c r="G25" s="399"/>
      <c r="H25" s="400"/>
      <c r="I25" s="399" t="s">
        <v>218</v>
      </c>
      <c r="J25" s="642"/>
      <c r="K25" s="642"/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  <c r="AA25" s="149"/>
      <c r="AB25" s="149"/>
      <c r="AC25" s="149"/>
    </row>
    <row r="26" spans="2:29" s="134" customFormat="1" ht="13.5" customHeight="1">
      <c r="B26" s="115" t="s">
        <v>120</v>
      </c>
      <c r="C26" s="287" t="s">
        <v>221</v>
      </c>
      <c r="D26" s="287"/>
      <c r="E26" s="400"/>
      <c r="F26" s="399"/>
      <c r="G26" s="399"/>
      <c r="H26" s="400"/>
      <c r="I26" s="399" t="s">
        <v>218</v>
      </c>
      <c r="J26" s="642"/>
      <c r="K26" s="642"/>
      <c r="M26" s="149"/>
      <c r="N26" s="149"/>
      <c r="O26" s="149"/>
      <c r="P26" s="149"/>
      <c r="Q26" s="149"/>
      <c r="R26" s="149"/>
      <c r="S26" s="149"/>
      <c r="T26" s="149"/>
      <c r="U26" s="149"/>
      <c r="V26" s="149"/>
      <c r="W26" s="149"/>
      <c r="X26" s="149"/>
      <c r="Y26" s="149"/>
      <c r="Z26" s="149"/>
      <c r="AA26" s="149"/>
      <c r="AB26" s="149"/>
      <c r="AC26" s="149"/>
    </row>
    <row r="27" spans="2:29" s="134" customFormat="1" ht="13.5" customHeight="1">
      <c r="B27" s="115" t="s">
        <v>120</v>
      </c>
      <c r="C27" s="287" t="s">
        <v>222</v>
      </c>
      <c r="D27" s="287"/>
      <c r="E27" s="400"/>
      <c r="F27" s="399"/>
      <c r="G27" s="399"/>
      <c r="H27" s="400"/>
      <c r="I27" s="399" t="s">
        <v>223</v>
      </c>
      <c r="J27" s="642"/>
      <c r="K27" s="642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</row>
    <row r="28" spans="2:29" s="134" customFormat="1" ht="13.5" customHeight="1">
      <c r="B28" s="115" t="s">
        <v>120</v>
      </c>
      <c r="C28" s="287" t="s">
        <v>224</v>
      </c>
      <c r="D28" s="287"/>
      <c r="E28" s="400"/>
      <c r="F28" s="399"/>
      <c r="G28" s="399"/>
      <c r="H28" s="400"/>
      <c r="I28" s="399"/>
      <c r="J28" s="642"/>
      <c r="K28" s="642"/>
      <c r="M28" s="149"/>
      <c r="N28" s="149"/>
      <c r="O28" s="149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49"/>
    </row>
    <row r="29" spans="2:29" s="134" customFormat="1" ht="13.5" customHeight="1">
      <c r="B29" s="115"/>
      <c r="C29" s="287" t="s">
        <v>225</v>
      </c>
      <c r="D29" s="287"/>
      <c r="E29" s="400"/>
      <c r="F29" s="399"/>
      <c r="G29" s="399"/>
      <c r="H29" s="400"/>
      <c r="I29" s="286" t="s">
        <v>226</v>
      </c>
      <c r="J29" s="642"/>
      <c r="K29" s="642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</row>
    <row r="30" spans="2:29" s="134" customFormat="1" ht="13.5" customHeight="1">
      <c r="B30" s="115" t="s">
        <v>120</v>
      </c>
      <c r="C30" s="287" t="s">
        <v>227</v>
      </c>
      <c r="D30" s="287"/>
      <c r="E30" s="400"/>
      <c r="F30" s="399"/>
      <c r="G30" s="399"/>
      <c r="H30" s="400"/>
      <c r="I30" s="286" t="s">
        <v>226</v>
      </c>
      <c r="J30" s="642"/>
      <c r="K30" s="642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</row>
    <row r="31" spans="2:29" s="134" customFormat="1" ht="13.5" customHeight="1">
      <c r="B31" s="115" t="s">
        <v>120</v>
      </c>
      <c r="C31" s="287" t="s">
        <v>228</v>
      </c>
      <c r="D31" s="287"/>
      <c r="E31" s="400"/>
      <c r="F31" s="399"/>
      <c r="G31" s="399"/>
      <c r="H31" s="400"/>
      <c r="I31" s="399" t="s">
        <v>229</v>
      </c>
      <c r="J31" s="642"/>
      <c r="K31" s="642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</row>
    <row r="32" spans="2:29" s="134" customFormat="1" ht="13.5" customHeight="1">
      <c r="B32" s="115" t="s">
        <v>120</v>
      </c>
      <c r="C32" s="287" t="s">
        <v>230</v>
      </c>
      <c r="D32" s="287"/>
      <c r="E32" s="400"/>
      <c r="F32" s="399"/>
      <c r="G32" s="399"/>
      <c r="H32" s="400"/>
      <c r="I32" s="399" t="s">
        <v>229</v>
      </c>
      <c r="J32" s="400"/>
      <c r="K32" s="640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</row>
    <row r="33" spans="2:29" s="134" customFormat="1" ht="13.5" customHeight="1">
      <c r="B33" s="115" t="s">
        <v>120</v>
      </c>
      <c r="C33" s="287" t="s">
        <v>231</v>
      </c>
      <c r="D33" s="287"/>
      <c r="E33" s="400"/>
      <c r="F33" s="399"/>
      <c r="G33" s="399"/>
      <c r="H33" s="400"/>
      <c r="I33" s="401">
        <v>50000</v>
      </c>
      <c r="J33" s="400" t="str">
        <f>IF(I33="Excluido","","M.N")</f>
        <v>M.N</v>
      </c>
      <c r="K33" s="642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</row>
    <row r="34" spans="2:29" s="134" customFormat="1" ht="13.5" customHeight="1">
      <c r="B34" s="115" t="s">
        <v>120</v>
      </c>
      <c r="C34" s="287" t="s">
        <v>232</v>
      </c>
      <c r="D34" s="287"/>
      <c r="E34" s="400"/>
      <c r="F34" s="399"/>
      <c r="G34" s="399"/>
      <c r="H34" s="400"/>
      <c r="I34" s="401">
        <v>150</v>
      </c>
      <c r="J34" s="400" t="str">
        <f>IF(I34="Excluido","","M.N")</f>
        <v>M.N</v>
      </c>
      <c r="K34" s="400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49"/>
    </row>
    <row r="35" spans="2:29" s="134" customFormat="1" ht="13.5" customHeight="1">
      <c r="B35" s="115" t="s">
        <v>120</v>
      </c>
      <c r="C35" s="287" t="s">
        <v>233</v>
      </c>
      <c r="D35" s="287"/>
      <c r="E35" s="400"/>
      <c r="F35" s="400"/>
      <c r="G35" s="400"/>
      <c r="H35" s="400"/>
      <c r="I35" s="647"/>
      <c r="J35" s="400"/>
      <c r="K35" s="642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</row>
    <row r="36" spans="2:29" s="134" customFormat="1" ht="13.5" customHeight="1">
      <c r="B36" s="115"/>
      <c r="C36" s="287" t="s">
        <v>234</v>
      </c>
      <c r="D36" s="287"/>
      <c r="E36" s="400"/>
      <c r="F36" s="400"/>
      <c r="G36" s="400"/>
      <c r="H36" s="400"/>
      <c r="I36" s="648">
        <v>15000</v>
      </c>
      <c r="J36" s="400" t="str">
        <f>IF(I36="Excluido","","M.N")</f>
        <v>M.N</v>
      </c>
      <c r="K36" s="642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</row>
    <row r="37" spans="2:29" s="134" customFormat="1" ht="13.5" customHeight="1">
      <c r="B37" s="115" t="s">
        <v>120</v>
      </c>
      <c r="C37" s="287" t="s">
        <v>235</v>
      </c>
      <c r="D37" s="287"/>
      <c r="E37" s="400"/>
      <c r="F37" s="399"/>
      <c r="G37" s="399"/>
      <c r="H37" s="400"/>
      <c r="I37" s="399"/>
      <c r="J37" s="400"/>
      <c r="K37" s="642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</row>
    <row r="38" spans="2:29" s="134" customFormat="1" ht="13.5" customHeight="1">
      <c r="B38" s="115"/>
      <c r="C38" s="287" t="s">
        <v>236</v>
      </c>
      <c r="D38" s="287"/>
      <c r="E38" s="400"/>
      <c r="F38" s="400"/>
      <c r="G38" s="400"/>
      <c r="H38" s="400"/>
      <c r="I38" s="399" t="s">
        <v>218</v>
      </c>
      <c r="J38" s="400"/>
      <c r="K38" s="400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</row>
    <row r="39" spans="2:29" s="134" customFormat="1" ht="13.5" customHeight="1">
      <c r="B39" s="115" t="s">
        <v>120</v>
      </c>
      <c r="C39" s="287" t="s">
        <v>237</v>
      </c>
      <c r="D39" s="287"/>
      <c r="E39" s="400"/>
      <c r="F39" s="399"/>
      <c r="G39" s="399"/>
      <c r="H39" s="400"/>
      <c r="I39" s="399" t="s">
        <v>238</v>
      </c>
      <c r="J39" s="400"/>
      <c r="K39" s="400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</row>
    <row r="40" spans="2:29" s="134" customFormat="1" ht="13.5" customHeight="1">
      <c r="B40" s="115"/>
      <c r="C40" s="287" t="s">
        <v>239</v>
      </c>
      <c r="D40" s="287"/>
      <c r="E40" s="400"/>
      <c r="F40" s="399"/>
      <c r="G40" s="399"/>
      <c r="H40" s="400"/>
      <c r="I40" s="401" t="s">
        <v>240</v>
      </c>
      <c r="J40" s="400" t="str">
        <f>IF(I40="Excluido","","Por Evento")</f>
        <v>Por Evento</v>
      </c>
      <c r="K40" s="400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</row>
    <row r="41" spans="2:29" s="134" customFormat="1" ht="13.5" customHeight="1">
      <c r="B41" s="115" t="s">
        <v>120</v>
      </c>
      <c r="C41" s="287" t="s">
        <v>241</v>
      </c>
      <c r="D41" s="287"/>
      <c r="E41" s="400"/>
      <c r="F41" s="399"/>
      <c r="G41" s="399"/>
      <c r="H41" s="400"/>
      <c r="I41" s="399" t="s">
        <v>229</v>
      </c>
      <c r="J41" s="400"/>
      <c r="K41" s="400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</row>
    <row r="42" spans="2:29" s="134" customFormat="1" ht="13.5" customHeight="1">
      <c r="B42" s="115"/>
      <c r="C42" s="289" t="s">
        <v>242</v>
      </c>
      <c r="D42" s="289"/>
      <c r="E42" s="400"/>
      <c r="F42" s="399"/>
      <c r="G42" s="399"/>
      <c r="H42" s="400"/>
      <c r="I42" s="399"/>
      <c r="J42" s="400"/>
      <c r="K42" s="400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</row>
    <row r="43" spans="2:29" s="134" customFormat="1" ht="13.5" customHeight="1">
      <c r="B43" s="115" t="s">
        <v>120</v>
      </c>
      <c r="C43" s="287" t="s">
        <v>243</v>
      </c>
      <c r="D43" s="287"/>
      <c r="E43" s="400"/>
      <c r="F43" s="399"/>
      <c r="G43" s="399"/>
      <c r="H43" s="400"/>
      <c r="I43" s="399" t="s">
        <v>229</v>
      </c>
      <c r="J43" s="400"/>
      <c r="K43" s="400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</row>
    <row r="44" spans="2:29" s="134" customFormat="1" ht="13.5" customHeight="1">
      <c r="B44" s="115" t="s">
        <v>120</v>
      </c>
      <c r="C44" s="566" t="s">
        <v>244</v>
      </c>
      <c r="D44" s="649"/>
      <c r="E44" s="650"/>
      <c r="F44" s="399"/>
      <c r="G44" s="399"/>
      <c r="H44" s="400"/>
      <c r="I44" s="399"/>
      <c r="J44" s="400"/>
      <c r="K44" s="400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</row>
    <row r="45" spans="2:29" s="134" customFormat="1" ht="13.5" customHeight="1">
      <c r="B45" s="115"/>
      <c r="C45" s="567" t="s">
        <v>245</v>
      </c>
      <c r="D45" s="651"/>
      <c r="E45" s="652"/>
      <c r="F45" s="399"/>
      <c r="G45" s="399"/>
      <c r="H45" s="400"/>
      <c r="I45" s="399"/>
      <c r="J45" s="400"/>
      <c r="K45" s="400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</row>
    <row r="46" spans="2:29" s="134" customFormat="1" ht="13.5" customHeight="1">
      <c r="B46" s="115"/>
      <c r="C46" s="567" t="s">
        <v>246</v>
      </c>
      <c r="D46" s="651"/>
      <c r="E46" s="652"/>
      <c r="F46" s="399"/>
      <c r="G46" s="399"/>
      <c r="H46" s="400"/>
      <c r="I46" s="399"/>
      <c r="J46" s="400"/>
      <c r="K46" s="400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</row>
    <row r="47" spans="2:29" s="134" customFormat="1" ht="13.5" customHeight="1">
      <c r="B47" s="115"/>
      <c r="C47" s="568" t="s">
        <v>247</v>
      </c>
      <c r="D47" s="653"/>
      <c r="E47" s="654"/>
      <c r="F47" s="399"/>
      <c r="G47" s="399"/>
      <c r="H47" s="400"/>
      <c r="I47" s="399" t="s">
        <v>226</v>
      </c>
      <c r="J47" s="400"/>
      <c r="K47" s="400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</row>
    <row r="48" spans="2:29" s="134" customFormat="1" ht="13.5" customHeight="1">
      <c r="B48" s="115" t="s">
        <v>120</v>
      </c>
      <c r="C48" s="287" t="s">
        <v>248</v>
      </c>
      <c r="D48" s="287"/>
      <c r="E48" s="400"/>
      <c r="F48" s="399"/>
      <c r="G48" s="399"/>
      <c r="H48" s="400"/>
      <c r="I48" s="399"/>
      <c r="J48" s="400"/>
      <c r="K48" s="642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</row>
    <row r="49" spans="1:29" s="134" customFormat="1" ht="13.5" customHeight="1">
      <c r="B49" s="115"/>
      <c r="C49" s="287" t="s">
        <v>249</v>
      </c>
      <c r="D49" s="287"/>
      <c r="E49" s="400"/>
      <c r="F49" s="399"/>
      <c r="G49" s="399"/>
      <c r="H49" s="400"/>
      <c r="I49" s="399" t="s">
        <v>226</v>
      </c>
      <c r="J49" s="400"/>
      <c r="K49" s="400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</row>
    <row r="50" spans="1:29" s="134" customFormat="1" ht="13.5" customHeight="1">
      <c r="B50" s="115" t="s">
        <v>120</v>
      </c>
      <c r="C50" s="287" t="s">
        <v>250</v>
      </c>
      <c r="D50" s="287"/>
      <c r="E50" s="400"/>
      <c r="F50" s="399"/>
      <c r="G50" s="399"/>
      <c r="H50" s="400"/>
      <c r="I50" s="399" t="s">
        <v>226</v>
      </c>
      <c r="J50" s="400"/>
      <c r="K50" s="400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</row>
    <row r="51" spans="1:29" s="134" customFormat="1" ht="13.5" customHeight="1">
      <c r="B51" s="115" t="s">
        <v>120</v>
      </c>
      <c r="C51" s="289" t="s">
        <v>251</v>
      </c>
      <c r="D51" s="289"/>
      <c r="E51" s="400"/>
      <c r="F51" s="399"/>
      <c r="G51" s="399"/>
      <c r="H51" s="400"/>
      <c r="I51" s="399"/>
      <c r="J51" s="400"/>
      <c r="K51" s="400"/>
      <c r="M51" s="149"/>
      <c r="N51" s="149"/>
      <c r="O51" s="149"/>
      <c r="P51" s="149"/>
      <c r="Q51" s="149"/>
      <c r="R51" s="149"/>
      <c r="S51" s="149"/>
      <c r="T51" s="149"/>
      <c r="U51" s="149"/>
      <c r="V51" s="149"/>
      <c r="W51" s="149"/>
      <c r="X51" s="149"/>
      <c r="Y51" s="149"/>
      <c r="Z51" s="149"/>
      <c r="AA51" s="149"/>
      <c r="AB51" s="149"/>
      <c r="AC51" s="149"/>
    </row>
    <row r="52" spans="1:29" s="134" customFormat="1" ht="13.5" customHeight="1">
      <c r="B52" s="115"/>
      <c r="C52" s="289" t="s">
        <v>252</v>
      </c>
      <c r="D52" s="289"/>
      <c r="E52" s="400"/>
      <c r="F52" s="399"/>
      <c r="G52" s="399"/>
      <c r="H52" s="400"/>
      <c r="I52" s="399" t="s">
        <v>226</v>
      </c>
      <c r="J52" s="400"/>
      <c r="K52" s="400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</row>
    <row r="53" spans="1:29" s="134" customFormat="1" ht="13.5" customHeight="1">
      <c r="B53" s="115" t="s">
        <v>120</v>
      </c>
      <c r="C53" s="287" t="s">
        <v>253</v>
      </c>
      <c r="D53" s="287"/>
      <c r="E53" s="400"/>
      <c r="F53" s="400"/>
      <c r="G53" s="400"/>
      <c r="H53" s="400"/>
      <c r="I53" s="399" t="s">
        <v>226</v>
      </c>
      <c r="J53" s="400"/>
      <c r="K53" s="400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  <c r="AC53" s="149"/>
    </row>
    <row r="54" spans="1:29" s="134" customFormat="1" ht="13.5" customHeight="1">
      <c r="B54" s="411" t="s">
        <v>120</v>
      </c>
      <c r="C54" s="651" t="s">
        <v>254</v>
      </c>
      <c r="D54" s="651"/>
      <c r="E54" s="655"/>
      <c r="F54" s="655"/>
      <c r="G54" s="655"/>
      <c r="H54" s="655"/>
      <c r="I54" s="655" t="s">
        <v>226</v>
      </c>
      <c r="J54" s="655"/>
      <c r="K54" s="655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  <c r="AB54" s="149"/>
      <c r="AC54" s="149"/>
    </row>
    <row r="55" spans="1:29" s="134" customFormat="1" ht="13.5" hidden="1" customHeight="1">
      <c r="B55" s="411" t="s">
        <v>120</v>
      </c>
      <c r="C55" s="412" t="s">
        <v>255</v>
      </c>
      <c r="D55" s="656"/>
      <c r="E55" s="657"/>
      <c r="F55" s="657"/>
      <c r="G55" s="657"/>
      <c r="H55" s="657"/>
      <c r="I55" s="657" t="s">
        <v>226</v>
      </c>
      <c r="J55" s="655"/>
      <c r="K55" s="655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  <c r="AC55" s="149"/>
    </row>
    <row r="56" spans="1:29" s="134" customFormat="1" ht="13.5" customHeight="1">
      <c r="B56" s="411" t="s">
        <v>120</v>
      </c>
      <c r="C56" s="413" t="s">
        <v>256</v>
      </c>
      <c r="D56" s="658"/>
      <c r="E56" s="659"/>
      <c r="F56" s="659"/>
      <c r="G56" s="659"/>
      <c r="H56" s="659"/>
      <c r="I56" s="659" t="s">
        <v>226</v>
      </c>
      <c r="J56" s="655"/>
      <c r="K56" s="655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</row>
    <row r="57" spans="1:29" s="134" customFormat="1" ht="13.5" customHeight="1">
      <c r="B57" s="115" t="s">
        <v>120</v>
      </c>
      <c r="C57" s="289" t="s">
        <v>257</v>
      </c>
      <c r="D57" s="287"/>
      <c r="E57" s="400"/>
      <c r="F57" s="399"/>
      <c r="G57" s="399"/>
      <c r="H57" s="400"/>
      <c r="I57" s="399" t="s">
        <v>226</v>
      </c>
      <c r="J57" s="400"/>
      <c r="K57" s="400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</row>
    <row r="58" spans="1:29" s="134" customFormat="1" ht="18.75" customHeight="1">
      <c r="B58" s="235"/>
      <c r="C58" s="731" t="s">
        <v>258</v>
      </c>
      <c r="D58" s="731"/>
      <c r="E58" s="731"/>
      <c r="F58" s="731"/>
      <c r="G58" s="731"/>
      <c r="H58" s="731"/>
      <c r="I58" s="731"/>
      <c r="J58" s="731"/>
      <c r="K58" s="731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</row>
    <row r="59" spans="1:29" s="134" customFormat="1" ht="13.5" customHeight="1">
      <c r="B59" s="107" t="s">
        <v>120</v>
      </c>
      <c r="C59" s="289" t="s">
        <v>144</v>
      </c>
      <c r="D59" s="287"/>
      <c r="E59" s="400"/>
      <c r="F59" s="400"/>
      <c r="G59" s="399"/>
      <c r="H59" s="569"/>
      <c r="I59" s="401" t="str">
        <f>IF(OR(COTIZACION!D19="NO",SUM(COTIZACION!A27:A34)&lt;=0),"Excluido",COTIZACION!D19)</f>
        <v>Excluido</v>
      </c>
      <c r="J59" s="289" t="str">
        <f>IF(I59="EXCLUIDO","","M.N.")</f>
        <v/>
      </c>
      <c r="K59" s="28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</row>
    <row r="60" spans="1:29" s="134" customFormat="1" ht="13.5" customHeight="1">
      <c r="B60" s="414" t="s">
        <v>120</v>
      </c>
      <c r="C60" s="413" t="s">
        <v>143</v>
      </c>
      <c r="D60" s="658"/>
      <c r="E60" s="659"/>
      <c r="F60" s="659"/>
      <c r="G60" s="659"/>
      <c r="H60" s="570"/>
      <c r="I60" s="660" t="str">
        <f>IF(COTIZACION!D18="SI","Incluido","Excluido")</f>
        <v>Excluido</v>
      </c>
      <c r="J60" s="415"/>
      <c r="K60" s="661"/>
      <c r="M60" s="149"/>
      <c r="N60" s="149"/>
      <c r="O60" s="149"/>
      <c r="P60" s="149"/>
      <c r="Q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</row>
    <row r="61" spans="1:29" s="134" customFormat="1" ht="13.5" customHeight="1">
      <c r="B61" s="204" t="s">
        <v>120</v>
      </c>
      <c r="C61" s="538" t="s">
        <v>140</v>
      </c>
      <c r="D61" s="662"/>
      <c r="E61" s="606"/>
      <c r="F61" s="606"/>
      <c r="G61" s="606"/>
      <c r="H61" s="571"/>
      <c r="I61" s="663" t="str">
        <f>+IF(COTIZACION!D16="SI","Incluido","Excluido")</f>
        <v>Excluido</v>
      </c>
      <c r="J61" s="539"/>
      <c r="K61" s="647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</row>
    <row r="62" spans="1:29" s="134" customFormat="1" ht="13.5" customHeight="1">
      <c r="B62" s="107"/>
      <c r="C62" s="289"/>
      <c r="D62" s="287"/>
      <c r="E62" s="400"/>
      <c r="F62" s="400"/>
      <c r="G62" s="399"/>
      <c r="H62" s="569"/>
      <c r="I62" s="401"/>
      <c r="J62" s="235"/>
      <c r="K62" s="28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</row>
    <row r="63" spans="1:29" ht="12.75" customHeight="1">
      <c r="A63" s="134"/>
      <c r="C63" s="289" t="s">
        <v>259</v>
      </c>
      <c r="D63" s="289"/>
      <c r="E63" s="642"/>
      <c r="F63" s="642"/>
      <c r="G63" s="642"/>
      <c r="H63" s="642"/>
      <c r="J63" s="642"/>
      <c r="K63" s="642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</row>
    <row r="64" spans="1:29" ht="12.75" customHeight="1">
      <c r="A64" s="134"/>
      <c r="C64" s="289" t="s">
        <v>260</v>
      </c>
      <c r="D64" s="289"/>
      <c r="E64" s="642"/>
      <c r="F64" s="642"/>
      <c r="G64" s="642"/>
      <c r="H64" s="642"/>
      <c r="I64" s="399"/>
      <c r="J64" s="642"/>
      <c r="K64" s="642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</row>
    <row r="65" spans="1:29" ht="12.75" customHeight="1">
      <c r="A65" s="134"/>
      <c r="C65" s="289" t="s">
        <v>261</v>
      </c>
      <c r="D65" s="289"/>
      <c r="E65" s="642"/>
      <c r="F65" s="642"/>
      <c r="G65" s="642"/>
      <c r="H65" s="642"/>
      <c r="I65" s="399"/>
      <c r="J65" s="642"/>
      <c r="K65" s="642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</row>
    <row r="66" spans="1:29" ht="12.75" hidden="1" customHeight="1">
      <c r="A66" s="134"/>
      <c r="B66" s="572"/>
      <c r="C66" s="413" t="s">
        <v>262</v>
      </c>
      <c r="D66" s="413"/>
      <c r="E66" s="664"/>
      <c r="F66" s="664"/>
      <c r="G66" s="664"/>
      <c r="H66" s="664"/>
      <c r="I66" s="659"/>
      <c r="J66" s="664"/>
      <c r="K66" s="664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</row>
    <row r="67" spans="1:29" ht="12.75" hidden="1" customHeight="1">
      <c r="A67" s="134"/>
      <c r="B67" s="572"/>
      <c r="C67" s="413" t="s">
        <v>263</v>
      </c>
      <c r="D67" s="413"/>
      <c r="E67" s="664"/>
      <c r="F67" s="664"/>
      <c r="G67" s="664"/>
      <c r="H67" s="664"/>
      <c r="I67" s="659"/>
      <c r="J67" s="664"/>
      <c r="K67" s="664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</row>
    <row r="68" spans="1:29" ht="12.75" hidden="1" customHeight="1">
      <c r="A68" s="134"/>
      <c r="B68" s="572"/>
      <c r="C68" s="413" t="s">
        <v>264</v>
      </c>
      <c r="D68" s="413"/>
      <c r="E68" s="664"/>
      <c r="F68" s="664"/>
      <c r="G68" s="664"/>
      <c r="H68" s="664"/>
      <c r="I68" s="659"/>
      <c r="J68" s="664"/>
      <c r="K68" s="664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</row>
    <row r="69" spans="1:29" ht="7.5" customHeight="1" thickBot="1">
      <c r="A69" s="134"/>
      <c r="B69" s="115"/>
      <c r="C69" s="289"/>
      <c r="D69" s="289"/>
      <c r="E69" s="642"/>
      <c r="F69" s="642"/>
      <c r="G69" s="642"/>
      <c r="H69" s="642"/>
      <c r="I69" s="399"/>
      <c r="J69" s="642"/>
      <c r="K69" s="642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</row>
    <row r="70" spans="1:29" ht="16.5" customHeight="1" thickBot="1">
      <c r="C70" s="732" t="s">
        <v>265</v>
      </c>
      <c r="D70" s="733"/>
      <c r="E70" s="733"/>
      <c r="F70" s="733"/>
      <c r="G70" s="733"/>
      <c r="H70" s="733"/>
      <c r="I70" s="733"/>
      <c r="J70" s="733"/>
      <c r="K70" s="734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</row>
    <row r="71" spans="1:29" s="134" customFormat="1" ht="11.5">
      <c r="A71" s="104"/>
      <c r="B71" s="104"/>
      <c r="C71" s="722" t="s">
        <v>266</v>
      </c>
      <c r="D71" s="723"/>
      <c r="E71" s="723"/>
      <c r="F71" s="723"/>
      <c r="G71" s="724"/>
      <c r="H71" s="728" t="s">
        <v>267</v>
      </c>
      <c r="I71" s="728" t="s">
        <v>268</v>
      </c>
      <c r="J71" s="728" t="s">
        <v>269</v>
      </c>
      <c r="K71" s="441" t="s">
        <v>270</v>
      </c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149"/>
      <c r="AC71" s="149"/>
    </row>
    <row r="72" spans="1:29" s="134" customFormat="1" ht="12" thickBot="1">
      <c r="B72" s="104"/>
      <c r="C72" s="725"/>
      <c r="D72" s="726"/>
      <c r="E72" s="726"/>
      <c r="F72" s="726"/>
      <c r="G72" s="727"/>
      <c r="H72" s="729"/>
      <c r="I72" s="729"/>
      <c r="J72" s="729"/>
      <c r="K72" s="441" t="s">
        <v>271</v>
      </c>
      <c r="L72" s="331"/>
      <c r="M72" s="149"/>
      <c r="N72" s="149"/>
      <c r="O72" s="149"/>
      <c r="P72" s="149"/>
      <c r="Q72" s="149"/>
      <c r="R72" s="149"/>
      <c r="S72" s="149"/>
      <c r="T72" s="149"/>
      <c r="U72" s="149"/>
      <c r="V72" s="149"/>
      <c r="W72" s="149"/>
      <c r="X72" s="149"/>
      <c r="Y72" s="149"/>
      <c r="Z72" s="149"/>
      <c r="AA72" s="149"/>
      <c r="AB72" s="149"/>
      <c r="AC72" s="149"/>
    </row>
    <row r="73" spans="1:29" s="134" customFormat="1" ht="12" customHeight="1">
      <c r="A73" s="281">
        <f t="shared" ref="A73:A80" si="0">IF(AND(H73&lt;&gt;"",H73&gt;69),1,0)</f>
        <v>0</v>
      </c>
      <c r="C73" s="227" t="str">
        <f>IF(COTIZACION!C27="","",COTIZACION!C27)</f>
        <v/>
      </c>
      <c r="D73" s="227"/>
      <c r="E73" s="227"/>
      <c r="F73" s="227"/>
      <c r="G73" s="227"/>
      <c r="H73" s="266" t="str">
        <f>IF(COTIZACION!E27="","",COTIZACION!E27)</f>
        <v/>
      </c>
      <c r="I73" s="266" t="str">
        <f>IF(COTIZACION!D27="","",COTIZACION!D27)</f>
        <v/>
      </c>
      <c r="J73" s="266" t="str">
        <f>IF(COTIZACION!C27="","",COTIZACION!B27)</f>
        <v/>
      </c>
      <c r="K73" s="418" t="str">
        <f>IFERROR(IF(COTIZACION!F27&lt;&gt;"","",IF(H73="","",IF(I73="H",VLOOKUP(H73,TITULAR!$B$27:$G$127,5,0),IF(I73="M",VLOOKUP(H73,TITULAR!$B$27:$G$127,6,0),"")))),"")</f>
        <v/>
      </c>
      <c r="L73" s="330"/>
      <c r="M73" s="163"/>
      <c r="N73" s="149"/>
      <c r="O73" s="149"/>
      <c r="P73" s="149"/>
      <c r="Q73" s="149"/>
      <c r="R73" s="149"/>
      <c r="S73" s="149"/>
      <c r="T73" s="149"/>
      <c r="U73" s="149"/>
      <c r="V73" s="149"/>
      <c r="W73" s="149"/>
      <c r="X73" s="149"/>
      <c r="Y73" s="149"/>
      <c r="Z73" s="149"/>
      <c r="AA73" s="149"/>
      <c r="AB73" s="149"/>
      <c r="AC73" s="149"/>
    </row>
    <row r="74" spans="1:29" s="134" customFormat="1" ht="12" customHeight="1">
      <c r="A74" s="281">
        <f>IF(AND(H74&lt;&gt;"",H74&gt;69),1,0)</f>
        <v>0</v>
      </c>
      <c r="C74" s="445" t="str">
        <f>IF(COTIZACION!C28="","",COTIZACION!C28)</f>
        <v/>
      </c>
      <c r="D74" s="445"/>
      <c r="E74" s="445"/>
      <c r="F74" s="445"/>
      <c r="G74" s="445"/>
      <c r="H74" s="446" t="str">
        <f>IF(COTIZACION!$D$10="INDIVIDUAL","",IF(COTIZACION!E28="","",COTIZACION!E28))</f>
        <v/>
      </c>
      <c r="I74" s="446" t="str">
        <f>IF(COTIZACION!D28="","",COTIZACION!D28)</f>
        <v/>
      </c>
      <c r="J74" s="446" t="str">
        <f>IF(COTIZACION!C28="","",COTIZACION!B28)</f>
        <v/>
      </c>
      <c r="K74" s="447" t="str">
        <f>IFERROR(IF(COTIZACION!F27&lt;&gt;"","",IF(H74="","",IF(I74="H",VLOOKUP(H74,CONYUGE!$B$21:$G$121,5,0),IF(I74="M",VLOOKUP(H74,CONYUGE!$B$21:$G$121,6,0),"")))),"")</f>
        <v/>
      </c>
      <c r="L74" s="330"/>
      <c r="M74" s="163"/>
      <c r="N74" s="149"/>
      <c r="O74" s="149"/>
      <c r="P74" s="149"/>
      <c r="Q74" s="149"/>
      <c r="R74" s="149"/>
      <c r="S74" s="149"/>
      <c r="T74" s="149"/>
      <c r="U74" s="149"/>
      <c r="V74" s="149"/>
      <c r="W74" s="149"/>
      <c r="X74" s="149"/>
      <c r="Y74" s="149"/>
      <c r="Z74" s="149"/>
      <c r="AA74" s="149"/>
      <c r="AB74" s="149"/>
      <c r="AC74" s="149"/>
    </row>
    <row r="75" spans="1:29" s="134" customFormat="1" ht="12" customHeight="1">
      <c r="A75" s="281">
        <f>IF(AND(H75&lt;&gt;"",H75&gt;69),1,0)</f>
        <v>0</v>
      </c>
      <c r="C75" s="227" t="str">
        <f>IF(COTIZACION!C29="","",COTIZACION!C29)</f>
        <v/>
      </c>
      <c r="D75" s="227"/>
      <c r="E75" s="227"/>
      <c r="F75" s="227"/>
      <c r="G75" s="227"/>
      <c r="H75" s="266" t="str">
        <f>IF(COTIZACION!$D$10="INDIVIDUAL","",IF(COTIZACION!E29="","",COTIZACION!E29))</f>
        <v/>
      </c>
      <c r="I75" s="266" t="str">
        <f>IF(COTIZACION!D29="","",COTIZACION!D29)</f>
        <v/>
      </c>
      <c r="J75" s="266" t="str">
        <f>IF(COTIZACION!C29="","",COTIZACION!B29)</f>
        <v/>
      </c>
      <c r="K75" s="418" t="str">
        <f>IFERROR(IF(COTIZACION!F27&lt;&gt;"","",IF(H75="","",IF(I75="H",VLOOKUP(H75,DEPENDIENTE!$B$21:$G$112,5,0),IF(I75="M",VLOOKUP(H75,DEPENDIENTE!$B$21:$G$112,6,0),"")))),"")</f>
        <v/>
      </c>
      <c r="L75" s="330"/>
      <c r="M75" s="163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149"/>
      <c r="Z75" s="149"/>
      <c r="AA75" s="149"/>
      <c r="AB75" s="149"/>
      <c r="AC75" s="149"/>
    </row>
    <row r="76" spans="1:29" s="134" customFormat="1" ht="12" customHeight="1">
      <c r="A76" s="281">
        <f t="shared" si="0"/>
        <v>0</v>
      </c>
      <c r="C76" s="445" t="str">
        <f>IF(COTIZACION!C30="","",COTIZACION!C30)</f>
        <v/>
      </c>
      <c r="D76" s="445"/>
      <c r="E76" s="445"/>
      <c r="F76" s="445"/>
      <c r="G76" s="445"/>
      <c r="H76" s="446" t="str">
        <f>IF(COTIZACION!$D$10="INDIVIDUAL","",IF(COTIZACION!E30="","",COTIZACION!E30))</f>
        <v/>
      </c>
      <c r="I76" s="446" t="str">
        <f>IF(COTIZACION!D30="","",COTIZACION!D30)</f>
        <v/>
      </c>
      <c r="J76" s="446" t="str">
        <f>IF(COTIZACION!C30="","",COTIZACION!B30)</f>
        <v/>
      </c>
      <c r="K76" s="448" t="str">
        <f>IFERROR(IF(COTIZACION!F27&lt;&gt;"","",IF(H76="","",IF(I76="H",VLOOKUP(H76,DEPENDIENTE!$B$21:$G$112,5,0),IF(I76="M",VLOOKUP(H76,DEPENDIENTE!$B$21:$G$112,6,0),"")))),"")</f>
        <v/>
      </c>
      <c r="L76" s="330"/>
      <c r="M76" s="163"/>
      <c r="N76" s="149"/>
      <c r="O76" s="149"/>
      <c r="P76" s="149"/>
      <c r="Q76" s="149"/>
      <c r="R76" s="149"/>
      <c r="S76" s="149"/>
      <c r="T76" s="149"/>
      <c r="U76" s="149"/>
      <c r="V76" s="149"/>
      <c r="W76" s="149"/>
      <c r="X76" s="149"/>
      <c r="Y76" s="149"/>
      <c r="Z76" s="149"/>
      <c r="AA76" s="149"/>
      <c r="AB76" s="149"/>
      <c r="AC76" s="149"/>
    </row>
    <row r="77" spans="1:29" s="134" customFormat="1" ht="12" customHeight="1">
      <c r="A77" s="281">
        <f t="shared" si="0"/>
        <v>0</v>
      </c>
      <c r="C77" s="227" t="str">
        <f>IF(COTIZACION!C31="","",COTIZACION!C31)</f>
        <v/>
      </c>
      <c r="D77" s="227"/>
      <c r="E77" s="227"/>
      <c r="F77" s="227"/>
      <c r="G77" s="227"/>
      <c r="H77" s="266" t="str">
        <f>IF(COTIZACION!$D$10="INDIVIDUAL","",IF(COTIZACION!E31="","",COTIZACION!E31))</f>
        <v/>
      </c>
      <c r="I77" s="266" t="str">
        <f>IF(COTIZACION!D31="","",COTIZACION!D31)</f>
        <v/>
      </c>
      <c r="J77" s="266" t="str">
        <f>IF(COTIZACION!C31="","",COTIZACION!B31)</f>
        <v/>
      </c>
      <c r="K77" s="419" t="str">
        <f>IFERROR(IF(COTIZACION!F27&lt;&gt;"","",IF(H77="","",IF(I77="H",VLOOKUP(H77,DEPENDIENTE!$B$21:$G$112,5,0),IF(I77="M",VLOOKUP(H77,DEPENDIENTE!$B$21:$G$112,6,0),"")))),"")</f>
        <v/>
      </c>
      <c r="L77" s="330"/>
      <c r="M77" s="163"/>
      <c r="N77" s="164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</row>
    <row r="78" spans="1:29" s="134" customFormat="1" ht="12" customHeight="1">
      <c r="A78" s="281">
        <f t="shared" si="0"/>
        <v>0</v>
      </c>
      <c r="C78" s="445" t="str">
        <f>IF(COTIZACION!C32="","",COTIZACION!C32)</f>
        <v/>
      </c>
      <c r="D78" s="445"/>
      <c r="E78" s="445"/>
      <c r="F78" s="445"/>
      <c r="G78" s="445"/>
      <c r="H78" s="446" t="str">
        <f>IF(COTIZACION!$D$10="INDIVIDUAL","",IF(COTIZACION!E32="","",COTIZACION!E32))</f>
        <v/>
      </c>
      <c r="I78" s="446" t="str">
        <f>IF(COTIZACION!D32="","",COTIZACION!D32)</f>
        <v/>
      </c>
      <c r="J78" s="446" t="str">
        <f>IF(COTIZACION!C32="","",COTIZACION!B32)</f>
        <v/>
      </c>
      <c r="K78" s="448" t="str">
        <f>IFERROR(IF(COTIZACION!F27&lt;&gt;"","",IF(H78="","",IF(I78="H",VLOOKUP(H78,DEPENDIENTE!$B$21:$G$112,5,0),IF(I78="M",VLOOKUP(H78,DEPENDIENTE!$B$21:$G$112,6,0),"")))),"")</f>
        <v/>
      </c>
      <c r="L78" s="330"/>
      <c r="M78" s="163"/>
      <c r="N78" s="165"/>
      <c r="O78" s="149"/>
      <c r="P78" s="149"/>
      <c r="Q78" s="149"/>
      <c r="R78" s="149"/>
      <c r="S78" s="149"/>
      <c r="T78" s="149"/>
      <c r="U78" s="149"/>
      <c r="V78" s="149"/>
      <c r="W78" s="149"/>
      <c r="X78" s="149"/>
      <c r="Y78" s="149"/>
      <c r="Z78" s="149"/>
      <c r="AA78" s="149"/>
      <c r="AB78" s="149"/>
      <c r="AC78" s="149"/>
    </row>
    <row r="79" spans="1:29" s="134" customFormat="1" ht="12" customHeight="1">
      <c r="A79" s="281">
        <f t="shared" si="0"/>
        <v>0</v>
      </c>
      <c r="C79" s="227" t="str">
        <f>IF(COTIZACION!C33="","",COTIZACION!C33)</f>
        <v/>
      </c>
      <c r="D79" s="227"/>
      <c r="E79" s="227"/>
      <c r="F79" s="227"/>
      <c r="G79" s="227"/>
      <c r="H79" s="266" t="str">
        <f>IF(COTIZACION!$D$10="INDIVIDUAL","",IF(COTIZACION!E33="","",COTIZACION!E33))</f>
        <v/>
      </c>
      <c r="I79" s="266" t="str">
        <f>IF(COTIZACION!D33="","",COTIZACION!D33)</f>
        <v/>
      </c>
      <c r="J79" s="266" t="str">
        <f>IF(COTIZACION!C33="","",COTIZACION!B33)</f>
        <v/>
      </c>
      <c r="K79" s="419" t="str">
        <f>IFERROR(IF(COTIZACION!F27&lt;&gt;"","",IF(H79="","",IF(I79="H",VLOOKUP(H79,DEPENDIENTE!$B$21:$G$112,5,0),IF(I79="M",VLOOKUP(H79,DEPENDIENTE!$B$21:$G$112,6,0),"")))),"")</f>
        <v/>
      </c>
      <c r="L79" s="331"/>
      <c r="M79" s="163"/>
      <c r="N79" s="149"/>
      <c r="O79" s="149"/>
      <c r="P79" s="149"/>
      <c r="Q79" s="149"/>
      <c r="R79" s="149"/>
      <c r="S79" s="149"/>
      <c r="T79" s="149"/>
      <c r="U79" s="149"/>
      <c r="V79" s="149"/>
      <c r="W79" s="149"/>
      <c r="X79" s="149"/>
      <c r="Y79" s="149"/>
      <c r="Z79" s="149"/>
      <c r="AA79" s="149"/>
      <c r="AB79" s="149"/>
      <c r="AC79" s="149"/>
    </row>
    <row r="80" spans="1:29" s="134" customFormat="1" ht="12" customHeight="1" thickBot="1">
      <c r="A80" s="281">
        <f t="shared" si="0"/>
        <v>0</v>
      </c>
      <c r="C80" s="449" t="str">
        <f>IF(COTIZACION!C34="","",COTIZACION!C34)</f>
        <v/>
      </c>
      <c r="D80" s="449"/>
      <c r="E80" s="449"/>
      <c r="F80" s="449"/>
      <c r="G80" s="449"/>
      <c r="H80" s="450" t="str">
        <f>IF(COTIZACION!$D$10="INDIVIDUAL","",IF(COTIZACION!E34="","",COTIZACION!E34))</f>
        <v/>
      </c>
      <c r="I80" s="450" t="str">
        <f>IF(COTIZACION!D34="","",COTIZACION!D34)</f>
        <v/>
      </c>
      <c r="J80" s="450" t="str">
        <f>IF(COTIZACION!C34="","",COTIZACION!B34)</f>
        <v/>
      </c>
      <c r="K80" s="451" t="str">
        <f>IFERROR(IF(COTIZACION!F27&lt;&gt;"","",IF(H80="","",IF(I80="H",VLOOKUP(H80,DEPENDIENTE!$B$21:$G$112,5,0),IF(I80="M",VLOOKUP(H80,DEPENDIENTE!$B$21:$G$112,6,0),"")))),"")</f>
        <v/>
      </c>
      <c r="L80" s="331"/>
      <c r="M80" s="163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</row>
    <row r="81" spans="1:29" s="134" customFormat="1" ht="11.5">
      <c r="C81" s="104"/>
      <c r="D81" s="104"/>
      <c r="E81" s="104"/>
      <c r="F81" s="104"/>
      <c r="G81" s="104"/>
      <c r="H81" s="104"/>
      <c r="I81" s="228" t="s">
        <v>272</v>
      </c>
      <c r="J81" s="229"/>
      <c r="K81" s="230">
        <f>IF(COTIZACION!D8="NUEVA ",IF(A100=0,SUM(K73:K80),0),SUM(K73:K80))</f>
        <v>0</v>
      </c>
      <c r="L81" s="331"/>
      <c r="M81" s="163"/>
      <c r="N81" s="149"/>
      <c r="O81" s="149"/>
      <c r="P81" s="149"/>
      <c r="Q81" s="149"/>
      <c r="R81" s="149"/>
      <c r="S81" s="149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</row>
    <row r="82" spans="1:29" s="134" customFormat="1" ht="11.5" hidden="1">
      <c r="C82" s="104"/>
      <c r="D82" s="104"/>
      <c r="E82" s="104"/>
      <c r="F82" s="104"/>
      <c r="G82" s="104"/>
      <c r="H82" s="104"/>
      <c r="I82" s="231" t="s">
        <v>273</v>
      </c>
      <c r="J82" s="231"/>
      <c r="K82" s="232">
        <f>+TITULAR!G17</f>
        <v>0</v>
      </c>
      <c r="L82" s="331"/>
      <c r="M82" s="166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</row>
    <row r="83" spans="1:29" s="134" customFormat="1" ht="20">
      <c r="C83" s="584" t="str">
        <f>+COTIZACION!B44</f>
        <v xml:space="preserve"> </v>
      </c>
      <c r="D83" s="104"/>
      <c r="E83" s="104"/>
      <c r="F83" s="104"/>
      <c r="G83" s="104"/>
      <c r="H83" s="105"/>
      <c r="I83" s="231" t="s">
        <v>274</v>
      </c>
      <c r="J83" s="231"/>
      <c r="K83" s="232">
        <f>IF(K81=0,0,+TITULAR!I25)</f>
        <v>0</v>
      </c>
      <c r="L83" s="341"/>
      <c r="M83" s="167"/>
      <c r="N83" s="149"/>
      <c r="O83" s="149"/>
      <c r="P83" s="149"/>
      <c r="Q83" s="149"/>
      <c r="R83" s="149"/>
      <c r="S83" s="149"/>
      <c r="T83" s="149"/>
      <c r="U83" s="149"/>
      <c r="V83" s="149"/>
      <c r="W83" s="149"/>
      <c r="X83" s="149"/>
      <c r="Y83" s="149"/>
      <c r="Z83" s="149"/>
      <c r="AA83" s="149"/>
      <c r="AB83" s="149"/>
      <c r="AC83" s="149"/>
    </row>
    <row r="84" spans="1:29" s="134" customFormat="1" ht="11.5">
      <c r="C84" s="104"/>
      <c r="D84" s="104"/>
      <c r="E84" s="104"/>
      <c r="F84" s="104"/>
      <c r="G84" s="104"/>
      <c r="H84" s="105"/>
      <c r="I84" s="231" t="s">
        <v>275</v>
      </c>
      <c r="J84" s="231"/>
      <c r="K84" s="230">
        <f>+K81+K83</f>
        <v>0</v>
      </c>
      <c r="M84" s="163"/>
      <c r="N84" s="149"/>
      <c r="O84" s="149"/>
      <c r="P84" s="149"/>
      <c r="Q84" s="149"/>
      <c r="R84" s="149"/>
      <c r="S84" s="149"/>
      <c r="T84" s="149"/>
      <c r="U84" s="149"/>
      <c r="V84" s="149"/>
      <c r="W84" s="149"/>
      <c r="X84" s="149"/>
      <c r="Y84" s="149"/>
      <c r="Z84" s="149"/>
      <c r="AA84" s="149"/>
      <c r="AB84" s="149"/>
      <c r="AC84" s="149"/>
    </row>
    <row r="85" spans="1:29" s="134" customFormat="1" ht="14.25" customHeight="1">
      <c r="C85" s="707" t="s">
        <v>276</v>
      </c>
      <c r="D85" s="708"/>
      <c r="E85" s="709" t="str">
        <f>+COTIZACION!D14</f>
        <v>CIUDAD DE MÉXICO</v>
      </c>
      <c r="F85" s="710"/>
      <c r="G85" s="104"/>
      <c r="H85" s="105"/>
      <c r="I85" s="231" t="s">
        <v>277</v>
      </c>
      <c r="J85" s="231"/>
      <c r="K85" s="232">
        <f>+K84*TITULAR!K25</f>
        <v>0</v>
      </c>
      <c r="M85" s="167"/>
      <c r="N85" s="149"/>
      <c r="O85" s="149"/>
      <c r="P85" s="149"/>
      <c r="Q85" s="149"/>
      <c r="R85" s="149"/>
      <c r="S85" s="149"/>
      <c r="T85" s="149"/>
      <c r="U85" s="149"/>
      <c r="V85" s="149"/>
      <c r="W85" s="149"/>
      <c r="X85" s="149"/>
      <c r="Y85" s="149"/>
      <c r="Z85" s="149"/>
      <c r="AA85" s="149"/>
      <c r="AB85" s="149"/>
      <c r="AC85" s="149"/>
    </row>
    <row r="86" spans="1:29" ht="12.75" customHeight="1">
      <c r="A86" s="134"/>
      <c r="B86" s="134"/>
      <c r="H86" s="105"/>
      <c r="I86" s="233" t="s">
        <v>278</v>
      </c>
      <c r="J86" s="233"/>
      <c r="K86" s="234">
        <f>SUM(K84:K85)</f>
        <v>0</v>
      </c>
      <c r="M86" s="168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</row>
    <row r="87" spans="1:29" ht="14.5">
      <c r="B87" s="134"/>
      <c r="C87" s="707" t="s">
        <v>279</v>
      </c>
      <c r="D87" s="708"/>
      <c r="E87" s="730" t="str">
        <f>IF(COTIZACION!C39="","",COTIZACION!C39)</f>
        <v/>
      </c>
      <c r="F87" s="730"/>
      <c r="G87" s="73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</row>
    <row r="88" spans="1:29" ht="10.5" customHeight="1" thickBot="1">
      <c r="B88" s="134"/>
      <c r="C88" s="204"/>
      <c r="D88" s="204"/>
      <c r="E88" s="116"/>
      <c r="F88" s="116"/>
      <c r="G88" s="116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</row>
    <row r="89" spans="1:29" ht="19.5" customHeight="1" thickBot="1">
      <c r="B89" s="134"/>
      <c r="C89" s="717" t="s">
        <v>280</v>
      </c>
      <c r="D89" s="718"/>
      <c r="E89" s="477" t="s">
        <v>281</v>
      </c>
      <c r="F89" s="477" t="s">
        <v>282</v>
      </c>
      <c r="G89" s="477" t="s">
        <v>152</v>
      </c>
      <c r="H89" s="105"/>
      <c r="K89" s="226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</row>
    <row r="90" spans="1:29" ht="15" customHeight="1">
      <c r="B90" s="134"/>
      <c r="C90" s="716" t="str">
        <f>+COTIZACION!G27</f>
        <v>ANUAL</v>
      </c>
      <c r="D90" s="716"/>
      <c r="E90" s="476">
        <f>IF(K81=0,0,(K81/(1+K82)+DER)*(1+COTIZACION!$D$20))</f>
        <v>0</v>
      </c>
      <c r="F90" s="476">
        <v>0</v>
      </c>
      <c r="G90" s="476">
        <f>+F90+E90</f>
        <v>0</v>
      </c>
      <c r="H90" s="105"/>
      <c r="K90" s="226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</row>
    <row r="91" spans="1:29" ht="15" customHeight="1">
      <c r="B91" s="134"/>
      <c r="C91" s="443" t="str">
        <f>"SEMESTRAL    (Recargo "&amp;COTIZACION!H36*100&amp;"%)"</f>
        <v>SEMESTRAL    (Recargo 4.73%)</v>
      </c>
      <c r="D91" s="443"/>
      <c r="E91" s="442">
        <f>+COTIZACION!H28</f>
        <v>0</v>
      </c>
      <c r="F91" s="442">
        <f>+COTIZACION!I28</f>
        <v>0</v>
      </c>
      <c r="G91" s="442">
        <f>+F91+E91</f>
        <v>0</v>
      </c>
      <c r="H91" s="105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</row>
    <row r="92" spans="1:29" ht="15" customHeight="1">
      <c r="B92" s="134"/>
      <c r="C92" s="438" t="str">
        <f>"TRIMESTRAL  (Recargo "&amp;COTIZACION!H37*100&amp;"%)"</f>
        <v>TRIMESTRAL  (Recargo 6.99%)</v>
      </c>
      <c r="D92" s="444"/>
      <c r="E92" s="442">
        <f>+COTIZACION!H29</f>
        <v>0</v>
      </c>
      <c r="F92" s="442">
        <f>+COTIZACION!I29</f>
        <v>0</v>
      </c>
      <c r="G92" s="442">
        <f>+F92*3+E92</f>
        <v>0</v>
      </c>
      <c r="H92" s="105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</row>
    <row r="93" spans="1:29" ht="15" customHeight="1">
      <c r="B93" s="134"/>
      <c r="C93" s="438" t="str">
        <f>"MENSUAL        (Recargo "&amp;COTIZACION!H38*100&amp;"%)"</f>
        <v>MENSUAL        (Recargo 9.99%)</v>
      </c>
      <c r="D93" s="444"/>
      <c r="E93" s="442">
        <f>+COTIZACION!H30</f>
        <v>0</v>
      </c>
      <c r="F93" s="442">
        <f>+COTIZACION!I30</f>
        <v>0</v>
      </c>
      <c r="G93" s="442">
        <f>+F93*11+E93</f>
        <v>0</v>
      </c>
      <c r="H93" s="267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</row>
    <row r="94" spans="1:29" ht="9.75" customHeight="1"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</row>
    <row r="95" spans="1:29" ht="12.75" customHeight="1">
      <c r="C95" s="714" t="s">
        <v>283</v>
      </c>
      <c r="D95" s="714"/>
      <c r="E95" s="714"/>
      <c r="F95" s="714"/>
      <c r="G95" s="714"/>
      <c r="H95" s="714"/>
      <c r="I95" s="714"/>
      <c r="J95" s="714"/>
      <c r="K95" s="714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</row>
    <row r="96" spans="1:29" ht="12.75" customHeight="1">
      <c r="C96" s="416" t="s">
        <v>284</v>
      </c>
      <c r="D96" s="417"/>
      <c r="E96" s="417"/>
      <c r="F96" s="417"/>
      <c r="G96" s="417"/>
      <c r="H96" s="417"/>
      <c r="I96" s="417"/>
      <c r="J96" s="417"/>
      <c r="K96" s="417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</row>
    <row r="97" spans="1:29" ht="12.75" customHeight="1">
      <c r="C97" s="416" t="s">
        <v>285</v>
      </c>
      <c r="D97" s="417"/>
      <c r="E97" s="417"/>
      <c r="F97" s="417"/>
      <c r="G97" s="417"/>
      <c r="H97" s="417"/>
      <c r="I97" s="417"/>
      <c r="J97" s="417"/>
      <c r="K97" s="417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</row>
    <row r="98" spans="1:29">
      <c r="C98" s="715" t="s">
        <v>286</v>
      </c>
      <c r="D98" s="715"/>
      <c r="E98" s="715"/>
      <c r="F98" s="715"/>
      <c r="G98" s="715"/>
      <c r="H98" s="715"/>
      <c r="I98" s="715"/>
      <c r="J98" s="715"/>
      <c r="K98" s="715"/>
    </row>
    <row r="99" spans="1:29" ht="10.5" customHeight="1">
      <c r="C99" s="715"/>
      <c r="D99" s="715"/>
      <c r="E99" s="715"/>
      <c r="F99" s="715"/>
      <c r="G99" s="715"/>
      <c r="H99" s="715"/>
      <c r="I99" s="715"/>
      <c r="J99" s="715"/>
      <c r="K99" s="715"/>
    </row>
    <row r="100" spans="1:29" ht="21.75" customHeight="1">
      <c r="A100" s="392">
        <f>SUM(A73:A80)</f>
        <v>0</v>
      </c>
      <c r="B100" s="711" t="str">
        <f>+CONCATENATE("EN SEGUROS BANORTE ESTA COTIZACIÓN ",COTIZACION!E8)</f>
        <v>EN SEGUROS BANORTE ESTA COTIZACIÓN APLICA PARA AQUELLA PÓLIZA NUEVA  CON PRIMER VIGENCIA EMITIDA A PARTIR DEL 01/10/2016</v>
      </c>
      <c r="C100" s="711"/>
      <c r="D100" s="711"/>
      <c r="E100" s="711"/>
      <c r="F100" s="711"/>
      <c r="G100" s="711"/>
      <c r="H100" s="711"/>
      <c r="I100" s="711"/>
      <c r="J100" s="711"/>
      <c r="K100" s="711"/>
      <c r="L100" s="711"/>
    </row>
    <row r="101" spans="1:29">
      <c r="B101" s="711"/>
      <c r="C101" s="711"/>
      <c r="D101" s="711"/>
      <c r="E101" s="711"/>
      <c r="F101" s="711"/>
      <c r="G101" s="711"/>
      <c r="H101" s="711"/>
      <c r="I101" s="711"/>
      <c r="J101" s="711"/>
      <c r="K101" s="711"/>
      <c r="L101" s="711"/>
    </row>
    <row r="102" spans="1:29">
      <c r="C102" s="104" t="s">
        <v>287</v>
      </c>
    </row>
    <row r="103" spans="1:29"/>
    <row r="104" spans="1:29"/>
    <row r="105" spans="1:29"/>
    <row r="106" spans="1:29"/>
    <row r="107" spans="1:29"/>
    <row r="108" spans="1:29"/>
    <row r="204" ht="12" hidden="1" customHeight="1"/>
    <row r="209" spans="1:5" ht="10.5" hidden="1" thickBot="1"/>
    <row r="210" spans="1:5" s="105" customFormat="1" ht="10.5" hidden="1" thickTop="1">
      <c r="A210" s="357"/>
      <c r="B210" s="358"/>
      <c r="C210" s="116"/>
      <c r="D210" s="116"/>
      <c r="E210" s="116"/>
    </row>
    <row r="211" spans="1:5" s="105" customFormat="1" hidden="1">
      <c r="A211" s="2"/>
      <c r="B211" s="127"/>
      <c r="C211" s="116"/>
      <c r="D211" s="116"/>
      <c r="E211" s="116"/>
    </row>
    <row r="212" spans="1:5" s="105" customFormat="1" hidden="1">
      <c r="A212" s="2"/>
      <c r="B212" s="127"/>
      <c r="C212" s="116"/>
      <c r="D212" s="116"/>
      <c r="E212" s="116"/>
    </row>
    <row r="213" spans="1:5" s="105" customFormat="1" hidden="1">
      <c r="A213" s="2"/>
      <c r="B213" s="127"/>
      <c r="C213" s="116"/>
      <c r="D213" s="116"/>
      <c r="E213" s="116"/>
    </row>
    <row r="214" spans="1:5" s="105" customFormat="1" hidden="1">
      <c r="A214" s="2"/>
      <c r="B214" s="127"/>
      <c r="C214" s="116"/>
      <c r="D214" s="116"/>
      <c r="E214" s="116"/>
    </row>
    <row r="215" spans="1:5" s="105" customFormat="1" hidden="1">
      <c r="A215" s="2"/>
      <c r="B215" s="127"/>
      <c r="C215" s="116"/>
      <c r="D215" s="116"/>
      <c r="E215" s="116"/>
    </row>
    <row r="216" spans="1:5" s="105" customFormat="1" hidden="1">
      <c r="A216" s="2"/>
      <c r="B216" s="127"/>
      <c r="C216" s="116"/>
      <c r="D216" s="116"/>
      <c r="E216" s="116"/>
    </row>
    <row r="217" spans="1:5" s="105" customFormat="1" ht="10.5" hidden="1" thickBot="1">
      <c r="A217" s="364"/>
      <c r="B217" s="365"/>
      <c r="C217" s="116"/>
      <c r="D217" s="116"/>
      <c r="E217" s="116"/>
    </row>
    <row r="218" spans="1:5" s="105" customFormat="1" ht="10.5" hidden="1" thickTop="1">
      <c r="A218" s="3"/>
      <c r="B218" s="3"/>
    </row>
    <row r="219" spans="1:5" s="105" customFormat="1" hidden="1">
      <c r="A219" s="142" t="s">
        <v>165</v>
      </c>
      <c r="B219" s="3"/>
    </row>
    <row r="220" spans="1:5" s="105" customFormat="1" hidden="1">
      <c r="A220" s="142" t="e">
        <f>IF(#REF!="ANUAL",1,IF(#REF!="SEMESTRAL",2,IF(#REF!="TRIMESTRAL",4,IF(#REF!="MENSUAL",12,1))))</f>
        <v>#REF!</v>
      </c>
      <c r="B220" s="3"/>
    </row>
    <row r="221" spans="1:5" s="105" customFormat="1" hidden="1">
      <c r="A221" s="3"/>
      <c r="B221" s="3"/>
    </row>
    <row r="222" spans="1:5" s="105" customFormat="1" hidden="1">
      <c r="A222" s="3" t="s">
        <v>92</v>
      </c>
      <c r="B222" s="3"/>
    </row>
    <row r="223" spans="1:5" s="105" customFormat="1" hidden="1">
      <c r="A223" s="377">
        <v>0.1</v>
      </c>
      <c r="B223" s="3"/>
    </row>
    <row r="224" spans="1:5" s="105" customFormat="1" hidden="1">
      <c r="A224" s="377">
        <v>0.15</v>
      </c>
      <c r="B224" s="3"/>
    </row>
    <row r="225" spans="1:2" s="105" customFormat="1" hidden="1">
      <c r="A225" s="3"/>
      <c r="B225" s="3"/>
    </row>
    <row r="226" spans="1:2" s="105" customFormat="1" hidden="1">
      <c r="A226" s="3"/>
      <c r="B226" s="3"/>
    </row>
    <row r="227" spans="1:2" s="105" customFormat="1" hidden="1">
      <c r="A227" s="3"/>
      <c r="B227" s="3"/>
    </row>
    <row r="228" spans="1:2" s="105" customFormat="1" hidden="1">
      <c r="A228" s="3"/>
      <c r="B228" s="3"/>
    </row>
    <row r="229" spans="1:2" s="105" customFormat="1" hidden="1">
      <c r="A229" s="3"/>
      <c r="B229" s="3"/>
    </row>
    <row r="230" spans="1:2" s="105" customFormat="1" hidden="1">
      <c r="A230" s="3"/>
      <c r="B230" s="3"/>
    </row>
    <row r="231" spans="1:2" s="105" customFormat="1" hidden="1">
      <c r="A231" s="3"/>
      <c r="B231" s="3"/>
    </row>
    <row r="232" spans="1:2" s="105" customFormat="1" hidden="1">
      <c r="A232" s="3"/>
      <c r="B232" s="3"/>
    </row>
    <row r="233" spans="1:2" s="105" customFormat="1" hidden="1">
      <c r="A233" s="3"/>
      <c r="B233" s="3"/>
    </row>
    <row r="234" spans="1:2" s="105" customFormat="1" hidden="1">
      <c r="A234" s="3"/>
      <c r="B234" s="3"/>
    </row>
    <row r="235" spans="1:2" s="105" customFormat="1" hidden="1">
      <c r="A235" s="3"/>
      <c r="B235" s="3"/>
    </row>
    <row r="236" spans="1:2" s="105" customFormat="1" hidden="1">
      <c r="A236" s="3"/>
      <c r="B236" s="3"/>
    </row>
    <row r="237" spans="1:2" s="105" customFormat="1" hidden="1">
      <c r="A237" s="3"/>
      <c r="B237" s="3"/>
    </row>
    <row r="238" spans="1:2" s="105" customFormat="1" hidden="1">
      <c r="A238" s="3"/>
      <c r="B238" s="3"/>
    </row>
    <row r="239" spans="1:2" s="105" customFormat="1" hidden="1">
      <c r="A239" s="3"/>
      <c r="B239" s="3"/>
    </row>
    <row r="240" spans="1:2"/>
    <row r="241"/>
  </sheetData>
  <sheetProtection algorithmName="SHA-512" hashValue="uXleisfglB83IDT02RUg+iSqhc7DfH4Rqh2J9bGCJJiqruzibhvm+Is1MdqeaStwanqov6dd6e4WQdWb4dMMjQ==" saltValue="AhVuqkYtNTLmlr1/4hc8EA==" spinCount="100000" sheet="1" selectLockedCells="1"/>
  <mergeCells count="18">
    <mergeCell ref="C58:K58"/>
    <mergeCell ref="C70:K70"/>
    <mergeCell ref="C85:D85"/>
    <mergeCell ref="E85:F85"/>
    <mergeCell ref="C87:D87"/>
    <mergeCell ref="B100:L101"/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P254"/>
  <sheetViews>
    <sheetView showGridLines="0" zoomScaleNormal="100" workbookViewId="0">
      <selection activeCell="I8" sqref="I8"/>
    </sheetView>
  </sheetViews>
  <sheetFormatPr baseColWidth="10" defaultColWidth="0" defaultRowHeight="10" zeroHeight="1"/>
  <cols>
    <col min="1" max="1" width="5.7265625" style="3" customWidth="1"/>
    <col min="2" max="2" width="12.81640625" style="3" customWidth="1"/>
    <col min="3" max="3" width="11.1796875" style="3" customWidth="1"/>
    <col min="4" max="4" width="16" style="3" customWidth="1"/>
    <col min="5" max="5" width="12.1796875" style="3" customWidth="1"/>
    <col min="6" max="6" width="11.1796875" style="3" customWidth="1"/>
    <col min="7" max="7" width="12" style="3" customWidth="1"/>
    <col min="8" max="8" width="13.54296875" style="3" customWidth="1"/>
    <col min="9" max="9" width="12.1796875" style="3" customWidth="1"/>
    <col min="10" max="10" width="11.453125" style="3" customWidth="1"/>
    <col min="11" max="11" width="14.26953125" style="3" customWidth="1"/>
    <col min="12" max="12" width="13.54296875" style="3" customWidth="1"/>
    <col min="13" max="13" width="11.453125" style="3" customWidth="1"/>
    <col min="14" max="16" width="11.453125" style="140" customWidth="1"/>
    <col min="17" max="16384" width="11.453125" style="140" hidden="1"/>
  </cols>
  <sheetData>
    <row r="1" spans="1:13"/>
    <row r="2" spans="1:13"/>
    <row r="3" spans="1:13"/>
    <row r="4" spans="1:13"/>
    <row r="5" spans="1:13"/>
    <row r="6" spans="1:13" ht="10.5" thickBot="1"/>
    <row r="7" spans="1:13" ht="18.75" customHeight="1" thickBot="1">
      <c r="B7" s="735" t="s">
        <v>288</v>
      </c>
      <c r="C7" s="736"/>
      <c r="D7" s="434" t="str">
        <f>+COTIZACION!D8</f>
        <v xml:space="preserve">NUEVA </v>
      </c>
      <c r="F7" s="2"/>
      <c r="J7" s="735" t="s">
        <v>289</v>
      </c>
      <c r="K7" s="736"/>
      <c r="L7" s="479">
        <f>+COTIZACION!D15</f>
        <v>5</v>
      </c>
    </row>
    <row r="8" spans="1:13">
      <c r="B8" s="70"/>
      <c r="C8" s="70"/>
      <c r="D8" s="70"/>
      <c r="F8" s="70"/>
      <c r="G8" s="70"/>
      <c r="H8" s="70"/>
      <c r="J8" s="70"/>
      <c r="K8" s="70"/>
      <c r="L8" s="70"/>
    </row>
    <row r="9" spans="1:13" ht="11.5">
      <c r="B9" s="259" t="s">
        <v>59</v>
      </c>
      <c r="C9" s="260"/>
      <c r="D9" s="261">
        <f>TITULAR!E5</f>
        <v>100000000</v>
      </c>
      <c r="F9" s="259" t="s">
        <v>59</v>
      </c>
      <c r="G9" s="260"/>
      <c r="H9" s="261">
        <f>CONYUGE!E5</f>
        <v>100000000</v>
      </c>
      <c r="J9" s="259" t="s">
        <v>59</v>
      </c>
      <c r="K9" s="260"/>
      <c r="L9" s="261">
        <f>DEPENDIENTE!E5</f>
        <v>100000000</v>
      </c>
    </row>
    <row r="10" spans="1:13" ht="11.5">
      <c r="B10" s="259" t="s">
        <v>61</v>
      </c>
      <c r="C10" s="260"/>
      <c r="D10" s="261">
        <f>TITULAR!E6</f>
        <v>15000</v>
      </c>
      <c r="F10" s="259" t="s">
        <v>61</v>
      </c>
      <c r="G10" s="260"/>
      <c r="H10" s="261">
        <f>CONYUGE!E6</f>
        <v>15000</v>
      </c>
      <c r="J10" s="259" t="s">
        <v>61</v>
      </c>
      <c r="K10" s="260"/>
      <c r="L10" s="261">
        <f>DEPENDIENTE!E6</f>
        <v>15000</v>
      </c>
    </row>
    <row r="11" spans="1:13" ht="11.5">
      <c r="B11" s="259" t="s">
        <v>63</v>
      </c>
      <c r="C11" s="260"/>
      <c r="D11" s="262">
        <f>TITULAR!E8</f>
        <v>0.1</v>
      </c>
      <c r="F11" s="259" t="s">
        <v>63</v>
      </c>
      <c r="G11" s="260"/>
      <c r="H11" s="262">
        <f>CONYUGE!E7</f>
        <v>0.1</v>
      </c>
      <c r="J11" s="259" t="s">
        <v>63</v>
      </c>
      <c r="K11" s="260"/>
      <c r="L11" s="262">
        <f>DEPENDIENTE!E7</f>
        <v>0.1</v>
      </c>
    </row>
    <row r="12" spans="1:13" ht="10.5" thickBot="1"/>
    <row r="13" spans="1:13" ht="13.5" customHeight="1">
      <c r="A13" s="2"/>
      <c r="B13" s="739" t="s">
        <v>290</v>
      </c>
      <c r="C13" s="740"/>
      <c r="D13" s="741"/>
      <c r="E13" s="2"/>
      <c r="F13" s="739" t="s">
        <v>291</v>
      </c>
      <c r="G13" s="740"/>
      <c r="H13" s="741"/>
      <c r="I13" s="2"/>
      <c r="J13" s="739" t="s">
        <v>292</v>
      </c>
      <c r="K13" s="740"/>
      <c r="L13" s="741"/>
      <c r="M13" s="2"/>
    </row>
    <row r="14" spans="1:13" ht="3.75" customHeight="1" thickBot="1">
      <c r="A14" s="2"/>
      <c r="B14" s="742"/>
      <c r="C14" s="743"/>
      <c r="D14" s="744"/>
      <c r="E14" s="2"/>
      <c r="F14" s="742"/>
      <c r="G14" s="743"/>
      <c r="H14" s="744"/>
      <c r="I14" s="2"/>
      <c r="J14" s="742"/>
      <c r="K14" s="743"/>
      <c r="L14" s="744"/>
      <c r="M14" s="2"/>
    </row>
    <row r="15" spans="1:13" ht="10.5" thickBot="1">
      <c r="A15" s="2"/>
      <c r="B15" s="478" t="s">
        <v>94</v>
      </c>
      <c r="C15" s="478" t="s">
        <v>95</v>
      </c>
      <c r="D15" s="478" t="s">
        <v>96</v>
      </c>
      <c r="E15" s="2"/>
      <c r="F15" s="478" t="s">
        <v>94</v>
      </c>
      <c r="G15" s="478" t="s">
        <v>95</v>
      </c>
      <c r="H15" s="478" t="s">
        <v>96</v>
      </c>
      <c r="I15" s="2"/>
      <c r="J15" s="478" t="s">
        <v>94</v>
      </c>
      <c r="K15" s="478" t="s">
        <v>95</v>
      </c>
      <c r="L15" s="478" t="s">
        <v>96</v>
      </c>
      <c r="M15" s="2"/>
    </row>
    <row r="16" spans="1:13">
      <c r="A16" s="2"/>
      <c r="B16" s="263" t="s">
        <v>293</v>
      </c>
      <c r="C16" s="264">
        <f>IFERROR(TITULAR!J45,0)</f>
        <v>28557.923999999999</v>
      </c>
      <c r="D16" s="264">
        <f>IFERROR(TITULAR!K45,0)</f>
        <v>26778.286799999998</v>
      </c>
      <c r="E16" s="2"/>
      <c r="F16" s="263" t="s">
        <v>293</v>
      </c>
      <c r="G16" s="264">
        <f>IFERROR(+CONYUGE!J39,0)</f>
        <v>27281.923999999999</v>
      </c>
      <c r="H16" s="264">
        <f>IFERROR(+CONYUGE!K39,0)</f>
        <v>25502.286799999998</v>
      </c>
      <c r="I16" s="2"/>
      <c r="J16" s="263" t="s">
        <v>294</v>
      </c>
      <c r="K16" s="264">
        <f>IFERROR(DEPENDIENTE!J26,0)</f>
        <v>27447.421199999997</v>
      </c>
      <c r="L16" s="264">
        <f>IFERROR(DEPENDIENTE!K26,0)</f>
        <v>27551.739999999998</v>
      </c>
      <c r="M16" s="2"/>
    </row>
    <row r="17" spans="1:13">
      <c r="A17" s="45"/>
      <c r="B17" s="460">
        <f>+B16+1</f>
        <v>19</v>
      </c>
      <c r="C17" s="461">
        <f>IFERROR(TITULAR!J46,0)</f>
        <v>29380.700400000002</v>
      </c>
      <c r="D17" s="461">
        <f>IFERROR(TITULAR!K46,0)</f>
        <v>27101.381600000001</v>
      </c>
      <c r="E17" s="45"/>
      <c r="F17" s="460">
        <f>+F16+1</f>
        <v>19</v>
      </c>
      <c r="G17" s="461">
        <f>IFERROR(+CONYUGE!J40,0)</f>
        <v>28104.700400000002</v>
      </c>
      <c r="H17" s="461">
        <f>IFERROR(+CONYUGE!K40,0)</f>
        <v>25825.381600000001</v>
      </c>
      <c r="I17" s="45"/>
      <c r="J17" s="460">
        <v>6</v>
      </c>
      <c r="K17" s="461">
        <f>IFERROR(DEPENDIENTE!J27,0)</f>
        <v>27447.421199999997</v>
      </c>
      <c r="L17" s="461">
        <f>IFERROR(DEPENDIENTE!K27,0)</f>
        <v>27551.739999999998</v>
      </c>
      <c r="M17" s="2"/>
    </row>
    <row r="18" spans="1:13">
      <c r="A18" s="45"/>
      <c r="B18" s="263">
        <f t="shared" ref="B18:B67" si="0">+B17+1</f>
        <v>20</v>
      </c>
      <c r="C18" s="264">
        <f>IFERROR(TITULAR!J47,0)</f>
        <v>30310.405599999998</v>
      </c>
      <c r="D18" s="264">
        <f>IFERROR(TITULAR!K47,0)</f>
        <v>31215.866799999996</v>
      </c>
      <c r="E18" s="45"/>
      <c r="F18" s="263">
        <f t="shared" ref="F18:F67" si="1">+F17+1</f>
        <v>20</v>
      </c>
      <c r="G18" s="264">
        <f>IFERROR(+CONYUGE!J41,0)</f>
        <v>29034.405599999998</v>
      </c>
      <c r="H18" s="264">
        <f>IFERROR(+CONYUGE!K41,0)</f>
        <v>29939.866799999996</v>
      </c>
      <c r="I18" s="45"/>
      <c r="J18" s="263">
        <f>+J17+1</f>
        <v>7</v>
      </c>
      <c r="K18" s="264">
        <f>IFERROR(DEPENDIENTE!J28,0)</f>
        <v>27447.421199999997</v>
      </c>
      <c r="L18" s="264">
        <f>IFERROR(DEPENDIENTE!K28,0)</f>
        <v>27551.739999999998</v>
      </c>
      <c r="M18" s="2"/>
    </row>
    <row r="19" spans="1:13">
      <c r="A19" s="46"/>
      <c r="B19" s="460">
        <f t="shared" si="0"/>
        <v>21</v>
      </c>
      <c r="C19" s="461">
        <f>IFERROR(TITULAR!J48,0)</f>
        <v>32187.482800000002</v>
      </c>
      <c r="D19" s="461">
        <f>IFERROR(TITULAR!K48,0)</f>
        <v>38634.345199999996</v>
      </c>
      <c r="E19" s="46"/>
      <c r="F19" s="460">
        <f t="shared" si="1"/>
        <v>21</v>
      </c>
      <c r="G19" s="461">
        <f>IFERROR(+CONYUGE!J42,0)</f>
        <v>30911.482800000002</v>
      </c>
      <c r="H19" s="461">
        <f>IFERROR(+CONYUGE!K42,0)</f>
        <v>37358.345199999996</v>
      </c>
      <c r="I19" s="46"/>
      <c r="J19" s="460">
        <f t="shared" ref="J19:J35" si="2">+J18+1</f>
        <v>8</v>
      </c>
      <c r="K19" s="461">
        <f>IFERROR(DEPENDIENTE!J29,0)</f>
        <v>27447.421199999997</v>
      </c>
      <c r="L19" s="461">
        <f>IFERROR(DEPENDIENTE!K29,0)</f>
        <v>27551.739999999998</v>
      </c>
      <c r="M19" s="2"/>
    </row>
    <row r="20" spans="1:13">
      <c r="A20" s="46"/>
      <c r="B20" s="263">
        <f t="shared" si="0"/>
        <v>22</v>
      </c>
      <c r="C20" s="264">
        <f>IFERROR(TITULAR!J49,0)</f>
        <v>33425.678399999997</v>
      </c>
      <c r="D20" s="264">
        <f>IFERROR(TITULAR!K49,0)</f>
        <v>40249.134800000007</v>
      </c>
      <c r="E20" s="46"/>
      <c r="F20" s="263">
        <f t="shared" si="1"/>
        <v>22</v>
      </c>
      <c r="G20" s="264">
        <f>IFERROR(+CONYUGE!J43,0)</f>
        <v>32149.678400000001</v>
      </c>
      <c r="H20" s="264">
        <f>IFERROR(+CONYUGE!K43,0)</f>
        <v>38973.134800000007</v>
      </c>
      <c r="I20" s="46"/>
      <c r="J20" s="263">
        <f t="shared" si="2"/>
        <v>9</v>
      </c>
      <c r="K20" s="264">
        <f>IFERROR(DEPENDIENTE!J30,0)</f>
        <v>27447.421199999997</v>
      </c>
      <c r="L20" s="264">
        <f>IFERROR(DEPENDIENTE!K30,0)</f>
        <v>27551.739999999998</v>
      </c>
      <c r="M20" s="2"/>
    </row>
    <row r="21" spans="1:13">
      <c r="A21" s="46"/>
      <c r="B21" s="460">
        <f t="shared" si="0"/>
        <v>23</v>
      </c>
      <c r="C21" s="461">
        <f>IFERROR(TITULAR!J50,0)</f>
        <v>35389.639600000002</v>
      </c>
      <c r="D21" s="461">
        <f>IFERROR(TITULAR!K50,0)</f>
        <v>41906.020800000006</v>
      </c>
      <c r="E21" s="46"/>
      <c r="F21" s="460">
        <f t="shared" si="1"/>
        <v>23</v>
      </c>
      <c r="G21" s="461">
        <f>IFERROR(+CONYUGE!J44,0)</f>
        <v>34113.639600000002</v>
      </c>
      <c r="H21" s="461">
        <f>IFERROR(+CONYUGE!K44,0)</f>
        <v>40630.020800000006</v>
      </c>
      <c r="I21" s="46"/>
      <c r="J21" s="460">
        <f t="shared" si="2"/>
        <v>10</v>
      </c>
      <c r="K21" s="461">
        <f>IFERROR(DEPENDIENTE!J31,0)</f>
        <v>27447.421199999997</v>
      </c>
      <c r="L21" s="461">
        <f>IFERROR(DEPENDIENTE!K31,0)</f>
        <v>27551.739999999998</v>
      </c>
      <c r="M21" s="2"/>
    </row>
    <row r="22" spans="1:13">
      <c r="A22" s="46"/>
      <c r="B22" s="263">
        <f t="shared" si="0"/>
        <v>24</v>
      </c>
      <c r="C22" s="264">
        <f>IFERROR(TITULAR!J51,0)</f>
        <v>36670.534800000001</v>
      </c>
      <c r="D22" s="264">
        <f>IFERROR(TITULAR!K51,0)</f>
        <v>43642.807600000007</v>
      </c>
      <c r="E22" s="46"/>
      <c r="F22" s="263">
        <f t="shared" si="1"/>
        <v>24</v>
      </c>
      <c r="G22" s="264">
        <f>IFERROR(+CONYUGE!J45,0)</f>
        <v>35394.534800000001</v>
      </c>
      <c r="H22" s="264">
        <f>IFERROR(+CONYUGE!K45,0)</f>
        <v>42366.807600000007</v>
      </c>
      <c r="I22" s="46"/>
      <c r="J22" s="263">
        <f t="shared" si="2"/>
        <v>11</v>
      </c>
      <c r="K22" s="264">
        <f>IFERROR(DEPENDIENTE!J32,0)</f>
        <v>27729.2084</v>
      </c>
      <c r="L22" s="264">
        <f>IFERROR(DEPENDIENTE!K32,0)</f>
        <v>27539.269999999997</v>
      </c>
      <c r="M22" s="2"/>
    </row>
    <row r="23" spans="1:13">
      <c r="A23" s="46"/>
      <c r="B23" s="460">
        <f t="shared" si="0"/>
        <v>25</v>
      </c>
      <c r="C23" s="461">
        <f>IFERROR(TITULAR!J52,0)</f>
        <v>37955.142</v>
      </c>
      <c r="D23" s="461">
        <f>IFERROR(TITULAR!K52,0)</f>
        <v>45442.930399999997</v>
      </c>
      <c r="E23" s="46"/>
      <c r="F23" s="460">
        <f t="shared" si="1"/>
        <v>25</v>
      </c>
      <c r="G23" s="461">
        <f>IFERROR(+CONYUGE!J46,0)</f>
        <v>36679.142</v>
      </c>
      <c r="H23" s="461">
        <f>IFERROR(+CONYUGE!K46,0)</f>
        <v>44166.930399999997</v>
      </c>
      <c r="I23" s="46"/>
      <c r="J23" s="460">
        <f t="shared" si="2"/>
        <v>12</v>
      </c>
      <c r="K23" s="461">
        <f>IFERROR(DEPENDIENTE!J33,0)</f>
        <v>27635.584800000001</v>
      </c>
      <c r="L23" s="461">
        <f>IFERROR(DEPENDIENTE!K33,0)</f>
        <v>27779.0304</v>
      </c>
      <c r="M23" s="2"/>
    </row>
    <row r="24" spans="1:13">
      <c r="A24" s="46"/>
      <c r="B24" s="263">
        <f t="shared" si="0"/>
        <v>26</v>
      </c>
      <c r="C24" s="264">
        <f>IFERROR(TITULAR!J53,0)</f>
        <v>40216.109600000003</v>
      </c>
      <c r="D24" s="264">
        <f>IFERROR(TITULAR!K53,0)</f>
        <v>47021.527999999998</v>
      </c>
      <c r="E24" s="46"/>
      <c r="F24" s="263">
        <f t="shared" si="1"/>
        <v>26</v>
      </c>
      <c r="G24" s="264">
        <f>IFERROR(+CONYUGE!J47,0)</f>
        <v>38940.109600000003</v>
      </c>
      <c r="H24" s="264">
        <f>IFERROR(+CONYUGE!K47,0)</f>
        <v>45745.527999999998</v>
      </c>
      <c r="I24" s="46"/>
      <c r="J24" s="263">
        <f t="shared" si="2"/>
        <v>13</v>
      </c>
      <c r="K24" s="264">
        <f>IFERROR(DEPENDIENTE!J34,0)</f>
        <v>27449.694800000001</v>
      </c>
      <c r="L24" s="264">
        <f>IFERROR(DEPENDIENTE!K34,0)</f>
        <v>27622.059199999996</v>
      </c>
      <c r="M24" s="2"/>
    </row>
    <row r="25" spans="1:13">
      <c r="A25" s="46"/>
      <c r="B25" s="460">
        <f t="shared" si="0"/>
        <v>27</v>
      </c>
      <c r="C25" s="461">
        <f>IFERROR(TITULAR!J54,0)</f>
        <v>41825.946000000004</v>
      </c>
      <c r="D25" s="461">
        <f>IFERROR(TITULAR!K54,0)</f>
        <v>48952.185599999997</v>
      </c>
      <c r="E25" s="46"/>
      <c r="F25" s="460">
        <f t="shared" si="1"/>
        <v>27</v>
      </c>
      <c r="G25" s="461">
        <f>IFERROR(+CONYUGE!J48,0)</f>
        <v>40549.946000000004</v>
      </c>
      <c r="H25" s="461">
        <f>IFERROR(+CONYUGE!K48,0)</f>
        <v>47676.185600000004</v>
      </c>
      <c r="I25" s="46"/>
      <c r="J25" s="460">
        <f t="shared" si="2"/>
        <v>14</v>
      </c>
      <c r="K25" s="461">
        <f>IFERROR(DEPENDIENTE!J35,0)</f>
        <v>26776.511999999999</v>
      </c>
      <c r="L25" s="461">
        <f>IFERROR(DEPENDIENTE!K35,0)</f>
        <v>27134.012399999996</v>
      </c>
      <c r="M25" s="2"/>
    </row>
    <row r="26" spans="1:13">
      <c r="A26" s="46"/>
      <c r="B26" s="263">
        <f t="shared" si="0"/>
        <v>28</v>
      </c>
      <c r="C26" s="264">
        <f>IFERROR(TITULAR!J55,0)</f>
        <v>44015.562000000005</v>
      </c>
      <c r="D26" s="264">
        <f>IFERROR(TITULAR!K55,0)</f>
        <v>51012.589200000002</v>
      </c>
      <c r="E26" s="46"/>
      <c r="F26" s="263">
        <f t="shared" si="1"/>
        <v>28</v>
      </c>
      <c r="G26" s="264">
        <f>IFERROR(+CONYUGE!J49,0)</f>
        <v>42739.562000000005</v>
      </c>
      <c r="H26" s="264">
        <f>IFERROR(+CONYUGE!K49,0)</f>
        <v>49736.589200000002</v>
      </c>
      <c r="I26" s="46"/>
      <c r="J26" s="263">
        <f t="shared" si="2"/>
        <v>15</v>
      </c>
      <c r="K26" s="264">
        <f>IFERROR(DEPENDIENTE!J36,0)</f>
        <v>26866.168399999999</v>
      </c>
      <c r="L26" s="264">
        <f>IFERROR(DEPENDIENTE!K36,0)</f>
        <v>26731.782399999996</v>
      </c>
      <c r="M26" s="2"/>
    </row>
    <row r="27" spans="1:13">
      <c r="A27" s="46"/>
      <c r="B27" s="460">
        <f t="shared" si="0"/>
        <v>29</v>
      </c>
      <c r="C27" s="461">
        <f>IFERROR(TITULAR!J56,0)</f>
        <v>46047.290399999998</v>
      </c>
      <c r="D27" s="461">
        <f>IFERROR(TITULAR!K56,0)</f>
        <v>53091.854400000004</v>
      </c>
      <c r="E27" s="46"/>
      <c r="F27" s="460">
        <f t="shared" si="1"/>
        <v>29</v>
      </c>
      <c r="G27" s="461">
        <f>IFERROR(+CONYUGE!J50,0)</f>
        <v>44771.290399999998</v>
      </c>
      <c r="H27" s="461">
        <f>IFERROR(+CONYUGE!K50,0)</f>
        <v>51815.854400000004</v>
      </c>
      <c r="I27" s="46"/>
      <c r="J27" s="460">
        <f t="shared" si="2"/>
        <v>16</v>
      </c>
      <c r="K27" s="461">
        <f>IFERROR(DEPENDIENTE!J37,0)</f>
        <v>26454.159599999999</v>
      </c>
      <c r="L27" s="461">
        <f>IFERROR(DEPENDIENTE!K37,0)</f>
        <v>24906.696400000001</v>
      </c>
      <c r="M27" s="2"/>
    </row>
    <row r="28" spans="1:13">
      <c r="A28" s="46"/>
      <c r="B28" s="263">
        <f t="shared" si="0"/>
        <v>30</v>
      </c>
      <c r="C28" s="264">
        <f>IFERROR(TITULAR!J57,0)</f>
        <v>47937.324800000002</v>
      </c>
      <c r="D28" s="264">
        <f>IFERROR(TITULAR!K57,0)</f>
        <v>55378.191200000001</v>
      </c>
      <c r="E28" s="46"/>
      <c r="F28" s="263">
        <f t="shared" si="1"/>
        <v>30</v>
      </c>
      <c r="G28" s="264">
        <f>IFERROR(+CONYUGE!J51,0)</f>
        <v>46661.324800000002</v>
      </c>
      <c r="H28" s="264">
        <f>IFERROR(+CONYUGE!K51,0)</f>
        <v>54102.191200000001</v>
      </c>
      <c r="I28" s="46"/>
      <c r="J28" s="263">
        <f t="shared" si="2"/>
        <v>17</v>
      </c>
      <c r="K28" s="264">
        <f>IFERROR(DEPENDIENTE!J38,0)</f>
        <v>26607.372399999997</v>
      </c>
      <c r="L28" s="264">
        <f>IFERROR(DEPENDIENTE!K38,0)</f>
        <v>25273.766799999998</v>
      </c>
      <c r="M28" s="2"/>
    </row>
    <row r="29" spans="1:13">
      <c r="A29" s="46"/>
      <c r="B29" s="460">
        <f t="shared" si="0"/>
        <v>31</v>
      </c>
      <c r="C29" s="461">
        <f>IFERROR(TITULAR!J58,0)</f>
        <v>49753.618000000002</v>
      </c>
      <c r="D29" s="461">
        <f>IFERROR(TITULAR!K58,0)</f>
        <v>57726.089200000002</v>
      </c>
      <c r="E29" s="46"/>
      <c r="F29" s="460">
        <f t="shared" si="1"/>
        <v>31</v>
      </c>
      <c r="G29" s="461">
        <f>IFERROR(+CONYUGE!J52,0)</f>
        <v>48477.618000000002</v>
      </c>
      <c r="H29" s="461">
        <f>IFERROR(+CONYUGE!K52,0)</f>
        <v>56450.089200000002</v>
      </c>
      <c r="I29" s="46"/>
      <c r="J29" s="460">
        <f t="shared" si="2"/>
        <v>18</v>
      </c>
      <c r="K29" s="461">
        <f>IFERROR(DEPENDIENTE!J39,0)</f>
        <v>27281.923999999999</v>
      </c>
      <c r="L29" s="461">
        <f>IFERROR(DEPENDIENTE!K39,0)</f>
        <v>25502.286799999998</v>
      </c>
      <c r="M29" s="2"/>
    </row>
    <row r="30" spans="1:13">
      <c r="A30" s="46"/>
      <c r="B30" s="263">
        <f t="shared" si="0"/>
        <v>32</v>
      </c>
      <c r="C30" s="264">
        <f>IFERROR(TITULAR!J59,0)</f>
        <v>52577.533600000002</v>
      </c>
      <c r="D30" s="264">
        <f>IFERROR(TITULAR!K59,0)</f>
        <v>60111.640800000001</v>
      </c>
      <c r="E30" s="46"/>
      <c r="F30" s="263">
        <f t="shared" si="1"/>
        <v>32</v>
      </c>
      <c r="G30" s="264">
        <f>IFERROR(+CONYUGE!J53,0)</f>
        <v>51301.533600000002</v>
      </c>
      <c r="H30" s="264">
        <f>IFERROR(+CONYUGE!K53,0)</f>
        <v>58835.640800000001</v>
      </c>
      <c r="I30" s="46"/>
      <c r="J30" s="263">
        <f t="shared" si="2"/>
        <v>19</v>
      </c>
      <c r="K30" s="264">
        <f>IFERROR(DEPENDIENTE!J40,0)</f>
        <v>28104.700400000002</v>
      </c>
      <c r="L30" s="264">
        <f>IFERROR(DEPENDIENTE!K40,0)</f>
        <v>25825.381600000001</v>
      </c>
      <c r="M30" s="2"/>
    </row>
    <row r="31" spans="1:13">
      <c r="A31" s="46"/>
      <c r="B31" s="460">
        <f t="shared" si="0"/>
        <v>33</v>
      </c>
      <c r="C31" s="461">
        <f>IFERROR(TITULAR!J60,0)</f>
        <v>54297.210399999996</v>
      </c>
      <c r="D31" s="461">
        <f>IFERROR(TITULAR!K60,0)</f>
        <v>62542.954400000002</v>
      </c>
      <c r="E31" s="46"/>
      <c r="F31" s="460">
        <f t="shared" si="1"/>
        <v>33</v>
      </c>
      <c r="G31" s="461">
        <f>IFERROR(+CONYUGE!J54,0)</f>
        <v>53021.210399999996</v>
      </c>
      <c r="H31" s="461">
        <f>IFERROR(+CONYUGE!K54,0)</f>
        <v>61266.954400000002</v>
      </c>
      <c r="I31" s="46"/>
      <c r="J31" s="460">
        <f t="shared" si="2"/>
        <v>20</v>
      </c>
      <c r="K31" s="461">
        <f>IFERROR(DEPENDIENTE!J41,0)</f>
        <v>29034.405599999998</v>
      </c>
      <c r="L31" s="461">
        <f>IFERROR(DEPENDIENTE!K41,0)</f>
        <v>29939.866799999996</v>
      </c>
      <c r="M31" s="2"/>
    </row>
    <row r="32" spans="1:13">
      <c r="A32" s="46"/>
      <c r="B32" s="263">
        <f t="shared" si="0"/>
        <v>34</v>
      </c>
      <c r="C32" s="264">
        <f>IFERROR(TITULAR!J61,0)</f>
        <v>57120.406799999997</v>
      </c>
      <c r="D32" s="264">
        <f>IFERROR(TITULAR!K61,0)</f>
        <v>65146.075599999996</v>
      </c>
      <c r="E32" s="46"/>
      <c r="F32" s="263">
        <f t="shared" si="1"/>
        <v>34</v>
      </c>
      <c r="G32" s="264">
        <f>IFERROR(+CONYUGE!J55,0)</f>
        <v>55844.406799999997</v>
      </c>
      <c r="H32" s="264">
        <f>IFERROR(+CONYUGE!K55,0)</f>
        <v>63870.075599999996</v>
      </c>
      <c r="I32" s="46"/>
      <c r="J32" s="263">
        <f t="shared" si="2"/>
        <v>21</v>
      </c>
      <c r="K32" s="264">
        <f>IFERROR(DEPENDIENTE!J42,0)</f>
        <v>30911.482800000002</v>
      </c>
      <c r="L32" s="264">
        <f>IFERROR(DEPENDIENTE!K42,0)</f>
        <v>37358.345199999996</v>
      </c>
      <c r="M32" s="2"/>
    </row>
    <row r="33" spans="1:13">
      <c r="A33" s="46"/>
      <c r="B33" s="460">
        <f t="shared" si="0"/>
        <v>35</v>
      </c>
      <c r="C33" s="461">
        <f>IFERROR(TITULAR!J62,0)</f>
        <v>60063.431200000006</v>
      </c>
      <c r="D33" s="461">
        <f>IFERROR(TITULAR!K62,0)</f>
        <v>67904.520799999998</v>
      </c>
      <c r="E33" s="46"/>
      <c r="F33" s="460">
        <f t="shared" si="1"/>
        <v>35</v>
      </c>
      <c r="G33" s="461">
        <f>IFERROR(+CONYUGE!J56,0)</f>
        <v>58787.431200000006</v>
      </c>
      <c r="H33" s="461">
        <f>IFERROR(+CONYUGE!K56,0)</f>
        <v>66628.520799999998</v>
      </c>
      <c r="I33" s="46"/>
      <c r="J33" s="460">
        <f t="shared" si="2"/>
        <v>22</v>
      </c>
      <c r="K33" s="461">
        <f>IFERROR(DEPENDIENTE!J43,0)</f>
        <v>32149.678400000001</v>
      </c>
      <c r="L33" s="461">
        <f>IFERROR(DEPENDIENTE!K43,0)</f>
        <v>38973.134800000007</v>
      </c>
      <c r="M33" s="2"/>
    </row>
    <row r="34" spans="1:13">
      <c r="A34" s="46"/>
      <c r="B34" s="263">
        <f t="shared" si="0"/>
        <v>36</v>
      </c>
      <c r="C34" s="264">
        <f>IFERROR(TITULAR!J63,0)</f>
        <v>62467.218000000001</v>
      </c>
      <c r="D34" s="264">
        <f>IFERROR(TITULAR!K63,0)</f>
        <v>70731.939599999998</v>
      </c>
      <c r="E34" s="46"/>
      <c r="F34" s="263">
        <f t="shared" si="1"/>
        <v>36</v>
      </c>
      <c r="G34" s="264">
        <f>IFERROR(+CONYUGE!J57,0)</f>
        <v>61191.218000000001</v>
      </c>
      <c r="H34" s="264">
        <f>IFERROR(+CONYUGE!K57,0)</f>
        <v>69455.939599999998</v>
      </c>
      <c r="I34" s="46"/>
      <c r="J34" s="263">
        <f t="shared" si="2"/>
        <v>23</v>
      </c>
      <c r="K34" s="264">
        <f>IFERROR(DEPENDIENTE!J44,0)</f>
        <v>34113.639600000002</v>
      </c>
      <c r="L34" s="264">
        <f>IFERROR(DEPENDIENTE!K44,0)</f>
        <v>40630.020800000006</v>
      </c>
      <c r="M34" s="2"/>
    </row>
    <row r="35" spans="1:13">
      <c r="A35" s="46"/>
      <c r="B35" s="460">
        <f t="shared" si="0"/>
        <v>37</v>
      </c>
      <c r="C35" s="461">
        <f>IFERROR(TITULAR!J64,0)</f>
        <v>65664.236000000004</v>
      </c>
      <c r="D35" s="461">
        <f>IFERROR(TITULAR!K64,0)</f>
        <v>73886.153600000005</v>
      </c>
      <c r="E35" s="46"/>
      <c r="F35" s="460">
        <f t="shared" si="1"/>
        <v>37</v>
      </c>
      <c r="G35" s="461">
        <f>IFERROR(+CONYUGE!J58,0)</f>
        <v>64388.236000000004</v>
      </c>
      <c r="H35" s="461">
        <f>IFERROR(+CONYUGE!K58,0)</f>
        <v>72610.153600000005</v>
      </c>
      <c r="I35" s="46"/>
      <c r="J35" s="460">
        <f t="shared" si="2"/>
        <v>24</v>
      </c>
      <c r="K35" s="461">
        <f>IFERROR(DEPENDIENTE!J45,0)</f>
        <v>35394.534800000001</v>
      </c>
      <c r="L35" s="461">
        <f>IFERROR(DEPENDIENTE!K45,0)</f>
        <v>42366.807600000007</v>
      </c>
      <c r="M35" s="2"/>
    </row>
    <row r="36" spans="1:13">
      <c r="A36" s="46"/>
      <c r="B36" s="263">
        <f t="shared" si="0"/>
        <v>38</v>
      </c>
      <c r="C36" s="264">
        <f>IFERROR(TITULAR!J65,0)</f>
        <v>68961.280800000008</v>
      </c>
      <c r="D36" s="264">
        <f>IFERROR(TITULAR!K65,0)</f>
        <v>76926.525199999989</v>
      </c>
      <c r="E36" s="46"/>
      <c r="F36" s="263">
        <f t="shared" si="1"/>
        <v>38</v>
      </c>
      <c r="G36" s="264">
        <f>IFERROR(+CONYUGE!J59,0)</f>
        <v>67685.280800000008</v>
      </c>
      <c r="H36" s="264">
        <f>IFERROR(+CONYUGE!K59,0)</f>
        <v>75650.525199999989</v>
      </c>
      <c r="I36" s="46"/>
      <c r="J36" s="48"/>
      <c r="K36" s="85"/>
      <c r="L36" s="85"/>
      <c r="M36" s="2"/>
    </row>
    <row r="37" spans="1:13">
      <c r="A37" s="46"/>
      <c r="B37" s="460">
        <f t="shared" si="0"/>
        <v>39</v>
      </c>
      <c r="C37" s="461">
        <f>IFERROR(TITULAR!J66,0)</f>
        <v>72517.260800000004</v>
      </c>
      <c r="D37" s="461">
        <f>IFERROR(TITULAR!K66,0)</f>
        <v>80197.481599999985</v>
      </c>
      <c r="E37" s="46"/>
      <c r="F37" s="460">
        <f t="shared" si="1"/>
        <v>39</v>
      </c>
      <c r="G37" s="461">
        <f>IFERROR(+CONYUGE!J60,0)</f>
        <v>71241.260800000004</v>
      </c>
      <c r="H37" s="461">
        <f>IFERROR(+CONYUGE!K60,0)</f>
        <v>78921.481599999985</v>
      </c>
      <c r="I37" s="46"/>
      <c r="J37" s="48"/>
      <c r="K37" s="85"/>
      <c r="L37" s="85"/>
      <c r="M37" s="2"/>
    </row>
    <row r="38" spans="1:13">
      <c r="A38" s="46"/>
      <c r="B38" s="263">
        <f t="shared" si="0"/>
        <v>40</v>
      </c>
      <c r="C38" s="264">
        <f>IFERROR(TITULAR!J67,0)</f>
        <v>74932.81</v>
      </c>
      <c r="D38" s="264">
        <f>IFERROR(TITULAR!K67,0)</f>
        <v>83587.013199999987</v>
      </c>
      <c r="E38" s="46"/>
      <c r="F38" s="263">
        <f t="shared" si="1"/>
        <v>40</v>
      </c>
      <c r="G38" s="264">
        <f>IFERROR(+CONYUGE!J61,0)</f>
        <v>73656.81</v>
      </c>
      <c r="H38" s="264">
        <f>IFERROR(+CONYUGE!K61,0)</f>
        <v>82311.013199999987</v>
      </c>
      <c r="I38" s="46"/>
      <c r="J38" s="48"/>
      <c r="K38" s="85"/>
      <c r="L38" s="85"/>
      <c r="M38" s="2"/>
    </row>
    <row r="39" spans="1:13">
      <c r="A39" s="46"/>
      <c r="B39" s="460">
        <f t="shared" si="0"/>
        <v>41</v>
      </c>
      <c r="C39" s="461">
        <f>IFERROR(TITULAR!J68,0)</f>
        <v>77578.317599999995</v>
      </c>
      <c r="D39" s="461">
        <f>IFERROR(TITULAR!K68,0)</f>
        <v>87142.181199999992</v>
      </c>
      <c r="E39" s="46"/>
      <c r="F39" s="460">
        <f t="shared" si="1"/>
        <v>41</v>
      </c>
      <c r="G39" s="461">
        <f>IFERROR(+CONYUGE!J62,0)</f>
        <v>76302.317599999995</v>
      </c>
      <c r="H39" s="461">
        <f>IFERROR(+CONYUGE!K62,0)</f>
        <v>85866.181199999992</v>
      </c>
      <c r="I39" s="46"/>
      <c r="J39" s="48"/>
      <c r="K39" s="85"/>
      <c r="L39" s="85"/>
      <c r="M39" s="2"/>
    </row>
    <row r="40" spans="1:13">
      <c r="A40" s="46"/>
      <c r="B40" s="263">
        <f t="shared" si="0"/>
        <v>42</v>
      </c>
      <c r="C40" s="264">
        <f>IFERROR(TITULAR!J69,0)</f>
        <v>80439.875199999995</v>
      </c>
      <c r="D40" s="264">
        <f>IFERROR(TITULAR!K69,0)</f>
        <v>90841.919999999984</v>
      </c>
      <c r="E40" s="46"/>
      <c r="F40" s="263">
        <f t="shared" si="1"/>
        <v>42</v>
      </c>
      <c r="G40" s="264">
        <f>IFERROR(+CONYUGE!J63,0)</f>
        <v>79163.875199999995</v>
      </c>
      <c r="H40" s="264">
        <f>IFERROR(+CONYUGE!K63,0)</f>
        <v>89565.919999999984</v>
      </c>
      <c r="I40" s="46"/>
      <c r="J40" s="48"/>
      <c r="K40" s="85"/>
      <c r="L40" s="85"/>
      <c r="M40" s="2"/>
    </row>
    <row r="41" spans="1:13">
      <c r="A41" s="46"/>
      <c r="B41" s="460">
        <f t="shared" si="0"/>
        <v>43</v>
      </c>
      <c r="C41" s="461">
        <f>IFERROR(TITULAR!J70,0)</f>
        <v>83499.015599999999</v>
      </c>
      <c r="D41" s="461">
        <f>IFERROR(TITULAR!K70,0)</f>
        <v>94690.660799999983</v>
      </c>
      <c r="E41" s="46"/>
      <c r="F41" s="460">
        <f t="shared" si="1"/>
        <v>43</v>
      </c>
      <c r="G41" s="461">
        <f>IFERROR(+CONYUGE!J64,0)</f>
        <v>82223.015599999999</v>
      </c>
      <c r="H41" s="461">
        <f>IFERROR(+CONYUGE!K64,0)</f>
        <v>93414.660799999983</v>
      </c>
      <c r="I41" s="46"/>
      <c r="J41" s="48"/>
      <c r="K41" s="85"/>
      <c r="L41" s="85"/>
      <c r="M41" s="2"/>
    </row>
    <row r="42" spans="1:13">
      <c r="A42" s="46"/>
      <c r="B42" s="263">
        <f t="shared" si="0"/>
        <v>44</v>
      </c>
      <c r="C42" s="264">
        <f>IFERROR(TITULAR!J71,0)</f>
        <v>86927.117199999993</v>
      </c>
      <c r="D42" s="264">
        <f>IFERROR(TITULAR!K71,0)</f>
        <v>99250.551199999987</v>
      </c>
      <c r="E42" s="46"/>
      <c r="F42" s="263">
        <f t="shared" si="1"/>
        <v>44</v>
      </c>
      <c r="G42" s="264">
        <f>IFERROR(+CONYUGE!J65,0)</f>
        <v>85651.117199999993</v>
      </c>
      <c r="H42" s="264">
        <f>IFERROR(+CONYUGE!K65,0)</f>
        <v>97974.551199999987</v>
      </c>
      <c r="I42" s="46"/>
      <c r="J42" s="48"/>
      <c r="K42" s="85"/>
      <c r="L42" s="85"/>
      <c r="M42" s="2"/>
    </row>
    <row r="43" spans="1:13">
      <c r="A43" s="46"/>
      <c r="B43" s="460">
        <f t="shared" si="0"/>
        <v>45</v>
      </c>
      <c r="C43" s="461">
        <f>IFERROR(TITULAR!J72,0)</f>
        <v>90663.465599999996</v>
      </c>
      <c r="D43" s="461">
        <f>IFERROR(TITULAR!K72,0)</f>
        <v>102633.38959999998</v>
      </c>
      <c r="E43" s="46"/>
      <c r="F43" s="460">
        <f t="shared" si="1"/>
        <v>45</v>
      </c>
      <c r="G43" s="461">
        <f>IFERROR(+CONYUGE!J66,0)</f>
        <v>89387.465599999996</v>
      </c>
      <c r="H43" s="461">
        <f>IFERROR(+CONYUGE!K66,0)</f>
        <v>101357.38959999998</v>
      </c>
      <c r="I43" s="46"/>
      <c r="J43" s="48"/>
      <c r="K43" s="85"/>
      <c r="L43" s="85"/>
      <c r="M43" s="2"/>
    </row>
    <row r="44" spans="1:13">
      <c r="A44" s="46"/>
      <c r="B44" s="263">
        <f t="shared" si="0"/>
        <v>46</v>
      </c>
      <c r="C44" s="264">
        <f>IFERROR(TITULAR!J73,0)</f>
        <v>94759.819999999992</v>
      </c>
      <c r="D44" s="264">
        <f>IFERROR(TITULAR!K73,0)</f>
        <v>106315.70519999998</v>
      </c>
      <c r="E44" s="46"/>
      <c r="F44" s="263">
        <f t="shared" si="1"/>
        <v>46</v>
      </c>
      <c r="G44" s="264">
        <f>IFERROR(+CONYUGE!J67,0)</f>
        <v>93483.819999999992</v>
      </c>
      <c r="H44" s="264">
        <f>IFERROR(+CONYUGE!K67,0)</f>
        <v>105039.70519999998</v>
      </c>
      <c r="I44" s="46"/>
      <c r="J44" s="48"/>
      <c r="K44" s="85"/>
      <c r="L44" s="85"/>
      <c r="M44" s="2"/>
    </row>
    <row r="45" spans="1:13">
      <c r="A45" s="46"/>
      <c r="B45" s="460">
        <f t="shared" si="0"/>
        <v>47</v>
      </c>
      <c r="C45" s="461">
        <f>IFERROR(TITULAR!J74,0)</f>
        <v>99257.627199999988</v>
      </c>
      <c r="D45" s="461">
        <f>IFERROR(TITULAR!K74,0)</f>
        <v>111492.78519999998</v>
      </c>
      <c r="E45" s="46"/>
      <c r="F45" s="460">
        <f t="shared" si="1"/>
        <v>47</v>
      </c>
      <c r="G45" s="461">
        <f>IFERROR(+CONYUGE!J68,0)</f>
        <v>97981.627199999988</v>
      </c>
      <c r="H45" s="461">
        <f>IFERROR(+CONYUGE!K68,0)</f>
        <v>110216.78519999998</v>
      </c>
      <c r="I45" s="46"/>
      <c r="J45" s="48"/>
      <c r="K45" s="85"/>
      <c r="L45" s="85"/>
      <c r="M45" s="2"/>
    </row>
    <row r="46" spans="1:13">
      <c r="A46" s="46"/>
      <c r="B46" s="263">
        <f t="shared" si="0"/>
        <v>48</v>
      </c>
      <c r="C46" s="264">
        <f>IFERROR(TITULAR!J75,0)</f>
        <v>104148.22199999999</v>
      </c>
      <c r="D46" s="264">
        <f>IFERROR(TITULAR!K75,0)</f>
        <v>115782.58119999999</v>
      </c>
      <c r="E46" s="46"/>
      <c r="F46" s="263">
        <f t="shared" si="1"/>
        <v>48</v>
      </c>
      <c r="G46" s="264">
        <f>IFERROR(+CONYUGE!J69,0)</f>
        <v>102872.22199999999</v>
      </c>
      <c r="H46" s="264">
        <f>IFERROR(+CONYUGE!K69,0)</f>
        <v>114506.58119999999</v>
      </c>
      <c r="I46" s="46"/>
      <c r="J46" s="48"/>
      <c r="K46" s="85"/>
      <c r="L46" s="85"/>
      <c r="M46" s="2"/>
    </row>
    <row r="47" spans="1:13">
      <c r="A47" s="46"/>
      <c r="B47" s="460">
        <f t="shared" si="0"/>
        <v>49</v>
      </c>
      <c r="C47" s="461">
        <f>IFERROR(TITULAR!J76,0)</f>
        <v>109511.018</v>
      </c>
      <c r="D47" s="461">
        <f>IFERROR(TITULAR!K76,0)</f>
        <v>120409.28759999998</v>
      </c>
      <c r="E47" s="46"/>
      <c r="F47" s="460">
        <f t="shared" si="1"/>
        <v>49</v>
      </c>
      <c r="G47" s="461">
        <f>IFERROR(+CONYUGE!J70,0)</f>
        <v>108235.018</v>
      </c>
      <c r="H47" s="461">
        <f>IFERROR(+CONYUGE!K70,0)</f>
        <v>119133.28759999998</v>
      </c>
      <c r="I47" s="46"/>
      <c r="J47" s="48"/>
      <c r="K47" s="85"/>
      <c r="L47" s="85"/>
      <c r="M47" s="2"/>
    </row>
    <row r="48" spans="1:13">
      <c r="A48" s="46"/>
      <c r="B48" s="263">
        <f t="shared" si="0"/>
        <v>50</v>
      </c>
      <c r="C48" s="264">
        <f>IFERROR(TITULAR!J77,0)</f>
        <v>115406.24239999999</v>
      </c>
      <c r="D48" s="264">
        <f>IFERROR(TITULAR!K77,0)</f>
        <v>125318.04799999998</v>
      </c>
      <c r="E48" s="46"/>
      <c r="F48" s="263">
        <f t="shared" si="1"/>
        <v>50</v>
      </c>
      <c r="G48" s="264">
        <f>IFERROR(+CONYUGE!J71,0)</f>
        <v>114130.24239999999</v>
      </c>
      <c r="H48" s="264">
        <f>IFERROR(+CONYUGE!K71,0)</f>
        <v>124042.04799999998</v>
      </c>
      <c r="I48" s="46"/>
      <c r="J48" s="48"/>
      <c r="K48" s="85"/>
      <c r="L48" s="85"/>
      <c r="M48" s="2"/>
    </row>
    <row r="49" spans="1:13">
      <c r="A49" s="46"/>
      <c r="B49" s="460">
        <f t="shared" si="0"/>
        <v>51</v>
      </c>
      <c r="C49" s="461">
        <f>IFERROR(TITULAR!J78,0)</f>
        <v>121772.11359999998</v>
      </c>
      <c r="D49" s="461">
        <f>IFERROR(TITULAR!K78,0)</f>
        <v>130575.23759999998</v>
      </c>
      <c r="E49" s="46"/>
      <c r="F49" s="460">
        <f t="shared" si="1"/>
        <v>51</v>
      </c>
      <c r="G49" s="461">
        <f>IFERROR(+CONYUGE!J72,0)</f>
        <v>120496.11359999998</v>
      </c>
      <c r="H49" s="461">
        <f>IFERROR(+CONYUGE!K72,0)</f>
        <v>129299.23759999998</v>
      </c>
      <c r="I49" s="46"/>
      <c r="J49" s="48"/>
      <c r="K49" s="85"/>
      <c r="L49" s="85"/>
      <c r="M49" s="2"/>
    </row>
    <row r="50" spans="1:13">
      <c r="A50" s="46"/>
      <c r="B50" s="263">
        <f t="shared" si="0"/>
        <v>52</v>
      </c>
      <c r="C50" s="264">
        <f>IFERROR(TITULAR!J79,0)</f>
        <v>128727.63599999998</v>
      </c>
      <c r="D50" s="264">
        <f>IFERROR(TITULAR!K79,0)</f>
        <v>136225.64399999997</v>
      </c>
      <c r="E50" s="46"/>
      <c r="F50" s="263">
        <f t="shared" si="1"/>
        <v>52</v>
      </c>
      <c r="G50" s="264">
        <f>IFERROR(+CONYUGE!J73,0)</f>
        <v>127451.63599999998</v>
      </c>
      <c r="H50" s="264">
        <f>IFERROR(+CONYUGE!K73,0)</f>
        <v>134949.64399999997</v>
      </c>
      <c r="I50" s="46"/>
      <c r="J50" s="48"/>
      <c r="K50" s="85"/>
      <c r="L50" s="85"/>
      <c r="M50" s="2"/>
    </row>
    <row r="51" spans="1:13">
      <c r="A51" s="46"/>
      <c r="B51" s="460">
        <f t="shared" si="0"/>
        <v>53</v>
      </c>
      <c r="C51" s="461">
        <f>IFERROR(TITULAR!J80,0)</f>
        <v>136222.6048</v>
      </c>
      <c r="D51" s="461">
        <f>IFERROR(TITULAR!K80,0)</f>
        <v>142294.83359999998</v>
      </c>
      <c r="E51" s="46"/>
      <c r="F51" s="460">
        <f t="shared" si="1"/>
        <v>53</v>
      </c>
      <c r="G51" s="461">
        <f>IFERROR(+CONYUGE!J74,0)</f>
        <v>134946.6048</v>
      </c>
      <c r="H51" s="461">
        <f>IFERROR(+CONYUGE!K74,0)</f>
        <v>141018.83359999998</v>
      </c>
      <c r="I51" s="46"/>
      <c r="J51" s="48"/>
      <c r="K51" s="85"/>
      <c r="L51" s="85"/>
      <c r="M51" s="2"/>
    </row>
    <row r="52" spans="1:13">
      <c r="A52" s="46"/>
      <c r="B52" s="263">
        <f t="shared" si="0"/>
        <v>54</v>
      </c>
      <c r="C52" s="264">
        <f>IFERROR(TITULAR!J81,0)</f>
        <v>144355.5968</v>
      </c>
      <c r="D52" s="264">
        <f>IFERROR(TITULAR!K81,0)</f>
        <v>148762.70359999998</v>
      </c>
      <c r="E52" s="46"/>
      <c r="F52" s="263">
        <f t="shared" si="1"/>
        <v>54</v>
      </c>
      <c r="G52" s="264">
        <f>IFERROR(+CONYUGE!J75,0)</f>
        <v>143079.5968</v>
      </c>
      <c r="H52" s="264">
        <f>IFERROR(+CONYUGE!K75,0)</f>
        <v>147486.70359999998</v>
      </c>
      <c r="I52" s="46"/>
      <c r="J52" s="48"/>
      <c r="K52" s="85"/>
      <c r="L52" s="85"/>
      <c r="M52" s="2"/>
    </row>
    <row r="53" spans="1:13">
      <c r="A53" s="46"/>
      <c r="B53" s="460">
        <f t="shared" si="0"/>
        <v>55</v>
      </c>
      <c r="C53" s="461">
        <f>IFERROR(TITULAR!J82,0)</f>
        <v>153105.56959999999</v>
      </c>
      <c r="D53" s="461">
        <f>IFERROR(TITULAR!K82,0)</f>
        <v>155623.92959999997</v>
      </c>
      <c r="E53" s="46"/>
      <c r="F53" s="460">
        <f t="shared" si="1"/>
        <v>55</v>
      </c>
      <c r="G53" s="461">
        <f>IFERROR(+CONYUGE!J76,0)</f>
        <v>151829.56959999999</v>
      </c>
      <c r="H53" s="461">
        <f>IFERROR(+CONYUGE!K76,0)</f>
        <v>154347.92959999997</v>
      </c>
      <c r="I53" s="46"/>
      <c r="J53" s="48"/>
      <c r="K53" s="85"/>
      <c r="L53" s="85"/>
      <c r="M53" s="2"/>
    </row>
    <row r="54" spans="1:13">
      <c r="A54" s="46"/>
      <c r="B54" s="263">
        <f t="shared" si="0"/>
        <v>56</v>
      </c>
      <c r="C54" s="264">
        <f>IFERROR(TITULAR!J83,0)</f>
        <v>162551.83240000001</v>
      </c>
      <c r="D54" s="264">
        <f>IFERROR(TITULAR!K83,0)</f>
        <v>165888.97840000002</v>
      </c>
      <c r="E54" s="46"/>
      <c r="F54" s="263">
        <f t="shared" si="1"/>
        <v>56</v>
      </c>
      <c r="G54" s="264">
        <f>IFERROR(+CONYUGE!J77,0)</f>
        <v>161275.83240000001</v>
      </c>
      <c r="H54" s="264">
        <f>IFERROR(+CONYUGE!K77,0)</f>
        <v>164612.97840000002</v>
      </c>
      <c r="I54" s="46"/>
      <c r="J54" s="48"/>
      <c r="K54" s="85"/>
      <c r="L54" s="85"/>
      <c r="M54" s="2"/>
    </row>
    <row r="55" spans="1:13">
      <c r="A55" s="46"/>
      <c r="B55" s="460">
        <f t="shared" si="0"/>
        <v>57</v>
      </c>
      <c r="C55" s="461">
        <f>IFERROR(TITULAR!J84,0)</f>
        <v>172765.42360000001</v>
      </c>
      <c r="D55" s="461">
        <f>IFERROR(TITULAR!K84,0)</f>
        <v>172056.96519999998</v>
      </c>
      <c r="E55" s="46"/>
      <c r="F55" s="460">
        <f t="shared" si="1"/>
        <v>57</v>
      </c>
      <c r="G55" s="461">
        <f>IFERROR(+CONYUGE!J78,0)</f>
        <v>171489.42360000001</v>
      </c>
      <c r="H55" s="461">
        <f>IFERROR(+CONYUGE!K78,0)</f>
        <v>170780.96519999998</v>
      </c>
      <c r="I55" s="46"/>
      <c r="J55" s="48"/>
      <c r="K55" s="85"/>
      <c r="L55" s="85"/>
      <c r="M55" s="2"/>
    </row>
    <row r="56" spans="1:13">
      <c r="A56" s="46"/>
      <c r="B56" s="263">
        <f t="shared" si="0"/>
        <v>58</v>
      </c>
      <c r="C56" s="264">
        <f>IFERROR(TITULAR!J85,0)</f>
        <v>180019.90119999999</v>
      </c>
      <c r="D56" s="264">
        <f>IFERROR(TITULAR!K85,0)</f>
        <v>178774.8964</v>
      </c>
      <c r="E56" s="46"/>
      <c r="F56" s="263">
        <f t="shared" si="1"/>
        <v>58</v>
      </c>
      <c r="G56" s="264">
        <f>IFERROR(+CONYUGE!J79,0)</f>
        <v>178743.90119999999</v>
      </c>
      <c r="H56" s="264">
        <f>IFERROR(+CONYUGE!K79,0)</f>
        <v>177498.8964</v>
      </c>
      <c r="I56" s="46"/>
      <c r="J56" s="48"/>
      <c r="K56" s="85"/>
      <c r="L56" s="85"/>
      <c r="M56" s="2"/>
    </row>
    <row r="57" spans="1:13">
      <c r="A57" s="46"/>
      <c r="B57" s="460">
        <f t="shared" si="0"/>
        <v>59</v>
      </c>
      <c r="C57" s="461">
        <f>IFERROR(TITULAR!J86,0)</f>
        <v>191461.16680000001</v>
      </c>
      <c r="D57" s="461">
        <f>IFERROR(TITULAR!K86,0)</f>
        <v>181637.2776</v>
      </c>
      <c r="E57" s="46"/>
      <c r="F57" s="460">
        <f t="shared" si="1"/>
        <v>59</v>
      </c>
      <c r="G57" s="461">
        <f>IFERROR(+CONYUGE!J80,0)</f>
        <v>190185.16680000001</v>
      </c>
      <c r="H57" s="461">
        <f>IFERROR(+CONYUGE!K80,0)</f>
        <v>180361.2776</v>
      </c>
      <c r="I57" s="46"/>
      <c r="J57" s="48"/>
      <c r="K57" s="85"/>
      <c r="L57" s="85"/>
      <c r="M57" s="2"/>
    </row>
    <row r="58" spans="1:13">
      <c r="A58" s="46"/>
      <c r="B58" s="263">
        <f t="shared" si="0"/>
        <v>60</v>
      </c>
      <c r="C58" s="264">
        <f>IFERROR(TITULAR!J87,0)</f>
        <v>305853.99839999998</v>
      </c>
      <c r="D58" s="264">
        <f>IFERROR(TITULAR!K87,0)</f>
        <v>295974.83519999997</v>
      </c>
      <c r="E58" s="46"/>
      <c r="F58" s="263">
        <f t="shared" si="1"/>
        <v>60</v>
      </c>
      <c r="G58" s="264">
        <f>IFERROR(+CONYUGE!J81,0)</f>
        <v>304577.99839999998</v>
      </c>
      <c r="H58" s="264">
        <f>IFERROR(+CONYUGE!K81,0)</f>
        <v>294698.83519999997</v>
      </c>
      <c r="I58" s="46"/>
      <c r="J58" s="48"/>
      <c r="K58" s="85"/>
      <c r="L58" s="85"/>
      <c r="M58" s="2"/>
    </row>
    <row r="59" spans="1:13">
      <c r="A59" s="46"/>
      <c r="B59" s="460">
        <f t="shared" si="0"/>
        <v>61</v>
      </c>
      <c r="C59" s="461">
        <f>IFERROR(TITULAR!J88,0)</f>
        <v>322160.94199999992</v>
      </c>
      <c r="D59" s="461">
        <f>IFERROR(TITULAR!K88,0)</f>
        <v>308338.66039999994</v>
      </c>
      <c r="E59" s="46"/>
      <c r="F59" s="460">
        <f t="shared" si="1"/>
        <v>61</v>
      </c>
      <c r="G59" s="461">
        <f>IFERROR(+CONYUGE!J82,0)</f>
        <v>320884.94199999992</v>
      </c>
      <c r="H59" s="461">
        <f>IFERROR(+CONYUGE!K82,0)</f>
        <v>307062.66039999994</v>
      </c>
      <c r="I59" s="46"/>
      <c r="J59" s="48"/>
      <c r="K59" s="85"/>
      <c r="L59" s="85"/>
      <c r="M59" s="2"/>
    </row>
    <row r="60" spans="1:13">
      <c r="A60" s="46"/>
      <c r="B60" s="263">
        <f t="shared" si="0"/>
        <v>62</v>
      </c>
      <c r="C60" s="264">
        <f>IFERROR(TITULAR!J89,0)</f>
        <v>339341.02919999993</v>
      </c>
      <c r="D60" s="264">
        <f>IFERROR(TITULAR!K89,0)</f>
        <v>321365.17039999989</v>
      </c>
      <c r="E60" s="46"/>
      <c r="F60" s="263">
        <f t="shared" si="1"/>
        <v>62</v>
      </c>
      <c r="G60" s="264">
        <f>IFERROR(+CONYUGE!J83,0)</f>
        <v>338065.02919999993</v>
      </c>
      <c r="H60" s="264">
        <f>IFERROR(+CONYUGE!K83,0)</f>
        <v>320089.17039999989</v>
      </c>
      <c r="I60" s="46"/>
      <c r="J60" s="48"/>
      <c r="K60" s="85"/>
      <c r="L60" s="85"/>
      <c r="M60" s="2"/>
    </row>
    <row r="61" spans="1:13">
      <c r="A61" s="46"/>
      <c r="B61" s="460">
        <f t="shared" si="0"/>
        <v>63</v>
      </c>
      <c r="C61" s="461">
        <f>IFERROR(TITULAR!J90,0)</f>
        <v>357210.26079999993</v>
      </c>
      <c r="D61" s="461">
        <f>IFERROR(TITULAR!K90,0)</f>
        <v>334939.80359999993</v>
      </c>
      <c r="E61" s="46"/>
      <c r="F61" s="460">
        <f t="shared" si="1"/>
        <v>63</v>
      </c>
      <c r="G61" s="461">
        <f>IFERROR(+CONYUGE!J84,0)</f>
        <v>355934.26079999993</v>
      </c>
      <c r="H61" s="461">
        <f>IFERROR(+CONYUGE!K84,0)</f>
        <v>333663.80359999993</v>
      </c>
      <c r="I61" s="46"/>
      <c r="J61" s="48"/>
      <c r="K61" s="85"/>
      <c r="L61" s="85"/>
      <c r="M61" s="2"/>
    </row>
    <row r="62" spans="1:13">
      <c r="A62" s="46"/>
      <c r="B62" s="263">
        <f t="shared" si="0"/>
        <v>64</v>
      </c>
      <c r="C62" s="264">
        <f>IFERROR(TITULAR!J91,0)</f>
        <v>376077.27799999987</v>
      </c>
      <c r="D62" s="264">
        <f>IFERROR(TITULAR!K91,0)</f>
        <v>349434.86199999991</v>
      </c>
      <c r="E62" s="46"/>
      <c r="F62" s="263">
        <f t="shared" si="1"/>
        <v>64</v>
      </c>
      <c r="G62" s="264">
        <f>IFERROR(+CONYUGE!J85,0)</f>
        <v>374801.27799999987</v>
      </c>
      <c r="H62" s="264">
        <f>IFERROR(+CONYUGE!K85,0)</f>
        <v>348158.86199999991</v>
      </c>
      <c r="I62" s="46"/>
      <c r="J62" s="48"/>
      <c r="K62" s="85"/>
      <c r="L62" s="85"/>
      <c r="M62" s="2"/>
    </row>
    <row r="63" spans="1:13">
      <c r="A63" s="46"/>
      <c r="B63" s="460">
        <f t="shared" si="0"/>
        <v>65</v>
      </c>
      <c r="C63" s="461">
        <f>IFERROR(TITULAR!J92,0)</f>
        <v>395317.39759999991</v>
      </c>
      <c r="D63" s="461">
        <f>IFERROR(TITULAR!K92,0)</f>
        <v>364079.24719999987</v>
      </c>
      <c r="E63" s="46"/>
      <c r="F63" s="460">
        <f t="shared" si="1"/>
        <v>65</v>
      </c>
      <c r="G63" s="461">
        <f>IFERROR(+CONYUGE!J86,0)</f>
        <v>394041.39759999991</v>
      </c>
      <c r="H63" s="461">
        <f>IFERROR(+CONYUGE!K86,0)</f>
        <v>362803.24719999987</v>
      </c>
      <c r="I63" s="46"/>
      <c r="J63" s="48"/>
      <c r="K63" s="85"/>
      <c r="L63" s="85"/>
      <c r="M63" s="2"/>
    </row>
    <row r="64" spans="1:13">
      <c r="A64" s="46"/>
      <c r="B64" s="263">
        <f t="shared" si="0"/>
        <v>66</v>
      </c>
      <c r="C64" s="264">
        <f>IFERROR(TITULAR!J93,0)</f>
        <v>415884.83559999993</v>
      </c>
      <c r="D64" s="264">
        <f>IFERROR(TITULAR!K93,0)</f>
        <v>380188.75879999989</v>
      </c>
      <c r="E64" s="46"/>
      <c r="F64" s="263">
        <f t="shared" si="1"/>
        <v>66</v>
      </c>
      <c r="G64" s="264">
        <f>IFERROR(+CONYUGE!J87,0)</f>
        <v>414608.83559999993</v>
      </c>
      <c r="H64" s="264">
        <f>IFERROR(+CONYUGE!K87,0)</f>
        <v>378912.75879999989</v>
      </c>
      <c r="I64" s="46"/>
      <c r="J64" s="48"/>
      <c r="K64" s="85"/>
      <c r="L64" s="85"/>
      <c r="M64" s="2"/>
    </row>
    <row r="65" spans="1:13">
      <c r="A65" s="46"/>
      <c r="B65" s="460">
        <f t="shared" si="0"/>
        <v>67</v>
      </c>
      <c r="C65" s="461">
        <f>IFERROR(TITULAR!J94,0)</f>
        <v>437351.87679999997</v>
      </c>
      <c r="D65" s="461">
        <f>IFERROR(TITULAR!K94,0)</f>
        <v>395649.71439999994</v>
      </c>
      <c r="E65" s="46"/>
      <c r="F65" s="460">
        <f t="shared" si="1"/>
        <v>67</v>
      </c>
      <c r="G65" s="461">
        <f>IFERROR(+CONYUGE!J88,0)</f>
        <v>436075.87679999997</v>
      </c>
      <c r="H65" s="461">
        <f>IFERROR(+CONYUGE!K88,0)</f>
        <v>394373.71439999994</v>
      </c>
      <c r="I65" s="46"/>
      <c r="J65" s="48"/>
      <c r="K65" s="85"/>
      <c r="L65" s="85"/>
      <c r="M65" s="2"/>
    </row>
    <row r="66" spans="1:13">
      <c r="A66" s="46"/>
      <c r="B66" s="263">
        <f t="shared" si="0"/>
        <v>68</v>
      </c>
      <c r="C66" s="264">
        <f>IFERROR(TITULAR!J95,0)</f>
        <v>459401.34239999991</v>
      </c>
      <c r="D66" s="264">
        <f>IFERROR(TITULAR!K95,0)</f>
        <v>412649.08519999991</v>
      </c>
      <c r="E66" s="46"/>
      <c r="F66" s="263">
        <f t="shared" si="1"/>
        <v>68</v>
      </c>
      <c r="G66" s="264">
        <f>IFERROR(+CONYUGE!J89,0)</f>
        <v>458125.34239999991</v>
      </c>
      <c r="H66" s="264">
        <f>IFERROR(+CONYUGE!K89,0)</f>
        <v>411373.08519999991</v>
      </c>
      <c r="I66" s="46"/>
      <c r="J66" s="48"/>
      <c r="K66" s="85"/>
      <c r="L66" s="85"/>
      <c r="M66" s="2"/>
    </row>
    <row r="67" spans="1:13">
      <c r="A67" s="46"/>
      <c r="B67" s="460">
        <f t="shared" si="0"/>
        <v>69</v>
      </c>
      <c r="C67" s="461">
        <f>IFERROR(TITULAR!J96,0)</f>
        <v>482625.02959999989</v>
      </c>
      <c r="D67" s="461">
        <f>IFERROR(TITULAR!K96,0)</f>
        <v>430912.55439999991</v>
      </c>
      <c r="E67" s="46"/>
      <c r="F67" s="460">
        <f t="shared" si="1"/>
        <v>69</v>
      </c>
      <c r="G67" s="461">
        <f>IFERROR(+CONYUGE!J90,0)</f>
        <v>481349.02959999989</v>
      </c>
      <c r="H67" s="461">
        <f>IFERROR(+CONYUGE!K90,0)</f>
        <v>429636.55439999991</v>
      </c>
      <c r="I67" s="46"/>
      <c r="J67" s="48"/>
      <c r="K67" s="85"/>
      <c r="L67" s="85"/>
      <c r="M67" s="2"/>
    </row>
    <row r="68" spans="1:13">
      <c r="A68" s="46"/>
      <c r="B68" s="2"/>
      <c r="C68" s="49"/>
      <c r="D68" s="46"/>
      <c r="E68" s="46"/>
      <c r="F68" s="2"/>
      <c r="G68" s="49"/>
      <c r="H68" s="46"/>
      <c r="I68" s="46"/>
      <c r="J68" s="2"/>
      <c r="K68" s="49"/>
      <c r="L68" s="46"/>
      <c r="M68" s="2"/>
    </row>
    <row r="69" spans="1:13">
      <c r="A69" s="46"/>
      <c r="M69" s="2"/>
    </row>
    <row r="70" spans="1:13">
      <c r="A70" s="2"/>
      <c r="B70" s="2"/>
      <c r="C70" s="49"/>
      <c r="D70" s="46"/>
      <c r="E70" s="2"/>
      <c r="F70" s="2"/>
      <c r="G70" s="49"/>
      <c r="H70" s="46"/>
      <c r="I70" s="2"/>
      <c r="J70" s="2"/>
      <c r="K70" s="49"/>
      <c r="L70" s="46"/>
      <c r="M70" s="2"/>
    </row>
    <row r="71" spans="1:13">
      <c r="A71" s="2"/>
      <c r="B71" s="738"/>
      <c r="C71" s="738"/>
      <c r="D71" s="738"/>
      <c r="E71" s="2"/>
      <c r="F71" s="2"/>
      <c r="G71" s="49"/>
      <c r="H71" s="46"/>
      <c r="I71" s="2"/>
      <c r="J71" s="2"/>
      <c r="K71" s="49"/>
      <c r="L71" s="46"/>
      <c r="M71" s="2"/>
    </row>
    <row r="72" spans="1:13">
      <c r="A72" s="2"/>
      <c r="B72" s="2"/>
      <c r="C72" s="49"/>
      <c r="D72" s="46"/>
      <c r="E72" s="2"/>
      <c r="F72" s="2"/>
      <c r="G72" s="49"/>
      <c r="H72" s="46"/>
      <c r="I72" s="2"/>
      <c r="J72" s="2"/>
      <c r="K72" s="49"/>
      <c r="L72" s="46"/>
      <c r="M72" s="2"/>
    </row>
    <row r="73" spans="1:13" ht="11.5">
      <c r="A73" s="2"/>
      <c r="B73" s="259" t="s">
        <v>59</v>
      </c>
      <c r="C73" s="260"/>
      <c r="D73" s="261">
        <f>+D9</f>
        <v>100000000</v>
      </c>
      <c r="E73" s="2"/>
      <c r="F73" s="2"/>
      <c r="G73" s="49"/>
      <c r="H73" s="50"/>
      <c r="I73" s="2"/>
      <c r="J73" s="2"/>
      <c r="K73" s="49"/>
      <c r="L73" s="50"/>
      <c r="M73" s="2"/>
    </row>
    <row r="74" spans="1:13" ht="11.5">
      <c r="A74" s="2"/>
      <c r="B74" s="259" t="s">
        <v>61</v>
      </c>
      <c r="C74" s="260"/>
      <c r="D74" s="261">
        <f>+D10</f>
        <v>15000</v>
      </c>
      <c r="E74" s="2"/>
      <c r="F74" s="2"/>
      <c r="G74" s="49"/>
      <c r="H74" s="50"/>
      <c r="I74" s="2"/>
      <c r="J74" s="2"/>
      <c r="K74" s="49"/>
      <c r="L74" s="50"/>
      <c r="M74" s="2"/>
    </row>
    <row r="75" spans="1:13" ht="12" thickBot="1">
      <c r="A75" s="2"/>
      <c r="B75" s="259" t="s">
        <v>63</v>
      </c>
      <c r="C75" s="260"/>
      <c r="D75" s="262">
        <f>+D11</f>
        <v>0.1</v>
      </c>
      <c r="E75" s="2"/>
      <c r="F75" s="2"/>
      <c r="G75" s="49"/>
      <c r="H75" s="50"/>
      <c r="I75" s="2"/>
      <c r="J75" s="2"/>
      <c r="K75" s="49"/>
      <c r="L75" s="50"/>
      <c r="M75" s="2"/>
    </row>
    <row r="76" spans="1:13" ht="10.5" thickBot="1">
      <c r="A76" s="2"/>
      <c r="E76" s="2"/>
      <c r="F76" s="2"/>
      <c r="G76" s="49"/>
      <c r="H76" s="50"/>
      <c r="I76" s="2"/>
      <c r="J76" s="2"/>
      <c r="K76" s="49"/>
      <c r="L76" s="50"/>
      <c r="M76" s="2"/>
    </row>
    <row r="77" spans="1:13">
      <c r="A77" s="2"/>
      <c r="B77" s="739" t="s">
        <v>295</v>
      </c>
      <c r="C77" s="740"/>
      <c r="D77" s="741"/>
      <c r="E77" s="2"/>
      <c r="F77" s="2"/>
      <c r="G77" s="49"/>
      <c r="H77" s="50"/>
      <c r="I77" s="2"/>
      <c r="J77" s="2"/>
      <c r="K77" s="49"/>
      <c r="L77" s="50"/>
      <c r="M77" s="2"/>
    </row>
    <row r="78" spans="1:13" ht="6.75" customHeight="1" thickBot="1">
      <c r="A78" s="2"/>
      <c r="B78" s="742"/>
      <c r="C78" s="743"/>
      <c r="D78" s="744"/>
      <c r="E78" s="2"/>
      <c r="F78" s="2"/>
      <c r="G78" s="49"/>
      <c r="H78" s="50"/>
      <c r="I78" s="2"/>
      <c r="J78" s="2"/>
      <c r="K78" s="49"/>
      <c r="L78" s="50"/>
      <c r="M78" s="2"/>
    </row>
    <row r="79" spans="1:13" ht="10.5" thickBot="1">
      <c r="A79" s="2"/>
      <c r="B79" s="478" t="s">
        <v>94</v>
      </c>
      <c r="C79" s="478" t="s">
        <v>95</v>
      </c>
      <c r="D79" s="478" t="s">
        <v>96</v>
      </c>
      <c r="E79" s="2"/>
      <c r="F79" s="2"/>
      <c r="G79" s="49"/>
      <c r="H79" s="50"/>
      <c r="I79" s="2"/>
      <c r="J79" s="2"/>
      <c r="K79" s="49"/>
      <c r="L79" s="50"/>
      <c r="M79" s="2"/>
    </row>
    <row r="80" spans="1:13">
      <c r="A80" s="2"/>
      <c r="B80" s="263" t="s">
        <v>294</v>
      </c>
      <c r="C80" s="264">
        <f>IFERROR(TITULAR!J32,0)</f>
        <v>28723.421199999997</v>
      </c>
      <c r="D80" s="264">
        <f>IFERROR(TITULAR!K32,0)</f>
        <v>28827.739999999998</v>
      </c>
      <c r="E80" s="2"/>
      <c r="F80" s="2"/>
      <c r="G80" s="49"/>
      <c r="H80" s="50"/>
      <c r="I80" s="2"/>
      <c r="J80" s="2"/>
      <c r="K80" s="49"/>
      <c r="L80" s="50"/>
      <c r="M80" s="2"/>
    </row>
    <row r="81" spans="1:13">
      <c r="A81" s="2"/>
      <c r="B81" s="460">
        <v>6</v>
      </c>
      <c r="C81" s="461">
        <f>IFERROR(TITULAR!J33,0)</f>
        <v>28723.421199999997</v>
      </c>
      <c r="D81" s="461">
        <f>IFERROR(TITULAR!K33,0)</f>
        <v>28827.739999999998</v>
      </c>
      <c r="E81" s="2"/>
      <c r="F81" s="2"/>
      <c r="G81" s="49"/>
      <c r="H81" s="50"/>
      <c r="I81" s="2"/>
      <c r="J81" s="2"/>
      <c r="K81" s="49"/>
      <c r="L81" s="50"/>
      <c r="M81" s="2"/>
    </row>
    <row r="82" spans="1:13">
      <c r="A82" s="2"/>
      <c r="B82" s="263">
        <f>+B81+1</f>
        <v>7</v>
      </c>
      <c r="C82" s="264">
        <f>IFERROR(TITULAR!J34,0)</f>
        <v>28723.421199999997</v>
      </c>
      <c r="D82" s="264">
        <f>IFERROR(TITULAR!K34,0)</f>
        <v>28827.739999999998</v>
      </c>
      <c r="E82" s="2"/>
      <c r="F82" s="2"/>
      <c r="G82" s="49"/>
      <c r="H82" s="50"/>
      <c r="I82" s="2"/>
      <c r="J82" s="2"/>
      <c r="K82" s="49"/>
      <c r="L82" s="50"/>
      <c r="M82" s="2"/>
    </row>
    <row r="83" spans="1:13">
      <c r="A83" s="2"/>
      <c r="B83" s="460">
        <f t="shared" ref="B83:B92" si="3">+B82+1</f>
        <v>8</v>
      </c>
      <c r="C83" s="461">
        <f>IFERROR(TITULAR!J35,0)</f>
        <v>28723.421199999997</v>
      </c>
      <c r="D83" s="461">
        <f>IFERROR(TITULAR!K35,0)</f>
        <v>28827.739999999998</v>
      </c>
      <c r="E83" s="2"/>
      <c r="F83" s="2"/>
      <c r="G83" s="49"/>
      <c r="H83" s="50"/>
      <c r="I83" s="2"/>
      <c r="J83" s="2"/>
      <c r="K83" s="49"/>
      <c r="L83" s="50"/>
      <c r="M83" s="2"/>
    </row>
    <row r="84" spans="1:13">
      <c r="A84" s="2"/>
      <c r="B84" s="263">
        <f t="shared" si="3"/>
        <v>9</v>
      </c>
      <c r="C84" s="264">
        <f>IFERROR(TITULAR!J36,0)</f>
        <v>28723.421199999997</v>
      </c>
      <c r="D84" s="264">
        <f>IFERROR(TITULAR!K36,0)</f>
        <v>28827.739999999998</v>
      </c>
      <c r="E84" s="2"/>
      <c r="F84" s="2"/>
      <c r="G84" s="49"/>
      <c r="H84" s="50"/>
      <c r="I84" s="2"/>
      <c r="J84" s="2"/>
      <c r="K84" s="49"/>
      <c r="L84" s="50"/>
      <c r="M84" s="2"/>
    </row>
    <row r="85" spans="1:13">
      <c r="A85" s="2"/>
      <c r="B85" s="460">
        <f t="shared" si="3"/>
        <v>10</v>
      </c>
      <c r="C85" s="461">
        <f>IFERROR(TITULAR!J37,0)</f>
        <v>28723.421199999997</v>
      </c>
      <c r="D85" s="461">
        <f>IFERROR(TITULAR!K37,0)</f>
        <v>28827.739999999998</v>
      </c>
      <c r="E85" s="2"/>
      <c r="F85" s="2"/>
      <c r="G85" s="49"/>
      <c r="H85" s="50"/>
      <c r="I85" s="2"/>
      <c r="J85" s="2"/>
      <c r="K85" s="49"/>
      <c r="L85" s="50"/>
      <c r="M85" s="2"/>
    </row>
    <row r="86" spans="1:13">
      <c r="A86" s="2"/>
      <c r="B86" s="263">
        <f t="shared" si="3"/>
        <v>11</v>
      </c>
      <c r="C86" s="264">
        <f>IFERROR(TITULAR!J38,0)</f>
        <v>29005.2084</v>
      </c>
      <c r="D86" s="264">
        <f>IFERROR(TITULAR!K38,0)</f>
        <v>28815.269999999997</v>
      </c>
      <c r="E86" s="2"/>
      <c r="F86" s="2"/>
      <c r="G86" s="49"/>
      <c r="H86" s="50"/>
      <c r="I86" s="2"/>
      <c r="J86" s="2"/>
      <c r="K86" s="49"/>
      <c r="L86" s="50"/>
      <c r="M86" s="2"/>
    </row>
    <row r="87" spans="1:13">
      <c r="A87" s="2"/>
      <c r="B87" s="460">
        <f t="shared" si="3"/>
        <v>12</v>
      </c>
      <c r="C87" s="461">
        <f>IFERROR(TITULAR!J39,0)</f>
        <v>28911.584800000001</v>
      </c>
      <c r="D87" s="461">
        <f>IFERROR(TITULAR!K39,0)</f>
        <v>29055.0304</v>
      </c>
      <c r="E87" s="2"/>
      <c r="F87" s="2"/>
      <c r="G87" s="49"/>
      <c r="H87" s="50"/>
      <c r="I87" s="2"/>
      <c r="J87" s="2"/>
      <c r="K87" s="49"/>
      <c r="L87" s="50"/>
      <c r="M87" s="2"/>
    </row>
    <row r="88" spans="1:13">
      <c r="A88" s="2"/>
      <c r="B88" s="263">
        <f t="shared" si="3"/>
        <v>13</v>
      </c>
      <c r="C88" s="264">
        <f>IFERROR(TITULAR!J40,0)</f>
        <v>28725.694800000001</v>
      </c>
      <c r="D88" s="264">
        <f>IFERROR(TITULAR!K40,0)</f>
        <v>28898.059199999996</v>
      </c>
      <c r="E88" s="2"/>
      <c r="F88" s="2"/>
      <c r="G88" s="49"/>
      <c r="H88" s="50"/>
      <c r="I88" s="2"/>
      <c r="J88" s="2"/>
      <c r="K88" s="49"/>
      <c r="L88" s="50"/>
      <c r="M88" s="2"/>
    </row>
    <row r="89" spans="1:13">
      <c r="A89" s="2"/>
      <c r="B89" s="460">
        <f t="shared" si="3"/>
        <v>14</v>
      </c>
      <c r="C89" s="461">
        <f>IFERROR(TITULAR!J41,0)</f>
        <v>28052.511999999999</v>
      </c>
      <c r="D89" s="461">
        <f>IFERROR(TITULAR!K41,0)</f>
        <v>28410.012399999996</v>
      </c>
      <c r="E89" s="2"/>
      <c r="F89" s="2"/>
      <c r="G89" s="49"/>
      <c r="H89" s="50"/>
      <c r="I89" s="2"/>
      <c r="J89" s="2"/>
      <c r="K89" s="49"/>
      <c r="L89" s="50"/>
      <c r="M89" s="2"/>
    </row>
    <row r="90" spans="1:13">
      <c r="A90" s="2"/>
      <c r="B90" s="263">
        <f t="shared" si="3"/>
        <v>15</v>
      </c>
      <c r="C90" s="264">
        <f>IFERROR(TITULAR!J42,0)</f>
        <v>28142.168399999999</v>
      </c>
      <c r="D90" s="264">
        <f>IFERROR(TITULAR!K42,0)</f>
        <v>28007.782399999996</v>
      </c>
      <c r="E90" s="2"/>
      <c r="F90" s="2"/>
      <c r="G90" s="49"/>
      <c r="H90" s="50"/>
      <c r="I90" s="2"/>
      <c r="J90" s="2"/>
      <c r="K90" s="49"/>
      <c r="L90" s="50"/>
      <c r="M90" s="2"/>
    </row>
    <row r="91" spans="1:13">
      <c r="A91" s="2"/>
      <c r="B91" s="460">
        <f t="shared" si="3"/>
        <v>16</v>
      </c>
      <c r="C91" s="461">
        <f>IFERROR(TITULAR!J43,0)</f>
        <v>27730.159599999999</v>
      </c>
      <c r="D91" s="461">
        <f>IFERROR(TITULAR!K43,0)</f>
        <v>26182.696400000001</v>
      </c>
      <c r="E91" s="2"/>
      <c r="F91" s="2"/>
      <c r="G91" s="49"/>
      <c r="H91" s="50"/>
      <c r="I91" s="2"/>
      <c r="J91" s="2"/>
      <c r="K91" s="49"/>
      <c r="L91" s="50"/>
      <c r="M91" s="2"/>
    </row>
    <row r="92" spans="1:13">
      <c r="A92" s="2"/>
      <c r="B92" s="263">
        <f t="shared" si="3"/>
        <v>17</v>
      </c>
      <c r="C92" s="264">
        <f>IFERROR(TITULAR!J44,0)</f>
        <v>27883.372399999997</v>
      </c>
      <c r="D92" s="264">
        <f>IFERROR(TITULAR!K44,0)</f>
        <v>26549.766799999998</v>
      </c>
      <c r="E92" s="2"/>
      <c r="F92" s="2"/>
      <c r="G92" s="49"/>
      <c r="H92" s="50"/>
      <c r="I92" s="2"/>
      <c r="J92" s="2"/>
      <c r="K92" s="49"/>
      <c r="L92" s="50"/>
      <c r="M92" s="2"/>
    </row>
    <row r="93" spans="1:13">
      <c r="A93" s="2"/>
      <c r="B93" s="2"/>
      <c r="C93" s="49"/>
      <c r="D93" s="50"/>
      <c r="E93" s="2"/>
      <c r="F93" s="2"/>
      <c r="G93" s="49"/>
      <c r="H93" s="50"/>
      <c r="I93" s="2"/>
      <c r="J93" s="2"/>
      <c r="K93" s="49"/>
      <c r="L93" s="50"/>
      <c r="M93" s="2"/>
    </row>
    <row r="94" spans="1:13">
      <c r="A94" s="2"/>
      <c r="B94" s="2"/>
      <c r="C94" s="49"/>
      <c r="D94" s="50"/>
      <c r="E94" s="2"/>
      <c r="F94" s="2"/>
      <c r="G94" s="49"/>
      <c r="H94" s="50"/>
      <c r="I94" s="2"/>
      <c r="J94" s="2"/>
      <c r="K94" s="49"/>
      <c r="L94" s="50"/>
      <c r="M94" s="2"/>
    </row>
    <row r="95" spans="1:13">
      <c r="A95" s="2"/>
      <c r="B95" s="2"/>
      <c r="C95" s="49"/>
      <c r="D95" s="50"/>
      <c r="E95" s="2"/>
      <c r="F95" s="2"/>
      <c r="G95" s="49"/>
      <c r="H95" s="50"/>
      <c r="I95" s="2"/>
      <c r="J95" s="2"/>
      <c r="K95" s="49"/>
      <c r="L95" s="50"/>
      <c r="M95" s="2"/>
    </row>
    <row r="96" spans="1:13" ht="22.5" customHeight="1">
      <c r="A96" s="2"/>
      <c r="B96" s="737" t="s">
        <v>296</v>
      </c>
      <c r="C96" s="737"/>
      <c r="D96" s="737"/>
      <c r="E96" s="737"/>
      <c r="F96" s="737"/>
      <c r="G96" s="737"/>
      <c r="H96" s="737"/>
      <c r="I96" s="737"/>
      <c r="J96" s="737"/>
      <c r="K96" s="737"/>
      <c r="L96" s="737"/>
      <c r="M96" s="2"/>
    </row>
    <row r="97" spans="1:13">
      <c r="A97" s="2"/>
      <c r="B97" s="2"/>
      <c r="C97" s="49"/>
      <c r="D97" s="50"/>
      <c r="E97" s="2"/>
      <c r="F97" s="2"/>
      <c r="G97" s="49"/>
      <c r="H97" s="50"/>
      <c r="I97" s="2"/>
      <c r="J97" s="2"/>
      <c r="K97" s="49"/>
      <c r="L97" s="50"/>
      <c r="M97" s="2"/>
    </row>
    <row r="98" spans="1:13">
      <c r="A98" s="2"/>
      <c r="B98" s="2" t="str">
        <f>+IMPRESION!C102</f>
        <v>Tarifa Esencial Vig: Marzo 01, 2025</v>
      </c>
      <c r="C98" s="49"/>
      <c r="D98" s="50"/>
      <c r="E98" s="2"/>
      <c r="F98" s="2"/>
      <c r="G98" s="49"/>
      <c r="H98" s="50"/>
      <c r="I98" s="2"/>
      <c r="J98" s="2"/>
      <c r="K98" s="49"/>
      <c r="L98" s="50"/>
      <c r="M98" s="2"/>
    </row>
    <row r="99" spans="1:13">
      <c r="A99" s="2"/>
      <c r="B99" s="2"/>
      <c r="C99" s="49"/>
      <c r="D99" s="50"/>
      <c r="E99" s="2"/>
      <c r="F99" s="2"/>
      <c r="G99" s="49"/>
      <c r="H99" s="50"/>
      <c r="I99" s="2"/>
      <c r="J99" s="2"/>
      <c r="K99" s="49"/>
      <c r="L99" s="50"/>
      <c r="M99" s="2"/>
    </row>
    <row r="100" spans="1:13">
      <c r="A100" s="2"/>
      <c r="B100" s="2"/>
      <c r="C100" s="49"/>
      <c r="D100" s="50"/>
      <c r="E100" s="2"/>
      <c r="F100" s="2"/>
      <c r="G100" s="49"/>
      <c r="H100" s="50"/>
      <c r="I100" s="2"/>
      <c r="J100" s="2"/>
      <c r="K100" s="49"/>
      <c r="L100" s="50"/>
      <c r="M100" s="2"/>
    </row>
    <row r="101" spans="1:1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2" spans="1:13" hidden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</row>
    <row r="253" spans="1:13" hidden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</row>
    <row r="254" spans="1:13" hidden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</row>
  </sheetData>
  <sheetProtection algorithmName="SHA-512" hashValue="936O9JXewUygQ7bdU+FibQpD1ZZUk/UDYfjWXTbxpflXnItjndtSI+nxJUSRYj0BkTOrQJuX+Oxf1uek2zzbVA==" saltValue="XH3X0co8lQdRTVUx5cW4nw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O41"/>
  <sheetViews>
    <sheetView showGridLines="0" showRowColHeaders="0" zoomScaleNormal="100" workbookViewId="0">
      <selection activeCell="K6" sqref="K6"/>
    </sheetView>
  </sheetViews>
  <sheetFormatPr baseColWidth="10" defaultColWidth="0" defaultRowHeight="12.5" zeroHeight="1"/>
  <cols>
    <col min="1" max="8" width="11.453125" customWidth="1"/>
    <col min="9" max="9" width="17.54296875" customWidth="1"/>
    <col min="10" max="15" width="11.453125" customWidth="1"/>
    <col min="16" max="16384" width="11.453125" hidden="1"/>
  </cols>
  <sheetData>
    <row r="1" spans="1:10">
      <c r="A1" s="135"/>
      <c r="B1" s="135"/>
      <c r="C1" s="135"/>
      <c r="D1" s="135"/>
      <c r="E1" s="135"/>
      <c r="F1" s="135"/>
      <c r="G1" s="135"/>
      <c r="H1" s="135"/>
      <c r="I1" s="139"/>
    </row>
    <row r="2" spans="1:10">
      <c r="A2" s="135"/>
      <c r="B2" s="135"/>
      <c r="C2" s="135"/>
      <c r="D2" s="135"/>
      <c r="E2" s="135"/>
      <c r="F2" s="135"/>
      <c r="G2" s="135"/>
      <c r="H2" s="135"/>
      <c r="I2" s="139"/>
    </row>
    <row r="3" spans="1:10">
      <c r="A3" s="135"/>
      <c r="B3" s="135"/>
      <c r="C3" s="135"/>
      <c r="D3" s="135"/>
      <c r="E3" s="135"/>
      <c r="F3" s="135"/>
      <c r="G3" s="135"/>
      <c r="H3" s="135"/>
      <c r="I3" s="139"/>
    </row>
    <row r="4" spans="1:10">
      <c r="A4" s="135"/>
      <c r="B4" s="135"/>
      <c r="C4" s="135"/>
      <c r="D4" s="135"/>
      <c r="E4" s="135"/>
      <c r="F4" s="135"/>
      <c r="G4" s="135"/>
      <c r="H4" s="135"/>
      <c r="I4" s="135"/>
    </row>
    <row r="5" spans="1:10">
      <c r="A5" s="135"/>
      <c r="B5" s="135"/>
      <c r="C5" s="135"/>
      <c r="D5" s="135"/>
      <c r="E5" s="135"/>
      <c r="F5" s="135"/>
      <c r="G5" s="135"/>
      <c r="H5" s="135"/>
      <c r="I5" s="135"/>
    </row>
    <row r="6" spans="1:10">
      <c r="A6" s="135"/>
      <c r="B6" s="135"/>
      <c r="C6" s="135"/>
      <c r="D6" s="135"/>
      <c r="E6" s="135"/>
      <c r="F6" s="135"/>
      <c r="G6" s="135"/>
      <c r="H6" s="135"/>
      <c r="I6" s="135"/>
    </row>
    <row r="7" spans="1:10">
      <c r="A7" s="135"/>
      <c r="B7" s="136"/>
      <c r="C7" s="136"/>
      <c r="D7" s="136"/>
      <c r="E7" s="136"/>
      <c r="F7" s="136"/>
      <c r="G7" s="136"/>
      <c r="H7" s="136"/>
      <c r="I7" s="109">
        <f ca="1">TODAY()</f>
        <v>45713</v>
      </c>
    </row>
    <row r="8" spans="1:10">
      <c r="A8" s="135"/>
      <c r="B8" s="136"/>
      <c r="C8" s="136"/>
      <c r="D8" s="136"/>
      <c r="E8" s="136"/>
      <c r="F8" s="136"/>
      <c r="G8" s="136"/>
      <c r="H8" s="136"/>
      <c r="I8" s="136"/>
    </row>
    <row r="9" spans="1:10">
      <c r="A9" s="135"/>
      <c r="B9" s="136"/>
      <c r="C9" s="136"/>
      <c r="D9" s="138"/>
      <c r="E9" s="138"/>
      <c r="F9" s="135"/>
      <c r="G9" s="134"/>
      <c r="H9" s="134"/>
    </row>
    <row r="10" spans="1:10" ht="14">
      <c r="A10" s="104"/>
      <c r="B10" s="749" t="s">
        <v>297</v>
      </c>
      <c r="C10" s="749"/>
      <c r="D10" s="749"/>
      <c r="E10" s="749"/>
      <c r="F10" s="749"/>
      <c r="G10" s="749"/>
      <c r="H10" s="749"/>
      <c r="I10" s="749"/>
    </row>
    <row r="11" spans="1:10" ht="14">
      <c r="A11" s="104"/>
      <c r="B11" s="576"/>
      <c r="C11" s="576"/>
      <c r="D11" s="576"/>
      <c r="E11" s="576"/>
      <c r="F11" s="576"/>
      <c r="G11" s="576"/>
      <c r="H11" s="576"/>
      <c r="I11" s="576"/>
    </row>
    <row r="12" spans="1:10">
      <c r="A12" s="104"/>
      <c r="B12" s="745" t="s">
        <v>298</v>
      </c>
      <c r="C12" s="745"/>
      <c r="D12" s="745"/>
      <c r="E12" s="745"/>
      <c r="F12" s="745"/>
      <c r="G12" s="745"/>
      <c r="H12" s="745"/>
      <c r="I12" s="745"/>
      <c r="J12" s="268"/>
    </row>
    <row r="13" spans="1:10" ht="20">
      <c r="A13" s="104"/>
      <c r="B13" s="750" t="s">
        <v>299</v>
      </c>
      <c r="C13" s="750"/>
      <c r="D13" s="750"/>
      <c r="E13" s="750"/>
      <c r="F13" s="750"/>
      <c r="G13" s="750"/>
      <c r="H13" s="750"/>
      <c r="I13" s="750"/>
      <c r="J13" s="268"/>
    </row>
    <row r="14" spans="1:10">
      <c r="A14" s="104"/>
      <c r="B14" s="751"/>
      <c r="C14" s="751"/>
      <c r="D14" s="751"/>
      <c r="E14" s="751"/>
      <c r="F14" s="751"/>
      <c r="G14" s="751"/>
      <c r="H14" s="751"/>
      <c r="I14" s="751"/>
      <c r="J14" s="577"/>
    </row>
    <row r="15" spans="1:10">
      <c r="A15" s="104"/>
      <c r="B15" s="575"/>
      <c r="C15" s="575"/>
      <c r="D15" s="575"/>
      <c r="E15" s="575"/>
      <c r="F15" s="575"/>
      <c r="G15" s="575"/>
      <c r="H15" s="575"/>
      <c r="I15" s="575"/>
      <c r="J15" s="577"/>
    </row>
    <row r="16" spans="1:10">
      <c r="A16" s="104"/>
      <c r="B16" s="269"/>
      <c r="C16" s="269"/>
      <c r="D16" s="269"/>
      <c r="E16" s="269"/>
      <c r="F16" s="269"/>
      <c r="G16" s="269"/>
      <c r="H16" s="269"/>
      <c r="I16" s="269"/>
      <c r="J16" s="269"/>
    </row>
    <row r="17" spans="1:10">
      <c r="A17" s="104"/>
      <c r="B17" s="745" t="s">
        <v>300</v>
      </c>
      <c r="C17" s="745"/>
      <c r="D17" s="745"/>
      <c r="E17" s="745"/>
      <c r="F17" s="745"/>
      <c r="G17" s="745"/>
      <c r="H17" s="745"/>
      <c r="I17" s="745"/>
    </row>
    <row r="18" spans="1:10" ht="12.75" customHeight="1">
      <c r="A18" s="104"/>
      <c r="B18" s="745" t="s">
        <v>301</v>
      </c>
      <c r="C18" s="745"/>
      <c r="D18" s="745"/>
      <c r="E18" s="745"/>
      <c r="F18" s="745"/>
      <c r="G18" s="745"/>
      <c r="H18" s="745"/>
      <c r="I18" s="745"/>
    </row>
    <row r="19" spans="1:10" ht="12.75" customHeight="1">
      <c r="A19" s="104"/>
      <c r="B19" s="745" t="s">
        <v>302</v>
      </c>
      <c r="C19" s="745"/>
      <c r="D19" s="745"/>
      <c r="E19" s="745"/>
      <c r="F19" s="745"/>
      <c r="G19" s="745"/>
      <c r="H19" s="745"/>
      <c r="I19" s="745"/>
    </row>
    <row r="20" spans="1:10" ht="12.75" customHeight="1">
      <c r="A20" s="104"/>
      <c r="B20" s="745" t="s">
        <v>303</v>
      </c>
      <c r="C20" s="745"/>
      <c r="D20" s="745"/>
      <c r="E20" s="745"/>
      <c r="F20" s="745"/>
      <c r="G20" s="745"/>
      <c r="H20" s="745"/>
      <c r="I20" s="745"/>
    </row>
    <row r="21" spans="1:10" ht="12.75" customHeight="1">
      <c r="A21" s="104"/>
      <c r="B21" s="745" t="s">
        <v>304</v>
      </c>
      <c r="C21" s="745"/>
      <c r="D21" s="745"/>
      <c r="E21" s="745"/>
      <c r="F21" s="745"/>
      <c r="G21" s="745"/>
      <c r="H21" s="745"/>
      <c r="I21" s="745"/>
    </row>
    <row r="22" spans="1:10" ht="12.75" customHeight="1">
      <c r="A22" s="104"/>
      <c r="B22" s="747" t="s">
        <v>305</v>
      </c>
      <c r="C22" s="747"/>
      <c r="D22" s="747"/>
      <c r="E22" s="747"/>
      <c r="F22" s="747"/>
      <c r="G22" s="747"/>
      <c r="H22" s="747"/>
      <c r="I22" s="747"/>
    </row>
    <row r="23" spans="1:10" ht="12.75" customHeight="1">
      <c r="A23" s="104"/>
      <c r="B23" s="745" t="s">
        <v>306</v>
      </c>
      <c r="C23" s="745"/>
      <c r="D23" s="745"/>
      <c r="E23" s="745"/>
      <c r="F23" s="745"/>
      <c r="G23" s="745"/>
      <c r="H23" s="745"/>
      <c r="I23" s="745"/>
    </row>
    <row r="24" spans="1:10" ht="12.75" customHeight="1">
      <c r="A24" s="104"/>
      <c r="B24" s="745" t="s">
        <v>307</v>
      </c>
      <c r="C24" s="745"/>
      <c r="D24" s="745"/>
      <c r="E24" s="745"/>
      <c r="F24" s="745"/>
      <c r="G24" s="745"/>
      <c r="H24" s="745"/>
      <c r="I24" s="745"/>
    </row>
    <row r="25" spans="1:10" ht="12.75" customHeight="1">
      <c r="A25" s="104"/>
      <c r="B25" s="745" t="s">
        <v>308</v>
      </c>
      <c r="C25" s="745"/>
      <c r="D25" s="745"/>
      <c r="E25" s="745"/>
      <c r="F25" s="745"/>
      <c r="G25" s="745"/>
      <c r="H25" s="745"/>
      <c r="I25" s="745"/>
    </row>
    <row r="26" spans="1:10" ht="12.75" customHeight="1">
      <c r="A26" s="104"/>
      <c r="B26" s="745" t="s">
        <v>309</v>
      </c>
      <c r="C26" s="745"/>
      <c r="D26" s="745"/>
      <c r="E26" s="745"/>
      <c r="F26" s="745"/>
      <c r="G26" s="745"/>
      <c r="H26" s="745"/>
      <c r="I26" s="745"/>
    </row>
    <row r="27" spans="1:10" ht="12.75" customHeight="1">
      <c r="A27" s="104"/>
      <c r="B27" s="745" t="s">
        <v>310</v>
      </c>
      <c r="C27" s="746"/>
      <c r="D27" s="746"/>
      <c r="E27" s="746"/>
      <c r="F27" s="746"/>
      <c r="G27" s="746"/>
      <c r="H27" s="746"/>
      <c r="I27" s="746"/>
    </row>
    <row r="28" spans="1:10" ht="12.75" customHeight="1">
      <c r="A28" s="104"/>
      <c r="B28" s="745" t="s">
        <v>311</v>
      </c>
      <c r="C28" s="746"/>
      <c r="D28" s="746"/>
      <c r="E28" s="746"/>
      <c r="F28" s="746"/>
      <c r="G28" s="746"/>
      <c r="H28" s="746"/>
      <c r="I28" s="746"/>
    </row>
    <row r="29" spans="1:10" ht="12.75" customHeight="1">
      <c r="A29" s="308"/>
      <c r="B29" s="745" t="s">
        <v>312</v>
      </c>
      <c r="C29" s="746"/>
      <c r="D29" s="746"/>
      <c r="E29" s="746"/>
      <c r="F29" s="746"/>
      <c r="G29" s="746"/>
      <c r="H29" s="746"/>
      <c r="I29" s="746"/>
      <c r="J29" s="578"/>
    </row>
    <row r="30" spans="1:10" ht="12.75" customHeight="1">
      <c r="A30" s="308"/>
      <c r="B30" s="748"/>
      <c r="C30" s="748"/>
      <c r="D30" s="748"/>
      <c r="E30" s="748"/>
      <c r="F30" s="748"/>
      <c r="G30" s="748"/>
      <c r="H30" s="748"/>
      <c r="I30" s="748"/>
      <c r="J30" s="338"/>
    </row>
    <row r="31" spans="1:10">
      <c r="A31" s="308"/>
      <c r="B31" s="748"/>
      <c r="C31" s="748"/>
      <c r="D31" s="748"/>
      <c r="E31" s="748"/>
      <c r="F31" s="748"/>
      <c r="G31" s="748"/>
      <c r="H31" s="748"/>
      <c r="I31" s="748"/>
      <c r="J31" s="338"/>
    </row>
    <row r="32" spans="1:10">
      <c r="A32" s="308"/>
      <c r="B32" s="748"/>
      <c r="C32" s="748"/>
      <c r="D32" s="748"/>
      <c r="E32" s="748"/>
      <c r="F32" s="748"/>
      <c r="G32" s="748"/>
      <c r="H32" s="748"/>
      <c r="I32" s="748"/>
      <c r="J32" s="338"/>
    </row>
    <row r="33" spans="1:10">
      <c r="A33" s="308"/>
      <c r="B33" s="748"/>
      <c r="C33" s="748"/>
      <c r="D33" s="748"/>
      <c r="E33" s="748"/>
      <c r="F33" s="748"/>
      <c r="G33" s="748"/>
      <c r="H33" s="748"/>
      <c r="I33" s="748"/>
      <c r="J33" s="338"/>
    </row>
    <row r="34" spans="1:10">
      <c r="A34" s="308"/>
      <c r="B34" s="748"/>
      <c r="C34" s="748"/>
      <c r="D34" s="748"/>
      <c r="E34" s="748"/>
      <c r="F34" s="748"/>
      <c r="G34" s="748"/>
      <c r="H34" s="748"/>
      <c r="I34" s="748"/>
      <c r="J34" s="578"/>
    </row>
    <row r="35" spans="1:10">
      <c r="A35" s="308"/>
      <c r="B35" s="748"/>
      <c r="C35" s="748"/>
      <c r="D35" s="748"/>
      <c r="E35" s="748"/>
      <c r="F35" s="748"/>
      <c r="G35" s="748"/>
      <c r="H35" s="748"/>
      <c r="I35" s="748"/>
      <c r="J35" s="338"/>
    </row>
    <row r="36" spans="1:10">
      <c r="A36" s="308"/>
      <c r="B36" s="579"/>
      <c r="C36" s="579"/>
      <c r="D36" s="579"/>
      <c r="E36" s="579"/>
      <c r="F36" s="579"/>
      <c r="G36" s="579"/>
      <c r="H36" s="579"/>
      <c r="I36" s="579"/>
      <c r="J36" s="338"/>
    </row>
    <row r="37" spans="1:10">
      <c r="A37" s="104"/>
      <c r="B37" s="745"/>
      <c r="C37" s="745"/>
      <c r="D37" s="745"/>
      <c r="E37" s="745"/>
      <c r="F37" s="745"/>
      <c r="G37" s="745"/>
      <c r="H37" s="745"/>
      <c r="I37" s="745"/>
      <c r="J37" s="396"/>
    </row>
    <row r="38" spans="1:10">
      <c r="A38" s="104"/>
      <c r="B38" s="745"/>
      <c r="C38" s="745"/>
      <c r="D38" s="745"/>
      <c r="E38" s="745"/>
      <c r="F38" s="745"/>
      <c r="G38" s="745"/>
      <c r="H38" s="745"/>
      <c r="I38" s="745"/>
      <c r="J38" s="396"/>
    </row>
    <row r="39" spans="1:10">
      <c r="A39" s="104"/>
      <c r="B39" s="745"/>
      <c r="C39" s="745"/>
      <c r="D39" s="745"/>
      <c r="E39" s="745"/>
      <c r="F39" s="745"/>
      <c r="G39" s="745"/>
      <c r="H39" s="745"/>
      <c r="I39" s="745"/>
      <c r="J39" s="396"/>
    </row>
    <row r="40" spans="1:10">
      <c r="A40" s="104"/>
      <c r="B40" s="745"/>
      <c r="C40" s="745"/>
      <c r="D40" s="745"/>
      <c r="E40" s="745"/>
      <c r="F40" s="745"/>
      <c r="G40" s="745"/>
      <c r="H40" s="745"/>
      <c r="I40" s="745"/>
      <c r="J40" s="577"/>
    </row>
    <row r="41" spans="1:10">
      <c r="A41" s="104"/>
      <c r="B41" s="745"/>
      <c r="C41" s="745"/>
      <c r="D41" s="745"/>
      <c r="E41" s="745"/>
      <c r="F41" s="745"/>
      <c r="G41" s="745"/>
      <c r="H41" s="745"/>
      <c r="I41" s="745"/>
    </row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ColWidth="11.453125" defaultRowHeight="12.5"/>
  <cols>
    <col min="1" max="12" width="15.54296875" customWidth="1"/>
  </cols>
  <sheetData>
    <row r="1" spans="1:11">
      <c r="A1" s="283"/>
      <c r="B1" s="283"/>
      <c r="C1" s="283"/>
      <c r="D1" s="283"/>
      <c r="E1" s="283"/>
      <c r="F1" s="283"/>
      <c r="G1" s="283"/>
      <c r="H1" s="283"/>
      <c r="I1" s="283"/>
      <c r="J1" s="283"/>
      <c r="K1" s="283"/>
    </row>
    <row r="2" spans="1:1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</row>
    <row r="3" spans="1:11">
      <c r="A3" s="283"/>
      <c r="B3" s="283"/>
      <c r="C3" s="283"/>
      <c r="D3" s="283"/>
      <c r="E3" s="283"/>
      <c r="F3" s="283"/>
      <c r="G3" s="283"/>
      <c r="H3" s="283"/>
      <c r="I3" s="283"/>
      <c r="J3" s="283"/>
      <c r="K3" s="283"/>
    </row>
    <row r="4" spans="1:11">
      <c r="A4" s="283"/>
      <c r="B4" s="283"/>
      <c r="C4" s="283"/>
      <c r="D4" s="283"/>
      <c r="E4" s="283"/>
      <c r="F4" s="283"/>
      <c r="G4" s="283"/>
      <c r="H4" s="283"/>
      <c r="I4" s="283"/>
      <c r="J4" s="283"/>
      <c r="K4" s="283"/>
    </row>
    <row r="5" spans="1:11">
      <c r="A5" s="283"/>
      <c r="B5" s="283"/>
      <c r="C5" s="283"/>
      <c r="D5" s="283"/>
      <c r="E5" s="283"/>
      <c r="F5" s="283"/>
      <c r="G5" s="283"/>
      <c r="H5" s="283"/>
      <c r="I5" s="283"/>
      <c r="J5" s="283"/>
      <c r="K5" s="283"/>
    </row>
    <row r="6" spans="1:11">
      <c r="A6" s="283"/>
      <c r="B6" s="283"/>
      <c r="C6" s="283"/>
      <c r="D6" s="283"/>
      <c r="E6" s="283"/>
      <c r="F6" s="283"/>
      <c r="G6" s="283"/>
      <c r="H6" s="283"/>
      <c r="I6" s="283"/>
      <c r="J6" s="283"/>
      <c r="K6" s="283"/>
    </row>
    <row r="7" spans="1:11">
      <c r="A7" s="283"/>
      <c r="B7" s="283"/>
      <c r="C7" s="283"/>
      <c r="D7" s="283"/>
      <c r="E7" s="283"/>
      <c r="F7" s="283"/>
      <c r="G7" s="283"/>
      <c r="H7" s="283"/>
      <c r="I7" s="283"/>
      <c r="J7" s="283"/>
      <c r="K7" s="283"/>
    </row>
    <row r="8" spans="1:11">
      <c r="A8" s="283"/>
      <c r="B8" s="283"/>
      <c r="C8" s="283"/>
      <c r="D8" s="283"/>
      <c r="E8" s="283"/>
      <c r="F8" s="283"/>
      <c r="G8" s="283"/>
      <c r="H8" s="283"/>
      <c r="I8" s="283"/>
      <c r="J8" s="283"/>
      <c r="K8" s="283"/>
    </row>
    <row r="9" spans="1:11">
      <c r="A9" s="283"/>
      <c r="B9" s="283"/>
      <c r="C9" s="283"/>
      <c r="D9" s="283"/>
      <c r="E9" s="283"/>
      <c r="F9" s="283"/>
      <c r="G9" s="283"/>
      <c r="H9" s="283"/>
      <c r="I9" s="283"/>
      <c r="J9" s="283"/>
      <c r="K9" s="283"/>
    </row>
    <row r="10" spans="1:11">
      <c r="A10" s="283"/>
      <c r="B10" s="283"/>
      <c r="C10" s="283"/>
      <c r="D10" s="283"/>
      <c r="E10" s="283"/>
      <c r="F10" s="283"/>
      <c r="G10" s="283"/>
      <c r="H10" s="283"/>
      <c r="I10" s="283"/>
      <c r="J10" s="283"/>
      <c r="K10" s="283"/>
    </row>
    <row r="11" spans="1:11">
      <c r="A11" s="283"/>
      <c r="B11" s="283"/>
      <c r="C11" s="283"/>
      <c r="D11" s="283"/>
      <c r="E11" s="283"/>
      <c r="F11" s="283"/>
      <c r="G11" s="283"/>
      <c r="H11" s="283"/>
      <c r="I11" s="283"/>
      <c r="J11" s="283"/>
      <c r="K11" s="283"/>
    </row>
    <row r="12" spans="1:11">
      <c r="A12" s="283"/>
      <c r="B12" s="283"/>
      <c r="C12" s="283"/>
      <c r="D12" s="283"/>
      <c r="E12" s="283"/>
      <c r="F12" s="283"/>
      <c r="G12" s="283"/>
      <c r="H12" s="283"/>
      <c r="I12" s="283"/>
      <c r="J12" s="283"/>
      <c r="K12" s="283"/>
    </row>
    <row r="13" spans="1:11">
      <c r="A13" s="283"/>
      <c r="B13" s="283"/>
      <c r="C13" s="283"/>
      <c r="D13" s="283"/>
      <c r="E13" s="283"/>
      <c r="F13" s="283"/>
      <c r="G13" s="283"/>
      <c r="H13" s="283"/>
      <c r="I13" s="283"/>
      <c r="J13" s="283"/>
      <c r="K13" s="283"/>
    </row>
    <row r="14" spans="1:11">
      <c r="A14" s="283"/>
      <c r="B14" s="283"/>
      <c r="C14" s="283"/>
      <c r="D14" s="283"/>
      <c r="E14" s="283"/>
      <c r="F14" s="283"/>
      <c r="G14" s="283"/>
      <c r="H14" s="283"/>
      <c r="I14" s="283"/>
      <c r="J14" s="283"/>
      <c r="K14" s="283"/>
    </row>
    <row r="15" spans="1:11">
      <c r="A15" s="283"/>
      <c r="B15" s="283"/>
      <c r="C15" s="283"/>
      <c r="D15" s="283"/>
      <c r="E15" s="283"/>
      <c r="F15" s="283"/>
      <c r="G15" s="283"/>
      <c r="H15" s="283"/>
      <c r="I15" s="283"/>
      <c r="J15" s="283"/>
      <c r="K15" s="283"/>
    </row>
    <row r="16" spans="1:11">
      <c r="A16" s="283"/>
      <c r="B16" s="283"/>
      <c r="C16" s="283"/>
      <c r="D16" s="283"/>
      <c r="E16" s="283"/>
      <c r="F16" s="283"/>
      <c r="G16" s="283"/>
      <c r="H16" s="283"/>
      <c r="I16" s="283"/>
      <c r="J16" s="283"/>
      <c r="K16" s="283"/>
    </row>
    <row r="17" spans="1:11">
      <c r="A17" s="283"/>
      <c r="B17" s="283"/>
      <c r="C17" s="283"/>
      <c r="D17" s="283"/>
      <c r="E17" s="283"/>
      <c r="F17" s="283"/>
      <c r="G17" s="283"/>
      <c r="H17" s="283"/>
      <c r="I17" s="283"/>
      <c r="J17" s="283"/>
      <c r="K17" s="283"/>
    </row>
    <row r="18" spans="1:11">
      <c r="A18" s="283"/>
      <c r="B18" s="283"/>
      <c r="C18" s="283"/>
      <c r="D18" s="283"/>
      <c r="E18" s="283"/>
      <c r="F18" s="283"/>
      <c r="G18" s="283"/>
      <c r="H18" s="283"/>
      <c r="I18" s="283"/>
      <c r="J18" s="283"/>
      <c r="K18" s="283"/>
    </row>
    <row r="19" spans="1:11">
      <c r="A19" s="283"/>
      <c r="B19" s="283"/>
      <c r="C19" s="283"/>
      <c r="D19" s="283"/>
      <c r="E19" s="283"/>
      <c r="F19" s="283"/>
      <c r="G19" s="283"/>
      <c r="H19" s="283"/>
      <c r="I19" s="283"/>
      <c r="J19" s="283"/>
      <c r="K19" s="283"/>
    </row>
    <row r="20" spans="1:1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</row>
    <row r="21" spans="1:11">
      <c r="A21" s="283"/>
      <c r="B21" s="283"/>
      <c r="C21" s="283"/>
      <c r="D21" s="283"/>
      <c r="E21" s="283"/>
      <c r="F21" s="283"/>
      <c r="G21" s="283"/>
      <c r="H21" s="283"/>
      <c r="I21" s="283"/>
      <c r="J21" s="283"/>
      <c r="K21" s="283"/>
    </row>
    <row r="22" spans="1:11">
      <c r="A22" s="283"/>
      <c r="B22" s="283"/>
      <c r="C22" s="283"/>
      <c r="D22" s="283"/>
      <c r="E22" s="283"/>
      <c r="F22" s="283"/>
      <c r="G22" s="283"/>
      <c r="H22" s="283"/>
      <c r="I22" s="283"/>
      <c r="J22" s="283"/>
      <c r="K22" s="283"/>
    </row>
    <row r="23" spans="1:1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</row>
    <row r="24" spans="1:11">
      <c r="A24" s="283"/>
      <c r="B24" s="283"/>
      <c r="C24" s="283"/>
      <c r="D24" s="283"/>
      <c r="E24" s="283"/>
      <c r="F24" s="283"/>
      <c r="G24" s="283"/>
      <c r="H24" s="283"/>
      <c r="I24" s="283"/>
      <c r="J24" s="283"/>
      <c r="K24" s="283"/>
    </row>
    <row r="25" spans="1:1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</row>
    <row r="26" spans="1:11">
      <c r="A26" s="283"/>
      <c r="B26" s="283"/>
      <c r="C26" s="283"/>
      <c r="D26" s="283"/>
      <c r="E26" s="283"/>
      <c r="F26" s="283"/>
      <c r="G26" s="283"/>
      <c r="H26" s="283"/>
      <c r="I26" s="283"/>
      <c r="J26" s="283"/>
      <c r="K26" s="283"/>
    </row>
    <row r="27" spans="1:11">
      <c r="A27" s="283"/>
      <c r="B27" s="283"/>
      <c r="C27" s="283"/>
      <c r="D27" s="283"/>
      <c r="E27" s="283"/>
      <c r="F27" s="283"/>
      <c r="G27" s="283"/>
      <c r="H27" s="283"/>
      <c r="I27" s="283"/>
      <c r="J27" s="283"/>
      <c r="K27" s="283"/>
    </row>
    <row r="28" spans="1:1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</row>
    <row r="29" spans="1:11">
      <c r="A29" s="283"/>
      <c r="B29" s="283"/>
      <c r="C29" s="283"/>
      <c r="D29" s="283"/>
      <c r="E29" s="283"/>
      <c r="F29" s="283"/>
      <c r="G29" s="283"/>
      <c r="H29" s="283"/>
      <c r="I29" s="283"/>
      <c r="J29" s="283"/>
      <c r="K29" s="283"/>
    </row>
    <row r="30" spans="1:11">
      <c r="A30" s="283"/>
      <c r="B30" s="283"/>
      <c r="C30" s="283"/>
      <c r="D30" s="283"/>
      <c r="E30" s="283"/>
      <c r="F30" s="283"/>
      <c r="G30" s="283"/>
      <c r="H30" s="283"/>
      <c r="I30" s="283"/>
      <c r="J30" s="283"/>
      <c r="K30" s="283"/>
    </row>
    <row r="31" spans="1:11">
      <c r="A31" s="283"/>
      <c r="B31" s="283"/>
      <c r="C31" s="283"/>
      <c r="D31" s="283"/>
      <c r="E31" s="283"/>
      <c r="F31" s="283"/>
      <c r="G31" s="283"/>
      <c r="H31" s="283"/>
      <c r="I31" s="283"/>
      <c r="J31" s="283"/>
      <c r="K31" s="283"/>
    </row>
    <row r="32" spans="1:11">
      <c r="A32" s="283"/>
      <c r="B32" s="283"/>
      <c r="C32" s="283"/>
      <c r="D32" s="283"/>
      <c r="E32" s="283"/>
      <c r="F32" s="283"/>
      <c r="G32" s="283"/>
      <c r="H32" s="283"/>
      <c r="I32" s="283"/>
      <c r="J32" s="283"/>
      <c r="K32" s="283"/>
    </row>
    <row r="33" spans="1:11">
      <c r="A33" s="283"/>
      <c r="B33" s="283"/>
      <c r="C33" s="283"/>
      <c r="D33" s="283"/>
      <c r="E33" s="283"/>
      <c r="F33" s="283"/>
      <c r="G33" s="283"/>
      <c r="H33" s="283"/>
      <c r="I33" s="283"/>
      <c r="J33" s="283"/>
      <c r="K33" s="283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"/>
  <sheetViews>
    <sheetView workbookViewId="0">
      <selection activeCell="A26" sqref="A26"/>
    </sheetView>
  </sheetViews>
  <sheetFormatPr baseColWidth="10" defaultColWidth="11.453125" defaultRowHeight="12.5"/>
  <sheetData>
    <row r="1" spans="1:1">
      <c r="A1" s="395" t="s">
        <v>313</v>
      </c>
    </row>
    <row r="3" spans="1:1">
      <c r="A3" s="396" t="s">
        <v>314</v>
      </c>
    </row>
    <row r="4" spans="1:1">
      <c r="A4" s="396" t="s">
        <v>315</v>
      </c>
    </row>
    <row r="5" spans="1:1">
      <c r="A5" s="396" t="s">
        <v>316</v>
      </c>
    </row>
    <row r="6" spans="1:1">
      <c r="A6" s="396" t="s">
        <v>317</v>
      </c>
    </row>
    <row r="7" spans="1:1">
      <c r="A7" s="395" t="s">
        <v>318</v>
      </c>
    </row>
    <row r="8" spans="1:1">
      <c r="A8" s="395"/>
    </row>
    <row r="9" spans="1:1">
      <c r="A9" s="396" t="s">
        <v>319</v>
      </c>
    </row>
    <row r="10" spans="1:1">
      <c r="A10" s="396" t="s">
        <v>320</v>
      </c>
    </row>
    <row r="11" spans="1:1">
      <c r="A11" s="396" t="s">
        <v>321</v>
      </c>
    </row>
    <row r="12" spans="1:1">
      <c r="A12" s="396" t="s">
        <v>322</v>
      </c>
    </row>
    <row r="13" spans="1:1">
      <c r="A13" s="396" t="s">
        <v>323</v>
      </c>
    </row>
    <row r="15" spans="1:1">
      <c r="A15" s="396" t="s">
        <v>324</v>
      </c>
    </row>
    <row r="16" spans="1:1">
      <c r="A16" s="396" t="s">
        <v>325</v>
      </c>
    </row>
    <row r="17" spans="1:8">
      <c r="A17" s="396" t="s">
        <v>326</v>
      </c>
    </row>
    <row r="18" spans="1:8">
      <c r="A18" s="395" t="s">
        <v>327</v>
      </c>
    </row>
    <row r="20" spans="1:8">
      <c r="A20" s="396" t="s">
        <v>328</v>
      </c>
      <c r="H20" s="396" t="s">
        <v>329</v>
      </c>
    </row>
    <row r="21" spans="1:8">
      <c r="A21" s="396" t="s">
        <v>330</v>
      </c>
      <c r="H21" s="404" t="s">
        <v>331</v>
      </c>
    </row>
    <row r="22" spans="1:8">
      <c r="A22" s="396" t="s">
        <v>332</v>
      </c>
      <c r="H22" s="404" t="s">
        <v>333</v>
      </c>
    </row>
    <row r="23" spans="1:8">
      <c r="A23" s="396" t="s">
        <v>334</v>
      </c>
      <c r="H23" s="404" t="s">
        <v>335</v>
      </c>
    </row>
    <row r="24" spans="1:8">
      <c r="A24" s="396"/>
      <c r="H24" s="404" t="s">
        <v>336</v>
      </c>
    </row>
    <row r="25" spans="1:8">
      <c r="H25" s="404" t="s">
        <v>337</v>
      </c>
    </row>
    <row r="26" spans="1:8">
      <c r="A26" s="396"/>
      <c r="H26" s="404" t="s">
        <v>338</v>
      </c>
    </row>
    <row r="27" spans="1:8">
      <c r="A27" s="396" t="s">
        <v>339</v>
      </c>
    </row>
    <row r="28" spans="1:8">
      <c r="A28" s="396" t="s">
        <v>340</v>
      </c>
      <c r="H28" s="403"/>
    </row>
    <row r="29" spans="1:8">
      <c r="A29" s="396" t="s">
        <v>341</v>
      </c>
    </row>
    <row r="30" spans="1:8">
      <c r="A30" s="396" t="s">
        <v>342</v>
      </c>
    </row>
    <row r="31" spans="1:8">
      <c r="A31" s="396" t="s">
        <v>343</v>
      </c>
    </row>
    <row r="33" spans="1:1">
      <c r="A33" s="396" t="s">
        <v>344</v>
      </c>
    </row>
    <row r="34" spans="1:1">
      <c r="A34" s="396" t="s">
        <v>345</v>
      </c>
    </row>
    <row r="35" spans="1:1">
      <c r="A35" s="396" t="s">
        <v>346</v>
      </c>
    </row>
    <row r="36" spans="1:1">
      <c r="A36" s="396" t="s">
        <v>347</v>
      </c>
    </row>
    <row r="38" spans="1:1">
      <c r="A38" s="396" t="s">
        <v>348</v>
      </c>
    </row>
    <row r="39" spans="1:1">
      <c r="A39" s="396" t="s">
        <v>349</v>
      </c>
    </row>
    <row r="40" spans="1:1">
      <c r="A40" s="396" t="s">
        <v>350</v>
      </c>
    </row>
    <row r="41" spans="1:1">
      <c r="A41" s="396" t="s">
        <v>351</v>
      </c>
    </row>
    <row r="42" spans="1:1">
      <c r="A42" s="396"/>
    </row>
    <row r="44" spans="1:1">
      <c r="A44" s="396" t="s">
        <v>352</v>
      </c>
    </row>
    <row r="45" spans="1:1">
      <c r="A45" s="396" t="s">
        <v>353</v>
      </c>
    </row>
    <row r="46" spans="1:1">
      <c r="A46" s="396" t="s">
        <v>354</v>
      </c>
    </row>
    <row r="47" spans="1:1">
      <c r="A47" s="396" t="s">
        <v>355</v>
      </c>
    </row>
    <row r="49" spans="1:1">
      <c r="A49" s="396" t="s">
        <v>356</v>
      </c>
    </row>
    <row r="50" spans="1:1">
      <c r="A50" s="396" t="s">
        <v>357</v>
      </c>
    </row>
    <row r="51" spans="1:1">
      <c r="A51" s="396" t="s">
        <v>358</v>
      </c>
    </row>
    <row r="52" spans="1:1">
      <c r="A52" s="396" t="s">
        <v>359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F835FF3E11DA4E8713D10AF5563D6D" ma:contentTypeVersion="15" ma:contentTypeDescription="Create a new document." ma:contentTypeScope="" ma:versionID="fdfbe3f03d8f2f8edd93112bba606832">
  <xsd:schema xmlns:xsd="http://www.w3.org/2001/XMLSchema" xmlns:xs="http://www.w3.org/2001/XMLSchema" xmlns:p="http://schemas.microsoft.com/office/2006/metadata/properties" xmlns:ns1="http://schemas.microsoft.com/sharepoint/v3" xmlns:ns2="04af1e72-4241-4dbe-9f4a-ac4933c294b2" xmlns:ns3="1c510d12-dc92-4418-8ca7-45a371047797" targetNamespace="http://schemas.microsoft.com/office/2006/metadata/properties" ma:root="true" ma:fieldsID="968c170a0d0c77cddc1d89b36d0eaf88" ns1:_="" ns2:_="" ns3:_="">
    <xsd:import namespace="http://schemas.microsoft.com/sharepoint/v3"/>
    <xsd:import namespace="04af1e72-4241-4dbe-9f4a-ac4933c294b2"/>
    <xsd:import namespace="1c510d12-dc92-4418-8ca7-45a3710477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af1e72-4241-4dbe-9f4a-ac4933c294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0e5f825-ad80-4b3b-ba99-fe21bf83aa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510d12-dc92-4418-8ca7-45a37104779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5d5316d-a349-46c3-8293-d5dc526c9b22}" ma:internalName="TaxCatchAll" ma:showField="CatchAllData" ma:web="1c510d12-dc92-4418-8ca7-45a3710477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04af1e72-4241-4dbe-9f4a-ac4933c294b2">
      <Terms xmlns="http://schemas.microsoft.com/office/infopath/2007/PartnerControls"/>
    </lcf76f155ced4ddcb4097134ff3c332f>
    <_ip_UnifiedCompliancePolicyProperties xmlns="http://schemas.microsoft.com/sharepoint/v3" xsi:nil="true"/>
    <TaxCatchAll xmlns="1c510d12-dc92-4418-8ca7-45a371047797" xsi:nil="true"/>
  </documentManagement>
</p:properties>
</file>

<file path=customXml/itemProps1.xml><?xml version="1.0" encoding="utf-8"?>
<ds:datastoreItem xmlns:ds="http://schemas.openxmlformats.org/officeDocument/2006/customXml" ds:itemID="{C3C6CEAA-7487-4CC7-ADA6-BAF98E7A67F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B72812-6436-485D-818F-ECDCDBC0C7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4af1e72-4241-4dbe-9f4a-ac4933c294b2"/>
    <ds:schemaRef ds:uri="1c510d12-dc92-4418-8ca7-45a3710477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76D699-E38B-489A-883D-E26C6DF788B6}">
  <ds:schemaRefs>
    <ds:schemaRef ds:uri="http://schemas.openxmlformats.org/package/2006/metadata/core-properties"/>
    <ds:schemaRef ds:uri="1c510d12-dc92-4418-8ca7-45a371047797"/>
    <ds:schemaRef ds:uri="http://purl.org/dc/dcmitype/"/>
    <ds:schemaRef ds:uri="http://purl.org/dc/elements/1.1/"/>
    <ds:schemaRef ds:uri="http://schemas.microsoft.com/office/2006/metadata/properties"/>
    <ds:schemaRef ds:uri="04af1e72-4241-4dbe-9f4a-ac4933c294b2"/>
    <ds:schemaRef ds:uri="http://purl.org/dc/terms/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553da26-04fc-4848-a738-5684ab93d77b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Manager/>
  <Company>GENERALI MEXICO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GENERALI MEXICO</dc:creator>
  <cp:keywords/>
  <dc:description/>
  <cp:lastModifiedBy>ADMIN</cp:lastModifiedBy>
  <cp:revision/>
  <dcterms:created xsi:type="dcterms:W3CDTF">2002-01-09T15:02:34Z</dcterms:created>
  <dcterms:modified xsi:type="dcterms:W3CDTF">2025-02-25T14:46:01Z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0x0101005DF835FF3E11DA4E8713D10AF5563D6D</vt:lpwstr>
  </property>
  <property fmtid="{D5CDD505-2E9C-101B-9397-08002B2CF9AE}" pid="3" name="MediaServiceImageTags">
    <vt:lpwstr/>
  </property>
</Properties>
</file>