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kbszH9XM1uP0rMNR0B6jJXr1WnI+12dZO6yBSY83SxiuHQH5TfhvTIKClewm7g3eVtVpGGfn5xk7N3OYAvvVHQ==" workbookSaltValue="SSVIY4C9EipdK9PPFiE/mw==" workbookSpinCount="100000" lockStructure="1"/>
  <bookViews>
    <workbookView xWindow="0" yWindow="0" windowWidth="19200" windowHeight="6470" tabRatio="532"/>
  </bookViews>
  <sheets>
    <sheet name="Cotizador" sheetId="23" r:id="rId1"/>
    <sheet name="Parametros" sheetId="28" r:id="rId2"/>
    <sheet name="Cotizacion" sheetId="27" state="hidden" r:id="rId3"/>
    <sheet name="Tablas" sheetId="25" state="hidden" r:id="rId4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8" l="1"/>
  <c r="B70" i="27"/>
  <c r="AA6" i="25" l="1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5" i="25"/>
  <c r="AH6" i="25"/>
  <c r="AH7" i="25"/>
  <c r="AH8" i="25"/>
  <c r="AH9" i="25"/>
  <c r="AH10" i="25"/>
  <c r="AH11" i="25"/>
  <c r="AH12" i="25"/>
  <c r="AH13" i="25"/>
  <c r="AH14" i="25"/>
  <c r="AH5" i="25"/>
  <c r="E56" i="27" l="1"/>
  <c r="W36" i="25" l="1"/>
  <c r="W35" i="25"/>
  <c r="W34" i="25"/>
  <c r="W33" i="25"/>
  <c r="W32" i="25"/>
  <c r="W31" i="25"/>
  <c r="W30" i="25"/>
  <c r="W2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W8" i="25"/>
  <c r="W7" i="25"/>
  <c r="W6" i="25"/>
  <c r="W5" i="25"/>
  <c r="AE14" i="25"/>
  <c r="AF14" i="25" s="1"/>
  <c r="AG14" i="25" s="1"/>
  <c r="AE13" i="25"/>
  <c r="AF13" i="25" s="1"/>
  <c r="AG13" i="25" s="1"/>
  <c r="AE12" i="25"/>
  <c r="AF12" i="25" s="1"/>
  <c r="AG12" i="25" s="1"/>
  <c r="AE11" i="25"/>
  <c r="AF11" i="25" s="1"/>
  <c r="AG11" i="25" s="1"/>
  <c r="AE10" i="25"/>
  <c r="AF10" i="25" s="1"/>
  <c r="AG10" i="25" s="1"/>
  <c r="AE9" i="25"/>
  <c r="AF9" i="25" s="1"/>
  <c r="AG9" i="25" s="1"/>
  <c r="AE8" i="25"/>
  <c r="AF8" i="25" s="1"/>
  <c r="AE7" i="25"/>
  <c r="AF7" i="25" s="1"/>
  <c r="AE6" i="25"/>
  <c r="AF6" i="25" s="1"/>
  <c r="AE5" i="25"/>
  <c r="AF5" i="25" s="1"/>
  <c r="AG5" i="25" s="1"/>
  <c r="Z20" i="25" l="1"/>
  <c r="Z6" i="25"/>
  <c r="Z9" i="25"/>
  <c r="Z5" i="25"/>
  <c r="Y23" i="25"/>
  <c r="AG8" i="25"/>
  <c r="Z35" i="25"/>
  <c r="Z25" i="25"/>
  <c r="Z8" i="25"/>
  <c r="Z31" i="25"/>
  <c r="Z27" i="25"/>
  <c r="Z11" i="25"/>
  <c r="Z34" i="25"/>
  <c r="Z33" i="25"/>
  <c r="Y18" i="25"/>
  <c r="AG7" i="25"/>
  <c r="Z18" i="25" s="1"/>
  <c r="Z28" i="25"/>
  <c r="Z15" i="25"/>
  <c r="Z23" i="25"/>
  <c r="Z19" i="25"/>
  <c r="Z13" i="25"/>
  <c r="Y26" i="25"/>
  <c r="AG6" i="25"/>
  <c r="Z26" i="25" s="1"/>
  <c r="Z36" i="25"/>
  <c r="Z32" i="25"/>
  <c r="Z16" i="25"/>
  <c r="Z12" i="25"/>
  <c r="Z7" i="25"/>
  <c r="Z29" i="25"/>
  <c r="Z21" i="25"/>
  <c r="Z24" i="25"/>
  <c r="Z30" i="25"/>
  <c r="Z22" i="25"/>
  <c r="Z14" i="25"/>
  <c r="Z10" i="25"/>
  <c r="Z17" i="25"/>
  <c r="X5" i="25"/>
  <c r="X13" i="25"/>
  <c r="X21" i="25"/>
  <c r="X29" i="25"/>
  <c r="X6" i="25"/>
  <c r="X14" i="25"/>
  <c r="X22" i="25"/>
  <c r="X30" i="25"/>
  <c r="Y19" i="25"/>
  <c r="Y13" i="25"/>
  <c r="X7" i="25"/>
  <c r="X15" i="25"/>
  <c r="X23" i="25"/>
  <c r="X31" i="25"/>
  <c r="Y36" i="25"/>
  <c r="Y16" i="25"/>
  <c r="Y32" i="25"/>
  <c r="Y7" i="25"/>
  <c r="Y21" i="25"/>
  <c r="Y29" i="25"/>
  <c r="Y12" i="25"/>
  <c r="X8" i="25"/>
  <c r="X16" i="25"/>
  <c r="X24" i="25"/>
  <c r="X32" i="25"/>
  <c r="Y6" i="25"/>
  <c r="Y9" i="25"/>
  <c r="Y5" i="25"/>
  <c r="Y20" i="25"/>
  <c r="X9" i="25"/>
  <c r="X17" i="25"/>
  <c r="X25" i="25"/>
  <c r="X33" i="25"/>
  <c r="Y28" i="25"/>
  <c r="Y15" i="25"/>
  <c r="X10" i="25"/>
  <c r="X18" i="25"/>
  <c r="X26" i="25"/>
  <c r="X34" i="25"/>
  <c r="Y35" i="25"/>
  <c r="Y25" i="25"/>
  <c r="Y11" i="25"/>
  <c r="Y27" i="25"/>
  <c r="Y34" i="25"/>
  <c r="Y33" i="25"/>
  <c r="Y8" i="25"/>
  <c r="Y31" i="25"/>
  <c r="X11" i="25"/>
  <c r="X19" i="25"/>
  <c r="X27" i="25"/>
  <c r="X35" i="25"/>
  <c r="Y10" i="25"/>
  <c r="Y17" i="25"/>
  <c r="Y22" i="25"/>
  <c r="Y24" i="25"/>
  <c r="Y14" i="25"/>
  <c r="Y30" i="25"/>
  <c r="X12" i="25"/>
  <c r="X20" i="25"/>
  <c r="X28" i="25"/>
  <c r="X36" i="25"/>
  <c r="AV59" i="25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T35" i="23"/>
  <c r="C31" i="27" s="1"/>
  <c r="F31" i="27" s="1"/>
  <c r="G8" i="25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I31" i="25" s="1"/>
  <c r="K31" i="25" s="1"/>
  <c r="G32" i="25"/>
  <c r="G33" i="25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H82" i="25" s="1"/>
  <c r="J82" i="25" s="1"/>
  <c r="F83" i="25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I5" i="25"/>
  <c r="AI6" i="25"/>
  <c r="AI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9" i="25"/>
  <c r="J99" i="25" s="1"/>
  <c r="H97" i="25"/>
  <c r="J97" i="25" s="1"/>
  <c r="I96" i="25"/>
  <c r="K96" i="25" s="1"/>
  <c r="I94" i="25"/>
  <c r="K94" i="25" s="1"/>
  <c r="H93" i="25"/>
  <c r="J93" i="25" s="1"/>
  <c r="H91" i="25"/>
  <c r="J91" i="25" s="1"/>
  <c r="H89" i="25"/>
  <c r="J89" i="25" s="1"/>
  <c r="I88" i="25"/>
  <c r="K88" i="25" s="1"/>
  <c r="I86" i="25"/>
  <c r="K86" i="25" s="1"/>
  <c r="H83" i="25"/>
  <c r="J83" i="25" s="1"/>
  <c r="H81" i="25"/>
  <c r="J81" i="25" s="1"/>
  <c r="I80" i="25"/>
  <c r="K80" i="25" s="1"/>
  <c r="I78" i="25"/>
  <c r="K78" i="25" s="1"/>
  <c r="H75" i="25"/>
  <c r="J75" i="25" s="1"/>
  <c r="H73" i="25"/>
  <c r="J73" i="25" s="1"/>
  <c r="I72" i="25"/>
  <c r="K72" i="25" s="1"/>
  <c r="I70" i="25"/>
  <c r="K70" i="25" s="1"/>
  <c r="H68" i="25"/>
  <c r="J68" i="25" s="1"/>
  <c r="H67" i="25"/>
  <c r="J67" i="25" s="1"/>
  <c r="H65" i="25"/>
  <c r="J65" i="25" s="1"/>
  <c r="I64" i="25"/>
  <c r="K64" i="25" s="1"/>
  <c r="I62" i="25"/>
  <c r="K62" i="25" s="1"/>
  <c r="H59" i="25"/>
  <c r="J59" i="25" s="1"/>
  <c r="H57" i="25"/>
  <c r="J57" i="25" s="1"/>
  <c r="I56" i="25"/>
  <c r="K56" i="25" s="1"/>
  <c r="I54" i="25"/>
  <c r="K54" i="25" s="1"/>
  <c r="H51" i="25"/>
  <c r="J51" i="25" s="1"/>
  <c r="H49" i="25"/>
  <c r="J49" i="25" s="1"/>
  <c r="I48" i="25"/>
  <c r="K48" i="25" s="1"/>
  <c r="I46" i="25"/>
  <c r="K46" i="25" s="1"/>
  <c r="H45" i="25"/>
  <c r="J45" i="25" s="1"/>
  <c r="H43" i="25"/>
  <c r="J43" i="25" s="1"/>
  <c r="H41" i="25"/>
  <c r="J41" i="25" s="1"/>
  <c r="I40" i="25"/>
  <c r="K40" i="25" s="1"/>
  <c r="I39" i="25"/>
  <c r="K39" i="25" s="1"/>
  <c r="I38" i="25"/>
  <c r="K38" i="25" s="1"/>
  <c r="H35" i="25"/>
  <c r="J35" i="25" s="1"/>
  <c r="I33" i="25"/>
  <c r="K33" i="25" s="1"/>
  <c r="H33" i="25"/>
  <c r="J33" i="25" s="1"/>
  <c r="I32" i="25"/>
  <c r="K32" i="25" s="1"/>
  <c r="I30" i="25"/>
  <c r="K30" i="25" s="1"/>
  <c r="H27" i="25"/>
  <c r="J27" i="25" s="1"/>
  <c r="H25" i="25"/>
  <c r="J25" i="25" s="1"/>
  <c r="I24" i="25"/>
  <c r="K24" i="25" s="1"/>
  <c r="I22" i="25"/>
  <c r="K22" i="25" s="1"/>
  <c r="H19" i="25"/>
  <c r="J19" i="25" s="1"/>
  <c r="H17" i="25"/>
  <c r="J17" i="25" s="1"/>
  <c r="I16" i="25"/>
  <c r="K16" i="25" s="1"/>
  <c r="I14" i="25"/>
  <c r="K14" i="25" s="1"/>
  <c r="I11" i="25"/>
  <c r="K11" i="25" s="1"/>
  <c r="H11" i="25"/>
  <c r="J11" i="25" s="1"/>
  <c r="I9" i="25"/>
  <c r="K9" i="25" s="1"/>
  <c r="H9" i="25"/>
  <c r="J9" i="25" s="1"/>
  <c r="I8" i="25"/>
  <c r="K8" i="25" s="1"/>
  <c r="H7" i="25"/>
  <c r="J7" i="25" s="1"/>
  <c r="E7" i="28"/>
  <c r="T27" i="23" s="1"/>
  <c r="T23" i="23"/>
  <c r="H105" i="25"/>
  <c r="J105" i="25" s="1"/>
  <c r="I106" i="25"/>
  <c r="K106" i="25" s="1"/>
  <c r="I104" i="25"/>
  <c r="K104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D45" i="25" l="1"/>
  <c r="AE2" i="25"/>
  <c r="AE3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l="1"/>
  <c r="O58" i="27" s="1"/>
  <c r="E57" i="27"/>
  <c r="E58" i="27" l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<sst xmlns="http://schemas.openxmlformats.org/spreadsheetml/2006/main" count="548" uniqueCount="327">
  <si>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</si>
  <si>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</si>
  <si>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</si>
  <si>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</si>
  <si>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</si>
  <si>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</si>
  <si>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</si>
  <si>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</si>
  <si>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</si>
  <si>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</si>
  <si>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</si>
  <si>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</si>
  <si>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</si>
  <si>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</si>
  <si>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</si>
  <si>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</si>
  <si>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</si>
  <si>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</si>
  <si>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</si>
  <si>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</si>
  <si>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</si>
  <si>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</si>
  <si>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</si>
  <si>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</si>
  <si>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</si>
  <si>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</si>
  <si>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</si>
  <si>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</si>
  <si>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</si>
  <si>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</si>
  <si>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</si>
  <si>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</si>
  <si>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</si>
  <si>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</si>
  <si>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</si>
  <si>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</si>
  <si>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</si>
  <si>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</si>
  <si>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</si>
  <si>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</si>
  <si>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</si>
  <si>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</si>
  <si>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</si>
  <si>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</si>
  <si>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</si>
  <si>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</si>
  <si>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</si>
  <si>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</si>
  <si>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</si>
  <si>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</si>
  <si>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</si>
  <si>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</si>
  <si>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</si>
  <si>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</si>
  <si>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</si>
  <si>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</si>
  <si>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</si>
  <si>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</si>
  <si>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</si>
  <si>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</si>
  <si>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</si>
  <si>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</si>
  <si>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</si>
  <si>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</si>
  <si>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</si>
  <si>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</si>
  <si>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</si>
  <si>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</si>
  <si>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</si>
  <si>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</si>
  <si>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</si>
  <si>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</si>
  <si>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</si>
  <si>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</si>
  <si>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</si>
  <si>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</si>
  <si>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</si>
  <si>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</si>
  <si>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</si>
  <si>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</si>
  <si>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</si>
  <si>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</si>
  <si>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</si>
  <si>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</si>
  <si>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</si>
  <si>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</si>
  <si>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</si>
  <si>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</si>
  <si>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</si>
  <si>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</si>
  <si>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</si>
  <si>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</si>
  <si>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</si>
  <si>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</si>
  <si>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</si>
  <si>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</si>
  <si>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</si>
  <si>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</si>
  <si>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</si>
  <si>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</si>
  <si>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</si>
  <si>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</si>
  <si>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</si>
  <si>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</si>
  <si>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</si>
  <si>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</si>
  <si>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</si>
  <si>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</si>
  <si>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</si>
  <si>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</si>
  <si>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</si>
  <si>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</si>
  <si>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</si>
  <si>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</si>
  <si>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</si>
  <si>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</si>
  <si>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</si>
  <si>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</si>
  <si>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</si>
  <si>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</si>
  <si>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</si>
  <si>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</si>
  <si>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</si>
  <si>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</si>
  <si>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</si>
  <si>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</si>
  <si>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</si>
  <si>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</si>
  <si>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</si>
  <si>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</si>
  <si>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</si>
  <si>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</si>
  <si>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</si>
  <si>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</si>
  <si>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</si>
  <si>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</si>
  <si>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</si>
  <si>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</si>
  <si>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</si>
  <si>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</si>
  <si>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</si>
  <si>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</si>
  <si>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</si>
  <si>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</si>
  <si>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</si>
  <si>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</si>
  <si>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</si>
  <si>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</si>
  <si>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</si>
  <si>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</si>
  <si>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</si>
  <si>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</si>
  <si>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</si>
  <si>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</si>
  <si>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</si>
  <si>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</si>
  <si>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</si>
  <si>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</si>
  <si>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</si>
  <si>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</si>
  <si>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</si>
  <si>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</si>
  <si>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</si>
  <si>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</si>
  <si>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</si>
  <si>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</si>
  <si>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</si>
  <si>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</si>
  <si>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</si>
  <si>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</si>
  <si>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</si>
  <si>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</si>
  <si>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</si>
  <si>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</si>
  <si>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</si>
  <si>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</si>
  <si>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</si>
  <si>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</si>
  <si>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</si>
  <si>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</si>
  <si>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</si>
  <si>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</si>
  <si>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</si>
  <si>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</si>
  <si>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</si>
  <si>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</si>
  <si>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</si>
  <si>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</si>
  <si>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</si>
  <si>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</si>
  <si>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</si>
  <si>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</si>
  <si>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</si>
  <si>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</si>
  <si>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</si>
  <si>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</si>
  <si>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</si>
  <si>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</si>
  <si>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</si>
  <si>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</si>
  <si>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</si>
  <si>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</si>
  <si>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</si>
  <si>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</si>
  <si>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</si>
  <si>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</si>
  <si>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</si>
  <si>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</si>
  <si>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</si>
  <si>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</si>
  <si>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</si>
  <si>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</si>
  <si>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</si>
  <si>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</si>
  <si>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</si>
  <si>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</si>
  <si>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</si>
  <si>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</si>
  <si>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</si>
  <si>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</si>
  <si>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</si>
  <si>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</si>
  <si>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</si>
  <si>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</si>
  <si>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</si>
  <si>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</si>
  <si>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</si>
  <si>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</si>
  <si>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</si>
  <si>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</si>
  <si>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</si>
  <si>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</si>
  <si>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</si>
  <si>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</si>
  <si>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</si>
  <si>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</si>
  <si>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</si>
  <si>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</si>
  <si>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</si>
  <si>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</si>
  <si>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</si>
  <si>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</si>
  <si>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</si>
  <si>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</si>
  <si>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</si>
  <si>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</si>
  <si>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</si>
  <si>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</si>
  <si>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</si>
  <si>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</si>
  <si>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</si>
  <si>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</si>
  <si>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</si>
  <si>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</si>
  <si>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</si>
  <si>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</si>
  <si>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</si>
  <si>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</si>
  <si>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</si>
  <si>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</si>
  <si>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</si>
  <si>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</si>
  <si>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</si>
  <si>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</si>
  <si>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</si>
  <si>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</si>
  <si>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</si>
  <si>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</si>
  <si>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</si>
  <si>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</si>
  <si>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</si>
  <si>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</si>
  <si>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</si>
  <si>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</si>
  <si>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</si>
  <si>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</si>
  <si>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</si>
  <si>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</si>
  <si>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</si>
  <si>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</si>
  <si>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</si>
  <si>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</si>
  <si>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</si>
  <si>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</si>
  <si>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</si>
  <si>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</si>
  <si>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</si>
  <si>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</si>
  <si>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</si>
  <si>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</si>
  <si>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</si>
  <si>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</si>
  <si>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</si>
  <si>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</si>
  <si>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</si>
  <si>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</si>
  <si>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</si>
  <si>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</si>
  <si>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</si>
  <si>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</si>
  <si>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</si>
  <si>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</si>
  <si>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</si>
  <si>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</si>
  <si>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</si>
  <si>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</si>
  <si>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</si>
  <si>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</si>
  <si>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</si>
  <si>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</si>
  <si>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</si>
  <si>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</si>
  <si>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</si>
  <si>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</si>
  <si>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</si>
  <si>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</si>
  <si>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</si>
  <si>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</si>
  <si>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</si>
  <si>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</si>
  <si>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</si>
  <si>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</si>
  <si>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</si>
  <si>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</si>
  <si>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</si>
  <si>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</si>
  <si>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GM Bx+ 2023. Versión: 1.2 24.08.31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</si>
</sst>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4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9" fontId="31" fillId="0" borderId="0" xfId="0" applyNumberFormat="1" applyFont="1" applyAlignment="1" applyProtection="1">
      <alignment horizontal="center"/>
      <protection hidden="1"/>
    </xf>
    <xf numFmtId="7" fontId="28" fillId="0" borderId="0" xfId="0" applyNumberFormat="1" applyFont="1" applyProtection="1">
      <protection hidden="1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1460500</xdr:colOff>
          <xdr:row>29</xdr:row>
          <xdr:rowOff>127000</xdr:rowOff>
        </xdr:from>
        <xdr:to>
          <xdr:col>8</xdr:col>
          <xdr:colOff>641350</xdr:colOff>
          <xdr:row>33</xdr:row>
          <xdr:rowOff>12700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topLeftCell="A2" zoomScale="90" zoomScaleNormal="90" workbookViewId="0">
      <selection activeCell="E11" sqref="E11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26953125" customWidth="1"/>
    <col min="8" max="8" width="2.54296875" customWidth="1"/>
    <col min="9" max="9" width="11.453125" customWidth="1"/>
    <col min="10" max="10" width="3.26953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7265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7265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26953125" style="63" hidden="1" customWidth="1"/>
    <col min="29" max="29" width="18.7265625" style="63" hidden="1" customWidth="1"/>
    <col min="30" max="30" width="11.453125" style="63" hidden="1" customWidth="1"/>
    <col min="31" max="32" width="3.7265625" style="63" hidden="1" customWidth="1"/>
    <col min="33" max="33" width="6" style="63" hidden="1" customWidth="1"/>
    <col min="34" max="34" width="12.7265625" style="63" hidden="1" customWidth="1"/>
    <col min="35" max="40" width="3.7265625" style="63" hidden="1" customWidth="1"/>
    <col min="41" max="702" width="3.7265625" hidden="1" customWidth="1"/>
    <col min="703" max="16384" width="3.7265625" hidden="1"/>
  </cols>
  <sheetData>
    <row r="1" spans="1:40" x14ac:dyDescent="0.35">
      <c r="A1" s="630">
        <v>1</v>
      </c>
    </row>
    <row r="2" spans="1:40" ht="23.5" x14ac:dyDescent="0.55000000000000004">
      <c r="B2" s="733"/>
      <c r="C2" s="733"/>
      <c r="D2" s="733"/>
      <c r="E2" s="733"/>
      <c r="F2" s="733"/>
      <c r="G2" s="733"/>
      <c r="H2" s="733"/>
      <c r="I2" s="733"/>
      <c r="J2" s="733"/>
      <c r="K2" s="733"/>
      <c r="L2" s="733"/>
      <c r="M2" s="733"/>
      <c r="N2" s="53"/>
      <c r="O2" s="14"/>
    </row>
    <row r="3" spans="1:40" ht="23.5" x14ac:dyDescent="0.55000000000000004">
      <c r="B3" s="733"/>
      <c r="C3" s="733"/>
      <c r="D3" s="733"/>
      <c r="E3" s="733"/>
      <c r="F3" s="733"/>
      <c r="G3" s="733"/>
      <c r="H3" s="733"/>
      <c r="I3" s="733"/>
      <c r="J3" s="733"/>
      <c r="K3" s="733"/>
      <c r="L3" s="733"/>
      <c r="M3" s="733"/>
      <c r="N3" s="53"/>
      <c r="O3" s="14"/>
      <c r="P3" s="429"/>
      <c r="R3" s="342" t="s">
        <v>287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252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5" t="s">
        <v>98</v>
      </c>
      <c r="C5" s="725"/>
      <c r="D5" s="725"/>
      <c r="E5" s="725"/>
      <c r="F5" s="725"/>
      <c r="G5" s="725"/>
      <c r="H5" s="725"/>
      <c r="I5" s="725"/>
      <c r="J5" s="725"/>
      <c r="K5" s="725"/>
      <c r="L5" s="725"/>
      <c r="M5" s="725"/>
      <c r="N5" s="123"/>
      <c r="P5" s="429" t="s">
        <v>253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6"/>
      <c r="C6" s="596"/>
      <c r="D6" s="604" t="s">
        <v>116</v>
      </c>
      <c r="E6" s="734"/>
      <c r="F6" s="735"/>
      <c r="G6" s="735"/>
      <c r="H6" s="735"/>
      <c r="I6" s="735"/>
      <c r="J6" s="736"/>
      <c r="K6" s="605"/>
      <c r="L6" s="596"/>
      <c r="M6" s="596"/>
      <c r="N6" s="124"/>
      <c r="P6" s="429" t="s">
        <v>254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6"/>
      <c r="C7" s="596"/>
      <c r="D7" s="604" t="s">
        <v>117</v>
      </c>
      <c r="E7" s="737"/>
      <c r="F7" s="738"/>
      <c r="G7" s="738"/>
      <c r="H7" s="738"/>
      <c r="I7" s="738"/>
      <c r="J7" s="739"/>
      <c r="K7" s="606" t="s">
        <v>172</v>
      </c>
      <c r="L7" s="556">
        <f ca="1">TODAY()</f>
        <v>45197</v>
      </c>
      <c r="M7" s="596"/>
      <c r="N7" s="124"/>
      <c r="O7" s="551"/>
      <c r="P7" s="429" t="s">
        <v>255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6"/>
      <c r="C8" s="596"/>
      <c r="D8" s="604" t="s">
        <v>171</v>
      </c>
      <c r="E8" s="607"/>
      <c r="F8" s="553"/>
      <c r="G8" s="553"/>
      <c r="H8" s="560"/>
      <c r="I8" s="553"/>
      <c r="J8" s="553"/>
      <c r="K8" s="606" t="s">
        <v>224</v>
      </c>
      <c r="L8" s="716"/>
      <c r="M8" s="596"/>
      <c r="N8" s="124"/>
      <c r="P8" s="429" t="s">
        <v>256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8"/>
      <c r="C9" s="608"/>
      <c r="D9" s="608"/>
      <c r="E9" s="608"/>
      <c r="F9" s="608"/>
      <c r="G9" s="608"/>
      <c r="H9" s="608"/>
      <c r="I9" s="608"/>
      <c r="J9" s="608"/>
      <c r="K9" s="609"/>
      <c r="L9" s="608"/>
      <c r="M9" s="608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6"/>
      <c r="C10" s="605"/>
      <c r="D10" s="605"/>
      <c r="E10" s="596"/>
      <c r="F10" s="596"/>
      <c r="G10" s="723" t="s">
        <v>264</v>
      </c>
      <c r="H10" s="723"/>
      <c r="I10" s="723"/>
      <c r="J10" s="596"/>
      <c r="K10" s="723" t="s">
        <v>295</v>
      </c>
      <c r="L10" s="723"/>
      <c r="M10" s="629"/>
      <c r="P10" s="63" t="s">
        <v>299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6"/>
      <c r="C11" s="605"/>
      <c r="D11" s="605"/>
      <c r="E11" s="596"/>
      <c r="F11" s="596"/>
      <c r="G11" s="724" t="s">
        <v>0</v>
      </c>
      <c r="H11" s="724"/>
      <c r="I11" s="724"/>
      <c r="J11" s="596"/>
      <c r="K11" s="727" t="s">
        <v>304</v>
      </c>
      <c r="L11" s="727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6"/>
      <c r="C12" s="605"/>
      <c r="D12" s="605"/>
      <c r="E12" s="596"/>
      <c r="F12" s="596"/>
      <c r="G12" s="610"/>
      <c r="H12" s="610"/>
      <c r="I12" s="610"/>
      <c r="J12" s="596"/>
      <c r="K12" s="596"/>
      <c r="L12" s="596"/>
      <c r="M12" s="596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26" t="s">
        <v>87</v>
      </c>
      <c r="C13" s="726"/>
      <c r="D13" s="726"/>
      <c r="E13" s="611" t="s">
        <v>99</v>
      </c>
      <c r="F13" s="612"/>
      <c r="G13" s="613" t="s">
        <v>263</v>
      </c>
      <c r="H13" s="613" t="s">
        <v>251</v>
      </c>
      <c r="I13" s="613" t="s">
        <v>0</v>
      </c>
      <c r="J13" s="614"/>
      <c r="K13" s="611" t="s">
        <v>53</v>
      </c>
      <c r="L13" s="596"/>
      <c r="M13" s="596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6"/>
      <c r="C14" s="599"/>
      <c r="D14" s="599"/>
      <c r="E14" s="599"/>
      <c r="F14" s="596"/>
      <c r="G14" s="610"/>
      <c r="H14" s="610"/>
      <c r="I14" s="610"/>
      <c r="J14" s="599"/>
      <c r="K14" s="599"/>
      <c r="L14" s="596"/>
      <c r="M14" s="596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6"/>
      <c r="C15" s="615" t="s">
        <v>80</v>
      </c>
      <c r="D15" s="616"/>
      <c r="E15" s="617"/>
      <c r="F15" s="553"/>
      <c r="G15" s="618"/>
      <c r="H15" s="619"/>
      <c r="I15" s="620"/>
      <c r="J15" s="621"/>
      <c r="K15" s="622"/>
      <c r="L15" s="596"/>
      <c r="M15" s="596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6"/>
      <c r="C16" s="615"/>
      <c r="D16" s="599"/>
      <c r="E16" s="623"/>
      <c r="F16" s="553"/>
      <c r="G16" s="632"/>
      <c r="H16" s="619"/>
      <c r="I16" s="631"/>
      <c r="J16" s="621"/>
      <c r="K16" s="553"/>
      <c r="L16" s="596"/>
      <c r="M16" s="596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6"/>
      <c r="C17" s="615" t="s">
        <v>81</v>
      </c>
      <c r="D17" s="616"/>
      <c r="E17" s="624"/>
      <c r="F17" s="553"/>
      <c r="G17" s="618"/>
      <c r="H17" s="619"/>
      <c r="I17" s="620"/>
      <c r="J17" s="621"/>
      <c r="K17" s="622"/>
      <c r="L17" s="596"/>
      <c r="M17" s="596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6"/>
      <c r="C18" s="625" t="s">
        <v>293</v>
      </c>
      <c r="D18" s="605"/>
      <c r="E18" s="553"/>
      <c r="F18" s="553"/>
      <c r="G18" s="631"/>
      <c r="H18" s="619"/>
      <c r="I18" s="527"/>
      <c r="J18" s="553"/>
      <c r="K18" s="554"/>
      <c r="L18" s="596"/>
      <c r="M18" s="596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6"/>
      <c r="C19" s="625" t="s">
        <v>82</v>
      </c>
      <c r="D19" s="616"/>
      <c r="E19" s="624"/>
      <c r="F19" s="553"/>
      <c r="G19" s="618"/>
      <c r="H19" s="619"/>
      <c r="I19" s="620"/>
      <c r="J19" s="553"/>
      <c r="K19" s="622"/>
      <c r="L19" s="596"/>
      <c r="M19" s="596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6"/>
      <c r="C20" s="625"/>
      <c r="D20" s="605"/>
      <c r="E20" s="553"/>
      <c r="F20" s="553"/>
      <c r="G20" s="631"/>
      <c r="H20" s="619"/>
      <c r="I20" s="631"/>
      <c r="J20" s="553"/>
      <c r="K20" s="553"/>
      <c r="L20" s="596"/>
      <c r="M20" s="596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6"/>
      <c r="C21" s="625" t="s">
        <v>83</v>
      </c>
      <c r="D21" s="616"/>
      <c r="E21" s="624"/>
      <c r="F21" s="553"/>
      <c r="G21" s="618"/>
      <c r="H21" s="619"/>
      <c r="I21" s="620"/>
      <c r="J21" s="553"/>
      <c r="K21" s="622"/>
      <c r="L21" s="596"/>
      <c r="M21" s="596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6"/>
      <c r="C22" s="625"/>
      <c r="D22" s="605"/>
      <c r="E22" s="553"/>
      <c r="F22" s="553"/>
      <c r="G22" s="631"/>
      <c r="H22" s="619"/>
      <c r="I22" s="631"/>
      <c r="J22" s="553"/>
      <c r="K22" s="553"/>
      <c r="L22" s="596"/>
      <c r="M22" s="596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6"/>
      <c r="C23" s="625" t="s">
        <v>84</v>
      </c>
      <c r="D23" s="616"/>
      <c r="E23" s="624"/>
      <c r="F23" s="553"/>
      <c r="G23" s="618"/>
      <c r="H23" s="619"/>
      <c r="I23" s="620"/>
      <c r="J23" s="553"/>
      <c r="K23" s="622"/>
      <c r="L23" s="596"/>
      <c r="M23" s="596"/>
      <c r="P23" s="441" t="b">
        <v>0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6"/>
      <c r="C24" s="625"/>
      <c r="D24" s="605"/>
      <c r="E24" s="553"/>
      <c r="F24" s="553"/>
      <c r="G24" s="631"/>
      <c r="H24" s="619"/>
      <c r="I24" s="631"/>
      <c r="J24" s="553"/>
      <c r="K24" s="553"/>
      <c r="L24" s="596"/>
      <c r="M24" s="596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6"/>
      <c r="C25" s="625" t="s">
        <v>85</v>
      </c>
      <c r="D25" s="616"/>
      <c r="E25" s="624"/>
      <c r="F25" s="553"/>
      <c r="G25" s="618"/>
      <c r="H25" s="619"/>
      <c r="I25" s="620"/>
      <c r="J25" s="553"/>
      <c r="K25" s="622"/>
      <c r="L25" s="596"/>
      <c r="M25" s="596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8"/>
      <c r="C26" s="626"/>
      <c r="D26" s="626"/>
      <c r="E26" s="608"/>
      <c r="F26" s="608"/>
      <c r="G26" s="608"/>
      <c r="H26" s="608"/>
      <c r="I26" s="608"/>
      <c r="J26" s="608"/>
      <c r="K26" s="608"/>
      <c r="L26" s="608"/>
      <c r="M26" s="608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5" t="s">
        <v>326</v>
      </c>
      <c r="C27" s="725"/>
      <c r="D27" s="725"/>
      <c r="E27" s="725"/>
      <c r="F27" s="725"/>
      <c r="G27" s="725"/>
      <c r="H27" s="725"/>
      <c r="I27" s="725"/>
      <c r="J27" s="725"/>
      <c r="K27" s="725"/>
      <c r="L27" s="725"/>
      <c r="M27" s="725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31" t="s">
        <v>95</v>
      </c>
      <c r="S28" s="732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28" t="s">
        <v>186</v>
      </c>
      <c r="AB31" s="729"/>
      <c r="AC31" s="730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262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250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261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19" t="s">
        <v>168</v>
      </c>
      <c r="T101" s="720"/>
      <c r="U101" s="721" t="s">
        <v>169</v>
      </c>
      <c r="V101" s="722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261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esMv/DrpSmbycL++FU6RykZ3wl4hBsMSxfDIkPj+5OkkZhMTExK3Aej35X57gTKeuL9+B3X8SLYtJ5cKWRd82w==" saltValue="wl0GsQX4nDDujZc+vEh5N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showRowColHeaders="0" topLeftCell="B4" zoomScale="85" zoomScaleNormal="85" workbookViewId="0">
      <selection activeCell="E8" sqref="E8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26953125" style="443" customWidth="1"/>
    <col min="3" max="4" width="11.453125" style="443" customWidth="1"/>
    <col min="5" max="5" width="21.453125" style="443" bestFit="1" customWidth="1"/>
    <col min="6" max="6" width="17.26953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7265625" style="443" customWidth="1"/>
    <col min="11" max="11" width="11.453125" style="443" hidden="1"/>
    <col min="12" max="12" width="12.453125" style="679" hidden="1"/>
    <col min="13" max="14" width="11.453125" style="443" hidden="1"/>
    <col min="15" max="15" width="2.1796875" style="680" hidden="1"/>
    <col min="16" max="16" width="15" style="680" hidden="1"/>
    <col min="17" max="17" width="2.1796875" style="680" hidden="1"/>
    <col min="18" max="18" width="11.81640625" style="680" hidden="1"/>
    <col min="19" max="19" width="2.1796875" style="680" hidden="1"/>
    <col min="20" max="20" width="18.54296875" style="680" hidden="1"/>
    <col min="21" max="21" width="2.1796875" style="680" hidden="1"/>
    <col min="22" max="22" width="15" style="680" hidden="1"/>
    <col min="23" max="23" width="2.1796875" style="680" hidden="1"/>
    <col min="24" max="24" width="9.54296875" style="680" hidden="1"/>
    <col min="25" max="25" width="2.1796875" style="680" hidden="1"/>
    <col min="26" max="26" width="9.81640625" style="680" hidden="1"/>
    <col min="27" max="27" width="2.1796875" style="680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3"/>
      <c r="C1" s="663"/>
      <c r="D1" s="663"/>
      <c r="E1" s="663"/>
      <c r="F1" s="663"/>
      <c r="G1" s="663"/>
      <c r="H1" s="663"/>
      <c r="I1" s="663"/>
      <c r="J1" s="663"/>
    </row>
    <row r="2" spans="1:27" ht="25" thickBot="1" x14ac:dyDescent="0.5">
      <c r="A2" s="444"/>
      <c r="B2" s="743" t="s">
        <v>276</v>
      </c>
      <c r="C2" s="743"/>
      <c r="D2" s="743"/>
      <c r="E2" s="743"/>
      <c r="F2" s="743"/>
      <c r="G2" s="743"/>
      <c r="H2" s="743"/>
      <c r="I2" s="743"/>
      <c r="J2" s="663"/>
    </row>
    <row r="3" spans="1:27" x14ac:dyDescent="0.25">
      <c r="A3" s="444"/>
      <c r="B3" s="663"/>
      <c r="C3" s="746"/>
      <c r="D3" s="746"/>
      <c r="E3" s="663"/>
      <c r="F3" s="663"/>
      <c r="G3" s="663"/>
      <c r="H3" s="663"/>
      <c r="I3" s="663"/>
      <c r="J3" s="663"/>
    </row>
    <row r="4" spans="1:27" x14ac:dyDescent="0.25">
      <c r="A4" s="444"/>
      <c r="B4" s="664"/>
      <c r="C4" s="665"/>
      <c r="D4" s="665"/>
      <c r="E4" s="665"/>
      <c r="F4" s="665"/>
      <c r="G4" s="665"/>
      <c r="H4" s="665"/>
      <c r="I4" s="666"/>
      <c r="J4" s="663"/>
    </row>
    <row r="5" spans="1:27" s="681" customFormat="1" ht="14" x14ac:dyDescent="0.3">
      <c r="A5" s="445"/>
      <c r="B5" s="740" t="s">
        <v>278</v>
      </c>
      <c r="C5" s="741"/>
      <c r="D5" s="742"/>
      <c r="E5" s="667"/>
      <c r="F5" s="668"/>
      <c r="G5" s="668"/>
      <c r="H5" s="668"/>
      <c r="I5" s="669"/>
      <c r="J5" s="668"/>
      <c r="O5" s="682"/>
      <c r="P5" s="682"/>
      <c r="Q5" s="682"/>
      <c r="R5" s="682"/>
      <c r="S5" s="682"/>
      <c r="T5" s="682"/>
      <c r="U5" s="682"/>
      <c r="V5" s="682"/>
      <c r="W5" s="682"/>
      <c r="X5" s="682"/>
      <c r="Y5" s="682"/>
      <c r="Z5" s="682"/>
      <c r="AA5" s="682"/>
    </row>
    <row r="6" spans="1:27" s="681" customFormat="1" ht="14.25" customHeight="1" x14ac:dyDescent="0.3">
      <c r="A6" s="445"/>
      <c r="B6" s="740" t="s">
        <v>279</v>
      </c>
      <c r="C6" s="741"/>
      <c r="D6" s="742"/>
      <c r="E6" s="670" t="str">
        <f>IF(LEFT(E5,1)="A",LEFT(E5,4),IF(LEFT(E5,1)="M",LEFT(E5,5),IF(LEFT(E5,1)="E",LEFT(E5,8),"")))</f>
        <v/>
      </c>
      <c r="F6" s="668"/>
      <c r="G6" s="668"/>
      <c r="H6" s="668"/>
      <c r="I6" s="669"/>
      <c r="J6" s="668"/>
      <c r="O6" s="682"/>
      <c r="P6" s="682"/>
      <c r="Q6" s="682"/>
      <c r="R6" s="682"/>
      <c r="S6" s="682"/>
      <c r="T6" s="682"/>
      <c r="U6" s="682"/>
      <c r="V6" s="682"/>
      <c r="W6" s="682"/>
      <c r="X6" s="682"/>
      <c r="Y6" s="682"/>
      <c r="Z6" s="682"/>
      <c r="AA6" s="682"/>
    </row>
    <row r="7" spans="1:27" s="681" customFormat="1" ht="14.25" customHeight="1" x14ac:dyDescent="0.3">
      <c r="A7" s="445"/>
      <c r="B7" s="740" t="s">
        <v>280</v>
      </c>
      <c r="C7" s="741"/>
      <c r="D7" s="742"/>
      <c r="E7" s="671" t="str">
        <f>IFERROR(MID(E5,SEARCH("-",E5)+3,7)*1,"")</f>
        <v/>
      </c>
      <c r="F7" s="668"/>
      <c r="G7" s="668"/>
      <c r="H7" s="668"/>
      <c r="I7" s="669"/>
      <c r="J7" s="668"/>
      <c r="O7" s="682"/>
      <c r="P7" s="682"/>
      <c r="Q7" s="682"/>
      <c r="R7" s="682"/>
      <c r="S7" s="682"/>
      <c r="T7" s="682"/>
      <c r="U7" s="682"/>
      <c r="V7" s="682"/>
      <c r="W7" s="682"/>
      <c r="X7" s="682"/>
      <c r="Y7" s="682"/>
      <c r="Z7" s="682"/>
      <c r="AA7" s="682"/>
    </row>
    <row r="8" spans="1:27" s="681" customFormat="1" ht="14" x14ac:dyDescent="0.3">
      <c r="A8" s="445"/>
      <c r="B8" s="740" t="s">
        <v>281</v>
      </c>
      <c r="C8" s="741"/>
      <c r="D8" s="742"/>
      <c r="E8" s="672"/>
      <c r="F8" s="668"/>
      <c r="G8" s="668"/>
      <c r="H8" s="668"/>
      <c r="I8" s="669"/>
      <c r="J8" s="668"/>
      <c r="O8" s="682"/>
      <c r="P8" s="682"/>
      <c r="Q8" s="682"/>
      <c r="R8" s="682"/>
      <c r="S8" s="682"/>
      <c r="T8" s="682"/>
      <c r="U8" s="682"/>
      <c r="V8" s="682"/>
      <c r="W8" s="682"/>
      <c r="X8" s="682"/>
      <c r="Y8" s="682"/>
      <c r="Z8" s="682"/>
      <c r="AA8" s="682"/>
    </row>
    <row r="9" spans="1:27" s="681" customFormat="1" ht="14" x14ac:dyDescent="0.3">
      <c r="A9" s="445"/>
      <c r="B9" s="740" t="s">
        <v>283</v>
      </c>
      <c r="C9" s="741"/>
      <c r="D9" s="742"/>
      <c r="E9" s="672"/>
      <c r="F9" s="668"/>
      <c r="G9" s="668"/>
      <c r="H9" s="668"/>
      <c r="I9" s="669"/>
      <c r="J9" s="668"/>
      <c r="O9" s="682"/>
      <c r="P9" s="682"/>
      <c r="Q9" s="682"/>
      <c r="R9" s="682"/>
      <c r="S9" s="682"/>
      <c r="T9" s="682"/>
      <c r="U9" s="682"/>
      <c r="V9" s="682"/>
      <c r="W9" s="682"/>
      <c r="X9" s="682"/>
      <c r="Y9" s="682"/>
      <c r="Z9" s="682"/>
      <c r="AA9" s="682"/>
    </row>
    <row r="10" spans="1:27" s="681" customFormat="1" ht="14" x14ac:dyDescent="0.3">
      <c r="A10" s="445"/>
      <c r="B10" s="740" t="s">
        <v>282</v>
      </c>
      <c r="C10" s="741"/>
      <c r="D10" s="742"/>
      <c r="E10" s="673"/>
      <c r="F10" s="668"/>
      <c r="G10" s="668"/>
      <c r="H10" s="668"/>
      <c r="I10" s="669"/>
      <c r="J10" s="668"/>
      <c r="O10" s="682"/>
      <c r="P10" s="682"/>
      <c r="Q10" s="682"/>
      <c r="R10" s="682"/>
      <c r="S10" s="682"/>
      <c r="T10" s="682"/>
      <c r="U10" s="682"/>
      <c r="V10" s="682"/>
      <c r="W10" s="682"/>
      <c r="X10" s="682"/>
      <c r="Y10" s="682"/>
      <c r="Z10" s="682"/>
      <c r="AA10" s="682"/>
    </row>
    <row r="11" spans="1:27" x14ac:dyDescent="0.25">
      <c r="A11" s="444"/>
      <c r="B11" s="674"/>
      <c r="C11" s="675"/>
      <c r="D11" s="675"/>
      <c r="E11" s="675"/>
      <c r="F11" s="675"/>
      <c r="G11" s="675"/>
      <c r="H11" s="675"/>
      <c r="I11" s="676"/>
      <c r="J11" s="663"/>
    </row>
    <row r="12" spans="1:27" x14ac:dyDescent="0.25">
      <c r="A12" s="444"/>
      <c r="B12" s="663"/>
      <c r="C12" s="663"/>
      <c r="D12" s="663"/>
      <c r="E12" s="663"/>
      <c r="F12" s="663"/>
      <c r="G12" s="663"/>
      <c r="H12" s="663"/>
      <c r="I12" s="663"/>
      <c r="J12" s="663"/>
    </row>
    <row r="13" spans="1:27" ht="25" thickBot="1" x14ac:dyDescent="0.5">
      <c r="A13" s="444"/>
      <c r="B13" s="743" t="s">
        <v>277</v>
      </c>
      <c r="C13" s="743"/>
      <c r="D13" s="743"/>
      <c r="E13" s="743"/>
      <c r="F13" s="743"/>
      <c r="G13" s="743"/>
      <c r="H13" s="743"/>
      <c r="I13" s="743"/>
      <c r="J13" s="663"/>
    </row>
    <row r="14" spans="1:27" x14ac:dyDescent="0.25">
      <c r="A14" s="444"/>
      <c r="B14" s="663"/>
      <c r="C14" s="663"/>
      <c r="D14" s="663"/>
      <c r="E14" s="663"/>
      <c r="F14" s="663"/>
      <c r="G14" s="663"/>
      <c r="H14" s="663"/>
      <c r="I14" s="663"/>
      <c r="J14" s="663"/>
    </row>
    <row r="15" spans="1:27" x14ac:dyDescent="0.25">
      <c r="A15" s="444"/>
      <c r="B15" s="664"/>
      <c r="C15" s="665"/>
      <c r="D15" s="665"/>
      <c r="E15" s="665"/>
      <c r="F15" s="665"/>
      <c r="G15" s="665"/>
      <c r="H15" s="665"/>
      <c r="I15" s="666"/>
      <c r="J15" s="663"/>
    </row>
    <row r="16" spans="1:27" ht="15" x14ac:dyDescent="0.3">
      <c r="A16" s="444"/>
      <c r="B16" s="744" t="s">
        <v>164</v>
      </c>
      <c r="C16" s="745"/>
      <c r="D16" s="745"/>
      <c r="E16" s="745"/>
      <c r="F16" s="663"/>
      <c r="G16" s="663"/>
      <c r="H16" s="663"/>
      <c r="I16" s="677"/>
      <c r="J16" s="663"/>
    </row>
    <row r="17" spans="1:26" x14ac:dyDescent="0.25">
      <c r="A17" s="444"/>
      <c r="B17" s="678"/>
      <c r="C17" s="663"/>
      <c r="D17" s="663"/>
      <c r="E17" s="663"/>
      <c r="F17" s="663"/>
      <c r="G17" s="663"/>
      <c r="H17" s="663"/>
      <c r="I17" s="677"/>
      <c r="J17" s="663"/>
    </row>
    <row r="18" spans="1:26" x14ac:dyDescent="0.25">
      <c r="A18" s="444"/>
      <c r="B18" s="678"/>
      <c r="C18" s="747" t="s">
        <v>273</v>
      </c>
      <c r="D18" s="747"/>
      <c r="E18" s="747"/>
      <c r="F18" s="747"/>
      <c r="G18" s="747" t="s">
        <v>275</v>
      </c>
      <c r="H18" s="747"/>
      <c r="I18" s="748"/>
      <c r="J18" s="663"/>
    </row>
    <row r="19" spans="1:26" x14ac:dyDescent="0.25">
      <c r="A19" s="444"/>
      <c r="B19" s="678"/>
      <c r="C19" s="663"/>
      <c r="D19" s="663"/>
      <c r="E19" s="663"/>
      <c r="F19" s="663"/>
      <c r="G19" s="663"/>
      <c r="H19" s="663"/>
      <c r="I19" s="677"/>
      <c r="J19" s="663"/>
    </row>
    <row r="20" spans="1:26" ht="13" x14ac:dyDescent="0.3">
      <c r="A20" s="444"/>
      <c r="B20" s="678"/>
      <c r="C20" s="747" t="s">
        <v>274</v>
      </c>
      <c r="D20" s="747"/>
      <c r="E20" s="747"/>
      <c r="F20" s="747"/>
      <c r="G20" s="747" t="s">
        <v>296</v>
      </c>
      <c r="H20" s="747"/>
      <c r="I20" s="748"/>
      <c r="J20" s="663"/>
      <c r="P20" s="683" t="s">
        <v>265</v>
      </c>
      <c r="R20" s="683" t="s">
        <v>269</v>
      </c>
      <c r="T20" s="683" t="s">
        <v>270</v>
      </c>
      <c r="V20" s="683" t="s">
        <v>266</v>
      </c>
      <c r="X20" s="683" t="s">
        <v>267</v>
      </c>
      <c r="Z20" s="683" t="s">
        <v>268</v>
      </c>
    </row>
    <row r="21" spans="1:26" x14ac:dyDescent="0.25">
      <c r="A21" s="444"/>
      <c r="B21" s="678"/>
      <c r="C21" s="663"/>
      <c r="D21" s="663"/>
      <c r="E21" s="663"/>
      <c r="F21" s="663"/>
      <c r="G21" s="663"/>
      <c r="H21" s="663"/>
      <c r="I21" s="677"/>
      <c r="J21" s="663"/>
      <c r="P21" s="684"/>
      <c r="R21" s="684"/>
      <c r="T21" s="685"/>
      <c r="V21" s="684"/>
      <c r="X21" s="684"/>
      <c r="Z21" s="684"/>
    </row>
    <row r="22" spans="1:26" x14ac:dyDescent="0.25">
      <c r="A22" s="444"/>
      <c r="B22" s="678"/>
      <c r="C22" s="663" t="s">
        <v>291</v>
      </c>
      <c r="D22" s="663"/>
      <c r="E22" s="663"/>
      <c r="F22" s="663"/>
      <c r="G22" s="663"/>
      <c r="H22" s="663"/>
      <c r="I22" s="677"/>
      <c r="J22" s="663"/>
      <c r="P22" s="684" t="s">
        <v>194</v>
      </c>
      <c r="R22" s="686">
        <v>30000</v>
      </c>
      <c r="S22" s="687"/>
      <c r="T22" s="684" t="str">
        <f>CONCATENATE($P$22," - ",TEXT(R22,"$###,##0"))</f>
        <v>ESTANDAR - $30,000</v>
      </c>
      <c r="V22" s="688">
        <v>500000</v>
      </c>
      <c r="W22" s="687"/>
      <c r="X22" s="688">
        <v>5000</v>
      </c>
      <c r="Y22" s="687"/>
      <c r="Z22" s="689">
        <v>0.1</v>
      </c>
    </row>
    <row r="23" spans="1:26" ht="15" x14ac:dyDescent="0.3">
      <c r="A23" s="444"/>
      <c r="B23" s="744" t="s">
        <v>272</v>
      </c>
      <c r="C23" s="745"/>
      <c r="D23" s="745"/>
      <c r="E23" s="745"/>
      <c r="F23" s="663"/>
      <c r="G23" s="663"/>
      <c r="H23" s="663"/>
      <c r="I23" s="677"/>
      <c r="J23" s="663"/>
      <c r="P23" s="684" t="s">
        <v>193</v>
      </c>
      <c r="R23" s="688">
        <v>35000</v>
      </c>
      <c r="S23" s="687"/>
      <c r="T23" s="684" t="str">
        <f>CONCATENATE($P$22," - ",TEXT(R23,"$###,##0"))</f>
        <v>ESTANDAR - $35,000</v>
      </c>
      <c r="V23" s="688">
        <v>1000000</v>
      </c>
      <c r="W23" s="687"/>
      <c r="X23" s="688">
        <v>6000</v>
      </c>
      <c r="Y23" s="687"/>
      <c r="Z23" s="689">
        <v>0.15</v>
      </c>
    </row>
    <row r="24" spans="1:26" x14ac:dyDescent="0.25">
      <c r="A24" s="444"/>
      <c r="B24" s="678"/>
      <c r="C24" s="663"/>
      <c r="D24" s="663"/>
      <c r="E24" s="663"/>
      <c r="F24" s="663"/>
      <c r="G24" s="663"/>
      <c r="H24" s="663"/>
      <c r="I24" s="677"/>
      <c r="J24" s="663"/>
      <c r="P24" s="690" t="s">
        <v>192</v>
      </c>
      <c r="R24" s="688">
        <v>40000</v>
      </c>
      <c r="S24" s="687"/>
      <c r="T24" s="685" t="str">
        <f>CONCATENATE($P$22," - ",TEXT(R24,"$###,##0"))</f>
        <v>ESTANDAR - $40,000</v>
      </c>
      <c r="V24" s="688">
        <v>2000000</v>
      </c>
      <c r="W24" s="687"/>
      <c r="X24" s="688">
        <v>8000</v>
      </c>
      <c r="Y24" s="687"/>
      <c r="Z24" s="689">
        <v>0.2</v>
      </c>
    </row>
    <row r="25" spans="1:26" x14ac:dyDescent="0.25">
      <c r="A25" s="444"/>
      <c r="B25" s="678"/>
      <c r="C25" s="747" t="s">
        <v>119</v>
      </c>
      <c r="D25" s="747"/>
      <c r="E25" s="747"/>
      <c r="F25" s="747"/>
      <c r="G25" s="663"/>
      <c r="H25" s="663"/>
      <c r="I25" s="677"/>
      <c r="J25" s="663"/>
      <c r="L25" s="691" t="b">
        <v>0</v>
      </c>
      <c r="R25" s="688">
        <v>45000</v>
      </c>
      <c r="S25" s="687"/>
      <c r="T25" s="684" t="str">
        <f>CONCATENATE($P$22," - ",TEXT(R26,"$###,##0"))</f>
        <v>ESTANDAR - $50,000</v>
      </c>
      <c r="V25" s="688">
        <v>3000000</v>
      </c>
      <c r="W25" s="687"/>
      <c r="X25" s="688">
        <v>10000</v>
      </c>
      <c r="Y25" s="687"/>
      <c r="Z25" s="692">
        <v>0.25</v>
      </c>
    </row>
    <row r="26" spans="1:26" x14ac:dyDescent="0.25">
      <c r="A26" s="444"/>
      <c r="B26" s="678"/>
      <c r="C26" s="747" t="s">
        <v>288</v>
      </c>
      <c r="D26" s="747"/>
      <c r="E26" s="747"/>
      <c r="F26" s="747"/>
      <c r="G26" s="747"/>
      <c r="H26" s="663"/>
      <c r="I26" s="677"/>
      <c r="J26" s="663"/>
      <c r="L26" s="691" t="b">
        <v>0</v>
      </c>
      <c r="R26" s="688">
        <v>50000</v>
      </c>
      <c r="S26" s="687"/>
      <c r="T26" s="684" t="str">
        <f>CONCATENATE($P$22," - ",TEXT(R27,"$###,##0"))</f>
        <v>ESTANDAR - $60,000</v>
      </c>
      <c r="V26" s="688">
        <v>5000000</v>
      </c>
      <c r="W26" s="687"/>
      <c r="X26" s="688">
        <v>15000</v>
      </c>
      <c r="Y26" s="687"/>
    </row>
    <row r="27" spans="1:26" x14ac:dyDescent="0.25">
      <c r="A27" s="444"/>
      <c r="B27" s="678"/>
      <c r="C27" s="747" t="s">
        <v>147</v>
      </c>
      <c r="D27" s="747"/>
      <c r="E27" s="747"/>
      <c r="F27" s="747"/>
      <c r="G27" s="663"/>
      <c r="H27" s="663"/>
      <c r="I27" s="677"/>
      <c r="J27" s="663"/>
      <c r="L27" s="691" t="b">
        <v>0</v>
      </c>
      <c r="R27" s="688">
        <v>60000</v>
      </c>
      <c r="S27" s="687"/>
      <c r="T27" s="684" t="str">
        <f>CONCATENATE($P$23," - ",TEXT(R23,"$###,##0"))</f>
        <v>MEDIO - $35,000</v>
      </c>
      <c r="V27" s="688">
        <v>10000000</v>
      </c>
      <c r="W27" s="687"/>
      <c r="X27" s="688">
        <v>20000</v>
      </c>
      <c r="Y27" s="687"/>
    </row>
    <row r="28" spans="1:26" x14ac:dyDescent="0.25">
      <c r="A28" s="444"/>
      <c r="B28" s="678"/>
      <c r="C28" s="747" t="s">
        <v>195</v>
      </c>
      <c r="D28" s="747"/>
      <c r="E28" s="747"/>
      <c r="F28" s="747"/>
      <c r="G28" s="663"/>
      <c r="H28" s="663"/>
      <c r="I28" s="677"/>
      <c r="J28" s="663"/>
      <c r="L28" s="691" t="b">
        <v>0</v>
      </c>
      <c r="R28" s="688">
        <v>70000</v>
      </c>
      <c r="S28" s="687"/>
      <c r="T28" s="684" t="str">
        <f>CONCATENATE($P$23," - ",TEXT(R24,"$###,##0"))</f>
        <v>MEDIO - $40,000</v>
      </c>
      <c r="V28" s="688">
        <v>20000000</v>
      </c>
      <c r="W28" s="687"/>
      <c r="X28" s="688">
        <v>22000</v>
      </c>
      <c r="Y28" s="687"/>
    </row>
    <row r="29" spans="1:26" x14ac:dyDescent="0.25">
      <c r="A29" s="444"/>
      <c r="B29" s="678"/>
      <c r="C29" s="747" t="s">
        <v>189</v>
      </c>
      <c r="D29" s="747"/>
      <c r="E29" s="747"/>
      <c r="F29" s="747"/>
      <c r="G29" s="663"/>
      <c r="H29" s="663"/>
      <c r="I29" s="677"/>
      <c r="J29" s="663"/>
      <c r="L29" s="691" t="b">
        <v>0</v>
      </c>
      <c r="R29" s="688">
        <v>80000</v>
      </c>
      <c r="T29" s="684" t="str">
        <f>CONCATENATE($P$23," - ",TEXT(R26,"$###,##0"))</f>
        <v>MEDIO - $50,000</v>
      </c>
      <c r="V29" s="688">
        <v>30000000</v>
      </c>
      <c r="W29" s="687"/>
      <c r="X29" s="688">
        <v>25000</v>
      </c>
      <c r="Y29" s="687"/>
    </row>
    <row r="30" spans="1:26" x14ac:dyDescent="0.25">
      <c r="A30" s="444"/>
      <c r="B30" s="678"/>
      <c r="C30" s="747" t="s">
        <v>216</v>
      </c>
      <c r="D30" s="747"/>
      <c r="E30" s="747"/>
      <c r="F30" s="747"/>
      <c r="G30" s="663"/>
      <c r="H30" s="663"/>
      <c r="I30" s="677"/>
      <c r="J30" s="663"/>
      <c r="L30" s="691" t="b">
        <v>0</v>
      </c>
      <c r="R30" s="684">
        <v>90000</v>
      </c>
      <c r="T30" s="684" t="str">
        <f>CONCATENATE($P$23," - ",TEXT(R27,"$###,##0"))</f>
        <v>MEDIO - $60,000</v>
      </c>
      <c r="V30" s="688">
        <v>35000000</v>
      </c>
      <c r="W30" s="687"/>
      <c r="X30" s="688">
        <v>30000</v>
      </c>
      <c r="Y30" s="687"/>
    </row>
    <row r="31" spans="1:26" x14ac:dyDescent="0.25">
      <c r="A31" s="444"/>
      <c r="B31" s="678"/>
      <c r="C31" s="747" t="s">
        <v>245</v>
      </c>
      <c r="D31" s="747"/>
      <c r="E31" s="747"/>
      <c r="F31" s="747"/>
      <c r="G31" s="663"/>
      <c r="H31" s="663"/>
      <c r="I31" s="677"/>
      <c r="J31" s="663"/>
      <c r="L31" s="691" t="b">
        <v>0</v>
      </c>
      <c r="R31" s="684">
        <v>100000</v>
      </c>
      <c r="T31" s="684" t="str">
        <f>CONCATENATE($P$23," - ",TEXT(R28,"$###,##0"))</f>
        <v>MEDIO - $70,000</v>
      </c>
      <c r="V31" s="688">
        <v>45000000</v>
      </c>
      <c r="W31" s="687"/>
      <c r="X31" s="688">
        <v>35000</v>
      </c>
      <c r="Y31" s="687"/>
    </row>
    <row r="32" spans="1:26" x14ac:dyDescent="0.25">
      <c r="A32" s="444"/>
      <c r="B32" s="678"/>
      <c r="C32" s="747" t="s">
        <v>271</v>
      </c>
      <c r="D32" s="747"/>
      <c r="E32" s="747"/>
      <c r="F32" s="747"/>
      <c r="G32" s="663"/>
      <c r="H32" s="663"/>
      <c r="I32" s="677"/>
      <c r="J32" s="663"/>
      <c r="L32" s="691" t="b">
        <v>0</v>
      </c>
      <c r="R32" s="683">
        <v>110000</v>
      </c>
      <c r="T32" s="684" t="str">
        <f>CONCATENATE($P$23," - ",TEXT(R29,"$###,##0"))</f>
        <v>MEDIO - $80,000</v>
      </c>
      <c r="V32" s="688">
        <v>50000000</v>
      </c>
      <c r="W32" s="687"/>
      <c r="X32" s="688">
        <v>40000</v>
      </c>
      <c r="Y32" s="687"/>
    </row>
    <row r="33" spans="1:25" x14ac:dyDescent="0.25">
      <c r="A33" s="444"/>
      <c r="B33" s="678"/>
      <c r="C33" s="747" t="s">
        <v>262</v>
      </c>
      <c r="D33" s="747"/>
      <c r="E33" s="747"/>
      <c r="F33" s="747"/>
      <c r="G33" s="663"/>
      <c r="H33" s="663"/>
      <c r="I33" s="677"/>
      <c r="J33" s="663"/>
      <c r="L33" s="691" t="b">
        <v>0</v>
      </c>
      <c r="P33" s="693"/>
      <c r="T33" s="684" t="str">
        <f>CONCATENATE($P$24," - ",TEXT(R26,"$###,##0"))</f>
        <v>ALTO - $50,000</v>
      </c>
      <c r="V33" s="694">
        <v>75000000</v>
      </c>
      <c r="W33" s="687"/>
      <c r="X33" s="688">
        <v>45000</v>
      </c>
      <c r="Y33" s="687"/>
    </row>
    <row r="34" spans="1:25" x14ac:dyDescent="0.25">
      <c r="A34" s="444"/>
      <c r="B34" s="674"/>
      <c r="C34" s="675"/>
      <c r="D34" s="675"/>
      <c r="E34" s="675"/>
      <c r="F34" s="675"/>
      <c r="G34" s="675"/>
      <c r="H34" s="675"/>
      <c r="I34" s="676"/>
      <c r="J34" s="663"/>
      <c r="P34" s="693"/>
      <c r="T34" s="684" t="str">
        <f>CONCATENATE($P$24," - ",TEXT(R24,"$###,##0"))</f>
        <v>ALTO - $40,000</v>
      </c>
      <c r="V34" s="695">
        <v>100000000</v>
      </c>
      <c r="W34" s="687"/>
      <c r="X34" s="688">
        <v>50000</v>
      </c>
      <c r="Y34" s="687"/>
    </row>
    <row r="35" spans="1:25" x14ac:dyDescent="0.25">
      <c r="A35" s="444"/>
      <c r="B35" s="663"/>
      <c r="C35" s="663"/>
      <c r="D35" s="663"/>
      <c r="E35" s="663"/>
      <c r="F35" s="663"/>
      <c r="G35" s="663"/>
      <c r="H35" s="663"/>
      <c r="I35" s="663"/>
      <c r="J35" s="663"/>
      <c r="P35" s="693"/>
      <c r="T35" s="684" t="str">
        <f>CONCATENATE($P$24," - ",TEXT(R25,"$###,##0"))</f>
        <v>ALTO - $45,000</v>
      </c>
      <c r="V35" s="687"/>
      <c r="W35" s="687"/>
      <c r="X35" s="688">
        <v>100000</v>
      </c>
      <c r="Y35" s="687"/>
    </row>
    <row r="36" spans="1:25" hidden="1" x14ac:dyDescent="0.25">
      <c r="P36" s="693"/>
      <c r="T36" s="684" t="str">
        <f>CONCATENATE($P$24," - ",TEXT(R27,"$###,##0"))</f>
        <v>ALTO - $60,000</v>
      </c>
      <c r="V36" s="687"/>
      <c r="W36" s="687"/>
      <c r="X36" s="688">
        <v>250000</v>
      </c>
      <c r="Y36" s="687"/>
    </row>
    <row r="37" spans="1:25" hidden="1" x14ac:dyDescent="0.25">
      <c r="P37" s="693"/>
      <c r="T37" s="684" t="str">
        <f>CONCATENATE($P$24," - ",TEXT(R28,"$###,##0"))</f>
        <v>ALTO - $70,000</v>
      </c>
      <c r="V37" s="687"/>
      <c r="W37" s="687"/>
      <c r="X37" s="688">
        <v>500000</v>
      </c>
      <c r="Y37" s="687"/>
    </row>
    <row r="38" spans="1:25" hidden="1" x14ac:dyDescent="0.25">
      <c r="P38" s="693"/>
      <c r="T38" s="684" t="str">
        <f>CONCATENATE($P$24," - ",TEXT(R30,"$###,##0"))</f>
        <v>ALTO - $90,000</v>
      </c>
      <c r="V38" s="687"/>
      <c r="W38" s="687"/>
      <c r="X38" s="688">
        <v>1000000</v>
      </c>
      <c r="Y38" s="687"/>
    </row>
    <row r="39" spans="1:25" hidden="1" x14ac:dyDescent="0.25">
      <c r="P39" s="693"/>
      <c r="T39" s="684" t="str">
        <f>CONCATENATE($P$24," - ",TEXT(R31,"$###,##0"))</f>
        <v>ALTO - $100,000</v>
      </c>
      <c r="V39" s="687"/>
      <c r="W39" s="687"/>
      <c r="X39" s="694">
        <v>1500000</v>
      </c>
      <c r="Y39" s="687"/>
    </row>
    <row r="40" spans="1:25" hidden="1" x14ac:dyDescent="0.25">
      <c r="P40" s="693"/>
      <c r="T40" s="690" t="str">
        <f>CONCATENATE($P$24," - ",TEXT(R32,"$###,##0"))</f>
        <v>ALTO - $110,000</v>
      </c>
      <c r="V40" s="687"/>
      <c r="W40" s="687"/>
      <c r="X40" s="694">
        <v>5000000</v>
      </c>
      <c r="Y40" s="687"/>
    </row>
    <row r="41" spans="1:25" hidden="1" x14ac:dyDescent="0.25">
      <c r="L41" s="679" t="str">
        <f>CONCATENATE($P$22," - ",TEXT(R27,"$###,##0"))</f>
        <v>ESTANDAR - $60,000</v>
      </c>
      <c r="V41" s="687"/>
      <c r="W41" s="687"/>
      <c r="X41" s="687"/>
      <c r="Y41" s="687"/>
    </row>
    <row r="42" spans="1:25" hidden="1" x14ac:dyDescent="0.25">
      <c r="L42" s="679" t="str">
        <f>CONCATENATE($P$24," - ",TEXT(R27,"$###,##0"))</f>
        <v>ALTO - $60,000</v>
      </c>
      <c r="V42" s="687"/>
      <c r="W42" s="687"/>
      <c r="X42" s="687"/>
      <c r="Y42" s="687"/>
    </row>
    <row r="43" spans="1:25" hidden="1" x14ac:dyDescent="0.25">
      <c r="R43" s="680" t="s">
        <v>298</v>
      </c>
      <c r="V43" s="687"/>
      <c r="W43" s="687"/>
      <c r="X43" s="687"/>
      <c r="Y43" s="687"/>
    </row>
    <row r="44" spans="1:25" hidden="1" x14ac:dyDescent="0.25">
      <c r="R44" s="680" t="str">
        <f>T25</f>
        <v>ESTANDAR - $50,000</v>
      </c>
      <c r="V44" s="687"/>
      <c r="W44" s="687"/>
      <c r="X44" s="687"/>
      <c r="Y44" s="687"/>
    </row>
    <row r="45" spans="1:25" hidden="1" x14ac:dyDescent="0.25">
      <c r="R45" s="680" t="str">
        <f>L41</f>
        <v>ESTANDAR - $60,000</v>
      </c>
      <c r="V45" s="687"/>
      <c r="W45" s="687"/>
      <c r="X45" s="687"/>
      <c r="Y45" s="687"/>
    </row>
    <row r="46" spans="1:25" hidden="1" x14ac:dyDescent="0.25">
      <c r="R46" s="680" t="str">
        <f>T29</f>
        <v>MEDIO - $50,000</v>
      </c>
      <c r="V46" s="687"/>
      <c r="W46" s="687"/>
      <c r="X46" s="687"/>
      <c r="Y46" s="687"/>
    </row>
    <row r="47" spans="1:25" hidden="1" x14ac:dyDescent="0.25">
      <c r="R47" s="680" t="str">
        <f>T30</f>
        <v>MEDIO - $60,000</v>
      </c>
      <c r="V47" s="687"/>
      <c r="W47" s="687"/>
      <c r="X47" s="687"/>
      <c r="Y47" s="687"/>
    </row>
    <row r="48" spans="1:25" hidden="1" x14ac:dyDescent="0.25">
      <c r="R48" s="680" t="str">
        <f>T31</f>
        <v>MEDIO - $70,000</v>
      </c>
      <c r="V48" s="687"/>
      <c r="W48" s="687"/>
      <c r="X48" s="687"/>
      <c r="Y48" s="687"/>
    </row>
    <row r="49" spans="18:25" hidden="1" x14ac:dyDescent="0.25">
      <c r="R49" s="680" t="str">
        <f>T32</f>
        <v>MEDIO - $80,000</v>
      </c>
      <c r="V49" s="687"/>
      <c r="W49" s="687"/>
      <c r="X49" s="687"/>
      <c r="Y49" s="687"/>
    </row>
    <row r="50" spans="18:25" hidden="1" x14ac:dyDescent="0.25">
      <c r="R50" s="680" t="str">
        <f>L42</f>
        <v>ALTO - $60,000</v>
      </c>
      <c r="V50" s="687"/>
      <c r="W50" s="687"/>
      <c r="X50" s="687"/>
      <c r="Y50" s="687"/>
    </row>
    <row r="51" spans="18:25" hidden="1" x14ac:dyDescent="0.25">
      <c r="R51" s="680" t="str">
        <f>T37</f>
        <v>ALTO - $70,000</v>
      </c>
      <c r="V51" s="687"/>
      <c r="W51" s="687"/>
      <c r="X51" s="687"/>
      <c r="Y51" s="687"/>
    </row>
    <row r="52" spans="18:25" hidden="1" x14ac:dyDescent="0.25">
      <c r="R52" s="680" t="str">
        <f>T38</f>
        <v>ALTO - $90,000</v>
      </c>
      <c r="V52" s="687"/>
      <c r="W52" s="687"/>
      <c r="X52" s="687"/>
      <c r="Y52" s="687"/>
    </row>
    <row r="53" spans="18:25" hidden="1" x14ac:dyDescent="0.25">
      <c r="R53" s="680" t="str">
        <f>T39</f>
        <v>ALTO - $100,000</v>
      </c>
      <c r="V53" s="687"/>
      <c r="W53" s="687"/>
      <c r="X53" s="687"/>
      <c r="Y53" s="687"/>
    </row>
    <row r="54" spans="18:25" hidden="1" x14ac:dyDescent="0.25">
      <c r="R54" s="680" t="str">
        <f>T40</f>
        <v>ALTO - $110,000</v>
      </c>
      <c r="V54" s="687"/>
      <c r="W54" s="687"/>
      <c r="X54" s="687"/>
      <c r="Y54" s="687"/>
    </row>
    <row r="55" spans="18:25" hidden="1" x14ac:dyDescent="0.25">
      <c r="V55" s="687"/>
      <c r="W55" s="687"/>
      <c r="X55" s="687"/>
      <c r="Y55" s="687"/>
    </row>
    <row r="56" spans="18:25" hidden="1" x14ac:dyDescent="0.25">
      <c r="V56" s="687"/>
      <c r="W56" s="687"/>
      <c r="X56" s="687"/>
      <c r="Y56" s="687"/>
    </row>
    <row r="57" spans="18:25" hidden="1" x14ac:dyDescent="0.25">
      <c r="V57" s="687"/>
      <c r="W57" s="687"/>
      <c r="X57" s="687"/>
      <c r="Y57" s="687"/>
    </row>
    <row r="58" spans="18:25" hidden="1" x14ac:dyDescent="0.25">
      <c r="V58" s="687"/>
      <c r="W58" s="687"/>
      <c r="X58" s="687"/>
      <c r="Y58" s="687"/>
    </row>
    <row r="59" spans="18:25" hidden="1" x14ac:dyDescent="0.25">
      <c r="V59" s="687"/>
      <c r="W59" s="687"/>
      <c r="X59" s="687"/>
      <c r="Y59" s="687"/>
    </row>
    <row r="60" spans="18:25" hidden="1" x14ac:dyDescent="0.25">
      <c r="V60" s="687"/>
      <c r="W60" s="687"/>
      <c r="X60" s="687"/>
      <c r="Y60" s="687"/>
    </row>
    <row r="61" spans="18:25" hidden="1" x14ac:dyDescent="0.25">
      <c r="V61" s="687"/>
      <c r="W61" s="687"/>
      <c r="X61" s="687"/>
      <c r="Y61" s="687"/>
    </row>
    <row r="62" spans="18:25" hidden="1" x14ac:dyDescent="0.25">
      <c r="V62" s="687"/>
      <c r="W62" s="687"/>
      <c r="X62" s="687"/>
      <c r="Y62" s="687"/>
    </row>
    <row r="63" spans="18:25" hidden="1" x14ac:dyDescent="0.25">
      <c r="V63" s="687"/>
      <c r="W63" s="687"/>
      <c r="X63" s="687"/>
      <c r="Y63" s="687"/>
    </row>
  </sheetData>
  <sheetProtection algorithmName="SHA-512" hashValue="6zWIghiFwcj/xtftUfibEmdlwgbG44Z2LopvSs5s1dYejybF34iMSDJfUYtggphLuNtBIjNcXAQIQJK8/sqrrQ==" saltValue="VogxJHWnk1AJ8siiipKxfQ==" spinCount="100000" sheet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1460500</xdr:colOff>
                    <xdr:row>29</xdr:row>
                    <xdr:rowOff>127000</xdr:rowOff>
                  </from>
                  <to>
                    <xdr:col>8</xdr:col>
                    <xdr:colOff>641350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2" zoomScale="85" zoomScaleNormal="85" zoomScaleSheetLayoutView="70" zoomScalePageLayoutView="80" workbookViewId="0">
      <selection activeCell="E54" sqref="E54"/>
    </sheetView>
  </sheetViews>
  <sheetFormatPr baseColWidth="10" defaultColWidth="0" defaultRowHeight="14.5" zeroHeight="1" x14ac:dyDescent="0.35"/>
  <cols>
    <col min="1" max="1" width="1.7265625" customWidth="1"/>
    <col min="2" max="2" width="5.54296875" customWidth="1"/>
    <col min="3" max="3" width="10.54296875" customWidth="1"/>
    <col min="4" max="4" width="17.7265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26953125" customWidth="1"/>
    <col min="13" max="13" width="17.179687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26953125" hidden="1" customWidth="1"/>
    <col min="26" max="255" width="11.453125" hidden="1" customWidth="1"/>
    <col min="256" max="16384" width="11.7265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3"/>
      <c r="C2" s="733"/>
      <c r="D2" s="733"/>
      <c r="E2" s="733"/>
      <c r="F2" s="733"/>
      <c r="G2" s="733"/>
      <c r="H2" s="733"/>
      <c r="I2" s="733"/>
      <c r="J2" s="733"/>
      <c r="K2" s="733"/>
      <c r="L2" s="733"/>
      <c r="M2" s="733"/>
      <c r="N2" s="733"/>
      <c r="O2" s="733"/>
      <c r="P2" s="53"/>
      <c r="Q2" s="53"/>
    </row>
    <row r="3" spans="1:25" ht="23.5" x14ac:dyDescent="0.55000000000000004">
      <c r="B3" s="733"/>
      <c r="C3" s="733"/>
      <c r="D3" s="733"/>
      <c r="E3" s="733"/>
      <c r="F3" s="733"/>
      <c r="G3" s="733"/>
      <c r="H3" s="733"/>
      <c r="I3" s="733"/>
      <c r="J3" s="733"/>
      <c r="K3" s="733"/>
      <c r="L3" s="733"/>
      <c r="M3" s="733"/>
      <c r="N3" s="733"/>
      <c r="O3" s="733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0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1" t="str">
        <f>IF(Cotizador!E6="","",Cotizador!E6)</f>
        <v/>
      </c>
      <c r="E6" s="761"/>
      <c r="F6" s="761"/>
      <c r="G6" s="761"/>
      <c r="H6" s="761"/>
      <c r="I6" s="761"/>
      <c r="J6" s="761"/>
      <c r="K6" s="761"/>
      <c r="L6" s="761"/>
      <c r="M6" s="761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1" t="str">
        <f>IF(Cotizador!E7="","",Cotizador!E7)</f>
        <v/>
      </c>
      <c r="E7" s="761"/>
      <c r="F7" s="761"/>
      <c r="G7" s="761"/>
      <c r="H7" s="761"/>
      <c r="I7" s="761"/>
      <c r="J7" s="761"/>
      <c r="K7" s="761"/>
      <c r="L7" s="761"/>
      <c r="M7" s="761"/>
      <c r="N7" s="555" t="s">
        <v>100</v>
      </c>
      <c r="O7" s="556">
        <f ca="1">TODAY()</f>
        <v>45197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71">
        <f>IF(Cotizador!T22="","",Cotizador!T22)</f>
        <v>0</v>
      </c>
      <c r="E8" s="771"/>
      <c r="F8" s="771"/>
      <c r="G8" s="771"/>
      <c r="H8" s="771"/>
      <c r="I8" s="771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5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5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3">
        <f>IF(Cotizador!T24="","",Cotizador!T24)</f>
        <v>0</v>
      </c>
      <c r="L10" s="773"/>
      <c r="M10" s="773"/>
      <c r="N10" s="553" t="s">
        <v>121</v>
      </c>
      <c r="O10" s="559" t="str">
        <f>IF(Cotizador!U28="","",Cotizador!U28)</f>
        <v>NACIONAL</v>
      </c>
      <c r="W10" s="77" t="s">
        <v>312</v>
      </c>
      <c r="X10" s="705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5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2" t="str">
        <f>Cotizador!T27</f>
        <v/>
      </c>
      <c r="L12" s="772"/>
      <c r="M12" s="772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4" t="e">
        <f>VLOOKUP(Cotizador!T26,Tablas!$AO$32:$AP$36,2,)</f>
        <v>#N/A</v>
      </c>
      <c r="L14" s="774"/>
      <c r="M14" s="774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1" t="s">
        <v>164</v>
      </c>
      <c r="D17" s="566"/>
      <c r="E17" s="566"/>
      <c r="F17" s="592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5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5"/>
      <c r="H19" s="775"/>
      <c r="I19" s="775"/>
      <c r="J19" s="775"/>
      <c r="K19" s="775"/>
      <c r="L19" s="775"/>
      <c r="M19" s="775"/>
      <c r="N19" s="775"/>
      <c r="O19" s="775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1" t="str">
        <f>IF(C20="","","Suma Asegurada: dls 100,000, Deducible: dls 100 y Coaseguro 0%")</f>
        <v>Suma Asegurada: dls 100,000, Deducible: dls 100 y Coaseguro 0%</v>
      </c>
      <c r="G20" s="761"/>
      <c r="H20" s="761"/>
      <c r="I20" s="761"/>
      <c r="J20" s="761"/>
      <c r="K20" s="761"/>
      <c r="L20" s="761"/>
      <c r="M20" s="761"/>
      <c r="N20" s="761"/>
      <c r="O20" s="761"/>
    </row>
    <row r="21" spans="2:32" ht="18" customHeight="1" x14ac:dyDescent="0.35">
      <c r="B21" s="553"/>
      <c r="C21" s="553" t="s">
        <v>290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297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257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1" t="s">
        <v>212</v>
      </c>
      <c r="D25" s="566"/>
      <c r="E25" s="566"/>
      <c r="F25" s="767"/>
      <c r="G25" s="767"/>
      <c r="H25" s="767"/>
      <c r="I25" s="767"/>
      <c r="J25" s="767"/>
      <c r="K25" s="767"/>
      <c r="L25" s="767"/>
      <c r="M25" s="767"/>
      <c r="N25" s="767"/>
      <c r="O25" s="767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57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57"/>
      <c r="H27" s="757"/>
      <c r="I27" s="757"/>
      <c r="J27" s="757"/>
      <c r="K27" s="757"/>
      <c r="L27" s="757"/>
      <c r="M27" s="757"/>
      <c r="N27" s="757"/>
      <c r="O27" s="757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7" t="str">
        <f ca="1">IF(C28="","","En caso de fallecimiento del Asegurado Titular los Asegurados quedarán exentos del pago de prima durante un periodo continuo de 5 años. "&amp;T30)</f>
        <v/>
      </c>
      <c r="G28" s="757"/>
      <c r="H28" s="757"/>
      <c r="I28" s="757"/>
      <c r="J28" s="757"/>
      <c r="K28" s="757"/>
      <c r="L28" s="757"/>
      <c r="M28" s="757"/>
      <c r="N28" s="757"/>
      <c r="O28" s="757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7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57"/>
      <c r="H29" s="757"/>
      <c r="I29" s="757"/>
      <c r="J29" s="757"/>
      <c r="K29" s="757"/>
      <c r="L29" s="757"/>
      <c r="M29" s="757"/>
      <c r="N29" s="757"/>
      <c r="O29" s="757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7" t="str">
        <f>+IF(C30="","","Se elimina el deducible y coaseguro contratados en caso de un accidente cubierto, siempre y cuando se atiendan en un hospital del mismo nivel o menor al contratado"&amp;" " &amp;T31)</f>
        <v/>
      </c>
      <c r="G30" s="757"/>
      <c r="H30" s="757"/>
      <c r="I30" s="757"/>
      <c r="J30" s="757"/>
      <c r="K30" s="757"/>
      <c r="L30" s="757"/>
      <c r="M30" s="757"/>
      <c r="N30" s="757"/>
      <c r="O30" s="757"/>
      <c r="T30" s="438" t="s">
        <v>305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7" t="str">
        <f>IF(C31=Cotizador!R65,T32&amp;" "&amp;T34,"")</f>
        <v/>
      </c>
      <c r="G31" s="757"/>
      <c r="H31" s="757"/>
      <c r="I31" s="757"/>
      <c r="J31" s="757"/>
      <c r="K31" s="757"/>
      <c r="L31" s="757"/>
      <c r="M31" s="757"/>
      <c r="N31" s="757"/>
      <c r="O31" s="757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7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7"/>
      <c r="H32" s="757"/>
      <c r="I32" s="757"/>
      <c r="J32" s="757"/>
      <c r="K32" s="757"/>
      <c r="L32" s="757"/>
      <c r="M32" s="757"/>
      <c r="N32" s="757"/>
      <c r="O32" s="757"/>
      <c r="T32" s="438" t="s">
        <v>286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7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7"/>
      <c r="H33" s="757"/>
      <c r="I33" s="757"/>
      <c r="J33" s="757"/>
      <c r="K33" s="757"/>
      <c r="L33" s="757"/>
      <c r="M33" s="757"/>
      <c r="N33" s="757"/>
      <c r="O33" s="757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7" t="str">
        <f>IF(C34=Cotizador!R37,"Disminuye la penalización de coaseguro al atenderse en una región distinta a la contratada.","")</f>
        <v/>
      </c>
      <c r="G34" s="757"/>
      <c r="H34" s="757"/>
      <c r="I34" s="757"/>
      <c r="J34" s="757"/>
      <c r="K34" s="757"/>
      <c r="L34" s="757"/>
      <c r="M34" s="757"/>
      <c r="N34" s="757"/>
      <c r="O34" s="757"/>
      <c r="T34" s="438" t="s">
        <v>285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7" t="str">
        <f>IF(C35=Cotizador!R55,"Se disminuye el coaseguro contratado en cinco puntos porcentuales. Aplica solo en enfermedades cubiertas por esta póliza.","")</f>
        <v/>
      </c>
      <c r="G35" s="757"/>
      <c r="H35" s="757"/>
      <c r="I35" s="757"/>
      <c r="J35" s="757"/>
      <c r="K35" s="757"/>
      <c r="L35" s="757"/>
      <c r="M35" s="757"/>
      <c r="N35" s="757"/>
      <c r="O35" s="757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3" t="str">
        <f>IF(C36=Cotizador!R40,"Para esta cobertura se tiene un tabulador especial de $90,000 pesos.","")</f>
        <v/>
      </c>
      <c r="G36" s="763"/>
      <c r="H36" s="763"/>
      <c r="I36" s="763"/>
      <c r="J36" s="763"/>
      <c r="K36" s="763"/>
      <c r="L36" s="763"/>
      <c r="M36" s="763"/>
      <c r="N36" s="763"/>
      <c r="O36" s="763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68" t="s">
        <v>87</v>
      </c>
      <c r="D38" s="769"/>
      <c r="E38" s="770"/>
      <c r="F38" s="593"/>
      <c r="G38" s="594" t="s">
        <v>0</v>
      </c>
      <c r="H38" s="595"/>
      <c r="I38" s="594" t="s">
        <v>53</v>
      </c>
      <c r="J38" s="596"/>
      <c r="K38" s="594" t="s">
        <v>134</v>
      </c>
      <c r="L38" s="597"/>
      <c r="M38" s="758" t="s">
        <v>163</v>
      </c>
      <c r="N38" s="759"/>
      <c r="O38" s="760"/>
      <c r="P38" s="96"/>
      <c r="W38" s="754" t="s">
        <v>179</v>
      </c>
      <c r="X38" s="755"/>
      <c r="Y38" s="756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8" t="s">
        <v>132</v>
      </c>
      <c r="N39" s="598" t="s">
        <v>128</v>
      </c>
      <c r="O39" s="599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51" t="str">
        <f>IF(Cotizador!S8&lt;&gt;"AMPARADA","",Cotizador!E15)</f>
        <v/>
      </c>
      <c r="D41" s="752"/>
      <c r="E41" s="753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51" t="str">
        <f>IF(Cotizador!S10&lt;&gt;"AMPARADA","",Cotizador!E17)</f>
        <v/>
      </c>
      <c r="D43" s="752"/>
      <c r="E43" s="753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51" t="str">
        <f>IF(Cotizador!S12&lt;&gt;"AMPARADA","",Cotizador!E19)</f>
        <v/>
      </c>
      <c r="D45" s="752"/>
      <c r="E45" s="753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51" t="str">
        <f>IF(Cotizador!S14&lt;&gt;"AMPARADA","",Cotizador!E21)</f>
        <v/>
      </c>
      <c r="D47" s="752"/>
      <c r="E47" s="753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51" t="str">
        <f>IF(Cotizador!S16&lt;&gt;"AMPARADA","",Cotizador!E23)</f>
        <v/>
      </c>
      <c r="D49" s="752"/>
      <c r="E49" s="753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51" t="str">
        <f>IF(Cotizador!S18&lt;&gt;"AMPARADA","",Cotizador!E25)</f>
        <v/>
      </c>
      <c r="D51" s="752"/>
      <c r="E51" s="753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51"/>
      <c r="D52" s="752"/>
      <c r="E52" s="753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2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0" t="s">
        <v>153</v>
      </c>
      <c r="D54" s="596"/>
      <c r="E54" s="579" t="s">
        <v>156</v>
      </c>
      <c r="F54" s="603"/>
      <c r="G54" s="627" t="s">
        <v>292</v>
      </c>
      <c r="H54" s="627"/>
      <c r="I54" s="628">
        <v>0</v>
      </c>
      <c r="J54" s="566"/>
      <c r="K54" s="566"/>
      <c r="L54" s="566"/>
      <c r="M54" s="592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0"/>
      <c r="D55" s="596"/>
      <c r="E55" s="566"/>
      <c r="F55" s="566"/>
      <c r="G55" s="566"/>
      <c r="H55" s="566"/>
      <c r="I55" s="566"/>
      <c r="J55" s="566"/>
      <c r="K55" s="566"/>
      <c r="L55" s="566"/>
      <c r="M55" s="592" t="s">
        <v>124</v>
      </c>
      <c r="N55" s="566"/>
      <c r="O55" s="575">
        <v>700</v>
      </c>
      <c r="P55" s="96"/>
      <c r="Q55" s="638"/>
    </row>
    <row r="56" spans="2:25" ht="12.75" customHeight="1" x14ac:dyDescent="0.35">
      <c r="B56" s="553"/>
      <c r="C56" s="600" t="s">
        <v>166</v>
      </c>
      <c r="D56" s="596"/>
      <c r="E56" s="559">
        <f>VLOOKUP(E54,$W$7:$Y$11,3,0)</f>
        <v>2</v>
      </c>
      <c r="F56" s="566"/>
      <c r="G56" s="566"/>
      <c r="H56" s="566"/>
      <c r="I56" s="580"/>
      <c r="J56" s="566"/>
      <c r="K56" s="566"/>
      <c r="L56" s="566"/>
      <c r="M56" s="600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2" t="s">
        <v>167</v>
      </c>
      <c r="D57" s="601"/>
      <c r="E57" s="581">
        <f>IF(E56=1,O58,ROUND(((O56-O55)/E56+O55)*(1.16),2))</f>
        <v>812</v>
      </c>
      <c r="F57" s="566"/>
      <c r="G57" s="566"/>
      <c r="H57" s="566"/>
      <c r="I57" s="718"/>
      <c r="J57" s="572"/>
      <c r="K57" s="560"/>
      <c r="L57" s="566"/>
      <c r="M57" s="592" t="s">
        <v>125</v>
      </c>
      <c r="N57" s="717"/>
      <c r="O57" s="582">
        <f>ROUND(O56*Tablas!$M$1,2)</f>
        <v>112</v>
      </c>
      <c r="P57" s="96"/>
      <c r="S57" s="69">
        <v>0.11</v>
      </c>
    </row>
    <row r="58" spans="2:25" ht="12.75" customHeight="1" x14ac:dyDescent="0.35">
      <c r="B58" s="553"/>
      <c r="C58" s="592" t="str">
        <f>"Recibos subsecuentes" &amp; " " &amp; IF(E56=1,"","("&amp;E56-1&amp;")")</f>
        <v>Recibos subsecuentes (1)</v>
      </c>
      <c r="D58" s="593"/>
      <c r="E58" s="583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2" t="s">
        <v>126</v>
      </c>
      <c r="N58" s="566"/>
      <c r="O58" s="584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5"/>
      <c r="C60" s="560"/>
      <c r="D60" s="585"/>
      <c r="E60" s="585"/>
      <c r="F60" s="586"/>
      <c r="G60" s="586"/>
      <c r="H60" s="586"/>
      <c r="I60" s="585"/>
      <c r="J60" s="585"/>
      <c r="K60" s="585"/>
      <c r="L60" s="585"/>
      <c r="M60" s="586"/>
      <c r="N60" s="585"/>
      <c r="O60" s="585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7"/>
      <c r="N61" s="553"/>
      <c r="O61" s="554"/>
      <c r="P61" s="96"/>
    </row>
    <row r="62" spans="2:25" ht="12" customHeight="1" x14ac:dyDescent="0.35">
      <c r="B62" s="764" t="s">
        <v>174</v>
      </c>
      <c r="C62" s="764"/>
      <c r="D62" s="764"/>
      <c r="E62" s="764"/>
      <c r="F62" s="764"/>
      <c r="G62" s="764"/>
      <c r="H62" s="764"/>
      <c r="I62" s="764"/>
      <c r="J62" s="764"/>
      <c r="K62" s="764"/>
      <c r="L62" s="764"/>
      <c r="M62" s="764"/>
      <c r="N62" s="764"/>
      <c r="O62" s="764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8"/>
      <c r="N63" s="560"/>
      <c r="O63" s="589"/>
      <c r="P63" s="96"/>
      <c r="R63" s="120"/>
    </row>
    <row r="64" spans="2:25" ht="13.5" customHeight="1" x14ac:dyDescent="0.35">
      <c r="B64" s="765" t="s">
        <v>175</v>
      </c>
      <c r="C64" s="765"/>
      <c r="D64" s="765"/>
      <c r="E64" s="765"/>
      <c r="F64" s="765"/>
      <c r="G64" s="765"/>
      <c r="H64" s="765"/>
      <c r="I64" s="765"/>
      <c r="J64" s="765"/>
      <c r="K64" s="765"/>
      <c r="L64" s="765"/>
      <c r="M64" s="765"/>
      <c r="N64" s="765"/>
      <c r="O64" s="765"/>
      <c r="P64" s="96"/>
    </row>
    <row r="65" spans="2:16" ht="13.5" customHeight="1" x14ac:dyDescent="0.35">
      <c r="B65" s="750" t="s">
        <v>223</v>
      </c>
      <c r="C65" s="750"/>
      <c r="D65" s="750"/>
      <c r="E65" s="750"/>
      <c r="F65" s="750"/>
      <c r="G65" s="750"/>
      <c r="H65" s="750"/>
      <c r="I65" s="750"/>
      <c r="J65" s="750"/>
      <c r="K65" s="750"/>
      <c r="L65" s="750"/>
      <c r="M65" s="750"/>
      <c r="N65" s="750"/>
      <c r="O65" s="750"/>
      <c r="P65" s="96"/>
    </row>
    <row r="66" spans="2:16" ht="14.25" customHeight="1" x14ac:dyDescent="0.35">
      <c r="B66" s="749" t="s">
        <v>294</v>
      </c>
      <c r="C66" s="749"/>
      <c r="D66" s="749"/>
      <c r="E66" s="749"/>
      <c r="F66" s="749"/>
      <c r="G66" s="749"/>
      <c r="H66" s="749"/>
      <c r="I66" s="749"/>
      <c r="J66" s="749"/>
      <c r="K66" s="749"/>
      <c r="L66" s="749"/>
      <c r="M66" s="749"/>
      <c r="N66" s="749"/>
      <c r="O66" s="749"/>
      <c r="P66" s="96"/>
    </row>
    <row r="67" spans="2:16" ht="13.5" customHeight="1" x14ac:dyDescent="0.35">
      <c r="B67" s="749" t="s">
        <v>259</v>
      </c>
      <c r="C67" s="749"/>
      <c r="D67" s="749"/>
      <c r="E67" s="749"/>
      <c r="F67" s="749"/>
      <c r="G67" s="749"/>
      <c r="H67" s="749"/>
      <c r="I67" s="749"/>
      <c r="J67" s="749"/>
      <c r="K67" s="749"/>
      <c r="L67" s="749"/>
      <c r="M67" s="749"/>
      <c r="N67" s="749"/>
      <c r="O67" s="749"/>
      <c r="P67" s="96"/>
    </row>
    <row r="68" spans="2:16" ht="13.5" customHeight="1" x14ac:dyDescent="0.35">
      <c r="B68" s="749" t="s">
        <v>258</v>
      </c>
      <c r="C68" s="749"/>
      <c r="D68" s="749"/>
      <c r="E68" s="749"/>
      <c r="F68" s="749"/>
      <c r="G68" s="749"/>
      <c r="H68" s="749"/>
      <c r="I68" s="749"/>
      <c r="J68" s="749"/>
      <c r="K68" s="749"/>
      <c r="L68" s="749"/>
      <c r="M68" s="749"/>
      <c r="N68" s="749"/>
      <c r="O68" s="749"/>
      <c r="P68" s="96"/>
    </row>
    <row r="69" spans="2:16" ht="53.25" customHeight="1" x14ac:dyDescent="0.35">
      <c r="B69" s="749" t="s">
        <v>176</v>
      </c>
      <c r="C69" s="749"/>
      <c r="D69" s="749"/>
      <c r="E69" s="749"/>
      <c r="F69" s="749"/>
      <c r="G69" s="749"/>
      <c r="H69" s="749"/>
      <c r="I69" s="749"/>
      <c r="J69" s="749"/>
      <c r="K69" s="749"/>
      <c r="L69" s="749"/>
      <c r="M69" s="749"/>
      <c r="N69" s="749"/>
      <c r="O69" s="749"/>
      <c r="P69" s="97"/>
    </row>
    <row r="70" spans="2:16" ht="42.75" customHeight="1" x14ac:dyDescent="0.35">
      <c r="B70" s="762" t="str">
        <f>IF(Cotizador!$K$11="NO","","Cotización de carácter informativo para pólizas de renovación.
Tarifa vigente a partir del 01 de septiembre del 2023")</f>
        <v>Cotización de carácter informativo para pólizas de renovación.
Tarifa vigente a partir del 01 de septiembre del 2023</v>
      </c>
      <c r="C70" s="762"/>
      <c r="D70" s="762"/>
      <c r="E70" s="762"/>
      <c r="F70" s="762"/>
      <c r="G70" s="762"/>
      <c r="H70" s="762"/>
      <c r="I70" s="762"/>
      <c r="J70" s="762"/>
      <c r="K70" s="762"/>
      <c r="L70" s="762"/>
      <c r="M70" s="762"/>
      <c r="N70" s="762"/>
      <c r="O70" s="762"/>
      <c r="P70" s="97"/>
    </row>
    <row r="71" spans="2:16" ht="20.25" customHeight="1" x14ac:dyDescent="0.35">
      <c r="B71" s="766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66"/>
      <c r="D71" s="766"/>
      <c r="E71" s="766"/>
      <c r="F71" s="766"/>
      <c r="G71" s="766"/>
      <c r="H71" s="766"/>
      <c r="I71" s="766"/>
      <c r="J71" s="766"/>
      <c r="K71" s="766"/>
      <c r="L71" s="766"/>
      <c r="M71" s="766"/>
      <c r="N71" s="766"/>
      <c r="O71" s="766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2" t="str">
        <f>Cotizador!B27</f>
        <v>GM Bx+ 2023. Versión: 1.2 24.08.31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lZPVxjIjNsquUNHztPgE8D3G/T7iRUY/xZ4Bt9xNd61UV8oPac5oJOcKbETzYzi6wMmb3rIwkCTjHdnTgngUOQ==" saltValue="8OPNSzUnwfQAHN+TihF+ow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3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topLeftCell="E1" zoomScale="90" zoomScaleNormal="90" workbookViewId="0">
      <selection activeCell="M1" sqref="M1"/>
    </sheetView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7265625" style="128" customWidth="1"/>
    <col min="14" max="16" width="14.54296875" style="128" customWidth="1"/>
    <col min="17" max="17" width="23.1796875" style="128" customWidth="1"/>
    <col min="18" max="28" width="14.54296875" style="128" customWidth="1"/>
    <col min="29" max="29" width="18.72656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72656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260</v>
      </c>
      <c r="J1" s="171" t="s">
        <v>229</v>
      </c>
      <c r="K1" s="174">
        <v>0.15</v>
      </c>
      <c r="L1" s="171" t="s">
        <v>125</v>
      </c>
      <c r="M1" s="174">
        <v>0.16</v>
      </c>
      <c r="AF1"/>
      <c r="AG1"/>
      <c r="AH1"/>
      <c r="AN1" s="129"/>
      <c r="AO1" s="780" t="s">
        <v>51</v>
      </c>
      <c r="AP1" s="780"/>
      <c r="AR1" s="781" t="s">
        <v>78</v>
      </c>
      <c r="AS1" s="781"/>
      <c r="AU1" s="785" t="s">
        <v>241</v>
      </c>
      <c r="AV1" s="785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246</v>
      </c>
      <c r="AD2" s="184" t="s">
        <v>68</v>
      </c>
      <c r="AE2" s="712" t="e">
        <f>VLOOKUP(VLOOKUP(Cotizador!T22,Tablas!$Q$5:$V$36,6,0),$AC$5:$AH$14,6,0)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88" t="s">
        <v>77</v>
      </c>
      <c r="AS2" s="789"/>
      <c r="AU2" s="227" t="s">
        <v>200</v>
      </c>
      <c r="AV2" s="266">
        <v>1.08</v>
      </c>
    </row>
    <row r="3" spans="1:48" ht="19.5" customHeight="1" thickBot="1" x14ac:dyDescent="0.4">
      <c r="D3" s="128" t="s">
        <v>284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80" t="s">
        <v>161</v>
      </c>
      <c r="R3" s="780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245</v>
      </c>
      <c r="AD3" s="184" t="s">
        <v>247</v>
      </c>
      <c r="AE3" s="712" t="e">
        <f>VLOOKUP(VLOOKUP(Cotizador!T22,Tablas!$Q$5:$V$36,6,0),$AC$5:$AI$14,7,0)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243</v>
      </c>
      <c r="AR3" s="265" t="s">
        <v>0</v>
      </c>
      <c r="AS3" s="265" t="s">
        <v>76</v>
      </c>
    </row>
    <row r="4" spans="1:48" ht="11" thickBot="1" x14ac:dyDescent="0.3">
      <c r="A4" s="634" t="s">
        <v>300</v>
      </c>
      <c r="C4" s="784" t="s">
        <v>234</v>
      </c>
      <c r="D4" s="784"/>
      <c r="E4" s="784"/>
      <c r="F4" s="784"/>
      <c r="G4" s="784"/>
      <c r="H4" s="784"/>
      <c r="I4" s="784"/>
      <c r="J4" s="784"/>
      <c r="K4" s="784"/>
      <c r="P4" s="647" t="s">
        <v>302</v>
      </c>
      <c r="Q4" s="647" t="s">
        <v>35</v>
      </c>
      <c r="R4" s="648" t="s">
        <v>306</v>
      </c>
      <c r="S4" s="649" t="s">
        <v>309</v>
      </c>
      <c r="T4" s="649" t="s">
        <v>316</v>
      </c>
      <c r="U4" s="649" t="s">
        <v>320</v>
      </c>
      <c r="V4" s="649" t="s">
        <v>322</v>
      </c>
      <c r="W4" s="649" t="s">
        <v>310</v>
      </c>
      <c r="X4" s="649" t="s">
        <v>311</v>
      </c>
      <c r="Y4" s="649" t="s">
        <v>317</v>
      </c>
      <c r="Z4" s="649" t="s">
        <v>321</v>
      </c>
      <c r="AA4" s="649" t="s">
        <v>323</v>
      </c>
      <c r="AC4" s="251" t="s">
        <v>37</v>
      </c>
      <c r="AD4" s="258" t="s">
        <v>307</v>
      </c>
      <c r="AE4" s="258" t="s">
        <v>308</v>
      </c>
      <c r="AF4" s="181" t="s">
        <v>315</v>
      </c>
      <c r="AG4" s="181" t="s">
        <v>319</v>
      </c>
      <c r="AH4" s="181" t="s">
        <v>325</v>
      </c>
      <c r="AI4" s="697" t="s">
        <v>239</v>
      </c>
      <c r="AJ4" s="226" t="s">
        <v>313</v>
      </c>
      <c r="AK4" s="226" t="s">
        <v>314</v>
      </c>
      <c r="AL4" s="226" t="s">
        <v>318</v>
      </c>
      <c r="AM4" s="226" t="s">
        <v>324</v>
      </c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86" t="s">
        <v>188</v>
      </c>
      <c r="AV4" s="787"/>
    </row>
    <row r="5" spans="1:48" ht="11" thickBot="1" x14ac:dyDescent="0.3">
      <c r="A5" s="639">
        <v>7.0000000000000007E-2</v>
      </c>
      <c r="C5" s="129" t="s">
        <v>233</v>
      </c>
      <c r="D5" s="431">
        <v>1.1000000000000001</v>
      </c>
      <c r="E5" s="783" t="s">
        <v>0</v>
      </c>
      <c r="F5" s="778" t="s">
        <v>36</v>
      </c>
      <c r="G5" s="778"/>
      <c r="H5" s="133"/>
      <c r="I5" s="133"/>
      <c r="J5" s="778" t="s">
        <v>242</v>
      </c>
      <c r="K5" s="778"/>
      <c r="L5" s="134"/>
      <c r="M5" s="155" t="s">
        <v>248</v>
      </c>
      <c r="P5" s="655">
        <v>4</v>
      </c>
      <c r="Q5" s="210" t="s">
        <v>33</v>
      </c>
      <c r="R5" s="646">
        <v>4</v>
      </c>
      <c r="S5" s="646">
        <v>4</v>
      </c>
      <c r="T5" s="646">
        <v>4</v>
      </c>
      <c r="U5" s="646">
        <v>4</v>
      </c>
      <c r="V5" s="646">
        <v>4</v>
      </c>
      <c r="W5" s="702">
        <f>VLOOKUP(R5,$AC$5:$AD$14,2,FALSE)</f>
        <v>0.77739999999999998</v>
      </c>
      <c r="X5" s="702">
        <f>VLOOKUP(S5,$AC$5:$AE$14,3,FALSE)</f>
        <v>0.86299999999999999</v>
      </c>
      <c r="Y5" s="702">
        <f>VLOOKUP(T5,$AC$5:$AF$14,4,FALSE)</f>
        <v>0.94099999999999995</v>
      </c>
      <c r="Z5" s="702">
        <f t="shared" ref="Z5:Z36" si="0">VLOOKUP(U5,$AC$5:$AG$14,5,FALSE)</f>
        <v>1.1100000000000001</v>
      </c>
      <c r="AA5" s="702">
        <f>VLOOKUP(V5,$AC$5:$AH$14,6,FALSE)</f>
        <v>1.254</v>
      </c>
      <c r="AB5" s="435"/>
      <c r="AC5" s="658">
        <v>10</v>
      </c>
      <c r="AD5" s="326">
        <v>0.54051800000000005</v>
      </c>
      <c r="AE5" s="326">
        <f>ROUND(AD5*AJ5,3)</f>
        <v>0.6</v>
      </c>
      <c r="AF5" s="326">
        <f>ROUND(AE5*AK5,3)</f>
        <v>0.65400000000000003</v>
      </c>
      <c r="AG5" s="326">
        <f>ROUND(AF5*AL5,3)</f>
        <v>0.77200000000000002</v>
      </c>
      <c r="AH5" s="326">
        <f>ROUND(AG5*AM5,3)</f>
        <v>0.872</v>
      </c>
      <c r="AI5" s="698">
        <f>$AI$13</f>
        <v>1.1599999999999999</v>
      </c>
      <c r="AJ5" s="326">
        <v>1.1100000000000001</v>
      </c>
      <c r="AK5" s="326">
        <v>1.0900000000000001</v>
      </c>
      <c r="AL5" s="326">
        <v>1.18</v>
      </c>
      <c r="AM5" s="326">
        <v>1.1299999999999999</v>
      </c>
      <c r="AO5" s="299">
        <v>6000</v>
      </c>
      <c r="AP5" s="300">
        <v>1</v>
      </c>
      <c r="AQ5" s="134"/>
      <c r="AR5" s="225">
        <f t="shared" ref="AR5:AR68" si="1">AR4+1</f>
        <v>13</v>
      </c>
      <c r="AS5" s="315">
        <v>1.276E-3</v>
      </c>
      <c r="AU5" s="316" t="s">
        <v>0</v>
      </c>
      <c r="AV5" s="317" t="s">
        <v>56</v>
      </c>
    </row>
    <row r="6" spans="1:48" ht="11" thickBot="1" x14ac:dyDescent="0.3">
      <c r="A6" s="792" t="s">
        <v>301</v>
      </c>
      <c r="B6" s="793"/>
      <c r="C6" s="133" t="s">
        <v>1</v>
      </c>
      <c r="D6" s="133" t="s">
        <v>2</v>
      </c>
      <c r="E6" s="783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6">
        <v>4</v>
      </c>
      <c r="Q6" s="651" t="s">
        <v>3</v>
      </c>
      <c r="R6" s="652">
        <v>4</v>
      </c>
      <c r="S6" s="652">
        <v>4</v>
      </c>
      <c r="T6" s="652">
        <v>4</v>
      </c>
      <c r="U6" s="652">
        <v>4</v>
      </c>
      <c r="V6" s="652">
        <v>4</v>
      </c>
      <c r="W6" s="703">
        <f t="shared" ref="W6:W36" si="2">VLOOKUP(R6,$AC$5:$AD$14,2,FALSE)</f>
        <v>0.77739999999999998</v>
      </c>
      <c r="X6" s="703">
        <f t="shared" ref="X6:X36" si="3">VLOOKUP(S6,$AC$5:$AE$14,3,FALSE)</f>
        <v>0.86299999999999999</v>
      </c>
      <c r="Y6" s="703">
        <f t="shared" ref="Y6:Y36" si="4">VLOOKUP(T6,$AC$5:$AF$14,4,FALSE)</f>
        <v>0.94099999999999995</v>
      </c>
      <c r="Z6" s="703">
        <f t="shared" si="0"/>
        <v>1.1100000000000001</v>
      </c>
      <c r="AA6" s="703">
        <f t="shared" ref="AA6:AA36" si="5">VLOOKUP(V6,$AC$5:$AH$14,6,FALSE)</f>
        <v>1.254</v>
      </c>
      <c r="AB6" s="435"/>
      <c r="AC6" s="659">
        <v>9</v>
      </c>
      <c r="AD6" s="650">
        <v>0.70289699999999999</v>
      </c>
      <c r="AE6" s="650">
        <f t="shared" ref="AE6:AE14" si="6">ROUND(AD6*AJ6,3)</f>
        <v>0.752</v>
      </c>
      <c r="AF6" s="326">
        <f t="shared" ref="AF6:AF14" si="7">ROUND(AE6*AK6,3)</f>
        <v>0.84199999999999997</v>
      </c>
      <c r="AG6" s="326">
        <f t="shared" ref="AG6:AG14" si="8">ROUND(AF6*AL6,3)</f>
        <v>0.99399999999999999</v>
      </c>
      <c r="AH6" s="326">
        <f t="shared" ref="AH6:AH14" si="9">ROUND(AG6*AM6,3)</f>
        <v>1.123</v>
      </c>
      <c r="AI6" s="699">
        <f>$AI$12</f>
        <v>1.1100000000000001</v>
      </c>
      <c r="AJ6" s="326">
        <v>1.07</v>
      </c>
      <c r="AK6" s="326">
        <v>1.1200000000000001</v>
      </c>
      <c r="AL6" s="326">
        <v>1.18</v>
      </c>
      <c r="AM6" s="326">
        <v>1.1299999999999999</v>
      </c>
      <c r="AO6" s="299">
        <v>8000</v>
      </c>
      <c r="AP6" s="300">
        <v>0.88900000000000001</v>
      </c>
      <c r="AQ6" s="134"/>
      <c r="AR6" s="207">
        <f t="shared" si="1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1" thickBot="1" x14ac:dyDescent="0.3">
      <c r="A7" s="640">
        <v>6072.0000000000009</v>
      </c>
      <c r="B7" s="640">
        <v>6072.0000000000009</v>
      </c>
      <c r="C7" s="446"/>
      <c r="D7" s="446">
        <v>8174.0612744999999</v>
      </c>
      <c r="E7" s="167">
        <v>0</v>
      </c>
      <c r="F7" s="159">
        <f>A7*(1+$A$5)</f>
        <v>6497.0400000000018</v>
      </c>
      <c r="G7" s="160">
        <f>B7*(1+$A$5)</f>
        <v>6497.0400000000018</v>
      </c>
      <c r="H7" s="448">
        <f t="shared" ref="H7:H70" si="10">ROUND(F7/(1-$K$1-$K$2-$K$3),0)</f>
        <v>11813</v>
      </c>
      <c r="I7" s="446">
        <f t="shared" ref="I7:I70" si="11">ROUND(G7/(1-$K$1-$K$2-$K$3),0)</f>
        <v>11813</v>
      </c>
      <c r="J7" s="161">
        <f t="shared" ref="J7:K10" si="12">ROUND(H7,0)</f>
        <v>11813</v>
      </c>
      <c r="K7" s="162">
        <f t="shared" si="12"/>
        <v>11813</v>
      </c>
      <c r="L7" s="138"/>
      <c r="M7" s="183" t="s">
        <v>115</v>
      </c>
      <c r="N7" s="217">
        <v>1.0066999999999999</v>
      </c>
      <c r="P7" s="655">
        <v>5</v>
      </c>
      <c r="Q7" s="210" t="s">
        <v>4</v>
      </c>
      <c r="R7" s="646">
        <v>5</v>
      </c>
      <c r="S7" s="646">
        <v>5</v>
      </c>
      <c r="T7" s="646">
        <v>5</v>
      </c>
      <c r="U7" s="646">
        <v>5</v>
      </c>
      <c r="V7" s="646">
        <v>5</v>
      </c>
      <c r="W7" s="702">
        <f t="shared" si="2"/>
        <v>0.872</v>
      </c>
      <c r="X7" s="702">
        <f t="shared" si="3"/>
        <v>0.96799999999999997</v>
      </c>
      <c r="Y7" s="702">
        <f t="shared" si="4"/>
        <v>1.0549999999999999</v>
      </c>
      <c r="Z7" s="702">
        <f t="shared" si="0"/>
        <v>1.2450000000000001</v>
      </c>
      <c r="AA7" s="702">
        <f t="shared" si="5"/>
        <v>1.407</v>
      </c>
      <c r="AB7" s="435"/>
      <c r="AC7" s="659">
        <v>8</v>
      </c>
      <c r="AD7" s="650">
        <v>0.79193100000000005</v>
      </c>
      <c r="AE7" s="650">
        <f t="shared" si="6"/>
        <v>0.879</v>
      </c>
      <c r="AF7" s="326">
        <f t="shared" si="7"/>
        <v>0.96699999999999997</v>
      </c>
      <c r="AG7" s="326">
        <f t="shared" si="8"/>
        <v>1.141</v>
      </c>
      <c r="AH7" s="326">
        <f t="shared" si="9"/>
        <v>1.2889999999999999</v>
      </c>
      <c r="AI7" s="699">
        <f>$AI$11</f>
        <v>1.08</v>
      </c>
      <c r="AJ7" s="326">
        <v>1.1100000000000001</v>
      </c>
      <c r="AK7" s="326">
        <v>1.1000000000000001</v>
      </c>
      <c r="AL7" s="326">
        <v>1.18</v>
      </c>
      <c r="AM7" s="326">
        <v>1.1299999999999999</v>
      </c>
      <c r="AO7" s="299">
        <v>10000</v>
      </c>
      <c r="AP7" s="300">
        <v>0.81100000000000005</v>
      </c>
      <c r="AQ7" s="134"/>
      <c r="AR7" s="225">
        <f t="shared" si="1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1" thickBot="1" x14ac:dyDescent="0.3">
      <c r="A8" s="641">
        <v>5060.55</v>
      </c>
      <c r="B8" s="641">
        <v>5060.55</v>
      </c>
      <c r="C8" s="446"/>
      <c r="D8" s="446">
        <v>5462.4765034399998</v>
      </c>
      <c r="E8" s="166">
        <v>1</v>
      </c>
      <c r="F8" s="159">
        <f t="shared" ref="F8:F71" si="13">A8*(1+$A$5)</f>
        <v>5414.7885000000006</v>
      </c>
      <c r="G8" s="160">
        <f t="shared" ref="G8:G71" si="14">B8*(1+$A$5)</f>
        <v>5414.7885000000006</v>
      </c>
      <c r="H8" s="449">
        <f t="shared" si="10"/>
        <v>9845</v>
      </c>
      <c r="I8" s="446">
        <f t="shared" si="11"/>
        <v>9845</v>
      </c>
      <c r="J8" s="164">
        <f t="shared" si="12"/>
        <v>9845</v>
      </c>
      <c r="K8" s="165">
        <f t="shared" si="12"/>
        <v>9845</v>
      </c>
      <c r="L8" s="136"/>
      <c r="P8" s="656">
        <v>2</v>
      </c>
      <c r="Q8" s="651" t="s">
        <v>5</v>
      </c>
      <c r="R8" s="652">
        <v>2</v>
      </c>
      <c r="S8" s="652">
        <v>2</v>
      </c>
      <c r="T8" s="652">
        <v>2</v>
      </c>
      <c r="U8" s="652">
        <v>2</v>
      </c>
      <c r="V8" s="652">
        <v>2</v>
      </c>
      <c r="W8" s="703">
        <f t="shared" si="2"/>
        <v>0.53059999999999996</v>
      </c>
      <c r="X8" s="703">
        <f t="shared" si="3"/>
        <v>0.56799999999999995</v>
      </c>
      <c r="Y8" s="703">
        <f t="shared" si="4"/>
        <v>0.61899999999999999</v>
      </c>
      <c r="Z8" s="703">
        <f t="shared" si="0"/>
        <v>0.73</v>
      </c>
      <c r="AA8" s="703">
        <f t="shared" si="5"/>
        <v>0.82499999999999996</v>
      </c>
      <c r="AB8" s="435"/>
      <c r="AC8" s="714">
        <v>7</v>
      </c>
      <c r="AD8" s="328">
        <v>0.92904699999999996</v>
      </c>
      <c r="AE8" s="328">
        <f t="shared" si="6"/>
        <v>1.0309999999999999</v>
      </c>
      <c r="AF8" s="328">
        <f t="shared" si="7"/>
        <v>1.155</v>
      </c>
      <c r="AG8" s="328">
        <f t="shared" si="8"/>
        <v>1.363</v>
      </c>
      <c r="AH8" s="328">
        <f t="shared" si="9"/>
        <v>1.54</v>
      </c>
      <c r="AI8" s="701">
        <v>1.04</v>
      </c>
      <c r="AJ8" s="328">
        <v>1.1100000000000001</v>
      </c>
      <c r="AK8" s="328">
        <v>1.1200000000000001</v>
      </c>
      <c r="AL8" s="328">
        <v>1.18</v>
      </c>
      <c r="AM8" s="328">
        <v>1.1299999999999999</v>
      </c>
      <c r="AO8" s="299">
        <v>15000</v>
      </c>
      <c r="AP8" s="300">
        <v>0.68700000000000006</v>
      </c>
      <c r="AQ8" s="134"/>
      <c r="AR8" s="207">
        <f t="shared" si="1"/>
        <v>16</v>
      </c>
      <c r="AS8" s="312">
        <v>1.586E-3</v>
      </c>
      <c r="AU8" s="207">
        <v>14</v>
      </c>
      <c r="AV8" s="318">
        <v>8.3009999999999994E-3</v>
      </c>
    </row>
    <row r="9" spans="1:48" x14ac:dyDescent="0.25">
      <c r="A9" s="641">
        <v>5060.55</v>
      </c>
      <c r="B9" s="641">
        <v>5060.55</v>
      </c>
      <c r="C9" s="446"/>
      <c r="D9" s="446">
        <v>3650.1873625799999</v>
      </c>
      <c r="E9" s="167">
        <v>2</v>
      </c>
      <c r="F9" s="159">
        <f t="shared" si="13"/>
        <v>5414.7885000000006</v>
      </c>
      <c r="G9" s="160">
        <f t="shared" si="14"/>
        <v>5414.7885000000006</v>
      </c>
      <c r="H9" s="449">
        <f t="shared" si="10"/>
        <v>9845</v>
      </c>
      <c r="I9" s="446">
        <f t="shared" si="11"/>
        <v>9845</v>
      </c>
      <c r="J9" s="161">
        <f t="shared" si="12"/>
        <v>9845</v>
      </c>
      <c r="K9" s="162">
        <f t="shared" si="12"/>
        <v>9845</v>
      </c>
      <c r="L9" s="136"/>
      <c r="M9" s="780" t="s">
        <v>63</v>
      </c>
      <c r="N9" s="780"/>
      <c r="P9" s="655">
        <v>4</v>
      </c>
      <c r="Q9" s="210" t="s">
        <v>6</v>
      </c>
      <c r="R9" s="646">
        <v>4</v>
      </c>
      <c r="S9" s="646">
        <v>4</v>
      </c>
      <c r="T9" s="646">
        <v>4</v>
      </c>
      <c r="U9" s="646">
        <v>4</v>
      </c>
      <c r="V9" s="646">
        <v>4</v>
      </c>
      <c r="W9" s="702">
        <f t="shared" si="2"/>
        <v>0.77739999999999998</v>
      </c>
      <c r="X9" s="702">
        <f t="shared" si="3"/>
        <v>0.86299999999999999</v>
      </c>
      <c r="Y9" s="702">
        <f t="shared" si="4"/>
        <v>0.94099999999999995</v>
      </c>
      <c r="Z9" s="702">
        <f t="shared" si="0"/>
        <v>1.1100000000000001</v>
      </c>
      <c r="AA9" s="702">
        <f t="shared" si="5"/>
        <v>1.254</v>
      </c>
      <c r="AB9" s="435"/>
      <c r="AC9" s="713">
        <v>6</v>
      </c>
      <c r="AD9" s="650">
        <v>1</v>
      </c>
      <c r="AE9" s="650">
        <f t="shared" si="6"/>
        <v>1.07</v>
      </c>
      <c r="AF9" s="650">
        <f t="shared" si="7"/>
        <v>1.177</v>
      </c>
      <c r="AG9" s="650">
        <f t="shared" si="8"/>
        <v>1.389</v>
      </c>
      <c r="AH9" s="650">
        <f t="shared" si="9"/>
        <v>1.57</v>
      </c>
      <c r="AI9" s="699">
        <v>1</v>
      </c>
      <c r="AJ9" s="650">
        <v>1.07</v>
      </c>
      <c r="AK9" s="650">
        <v>1.1000000000000001</v>
      </c>
      <c r="AL9" s="650">
        <v>1.18</v>
      </c>
      <c r="AM9" s="650">
        <v>1.1299999999999999</v>
      </c>
      <c r="AO9" s="299">
        <v>20000</v>
      </c>
      <c r="AP9" s="300">
        <v>0.61</v>
      </c>
      <c r="AQ9" s="141"/>
      <c r="AR9" s="225">
        <f t="shared" si="1"/>
        <v>17</v>
      </c>
      <c r="AS9" s="315">
        <v>1.707E-3</v>
      </c>
      <c r="AU9" s="225">
        <v>15</v>
      </c>
      <c r="AV9" s="319">
        <v>8.9350000000000002E-3</v>
      </c>
    </row>
    <row r="10" spans="1:48" ht="11" thickBot="1" x14ac:dyDescent="0.3">
      <c r="A10" s="641">
        <v>4048.0000000000005</v>
      </c>
      <c r="B10" s="641">
        <v>4048.0000000000005</v>
      </c>
      <c r="C10" s="446"/>
      <c r="D10" s="446">
        <v>2754.4650925000001</v>
      </c>
      <c r="E10" s="166">
        <v>3</v>
      </c>
      <c r="F10" s="159">
        <f t="shared" si="13"/>
        <v>4331.3600000000006</v>
      </c>
      <c r="G10" s="160">
        <f t="shared" si="14"/>
        <v>4331.3600000000006</v>
      </c>
      <c r="H10" s="449">
        <f t="shared" si="10"/>
        <v>7875</v>
      </c>
      <c r="I10" s="446">
        <f t="shared" si="11"/>
        <v>7875</v>
      </c>
      <c r="J10" s="164">
        <f t="shared" si="12"/>
        <v>7875</v>
      </c>
      <c r="K10" s="165">
        <f t="shared" si="12"/>
        <v>7875</v>
      </c>
      <c r="L10" s="136"/>
      <c r="M10" s="188" t="s">
        <v>65</v>
      </c>
      <c r="N10" s="215" t="e">
        <f>VLOOKUP(VLOOKUP(Cotizador!T22,Tablas!$Q$41:$R$74,2,0),$M$11:$N$15,2,0)</f>
        <v>#N/A</v>
      </c>
      <c r="P10" s="656">
        <v>1</v>
      </c>
      <c r="Q10" s="651" t="s">
        <v>7</v>
      </c>
      <c r="R10" s="652">
        <v>1</v>
      </c>
      <c r="S10" s="652">
        <v>1</v>
      </c>
      <c r="T10" s="652">
        <v>1</v>
      </c>
      <c r="U10" s="652">
        <v>1</v>
      </c>
      <c r="V10" s="652">
        <v>1</v>
      </c>
      <c r="W10" s="703">
        <f t="shared" si="2"/>
        <v>0.66</v>
      </c>
      <c r="X10" s="703">
        <f t="shared" si="3"/>
        <v>0.73299999999999998</v>
      </c>
      <c r="Y10" s="703">
        <f t="shared" si="4"/>
        <v>0.79900000000000004</v>
      </c>
      <c r="Z10" s="703">
        <f t="shared" si="0"/>
        <v>0.94299999999999995</v>
      </c>
      <c r="AA10" s="703">
        <f t="shared" si="5"/>
        <v>1.0660000000000001</v>
      </c>
      <c r="AB10" s="435"/>
      <c r="AC10" s="323">
        <v>5</v>
      </c>
      <c r="AD10" s="326">
        <v>0.872</v>
      </c>
      <c r="AE10" s="326">
        <f t="shared" si="6"/>
        <v>0.96799999999999997</v>
      </c>
      <c r="AF10" s="326">
        <f t="shared" si="7"/>
        <v>1.0549999999999999</v>
      </c>
      <c r="AG10" s="326">
        <f t="shared" si="8"/>
        <v>1.2450000000000001</v>
      </c>
      <c r="AH10" s="326">
        <f t="shared" si="9"/>
        <v>1.407</v>
      </c>
      <c r="AI10" s="698">
        <v>1.04</v>
      </c>
      <c r="AJ10" s="326">
        <v>1.1100000000000001</v>
      </c>
      <c r="AK10" s="326">
        <v>1.0900000000000001</v>
      </c>
      <c r="AL10" s="326">
        <v>1.18</v>
      </c>
      <c r="AM10" s="326">
        <v>1.1299999999999999</v>
      </c>
      <c r="AO10" s="299">
        <v>22000</v>
      </c>
      <c r="AP10" s="300">
        <v>0.58699999999999997</v>
      </c>
      <c r="AQ10" s="134"/>
      <c r="AR10" s="207">
        <f t="shared" si="1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3">
      <c r="A11" s="641">
        <v>4048.0000000000005</v>
      </c>
      <c r="B11" s="641">
        <v>4048.0000000000005</v>
      </c>
      <c r="C11" s="644"/>
      <c r="D11" s="446">
        <v>2684.1890101399999</v>
      </c>
      <c r="E11" s="163">
        <v>4</v>
      </c>
      <c r="F11" s="159">
        <f t="shared" si="13"/>
        <v>4331.3600000000006</v>
      </c>
      <c r="G11" s="160">
        <f t="shared" si="14"/>
        <v>4331.3600000000006</v>
      </c>
      <c r="H11" s="450">
        <f t="shared" si="10"/>
        <v>7875</v>
      </c>
      <c r="I11" s="426">
        <f t="shared" si="11"/>
        <v>7875</v>
      </c>
      <c r="J11" s="161">
        <f>ROUND(H11,0)</f>
        <v>7875</v>
      </c>
      <c r="K11" s="162">
        <f t="shared" ref="K11:K74" si="15">ROUND(I11,0)</f>
        <v>7875</v>
      </c>
      <c r="L11" s="136"/>
      <c r="M11" s="185" t="s">
        <v>54</v>
      </c>
      <c r="N11" s="186" t="s">
        <v>56</v>
      </c>
      <c r="P11" s="655">
        <v>2</v>
      </c>
      <c r="Q11" s="210" t="s">
        <v>8</v>
      </c>
      <c r="R11" s="646">
        <v>2</v>
      </c>
      <c r="S11" s="646">
        <v>2</v>
      </c>
      <c r="T11" s="646">
        <v>2</v>
      </c>
      <c r="U11" s="646">
        <v>2</v>
      </c>
      <c r="V11" s="646">
        <v>2</v>
      </c>
      <c r="W11" s="702">
        <f t="shared" si="2"/>
        <v>0.53059999999999996</v>
      </c>
      <c r="X11" s="702">
        <f t="shared" si="3"/>
        <v>0.56799999999999995</v>
      </c>
      <c r="Y11" s="702">
        <f t="shared" si="4"/>
        <v>0.61899999999999999</v>
      </c>
      <c r="Z11" s="702">
        <f t="shared" si="0"/>
        <v>0.73</v>
      </c>
      <c r="AA11" s="702">
        <f t="shared" si="5"/>
        <v>0.82499999999999996</v>
      </c>
      <c r="AB11" s="435"/>
      <c r="AC11" s="323">
        <v>4</v>
      </c>
      <c r="AD11" s="327">
        <v>0.77739999999999998</v>
      </c>
      <c r="AE11" s="327">
        <f t="shared" si="6"/>
        <v>0.86299999999999999</v>
      </c>
      <c r="AF11" s="326">
        <f t="shared" si="7"/>
        <v>0.94099999999999995</v>
      </c>
      <c r="AG11" s="326">
        <f t="shared" si="8"/>
        <v>1.1100000000000001</v>
      </c>
      <c r="AH11" s="326">
        <f t="shared" si="9"/>
        <v>1.254</v>
      </c>
      <c r="AI11" s="700">
        <v>1.08</v>
      </c>
      <c r="AJ11" s="326">
        <v>1.1100000000000001</v>
      </c>
      <c r="AK11" s="326">
        <v>1.0900000000000001</v>
      </c>
      <c r="AL11" s="326">
        <v>1.18</v>
      </c>
      <c r="AM11" s="326">
        <v>1.1299999999999999</v>
      </c>
      <c r="AO11" s="299">
        <v>25000</v>
      </c>
      <c r="AP11" s="300">
        <v>0.55700000000000005</v>
      </c>
      <c r="AR11" s="225">
        <f t="shared" si="1"/>
        <v>19</v>
      </c>
      <c r="AS11" s="315">
        <v>1.983E-3</v>
      </c>
      <c r="AU11" s="225">
        <v>17</v>
      </c>
      <c r="AV11" s="319">
        <v>1.0377000000000001E-2</v>
      </c>
    </row>
    <row r="12" spans="1:48" x14ac:dyDescent="0.25">
      <c r="A12" s="641">
        <v>4134.3500000000004</v>
      </c>
      <c r="B12" s="641">
        <v>4134.3500000000004</v>
      </c>
      <c r="C12" s="644"/>
      <c r="D12" s="446">
        <v>2871.7593934999995</v>
      </c>
      <c r="E12" s="166">
        <v>5</v>
      </c>
      <c r="F12" s="159">
        <f t="shared" si="13"/>
        <v>4423.7545000000009</v>
      </c>
      <c r="G12" s="160">
        <f t="shared" si="14"/>
        <v>4423.7545000000009</v>
      </c>
      <c r="H12" s="450">
        <f t="shared" si="10"/>
        <v>8043</v>
      </c>
      <c r="I12" s="426">
        <f t="shared" si="11"/>
        <v>8043</v>
      </c>
      <c r="J12" s="164">
        <f t="shared" ref="J12:J75" si="16">ROUND(H12,0)</f>
        <v>8043</v>
      </c>
      <c r="K12" s="165">
        <f t="shared" si="15"/>
        <v>8043</v>
      </c>
      <c r="L12" s="136"/>
      <c r="M12" s="218">
        <v>1</v>
      </c>
      <c r="N12" s="219">
        <v>2.62</v>
      </c>
      <c r="P12" s="656">
        <v>5</v>
      </c>
      <c r="Q12" s="651" t="s">
        <v>9</v>
      </c>
      <c r="R12" s="652">
        <v>5</v>
      </c>
      <c r="S12" s="652">
        <v>5</v>
      </c>
      <c r="T12" s="652">
        <v>5</v>
      </c>
      <c r="U12" s="652">
        <v>5</v>
      </c>
      <c r="V12" s="652">
        <v>5</v>
      </c>
      <c r="W12" s="703">
        <f t="shared" si="2"/>
        <v>0.872</v>
      </c>
      <c r="X12" s="703">
        <f t="shared" si="3"/>
        <v>0.96799999999999997</v>
      </c>
      <c r="Y12" s="703">
        <f t="shared" si="4"/>
        <v>1.0549999999999999</v>
      </c>
      <c r="Z12" s="703">
        <f t="shared" si="0"/>
        <v>1.2450000000000001</v>
      </c>
      <c r="AA12" s="703">
        <f t="shared" si="5"/>
        <v>1.407</v>
      </c>
      <c r="AB12" s="435"/>
      <c r="AC12" s="323">
        <v>3</v>
      </c>
      <c r="AD12" s="327">
        <v>0.69</v>
      </c>
      <c r="AE12" s="327">
        <f t="shared" si="6"/>
        <v>0.73799999999999999</v>
      </c>
      <c r="AF12" s="326">
        <f t="shared" si="7"/>
        <v>0.80400000000000005</v>
      </c>
      <c r="AG12" s="326">
        <f t="shared" si="8"/>
        <v>0.94899999999999995</v>
      </c>
      <c r="AH12" s="326">
        <f t="shared" si="9"/>
        <v>1.0720000000000001</v>
      </c>
      <c r="AI12" s="700">
        <v>1.1100000000000001</v>
      </c>
      <c r="AJ12" s="326">
        <v>1.07</v>
      </c>
      <c r="AK12" s="326">
        <v>1.0900000000000001</v>
      </c>
      <c r="AL12" s="326">
        <v>1.18</v>
      </c>
      <c r="AM12" s="326">
        <v>1.1299999999999999</v>
      </c>
      <c r="AO12" s="299">
        <v>30000</v>
      </c>
      <c r="AP12" s="300">
        <v>0.51700000000000002</v>
      </c>
      <c r="AR12" s="207">
        <f t="shared" si="1"/>
        <v>20</v>
      </c>
      <c r="AS12" s="312">
        <v>2.1380000000000001E-3</v>
      </c>
      <c r="AU12" s="207">
        <v>18</v>
      </c>
      <c r="AV12" s="318">
        <v>1.0742E-2</v>
      </c>
    </row>
    <row r="13" spans="1:48" x14ac:dyDescent="0.25">
      <c r="A13" s="641">
        <v>4177.8</v>
      </c>
      <c r="B13" s="641">
        <v>4154.7000000000007</v>
      </c>
      <c r="C13" s="644"/>
      <c r="D13" s="446">
        <v>2918.605002378571</v>
      </c>
      <c r="E13" s="163">
        <v>6</v>
      </c>
      <c r="F13" s="159">
        <f t="shared" si="13"/>
        <v>4470.2460000000001</v>
      </c>
      <c r="G13" s="160">
        <f t="shared" si="14"/>
        <v>4445.5290000000014</v>
      </c>
      <c r="H13" s="450">
        <f t="shared" si="10"/>
        <v>8128</v>
      </c>
      <c r="I13" s="426">
        <f t="shared" si="11"/>
        <v>8083</v>
      </c>
      <c r="J13" s="161">
        <f t="shared" si="16"/>
        <v>8128</v>
      </c>
      <c r="K13" s="162">
        <f t="shared" si="15"/>
        <v>8083</v>
      </c>
      <c r="L13" s="136"/>
      <c r="M13" s="220">
        <v>2</v>
      </c>
      <c r="N13" s="221">
        <v>2.04</v>
      </c>
      <c r="P13" s="655">
        <v>6</v>
      </c>
      <c r="Q13" s="210" t="s">
        <v>289</v>
      </c>
      <c r="R13" s="646">
        <v>6</v>
      </c>
      <c r="S13" s="646">
        <v>6</v>
      </c>
      <c r="T13" s="646">
        <v>6</v>
      </c>
      <c r="U13" s="646">
        <v>6</v>
      </c>
      <c r="V13" s="646">
        <v>6</v>
      </c>
      <c r="W13" s="702">
        <f t="shared" si="2"/>
        <v>1</v>
      </c>
      <c r="X13" s="702">
        <f t="shared" si="3"/>
        <v>1.07</v>
      </c>
      <c r="Y13" s="702">
        <f t="shared" si="4"/>
        <v>1.177</v>
      </c>
      <c r="Z13" s="702">
        <f t="shared" si="0"/>
        <v>1.389</v>
      </c>
      <c r="AA13" s="702">
        <f t="shared" si="5"/>
        <v>1.57</v>
      </c>
      <c r="AB13" s="435"/>
      <c r="AC13" s="323">
        <v>2</v>
      </c>
      <c r="AD13" s="327">
        <v>0.53059999999999996</v>
      </c>
      <c r="AE13" s="327">
        <f t="shared" si="6"/>
        <v>0.56799999999999995</v>
      </c>
      <c r="AF13" s="326">
        <f t="shared" si="7"/>
        <v>0.61899999999999999</v>
      </c>
      <c r="AG13" s="326">
        <f t="shared" si="8"/>
        <v>0.73</v>
      </c>
      <c r="AH13" s="326">
        <f t="shared" si="9"/>
        <v>0.82499999999999996</v>
      </c>
      <c r="AI13" s="700">
        <v>1.1599999999999999</v>
      </c>
      <c r="AJ13" s="326">
        <v>1.07</v>
      </c>
      <c r="AK13" s="326">
        <v>1.0900000000000001</v>
      </c>
      <c r="AL13" s="326">
        <v>1.18</v>
      </c>
      <c r="AM13" s="326">
        <v>1.1299999999999999</v>
      </c>
      <c r="AO13" s="299">
        <v>35000</v>
      </c>
      <c r="AP13" s="300">
        <v>0.48499999999999999</v>
      </c>
      <c r="AR13" s="225">
        <f t="shared" si="1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1" thickBot="1" x14ac:dyDescent="0.3">
      <c r="A14" s="641">
        <v>4221.25</v>
      </c>
      <c r="B14" s="641">
        <v>4174.5</v>
      </c>
      <c r="C14" s="644"/>
      <c r="D14" s="446">
        <v>2965.4506112571426</v>
      </c>
      <c r="E14" s="166">
        <v>7</v>
      </c>
      <c r="F14" s="159">
        <f t="shared" si="13"/>
        <v>4516.7375000000002</v>
      </c>
      <c r="G14" s="160">
        <f t="shared" si="14"/>
        <v>4466.7150000000001</v>
      </c>
      <c r="H14" s="450">
        <f t="shared" si="10"/>
        <v>8212</v>
      </c>
      <c r="I14" s="426">
        <f t="shared" si="11"/>
        <v>8121</v>
      </c>
      <c r="J14" s="164">
        <f t="shared" si="16"/>
        <v>8212</v>
      </c>
      <c r="K14" s="165">
        <f t="shared" si="15"/>
        <v>8121</v>
      </c>
      <c r="L14" s="136"/>
      <c r="M14" s="220">
        <v>3</v>
      </c>
      <c r="N14" s="221">
        <v>1.46</v>
      </c>
      <c r="P14" s="656">
        <v>1</v>
      </c>
      <c r="Q14" s="651" t="s">
        <v>34</v>
      </c>
      <c r="R14" s="652">
        <v>1</v>
      </c>
      <c r="S14" s="652">
        <v>1</v>
      </c>
      <c r="T14" s="652">
        <v>1</v>
      </c>
      <c r="U14" s="652">
        <v>1</v>
      </c>
      <c r="V14" s="652">
        <v>1</v>
      </c>
      <c r="W14" s="703">
        <f t="shared" si="2"/>
        <v>0.66</v>
      </c>
      <c r="X14" s="703">
        <f t="shared" si="3"/>
        <v>0.73299999999999998</v>
      </c>
      <c r="Y14" s="703">
        <f t="shared" si="4"/>
        <v>0.79900000000000004</v>
      </c>
      <c r="Z14" s="703">
        <f t="shared" si="0"/>
        <v>0.94299999999999995</v>
      </c>
      <c r="AA14" s="703">
        <f t="shared" si="5"/>
        <v>1.0660000000000001</v>
      </c>
      <c r="AB14" s="435"/>
      <c r="AC14" s="324">
        <v>1</v>
      </c>
      <c r="AD14" s="328">
        <v>0.66</v>
      </c>
      <c r="AE14" s="328">
        <f t="shared" si="6"/>
        <v>0.73299999999999998</v>
      </c>
      <c r="AF14" s="328">
        <f t="shared" si="7"/>
        <v>0.79900000000000004</v>
      </c>
      <c r="AG14" s="328">
        <f t="shared" si="8"/>
        <v>0.94299999999999995</v>
      </c>
      <c r="AH14" s="328">
        <f t="shared" si="9"/>
        <v>1.0660000000000001</v>
      </c>
      <c r="AI14" s="701">
        <v>1.1200000000000001</v>
      </c>
      <c r="AJ14" s="328">
        <v>1.1100000000000001</v>
      </c>
      <c r="AK14" s="328">
        <v>1.0900000000000001</v>
      </c>
      <c r="AL14" s="328">
        <v>1.18</v>
      </c>
      <c r="AM14" s="328">
        <v>1.1299999999999999</v>
      </c>
      <c r="AO14" s="299">
        <v>40000</v>
      </c>
      <c r="AP14" s="300">
        <v>0.45900000000000002</v>
      </c>
      <c r="AR14" s="207">
        <f t="shared" si="1"/>
        <v>22</v>
      </c>
      <c r="AS14" s="312">
        <v>2.483E-3</v>
      </c>
      <c r="AU14" s="207">
        <v>20</v>
      </c>
      <c r="AV14" s="318">
        <v>1.2958000000000001E-2</v>
      </c>
    </row>
    <row r="15" spans="1:48" ht="11" thickBot="1" x14ac:dyDescent="0.3">
      <c r="A15" s="641">
        <v>4264.1500000000005</v>
      </c>
      <c r="B15" s="641">
        <v>4194.3</v>
      </c>
      <c r="C15" s="644"/>
      <c r="D15" s="446">
        <v>3012.2962201357141</v>
      </c>
      <c r="E15" s="163">
        <v>8</v>
      </c>
      <c r="F15" s="159">
        <f t="shared" si="13"/>
        <v>4562.6405000000004</v>
      </c>
      <c r="G15" s="160">
        <f t="shared" si="14"/>
        <v>4487.9010000000007</v>
      </c>
      <c r="H15" s="450">
        <f t="shared" si="10"/>
        <v>8296</v>
      </c>
      <c r="I15" s="426">
        <f t="shared" si="11"/>
        <v>8160</v>
      </c>
      <c r="J15" s="161">
        <f t="shared" si="16"/>
        <v>8296</v>
      </c>
      <c r="K15" s="162">
        <f t="shared" si="15"/>
        <v>8160</v>
      </c>
      <c r="L15" s="136"/>
      <c r="M15" s="222">
        <v>4</v>
      </c>
      <c r="N15" s="223">
        <v>1.31</v>
      </c>
      <c r="P15" s="655">
        <v>3</v>
      </c>
      <c r="Q15" s="210" t="s">
        <v>10</v>
      </c>
      <c r="R15" s="646">
        <v>3</v>
      </c>
      <c r="S15" s="646">
        <v>3</v>
      </c>
      <c r="T15" s="646">
        <v>3</v>
      </c>
      <c r="U15" s="646">
        <v>3</v>
      </c>
      <c r="V15" s="646">
        <v>3</v>
      </c>
      <c r="W15" s="702">
        <f t="shared" si="2"/>
        <v>0.69</v>
      </c>
      <c r="X15" s="702">
        <f t="shared" si="3"/>
        <v>0.73799999999999999</v>
      </c>
      <c r="Y15" s="702">
        <f t="shared" si="4"/>
        <v>0.80400000000000005</v>
      </c>
      <c r="Z15" s="702">
        <f t="shared" si="0"/>
        <v>0.94899999999999995</v>
      </c>
      <c r="AA15" s="702">
        <f t="shared" si="5"/>
        <v>1.0720000000000001</v>
      </c>
      <c r="AB15" s="435"/>
      <c r="AD15" s="307"/>
      <c r="AO15" s="299">
        <v>45000</v>
      </c>
      <c r="AP15" s="300">
        <v>0.438</v>
      </c>
      <c r="AR15" s="225">
        <f t="shared" si="1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x14ac:dyDescent="0.25">
      <c r="A16" s="641">
        <v>4307.6000000000004</v>
      </c>
      <c r="B16" s="641">
        <v>4214.1000000000004</v>
      </c>
      <c r="C16" s="644"/>
      <c r="D16" s="446">
        <v>3059.1418290142856</v>
      </c>
      <c r="E16" s="166">
        <v>9</v>
      </c>
      <c r="F16" s="159">
        <f t="shared" si="13"/>
        <v>4609.1320000000005</v>
      </c>
      <c r="G16" s="160">
        <f t="shared" si="14"/>
        <v>4509.0870000000004</v>
      </c>
      <c r="H16" s="450">
        <f t="shared" si="10"/>
        <v>8380</v>
      </c>
      <c r="I16" s="426">
        <f t="shared" si="11"/>
        <v>8198</v>
      </c>
      <c r="J16" s="164">
        <f t="shared" si="16"/>
        <v>8380</v>
      </c>
      <c r="K16" s="165">
        <f t="shared" si="15"/>
        <v>8198</v>
      </c>
      <c r="L16" s="136"/>
      <c r="P16" s="656">
        <v>5</v>
      </c>
      <c r="Q16" s="651" t="s">
        <v>11</v>
      </c>
      <c r="R16" s="652">
        <v>5</v>
      </c>
      <c r="S16" s="652">
        <v>5</v>
      </c>
      <c r="T16" s="652">
        <v>5</v>
      </c>
      <c r="U16" s="652">
        <v>5</v>
      </c>
      <c r="V16" s="652">
        <v>5</v>
      </c>
      <c r="W16" s="703">
        <f t="shared" si="2"/>
        <v>0.872</v>
      </c>
      <c r="X16" s="703">
        <f t="shared" si="3"/>
        <v>0.96799999999999997</v>
      </c>
      <c r="Y16" s="703">
        <f t="shared" si="4"/>
        <v>1.0549999999999999</v>
      </c>
      <c r="Z16" s="703">
        <f t="shared" si="0"/>
        <v>1.2450000000000001</v>
      </c>
      <c r="AA16" s="703">
        <f t="shared" si="5"/>
        <v>1.407</v>
      </c>
      <c r="AB16" s="435"/>
      <c r="AO16" s="299">
        <v>50000</v>
      </c>
      <c r="AP16" s="300">
        <v>0.41899999999999998</v>
      </c>
      <c r="AR16" s="207">
        <f t="shared" si="1"/>
        <v>24</v>
      </c>
      <c r="AS16" s="312">
        <v>2.879E-3</v>
      </c>
      <c r="AU16" s="207">
        <v>22</v>
      </c>
      <c r="AV16" s="318">
        <v>1.5034E-2</v>
      </c>
    </row>
    <row r="17" spans="1:48" ht="11" thickBot="1" x14ac:dyDescent="0.3">
      <c r="A17" s="641">
        <v>4351.05</v>
      </c>
      <c r="B17" s="641">
        <v>4234.4500000000007</v>
      </c>
      <c r="C17" s="644"/>
      <c r="D17" s="446">
        <v>3105.9874378928571</v>
      </c>
      <c r="E17" s="163">
        <v>10</v>
      </c>
      <c r="F17" s="159">
        <f t="shared" si="13"/>
        <v>4655.6235000000006</v>
      </c>
      <c r="G17" s="160">
        <f t="shared" si="14"/>
        <v>4530.8615000000009</v>
      </c>
      <c r="H17" s="450">
        <f t="shared" si="10"/>
        <v>8465</v>
      </c>
      <c r="I17" s="426">
        <f t="shared" si="11"/>
        <v>8238</v>
      </c>
      <c r="J17" s="161">
        <f t="shared" si="16"/>
        <v>8465</v>
      </c>
      <c r="K17" s="162">
        <f t="shared" si="15"/>
        <v>8238</v>
      </c>
      <c r="L17" s="136"/>
      <c r="P17" s="655">
        <v>1</v>
      </c>
      <c r="Q17" s="210" t="s">
        <v>12</v>
      </c>
      <c r="R17" s="646">
        <v>1</v>
      </c>
      <c r="S17" s="646">
        <v>1</v>
      </c>
      <c r="T17" s="646">
        <v>1</v>
      </c>
      <c r="U17" s="646">
        <v>1</v>
      </c>
      <c r="V17" s="646">
        <v>1</v>
      </c>
      <c r="W17" s="702">
        <f t="shared" si="2"/>
        <v>0.66</v>
      </c>
      <c r="X17" s="702">
        <f t="shared" si="3"/>
        <v>0.73299999999999998</v>
      </c>
      <c r="Y17" s="702">
        <f t="shared" si="4"/>
        <v>0.79900000000000004</v>
      </c>
      <c r="Z17" s="702">
        <f t="shared" si="0"/>
        <v>0.94299999999999995</v>
      </c>
      <c r="AA17" s="702">
        <f t="shared" si="5"/>
        <v>1.0660000000000001</v>
      </c>
      <c r="AB17" s="435"/>
      <c r="AO17" s="301">
        <v>100000</v>
      </c>
      <c r="AP17" s="300">
        <v>0.316</v>
      </c>
      <c r="AR17" s="225">
        <f t="shared" si="1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x14ac:dyDescent="0.25">
      <c r="A18" s="641">
        <v>4394.5</v>
      </c>
      <c r="B18" s="641">
        <v>4254.8</v>
      </c>
      <c r="C18" s="644"/>
      <c r="D18" s="446">
        <v>3152.8330467714286</v>
      </c>
      <c r="E18" s="166">
        <v>11</v>
      </c>
      <c r="F18" s="159">
        <f t="shared" si="13"/>
        <v>4702.1150000000007</v>
      </c>
      <c r="G18" s="160">
        <f t="shared" si="14"/>
        <v>4552.6360000000004</v>
      </c>
      <c r="H18" s="450">
        <f t="shared" si="10"/>
        <v>8549</v>
      </c>
      <c r="I18" s="426">
        <f t="shared" si="11"/>
        <v>8278</v>
      </c>
      <c r="J18" s="164">
        <f t="shared" si="16"/>
        <v>8549</v>
      </c>
      <c r="K18" s="165">
        <f t="shared" si="15"/>
        <v>8278</v>
      </c>
      <c r="L18" s="136"/>
      <c r="M18" s="779" t="s">
        <v>235</v>
      </c>
      <c r="N18" s="779"/>
      <c r="P18" s="656">
        <v>4</v>
      </c>
      <c r="Q18" s="651" t="s">
        <v>13</v>
      </c>
      <c r="R18" s="652">
        <v>8</v>
      </c>
      <c r="S18" s="652">
        <v>8</v>
      </c>
      <c r="T18" s="652">
        <v>8</v>
      </c>
      <c r="U18" s="652">
        <v>8</v>
      </c>
      <c r="V18" s="652">
        <v>8</v>
      </c>
      <c r="W18" s="703">
        <f t="shared" si="2"/>
        <v>0.79193100000000005</v>
      </c>
      <c r="X18" s="703">
        <f t="shared" si="3"/>
        <v>0.879</v>
      </c>
      <c r="Y18" s="703">
        <f t="shared" si="4"/>
        <v>0.96699999999999997</v>
      </c>
      <c r="Z18" s="703">
        <f t="shared" si="0"/>
        <v>1.141</v>
      </c>
      <c r="AA18" s="703">
        <f t="shared" si="5"/>
        <v>1.2889999999999999</v>
      </c>
      <c r="AB18" s="435"/>
      <c r="AO18" s="304">
        <v>250000</v>
      </c>
      <c r="AP18" s="300">
        <v>0.217</v>
      </c>
      <c r="AR18" s="207">
        <f t="shared" si="1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1" thickBot="1" x14ac:dyDescent="0.3">
      <c r="A19" s="641">
        <v>4437.9500000000007</v>
      </c>
      <c r="B19" s="641">
        <v>4274.05</v>
      </c>
      <c r="C19" s="644"/>
      <c r="D19" s="446">
        <v>3199.6786556500001</v>
      </c>
      <c r="E19" s="163">
        <v>12</v>
      </c>
      <c r="F19" s="159">
        <f t="shared" si="13"/>
        <v>4748.6065000000008</v>
      </c>
      <c r="G19" s="160">
        <f t="shared" si="14"/>
        <v>4573.2335000000003</v>
      </c>
      <c r="H19" s="450">
        <f t="shared" si="10"/>
        <v>8634</v>
      </c>
      <c r="I19" s="426">
        <f t="shared" si="11"/>
        <v>8315</v>
      </c>
      <c r="J19" s="161">
        <f t="shared" si="16"/>
        <v>8634</v>
      </c>
      <c r="K19" s="162">
        <f t="shared" si="15"/>
        <v>8315</v>
      </c>
      <c r="L19" s="136"/>
      <c r="M19" s="779"/>
      <c r="N19" s="779"/>
      <c r="P19" s="655">
        <v>6</v>
      </c>
      <c r="Q19" s="210" t="s">
        <v>14</v>
      </c>
      <c r="R19" s="646">
        <v>6</v>
      </c>
      <c r="S19" s="646">
        <v>6</v>
      </c>
      <c r="T19" s="646">
        <v>6</v>
      </c>
      <c r="U19" s="646">
        <v>6</v>
      </c>
      <c r="V19" s="646">
        <v>6</v>
      </c>
      <c r="W19" s="702">
        <f t="shared" si="2"/>
        <v>1</v>
      </c>
      <c r="X19" s="702">
        <f t="shared" si="3"/>
        <v>1.07</v>
      </c>
      <c r="Y19" s="702">
        <f t="shared" si="4"/>
        <v>1.177</v>
      </c>
      <c r="Z19" s="702">
        <f t="shared" si="0"/>
        <v>1.389</v>
      </c>
      <c r="AA19" s="702">
        <f t="shared" si="5"/>
        <v>1.57</v>
      </c>
      <c r="AB19" s="435"/>
      <c r="AO19" s="304">
        <v>500000</v>
      </c>
      <c r="AP19" s="300">
        <v>0.16300000000000001</v>
      </c>
      <c r="AR19" s="225">
        <f t="shared" si="1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1" thickBot="1" x14ac:dyDescent="0.3">
      <c r="A20" s="641">
        <v>4480.8500000000004</v>
      </c>
      <c r="B20" s="641">
        <v>4294.4000000000005</v>
      </c>
      <c r="C20" s="644"/>
      <c r="D20" s="446">
        <v>3246.5242645285716</v>
      </c>
      <c r="E20" s="166">
        <v>13</v>
      </c>
      <c r="F20" s="159">
        <f t="shared" si="13"/>
        <v>4794.509500000001</v>
      </c>
      <c r="G20" s="160">
        <f t="shared" si="14"/>
        <v>4595.0080000000007</v>
      </c>
      <c r="H20" s="450">
        <f t="shared" si="10"/>
        <v>8717</v>
      </c>
      <c r="I20" s="426">
        <f t="shared" si="11"/>
        <v>8355</v>
      </c>
      <c r="J20" s="164">
        <f t="shared" si="16"/>
        <v>8717</v>
      </c>
      <c r="K20" s="165">
        <f t="shared" si="15"/>
        <v>8355</v>
      </c>
      <c r="L20" s="136"/>
      <c r="M20" s="195" t="s">
        <v>101</v>
      </c>
      <c r="N20" s="214">
        <v>1.03224</v>
      </c>
      <c r="P20" s="656">
        <v>4</v>
      </c>
      <c r="Q20" s="651" t="s">
        <v>15</v>
      </c>
      <c r="R20" s="652">
        <v>4</v>
      </c>
      <c r="S20" s="652">
        <v>4</v>
      </c>
      <c r="T20" s="652">
        <v>4</v>
      </c>
      <c r="U20" s="652">
        <v>4</v>
      </c>
      <c r="V20" s="652">
        <v>4</v>
      </c>
      <c r="W20" s="703">
        <f t="shared" si="2"/>
        <v>0.77739999999999998</v>
      </c>
      <c r="X20" s="703">
        <f t="shared" si="3"/>
        <v>0.86299999999999999</v>
      </c>
      <c r="Y20" s="703">
        <f t="shared" si="4"/>
        <v>0.94099999999999995</v>
      </c>
      <c r="Z20" s="703">
        <f t="shared" si="0"/>
        <v>1.1100000000000001</v>
      </c>
      <c r="AA20" s="703">
        <f t="shared" si="5"/>
        <v>1.254</v>
      </c>
      <c r="AB20" s="435"/>
      <c r="AN20" s="142"/>
      <c r="AO20" s="304">
        <v>1000000</v>
      </c>
      <c r="AP20" s="300">
        <v>0.123</v>
      </c>
      <c r="AR20" s="207">
        <f t="shared" si="1"/>
        <v>28</v>
      </c>
      <c r="AS20" s="312">
        <v>3.862E-3</v>
      </c>
      <c r="AU20" s="207">
        <v>26</v>
      </c>
      <c r="AV20" s="318">
        <v>2.0227999999999999E-2</v>
      </c>
    </row>
    <row r="21" spans="1:48" ht="11" thickBot="1" x14ac:dyDescent="0.3">
      <c r="A21" s="641">
        <v>4524.8500000000004</v>
      </c>
      <c r="B21" s="641">
        <v>4314.2000000000007</v>
      </c>
      <c r="C21" s="644"/>
      <c r="D21" s="446">
        <v>3293.3698734071431</v>
      </c>
      <c r="E21" s="163">
        <v>14</v>
      </c>
      <c r="F21" s="159">
        <f t="shared" si="13"/>
        <v>4841.589500000001</v>
      </c>
      <c r="G21" s="160">
        <f t="shared" si="14"/>
        <v>4616.1940000000013</v>
      </c>
      <c r="H21" s="450">
        <f t="shared" si="10"/>
        <v>8803</v>
      </c>
      <c r="I21" s="426">
        <f t="shared" si="11"/>
        <v>8393</v>
      </c>
      <c r="J21" s="161">
        <f t="shared" si="16"/>
        <v>8803</v>
      </c>
      <c r="K21" s="162">
        <f t="shared" si="15"/>
        <v>8393</v>
      </c>
      <c r="L21" s="136"/>
      <c r="P21" s="655">
        <v>5</v>
      </c>
      <c r="Q21" s="210" t="s">
        <v>16</v>
      </c>
      <c r="R21" s="646">
        <v>5</v>
      </c>
      <c r="S21" s="646">
        <v>5</v>
      </c>
      <c r="T21" s="646">
        <v>5</v>
      </c>
      <c r="U21" s="646">
        <v>5</v>
      </c>
      <c r="V21" s="646">
        <v>5</v>
      </c>
      <c r="W21" s="702">
        <f t="shared" si="2"/>
        <v>0.872</v>
      </c>
      <c r="X21" s="702">
        <f t="shared" si="3"/>
        <v>0.96799999999999997</v>
      </c>
      <c r="Y21" s="702">
        <f t="shared" si="4"/>
        <v>1.0549999999999999</v>
      </c>
      <c r="Z21" s="702">
        <f t="shared" si="0"/>
        <v>1.2450000000000001</v>
      </c>
      <c r="AA21" s="702">
        <f t="shared" si="5"/>
        <v>1.407</v>
      </c>
      <c r="AB21" s="435"/>
      <c r="AO21" s="305">
        <v>1500000</v>
      </c>
      <c r="AP21" s="306">
        <v>0.104</v>
      </c>
      <c r="AR21" s="225">
        <f t="shared" si="1"/>
        <v>29</v>
      </c>
      <c r="AS21" s="315">
        <v>4.1549999999999998E-3</v>
      </c>
      <c r="AU21" s="225">
        <v>27</v>
      </c>
      <c r="AV21" s="319">
        <v>2.1783E-2</v>
      </c>
    </row>
    <row r="22" spans="1:48" x14ac:dyDescent="0.25">
      <c r="A22" s="641">
        <v>4724.5</v>
      </c>
      <c r="B22" s="641">
        <v>4502.8500000000004</v>
      </c>
      <c r="C22" s="644"/>
      <c r="D22" s="446">
        <v>3340.2154822857146</v>
      </c>
      <c r="E22" s="166">
        <v>15</v>
      </c>
      <c r="F22" s="159">
        <f t="shared" si="13"/>
        <v>5055.2150000000001</v>
      </c>
      <c r="G22" s="160">
        <f t="shared" si="14"/>
        <v>4818.049500000001</v>
      </c>
      <c r="H22" s="450">
        <f t="shared" si="10"/>
        <v>9191</v>
      </c>
      <c r="I22" s="426">
        <f t="shared" si="11"/>
        <v>8760</v>
      </c>
      <c r="J22" s="164">
        <f t="shared" si="16"/>
        <v>9191</v>
      </c>
      <c r="K22" s="165">
        <f t="shared" si="15"/>
        <v>8760</v>
      </c>
      <c r="L22" s="136"/>
      <c r="P22" s="656">
        <v>1</v>
      </c>
      <c r="Q22" s="651" t="s">
        <v>17</v>
      </c>
      <c r="R22" s="652">
        <v>1</v>
      </c>
      <c r="S22" s="652">
        <v>1</v>
      </c>
      <c r="T22" s="652">
        <v>1</v>
      </c>
      <c r="U22" s="652">
        <v>1</v>
      </c>
      <c r="V22" s="652">
        <v>1</v>
      </c>
      <c r="W22" s="703">
        <f t="shared" si="2"/>
        <v>0.66</v>
      </c>
      <c r="X22" s="703">
        <f t="shared" si="3"/>
        <v>0.73299999999999998</v>
      </c>
      <c r="Y22" s="703">
        <f t="shared" si="4"/>
        <v>0.79900000000000004</v>
      </c>
      <c r="Z22" s="703">
        <f t="shared" si="0"/>
        <v>0.94299999999999995</v>
      </c>
      <c r="AA22" s="703">
        <f t="shared" si="5"/>
        <v>1.0660000000000001</v>
      </c>
      <c r="AB22" s="435"/>
      <c r="AC22" s="139"/>
      <c r="AD22" s="189"/>
      <c r="AN22" s="453"/>
      <c r="AO22" s="304">
        <v>5000000</v>
      </c>
      <c r="AP22" s="633">
        <v>6.3454775345765907E-2</v>
      </c>
      <c r="AR22" s="207">
        <f t="shared" si="1"/>
        <v>30</v>
      </c>
      <c r="AS22" s="312">
        <v>4.483E-3</v>
      </c>
      <c r="AU22" s="207">
        <v>28</v>
      </c>
      <c r="AV22" s="318">
        <v>2.3459000000000001E-2</v>
      </c>
    </row>
    <row r="23" spans="1:48" x14ac:dyDescent="0.25">
      <c r="A23" s="641">
        <v>4924.7000000000007</v>
      </c>
      <c r="B23" s="641">
        <v>4690.9500000000007</v>
      </c>
      <c r="C23" s="644"/>
      <c r="D23" s="446">
        <v>3387.0610911642862</v>
      </c>
      <c r="E23" s="163">
        <v>16</v>
      </c>
      <c r="F23" s="159">
        <f t="shared" si="13"/>
        <v>5269.429000000001</v>
      </c>
      <c r="G23" s="160">
        <f t="shared" si="14"/>
        <v>5019.3165000000008</v>
      </c>
      <c r="H23" s="450">
        <f t="shared" si="10"/>
        <v>9581</v>
      </c>
      <c r="I23" s="426">
        <f t="shared" si="11"/>
        <v>9126</v>
      </c>
      <c r="J23" s="161">
        <f t="shared" si="16"/>
        <v>9581</v>
      </c>
      <c r="K23" s="162">
        <f t="shared" si="15"/>
        <v>9126</v>
      </c>
      <c r="L23" s="136"/>
      <c r="M23" s="779" t="s">
        <v>236</v>
      </c>
      <c r="N23" s="779"/>
      <c r="P23" s="655">
        <v>5</v>
      </c>
      <c r="Q23" s="210" t="s">
        <v>18</v>
      </c>
      <c r="R23" s="646">
        <v>7</v>
      </c>
      <c r="S23" s="646">
        <v>7</v>
      </c>
      <c r="T23" s="646">
        <v>7</v>
      </c>
      <c r="U23" s="715">
        <v>6</v>
      </c>
      <c r="V23" s="646">
        <v>6</v>
      </c>
      <c r="W23" s="702">
        <f t="shared" si="2"/>
        <v>0.92904699999999996</v>
      </c>
      <c r="X23" s="702">
        <f t="shared" si="3"/>
        <v>1.0309999999999999</v>
      </c>
      <c r="Y23" s="702">
        <f t="shared" si="4"/>
        <v>1.155</v>
      </c>
      <c r="Z23" s="702">
        <f t="shared" si="0"/>
        <v>1.389</v>
      </c>
      <c r="AA23" s="702">
        <f t="shared" si="5"/>
        <v>1.57</v>
      </c>
      <c r="AB23" s="435"/>
      <c r="AN23" s="136"/>
      <c r="AO23" s="295"/>
      <c r="AP23" s="296"/>
      <c r="AR23" s="225">
        <f t="shared" si="1"/>
        <v>31</v>
      </c>
      <c r="AS23" s="315">
        <v>4.8279999999999998E-3</v>
      </c>
      <c r="AU23" s="225">
        <v>29</v>
      </c>
      <c r="AV23" s="319">
        <v>2.5264999999999999E-2</v>
      </c>
    </row>
    <row r="24" spans="1:48" x14ac:dyDescent="0.25">
      <c r="A24" s="641">
        <v>5126</v>
      </c>
      <c r="B24" s="641">
        <v>4880.1500000000005</v>
      </c>
      <c r="C24" s="644"/>
      <c r="D24" s="446">
        <v>3433.9067000428577</v>
      </c>
      <c r="E24" s="166">
        <v>17</v>
      </c>
      <c r="F24" s="159">
        <f t="shared" si="13"/>
        <v>5484.8200000000006</v>
      </c>
      <c r="G24" s="160">
        <f t="shared" si="14"/>
        <v>5221.7605000000012</v>
      </c>
      <c r="H24" s="450">
        <f t="shared" si="10"/>
        <v>9972</v>
      </c>
      <c r="I24" s="426">
        <f t="shared" si="11"/>
        <v>9494</v>
      </c>
      <c r="J24" s="164">
        <f t="shared" si="16"/>
        <v>9972</v>
      </c>
      <c r="K24" s="165">
        <f t="shared" si="15"/>
        <v>9494</v>
      </c>
      <c r="L24" s="136"/>
      <c r="M24" s="779"/>
      <c r="N24" s="779"/>
      <c r="P24" s="656">
        <v>1</v>
      </c>
      <c r="Q24" s="651" t="s">
        <v>19</v>
      </c>
      <c r="R24" s="652">
        <v>1</v>
      </c>
      <c r="S24" s="652">
        <v>1</v>
      </c>
      <c r="T24" s="652">
        <v>1</v>
      </c>
      <c r="U24" s="652">
        <v>1</v>
      </c>
      <c r="V24" s="652">
        <v>1</v>
      </c>
      <c r="W24" s="703">
        <f t="shared" si="2"/>
        <v>0.66</v>
      </c>
      <c r="X24" s="703">
        <f t="shared" si="3"/>
        <v>0.73299999999999998</v>
      </c>
      <c r="Y24" s="703">
        <f t="shared" si="4"/>
        <v>0.79900000000000004</v>
      </c>
      <c r="Z24" s="703">
        <f t="shared" si="0"/>
        <v>0.94299999999999995</v>
      </c>
      <c r="AA24" s="703">
        <f t="shared" si="5"/>
        <v>1.0660000000000001</v>
      </c>
      <c r="AB24" s="435"/>
      <c r="AN24" s="136"/>
      <c r="AO24" s="780" t="s">
        <v>52</v>
      </c>
      <c r="AP24" s="780"/>
      <c r="AR24" s="207">
        <f t="shared" si="1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1" thickBot="1" x14ac:dyDescent="0.3">
      <c r="A25" s="641">
        <v>5326.2000000000007</v>
      </c>
      <c r="B25" s="641">
        <v>5068.25</v>
      </c>
      <c r="C25" s="644"/>
      <c r="D25" s="446">
        <v>3480.7523089214292</v>
      </c>
      <c r="E25" s="163">
        <v>18</v>
      </c>
      <c r="F25" s="159">
        <f t="shared" si="13"/>
        <v>5699.0340000000015</v>
      </c>
      <c r="G25" s="160">
        <f t="shared" si="14"/>
        <v>5423.0275000000001</v>
      </c>
      <c r="H25" s="450">
        <f t="shared" si="10"/>
        <v>10362</v>
      </c>
      <c r="I25" s="426">
        <f t="shared" si="11"/>
        <v>9860</v>
      </c>
      <c r="J25" s="161">
        <f t="shared" si="16"/>
        <v>10362</v>
      </c>
      <c r="K25" s="162">
        <f t="shared" si="15"/>
        <v>9860</v>
      </c>
      <c r="L25" s="136"/>
      <c r="M25" s="197" t="s">
        <v>56</v>
      </c>
      <c r="N25" s="213">
        <v>1.0321</v>
      </c>
      <c r="P25" s="655">
        <v>2</v>
      </c>
      <c r="Q25" s="210" t="s">
        <v>20</v>
      </c>
      <c r="R25" s="646">
        <v>10</v>
      </c>
      <c r="S25" s="646">
        <v>10</v>
      </c>
      <c r="T25" s="646">
        <v>10</v>
      </c>
      <c r="U25" s="646">
        <v>10</v>
      </c>
      <c r="V25" s="646">
        <v>10</v>
      </c>
      <c r="W25" s="702">
        <f t="shared" si="2"/>
        <v>0.54051800000000005</v>
      </c>
      <c r="X25" s="702">
        <f t="shared" si="3"/>
        <v>0.6</v>
      </c>
      <c r="Y25" s="702">
        <f t="shared" si="4"/>
        <v>0.65400000000000003</v>
      </c>
      <c r="Z25" s="702">
        <f t="shared" si="0"/>
        <v>0.77200000000000002</v>
      </c>
      <c r="AA25" s="702">
        <f t="shared" si="5"/>
        <v>0.872</v>
      </c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1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1" thickBot="1" x14ac:dyDescent="0.3">
      <c r="A26" s="641">
        <v>5526.4000000000005</v>
      </c>
      <c r="B26" s="641">
        <v>5257.4500000000007</v>
      </c>
      <c r="C26" s="644"/>
      <c r="D26" s="446">
        <v>3527.5979178000002</v>
      </c>
      <c r="E26" s="166">
        <v>19</v>
      </c>
      <c r="F26" s="159">
        <f t="shared" si="13"/>
        <v>5913.2480000000005</v>
      </c>
      <c r="G26" s="160">
        <f t="shared" si="14"/>
        <v>5625.4715000000015</v>
      </c>
      <c r="H26" s="450">
        <f t="shared" si="10"/>
        <v>10751</v>
      </c>
      <c r="I26" s="426">
        <f t="shared" si="11"/>
        <v>10228</v>
      </c>
      <c r="J26" s="164">
        <f t="shared" si="16"/>
        <v>10751</v>
      </c>
      <c r="K26" s="165">
        <f t="shared" si="15"/>
        <v>10228</v>
      </c>
      <c r="L26" s="136"/>
      <c r="M26" s="196" t="s">
        <v>36</v>
      </c>
      <c r="N26" s="191"/>
      <c r="P26" s="656">
        <v>3</v>
      </c>
      <c r="Q26" s="651" t="s">
        <v>21</v>
      </c>
      <c r="R26" s="652">
        <v>9</v>
      </c>
      <c r="S26" s="652">
        <v>9</v>
      </c>
      <c r="T26" s="652">
        <v>9</v>
      </c>
      <c r="U26" s="652">
        <v>9</v>
      </c>
      <c r="V26" s="652">
        <v>9</v>
      </c>
      <c r="W26" s="703">
        <f t="shared" si="2"/>
        <v>0.70289699999999999</v>
      </c>
      <c r="X26" s="703">
        <f t="shared" si="3"/>
        <v>0.752</v>
      </c>
      <c r="Y26" s="703">
        <f t="shared" si="4"/>
        <v>0.84199999999999997</v>
      </c>
      <c r="Z26" s="703">
        <f t="shared" si="0"/>
        <v>0.99399999999999999</v>
      </c>
      <c r="AA26" s="703">
        <f t="shared" si="5"/>
        <v>1.123</v>
      </c>
      <c r="AB26" s="435"/>
      <c r="AC26" s="780" t="s">
        <v>62</v>
      </c>
      <c r="AD26" s="780"/>
      <c r="AN26" s="136"/>
      <c r="AO26" s="297" t="s">
        <v>73</v>
      </c>
      <c r="AP26" s="298" t="s">
        <v>56</v>
      </c>
      <c r="AR26" s="207">
        <f t="shared" si="1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1" thickBot="1" x14ac:dyDescent="0.3">
      <c r="A27" s="641">
        <v>6221.6</v>
      </c>
      <c r="B27" s="641">
        <v>7554.8</v>
      </c>
      <c r="C27" s="644"/>
      <c r="D27" s="446">
        <v>3738.5916860266666</v>
      </c>
      <c r="E27" s="163">
        <v>20</v>
      </c>
      <c r="F27" s="159">
        <f t="shared" si="13"/>
        <v>6657.112000000001</v>
      </c>
      <c r="G27" s="160">
        <f t="shared" si="14"/>
        <v>8083.6360000000004</v>
      </c>
      <c r="H27" s="450">
        <f t="shared" si="10"/>
        <v>12104</v>
      </c>
      <c r="I27" s="426">
        <f t="shared" si="11"/>
        <v>14698</v>
      </c>
      <c r="J27" s="161">
        <f t="shared" si="16"/>
        <v>12104</v>
      </c>
      <c r="K27" s="162">
        <f t="shared" si="15"/>
        <v>14698</v>
      </c>
      <c r="L27" s="136"/>
      <c r="P27" s="655">
        <v>2</v>
      </c>
      <c r="Q27" s="210" t="s">
        <v>22</v>
      </c>
      <c r="R27" s="646">
        <v>2</v>
      </c>
      <c r="S27" s="646">
        <v>2</v>
      </c>
      <c r="T27" s="646">
        <v>2</v>
      </c>
      <c r="U27" s="646">
        <v>2</v>
      </c>
      <c r="V27" s="646">
        <v>2</v>
      </c>
      <c r="W27" s="702">
        <f t="shared" si="2"/>
        <v>0.53059999999999996</v>
      </c>
      <c r="X27" s="702">
        <f t="shared" si="3"/>
        <v>0.56799999999999995</v>
      </c>
      <c r="Y27" s="702">
        <f t="shared" si="4"/>
        <v>0.61899999999999999</v>
      </c>
      <c r="Z27" s="702">
        <f t="shared" si="0"/>
        <v>0.73</v>
      </c>
      <c r="AA27" s="702">
        <f t="shared" si="5"/>
        <v>0.82499999999999996</v>
      </c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1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1" thickBot="1" x14ac:dyDescent="0.3">
      <c r="A28" s="641">
        <v>6486.1500000000005</v>
      </c>
      <c r="B28" s="641">
        <v>8140.0000000000009</v>
      </c>
      <c r="C28" s="644"/>
      <c r="D28" s="446">
        <v>3991.6103938213337</v>
      </c>
      <c r="E28" s="166">
        <f>+E27+1</f>
        <v>21</v>
      </c>
      <c r="F28" s="159">
        <f t="shared" si="13"/>
        <v>6940.1805000000013</v>
      </c>
      <c r="G28" s="160">
        <f t="shared" si="14"/>
        <v>8709.8000000000011</v>
      </c>
      <c r="H28" s="450">
        <f t="shared" si="10"/>
        <v>12619</v>
      </c>
      <c r="I28" s="426">
        <f t="shared" si="11"/>
        <v>15836</v>
      </c>
      <c r="J28" s="164">
        <f t="shared" si="16"/>
        <v>12619</v>
      </c>
      <c r="K28" s="165">
        <f t="shared" si="15"/>
        <v>15836</v>
      </c>
      <c r="L28" s="136"/>
      <c r="M28" s="779" t="s">
        <v>237</v>
      </c>
      <c r="N28" s="779"/>
      <c r="P28" s="656">
        <v>3</v>
      </c>
      <c r="Q28" s="651" t="s">
        <v>23</v>
      </c>
      <c r="R28" s="652">
        <v>3</v>
      </c>
      <c r="S28" s="652">
        <v>3</v>
      </c>
      <c r="T28" s="652">
        <v>3</v>
      </c>
      <c r="U28" s="652">
        <v>3</v>
      </c>
      <c r="V28" s="652">
        <v>3</v>
      </c>
      <c r="W28" s="703">
        <f t="shared" si="2"/>
        <v>0.69</v>
      </c>
      <c r="X28" s="703">
        <f t="shared" si="3"/>
        <v>0.73799999999999999</v>
      </c>
      <c r="Y28" s="703">
        <f t="shared" si="4"/>
        <v>0.80400000000000005</v>
      </c>
      <c r="Z28" s="703">
        <f t="shared" si="0"/>
        <v>0.94899999999999995</v>
      </c>
      <c r="AA28" s="703">
        <f t="shared" si="5"/>
        <v>1.0720000000000001</v>
      </c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1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1" thickBot="1" x14ac:dyDescent="0.3">
      <c r="A29" s="641">
        <v>6750.7000000000007</v>
      </c>
      <c r="B29" s="641">
        <v>8724.6500000000015</v>
      </c>
      <c r="C29" s="644"/>
      <c r="D29" s="446">
        <v>4244.6291016160012</v>
      </c>
      <c r="E29" s="163">
        <f t="shared" ref="E29:E86" si="17">+E28+1</f>
        <v>22</v>
      </c>
      <c r="F29" s="159">
        <f t="shared" si="13"/>
        <v>7223.2490000000016</v>
      </c>
      <c r="G29" s="160">
        <f t="shared" si="14"/>
        <v>9335.3755000000019</v>
      </c>
      <c r="H29" s="450">
        <f t="shared" si="10"/>
        <v>13133</v>
      </c>
      <c r="I29" s="426">
        <f t="shared" si="11"/>
        <v>16973</v>
      </c>
      <c r="J29" s="161">
        <f t="shared" si="16"/>
        <v>13133</v>
      </c>
      <c r="K29" s="162">
        <f t="shared" si="15"/>
        <v>16973</v>
      </c>
      <c r="L29" s="136"/>
      <c r="M29" s="779"/>
      <c r="N29" s="779"/>
      <c r="P29" s="655">
        <v>5</v>
      </c>
      <c r="Q29" s="210" t="s">
        <v>24</v>
      </c>
      <c r="R29" s="646">
        <v>5</v>
      </c>
      <c r="S29" s="646">
        <v>5</v>
      </c>
      <c r="T29" s="646">
        <v>5</v>
      </c>
      <c r="U29" s="646">
        <v>5</v>
      </c>
      <c r="V29" s="646">
        <v>5</v>
      </c>
      <c r="W29" s="702">
        <f t="shared" si="2"/>
        <v>0.872</v>
      </c>
      <c r="X29" s="702">
        <f t="shared" si="3"/>
        <v>0.96799999999999997</v>
      </c>
      <c r="Y29" s="702">
        <f t="shared" si="4"/>
        <v>1.0549999999999999</v>
      </c>
      <c r="Z29" s="702">
        <f t="shared" si="0"/>
        <v>1.2450000000000001</v>
      </c>
      <c r="AA29" s="702">
        <f t="shared" si="5"/>
        <v>1.407</v>
      </c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1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1" thickBot="1" x14ac:dyDescent="0.3">
      <c r="A30" s="641">
        <v>7015.8</v>
      </c>
      <c r="B30" s="641">
        <v>9309.3000000000011</v>
      </c>
      <c r="C30" s="644"/>
      <c r="D30" s="446">
        <v>4497.6478094106678</v>
      </c>
      <c r="E30" s="166">
        <f t="shared" si="17"/>
        <v>23</v>
      </c>
      <c r="F30" s="159">
        <f t="shared" si="13"/>
        <v>7506.9060000000009</v>
      </c>
      <c r="G30" s="160">
        <f t="shared" si="14"/>
        <v>9960.9510000000009</v>
      </c>
      <c r="H30" s="450">
        <f t="shared" si="10"/>
        <v>13649</v>
      </c>
      <c r="I30" s="426">
        <f t="shared" si="11"/>
        <v>18111</v>
      </c>
      <c r="J30" s="164">
        <f t="shared" si="16"/>
        <v>13649</v>
      </c>
      <c r="K30" s="165">
        <f t="shared" si="15"/>
        <v>18111</v>
      </c>
      <c r="L30" s="136"/>
      <c r="M30" s="195" t="s">
        <v>56</v>
      </c>
      <c r="N30" s="211">
        <v>1.0142</v>
      </c>
      <c r="P30" s="656">
        <v>1</v>
      </c>
      <c r="Q30" s="651" t="s">
        <v>25</v>
      </c>
      <c r="R30" s="652">
        <v>1</v>
      </c>
      <c r="S30" s="652">
        <v>1</v>
      </c>
      <c r="T30" s="652">
        <v>1</v>
      </c>
      <c r="U30" s="652">
        <v>1</v>
      </c>
      <c r="V30" s="652">
        <v>1</v>
      </c>
      <c r="W30" s="703">
        <f t="shared" si="2"/>
        <v>0.66</v>
      </c>
      <c r="X30" s="703">
        <f t="shared" si="3"/>
        <v>0.73299999999999998</v>
      </c>
      <c r="Y30" s="703">
        <f t="shared" si="4"/>
        <v>0.79900000000000004</v>
      </c>
      <c r="Z30" s="703">
        <f t="shared" si="0"/>
        <v>0.94299999999999995</v>
      </c>
      <c r="AA30" s="703">
        <f t="shared" si="5"/>
        <v>1.0660000000000001</v>
      </c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5"/>
      <c r="AK30" s="635"/>
      <c r="AL30" s="635"/>
      <c r="AM30" s="635"/>
      <c r="AO30" s="310">
        <v>0.25</v>
      </c>
      <c r="AP30" s="249">
        <v>0.83</v>
      </c>
      <c r="AR30" s="207">
        <f t="shared" si="1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1" thickBot="1" x14ac:dyDescent="0.3">
      <c r="A31" s="641">
        <v>7280.35</v>
      </c>
      <c r="B31" s="641">
        <v>9597.5</v>
      </c>
      <c r="C31" s="644"/>
      <c r="D31" s="446">
        <v>4608.1465216891747</v>
      </c>
      <c r="E31" s="163">
        <f t="shared" si="17"/>
        <v>24</v>
      </c>
      <c r="F31" s="159">
        <f t="shared" si="13"/>
        <v>7789.9745000000012</v>
      </c>
      <c r="G31" s="160">
        <f t="shared" si="14"/>
        <v>10269.325000000001</v>
      </c>
      <c r="H31" s="450">
        <f t="shared" si="10"/>
        <v>14164</v>
      </c>
      <c r="I31" s="426">
        <f t="shared" si="11"/>
        <v>18672</v>
      </c>
      <c r="J31" s="161">
        <f t="shared" si="16"/>
        <v>14164</v>
      </c>
      <c r="K31" s="162">
        <f t="shared" si="15"/>
        <v>18672</v>
      </c>
      <c r="L31" s="136"/>
      <c r="M31" s="195" t="s">
        <v>36</v>
      </c>
      <c r="N31" s="212">
        <v>85.54</v>
      </c>
      <c r="P31" s="655">
        <v>2</v>
      </c>
      <c r="Q31" s="210" t="s">
        <v>26</v>
      </c>
      <c r="R31" s="646">
        <v>2</v>
      </c>
      <c r="S31" s="646">
        <v>2</v>
      </c>
      <c r="T31" s="646">
        <v>2</v>
      </c>
      <c r="U31" s="646">
        <v>2</v>
      </c>
      <c r="V31" s="646">
        <v>2</v>
      </c>
      <c r="W31" s="702">
        <f t="shared" si="2"/>
        <v>0.53059999999999996</v>
      </c>
      <c r="X31" s="702">
        <f t="shared" si="3"/>
        <v>0.56799999999999995</v>
      </c>
      <c r="Y31" s="702">
        <f t="shared" si="4"/>
        <v>0.61899999999999999</v>
      </c>
      <c r="Z31" s="702">
        <f t="shared" si="0"/>
        <v>0.73</v>
      </c>
      <c r="AA31" s="702">
        <f t="shared" si="5"/>
        <v>0.82499999999999996</v>
      </c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1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1" thickBot="1" x14ac:dyDescent="0.3">
      <c r="A32" s="641">
        <v>7544.9000000000005</v>
      </c>
      <c r="B32" s="641">
        <v>10479.150000000001</v>
      </c>
      <c r="C32" s="644"/>
      <c r="D32" s="446">
        <v>5003.685225000002</v>
      </c>
      <c r="E32" s="166">
        <f t="shared" si="17"/>
        <v>25</v>
      </c>
      <c r="F32" s="159">
        <f t="shared" si="13"/>
        <v>8073.0430000000015</v>
      </c>
      <c r="G32" s="160">
        <f t="shared" si="14"/>
        <v>11212.690500000002</v>
      </c>
      <c r="H32" s="450">
        <f t="shared" si="10"/>
        <v>14678</v>
      </c>
      <c r="I32" s="426">
        <f t="shared" si="11"/>
        <v>20387</v>
      </c>
      <c r="J32" s="164">
        <f t="shared" si="16"/>
        <v>14678</v>
      </c>
      <c r="K32" s="165">
        <f t="shared" si="15"/>
        <v>20387</v>
      </c>
      <c r="L32" s="136"/>
      <c r="P32" s="656">
        <v>5</v>
      </c>
      <c r="Q32" s="651" t="s">
        <v>27</v>
      </c>
      <c r="R32" s="652">
        <v>5</v>
      </c>
      <c r="S32" s="652">
        <v>5</v>
      </c>
      <c r="T32" s="652">
        <v>5</v>
      </c>
      <c r="U32" s="652">
        <v>5</v>
      </c>
      <c r="V32" s="652">
        <v>5</v>
      </c>
      <c r="W32" s="703">
        <f t="shared" si="2"/>
        <v>0.872</v>
      </c>
      <c r="X32" s="703">
        <f t="shared" si="3"/>
        <v>0.96799999999999997</v>
      </c>
      <c r="Y32" s="703">
        <f t="shared" si="4"/>
        <v>1.0549999999999999</v>
      </c>
      <c r="Z32" s="703">
        <f t="shared" si="0"/>
        <v>1.2450000000000001</v>
      </c>
      <c r="AA32" s="703">
        <f t="shared" si="5"/>
        <v>1.407</v>
      </c>
      <c r="AB32" s="435"/>
      <c r="AE32" s="142"/>
      <c r="AF32" s="142"/>
      <c r="AG32" s="142"/>
      <c r="AH32" s="142"/>
      <c r="AI32" s="142"/>
      <c r="AJ32" s="636"/>
      <c r="AK32" s="636"/>
      <c r="AL32" s="636"/>
      <c r="AM32" s="636"/>
      <c r="AO32" s="329" t="s">
        <v>73</v>
      </c>
      <c r="AP32" s="329" t="s">
        <v>222</v>
      </c>
      <c r="AR32" s="207">
        <f t="shared" si="1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1" thickBot="1" x14ac:dyDescent="0.3">
      <c r="A33" s="641">
        <v>7741.8</v>
      </c>
      <c r="B33" s="641">
        <v>10709.6</v>
      </c>
      <c r="C33" s="644"/>
      <c r="D33" s="446">
        <v>5342.4142301220008</v>
      </c>
      <c r="E33" s="163">
        <f t="shared" si="17"/>
        <v>26</v>
      </c>
      <c r="F33" s="159">
        <f t="shared" si="13"/>
        <v>8283.7260000000006</v>
      </c>
      <c r="G33" s="160">
        <f t="shared" si="14"/>
        <v>11459.272000000001</v>
      </c>
      <c r="H33" s="450">
        <f t="shared" si="10"/>
        <v>15061</v>
      </c>
      <c r="I33" s="426">
        <f t="shared" si="11"/>
        <v>20835</v>
      </c>
      <c r="J33" s="161">
        <f t="shared" si="16"/>
        <v>15061</v>
      </c>
      <c r="K33" s="162">
        <f t="shared" si="15"/>
        <v>20835</v>
      </c>
      <c r="L33" s="136"/>
      <c r="P33" s="655">
        <v>2</v>
      </c>
      <c r="Q33" s="210" t="s">
        <v>28</v>
      </c>
      <c r="R33" s="646">
        <v>2</v>
      </c>
      <c r="S33" s="646">
        <v>2</v>
      </c>
      <c r="T33" s="646">
        <v>2</v>
      </c>
      <c r="U33" s="646">
        <v>2</v>
      </c>
      <c r="V33" s="646">
        <v>2</v>
      </c>
      <c r="W33" s="702">
        <f t="shared" si="2"/>
        <v>0.53059999999999996</v>
      </c>
      <c r="X33" s="702">
        <f t="shared" si="3"/>
        <v>0.56799999999999995</v>
      </c>
      <c r="Y33" s="702">
        <f t="shared" si="4"/>
        <v>0.61899999999999999</v>
      </c>
      <c r="Z33" s="702">
        <f t="shared" si="0"/>
        <v>0.73</v>
      </c>
      <c r="AA33" s="702">
        <f t="shared" si="5"/>
        <v>0.82499999999999996</v>
      </c>
      <c r="AB33" s="435"/>
      <c r="AC33" s="781" t="s">
        <v>60</v>
      </c>
      <c r="AD33" s="781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1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1" thickBot="1" x14ac:dyDescent="0.3">
      <c r="A34" s="641">
        <v>7938.7000000000007</v>
      </c>
      <c r="B34" s="641">
        <v>10940.050000000001</v>
      </c>
      <c r="C34" s="644"/>
      <c r="D34" s="446">
        <v>5681.1432352439997</v>
      </c>
      <c r="E34" s="166">
        <f t="shared" si="17"/>
        <v>27</v>
      </c>
      <c r="F34" s="159">
        <f t="shared" si="13"/>
        <v>8494.4090000000015</v>
      </c>
      <c r="G34" s="160">
        <f t="shared" si="14"/>
        <v>11705.853500000001</v>
      </c>
      <c r="H34" s="450">
        <f t="shared" si="10"/>
        <v>15444</v>
      </c>
      <c r="I34" s="426">
        <f t="shared" si="11"/>
        <v>21283</v>
      </c>
      <c r="J34" s="164">
        <f t="shared" si="16"/>
        <v>15444</v>
      </c>
      <c r="K34" s="165">
        <f t="shared" si="15"/>
        <v>21283</v>
      </c>
      <c r="L34" s="136"/>
      <c r="P34" s="656">
        <v>2</v>
      </c>
      <c r="Q34" s="651" t="s">
        <v>29</v>
      </c>
      <c r="R34" s="652">
        <v>2</v>
      </c>
      <c r="S34" s="652">
        <v>2</v>
      </c>
      <c r="T34" s="652">
        <v>2</v>
      </c>
      <c r="U34" s="652">
        <v>2</v>
      </c>
      <c r="V34" s="652">
        <v>2</v>
      </c>
      <c r="W34" s="703">
        <f t="shared" si="2"/>
        <v>0.53059999999999996</v>
      </c>
      <c r="X34" s="703">
        <f t="shared" si="3"/>
        <v>0.56799999999999995</v>
      </c>
      <c r="Y34" s="703">
        <f t="shared" si="4"/>
        <v>0.61899999999999999</v>
      </c>
      <c r="Z34" s="703">
        <f t="shared" si="0"/>
        <v>0.73</v>
      </c>
      <c r="AA34" s="703">
        <f t="shared" si="5"/>
        <v>0.82499999999999996</v>
      </c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1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x14ac:dyDescent="0.25">
      <c r="A35" s="641">
        <v>8135.6</v>
      </c>
      <c r="B35" s="641">
        <v>11170.5</v>
      </c>
      <c r="C35" s="644"/>
      <c r="D35" s="446">
        <v>6019.8722403659986</v>
      </c>
      <c r="E35" s="163">
        <f t="shared" si="17"/>
        <v>28</v>
      </c>
      <c r="F35" s="159">
        <f t="shared" si="13"/>
        <v>8705.0920000000006</v>
      </c>
      <c r="G35" s="160">
        <f t="shared" si="14"/>
        <v>11952.435000000001</v>
      </c>
      <c r="H35" s="450">
        <f t="shared" si="10"/>
        <v>15827</v>
      </c>
      <c r="I35" s="426">
        <f t="shared" si="11"/>
        <v>21732</v>
      </c>
      <c r="J35" s="161">
        <f t="shared" si="16"/>
        <v>15827</v>
      </c>
      <c r="K35" s="162">
        <f t="shared" si="15"/>
        <v>21732</v>
      </c>
      <c r="L35" s="136"/>
      <c r="M35" s="780" t="s">
        <v>147</v>
      </c>
      <c r="N35" s="780"/>
      <c r="O35" s="780"/>
      <c r="P35" s="655">
        <v>2</v>
      </c>
      <c r="Q35" s="210" t="s">
        <v>30</v>
      </c>
      <c r="R35" s="646">
        <v>2</v>
      </c>
      <c r="S35" s="646">
        <v>10</v>
      </c>
      <c r="T35" s="646">
        <v>10</v>
      </c>
      <c r="U35" s="646">
        <v>10</v>
      </c>
      <c r="V35" s="646">
        <v>10</v>
      </c>
      <c r="W35" s="702">
        <f t="shared" si="2"/>
        <v>0.53059999999999996</v>
      </c>
      <c r="X35" s="702">
        <f t="shared" si="3"/>
        <v>0.6</v>
      </c>
      <c r="Y35" s="702">
        <f t="shared" si="4"/>
        <v>0.65400000000000003</v>
      </c>
      <c r="Z35" s="702">
        <f t="shared" si="0"/>
        <v>0.77200000000000002</v>
      </c>
      <c r="AA35" s="702">
        <f t="shared" si="5"/>
        <v>0.872</v>
      </c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1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1" thickBot="1" x14ac:dyDescent="0.3">
      <c r="A36" s="641">
        <v>8332.5</v>
      </c>
      <c r="B36" s="641">
        <v>11400.400000000001</v>
      </c>
      <c r="C36" s="644"/>
      <c r="D36" s="446">
        <v>6358.6012454879983</v>
      </c>
      <c r="E36" s="166">
        <f t="shared" si="17"/>
        <v>29</v>
      </c>
      <c r="F36" s="159">
        <f t="shared" si="13"/>
        <v>8915.7749999999996</v>
      </c>
      <c r="G36" s="160">
        <f t="shared" si="14"/>
        <v>12198.428000000002</v>
      </c>
      <c r="H36" s="450">
        <f t="shared" si="10"/>
        <v>16211</v>
      </c>
      <c r="I36" s="426">
        <f t="shared" si="11"/>
        <v>22179</v>
      </c>
      <c r="J36" s="164">
        <f t="shared" si="16"/>
        <v>16211</v>
      </c>
      <c r="K36" s="165">
        <f t="shared" si="15"/>
        <v>22179</v>
      </c>
      <c r="L36" s="136"/>
      <c r="M36" s="781" t="s">
        <v>143</v>
      </c>
      <c r="N36" s="781"/>
      <c r="O36" s="781"/>
      <c r="P36" s="657">
        <v>5</v>
      </c>
      <c r="Q36" s="653" t="s">
        <v>31</v>
      </c>
      <c r="R36" s="654">
        <v>5</v>
      </c>
      <c r="S36" s="654">
        <v>5</v>
      </c>
      <c r="T36" s="654">
        <v>5</v>
      </c>
      <c r="U36" s="654">
        <v>5</v>
      </c>
      <c r="V36" s="654">
        <v>5</v>
      </c>
      <c r="W36" s="704">
        <f t="shared" si="2"/>
        <v>0.872</v>
      </c>
      <c r="X36" s="704">
        <f t="shared" si="3"/>
        <v>0.96799999999999997</v>
      </c>
      <c r="Y36" s="704">
        <f t="shared" si="4"/>
        <v>1.0549999999999999</v>
      </c>
      <c r="Z36" s="704">
        <f t="shared" si="0"/>
        <v>1.2450000000000001</v>
      </c>
      <c r="AA36" s="704">
        <f t="shared" si="5"/>
        <v>1.407</v>
      </c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1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1">
        <v>8529.4000000000015</v>
      </c>
      <c r="B37" s="641">
        <v>11631.400000000001</v>
      </c>
      <c r="C37" s="644"/>
      <c r="D37" s="446">
        <v>6697.3302506099972</v>
      </c>
      <c r="E37" s="163">
        <f t="shared" si="17"/>
        <v>30</v>
      </c>
      <c r="F37" s="159">
        <f t="shared" si="13"/>
        <v>9126.4580000000024</v>
      </c>
      <c r="G37" s="160">
        <f t="shared" si="14"/>
        <v>12445.598000000002</v>
      </c>
      <c r="H37" s="450">
        <f t="shared" si="10"/>
        <v>16594</v>
      </c>
      <c r="I37" s="426">
        <f t="shared" si="11"/>
        <v>22628</v>
      </c>
      <c r="J37" s="161">
        <f t="shared" si="16"/>
        <v>16594</v>
      </c>
      <c r="K37" s="162">
        <f t="shared" si="15"/>
        <v>22628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1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1">
        <v>8823.1</v>
      </c>
      <c r="B38" s="641">
        <v>11919.6</v>
      </c>
      <c r="C38" s="644"/>
      <c r="D38" s="446">
        <v>7150.2389273999979</v>
      </c>
      <c r="E38" s="166">
        <f t="shared" si="17"/>
        <v>31</v>
      </c>
      <c r="F38" s="159">
        <f t="shared" si="13"/>
        <v>9440.7170000000006</v>
      </c>
      <c r="G38" s="160">
        <f t="shared" si="14"/>
        <v>12753.972000000002</v>
      </c>
      <c r="H38" s="450">
        <f t="shared" si="10"/>
        <v>17165</v>
      </c>
      <c r="I38" s="426">
        <f t="shared" si="11"/>
        <v>23189</v>
      </c>
      <c r="J38" s="164">
        <f t="shared" si="16"/>
        <v>17165</v>
      </c>
      <c r="K38" s="165">
        <f t="shared" si="15"/>
        <v>23189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7"/>
      <c r="AK38" s="637"/>
      <c r="AL38" s="637"/>
      <c r="AM38" s="637"/>
      <c r="AN38" s="244"/>
      <c r="AR38" s="207">
        <f t="shared" si="1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1">
        <v>9116.25</v>
      </c>
      <c r="B39" s="641">
        <v>12206.7</v>
      </c>
      <c r="C39" s="644"/>
      <c r="D39" s="446">
        <v>7603.1476041899987</v>
      </c>
      <c r="E39" s="163">
        <f t="shared" si="17"/>
        <v>32</v>
      </c>
      <c r="F39" s="159">
        <f t="shared" si="13"/>
        <v>9754.3875000000007</v>
      </c>
      <c r="G39" s="160">
        <f t="shared" si="14"/>
        <v>13061.169000000002</v>
      </c>
      <c r="H39" s="450">
        <f t="shared" si="10"/>
        <v>17735</v>
      </c>
      <c r="I39" s="426">
        <f t="shared" si="11"/>
        <v>23748</v>
      </c>
      <c r="J39" s="161">
        <f t="shared" si="16"/>
        <v>17735</v>
      </c>
      <c r="K39" s="162">
        <f t="shared" si="15"/>
        <v>23748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1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1">
        <v>9408.85</v>
      </c>
      <c r="B40" s="641">
        <v>12495.45</v>
      </c>
      <c r="C40" s="644"/>
      <c r="D40" s="446">
        <v>8056.0562809799994</v>
      </c>
      <c r="E40" s="166">
        <f t="shared" si="17"/>
        <v>33</v>
      </c>
      <c r="F40" s="159">
        <f t="shared" si="13"/>
        <v>10067.469500000001</v>
      </c>
      <c r="G40" s="160">
        <f t="shared" si="14"/>
        <v>13370.131500000001</v>
      </c>
      <c r="H40" s="450">
        <f t="shared" si="10"/>
        <v>18304</v>
      </c>
      <c r="I40" s="426">
        <f t="shared" si="11"/>
        <v>24309</v>
      </c>
      <c r="J40" s="164">
        <f t="shared" si="16"/>
        <v>18304</v>
      </c>
      <c r="K40" s="165">
        <f t="shared" si="15"/>
        <v>24309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1" t="s">
        <v>162</v>
      </c>
      <c r="R40" s="781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7"/>
      <c r="AK40" s="637"/>
      <c r="AL40" s="637"/>
      <c r="AM40" s="637"/>
      <c r="AN40" s="209"/>
      <c r="AO40" s="146" t="s">
        <v>181</v>
      </c>
      <c r="AP40" s="147">
        <v>0.04</v>
      </c>
      <c r="AR40" s="207">
        <f t="shared" si="1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1">
        <v>9702.5500000000011</v>
      </c>
      <c r="B41" s="641">
        <v>12783.1</v>
      </c>
      <c r="C41" s="644"/>
      <c r="D41" s="446">
        <v>8508.9649577700002</v>
      </c>
      <c r="E41" s="163">
        <f t="shared" si="17"/>
        <v>34</v>
      </c>
      <c r="F41" s="159">
        <f t="shared" si="13"/>
        <v>10381.728500000001</v>
      </c>
      <c r="G41" s="160">
        <f t="shared" si="14"/>
        <v>13677.917000000001</v>
      </c>
      <c r="H41" s="450">
        <f t="shared" si="10"/>
        <v>18876</v>
      </c>
      <c r="I41" s="426">
        <f t="shared" si="11"/>
        <v>24869</v>
      </c>
      <c r="J41" s="161">
        <f t="shared" si="16"/>
        <v>18876</v>
      </c>
      <c r="K41" s="162">
        <f t="shared" si="15"/>
        <v>24869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1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1">
        <v>9996.25</v>
      </c>
      <c r="B42" s="641">
        <v>13071.300000000001</v>
      </c>
      <c r="C42" s="644"/>
      <c r="D42" s="446">
        <v>8961.8736345600009</v>
      </c>
      <c r="E42" s="166">
        <f t="shared" si="17"/>
        <v>35</v>
      </c>
      <c r="F42" s="159">
        <f t="shared" si="13"/>
        <v>10695.987500000001</v>
      </c>
      <c r="G42" s="160">
        <f t="shared" si="14"/>
        <v>13986.291000000001</v>
      </c>
      <c r="H42" s="450">
        <f t="shared" si="10"/>
        <v>19447</v>
      </c>
      <c r="I42" s="426">
        <f t="shared" si="11"/>
        <v>25430</v>
      </c>
      <c r="J42" s="164">
        <f t="shared" si="16"/>
        <v>19447</v>
      </c>
      <c r="K42" s="165">
        <f t="shared" si="15"/>
        <v>25430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1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1">
        <v>10340.550000000001</v>
      </c>
      <c r="B43" s="641">
        <v>13321.550000000001</v>
      </c>
      <c r="C43" s="644"/>
      <c r="D43" s="446">
        <v>9467.686395671999</v>
      </c>
      <c r="E43" s="163">
        <f t="shared" si="17"/>
        <v>36</v>
      </c>
      <c r="F43" s="159">
        <f t="shared" si="13"/>
        <v>11064.388500000001</v>
      </c>
      <c r="G43" s="160">
        <f t="shared" si="14"/>
        <v>14254.058500000003</v>
      </c>
      <c r="H43" s="450">
        <f t="shared" si="10"/>
        <v>20117</v>
      </c>
      <c r="I43" s="426">
        <f t="shared" si="11"/>
        <v>25916</v>
      </c>
      <c r="J43" s="161">
        <f t="shared" si="16"/>
        <v>20117</v>
      </c>
      <c r="K43" s="162">
        <f t="shared" si="15"/>
        <v>25916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80" t="s">
        <v>50</v>
      </c>
      <c r="AD43" s="780"/>
      <c r="AE43" s="142"/>
      <c r="AF43" s="142"/>
      <c r="AG43" s="142"/>
      <c r="AH43" s="142"/>
      <c r="AI43" s="142"/>
      <c r="AR43" s="225">
        <f t="shared" si="1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1">
        <v>10684.300000000001</v>
      </c>
      <c r="B44" s="641">
        <v>13571.250000000002</v>
      </c>
      <c r="C44" s="644"/>
      <c r="D44" s="446">
        <v>9973.499156783997</v>
      </c>
      <c r="E44" s="166">
        <f t="shared" si="17"/>
        <v>37</v>
      </c>
      <c r="F44" s="159">
        <f t="shared" si="13"/>
        <v>11432.201000000001</v>
      </c>
      <c r="G44" s="160">
        <f t="shared" si="14"/>
        <v>14521.237500000003</v>
      </c>
      <c r="H44" s="450">
        <f t="shared" si="10"/>
        <v>20786</v>
      </c>
      <c r="I44" s="426">
        <f t="shared" si="11"/>
        <v>26402</v>
      </c>
      <c r="J44" s="164">
        <f t="shared" si="16"/>
        <v>20786</v>
      </c>
      <c r="K44" s="165">
        <f t="shared" si="15"/>
        <v>26402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1" t="s">
        <v>233</v>
      </c>
      <c r="AP44" s="781"/>
      <c r="AR44" s="207">
        <f t="shared" si="1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1">
        <v>11029.150000000001</v>
      </c>
      <c r="B45" s="641">
        <v>13822.6</v>
      </c>
      <c r="C45" s="644"/>
      <c r="D45" s="446">
        <v>10479.311917895995</v>
      </c>
      <c r="E45" s="163">
        <f t="shared" si="17"/>
        <v>38</v>
      </c>
      <c r="F45" s="159">
        <f t="shared" si="13"/>
        <v>11801.190500000002</v>
      </c>
      <c r="G45" s="160">
        <f t="shared" si="14"/>
        <v>14790.182000000001</v>
      </c>
      <c r="H45" s="450">
        <f t="shared" si="10"/>
        <v>21457</v>
      </c>
      <c r="I45" s="426">
        <f t="shared" si="11"/>
        <v>26891</v>
      </c>
      <c r="J45" s="161">
        <f t="shared" si="16"/>
        <v>21457</v>
      </c>
      <c r="K45" s="162">
        <f t="shared" si="15"/>
        <v>26891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1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1">
        <v>11373.45</v>
      </c>
      <c r="B46" s="641">
        <v>14072.300000000001</v>
      </c>
      <c r="C46" s="644"/>
      <c r="D46" s="446">
        <v>10985.124679007993</v>
      </c>
      <c r="E46" s="166">
        <f t="shared" si="17"/>
        <v>39</v>
      </c>
      <c r="F46" s="159">
        <f t="shared" si="13"/>
        <v>12169.591500000002</v>
      </c>
      <c r="G46" s="160">
        <f t="shared" si="14"/>
        <v>15057.361000000003</v>
      </c>
      <c r="H46" s="450">
        <f t="shared" si="10"/>
        <v>22127</v>
      </c>
      <c r="I46" s="426">
        <f t="shared" si="11"/>
        <v>27377</v>
      </c>
      <c r="J46" s="164">
        <f t="shared" si="16"/>
        <v>22127</v>
      </c>
      <c r="K46" s="165">
        <f t="shared" si="15"/>
        <v>27377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1">
        <v>11717.750000000002</v>
      </c>
      <c r="B47" s="641">
        <v>14322.550000000001</v>
      </c>
      <c r="C47" s="644"/>
      <c r="D47" s="446">
        <v>11490.937440119993</v>
      </c>
      <c r="E47" s="163">
        <f t="shared" si="17"/>
        <v>40</v>
      </c>
      <c r="F47" s="159">
        <f t="shared" si="13"/>
        <v>12537.992500000002</v>
      </c>
      <c r="G47" s="160">
        <f t="shared" si="14"/>
        <v>15325.128500000003</v>
      </c>
      <c r="H47" s="450">
        <f t="shared" si="10"/>
        <v>22796</v>
      </c>
      <c r="I47" s="426">
        <f t="shared" si="11"/>
        <v>27864</v>
      </c>
      <c r="J47" s="161">
        <f t="shared" si="16"/>
        <v>22796</v>
      </c>
      <c r="K47" s="162">
        <f t="shared" si="15"/>
        <v>27864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1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1">
        <v>12449.250000000002</v>
      </c>
      <c r="B48" s="641">
        <v>15230.6</v>
      </c>
      <c r="C48" s="644"/>
      <c r="D48" s="446">
        <v>12056.654970575986</v>
      </c>
      <c r="E48" s="166">
        <f t="shared" si="17"/>
        <v>41</v>
      </c>
      <c r="F48" s="159">
        <f t="shared" si="13"/>
        <v>13320.697500000002</v>
      </c>
      <c r="G48" s="160">
        <f t="shared" si="14"/>
        <v>16296.742000000002</v>
      </c>
      <c r="H48" s="450">
        <f t="shared" si="10"/>
        <v>24219</v>
      </c>
      <c r="I48" s="426">
        <f t="shared" si="11"/>
        <v>29630</v>
      </c>
      <c r="J48" s="164">
        <f t="shared" si="16"/>
        <v>24219</v>
      </c>
      <c r="K48" s="165">
        <f t="shared" si="15"/>
        <v>29630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1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1">
        <v>13180.2</v>
      </c>
      <c r="B49" s="641">
        <v>16139.750000000002</v>
      </c>
      <c r="C49" s="644"/>
      <c r="D49" s="446">
        <v>12622.372501031979</v>
      </c>
      <c r="E49" s="163">
        <f t="shared" si="17"/>
        <v>42</v>
      </c>
      <c r="F49" s="159">
        <f t="shared" si="13"/>
        <v>14102.814000000002</v>
      </c>
      <c r="G49" s="160">
        <f t="shared" si="14"/>
        <v>17269.532500000001</v>
      </c>
      <c r="H49" s="450">
        <f t="shared" si="10"/>
        <v>25641</v>
      </c>
      <c r="I49" s="426">
        <f t="shared" si="11"/>
        <v>31399</v>
      </c>
      <c r="J49" s="161">
        <f t="shared" si="16"/>
        <v>25641</v>
      </c>
      <c r="K49" s="162">
        <f t="shared" si="15"/>
        <v>31399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1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1">
        <v>13910.6</v>
      </c>
      <c r="B50" s="641">
        <v>17048.900000000001</v>
      </c>
      <c r="C50" s="644"/>
      <c r="D50" s="446">
        <v>13188.090031487975</v>
      </c>
      <c r="E50" s="166">
        <f t="shared" si="17"/>
        <v>43</v>
      </c>
      <c r="F50" s="159">
        <f t="shared" si="13"/>
        <v>14884.342000000001</v>
      </c>
      <c r="G50" s="160">
        <f t="shared" si="14"/>
        <v>18242.323000000004</v>
      </c>
      <c r="H50" s="450">
        <f t="shared" si="10"/>
        <v>27062</v>
      </c>
      <c r="I50" s="426">
        <f t="shared" si="11"/>
        <v>33168</v>
      </c>
      <c r="J50" s="164">
        <f t="shared" si="16"/>
        <v>27062</v>
      </c>
      <c r="K50" s="165">
        <f t="shared" si="15"/>
        <v>33168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289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1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1">
        <v>14641.550000000001</v>
      </c>
      <c r="B51" s="641">
        <v>17958.050000000003</v>
      </c>
      <c r="C51" s="644"/>
      <c r="D51" s="446">
        <v>13753.80756194397</v>
      </c>
      <c r="E51" s="163">
        <f t="shared" si="17"/>
        <v>44</v>
      </c>
      <c r="F51" s="159">
        <f t="shared" si="13"/>
        <v>15666.458500000002</v>
      </c>
      <c r="G51" s="160">
        <f t="shared" si="14"/>
        <v>19215.113500000003</v>
      </c>
      <c r="H51" s="450">
        <f t="shared" si="10"/>
        <v>28484</v>
      </c>
      <c r="I51" s="426">
        <f t="shared" si="11"/>
        <v>34937</v>
      </c>
      <c r="J51" s="161">
        <f t="shared" si="16"/>
        <v>28484</v>
      </c>
      <c r="K51" s="162">
        <f t="shared" si="15"/>
        <v>34937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244</v>
      </c>
      <c r="AP51" s="337"/>
      <c r="AR51" s="225">
        <f t="shared" si="1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1">
        <v>15373.050000000001</v>
      </c>
      <c r="B52" s="641">
        <v>18866.100000000002</v>
      </c>
      <c r="C52" s="644"/>
      <c r="D52" s="446">
        <v>14319.525092399963</v>
      </c>
      <c r="E52" s="166">
        <f t="shared" si="17"/>
        <v>45</v>
      </c>
      <c r="F52" s="159">
        <f t="shared" si="13"/>
        <v>16449.163500000002</v>
      </c>
      <c r="G52" s="160">
        <f t="shared" si="14"/>
        <v>20186.727000000003</v>
      </c>
      <c r="H52" s="450">
        <f t="shared" si="10"/>
        <v>29908</v>
      </c>
      <c r="I52" s="426">
        <f t="shared" si="11"/>
        <v>36703</v>
      </c>
      <c r="J52" s="164">
        <f t="shared" si="16"/>
        <v>29908</v>
      </c>
      <c r="K52" s="165">
        <f t="shared" si="15"/>
        <v>36703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1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1">
        <v>16038.550000000001</v>
      </c>
      <c r="B53" s="641">
        <v>19768.650000000001</v>
      </c>
      <c r="C53" s="644"/>
      <c r="D53" s="446">
        <v>15024.62262373997</v>
      </c>
      <c r="E53" s="163">
        <f t="shared" si="17"/>
        <v>46</v>
      </c>
      <c r="F53" s="159">
        <f t="shared" si="13"/>
        <v>17161.248500000002</v>
      </c>
      <c r="G53" s="160">
        <f t="shared" si="14"/>
        <v>21152.455500000004</v>
      </c>
      <c r="H53" s="450">
        <f t="shared" si="10"/>
        <v>31202</v>
      </c>
      <c r="I53" s="426">
        <f t="shared" si="11"/>
        <v>38459</v>
      </c>
      <c r="J53" s="161">
        <f t="shared" si="16"/>
        <v>31202</v>
      </c>
      <c r="K53" s="162">
        <f t="shared" si="15"/>
        <v>38459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1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1">
        <v>16705.150000000001</v>
      </c>
      <c r="B54" s="641">
        <v>20670.650000000001</v>
      </c>
      <c r="C54" s="644"/>
      <c r="D54" s="446">
        <v>15729.720155079976</v>
      </c>
      <c r="E54" s="166">
        <f t="shared" si="17"/>
        <v>47</v>
      </c>
      <c r="F54" s="159">
        <f t="shared" si="13"/>
        <v>17874.510500000004</v>
      </c>
      <c r="G54" s="160">
        <f t="shared" si="14"/>
        <v>22117.595500000003</v>
      </c>
      <c r="H54" s="450">
        <f t="shared" si="10"/>
        <v>32499</v>
      </c>
      <c r="I54" s="426">
        <f t="shared" si="11"/>
        <v>40214</v>
      </c>
      <c r="J54" s="164">
        <f t="shared" si="16"/>
        <v>32499</v>
      </c>
      <c r="K54" s="165">
        <f t="shared" si="15"/>
        <v>40214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1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1">
        <v>17370.650000000001</v>
      </c>
      <c r="B55" s="641">
        <v>21573.75</v>
      </c>
      <c r="C55" s="644"/>
      <c r="D55" s="446">
        <v>16434.817686419985</v>
      </c>
      <c r="E55" s="163">
        <f t="shared" si="17"/>
        <v>48</v>
      </c>
      <c r="F55" s="159">
        <f t="shared" si="13"/>
        <v>18586.595500000003</v>
      </c>
      <c r="G55" s="160">
        <f t="shared" si="14"/>
        <v>23083.912500000002</v>
      </c>
      <c r="H55" s="450">
        <f t="shared" si="10"/>
        <v>33794</v>
      </c>
      <c r="I55" s="426">
        <f t="shared" si="11"/>
        <v>41971</v>
      </c>
      <c r="J55" s="161">
        <f t="shared" si="16"/>
        <v>33794</v>
      </c>
      <c r="K55" s="162">
        <f t="shared" si="15"/>
        <v>41971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1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1">
        <v>18037.25</v>
      </c>
      <c r="B56" s="641">
        <v>22476.850000000002</v>
      </c>
      <c r="C56" s="644"/>
      <c r="D56" s="446">
        <v>17139.91521775999</v>
      </c>
      <c r="E56" s="166">
        <f t="shared" si="17"/>
        <v>49</v>
      </c>
      <c r="F56" s="159">
        <f t="shared" si="13"/>
        <v>19299.857500000002</v>
      </c>
      <c r="G56" s="160">
        <f t="shared" si="14"/>
        <v>24050.229500000005</v>
      </c>
      <c r="H56" s="450">
        <f t="shared" si="10"/>
        <v>35091</v>
      </c>
      <c r="I56" s="426">
        <f t="shared" si="11"/>
        <v>43728</v>
      </c>
      <c r="J56" s="164">
        <f t="shared" si="16"/>
        <v>35091</v>
      </c>
      <c r="K56" s="165">
        <f t="shared" si="15"/>
        <v>43728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1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1">
        <v>18702.75</v>
      </c>
      <c r="B57" s="641">
        <v>23378.850000000002</v>
      </c>
      <c r="C57" s="644"/>
      <c r="D57" s="446">
        <v>17845.012749099998</v>
      </c>
      <c r="E57" s="163">
        <f t="shared" si="17"/>
        <v>50</v>
      </c>
      <c r="F57" s="159">
        <f t="shared" si="13"/>
        <v>20011.942500000001</v>
      </c>
      <c r="G57" s="160">
        <f t="shared" si="14"/>
        <v>25015.369500000004</v>
      </c>
      <c r="H57" s="450">
        <f t="shared" si="10"/>
        <v>36385</v>
      </c>
      <c r="I57" s="426">
        <f t="shared" si="11"/>
        <v>45482</v>
      </c>
      <c r="J57" s="161">
        <f t="shared" si="16"/>
        <v>36385</v>
      </c>
      <c r="K57" s="162">
        <f t="shared" si="15"/>
        <v>45482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1">
        <v>20285.650000000001</v>
      </c>
      <c r="B58" s="641">
        <v>24617.45</v>
      </c>
      <c r="C58" s="644"/>
      <c r="D58" s="446">
        <v>18557.205326672</v>
      </c>
      <c r="E58" s="166">
        <f t="shared" si="17"/>
        <v>51</v>
      </c>
      <c r="F58" s="159">
        <f t="shared" si="13"/>
        <v>21705.645500000002</v>
      </c>
      <c r="G58" s="160">
        <f t="shared" si="14"/>
        <v>26340.671500000004</v>
      </c>
      <c r="H58" s="450">
        <f t="shared" si="10"/>
        <v>39465</v>
      </c>
      <c r="I58" s="426">
        <f t="shared" si="11"/>
        <v>47892</v>
      </c>
      <c r="J58" s="164">
        <f t="shared" si="16"/>
        <v>39465</v>
      </c>
      <c r="K58" s="165">
        <f t="shared" si="15"/>
        <v>47892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303</v>
      </c>
      <c r="AF58" s="706"/>
      <c r="AG58" s="706"/>
      <c r="AH58" s="706"/>
      <c r="AI58" s="209"/>
      <c r="AJ58" s="209"/>
      <c r="AK58" s="209"/>
      <c r="AL58" s="209"/>
      <c r="AM58" s="209"/>
      <c r="AR58" s="207">
        <f t="shared" si="1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1">
        <v>21868</v>
      </c>
      <c r="B59" s="641">
        <v>25856.050000000003</v>
      </c>
      <c r="C59" s="644"/>
      <c r="D59" s="446">
        <v>19269.397904244001</v>
      </c>
      <c r="E59" s="163">
        <f t="shared" si="17"/>
        <v>52</v>
      </c>
      <c r="F59" s="159">
        <f t="shared" si="13"/>
        <v>23398.760000000002</v>
      </c>
      <c r="G59" s="160">
        <f t="shared" si="14"/>
        <v>27665.973500000004</v>
      </c>
      <c r="H59" s="450">
        <f t="shared" si="10"/>
        <v>42543</v>
      </c>
      <c r="I59" s="426">
        <f t="shared" si="11"/>
        <v>50302</v>
      </c>
      <c r="J59" s="161">
        <f t="shared" si="16"/>
        <v>42543</v>
      </c>
      <c r="K59" s="162">
        <f t="shared" si="15"/>
        <v>50302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0">
        <v>1.37</v>
      </c>
      <c r="AE59" s="661">
        <v>1.4377</v>
      </c>
      <c r="AF59" s="707"/>
      <c r="AG59" s="707"/>
      <c r="AH59" s="707"/>
      <c r="AR59" s="225">
        <f t="shared" si="1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1">
        <v>23449.800000000003</v>
      </c>
      <c r="B60" s="641">
        <v>27094.65</v>
      </c>
      <c r="C60" s="644"/>
      <c r="D60" s="446">
        <v>19981.590481816002</v>
      </c>
      <c r="E60" s="166">
        <f t="shared" si="17"/>
        <v>53</v>
      </c>
      <c r="F60" s="159">
        <f t="shared" si="13"/>
        <v>25091.286000000004</v>
      </c>
      <c r="G60" s="160">
        <f t="shared" si="14"/>
        <v>28991.275500000003</v>
      </c>
      <c r="H60" s="450">
        <f t="shared" si="10"/>
        <v>45621</v>
      </c>
      <c r="I60" s="426">
        <f t="shared" si="11"/>
        <v>52711</v>
      </c>
      <c r="J60" s="164">
        <f t="shared" si="16"/>
        <v>45621</v>
      </c>
      <c r="K60" s="165">
        <f t="shared" si="15"/>
        <v>52711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5" t="s">
        <v>240</v>
      </c>
      <c r="AD60" s="785"/>
      <c r="AR60" s="207">
        <f t="shared" si="1"/>
        <v>68</v>
      </c>
      <c r="AS60" s="312">
        <v>7.3879E-2</v>
      </c>
      <c r="AT60" s="148"/>
      <c r="AU60" s="207">
        <v>66</v>
      </c>
      <c r="AV60" s="318">
        <f t="shared" ref="AV60:AV73" si="18">AV59</f>
        <v>0.25398100000000001</v>
      </c>
    </row>
    <row r="61" spans="1:48" x14ac:dyDescent="0.25">
      <c r="A61" s="641">
        <v>25032.15</v>
      </c>
      <c r="B61" s="641">
        <v>28333.250000000004</v>
      </c>
      <c r="C61" s="644"/>
      <c r="D61" s="446">
        <v>20693.783059388006</v>
      </c>
      <c r="E61" s="163">
        <f t="shared" si="17"/>
        <v>54</v>
      </c>
      <c r="F61" s="159">
        <f t="shared" si="13"/>
        <v>26784.400500000003</v>
      </c>
      <c r="G61" s="160">
        <f t="shared" si="14"/>
        <v>30316.577500000007</v>
      </c>
      <c r="H61" s="450">
        <f t="shared" si="10"/>
        <v>48699</v>
      </c>
      <c r="I61" s="426">
        <f t="shared" si="11"/>
        <v>55121</v>
      </c>
      <c r="J61" s="161">
        <f t="shared" si="16"/>
        <v>48699</v>
      </c>
      <c r="K61" s="162">
        <f t="shared" si="15"/>
        <v>55121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1"/>
        <v>69</v>
      </c>
      <c r="AS61" s="315">
        <v>7.9431000000000002E-2</v>
      </c>
      <c r="AT61" s="148"/>
      <c r="AU61" s="225">
        <v>67</v>
      </c>
      <c r="AV61" s="319">
        <f t="shared" si="18"/>
        <v>0.25398100000000001</v>
      </c>
    </row>
    <row r="62" spans="1:48" x14ac:dyDescent="0.25">
      <c r="A62" s="641">
        <v>26614.500000000004</v>
      </c>
      <c r="B62" s="641">
        <v>29571.850000000002</v>
      </c>
      <c r="C62" s="644"/>
      <c r="D62" s="446">
        <v>21405.975636960007</v>
      </c>
      <c r="E62" s="166">
        <f t="shared" si="17"/>
        <v>55</v>
      </c>
      <c r="F62" s="159">
        <f t="shared" si="13"/>
        <v>28477.515000000007</v>
      </c>
      <c r="G62" s="160">
        <f t="shared" si="14"/>
        <v>31641.879500000003</v>
      </c>
      <c r="H62" s="450">
        <f t="shared" si="10"/>
        <v>51777</v>
      </c>
      <c r="I62" s="426">
        <f t="shared" si="11"/>
        <v>57531</v>
      </c>
      <c r="J62" s="164">
        <f t="shared" si="16"/>
        <v>51777</v>
      </c>
      <c r="K62" s="165">
        <f t="shared" si="15"/>
        <v>57531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 t="str">
        <f>Cotizador!T27</f>
        <v/>
      </c>
      <c r="AD62" s="209" t="e">
        <f>VLOOKUP(AC62,$AC$64:$AD$74,2,0)</f>
        <v>#N/A</v>
      </c>
      <c r="AR62" s="207">
        <f t="shared" si="1"/>
        <v>70</v>
      </c>
      <c r="AS62" s="312">
        <v>8.5378999999999997E-2</v>
      </c>
      <c r="AT62" s="148"/>
      <c r="AU62" s="207">
        <v>68</v>
      </c>
      <c r="AV62" s="318">
        <f t="shared" si="18"/>
        <v>0.25398100000000001</v>
      </c>
    </row>
    <row r="63" spans="1:48" ht="11" thickBot="1" x14ac:dyDescent="0.3">
      <c r="A63" s="641">
        <v>28067.600000000002</v>
      </c>
      <c r="B63" s="641">
        <v>31076.100000000002</v>
      </c>
      <c r="C63" s="644"/>
      <c r="D63" s="446">
        <v>22345.76023198801</v>
      </c>
      <c r="E63" s="163">
        <f t="shared" si="17"/>
        <v>56</v>
      </c>
      <c r="F63" s="159">
        <f t="shared" si="13"/>
        <v>30032.332000000006</v>
      </c>
      <c r="G63" s="160">
        <f t="shared" si="14"/>
        <v>33251.427000000003</v>
      </c>
      <c r="H63" s="450">
        <f t="shared" si="10"/>
        <v>54604</v>
      </c>
      <c r="I63" s="426">
        <f t="shared" si="11"/>
        <v>60457</v>
      </c>
      <c r="J63" s="161">
        <f t="shared" si="16"/>
        <v>54604</v>
      </c>
      <c r="K63" s="162">
        <f t="shared" si="15"/>
        <v>60457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18"/>
        <v>0.25398100000000001</v>
      </c>
    </row>
    <row r="64" spans="1:48" x14ac:dyDescent="0.25">
      <c r="A64" s="641">
        <v>29521.250000000004</v>
      </c>
      <c r="B64" s="641">
        <v>32582.000000000004</v>
      </c>
      <c r="C64" s="644"/>
      <c r="D64" s="446">
        <v>23285.544827016012</v>
      </c>
      <c r="E64" s="166">
        <f t="shared" si="17"/>
        <v>57</v>
      </c>
      <c r="F64" s="159">
        <f t="shared" si="13"/>
        <v>31587.737500000007</v>
      </c>
      <c r="G64" s="160">
        <f t="shared" si="14"/>
        <v>34862.740000000005</v>
      </c>
      <c r="H64" s="450">
        <f t="shared" si="10"/>
        <v>57432</v>
      </c>
      <c r="I64" s="426">
        <f t="shared" si="11"/>
        <v>63387</v>
      </c>
      <c r="J64" s="164">
        <f t="shared" si="16"/>
        <v>57432</v>
      </c>
      <c r="K64" s="165">
        <f t="shared" si="15"/>
        <v>63387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1"/>
        <v>72</v>
      </c>
      <c r="AS64" s="312">
        <v>9.8638000000000003E-2</v>
      </c>
      <c r="AT64" s="148"/>
      <c r="AU64" s="207">
        <v>70</v>
      </c>
      <c r="AV64" s="318">
        <f t="shared" si="18"/>
        <v>0.25398100000000001</v>
      </c>
    </row>
    <row r="65" spans="1:48" x14ac:dyDescent="0.25">
      <c r="A65" s="641">
        <v>30974.350000000002</v>
      </c>
      <c r="B65" s="641">
        <v>34086.25</v>
      </c>
      <c r="C65" s="644"/>
      <c r="D65" s="446">
        <v>24225.329422044015</v>
      </c>
      <c r="E65" s="163">
        <f t="shared" si="17"/>
        <v>58</v>
      </c>
      <c r="F65" s="159">
        <f t="shared" si="13"/>
        <v>33142.554500000006</v>
      </c>
      <c r="G65" s="160">
        <f t="shared" si="14"/>
        <v>36472.287499999999</v>
      </c>
      <c r="H65" s="450">
        <f t="shared" si="10"/>
        <v>60259</v>
      </c>
      <c r="I65" s="426">
        <f t="shared" si="11"/>
        <v>66313</v>
      </c>
      <c r="J65" s="161">
        <f t="shared" si="16"/>
        <v>60259</v>
      </c>
      <c r="K65" s="162">
        <f t="shared" si="15"/>
        <v>66313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1"/>
        <v>73</v>
      </c>
      <c r="AS65" s="315">
        <v>0.10598299999999999</v>
      </c>
      <c r="AT65" s="148"/>
      <c r="AU65" s="225">
        <v>71</v>
      </c>
      <c r="AV65" s="319">
        <f t="shared" si="18"/>
        <v>0.25398100000000001</v>
      </c>
    </row>
    <row r="66" spans="1:48" x14ac:dyDescent="0.25">
      <c r="A66" s="641">
        <v>32428.000000000004</v>
      </c>
      <c r="B66" s="641">
        <v>35591.050000000003</v>
      </c>
      <c r="C66" s="644"/>
      <c r="D66" s="446">
        <v>25165.114017072017</v>
      </c>
      <c r="E66" s="166">
        <f t="shared" si="17"/>
        <v>59</v>
      </c>
      <c r="F66" s="159">
        <f t="shared" si="13"/>
        <v>34697.960000000006</v>
      </c>
      <c r="G66" s="160">
        <f t="shared" si="14"/>
        <v>38082.423500000004</v>
      </c>
      <c r="H66" s="450">
        <f t="shared" si="10"/>
        <v>63087</v>
      </c>
      <c r="I66" s="426">
        <f t="shared" si="11"/>
        <v>69241</v>
      </c>
      <c r="J66" s="164">
        <f t="shared" si="16"/>
        <v>63087</v>
      </c>
      <c r="K66" s="165">
        <f t="shared" si="15"/>
        <v>69241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1"/>
        <v>74</v>
      </c>
      <c r="AS66" s="312">
        <v>0.113845</v>
      </c>
      <c r="AT66" s="148"/>
      <c r="AU66" s="207">
        <v>72</v>
      </c>
      <c r="AV66" s="318">
        <f t="shared" si="18"/>
        <v>0.25398100000000001</v>
      </c>
    </row>
    <row r="67" spans="1:48" x14ac:dyDescent="0.25">
      <c r="A67" s="641">
        <v>36942.950000000004</v>
      </c>
      <c r="B67" s="641">
        <v>40448.65</v>
      </c>
      <c r="C67" s="644"/>
      <c r="D67" s="446">
        <v>26104.89861210002</v>
      </c>
      <c r="E67" s="163">
        <f t="shared" si="17"/>
        <v>60</v>
      </c>
      <c r="F67" s="159">
        <f t="shared" si="13"/>
        <v>39528.956500000008</v>
      </c>
      <c r="G67" s="160">
        <f t="shared" si="14"/>
        <v>43280.055500000002</v>
      </c>
      <c r="H67" s="450">
        <f t="shared" si="10"/>
        <v>71871</v>
      </c>
      <c r="I67" s="426">
        <f t="shared" si="11"/>
        <v>78691</v>
      </c>
      <c r="J67" s="161">
        <f t="shared" si="16"/>
        <v>71871</v>
      </c>
      <c r="K67" s="162">
        <f t="shared" si="15"/>
        <v>78691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1"/>
        <v>75</v>
      </c>
      <c r="AS67" s="315">
        <v>0.122276</v>
      </c>
      <c r="AT67" s="148"/>
      <c r="AU67" s="225">
        <v>73</v>
      </c>
      <c r="AV67" s="319">
        <f t="shared" si="18"/>
        <v>0.25398100000000001</v>
      </c>
    </row>
    <row r="68" spans="1:48" x14ac:dyDescent="0.25">
      <c r="A68" s="641">
        <v>39539.5</v>
      </c>
      <c r="B68" s="641">
        <v>42700.350000000006</v>
      </c>
      <c r="C68" s="644"/>
      <c r="D68" s="446">
        <v>28104.765974874023</v>
      </c>
      <c r="E68" s="166">
        <f t="shared" si="17"/>
        <v>61</v>
      </c>
      <c r="F68" s="159">
        <f t="shared" si="13"/>
        <v>42307.264999999999</v>
      </c>
      <c r="G68" s="160">
        <f t="shared" si="14"/>
        <v>45689.374500000005</v>
      </c>
      <c r="H68" s="450">
        <f t="shared" si="10"/>
        <v>76922</v>
      </c>
      <c r="I68" s="426">
        <f t="shared" si="11"/>
        <v>83072</v>
      </c>
      <c r="J68" s="164">
        <f t="shared" si="16"/>
        <v>76922</v>
      </c>
      <c r="K68" s="165">
        <f t="shared" si="15"/>
        <v>83072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1"/>
        <v>76</v>
      </c>
      <c r="AS68" s="312">
        <v>0.13131000000000001</v>
      </c>
      <c r="AT68" s="148"/>
      <c r="AU68" s="207">
        <v>74</v>
      </c>
      <c r="AV68" s="318">
        <f t="shared" si="18"/>
        <v>0.25398100000000001</v>
      </c>
    </row>
    <row r="69" spans="1:48" ht="11" thickBot="1" x14ac:dyDescent="0.3">
      <c r="A69" s="641">
        <v>42134.950000000004</v>
      </c>
      <c r="B69" s="641">
        <v>44951.5</v>
      </c>
      <c r="C69" s="644"/>
      <c r="D69" s="446">
        <v>30104.633337648025</v>
      </c>
      <c r="E69" s="163">
        <f t="shared" si="17"/>
        <v>62</v>
      </c>
      <c r="F69" s="159">
        <f t="shared" si="13"/>
        <v>45084.39650000001</v>
      </c>
      <c r="G69" s="160">
        <f t="shared" si="14"/>
        <v>48098.105000000003</v>
      </c>
      <c r="H69" s="450">
        <f t="shared" si="10"/>
        <v>81972</v>
      </c>
      <c r="I69" s="426">
        <f t="shared" si="11"/>
        <v>87451</v>
      </c>
      <c r="J69" s="161">
        <f t="shared" si="16"/>
        <v>81972</v>
      </c>
      <c r="K69" s="162">
        <f t="shared" si="15"/>
        <v>87451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9">AR68+1</f>
        <v>77</v>
      </c>
      <c r="AS69" s="315">
        <v>0.140983</v>
      </c>
      <c r="AT69" s="148"/>
      <c r="AU69" s="225">
        <v>75</v>
      </c>
      <c r="AV69" s="319">
        <f t="shared" si="18"/>
        <v>0.25398100000000001</v>
      </c>
    </row>
    <row r="70" spans="1:48" ht="11" thickBot="1" x14ac:dyDescent="0.3">
      <c r="A70" s="641">
        <v>44731.5</v>
      </c>
      <c r="B70" s="641">
        <v>47203.200000000004</v>
      </c>
      <c r="C70" s="644"/>
      <c r="D70" s="446">
        <v>32104.500700422028</v>
      </c>
      <c r="E70" s="166">
        <f t="shared" si="17"/>
        <v>63</v>
      </c>
      <c r="F70" s="159">
        <f t="shared" si="13"/>
        <v>47862.705000000002</v>
      </c>
      <c r="G70" s="160">
        <f t="shared" si="14"/>
        <v>50507.424000000006</v>
      </c>
      <c r="H70" s="450">
        <f t="shared" si="10"/>
        <v>87023</v>
      </c>
      <c r="I70" s="426">
        <f t="shared" si="11"/>
        <v>91832</v>
      </c>
      <c r="J70" s="164">
        <f t="shared" si="16"/>
        <v>87023</v>
      </c>
      <c r="K70" s="165">
        <f t="shared" si="15"/>
        <v>91832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9"/>
        <v>78</v>
      </c>
      <c r="AS70" s="312">
        <v>0.15131</v>
      </c>
      <c r="AT70" s="148"/>
      <c r="AU70" s="207">
        <v>76</v>
      </c>
      <c r="AV70" s="318">
        <f t="shared" si="18"/>
        <v>0.25398100000000001</v>
      </c>
    </row>
    <row r="71" spans="1:48" ht="11" thickBot="1" x14ac:dyDescent="0.3">
      <c r="A71" s="641">
        <v>47328.05</v>
      </c>
      <c r="B71" s="641">
        <v>49454.9</v>
      </c>
      <c r="C71" s="644"/>
      <c r="D71" s="446">
        <v>34104.368063196031</v>
      </c>
      <c r="E71" s="163">
        <f t="shared" si="17"/>
        <v>64</v>
      </c>
      <c r="F71" s="159">
        <f t="shared" si="13"/>
        <v>50641.013500000008</v>
      </c>
      <c r="G71" s="160">
        <f t="shared" si="14"/>
        <v>52916.743000000002</v>
      </c>
      <c r="H71" s="450">
        <f t="shared" ref="H71:H101" si="20">ROUND(F71/(1-$K$1-$K$2-$K$3),0)</f>
        <v>92075</v>
      </c>
      <c r="I71" s="426">
        <f t="shared" ref="I71:I101" si="21">ROUND(G71/(1-$K$1-$K$2-$K$3),0)</f>
        <v>96212</v>
      </c>
      <c r="J71" s="161">
        <f t="shared" si="16"/>
        <v>92075</v>
      </c>
      <c r="K71" s="162">
        <f t="shared" si="15"/>
        <v>96212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9"/>
        <v>79</v>
      </c>
      <c r="AS71" s="315">
        <v>0.16236200000000001</v>
      </c>
      <c r="AT71" s="148"/>
      <c r="AU71" s="225">
        <v>77</v>
      </c>
      <c r="AV71" s="319">
        <f t="shared" si="18"/>
        <v>0.25398100000000001</v>
      </c>
    </row>
    <row r="72" spans="1:48" ht="11" thickBot="1" x14ac:dyDescent="0.3">
      <c r="A72" s="641">
        <v>49923.500000000007</v>
      </c>
      <c r="B72" s="641">
        <v>51706.05</v>
      </c>
      <c r="C72" s="644"/>
      <c r="D72" s="446">
        <v>36104.235425970037</v>
      </c>
      <c r="E72" s="166">
        <f t="shared" si="17"/>
        <v>65</v>
      </c>
      <c r="F72" s="159">
        <f t="shared" ref="F72:F107" si="22">A72*(1+$A$5)</f>
        <v>53418.145000000011</v>
      </c>
      <c r="G72" s="160">
        <f t="shared" ref="G72:G107" si="23">B72*(1+$A$5)</f>
        <v>55325.473500000007</v>
      </c>
      <c r="H72" s="450">
        <f t="shared" si="20"/>
        <v>97124</v>
      </c>
      <c r="I72" s="426">
        <f t="shared" si="21"/>
        <v>100592</v>
      </c>
      <c r="J72" s="164">
        <f t="shared" si="16"/>
        <v>97124</v>
      </c>
      <c r="K72" s="165">
        <f t="shared" si="15"/>
        <v>100592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9"/>
        <v>80</v>
      </c>
      <c r="AS72" s="312">
        <v>0.17417199999999999</v>
      </c>
      <c r="AT72" s="148"/>
      <c r="AU72" s="207">
        <v>78</v>
      </c>
      <c r="AV72" s="318">
        <f t="shared" si="18"/>
        <v>0.25398100000000001</v>
      </c>
    </row>
    <row r="73" spans="1:48" ht="11" thickBot="1" x14ac:dyDescent="0.3">
      <c r="A73" s="641">
        <v>50600.000000000007</v>
      </c>
      <c r="B73" s="641">
        <v>52310.500000000007</v>
      </c>
      <c r="C73" s="644"/>
      <c r="D73" s="446">
        <v>36996.03629458083</v>
      </c>
      <c r="E73" s="163">
        <f t="shared" si="17"/>
        <v>66</v>
      </c>
      <c r="F73" s="159">
        <f t="shared" si="22"/>
        <v>54142.000000000015</v>
      </c>
      <c r="G73" s="160">
        <f t="shared" si="23"/>
        <v>55972.235000000008</v>
      </c>
      <c r="H73" s="450">
        <f t="shared" si="20"/>
        <v>98440</v>
      </c>
      <c r="I73" s="426">
        <f t="shared" si="21"/>
        <v>101768</v>
      </c>
      <c r="J73" s="161">
        <f t="shared" si="16"/>
        <v>98440</v>
      </c>
      <c r="K73" s="162">
        <f t="shared" si="15"/>
        <v>101768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90" t="s">
        <v>249</v>
      </c>
      <c r="AF73" s="791"/>
      <c r="AG73" s="791"/>
      <c r="AH73" s="791"/>
      <c r="AI73" s="791"/>
      <c r="AR73" s="225">
        <f t="shared" si="19"/>
        <v>81</v>
      </c>
      <c r="AS73" s="315">
        <v>0.186776</v>
      </c>
      <c r="AT73" s="148"/>
      <c r="AU73" s="225">
        <v>79</v>
      </c>
      <c r="AV73" s="319">
        <f t="shared" si="18"/>
        <v>0.25398100000000001</v>
      </c>
    </row>
    <row r="74" spans="1:48" ht="11" thickBot="1" x14ac:dyDescent="0.3">
      <c r="A74" s="641">
        <v>51276.500000000007</v>
      </c>
      <c r="B74" s="641">
        <v>52915.500000000007</v>
      </c>
      <c r="C74" s="644"/>
      <c r="D74" s="446">
        <v>37887.837163191623</v>
      </c>
      <c r="E74" s="166">
        <f t="shared" si="17"/>
        <v>67</v>
      </c>
      <c r="F74" s="159">
        <f t="shared" si="22"/>
        <v>54865.85500000001</v>
      </c>
      <c r="G74" s="160">
        <f t="shared" si="23"/>
        <v>56619.585000000014</v>
      </c>
      <c r="H74" s="450">
        <f t="shared" si="20"/>
        <v>99756</v>
      </c>
      <c r="I74" s="426">
        <f t="shared" si="21"/>
        <v>102945</v>
      </c>
      <c r="J74" s="164">
        <f t="shared" si="16"/>
        <v>99756</v>
      </c>
      <c r="K74" s="165">
        <f t="shared" si="15"/>
        <v>102945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9"/>
        <v>82</v>
      </c>
      <c r="AS74" s="312">
        <v>0.200241</v>
      </c>
      <c r="AT74" s="148"/>
    </row>
    <row r="75" spans="1:48" ht="11" thickBot="1" x14ac:dyDescent="0.3">
      <c r="A75" s="641">
        <v>51953.55</v>
      </c>
      <c r="B75" s="641">
        <v>53519.4</v>
      </c>
      <c r="C75" s="644"/>
      <c r="D75" s="446">
        <v>38779.638031802424</v>
      </c>
      <c r="E75" s="163">
        <f t="shared" si="17"/>
        <v>68</v>
      </c>
      <c r="F75" s="159">
        <f t="shared" si="22"/>
        <v>55590.298500000004</v>
      </c>
      <c r="G75" s="160">
        <f t="shared" si="23"/>
        <v>57265.758000000002</v>
      </c>
      <c r="H75" s="450">
        <f t="shared" si="20"/>
        <v>101073</v>
      </c>
      <c r="I75" s="426">
        <f t="shared" si="21"/>
        <v>104120</v>
      </c>
      <c r="J75" s="161">
        <f t="shared" si="16"/>
        <v>101073</v>
      </c>
      <c r="K75" s="162">
        <f t="shared" ref="K75:K106" si="24">ROUND(I75,0)</f>
        <v>104120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9"/>
        <v>83</v>
      </c>
      <c r="AS75" s="315">
        <v>0.214586</v>
      </c>
      <c r="AT75" s="148"/>
    </row>
    <row r="76" spans="1:48" ht="11" thickBot="1" x14ac:dyDescent="0.3">
      <c r="A76" s="641">
        <v>52629.500000000007</v>
      </c>
      <c r="B76" s="641">
        <v>54123.850000000006</v>
      </c>
      <c r="C76" s="644"/>
      <c r="D76" s="446">
        <v>39671.438900413224</v>
      </c>
      <c r="E76" s="166">
        <f t="shared" si="17"/>
        <v>69</v>
      </c>
      <c r="F76" s="159">
        <f t="shared" si="22"/>
        <v>56313.56500000001</v>
      </c>
      <c r="G76" s="160">
        <f t="shared" si="23"/>
        <v>57912.519500000009</v>
      </c>
      <c r="H76" s="450">
        <f t="shared" si="20"/>
        <v>102388</v>
      </c>
      <c r="I76" s="426">
        <f t="shared" si="21"/>
        <v>105295</v>
      </c>
      <c r="J76" s="164">
        <f t="shared" ref="J76:J106" si="25">ROUND(H76,0)</f>
        <v>102388</v>
      </c>
      <c r="K76" s="165">
        <f t="shared" si="24"/>
        <v>105295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9"/>
        <v>84</v>
      </c>
      <c r="AS76" s="312">
        <v>0.229879</v>
      </c>
      <c r="AT76" s="148"/>
    </row>
    <row r="77" spans="1:48" x14ac:dyDescent="0.25">
      <c r="A77" s="641">
        <v>53306.55</v>
      </c>
      <c r="B77" s="641">
        <v>54727.750000000007</v>
      </c>
      <c r="C77" s="644"/>
      <c r="D77" s="446">
        <v>40563.239769024018</v>
      </c>
      <c r="E77" s="163">
        <f t="shared" si="17"/>
        <v>70</v>
      </c>
      <c r="F77" s="159">
        <f t="shared" si="22"/>
        <v>57038.008500000004</v>
      </c>
      <c r="G77" s="160">
        <f t="shared" si="23"/>
        <v>58558.692500000012</v>
      </c>
      <c r="H77" s="450">
        <f t="shared" si="20"/>
        <v>103705</v>
      </c>
      <c r="I77" s="426">
        <f t="shared" si="21"/>
        <v>106470</v>
      </c>
      <c r="J77" s="161">
        <f t="shared" si="25"/>
        <v>103705</v>
      </c>
      <c r="K77" s="162">
        <f t="shared" si="24"/>
        <v>106470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8"/>
      <c r="AG77" s="708"/>
      <c r="AH77" s="708"/>
      <c r="AI77" s="199">
        <f t="shared" ref="AI77:AI85" si="26">VLOOKUP(AE77,$AC$64:$AD$74,2,0)</f>
        <v>1.2929999999999999</v>
      </c>
      <c r="AR77" s="225">
        <f t="shared" si="19"/>
        <v>85</v>
      </c>
      <c r="AS77" s="315">
        <v>0.246172</v>
      </c>
      <c r="AT77" s="148"/>
    </row>
    <row r="78" spans="1:48" x14ac:dyDescent="0.25">
      <c r="A78" s="641">
        <v>58323.100000000006</v>
      </c>
      <c r="B78" s="641">
        <v>59024.350000000006</v>
      </c>
      <c r="C78" s="644"/>
      <c r="D78" s="446">
        <v>42972.944090524819</v>
      </c>
      <c r="E78" s="166">
        <f t="shared" si="17"/>
        <v>71</v>
      </c>
      <c r="F78" s="159">
        <f t="shared" si="22"/>
        <v>62405.717000000011</v>
      </c>
      <c r="G78" s="160">
        <f t="shared" si="23"/>
        <v>63156.054500000013</v>
      </c>
      <c r="H78" s="450">
        <f t="shared" si="20"/>
        <v>113465</v>
      </c>
      <c r="I78" s="426">
        <f t="shared" si="21"/>
        <v>114829</v>
      </c>
      <c r="J78" s="164">
        <f t="shared" si="25"/>
        <v>113465</v>
      </c>
      <c r="K78" s="165">
        <f t="shared" si="24"/>
        <v>114829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09"/>
      <c r="AG78" s="709"/>
      <c r="AH78" s="709"/>
      <c r="AI78" s="248">
        <f t="shared" si="26"/>
        <v>1.1579999999999999</v>
      </c>
      <c r="AR78" s="207">
        <f t="shared" si="19"/>
        <v>86</v>
      </c>
      <c r="AS78" s="312">
        <v>0.263517</v>
      </c>
      <c r="AT78" s="148"/>
    </row>
    <row r="79" spans="1:48" x14ac:dyDescent="0.25">
      <c r="A79" s="641">
        <v>63338.000000000007</v>
      </c>
      <c r="B79" s="641">
        <v>63320.950000000004</v>
      </c>
      <c r="C79" s="644"/>
      <c r="D79" s="446">
        <v>45382.648412025621</v>
      </c>
      <c r="E79" s="163">
        <f t="shared" si="17"/>
        <v>72</v>
      </c>
      <c r="F79" s="159">
        <f t="shared" si="22"/>
        <v>67771.660000000018</v>
      </c>
      <c r="G79" s="160">
        <f t="shared" si="23"/>
        <v>67753.416500000007</v>
      </c>
      <c r="H79" s="450">
        <f t="shared" si="20"/>
        <v>123221</v>
      </c>
      <c r="I79" s="426">
        <f t="shared" si="21"/>
        <v>123188</v>
      </c>
      <c r="J79" s="161">
        <f t="shared" si="25"/>
        <v>123221</v>
      </c>
      <c r="K79" s="162">
        <f t="shared" si="24"/>
        <v>123188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09"/>
      <c r="AG79" s="709"/>
      <c r="AH79" s="709"/>
      <c r="AI79" s="248">
        <f t="shared" si="26"/>
        <v>1.0229999999999999</v>
      </c>
      <c r="AR79" s="225">
        <f t="shared" si="19"/>
        <v>87</v>
      </c>
      <c r="AS79" s="315">
        <v>0.28194799999999998</v>
      </c>
      <c r="AT79" s="148"/>
    </row>
    <row r="80" spans="1:48" x14ac:dyDescent="0.25">
      <c r="A80" s="641">
        <v>68354.55</v>
      </c>
      <c r="B80" s="641">
        <v>67617</v>
      </c>
      <c r="C80" s="644"/>
      <c r="D80" s="446">
        <v>47792.352733526423</v>
      </c>
      <c r="E80" s="166">
        <f t="shared" si="17"/>
        <v>73</v>
      </c>
      <c r="F80" s="159">
        <f t="shared" si="22"/>
        <v>73139.368500000011</v>
      </c>
      <c r="G80" s="160">
        <f t="shared" si="23"/>
        <v>72350.19</v>
      </c>
      <c r="H80" s="450">
        <f t="shared" si="20"/>
        <v>132981</v>
      </c>
      <c r="I80" s="426">
        <f t="shared" si="21"/>
        <v>131546</v>
      </c>
      <c r="J80" s="164">
        <f t="shared" si="25"/>
        <v>132981</v>
      </c>
      <c r="K80" s="165">
        <f t="shared" si="24"/>
        <v>131546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09"/>
      <c r="AG80" s="709"/>
      <c r="AH80" s="709"/>
      <c r="AI80" s="248">
        <f t="shared" si="26"/>
        <v>1.248</v>
      </c>
      <c r="AJ80" s="696"/>
      <c r="AK80" s="696"/>
      <c r="AL80" s="696"/>
      <c r="AM80" s="696"/>
      <c r="AR80" s="207">
        <f t="shared" si="19"/>
        <v>88</v>
      </c>
      <c r="AS80" s="312">
        <v>0.30151699999999998</v>
      </c>
      <c r="AT80" s="148"/>
    </row>
    <row r="81" spans="1:46" x14ac:dyDescent="0.25">
      <c r="A81" s="641">
        <v>73371.100000000006</v>
      </c>
      <c r="B81" s="641">
        <v>71913.600000000006</v>
      </c>
      <c r="C81" s="644"/>
      <c r="D81" s="446">
        <v>50202.057055027224</v>
      </c>
      <c r="E81" s="163">
        <f t="shared" si="17"/>
        <v>74</v>
      </c>
      <c r="F81" s="159">
        <f t="shared" si="22"/>
        <v>78507.077000000005</v>
      </c>
      <c r="G81" s="160">
        <f t="shared" si="23"/>
        <v>76947.552000000011</v>
      </c>
      <c r="H81" s="450">
        <f t="shared" si="20"/>
        <v>142740</v>
      </c>
      <c r="I81" s="426">
        <f t="shared" si="21"/>
        <v>139905</v>
      </c>
      <c r="J81" s="161">
        <f t="shared" si="25"/>
        <v>142740</v>
      </c>
      <c r="K81" s="162">
        <f t="shared" si="24"/>
        <v>139905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09"/>
      <c r="AG81" s="709"/>
      <c r="AH81" s="709"/>
      <c r="AI81" s="248">
        <f t="shared" si="26"/>
        <v>1.113</v>
      </c>
      <c r="AJ81" s="696"/>
      <c r="AK81" s="696"/>
      <c r="AL81" s="696"/>
      <c r="AM81" s="696"/>
      <c r="AR81" s="225">
        <f t="shared" si="19"/>
        <v>89</v>
      </c>
      <c r="AS81" s="315">
        <v>0.322293</v>
      </c>
      <c r="AT81" s="148"/>
    </row>
    <row r="82" spans="1:46" x14ac:dyDescent="0.25">
      <c r="A82" s="641">
        <v>78387.650000000009</v>
      </c>
      <c r="B82" s="641">
        <v>76210.75</v>
      </c>
      <c r="C82" s="644"/>
      <c r="D82" s="446">
        <v>52611.761376528018</v>
      </c>
      <c r="E82" s="166">
        <f t="shared" si="17"/>
        <v>75</v>
      </c>
      <c r="F82" s="159">
        <f t="shared" si="22"/>
        <v>83874.785500000013</v>
      </c>
      <c r="G82" s="160">
        <f t="shared" si="23"/>
        <v>81545.502500000002</v>
      </c>
      <c r="H82" s="450">
        <f t="shared" si="20"/>
        <v>152500</v>
      </c>
      <c r="I82" s="426">
        <f t="shared" si="21"/>
        <v>148265</v>
      </c>
      <c r="J82" s="164">
        <f t="shared" si="25"/>
        <v>152500</v>
      </c>
      <c r="K82" s="165">
        <f t="shared" si="24"/>
        <v>148265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09"/>
      <c r="AG82" s="709"/>
      <c r="AH82" s="709"/>
      <c r="AI82" s="248">
        <f t="shared" si="26"/>
        <v>0.97699999999999998</v>
      </c>
      <c r="AJ82" s="696"/>
      <c r="AK82" s="696"/>
      <c r="AL82" s="696"/>
      <c r="AM82" s="696"/>
      <c r="AR82" s="207">
        <f t="shared" si="19"/>
        <v>90</v>
      </c>
      <c r="AS82" s="312">
        <v>0.34432800000000002</v>
      </c>
      <c r="AT82" s="148"/>
    </row>
    <row r="83" spans="1:46" x14ac:dyDescent="0.25">
      <c r="A83" s="641">
        <v>84558.1</v>
      </c>
      <c r="B83" s="641">
        <v>82173.850000000006</v>
      </c>
      <c r="C83" s="644"/>
      <c r="D83" s="446">
        <v>56526.141440288819</v>
      </c>
      <c r="E83" s="163">
        <f t="shared" si="17"/>
        <v>76</v>
      </c>
      <c r="F83" s="159">
        <f t="shared" si="22"/>
        <v>90477.167000000016</v>
      </c>
      <c r="G83" s="160">
        <f t="shared" si="23"/>
        <v>87926.019500000009</v>
      </c>
      <c r="H83" s="450">
        <f t="shared" si="20"/>
        <v>164504</v>
      </c>
      <c r="I83" s="426">
        <f t="shared" si="21"/>
        <v>159865</v>
      </c>
      <c r="J83" s="161">
        <f t="shared" si="25"/>
        <v>164504</v>
      </c>
      <c r="K83" s="162">
        <f t="shared" si="24"/>
        <v>159865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09"/>
      <c r="AG83" s="709"/>
      <c r="AH83" s="709"/>
      <c r="AI83" s="248">
        <f t="shared" si="26"/>
        <v>1.2030000000000001</v>
      </c>
      <c r="AJ83" s="696"/>
      <c r="AK83" s="696"/>
      <c r="AL83" s="696"/>
      <c r="AM83" s="696"/>
      <c r="AR83" s="225">
        <f t="shared" si="19"/>
        <v>91</v>
      </c>
      <c r="AS83" s="315">
        <v>0.36763800000000002</v>
      </c>
      <c r="AT83" s="148"/>
    </row>
    <row r="84" spans="1:46" ht="11" thickBot="1" x14ac:dyDescent="0.3">
      <c r="A84" s="641">
        <v>90728.000000000015</v>
      </c>
      <c r="B84" s="641">
        <v>88136.400000000009</v>
      </c>
      <c r="C84" s="644"/>
      <c r="D84" s="446">
        <v>60440.521504049619</v>
      </c>
      <c r="E84" s="166">
        <f t="shared" si="17"/>
        <v>77</v>
      </c>
      <c r="F84" s="159">
        <f t="shared" si="22"/>
        <v>97078.960000000021</v>
      </c>
      <c r="G84" s="160">
        <f t="shared" si="23"/>
        <v>94305.948000000019</v>
      </c>
      <c r="H84" s="450">
        <f t="shared" si="20"/>
        <v>176507</v>
      </c>
      <c r="I84" s="426">
        <f t="shared" si="21"/>
        <v>171465</v>
      </c>
      <c r="J84" s="164">
        <f t="shared" si="25"/>
        <v>176507</v>
      </c>
      <c r="K84" s="165">
        <f t="shared" si="24"/>
        <v>171465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2"/>
      <c r="T84" s="662"/>
      <c r="U84" s="662"/>
      <c r="V84" s="662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09"/>
      <c r="AG84" s="709"/>
      <c r="AH84" s="709"/>
      <c r="AI84" s="248">
        <f t="shared" si="26"/>
        <v>1.0680000000000001</v>
      </c>
      <c r="AJ84" s="696"/>
      <c r="AK84" s="696"/>
      <c r="AL84" s="696"/>
      <c r="AM84" s="696"/>
      <c r="AR84" s="207">
        <f t="shared" si="19"/>
        <v>92</v>
      </c>
      <c r="AS84" s="312">
        <v>0.392293</v>
      </c>
      <c r="AT84" s="148"/>
    </row>
    <row r="85" spans="1:46" ht="11" thickBot="1" x14ac:dyDescent="0.3">
      <c r="A85" s="641">
        <v>96899.000000000015</v>
      </c>
      <c r="B85" s="641">
        <v>94100.05</v>
      </c>
      <c r="C85" s="644"/>
      <c r="D85" s="446">
        <v>64354.901567810419</v>
      </c>
      <c r="E85" s="163">
        <f t="shared" si="17"/>
        <v>78</v>
      </c>
      <c r="F85" s="159">
        <f t="shared" si="22"/>
        <v>103681.93000000002</v>
      </c>
      <c r="G85" s="160">
        <f t="shared" si="23"/>
        <v>100687.05350000001</v>
      </c>
      <c r="H85" s="450">
        <f t="shared" si="20"/>
        <v>188513</v>
      </c>
      <c r="I85" s="426">
        <f t="shared" si="21"/>
        <v>183067</v>
      </c>
      <c r="J85" s="161">
        <f t="shared" si="25"/>
        <v>188513</v>
      </c>
      <c r="K85" s="162">
        <f t="shared" si="24"/>
        <v>183067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10"/>
      <c r="AG85" s="710"/>
      <c r="AH85" s="710"/>
      <c r="AI85" s="200">
        <f t="shared" si="26"/>
        <v>0.93200000000000005</v>
      </c>
      <c r="AJ85" s="696"/>
      <c r="AK85" s="696"/>
      <c r="AL85" s="696"/>
      <c r="AM85" s="696"/>
      <c r="AR85" s="225">
        <f t="shared" si="19"/>
        <v>93</v>
      </c>
      <c r="AS85" s="315">
        <v>0.41836200000000001</v>
      </c>
      <c r="AT85" s="148"/>
    </row>
    <row r="86" spans="1:46" ht="11" thickBot="1" x14ac:dyDescent="0.3">
      <c r="A86" s="641">
        <v>103069.45000000001</v>
      </c>
      <c r="B86" s="641">
        <v>100063.15000000001</v>
      </c>
      <c r="C86" s="644"/>
      <c r="D86" s="446">
        <v>68269.281631571212</v>
      </c>
      <c r="E86" s="166">
        <f t="shared" si="17"/>
        <v>79</v>
      </c>
      <c r="F86" s="159">
        <f t="shared" si="22"/>
        <v>110284.31150000003</v>
      </c>
      <c r="G86" s="160">
        <f t="shared" si="23"/>
        <v>107067.57050000002</v>
      </c>
      <c r="H86" s="450">
        <f t="shared" si="20"/>
        <v>200517</v>
      </c>
      <c r="I86" s="426">
        <f t="shared" si="21"/>
        <v>194668</v>
      </c>
      <c r="J86" s="164">
        <f t="shared" si="25"/>
        <v>200517</v>
      </c>
      <c r="K86" s="165">
        <f t="shared" si="24"/>
        <v>194668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9"/>
        <v>94</v>
      </c>
      <c r="AS86" s="312">
        <v>0.44584499999999999</v>
      </c>
      <c r="AT86" s="148"/>
    </row>
    <row r="87" spans="1:46" ht="11" thickBot="1" x14ac:dyDescent="0.3">
      <c r="A87" s="641">
        <v>109239.90000000001</v>
      </c>
      <c r="B87" s="641">
        <v>106026.8</v>
      </c>
      <c r="C87" s="644"/>
      <c r="D87" s="446">
        <v>72183.661695332019</v>
      </c>
      <c r="E87" s="163">
        <v>80</v>
      </c>
      <c r="F87" s="159">
        <f t="shared" si="22"/>
        <v>116886.69300000001</v>
      </c>
      <c r="G87" s="160">
        <f t="shared" si="23"/>
        <v>113448.67600000001</v>
      </c>
      <c r="H87" s="450">
        <f t="shared" si="20"/>
        <v>212521</v>
      </c>
      <c r="I87" s="426">
        <f t="shared" si="21"/>
        <v>206270</v>
      </c>
      <c r="J87" s="161">
        <f t="shared" si="25"/>
        <v>212521</v>
      </c>
      <c r="K87" s="162">
        <f t="shared" si="24"/>
        <v>206270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9"/>
        <v>95</v>
      </c>
      <c r="AS87" s="315">
        <v>0.47479300000000002</v>
      </c>
      <c r="AT87" s="148"/>
    </row>
    <row r="88" spans="1:46" ht="11" thickBot="1" x14ac:dyDescent="0.3">
      <c r="A88" s="641">
        <v>112214.3</v>
      </c>
      <c r="B88" s="641">
        <v>108862.6</v>
      </c>
      <c r="C88" s="644"/>
      <c r="D88" s="446">
        <v>73924.723101805284</v>
      </c>
      <c r="E88" s="166">
        <v>81</v>
      </c>
      <c r="F88" s="159">
        <f t="shared" si="22"/>
        <v>120069.30100000001</v>
      </c>
      <c r="G88" s="160">
        <f t="shared" si="23"/>
        <v>116482.98200000002</v>
      </c>
      <c r="H88" s="450">
        <f t="shared" si="20"/>
        <v>218308</v>
      </c>
      <c r="I88" s="426">
        <f t="shared" si="21"/>
        <v>211787</v>
      </c>
      <c r="J88" s="164">
        <f t="shared" si="25"/>
        <v>218308</v>
      </c>
      <c r="K88" s="165">
        <f t="shared" si="24"/>
        <v>211787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11"/>
      <c r="AG88" s="711"/>
      <c r="AH88" s="711"/>
      <c r="AR88" s="207">
        <f t="shared" si="19"/>
        <v>96</v>
      </c>
      <c r="AS88" s="312">
        <v>0.50525900000000001</v>
      </c>
      <c r="AT88" s="148"/>
    </row>
    <row r="89" spans="1:46" x14ac:dyDescent="0.25">
      <c r="A89" s="641">
        <v>115188.70000000001</v>
      </c>
      <c r="B89" s="641">
        <v>111698.40000000001</v>
      </c>
      <c r="C89" s="644"/>
      <c r="D89" s="446">
        <v>75665.78450827855</v>
      </c>
      <c r="E89" s="163">
        <v>82</v>
      </c>
      <c r="F89" s="159">
        <f t="shared" si="22"/>
        <v>123251.90900000001</v>
      </c>
      <c r="G89" s="160">
        <f t="shared" si="23"/>
        <v>119517.28800000002</v>
      </c>
      <c r="H89" s="450">
        <f t="shared" si="20"/>
        <v>224094</v>
      </c>
      <c r="I89" s="426">
        <f t="shared" si="21"/>
        <v>217304</v>
      </c>
      <c r="J89" s="161">
        <f t="shared" si="25"/>
        <v>224094</v>
      </c>
      <c r="K89" s="162">
        <f t="shared" si="24"/>
        <v>217304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9"/>
        <v>97</v>
      </c>
      <c r="AS89" s="315">
        <v>0.53724099999999997</v>
      </c>
      <c r="AT89" s="148"/>
    </row>
    <row r="90" spans="1:46" ht="12.75" customHeight="1" x14ac:dyDescent="0.25">
      <c r="A90" s="641">
        <v>118163.1</v>
      </c>
      <c r="B90" s="641">
        <v>114533.65000000001</v>
      </c>
      <c r="C90" s="644"/>
      <c r="D90" s="446">
        <v>77406.845914751815</v>
      </c>
      <c r="E90" s="166">
        <v>83</v>
      </c>
      <c r="F90" s="159">
        <f t="shared" si="22"/>
        <v>126434.51700000001</v>
      </c>
      <c r="G90" s="160">
        <f t="shared" si="23"/>
        <v>122551.00550000001</v>
      </c>
      <c r="H90" s="450">
        <f t="shared" si="20"/>
        <v>229881</v>
      </c>
      <c r="I90" s="426">
        <f t="shared" si="21"/>
        <v>222820</v>
      </c>
      <c r="J90" s="164">
        <f t="shared" si="25"/>
        <v>229881</v>
      </c>
      <c r="K90" s="165">
        <f t="shared" si="24"/>
        <v>222820</v>
      </c>
      <c r="L90" s="136"/>
      <c r="M90" s="779" t="s">
        <v>262</v>
      </c>
      <c r="N90" s="779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9"/>
        <v>98</v>
      </c>
      <c r="AS90" s="312">
        <v>0.57079299999999999</v>
      </c>
      <c r="AT90" s="148"/>
    </row>
    <row r="91" spans="1:46" ht="11" thickBot="1" x14ac:dyDescent="0.3">
      <c r="A91" s="641">
        <v>121137.50000000001</v>
      </c>
      <c r="B91" s="641">
        <v>117369.45000000001</v>
      </c>
      <c r="C91" s="644"/>
      <c r="D91" s="446">
        <v>79147.907321225081</v>
      </c>
      <c r="E91" s="163">
        <v>84</v>
      </c>
      <c r="F91" s="159">
        <f t="shared" si="22"/>
        <v>129617.12500000003</v>
      </c>
      <c r="G91" s="160">
        <f t="shared" si="23"/>
        <v>125585.31150000003</v>
      </c>
      <c r="H91" s="450">
        <f t="shared" si="20"/>
        <v>235668</v>
      </c>
      <c r="I91" s="426">
        <f t="shared" si="21"/>
        <v>228337</v>
      </c>
      <c r="J91" s="161">
        <f t="shared" si="25"/>
        <v>235668</v>
      </c>
      <c r="K91" s="162">
        <f t="shared" si="24"/>
        <v>228337</v>
      </c>
      <c r="L91" s="136"/>
      <c r="M91" s="782"/>
      <c r="N91" s="782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9"/>
        <v>99</v>
      </c>
      <c r="AS91" s="315">
        <v>0.605931</v>
      </c>
      <c r="AT91" s="148"/>
    </row>
    <row r="92" spans="1:46" ht="11" thickBot="1" x14ac:dyDescent="0.3">
      <c r="A92" s="641">
        <v>124112.45000000001</v>
      </c>
      <c r="B92" s="641">
        <v>120205.25000000001</v>
      </c>
      <c r="C92" s="644"/>
      <c r="D92" s="446">
        <v>80888.968727698346</v>
      </c>
      <c r="E92" s="166">
        <v>85</v>
      </c>
      <c r="F92" s="159">
        <f t="shared" si="22"/>
        <v>132800.32150000002</v>
      </c>
      <c r="G92" s="160">
        <f t="shared" si="23"/>
        <v>128619.61750000002</v>
      </c>
      <c r="H92" s="450">
        <f t="shared" si="20"/>
        <v>241455</v>
      </c>
      <c r="I92" s="426">
        <f t="shared" si="21"/>
        <v>233854</v>
      </c>
      <c r="J92" s="164">
        <f t="shared" si="25"/>
        <v>241455</v>
      </c>
      <c r="K92" s="165">
        <f t="shared" si="24"/>
        <v>233854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9"/>
        <v>100</v>
      </c>
      <c r="AS92" s="314">
        <v>1.7241379999999999</v>
      </c>
      <c r="AT92" s="148"/>
    </row>
    <row r="93" spans="1:46" x14ac:dyDescent="0.25">
      <c r="A93" s="641">
        <v>127085.75000000001</v>
      </c>
      <c r="B93" s="641">
        <v>123041.05</v>
      </c>
      <c r="C93" s="644"/>
      <c r="D93" s="446">
        <v>82630.030134171611</v>
      </c>
      <c r="E93" s="163">
        <v>86</v>
      </c>
      <c r="F93" s="159">
        <f t="shared" si="22"/>
        <v>135981.75250000003</v>
      </c>
      <c r="G93" s="160">
        <f t="shared" si="23"/>
        <v>131653.9235</v>
      </c>
      <c r="H93" s="450">
        <f t="shared" si="20"/>
        <v>247240</v>
      </c>
      <c r="I93" s="426">
        <f t="shared" si="21"/>
        <v>239371</v>
      </c>
      <c r="J93" s="161">
        <f t="shared" si="25"/>
        <v>247240</v>
      </c>
      <c r="K93" s="162">
        <f t="shared" si="24"/>
        <v>239371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1">
        <v>130060.70000000001</v>
      </c>
      <c r="B94" s="641">
        <v>125875.75000000001</v>
      </c>
      <c r="C94" s="644"/>
      <c r="D94" s="446">
        <v>84371.091540644877</v>
      </c>
      <c r="E94" s="166">
        <v>87</v>
      </c>
      <c r="F94" s="159">
        <f t="shared" si="22"/>
        <v>139164.94900000002</v>
      </c>
      <c r="G94" s="160">
        <f t="shared" si="23"/>
        <v>134687.05250000002</v>
      </c>
      <c r="H94" s="450">
        <f t="shared" si="20"/>
        <v>253027</v>
      </c>
      <c r="I94" s="426">
        <f t="shared" si="21"/>
        <v>244886</v>
      </c>
      <c r="J94" s="164">
        <f t="shared" si="25"/>
        <v>253027</v>
      </c>
      <c r="K94" s="165">
        <f t="shared" si="24"/>
        <v>244886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1">
        <v>133034.55000000002</v>
      </c>
      <c r="B95" s="641">
        <v>128711.55000000002</v>
      </c>
      <c r="C95" s="644"/>
      <c r="D95" s="446">
        <v>86112.152947118142</v>
      </c>
      <c r="E95" s="163">
        <v>88</v>
      </c>
      <c r="F95" s="159">
        <f t="shared" si="22"/>
        <v>142346.96850000002</v>
      </c>
      <c r="G95" s="160">
        <f t="shared" si="23"/>
        <v>137721.35850000003</v>
      </c>
      <c r="H95" s="450">
        <f t="shared" si="20"/>
        <v>258813</v>
      </c>
      <c r="I95" s="426">
        <f t="shared" si="21"/>
        <v>250402</v>
      </c>
      <c r="J95" s="161">
        <f t="shared" si="25"/>
        <v>258813</v>
      </c>
      <c r="K95" s="162">
        <f t="shared" si="24"/>
        <v>250402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1">
        <v>136009.5</v>
      </c>
      <c r="B96" s="641">
        <v>131546.80000000002</v>
      </c>
      <c r="C96" s="644"/>
      <c r="D96" s="446">
        <v>87853.214353591407</v>
      </c>
      <c r="E96" s="166">
        <v>89</v>
      </c>
      <c r="F96" s="159">
        <f t="shared" si="22"/>
        <v>145530.16500000001</v>
      </c>
      <c r="G96" s="160">
        <f t="shared" si="23"/>
        <v>140755.07600000003</v>
      </c>
      <c r="H96" s="450">
        <f t="shared" si="20"/>
        <v>264600</v>
      </c>
      <c r="I96" s="426">
        <f t="shared" si="21"/>
        <v>255918</v>
      </c>
      <c r="J96" s="164">
        <f t="shared" si="25"/>
        <v>264600</v>
      </c>
      <c r="K96" s="165">
        <f t="shared" si="24"/>
        <v>255918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1">
        <v>138983.90000000002</v>
      </c>
      <c r="B97" s="641">
        <v>134382.6</v>
      </c>
      <c r="C97" s="644"/>
      <c r="D97" s="446">
        <v>89594.275760064658</v>
      </c>
      <c r="E97" s="163">
        <v>90</v>
      </c>
      <c r="F97" s="159">
        <f t="shared" si="22"/>
        <v>148712.77300000004</v>
      </c>
      <c r="G97" s="160">
        <f t="shared" si="23"/>
        <v>143789.38200000001</v>
      </c>
      <c r="H97" s="450">
        <f t="shared" si="20"/>
        <v>270387</v>
      </c>
      <c r="I97" s="426">
        <f t="shared" si="21"/>
        <v>261435</v>
      </c>
      <c r="J97" s="161">
        <f t="shared" si="25"/>
        <v>270387</v>
      </c>
      <c r="K97" s="162">
        <f t="shared" si="24"/>
        <v>261435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1">
        <v>141958.30000000002</v>
      </c>
      <c r="B98" s="641">
        <v>137218.40000000002</v>
      </c>
      <c r="C98" s="644"/>
      <c r="D98" s="446">
        <v>91335.337166537924</v>
      </c>
      <c r="E98" s="166">
        <v>91</v>
      </c>
      <c r="F98" s="159">
        <f t="shared" si="22"/>
        <v>151895.38100000002</v>
      </c>
      <c r="G98" s="160">
        <f t="shared" si="23"/>
        <v>146823.68800000002</v>
      </c>
      <c r="H98" s="450">
        <f t="shared" si="20"/>
        <v>276173</v>
      </c>
      <c r="I98" s="426">
        <f t="shared" si="21"/>
        <v>266952</v>
      </c>
      <c r="J98" s="164">
        <f t="shared" si="25"/>
        <v>276173</v>
      </c>
      <c r="K98" s="165">
        <f t="shared" si="24"/>
        <v>266952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1">
        <v>144932.70000000001</v>
      </c>
      <c r="B99" s="641">
        <v>140054.20000000001</v>
      </c>
      <c r="C99" s="644"/>
      <c r="D99" s="446">
        <v>93076.398573011189</v>
      </c>
      <c r="E99" s="163">
        <v>92</v>
      </c>
      <c r="F99" s="159">
        <f t="shared" si="22"/>
        <v>155077.98900000003</v>
      </c>
      <c r="G99" s="160">
        <f t="shared" si="23"/>
        <v>149857.99400000004</v>
      </c>
      <c r="H99" s="450">
        <f t="shared" si="20"/>
        <v>281960</v>
      </c>
      <c r="I99" s="426">
        <f t="shared" si="21"/>
        <v>272469</v>
      </c>
      <c r="J99" s="161">
        <f t="shared" si="25"/>
        <v>281960</v>
      </c>
      <c r="K99" s="162">
        <f t="shared" si="24"/>
        <v>272469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1">
        <v>147907.1</v>
      </c>
      <c r="B100" s="641">
        <v>142890</v>
      </c>
      <c r="C100" s="644"/>
      <c r="D100" s="446">
        <v>94817.45997948444</v>
      </c>
      <c r="E100" s="166">
        <v>93</v>
      </c>
      <c r="F100" s="159">
        <f t="shared" si="22"/>
        <v>158260.59700000001</v>
      </c>
      <c r="G100" s="160">
        <f t="shared" si="23"/>
        <v>152892.30000000002</v>
      </c>
      <c r="H100" s="450">
        <f t="shared" si="20"/>
        <v>287747</v>
      </c>
      <c r="I100" s="426">
        <f t="shared" si="21"/>
        <v>277986</v>
      </c>
      <c r="J100" s="164">
        <f t="shared" si="25"/>
        <v>287747</v>
      </c>
      <c r="K100" s="165">
        <f t="shared" si="24"/>
        <v>277986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1">
        <v>150881.5</v>
      </c>
      <c r="B101" s="641">
        <v>145725.80000000002</v>
      </c>
      <c r="C101" s="644"/>
      <c r="D101" s="446">
        <v>96558.521385957691</v>
      </c>
      <c r="E101" s="163">
        <v>94</v>
      </c>
      <c r="F101" s="159">
        <f t="shared" si="22"/>
        <v>161443.20500000002</v>
      </c>
      <c r="G101" s="160">
        <f t="shared" si="23"/>
        <v>155926.60600000003</v>
      </c>
      <c r="H101" s="450">
        <f t="shared" si="20"/>
        <v>293533</v>
      </c>
      <c r="I101" s="426">
        <f t="shared" si="21"/>
        <v>283503</v>
      </c>
      <c r="J101" s="161">
        <f t="shared" si="25"/>
        <v>293533</v>
      </c>
      <c r="K101" s="162">
        <f t="shared" si="24"/>
        <v>283503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1">
        <v>153856.45000000001</v>
      </c>
      <c r="B102" s="641">
        <v>148561.05000000002</v>
      </c>
      <c r="C102" s="644"/>
      <c r="D102" s="446">
        <v>98299.582792430956</v>
      </c>
      <c r="E102" s="166">
        <v>95</v>
      </c>
      <c r="F102" s="159">
        <f t="shared" si="22"/>
        <v>164626.40150000004</v>
      </c>
      <c r="G102" s="160">
        <f t="shared" si="23"/>
        <v>158960.32350000003</v>
      </c>
      <c r="H102" s="450">
        <f t="shared" ref="H102:I106" si="27">ROUND(F102/(1-$K$1-$K$2-$K$3),0)</f>
        <v>299321</v>
      </c>
      <c r="I102" s="426">
        <f t="shared" si="27"/>
        <v>289019</v>
      </c>
      <c r="J102" s="164">
        <f t="shared" si="25"/>
        <v>299321</v>
      </c>
      <c r="K102" s="165">
        <f t="shared" si="24"/>
        <v>289019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2">
        <v>156830.30000000002</v>
      </c>
      <c r="B103" s="642">
        <v>151396.85</v>
      </c>
      <c r="C103" s="644"/>
      <c r="D103" s="446">
        <v>100040.64419890422</v>
      </c>
      <c r="E103" s="163">
        <v>96</v>
      </c>
      <c r="F103" s="159">
        <f t="shared" si="22"/>
        <v>167808.42100000003</v>
      </c>
      <c r="G103" s="160">
        <f t="shared" si="23"/>
        <v>161994.62950000001</v>
      </c>
      <c r="H103" s="450">
        <f t="shared" si="27"/>
        <v>305106</v>
      </c>
      <c r="I103" s="426">
        <f t="shared" si="27"/>
        <v>294536</v>
      </c>
      <c r="J103" s="161">
        <f t="shared" si="25"/>
        <v>305106</v>
      </c>
      <c r="K103" s="162">
        <f t="shared" si="24"/>
        <v>294536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2">
        <v>159805.25</v>
      </c>
      <c r="B104" s="642">
        <v>154232.65000000002</v>
      </c>
      <c r="C104" s="644"/>
      <c r="D104" s="446">
        <v>101781.70560537747</v>
      </c>
      <c r="E104" s="166">
        <v>97</v>
      </c>
      <c r="F104" s="159">
        <f t="shared" si="22"/>
        <v>170991.61750000002</v>
      </c>
      <c r="G104" s="160">
        <f t="shared" si="23"/>
        <v>165028.93550000002</v>
      </c>
      <c r="H104" s="450">
        <f t="shared" si="27"/>
        <v>310894</v>
      </c>
      <c r="I104" s="426">
        <f t="shared" si="27"/>
        <v>300053</v>
      </c>
      <c r="J104" s="164">
        <f t="shared" si="25"/>
        <v>310894</v>
      </c>
      <c r="K104" s="165">
        <f t="shared" si="24"/>
        <v>300053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2">
        <v>162779.1</v>
      </c>
      <c r="B105" s="642">
        <v>157067.35</v>
      </c>
      <c r="C105" s="644"/>
      <c r="D105" s="446">
        <v>103522.76701185072</v>
      </c>
      <c r="E105" s="163">
        <v>98</v>
      </c>
      <c r="F105" s="159">
        <f t="shared" si="22"/>
        <v>174173.63700000002</v>
      </c>
      <c r="G105" s="160">
        <f t="shared" si="23"/>
        <v>168062.06450000001</v>
      </c>
      <c r="H105" s="450">
        <f t="shared" si="27"/>
        <v>316679</v>
      </c>
      <c r="I105" s="426">
        <f t="shared" si="27"/>
        <v>305567</v>
      </c>
      <c r="J105" s="161">
        <f t="shared" si="25"/>
        <v>316679</v>
      </c>
      <c r="K105" s="162">
        <f t="shared" si="24"/>
        <v>305567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3">
        <v>165754.05000000002</v>
      </c>
      <c r="B106" s="643">
        <v>159903.15000000002</v>
      </c>
      <c r="C106" s="645"/>
      <c r="D106" s="447">
        <v>105263.82841832399</v>
      </c>
      <c r="E106" s="170">
        <v>99</v>
      </c>
      <c r="F106" s="159">
        <f t="shared" si="22"/>
        <v>177356.83350000004</v>
      </c>
      <c r="G106" s="160">
        <f t="shared" si="23"/>
        <v>171096.37050000005</v>
      </c>
      <c r="H106" s="451">
        <f t="shared" si="27"/>
        <v>322467</v>
      </c>
      <c r="I106" s="427">
        <f t="shared" si="27"/>
        <v>311084</v>
      </c>
      <c r="J106" s="168">
        <f t="shared" si="25"/>
        <v>322467</v>
      </c>
      <c r="K106" s="169">
        <f t="shared" si="24"/>
        <v>311084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D107" s="132"/>
      <c r="E107" s="128">
        <v>100</v>
      </c>
      <c r="F107" s="159">
        <f t="shared" si="22"/>
        <v>0</v>
      </c>
      <c r="G107" s="160">
        <f t="shared" si="23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76"/>
      <c r="F111" s="777"/>
      <c r="G111" s="777"/>
      <c r="H111" s="190"/>
      <c r="I111" s="190"/>
      <c r="J111" s="777"/>
      <c r="K111" s="777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76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E73:AI73"/>
    <mergeCell ref="A6:B6"/>
    <mergeCell ref="AC26:AD26"/>
    <mergeCell ref="AC33:AD33"/>
    <mergeCell ref="AC43:AD43"/>
    <mergeCell ref="AC60:AD60"/>
    <mergeCell ref="AU1:AV1"/>
    <mergeCell ref="AR1:AS1"/>
    <mergeCell ref="AU4:AV4"/>
    <mergeCell ref="AR2:AS2"/>
    <mergeCell ref="AO44:AP44"/>
    <mergeCell ref="AO24:AP24"/>
    <mergeCell ref="AO1:AP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2023-07-26T23:15:55Z</cp:lastPrinted>
  <dcterms:created xsi:type="dcterms:W3CDTF">2007-12-11T18:56:11Z</dcterms:created>
  <dcterms:modified xsi:type="dcterms:W3CDTF">2023-09-28T18:22:25Z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