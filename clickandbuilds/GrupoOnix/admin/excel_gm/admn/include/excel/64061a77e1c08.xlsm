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Metadata/LabelInfo.xml" ContentType="application/vnd.ms-office.classificationlabel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microsoft.com/office/2020/02/relationships/classificationlabels" Target="docMetadata/LabelInfo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AE6600E7-7A62-396C-DE95-9942FA9DD81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S/SsaYiipH9GkySMTaEe9bU4MJG3WZxMTC/aamnSv8aIOGPuHrITJNWZV9ED4j7TKsguzvJNjJDSeUSUSCqE9Q==" workbookSaltValue="G0d3USumJ6WFXF4dLoWScw==" workbookSpinCount="100000" lockStructure="1" lockWindows="1"/>
  <bookViews>
    <workbookView xWindow="0" yWindow="0" windowWidth="19200" windowHeight="7050" tabRatio="617"/>
  </bookViews>
  <sheets>
    <sheet name="Cotizador" sheetId="18" r:id="rId1"/>
    <sheet name="Instrucciones" sheetId="19" state="hidden" r:id="rId2"/>
    <sheet name="COTIZACION" sheetId="13" state="hidden" r:id="rId3"/>
    <sheet name="FACTORES" sheetId="1" state="hidden" r:id="rId4"/>
    <sheet name="TARIFARIO" sheetId="25" state="hidden" r:id="rId5"/>
    <sheet name="IMPRESION" sheetId="16" state="hidden" r:id="rId6"/>
    <sheet name="IMPRESION_2" sheetId="24" state="hidden" r:id="rId7"/>
    <sheet name="HISTORICO DE TARIFAS" sheetId="22" state="hidden" r:id="rId8"/>
    <sheet name="CAMBIOS" sheetId="20" state="hidden" r:id="rId9"/>
  </sheets>
  <externalReferences>
    <externalReference r:id="rId10"/>
  </externalReferences>
  <definedNames>
    <definedName name="_xlnm._FilterDatabase" localSheetId="2" hidden="1">COTIZACION!$B$4:$H$25</definedName>
    <definedName name="_xlnm._FilterDatabase" localSheetId="3" hidden="1">FACTORES!$M$2:$N$34</definedName>
    <definedName name="a">[1]COBERTURAS!$G$20</definedName>
    <definedName name="ADIC" localSheetId="7">#REF!</definedName>
    <definedName name="ADIC" localSheetId="6">#REF!</definedName>
    <definedName name="ADIC">#REF!</definedName>
    <definedName name="_xlnm.Print_Area" localSheetId="6">IMPRESION_2!$A$1:$W$235</definedName>
    <definedName name="_xlnm.Print_Area" localSheetId="4">TARIFARIO!$A$1:$M$106</definedName>
    <definedName name="ASIS">FACTORES!$AF$4</definedName>
    <definedName name="Base" localSheetId="7">COTIZACION!#REF!</definedName>
    <definedName name="Base" localSheetId="5">IMPRESION!#REF!</definedName>
    <definedName name="Base" localSheetId="6">IMPRESION_2!#REF!</definedName>
    <definedName name="Base">COTIZACION!#REF!</definedName>
    <definedName name="BÁSICAS" localSheetId="7">'HISTORICO DE TARIFAS'!#REF!</definedName>
    <definedName name="BÁSICAS">FACTORES!$H$39:$T$52</definedName>
    <definedName name="CDENT">FACTORES!$AF$5</definedName>
    <definedName name="CEE">FACTORES!$AF$3</definedName>
    <definedName name="CTE">FACTORES!$AC$30</definedName>
    <definedName name="CVISION" localSheetId="7">#REF!</definedName>
    <definedName name="CVISION" localSheetId="6">#REF!</definedName>
    <definedName name="CVISION">#REF!</definedName>
    <definedName name="DEDXACC" localSheetId="7">#REF!</definedName>
    <definedName name="DEDXACC" localSheetId="6">#REF!</definedName>
    <definedName name="DEDXACC">#REF!</definedName>
    <definedName name="DENTAL" localSheetId="7">#REF!</definedName>
    <definedName name="DENTAL" localSheetId="6">#REF!</definedName>
    <definedName name="DENTAL">#REF!</definedName>
    <definedName name="DER" localSheetId="7">'HISTORICO DE TARIFAS'!#REF!</definedName>
    <definedName name="DER">FACTORES!$R$34</definedName>
    <definedName name="DESC" localSheetId="7">COTIZACION!#REF!</definedName>
    <definedName name="DESC" localSheetId="6">COTIZACION!#REF!</definedName>
    <definedName name="DESC">COTIZACION!#REF!</definedName>
    <definedName name="EDUCA" localSheetId="7">#REF!</definedName>
    <definedName name="EDUCA" localSheetId="6">#REF!</definedName>
    <definedName name="EDUCA">#REF!</definedName>
    <definedName name="EDXA019">FACTORES!$AF$26</definedName>
    <definedName name="EDXA20100">FACTORES!$AF$27</definedName>
    <definedName name="ENFGR">FACTORES!$AF$7</definedName>
    <definedName name="ENFGVES" localSheetId="7">#REF!</definedName>
    <definedName name="ENFGVES" localSheetId="6">#REF!</definedName>
    <definedName name="ENFGVES">#REF!</definedName>
    <definedName name="IKE" localSheetId="7">#REF!</definedName>
    <definedName name="IKE" localSheetId="6">#REF!</definedName>
    <definedName name="IKE">#REF!</definedName>
    <definedName name="IVA">COTIZACION!$D$25</definedName>
    <definedName name="PARTO" localSheetId="7">#REF!</definedName>
    <definedName name="PARTO" localSheetId="6">#REF!</definedName>
    <definedName name="PARTO">#REF!</definedName>
    <definedName name="Print_Area" localSheetId="2">COTIZACION!$B$2:$I$38</definedName>
    <definedName name="Print_Area" localSheetId="0">Cotizador!$A$1:$K$34</definedName>
    <definedName name="Print_Area" localSheetId="3">FACTORES!$F$2:$BB$53</definedName>
    <definedName name="Print_Area" localSheetId="7">'HISTORICO DE TARIFAS'!#REF!</definedName>
    <definedName name="Print_Area" localSheetId="5">IMPRESION!$A$1:$Q$100</definedName>
    <definedName name="Print_Area" localSheetId="6">IMPRESION_2!$A$1:$K$103</definedName>
    <definedName name="Print_Area" localSheetId="1">Instrucciones!$A$1:$L$34</definedName>
    <definedName name="REDU" localSheetId="7">#REF!</definedName>
    <definedName name="REDU" localSheetId="6">#REF!</definedName>
    <definedName name="REDU">#REF!</definedName>
    <definedName name="RENOVADA" localSheetId="7">COTIZACION!#REF!</definedName>
    <definedName name="RENOVADA" localSheetId="6">COTIZACION!#REF!</definedName>
    <definedName name="RENOVADA">COTIZACION!#REF!</definedName>
    <definedName name="RMES" localSheetId="7">'HISTORICO DE TARIFAS'!#REF!</definedName>
    <definedName name="RMES">FACTORES!$Z$5</definedName>
    <definedName name="RSEM" localSheetId="7">'HISTORICO DE TARIFAS'!#REF!</definedName>
    <definedName name="RSEM">FACTORES!$Z$3</definedName>
    <definedName name="RTRIM" localSheetId="7">'HISTORICO DE TARIFAS'!#REF!</definedName>
    <definedName name="RTRIM">FACTORES!$Z$4</definedName>
    <definedName name="VIS">FACTORES!$AF$6</definedName>
    <definedName name="zona" localSheetId="7">Instrucciones!#REF!</definedName>
    <definedName name="zona" localSheetId="6">Instrucciones!#REF!</definedName>
    <definedName name="zona">Instrucciones!#REF!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24" i="1" l="1"/>
  <c r="H23" i="1"/>
  <c r="H22" i="1"/>
  <c r="H21" i="1"/>
  <c r="Z12" i="1" l="1"/>
  <c r="D16" i="13" l="1"/>
  <c r="H82" i="16" s="1"/>
  <c r="AF5" i="1"/>
  <c r="AC7" i="1" l="1"/>
  <c r="Z18" i="1"/>
  <c r="Z17" i="1"/>
  <c r="Z15" i="1"/>
  <c r="Z14" i="1"/>
  <c r="Z13" i="1"/>
  <c r="Z16" i="1"/>
  <c r="F98" i="16" l="1"/>
  <c r="E7" i="13"/>
  <c r="D15" i="13" l="1"/>
  <c r="F10" i="25" l="1"/>
  <c r="I32" i="16"/>
  <c r="AJ10" i="1" l="1"/>
  <c r="AJ9" i="1"/>
  <c r="AJ8" i="1"/>
  <c r="AJ7" i="1"/>
  <c r="AJ6" i="1"/>
  <c r="AJ5" i="1"/>
  <c r="AJ4" i="1"/>
  <c r="AJ3" i="1"/>
  <c r="E18" i="13" l="1"/>
  <c r="Y29" i="1" l="1"/>
  <c r="Y28" i="1"/>
  <c r="H13" i="1"/>
  <c r="H12" i="1"/>
  <c r="H11" i="1"/>
  <c r="H10" i="1"/>
  <c r="H9" i="1"/>
  <c r="H8" i="1"/>
  <c r="H7" i="1"/>
  <c r="H6" i="1"/>
  <c r="H5" i="1"/>
  <c r="H4" i="1"/>
  <c r="H3" i="1"/>
  <c r="K11" i="25" l="1"/>
  <c r="K12" i="25"/>
  <c r="B102" i="25" l="1"/>
  <c r="L7" i="25" l="1"/>
  <c r="G7" i="25" l="1"/>
  <c r="L17" i="25"/>
  <c r="L16" i="25"/>
  <c r="L15" i="25"/>
  <c r="H17" i="25"/>
  <c r="H16" i="25"/>
  <c r="H15" i="25"/>
  <c r="D17" i="25"/>
  <c r="D16" i="25"/>
  <c r="D15" i="25"/>
  <c r="K10" i="25"/>
  <c r="D7" i="25"/>
  <c r="E21" i="13" l="1"/>
  <c r="AF3" i="1" l="1"/>
  <c r="I19" i="16" l="1"/>
  <c r="I27" i="24" l="1"/>
  <c r="I31" i="24" s="1"/>
  <c r="B7" i="24"/>
  <c r="K6" i="24"/>
  <c r="I28" i="24" l="1"/>
  <c r="I32" i="24"/>
  <c r="I29" i="24"/>
  <c r="I33" i="24"/>
  <c r="I30" i="24"/>
  <c r="I34" i="24"/>
  <c r="AM14" i="1"/>
  <c r="AF6" i="1"/>
  <c r="AF4" i="1"/>
  <c r="AH33" i="1" l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 l="1"/>
  <c r="B100" i="16" s="1"/>
  <c r="I30" i="16"/>
  <c r="AC8" i="1"/>
  <c r="AC6" i="1"/>
  <c r="I18" i="16"/>
  <c r="I14" i="16" l="1"/>
  <c r="AC4" i="1" l="1"/>
  <c r="AC3" i="1"/>
  <c r="H104" i="22" l="1"/>
  <c r="P104" i="22" s="1"/>
  <c r="G104" i="22"/>
  <c r="O104" i="22" s="1"/>
  <c r="H103" i="22"/>
  <c r="L103" i="22" s="1"/>
  <c r="G103" i="22"/>
  <c r="K103" i="22" s="1"/>
  <c r="H102" i="22"/>
  <c r="P102" i="22" s="1"/>
  <c r="G102" i="22"/>
  <c r="O102" i="22" s="1"/>
  <c r="H101" i="22"/>
  <c r="L101" i="22" s="1"/>
  <c r="G101" i="22"/>
  <c r="K101" i="22" s="1"/>
  <c r="H100" i="22"/>
  <c r="P100" i="22" s="1"/>
  <c r="G100" i="22"/>
  <c r="O100" i="22" s="1"/>
  <c r="H99" i="22"/>
  <c r="L99" i="22" s="1"/>
  <c r="G99" i="22"/>
  <c r="K99" i="22" s="1"/>
  <c r="H98" i="22"/>
  <c r="P98" i="22" s="1"/>
  <c r="G98" i="22"/>
  <c r="O98" i="22" s="1"/>
  <c r="H97" i="22"/>
  <c r="L97" i="22" s="1"/>
  <c r="G97" i="22"/>
  <c r="K97" i="22" s="1"/>
  <c r="H96" i="22"/>
  <c r="P96" i="22" s="1"/>
  <c r="G96" i="22"/>
  <c r="O96" i="22" s="1"/>
  <c r="H95" i="22"/>
  <c r="L95" i="22" s="1"/>
  <c r="G95" i="22"/>
  <c r="K95" i="22" s="1"/>
  <c r="L94" i="22"/>
  <c r="H94" i="22"/>
  <c r="P94" i="22" s="1"/>
  <c r="G94" i="22"/>
  <c r="O94" i="22" s="1"/>
  <c r="H93" i="22"/>
  <c r="L93" i="22" s="1"/>
  <c r="G93" i="22"/>
  <c r="K93" i="22" s="1"/>
  <c r="H92" i="22"/>
  <c r="P92" i="22" s="1"/>
  <c r="G92" i="22"/>
  <c r="O92" i="22" s="1"/>
  <c r="H91" i="22"/>
  <c r="L91" i="22" s="1"/>
  <c r="G91" i="22"/>
  <c r="K91" i="22" s="1"/>
  <c r="H90" i="22"/>
  <c r="P90" i="22" s="1"/>
  <c r="G90" i="22"/>
  <c r="O90" i="22" s="1"/>
  <c r="H89" i="22"/>
  <c r="L89" i="22" s="1"/>
  <c r="G89" i="22"/>
  <c r="K89" i="22" s="1"/>
  <c r="H88" i="22"/>
  <c r="P88" i="22" s="1"/>
  <c r="G88" i="22"/>
  <c r="O88" i="22" s="1"/>
  <c r="H87" i="22"/>
  <c r="L87" i="22" s="1"/>
  <c r="G87" i="22"/>
  <c r="K87" i="22" s="1"/>
  <c r="H86" i="22"/>
  <c r="P86" i="22" s="1"/>
  <c r="G86" i="22"/>
  <c r="O86" i="22" s="1"/>
  <c r="H85" i="22"/>
  <c r="L85" i="22" s="1"/>
  <c r="G85" i="22"/>
  <c r="K85" i="22" s="1"/>
  <c r="H84" i="22"/>
  <c r="P84" i="22" s="1"/>
  <c r="G84" i="22"/>
  <c r="O84" i="22" s="1"/>
  <c r="H83" i="22"/>
  <c r="L83" i="22" s="1"/>
  <c r="G83" i="22"/>
  <c r="K83" i="22" s="1"/>
  <c r="H82" i="22"/>
  <c r="P82" i="22" s="1"/>
  <c r="G82" i="22"/>
  <c r="O82" i="22" s="1"/>
  <c r="H81" i="22"/>
  <c r="L81" i="22" s="1"/>
  <c r="G81" i="22"/>
  <c r="K81" i="22" s="1"/>
  <c r="H80" i="22"/>
  <c r="P80" i="22" s="1"/>
  <c r="G80" i="22"/>
  <c r="O80" i="22" s="1"/>
  <c r="H79" i="22"/>
  <c r="L79" i="22" s="1"/>
  <c r="G79" i="22"/>
  <c r="K79" i="22" s="1"/>
  <c r="H78" i="22"/>
  <c r="P78" i="22" s="1"/>
  <c r="G78" i="22"/>
  <c r="O78" i="22" s="1"/>
  <c r="H77" i="22"/>
  <c r="L77" i="22" s="1"/>
  <c r="G77" i="22"/>
  <c r="K77" i="22" s="1"/>
  <c r="H76" i="22"/>
  <c r="P76" i="22" s="1"/>
  <c r="G76" i="22"/>
  <c r="O76" i="22" s="1"/>
  <c r="H75" i="22"/>
  <c r="L75" i="22" s="1"/>
  <c r="G75" i="22"/>
  <c r="K75" i="22" s="1"/>
  <c r="H74" i="22"/>
  <c r="P74" i="22" s="1"/>
  <c r="G74" i="22"/>
  <c r="O74" i="22" s="1"/>
  <c r="H73" i="22"/>
  <c r="L73" i="22" s="1"/>
  <c r="G73" i="22"/>
  <c r="O73" i="22" s="1"/>
  <c r="H72" i="22"/>
  <c r="P72" i="22" s="1"/>
  <c r="G72" i="22"/>
  <c r="O72" i="22" s="1"/>
  <c r="H71" i="22"/>
  <c r="L71" i="22" s="1"/>
  <c r="G71" i="22"/>
  <c r="O71" i="22" s="1"/>
  <c r="H70" i="22"/>
  <c r="P70" i="22" s="1"/>
  <c r="G70" i="22"/>
  <c r="O70" i="22" s="1"/>
  <c r="H69" i="22"/>
  <c r="L69" i="22" s="1"/>
  <c r="G69" i="22"/>
  <c r="O69" i="22" s="1"/>
  <c r="H68" i="22"/>
  <c r="P68" i="22" s="1"/>
  <c r="G68" i="22"/>
  <c r="O68" i="22" s="1"/>
  <c r="H67" i="22"/>
  <c r="L67" i="22" s="1"/>
  <c r="G67" i="22"/>
  <c r="O67" i="22" s="1"/>
  <c r="H66" i="22"/>
  <c r="P66" i="22" s="1"/>
  <c r="G66" i="22"/>
  <c r="O66" i="22" s="1"/>
  <c r="H65" i="22"/>
  <c r="L65" i="22" s="1"/>
  <c r="G65" i="22"/>
  <c r="O65" i="22" s="1"/>
  <c r="H64" i="22"/>
  <c r="P64" i="22" s="1"/>
  <c r="G64" i="22"/>
  <c r="O64" i="22" s="1"/>
  <c r="H63" i="22"/>
  <c r="L63" i="22" s="1"/>
  <c r="G63" i="22"/>
  <c r="O63" i="22" s="1"/>
  <c r="H62" i="22"/>
  <c r="P62" i="22" s="1"/>
  <c r="G62" i="22"/>
  <c r="O62" i="22" s="1"/>
  <c r="H61" i="22"/>
  <c r="L61" i="22" s="1"/>
  <c r="G61" i="22"/>
  <c r="O61" i="22" s="1"/>
  <c r="H60" i="22"/>
  <c r="P60" i="22" s="1"/>
  <c r="G60" i="22"/>
  <c r="O60" i="22" s="1"/>
  <c r="H59" i="22"/>
  <c r="L59" i="22" s="1"/>
  <c r="G59" i="22"/>
  <c r="O59" i="22" s="1"/>
  <c r="H58" i="22"/>
  <c r="P58" i="22" s="1"/>
  <c r="G58" i="22"/>
  <c r="O58" i="22" s="1"/>
  <c r="H57" i="22"/>
  <c r="P57" i="22" s="1"/>
  <c r="G57" i="22"/>
  <c r="O57" i="22" s="1"/>
  <c r="H56" i="22"/>
  <c r="L56" i="22" s="1"/>
  <c r="G56" i="22"/>
  <c r="O56" i="22" s="1"/>
  <c r="H55" i="22"/>
  <c r="P55" i="22" s="1"/>
  <c r="G55" i="22"/>
  <c r="K55" i="22" s="1"/>
  <c r="H54" i="22"/>
  <c r="P54" i="22" s="1"/>
  <c r="G54" i="22"/>
  <c r="O54" i="22" s="1"/>
  <c r="H53" i="22"/>
  <c r="P53" i="22" s="1"/>
  <c r="G53" i="22"/>
  <c r="O53" i="22" s="1"/>
  <c r="H52" i="22"/>
  <c r="L52" i="22" s="1"/>
  <c r="G52" i="22"/>
  <c r="O52" i="22" s="1"/>
  <c r="H51" i="22"/>
  <c r="P51" i="22" s="1"/>
  <c r="G51" i="22"/>
  <c r="K51" i="22" s="1"/>
  <c r="H50" i="22"/>
  <c r="P50" i="22" s="1"/>
  <c r="G50" i="22"/>
  <c r="O50" i="22" s="1"/>
  <c r="H49" i="22"/>
  <c r="P49" i="22" s="1"/>
  <c r="G49" i="22"/>
  <c r="O49" i="22" s="1"/>
  <c r="H48" i="22"/>
  <c r="L48" i="22" s="1"/>
  <c r="G48" i="22"/>
  <c r="O48" i="22" s="1"/>
  <c r="H47" i="22"/>
  <c r="P47" i="22" s="1"/>
  <c r="G47" i="22"/>
  <c r="K47" i="22" s="1"/>
  <c r="H46" i="22"/>
  <c r="P46" i="22" s="1"/>
  <c r="G46" i="22"/>
  <c r="O46" i="22" s="1"/>
  <c r="H45" i="22"/>
  <c r="P45" i="22" s="1"/>
  <c r="G45" i="22"/>
  <c r="O45" i="22" s="1"/>
  <c r="H44" i="22"/>
  <c r="L44" i="22" s="1"/>
  <c r="G44" i="22"/>
  <c r="O44" i="22" s="1"/>
  <c r="H43" i="22"/>
  <c r="P43" i="22" s="1"/>
  <c r="G43" i="22"/>
  <c r="K43" i="22" s="1"/>
  <c r="H42" i="22"/>
  <c r="P42" i="22" s="1"/>
  <c r="G42" i="22"/>
  <c r="O42" i="22" s="1"/>
  <c r="H41" i="22"/>
  <c r="P41" i="22" s="1"/>
  <c r="G41" i="22"/>
  <c r="O41" i="22" s="1"/>
  <c r="H40" i="22"/>
  <c r="P40" i="22" s="1"/>
  <c r="G40" i="22"/>
  <c r="O40" i="22" s="1"/>
  <c r="H39" i="22"/>
  <c r="P39" i="22" s="1"/>
  <c r="G39" i="22"/>
  <c r="O39" i="22" s="1"/>
  <c r="H38" i="22"/>
  <c r="P38" i="22" s="1"/>
  <c r="G38" i="22"/>
  <c r="O38" i="22" s="1"/>
  <c r="H37" i="22"/>
  <c r="P37" i="22" s="1"/>
  <c r="G37" i="22"/>
  <c r="O37" i="22" s="1"/>
  <c r="H36" i="22"/>
  <c r="P36" i="22" s="1"/>
  <c r="G36" i="22"/>
  <c r="O36" i="22" s="1"/>
  <c r="H35" i="22"/>
  <c r="L35" i="22" s="1"/>
  <c r="G35" i="22"/>
  <c r="O35" i="22" s="1"/>
  <c r="H34" i="22"/>
  <c r="L34" i="22" s="1"/>
  <c r="G34" i="22"/>
  <c r="K34" i="22" s="1"/>
  <c r="H33" i="22"/>
  <c r="P33" i="22" s="1"/>
  <c r="G33" i="22"/>
  <c r="K33" i="22" s="1"/>
  <c r="H32" i="22"/>
  <c r="P32" i="22" s="1"/>
  <c r="G32" i="22"/>
  <c r="O32" i="22" s="1"/>
  <c r="H31" i="22"/>
  <c r="L31" i="22" s="1"/>
  <c r="G31" i="22"/>
  <c r="O31" i="22" s="1"/>
  <c r="H30" i="22"/>
  <c r="L30" i="22" s="1"/>
  <c r="G30" i="22"/>
  <c r="O30" i="22" s="1"/>
  <c r="H29" i="22"/>
  <c r="L29" i="22" s="1"/>
  <c r="G29" i="22"/>
  <c r="K29" i="22" s="1"/>
  <c r="H28" i="22"/>
  <c r="P28" i="22" s="1"/>
  <c r="G28" i="22"/>
  <c r="K28" i="22" s="1"/>
  <c r="H27" i="22"/>
  <c r="P27" i="22" s="1"/>
  <c r="G27" i="22"/>
  <c r="O27" i="22" s="1"/>
  <c r="H26" i="22"/>
  <c r="P26" i="22" s="1"/>
  <c r="G26" i="22"/>
  <c r="O26" i="22" s="1"/>
  <c r="H25" i="22"/>
  <c r="P25" i="22" s="1"/>
  <c r="G25" i="22"/>
  <c r="O25" i="22" s="1"/>
  <c r="H24" i="22"/>
  <c r="P24" i="22" s="1"/>
  <c r="G24" i="22"/>
  <c r="O24" i="22" s="1"/>
  <c r="H23" i="22"/>
  <c r="P23" i="22" s="1"/>
  <c r="G23" i="22"/>
  <c r="K23" i="22" s="1"/>
  <c r="H22" i="22"/>
  <c r="L22" i="22" s="1"/>
  <c r="G22" i="22"/>
  <c r="K22" i="22" s="1"/>
  <c r="H21" i="22"/>
  <c r="L21" i="22" s="1"/>
  <c r="G21" i="22"/>
  <c r="O21" i="22" s="1"/>
  <c r="H20" i="22"/>
  <c r="P20" i="22" s="1"/>
  <c r="G20" i="22"/>
  <c r="O20" i="22" s="1"/>
  <c r="H19" i="22"/>
  <c r="P19" i="22" s="1"/>
  <c r="G19" i="22"/>
  <c r="O19" i="22" s="1"/>
  <c r="H18" i="22"/>
  <c r="P18" i="22" s="1"/>
  <c r="G18" i="22"/>
  <c r="O18" i="22" s="1"/>
  <c r="H17" i="22"/>
  <c r="P17" i="22" s="1"/>
  <c r="G17" i="22"/>
  <c r="O17" i="22" s="1"/>
  <c r="H16" i="22"/>
  <c r="L16" i="22" s="1"/>
  <c r="G16" i="22"/>
  <c r="O16" i="22" s="1"/>
  <c r="H15" i="22"/>
  <c r="P15" i="22" s="1"/>
  <c r="G15" i="22"/>
  <c r="K15" i="22" s="1"/>
  <c r="H14" i="22"/>
  <c r="L14" i="22" s="1"/>
  <c r="G14" i="22"/>
  <c r="O14" i="22" s="1"/>
  <c r="H13" i="22"/>
  <c r="P13" i="22" s="1"/>
  <c r="G13" i="22"/>
  <c r="O13" i="22" s="1"/>
  <c r="H12" i="22"/>
  <c r="P12" i="22" s="1"/>
  <c r="G12" i="22"/>
  <c r="O12" i="22" s="1"/>
  <c r="H11" i="22"/>
  <c r="P11" i="22" s="1"/>
  <c r="G11" i="22"/>
  <c r="O11" i="22" s="1"/>
  <c r="H10" i="22"/>
  <c r="L10" i="22" s="1"/>
  <c r="G10" i="22"/>
  <c r="O10" i="22" s="1"/>
  <c r="H9" i="22"/>
  <c r="P9" i="22" s="1"/>
  <c r="G9" i="22"/>
  <c r="K9" i="22" s="1"/>
  <c r="H8" i="22"/>
  <c r="P8" i="22" s="1"/>
  <c r="G8" i="22"/>
  <c r="O8" i="22" s="1"/>
  <c r="H7" i="22"/>
  <c r="P7" i="22" s="1"/>
  <c r="G7" i="22"/>
  <c r="O7" i="22" s="1"/>
  <c r="H6" i="22"/>
  <c r="P6" i="22" s="1"/>
  <c r="G6" i="22"/>
  <c r="O6" i="22" s="1"/>
  <c r="H5" i="22"/>
  <c r="P5" i="22" s="1"/>
  <c r="G5" i="22"/>
  <c r="O5" i="22" s="1"/>
  <c r="H4" i="22"/>
  <c r="L4" i="22" s="1"/>
  <c r="G4" i="22"/>
  <c r="K4" i="22" s="1"/>
  <c r="L8" i="22" l="1"/>
  <c r="K7" i="22"/>
  <c r="K84" i="22"/>
  <c r="K69" i="22"/>
  <c r="L86" i="22"/>
  <c r="L98" i="22"/>
  <c r="L12" i="22"/>
  <c r="K25" i="22"/>
  <c r="L90" i="22"/>
  <c r="K100" i="22"/>
  <c r="K8" i="22"/>
  <c r="L9" i="22"/>
  <c r="K24" i="22"/>
  <c r="K61" i="22"/>
  <c r="L82" i="22"/>
  <c r="K92" i="22"/>
  <c r="L102" i="22"/>
  <c r="L19" i="22"/>
  <c r="L20" i="22"/>
  <c r="K26" i="22"/>
  <c r="K31" i="22"/>
  <c r="L32" i="22"/>
  <c r="K35" i="22"/>
  <c r="L36" i="22"/>
  <c r="L37" i="22"/>
  <c r="L38" i="22"/>
  <c r="L39" i="22"/>
  <c r="L40" i="22"/>
  <c r="L41" i="22"/>
  <c r="K44" i="22"/>
  <c r="L45" i="22"/>
  <c r="K48" i="22"/>
  <c r="L49" i="22"/>
  <c r="K52" i="22"/>
  <c r="L53" i="22"/>
  <c r="K56" i="22"/>
  <c r="L57" i="22"/>
  <c r="K65" i="22"/>
  <c r="K73" i="22"/>
  <c r="L62" i="22"/>
  <c r="L70" i="22"/>
  <c r="K6" i="22"/>
  <c r="K19" i="22"/>
  <c r="K20" i="22"/>
  <c r="K21" i="22"/>
  <c r="K27" i="22"/>
  <c r="K32" i="22"/>
  <c r="L33" i="22"/>
  <c r="K36" i="22"/>
  <c r="K37" i="22"/>
  <c r="K38" i="22"/>
  <c r="K39" i="22"/>
  <c r="K40" i="22"/>
  <c r="K41" i="22"/>
  <c r="L42" i="22"/>
  <c r="K45" i="22"/>
  <c r="L46" i="22"/>
  <c r="K49" i="22"/>
  <c r="L50" i="22"/>
  <c r="K53" i="22"/>
  <c r="L54" i="22"/>
  <c r="K57" i="22"/>
  <c r="L58" i="22"/>
  <c r="L66" i="22"/>
  <c r="L74" i="22"/>
  <c r="K88" i="22"/>
  <c r="K96" i="22"/>
  <c r="K104" i="22"/>
  <c r="L15" i="22"/>
  <c r="L28" i="22"/>
  <c r="L76" i="22"/>
  <c r="L5" i="22"/>
  <c r="K14" i="22"/>
  <c r="K17" i="22"/>
  <c r="L24" i="22"/>
  <c r="L25" i="22"/>
  <c r="L26" i="22"/>
  <c r="L27" i="22"/>
  <c r="L60" i="22"/>
  <c r="L64" i="22"/>
  <c r="L68" i="22"/>
  <c r="L72" i="22"/>
  <c r="L78" i="22"/>
  <c r="L84" i="22"/>
  <c r="L88" i="22"/>
  <c r="L92" i="22"/>
  <c r="L96" i="22"/>
  <c r="L100" i="22"/>
  <c r="L104" i="22"/>
  <c r="K12" i="22"/>
  <c r="L13" i="22"/>
  <c r="L17" i="22"/>
  <c r="P22" i="22"/>
  <c r="K59" i="22"/>
  <c r="K63" i="22"/>
  <c r="K67" i="22"/>
  <c r="K71" i="22"/>
  <c r="L80" i="22"/>
  <c r="K86" i="22"/>
  <c r="K90" i="22"/>
  <c r="K94" i="22"/>
  <c r="K98" i="22"/>
  <c r="K102" i="22"/>
  <c r="L6" i="22"/>
  <c r="L23" i="22"/>
  <c r="K30" i="22"/>
  <c r="P14" i="22"/>
  <c r="P4" i="22"/>
  <c r="O9" i="22"/>
  <c r="P10" i="22"/>
  <c r="O15" i="22"/>
  <c r="P16" i="22"/>
  <c r="L7" i="22"/>
  <c r="K10" i="22"/>
  <c r="K11" i="22"/>
  <c r="K16" i="22"/>
  <c r="K18" i="22"/>
  <c r="K5" i="22"/>
  <c r="L11" i="22"/>
  <c r="K13" i="22"/>
  <c r="L18" i="22"/>
  <c r="O23" i="22"/>
  <c r="O4" i="22"/>
  <c r="P21" i="22"/>
  <c r="O22" i="22"/>
  <c r="O29" i="22"/>
  <c r="P30" i="22"/>
  <c r="P31" i="22"/>
  <c r="O34" i="22"/>
  <c r="P35" i="22"/>
  <c r="K42" i="22"/>
  <c r="L43" i="22"/>
  <c r="K46" i="22"/>
  <c r="L47" i="22"/>
  <c r="K50" i="22"/>
  <c r="L51" i="22"/>
  <c r="K54" i="22"/>
  <c r="L55" i="22"/>
  <c r="K58" i="22"/>
  <c r="K60" i="22"/>
  <c r="K62" i="22"/>
  <c r="K64" i="22"/>
  <c r="K66" i="22"/>
  <c r="K68" i="22"/>
  <c r="K70" i="22"/>
  <c r="K72" i="22"/>
  <c r="K74" i="22"/>
  <c r="O75" i="22"/>
  <c r="K76" i="22"/>
  <c r="O77" i="22"/>
  <c r="K78" i="22"/>
  <c r="O79" i="22"/>
  <c r="K80" i="22"/>
  <c r="O81" i="22"/>
  <c r="K82" i="22"/>
  <c r="O83" i="22"/>
  <c r="O85" i="22"/>
  <c r="O87" i="22"/>
  <c r="O89" i="22"/>
  <c r="O91" i="22"/>
  <c r="O93" i="22"/>
  <c r="O95" i="22"/>
  <c r="O97" i="22"/>
  <c r="O99" i="22"/>
  <c r="O101" i="22"/>
  <c r="O103" i="22"/>
  <c r="O28" i="22"/>
  <c r="P29" i="22"/>
  <c r="O33" i="22"/>
  <c r="P34" i="22"/>
  <c r="O43" i="22"/>
  <c r="P44" i="22"/>
  <c r="O47" i="22"/>
  <c r="P48" i="22"/>
  <c r="O51" i="22"/>
  <c r="P52" i="22"/>
  <c r="O55" i="22"/>
  <c r="P56" i="22"/>
  <c r="P59" i="22"/>
  <c r="P61" i="22"/>
  <c r="P63" i="22"/>
  <c r="P65" i="22"/>
  <c r="P67" i="22"/>
  <c r="P69" i="22"/>
  <c r="P71" i="22"/>
  <c r="P73" i="22"/>
  <c r="P75" i="22"/>
  <c r="P77" i="22"/>
  <c r="P79" i="22"/>
  <c r="P81" i="22"/>
  <c r="P83" i="22"/>
  <c r="P85" i="22"/>
  <c r="P87" i="22"/>
  <c r="P89" i="22"/>
  <c r="P91" i="22"/>
  <c r="P93" i="22"/>
  <c r="P95" i="22"/>
  <c r="P97" i="22"/>
  <c r="P99" i="22"/>
  <c r="P101" i="22"/>
  <c r="P103" i="22"/>
  <c r="AC5" i="1"/>
  <c r="AC9" i="1" s="1"/>
  <c r="Q22" i="25" l="1"/>
  <c r="C22" i="25" s="1"/>
  <c r="Q97" i="25"/>
  <c r="C97" i="25" s="1"/>
  <c r="Q92" i="25"/>
  <c r="C92" i="25" s="1"/>
  <c r="R88" i="25"/>
  <c r="D88" i="25" s="1"/>
  <c r="U82" i="25"/>
  <c r="G82" i="25" s="1"/>
  <c r="V97" i="25"/>
  <c r="H97" i="25" s="1"/>
  <c r="V92" i="25"/>
  <c r="H92" i="25" s="1"/>
  <c r="Q87" i="25"/>
  <c r="C87" i="25" s="1"/>
  <c r="R83" i="25"/>
  <c r="D83" i="25" s="1"/>
  <c r="U79" i="25"/>
  <c r="G79" i="25" s="1"/>
  <c r="U95" i="25"/>
  <c r="G95" i="25" s="1"/>
  <c r="V91" i="25"/>
  <c r="H91" i="25" s="1"/>
  <c r="Q96" i="25"/>
  <c r="C96" i="25" s="1"/>
  <c r="R90" i="25"/>
  <c r="D90" i="25" s="1"/>
  <c r="U84" i="25"/>
  <c r="G84" i="25" s="1"/>
  <c r="V94" i="25"/>
  <c r="H94" i="25" s="1"/>
  <c r="Q89" i="25"/>
  <c r="C89" i="25" s="1"/>
  <c r="R85" i="25"/>
  <c r="D85" i="25" s="1"/>
  <c r="V77" i="25"/>
  <c r="H77" i="25" s="1"/>
  <c r="U86" i="25"/>
  <c r="G86" i="25" s="1"/>
  <c r="R87" i="25"/>
  <c r="D87" i="25" s="1"/>
  <c r="V95" i="25"/>
  <c r="H95" i="25" s="1"/>
  <c r="Q94" i="25"/>
  <c r="C94" i="25" s="1"/>
  <c r="R91" i="25"/>
  <c r="D91" i="25" s="1"/>
  <c r="Q78" i="25"/>
  <c r="C78" i="25" s="1"/>
  <c r="V78" i="25"/>
  <c r="H78" i="25" s="1"/>
  <c r="U81" i="25"/>
  <c r="G81" i="25" s="1"/>
  <c r="R97" i="25"/>
  <c r="D97" i="25" s="1"/>
  <c r="V80" i="25"/>
  <c r="H80" i="25" s="1"/>
  <c r="U83" i="25"/>
  <c r="G83" i="25" s="1"/>
  <c r="V81" i="25"/>
  <c r="H81" i="25" s="1"/>
  <c r="Q79" i="25"/>
  <c r="C79" i="25" s="1"/>
  <c r="Q80" i="25"/>
  <c r="C80" i="25" s="1"/>
  <c r="Q82" i="25"/>
  <c r="C82" i="25" s="1"/>
  <c r="R78" i="25"/>
  <c r="D78" i="25" s="1"/>
  <c r="R94" i="25"/>
  <c r="D94" i="25" s="1"/>
  <c r="U88" i="25"/>
  <c r="G88" i="25" s="1"/>
  <c r="V82" i="25"/>
  <c r="H82" i="25" s="1"/>
  <c r="Q77" i="25"/>
  <c r="C77" i="25" s="1"/>
  <c r="Q93" i="25"/>
  <c r="C93" i="25" s="1"/>
  <c r="R89" i="25"/>
  <c r="D89" i="25" s="1"/>
  <c r="U87" i="25"/>
  <c r="G87" i="25" s="1"/>
  <c r="Q84" i="25"/>
  <c r="C84" i="25" s="1"/>
  <c r="R80" i="25"/>
  <c r="D80" i="25" s="1"/>
  <c r="R96" i="25"/>
  <c r="D96" i="25" s="1"/>
  <c r="V84" i="25"/>
  <c r="H84" i="25" s="1"/>
  <c r="Q86" i="25"/>
  <c r="C86" i="25" s="1"/>
  <c r="R82" i="25"/>
  <c r="D82" i="25" s="1"/>
  <c r="U97" i="25"/>
  <c r="G97" i="25" s="1"/>
  <c r="U92" i="25"/>
  <c r="G92" i="25" s="1"/>
  <c r="V86" i="25"/>
  <c r="H86" i="25" s="1"/>
  <c r="Q81" i="25"/>
  <c r="C81" i="25" s="1"/>
  <c r="R77" i="25"/>
  <c r="D77" i="25" s="1"/>
  <c r="R93" i="25"/>
  <c r="D93" i="25" s="1"/>
  <c r="U89" i="25"/>
  <c r="G89" i="25" s="1"/>
  <c r="V85" i="25"/>
  <c r="H85" i="25" s="1"/>
  <c r="R84" i="25"/>
  <c r="D84" i="25" s="1"/>
  <c r="U78" i="25"/>
  <c r="G78" i="25" s="1"/>
  <c r="U94" i="25"/>
  <c r="G94" i="25" s="1"/>
  <c r="V88" i="25"/>
  <c r="H88" i="25" s="1"/>
  <c r="Q83" i="25"/>
  <c r="C83" i="25" s="1"/>
  <c r="R79" i="25"/>
  <c r="D79" i="25" s="1"/>
  <c r="R95" i="25"/>
  <c r="D95" i="25" s="1"/>
  <c r="U91" i="25"/>
  <c r="G91" i="25" s="1"/>
  <c r="V87" i="25"/>
  <c r="H87" i="25" s="1"/>
  <c r="R86" i="25"/>
  <c r="D86" i="25" s="1"/>
  <c r="U80" i="25"/>
  <c r="G80" i="25" s="1"/>
  <c r="U96" i="25"/>
  <c r="G96" i="25" s="1"/>
  <c r="V90" i="25"/>
  <c r="H90" i="25" s="1"/>
  <c r="Q85" i="25"/>
  <c r="C85" i="25" s="1"/>
  <c r="R81" i="25"/>
  <c r="D81" i="25" s="1"/>
  <c r="U77" i="25"/>
  <c r="G77" i="25" s="1"/>
  <c r="U93" i="25"/>
  <c r="G93" i="25" s="1"/>
  <c r="V89" i="25"/>
  <c r="H89" i="25" s="1"/>
  <c r="V93" i="25"/>
  <c r="H93" i="25" s="1"/>
  <c r="R92" i="25"/>
  <c r="D92" i="25" s="1"/>
  <c r="Q91" i="25"/>
  <c r="C91" i="25" s="1"/>
  <c r="V79" i="25"/>
  <c r="H79" i="25" s="1"/>
  <c r="U85" i="25"/>
  <c r="G85" i="25" s="1"/>
  <c r="Q95" i="25"/>
  <c r="C95" i="25" s="1"/>
  <c r="Q88" i="25"/>
  <c r="C88" i="25" s="1"/>
  <c r="Q90" i="25"/>
  <c r="C90" i="25" s="1"/>
  <c r="V96" i="25"/>
  <c r="H96" i="25" s="1"/>
  <c r="U90" i="25"/>
  <c r="G90" i="25" s="1"/>
  <c r="V83" i="25"/>
  <c r="H83" i="25" s="1"/>
  <c r="Z22" i="25"/>
  <c r="L22" i="25" s="1"/>
  <c r="V76" i="25"/>
  <c r="H76" i="25" s="1"/>
  <c r="V75" i="25"/>
  <c r="H75" i="25" s="1"/>
  <c r="V22" i="25"/>
  <c r="H22" i="25" s="1"/>
  <c r="U76" i="25"/>
  <c r="G76" i="25" s="1"/>
  <c r="U75" i="25"/>
  <c r="G75" i="25" s="1"/>
  <c r="U74" i="25"/>
  <c r="G74" i="25" s="1"/>
  <c r="R22" i="25"/>
  <c r="D22" i="25" s="1"/>
  <c r="R76" i="25"/>
  <c r="D76" i="25" s="1"/>
  <c r="R75" i="25"/>
  <c r="D75" i="25" s="1"/>
  <c r="R74" i="25"/>
  <c r="D74" i="25" s="1"/>
  <c r="R73" i="25"/>
  <c r="D73" i="25" s="1"/>
  <c r="R72" i="25"/>
  <c r="Q75" i="25"/>
  <c r="U73" i="25"/>
  <c r="G73" i="25" s="1"/>
  <c r="Q72" i="25"/>
  <c r="V29" i="25"/>
  <c r="H29" i="25" s="1"/>
  <c r="Z28" i="25"/>
  <c r="R28" i="25"/>
  <c r="D28" i="25" s="1"/>
  <c r="V27" i="25"/>
  <c r="Z26" i="25"/>
  <c r="L26" i="25" s="1"/>
  <c r="AL26" i="25" s="1"/>
  <c r="R26" i="25"/>
  <c r="D26" i="25" s="1"/>
  <c r="V25" i="25"/>
  <c r="H25" i="25" s="1"/>
  <c r="Z24" i="25"/>
  <c r="L24" i="25" s="1"/>
  <c r="R24" i="25"/>
  <c r="D24" i="25" s="1"/>
  <c r="V23" i="25"/>
  <c r="H23" i="25" s="1"/>
  <c r="Y22" i="25"/>
  <c r="U22" i="25"/>
  <c r="G22" i="25" s="1"/>
  <c r="V73" i="25"/>
  <c r="H73" i="25" s="1"/>
  <c r="V74" i="25"/>
  <c r="H74" i="25" s="1"/>
  <c r="Q73" i="25"/>
  <c r="U29" i="25"/>
  <c r="G29" i="25" s="1"/>
  <c r="Y28" i="25"/>
  <c r="K28" i="25" s="1"/>
  <c r="Q28" i="25"/>
  <c r="U27" i="25"/>
  <c r="G27" i="25" s="1"/>
  <c r="Y26" i="25"/>
  <c r="K26" i="25" s="1"/>
  <c r="Q26" i="25"/>
  <c r="U25" i="25"/>
  <c r="G25" i="25" s="1"/>
  <c r="Y24" i="25"/>
  <c r="K24" i="25" s="1"/>
  <c r="Q24" i="25"/>
  <c r="U23" i="25"/>
  <c r="G23" i="25" s="1"/>
  <c r="U72" i="25"/>
  <c r="G72" i="25" s="1"/>
  <c r="Q74" i="25"/>
  <c r="V72" i="25"/>
  <c r="H72" i="25" s="1"/>
  <c r="Z29" i="25"/>
  <c r="L29" i="25" s="1"/>
  <c r="AL29" i="25" s="1"/>
  <c r="R29" i="25"/>
  <c r="D29" i="25" s="1"/>
  <c r="V28" i="25"/>
  <c r="H28" i="25" s="1"/>
  <c r="Z27" i="25"/>
  <c r="R27" i="25"/>
  <c r="D27" i="25" s="1"/>
  <c r="V26" i="25"/>
  <c r="H26" i="25" s="1"/>
  <c r="Z25" i="25"/>
  <c r="L25" i="25" s="1"/>
  <c r="R25" i="25"/>
  <c r="D25" i="25" s="1"/>
  <c r="V24" i="25"/>
  <c r="H24" i="25" s="1"/>
  <c r="Z23" i="25"/>
  <c r="L23" i="25" s="1"/>
  <c r="AL23" i="25" s="1"/>
  <c r="R23" i="25"/>
  <c r="D23" i="25" s="1"/>
  <c r="Q76" i="25"/>
  <c r="U28" i="25"/>
  <c r="G28" i="25" s="1"/>
  <c r="Y25" i="25"/>
  <c r="K25" i="25" s="1"/>
  <c r="Q23" i="25"/>
  <c r="Y27" i="25"/>
  <c r="K27" i="25" s="1"/>
  <c r="Q25" i="25"/>
  <c r="U26" i="25"/>
  <c r="G26" i="25" s="1"/>
  <c r="Y29" i="25"/>
  <c r="K29" i="25" s="1"/>
  <c r="Q27" i="25"/>
  <c r="U24" i="25"/>
  <c r="G24" i="25" s="1"/>
  <c r="Q29" i="25"/>
  <c r="Y23" i="25"/>
  <c r="K23" i="25" s="1"/>
  <c r="A36" i="13"/>
  <c r="A35" i="13"/>
  <c r="A34" i="13"/>
  <c r="A33" i="13"/>
  <c r="A32" i="13"/>
  <c r="A31" i="13"/>
  <c r="A30" i="13"/>
  <c r="A29" i="13"/>
  <c r="H27" i="25" l="1"/>
  <c r="K22" i="25"/>
  <c r="D72" i="25"/>
  <c r="F11" i="25"/>
  <c r="L27" i="25"/>
  <c r="AL27" i="25" s="1"/>
  <c r="L28" i="25"/>
  <c r="AL28" i="25" s="1"/>
  <c r="AO24" i="25"/>
  <c r="C24" i="25"/>
  <c r="AO72" i="25"/>
  <c r="C72" i="25"/>
  <c r="AO29" i="25"/>
  <c r="C29" i="25"/>
  <c r="AO74" i="25"/>
  <c r="C74" i="25"/>
  <c r="C73" i="25"/>
  <c r="AO73" i="25"/>
  <c r="C23" i="25"/>
  <c r="AO23" i="25"/>
  <c r="C25" i="25"/>
  <c r="AO25" i="25"/>
  <c r="AO28" i="25"/>
  <c r="C28" i="25"/>
  <c r="C75" i="25"/>
  <c r="AO75" i="25"/>
  <c r="AO22" i="25"/>
  <c r="C27" i="25"/>
  <c r="AO27" i="25"/>
  <c r="AO76" i="25"/>
  <c r="C76" i="25"/>
  <c r="AO26" i="25"/>
  <c r="C26" i="25"/>
  <c r="AL22" i="25"/>
  <c r="AL25" i="25"/>
  <c r="AL24" i="25"/>
  <c r="E20" i="13"/>
  <c r="Z19" i="1" s="1"/>
  <c r="F30" i="13"/>
  <c r="F29" i="13"/>
  <c r="C78" i="16" l="1"/>
  <c r="C77" i="16"/>
  <c r="C76" i="16"/>
  <c r="C75" i="16"/>
  <c r="C74" i="16"/>
  <c r="C73" i="16"/>
  <c r="C72" i="16"/>
  <c r="I78" i="16"/>
  <c r="I77" i="16"/>
  <c r="I76" i="16"/>
  <c r="I75" i="16"/>
  <c r="I74" i="16"/>
  <c r="I73" i="16"/>
  <c r="I72" i="16"/>
  <c r="H78" i="16"/>
  <c r="H77" i="16"/>
  <c r="H76" i="16"/>
  <c r="H75" i="16"/>
  <c r="H74" i="16"/>
  <c r="H73" i="16"/>
  <c r="H72" i="16"/>
  <c r="AI10" i="1" l="1"/>
  <c r="AM10" i="1" s="1"/>
  <c r="AI9" i="1"/>
  <c r="AM9" i="1" s="1"/>
  <c r="AI8" i="1"/>
  <c r="AM8" i="1" s="1"/>
  <c r="AI7" i="1"/>
  <c r="AM7" i="1" s="1"/>
  <c r="AI6" i="1"/>
  <c r="AM6" i="1" s="1"/>
  <c r="AI5" i="1"/>
  <c r="AM5" i="1" s="1"/>
  <c r="AI4" i="1"/>
  <c r="AM4" i="1" s="1"/>
  <c r="J78" i="16"/>
  <c r="J77" i="16"/>
  <c r="J76" i="16"/>
  <c r="J75" i="16"/>
  <c r="I71" i="16"/>
  <c r="J71" i="16" s="1"/>
  <c r="H71" i="16"/>
  <c r="AF7" i="1"/>
  <c r="Z11" i="1"/>
  <c r="R69" i="25" l="1"/>
  <c r="D69" i="25" s="1"/>
  <c r="R65" i="25"/>
  <c r="D65" i="25" s="1"/>
  <c r="R61" i="25"/>
  <c r="D61" i="25" s="1"/>
  <c r="R57" i="25"/>
  <c r="D57" i="25" s="1"/>
  <c r="Q68" i="25"/>
  <c r="V62" i="25"/>
  <c r="H62" i="25" s="1"/>
  <c r="U57" i="25"/>
  <c r="G57" i="25" s="1"/>
  <c r="V52" i="25"/>
  <c r="H52" i="25" s="1"/>
  <c r="V48" i="25"/>
  <c r="H48" i="25" s="1"/>
  <c r="V44" i="25"/>
  <c r="H44" i="25" s="1"/>
  <c r="V40" i="25"/>
  <c r="H40" i="25" s="1"/>
  <c r="Z36" i="25"/>
  <c r="R34" i="25"/>
  <c r="D34" i="25" s="1"/>
  <c r="V31" i="25"/>
  <c r="H31" i="25" s="1"/>
  <c r="U68" i="25"/>
  <c r="G68" i="25" s="1"/>
  <c r="Q53" i="25"/>
  <c r="Q41" i="25"/>
  <c r="V67" i="25"/>
  <c r="H67" i="25" s="1"/>
  <c r="U62" i="25"/>
  <c r="G62" i="25" s="1"/>
  <c r="Q57" i="25"/>
  <c r="U52" i="25"/>
  <c r="G52" i="25" s="1"/>
  <c r="U48" i="25"/>
  <c r="G48" i="25" s="1"/>
  <c r="U44" i="25"/>
  <c r="G44" i="25" s="1"/>
  <c r="U40" i="25"/>
  <c r="G40" i="25" s="1"/>
  <c r="Y36" i="25"/>
  <c r="K36" i="25" s="1"/>
  <c r="Q34" i="25"/>
  <c r="U31" i="25"/>
  <c r="G31" i="25" s="1"/>
  <c r="V61" i="25"/>
  <c r="H61" i="25" s="1"/>
  <c r="Q48" i="25"/>
  <c r="U36" i="25"/>
  <c r="G36" i="25" s="1"/>
  <c r="U71" i="25"/>
  <c r="G71" i="25" s="1"/>
  <c r="Q66" i="25"/>
  <c r="V60" i="25"/>
  <c r="H60" i="25" s="1"/>
  <c r="U55" i="25"/>
  <c r="G55" i="25" s="1"/>
  <c r="R51" i="25"/>
  <c r="D51" i="25" s="1"/>
  <c r="R47" i="25"/>
  <c r="D47" i="25" s="1"/>
  <c r="R43" i="25"/>
  <c r="D43" i="25" s="1"/>
  <c r="R39" i="25"/>
  <c r="D39" i="25" s="1"/>
  <c r="Z35" i="25"/>
  <c r="L35" i="25" s="1"/>
  <c r="AL35" i="25" s="1"/>
  <c r="R33" i="25"/>
  <c r="D33" i="25" s="1"/>
  <c r="V30" i="25"/>
  <c r="H30" i="25" s="1"/>
  <c r="Q63" i="25"/>
  <c r="Q37" i="25"/>
  <c r="R60" i="25"/>
  <c r="D60" i="25" s="1"/>
  <c r="V66" i="25"/>
  <c r="H66" i="25" s="1"/>
  <c r="Q56" i="25"/>
  <c r="V47" i="25"/>
  <c r="H47" i="25" s="1"/>
  <c r="V39" i="25"/>
  <c r="H39" i="25" s="1"/>
  <c r="V33" i="25"/>
  <c r="H33" i="25" s="1"/>
  <c r="U64" i="25"/>
  <c r="G64" i="25" s="1"/>
  <c r="Q38" i="25"/>
  <c r="U66" i="25"/>
  <c r="G66" i="25" s="1"/>
  <c r="V55" i="25"/>
  <c r="H55" i="25" s="1"/>
  <c r="U47" i="25"/>
  <c r="G47" i="25" s="1"/>
  <c r="U39" i="25"/>
  <c r="G39" i="25" s="1"/>
  <c r="Y30" i="25"/>
  <c r="K30" i="25" s="1"/>
  <c r="Q45" i="25"/>
  <c r="Q70" i="25"/>
  <c r="U59" i="25"/>
  <c r="G59" i="25" s="1"/>
  <c r="R50" i="25"/>
  <c r="D50" i="25" s="1"/>
  <c r="R42" i="25"/>
  <c r="R35" i="25"/>
  <c r="D35" i="25" s="1"/>
  <c r="Q59" i="25"/>
  <c r="Q35" i="25"/>
  <c r="U32" i="25"/>
  <c r="G32" i="25" s="1"/>
  <c r="R68" i="25"/>
  <c r="D68" i="25" s="1"/>
  <c r="Q36" i="25"/>
  <c r="R71" i="25"/>
  <c r="D71" i="25" s="1"/>
  <c r="R67" i="25"/>
  <c r="D67" i="25" s="1"/>
  <c r="R63" i="25"/>
  <c r="D63" i="25" s="1"/>
  <c r="R59" i="25"/>
  <c r="D59" i="25" s="1"/>
  <c r="R55" i="25"/>
  <c r="D55" i="25" s="1"/>
  <c r="V70" i="25"/>
  <c r="H70" i="25" s="1"/>
  <c r="U65" i="25"/>
  <c r="G65" i="25" s="1"/>
  <c r="Q60" i="25"/>
  <c r="V54" i="25"/>
  <c r="H54" i="25" s="1"/>
  <c r="V50" i="25"/>
  <c r="H50" i="25" s="1"/>
  <c r="V46" i="25"/>
  <c r="H46" i="25" s="1"/>
  <c r="V42" i="25"/>
  <c r="V38" i="25"/>
  <c r="H38" i="25" s="1"/>
  <c r="V35" i="25"/>
  <c r="H35" i="25" s="1"/>
  <c r="Z32" i="25"/>
  <c r="L32" i="25" s="1"/>
  <c r="R30" i="25"/>
  <c r="D30" i="25" s="1"/>
  <c r="U60" i="25"/>
  <c r="G60" i="25" s="1"/>
  <c r="Q47" i="25"/>
  <c r="Y35" i="25"/>
  <c r="K35" i="25" s="1"/>
  <c r="U70" i="25"/>
  <c r="G70" i="25" s="1"/>
  <c r="Q65" i="25"/>
  <c r="V59" i="25"/>
  <c r="H59" i="25" s="1"/>
  <c r="U54" i="25"/>
  <c r="G54" i="25" s="1"/>
  <c r="U50" i="25"/>
  <c r="G50" i="25" s="1"/>
  <c r="U46" i="25"/>
  <c r="G46" i="25" s="1"/>
  <c r="U42" i="25"/>
  <c r="U38" i="25"/>
  <c r="G38" i="25" s="1"/>
  <c r="U35" i="25"/>
  <c r="G35" i="25" s="1"/>
  <c r="Y32" i="25"/>
  <c r="K32" i="25" s="1"/>
  <c r="Q30" i="25"/>
  <c r="V69" i="25"/>
  <c r="H69" i="25" s="1"/>
  <c r="Q54" i="25"/>
  <c r="Q42" i="25"/>
  <c r="V68" i="25"/>
  <c r="H68" i="25" s="1"/>
  <c r="U63" i="25"/>
  <c r="G63" i="25" s="1"/>
  <c r="Q58" i="25"/>
  <c r="R53" i="25"/>
  <c r="D53" i="25" s="1"/>
  <c r="R49" i="25"/>
  <c r="D49" i="25" s="1"/>
  <c r="R45" i="25"/>
  <c r="D45" i="25" s="1"/>
  <c r="R41" i="25"/>
  <c r="D41" i="25" s="1"/>
  <c r="R37" i="25"/>
  <c r="D37" i="25" s="1"/>
  <c r="V34" i="25"/>
  <c r="H34" i="25" s="1"/>
  <c r="Z31" i="25"/>
  <c r="L31" i="25" s="1"/>
  <c r="Q71" i="25"/>
  <c r="Q55" i="25"/>
  <c r="Q43" i="25"/>
  <c r="Y33" i="25"/>
  <c r="K33" i="25" s="1"/>
  <c r="R70" i="25"/>
  <c r="D70" i="25" s="1"/>
  <c r="R66" i="25"/>
  <c r="D66" i="25" s="1"/>
  <c r="R62" i="25"/>
  <c r="D62" i="25" s="1"/>
  <c r="R58" i="25"/>
  <c r="D58" i="25" s="1"/>
  <c r="U69" i="25"/>
  <c r="G69" i="25" s="1"/>
  <c r="Q64" i="25"/>
  <c r="V58" i="25"/>
  <c r="H58" i="25" s="1"/>
  <c r="V53" i="25"/>
  <c r="H53" i="25" s="1"/>
  <c r="V49" i="25"/>
  <c r="H49" i="25" s="1"/>
  <c r="V45" i="25"/>
  <c r="H45" i="25" s="1"/>
  <c r="V41" i="25"/>
  <c r="H41" i="25" s="1"/>
  <c r="V37" i="25"/>
  <c r="H37" i="25" s="1"/>
  <c r="Z34" i="25"/>
  <c r="L34" i="25" s="1"/>
  <c r="R32" i="25"/>
  <c r="D32" i="25" s="1"/>
  <c r="U56" i="25"/>
  <c r="G56" i="25" s="1"/>
  <c r="Q44" i="25"/>
  <c r="Q69" i="25"/>
  <c r="V63" i="25"/>
  <c r="H63" i="25" s="1"/>
  <c r="U58" i="25"/>
  <c r="G58" i="25" s="1"/>
  <c r="U53" i="25"/>
  <c r="G53" i="25" s="1"/>
  <c r="U49" i="25"/>
  <c r="G49" i="25" s="1"/>
  <c r="U45" i="25"/>
  <c r="G45" i="25" s="1"/>
  <c r="U41" i="25"/>
  <c r="G41" i="25" s="1"/>
  <c r="U37" i="25"/>
  <c r="G37" i="25" s="1"/>
  <c r="Y34" i="25"/>
  <c r="K34" i="25" s="1"/>
  <c r="Q32" i="25"/>
  <c r="V65" i="25"/>
  <c r="H65" i="25" s="1"/>
  <c r="Q51" i="25"/>
  <c r="Q39" i="25"/>
  <c r="U67" i="25"/>
  <c r="G67" i="25" s="1"/>
  <c r="Q62" i="25"/>
  <c r="V56" i="25"/>
  <c r="H56" i="25" s="1"/>
  <c r="R52" i="25"/>
  <c r="R48" i="25"/>
  <c r="D48" i="25" s="1"/>
  <c r="R44" i="25"/>
  <c r="D44" i="25" s="1"/>
  <c r="R40" i="25"/>
  <c r="D40" i="25" s="1"/>
  <c r="V36" i="25"/>
  <c r="H36" i="25" s="1"/>
  <c r="Z33" i="25"/>
  <c r="R31" i="25"/>
  <c r="D31" i="25" s="1"/>
  <c r="Q67" i="25"/>
  <c r="Q52" i="25"/>
  <c r="Q40" i="25"/>
  <c r="Q31" i="25"/>
  <c r="Y31" i="25"/>
  <c r="K31" i="25" s="1"/>
  <c r="Q49" i="25"/>
  <c r="Q33" i="25"/>
  <c r="R64" i="25"/>
  <c r="D64" i="25" s="1"/>
  <c r="R56" i="25"/>
  <c r="D56" i="25" s="1"/>
  <c r="U61" i="25"/>
  <c r="G61" i="25" s="1"/>
  <c r="V51" i="25"/>
  <c r="H51" i="25" s="1"/>
  <c r="V43" i="25"/>
  <c r="H43" i="25" s="1"/>
  <c r="R36" i="25"/>
  <c r="D36" i="25" s="1"/>
  <c r="Z30" i="25"/>
  <c r="Q50" i="25"/>
  <c r="V71" i="25"/>
  <c r="H71" i="25" s="1"/>
  <c r="Q61" i="25"/>
  <c r="U51" i="25"/>
  <c r="G51" i="25" s="1"/>
  <c r="U43" i="25"/>
  <c r="G43" i="25" s="1"/>
  <c r="U33" i="25"/>
  <c r="G33" i="25" s="1"/>
  <c r="V57" i="25"/>
  <c r="H57" i="25" s="1"/>
  <c r="U34" i="25"/>
  <c r="G34" i="25" s="1"/>
  <c r="V64" i="25"/>
  <c r="H64" i="25" s="1"/>
  <c r="R54" i="25"/>
  <c r="D54" i="25" s="1"/>
  <c r="R46" i="25"/>
  <c r="D46" i="25" s="1"/>
  <c r="R38" i="25"/>
  <c r="D38" i="25" s="1"/>
  <c r="V32" i="25"/>
  <c r="Q46" i="25"/>
  <c r="U30" i="25"/>
  <c r="G30" i="25" s="1"/>
  <c r="AL10" i="1"/>
  <c r="AL8" i="1"/>
  <c r="AF8" i="1"/>
  <c r="AL9" i="1"/>
  <c r="AL7" i="1"/>
  <c r="AL5" i="1"/>
  <c r="AL6" i="1"/>
  <c r="AI3" i="1"/>
  <c r="AM3" i="1" s="1"/>
  <c r="AL4" i="1"/>
  <c r="I29" i="13"/>
  <c r="J32" i="16"/>
  <c r="H42" i="25" l="1"/>
  <c r="H32" i="25"/>
  <c r="L30" i="25"/>
  <c r="AL30" i="25" s="1"/>
  <c r="G42" i="25"/>
  <c r="D52" i="25"/>
  <c r="D42" i="25"/>
  <c r="L33" i="25"/>
  <c r="AL33" i="25" s="1"/>
  <c r="L36" i="25"/>
  <c r="AL36" i="25" s="1"/>
  <c r="AO50" i="25"/>
  <c r="C50" i="25"/>
  <c r="AO33" i="25"/>
  <c r="C33" i="25"/>
  <c r="C40" i="25"/>
  <c r="AO40" i="25"/>
  <c r="AO32" i="25"/>
  <c r="C32" i="25"/>
  <c r="C64" i="25"/>
  <c r="AO64" i="25"/>
  <c r="C55" i="25"/>
  <c r="AO55" i="25"/>
  <c r="AO42" i="25"/>
  <c r="C42" i="25"/>
  <c r="AO65" i="25"/>
  <c r="C65" i="25"/>
  <c r="C35" i="25"/>
  <c r="AO35" i="25"/>
  <c r="AO66" i="25"/>
  <c r="C66" i="25"/>
  <c r="C57" i="25"/>
  <c r="AO57" i="25"/>
  <c r="AO53" i="25"/>
  <c r="C53" i="25"/>
  <c r="C49" i="25"/>
  <c r="AO49" i="25"/>
  <c r="C52" i="25"/>
  <c r="AO52" i="25"/>
  <c r="C39" i="25"/>
  <c r="AO39" i="25"/>
  <c r="C69" i="25"/>
  <c r="AO69" i="25"/>
  <c r="C71" i="25"/>
  <c r="AO71" i="25"/>
  <c r="C58" i="25"/>
  <c r="AO58" i="25"/>
  <c r="C54" i="25"/>
  <c r="AO54" i="25"/>
  <c r="C60" i="25"/>
  <c r="AO60" i="25"/>
  <c r="C36" i="25"/>
  <c r="AO36" i="25"/>
  <c r="C59" i="25"/>
  <c r="AO59" i="25"/>
  <c r="AO38" i="25"/>
  <c r="C38" i="25"/>
  <c r="AO37" i="25"/>
  <c r="C37" i="25"/>
  <c r="C67" i="25"/>
  <c r="AO67" i="25"/>
  <c r="C51" i="25"/>
  <c r="AO51" i="25"/>
  <c r="C44" i="25"/>
  <c r="AO44" i="25"/>
  <c r="C70" i="25"/>
  <c r="AO70" i="25"/>
  <c r="C56" i="25"/>
  <c r="AO56" i="25"/>
  <c r="C63" i="25"/>
  <c r="AO63" i="25"/>
  <c r="C34" i="25"/>
  <c r="AO34" i="25"/>
  <c r="AO61" i="25"/>
  <c r="C61" i="25"/>
  <c r="C46" i="25"/>
  <c r="AO46" i="25"/>
  <c r="C31" i="25"/>
  <c r="AO31" i="25"/>
  <c r="C62" i="25"/>
  <c r="AO62" i="25"/>
  <c r="C43" i="25"/>
  <c r="AO43" i="25"/>
  <c r="AO30" i="25"/>
  <c r="C30" i="25"/>
  <c r="C47" i="25"/>
  <c r="AO47" i="25"/>
  <c r="AO45" i="25"/>
  <c r="C45" i="25"/>
  <c r="C48" i="25"/>
  <c r="AO48" i="25"/>
  <c r="C41" i="25"/>
  <c r="AO41" i="25"/>
  <c r="C68" i="25"/>
  <c r="AO68" i="25"/>
  <c r="AL31" i="25"/>
  <c r="AL32" i="25"/>
  <c r="AL34" i="25"/>
  <c r="AK3" i="1"/>
  <c r="AK8" i="1"/>
  <c r="AN8" i="1" s="1"/>
  <c r="AK4" i="1"/>
  <c r="AN4" i="1" s="1"/>
  <c r="K72" i="16" s="1"/>
  <c r="AK7" i="1"/>
  <c r="AN7" i="1" s="1"/>
  <c r="AK5" i="1"/>
  <c r="AN5" i="1" s="1"/>
  <c r="AK10" i="1"/>
  <c r="AN10" i="1" s="1"/>
  <c r="AK6" i="1"/>
  <c r="AN6" i="1" s="1"/>
  <c r="AK9" i="1"/>
  <c r="AN9" i="1" s="1"/>
  <c r="I61" i="16"/>
  <c r="AL3" i="1"/>
  <c r="I16" i="16" l="1"/>
  <c r="I15" i="16"/>
  <c r="I13" i="16"/>
  <c r="AY29" i="1" l="1"/>
  <c r="I17" i="16"/>
  <c r="AY11" i="1" l="1"/>
  <c r="I62" i="16" l="1"/>
  <c r="J62" i="16" s="1"/>
  <c r="BC11" i="1" l="1"/>
  <c r="BE10" i="1"/>
  <c r="BE9" i="1"/>
  <c r="BC12" i="1"/>
  <c r="I63" i="16" l="1"/>
  <c r="BA39" i="1" l="1"/>
  <c r="BA38" i="1"/>
  <c r="BA37" i="1"/>
  <c r="BA36" i="1"/>
  <c r="BA35" i="1"/>
  <c r="E82" i="16" l="1"/>
  <c r="C90" i="16"/>
  <c r="C89" i="16"/>
  <c r="E84" i="16"/>
  <c r="B9" i="16" l="1"/>
  <c r="I7" i="19"/>
  <c r="B7" i="16"/>
  <c r="B36" i="13" l="1"/>
  <c r="B35" i="13"/>
  <c r="B34" i="13"/>
  <c r="B33" i="13"/>
  <c r="B32" i="13"/>
  <c r="J74" i="16" s="1"/>
  <c r="B31" i="13"/>
  <c r="J73" i="16" s="1"/>
  <c r="B30" i="13"/>
  <c r="J72" i="16" s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C88" i="16"/>
  <c r="A71" i="16"/>
  <c r="A72" i="16"/>
  <c r="Y5" i="1"/>
  <c r="Z5" i="1" s="1"/>
  <c r="Y4" i="1"/>
  <c r="Z4" i="1" s="1"/>
  <c r="Y3" i="1"/>
  <c r="Z3" i="1" s="1"/>
  <c r="C87" i="16"/>
  <c r="C71" i="16"/>
  <c r="K6" i="16"/>
  <c r="A214" i="16"/>
  <c r="K74" i="16" l="1"/>
  <c r="K75" i="16"/>
  <c r="K78" i="16"/>
  <c r="K76" i="16"/>
  <c r="K77" i="16"/>
  <c r="A78" i="16"/>
  <c r="A74" i="16"/>
  <c r="A77" i="16"/>
  <c r="A75" i="16"/>
  <c r="A76" i="16"/>
  <c r="A73" i="16"/>
  <c r="K73" i="16" l="1"/>
  <c r="J13" i="16"/>
  <c r="AN3" i="1"/>
  <c r="K71" i="16" s="1"/>
  <c r="K79" i="16" l="1"/>
  <c r="E90" i="16" l="1"/>
  <c r="H32" i="13" s="1"/>
  <c r="E88" i="16"/>
  <c r="H30" i="13" s="1"/>
  <c r="K80" i="16"/>
  <c r="K81" i="16" s="1"/>
  <c r="E89" i="16"/>
  <c r="F89" i="16" s="1"/>
  <c r="I31" i="13" s="1"/>
  <c r="F90" i="16" l="1"/>
  <c r="I32" i="13" s="1"/>
  <c r="K82" i="16"/>
  <c r="K83" i="16" s="1"/>
  <c r="F88" i="16"/>
  <c r="G88" i="16" s="1"/>
  <c r="J30" i="13" s="1"/>
  <c r="H31" i="13"/>
  <c r="G89" i="16"/>
  <c r="J31" i="13" s="1"/>
  <c r="G90" i="16" l="1"/>
  <c r="J32" i="13" s="1"/>
  <c r="E87" i="16"/>
  <c r="I30" i="13"/>
  <c r="G87" i="16" l="1"/>
  <c r="J29" i="13" s="1"/>
  <c r="H29" i="13"/>
</calcChain>
</file>

<file path=xl/sharedStrings.xml><?xml version="1.0" encoding="utf-8"?>
<sst xmlns="http://schemas.openxmlformats.org/spreadsheetml/2006/main" count="625" uniqueCount="377">
  <si>
    <t>SUMA ASEGURADA</t>
  </si>
  <si>
    <t>COASEGURO</t>
  </si>
  <si>
    <t>FACTOR</t>
  </si>
  <si>
    <t>HOMBRES</t>
  </si>
  <si>
    <t>MUJERES</t>
  </si>
  <si>
    <t>EDAD</t>
  </si>
  <si>
    <t>REGIÓN</t>
  </si>
  <si>
    <t>HOMBRE</t>
  </si>
  <si>
    <t>MUJER</t>
  </si>
  <si>
    <t>COBERTURA EN EL EXTRANJERO</t>
  </si>
  <si>
    <t>EMERGENCIA EN EL EXTRANJERO</t>
  </si>
  <si>
    <t xml:space="preserve">ZONA A </t>
  </si>
  <si>
    <t>ZONA C</t>
  </si>
  <si>
    <t>ZONA</t>
  </si>
  <si>
    <t>IVA</t>
  </si>
  <si>
    <t>CUADRO DE COBERTURAS</t>
  </si>
  <si>
    <t>-</t>
  </si>
  <si>
    <t>Suma Asegurada</t>
  </si>
  <si>
    <t>M.N.</t>
  </si>
  <si>
    <t>Deducible</t>
  </si>
  <si>
    <t>Coaseguro</t>
  </si>
  <si>
    <t>Honorarios por visita intrahospitalaria</t>
  </si>
  <si>
    <t>Honorarios por consulta</t>
  </si>
  <si>
    <t>Habitación Hospital</t>
  </si>
  <si>
    <t>Privado Estándar</t>
  </si>
  <si>
    <t>Ambulancia Terrestre</t>
  </si>
  <si>
    <t>Ambulancia Aérea</t>
  </si>
  <si>
    <t>Incluida</t>
  </si>
  <si>
    <t>alta de la madre</t>
  </si>
  <si>
    <t>menos 4 años ininterrumpidos</t>
  </si>
  <si>
    <t>Incluido</t>
  </si>
  <si>
    <t>Edad</t>
  </si>
  <si>
    <t>PARTICIPANTES</t>
  </si>
  <si>
    <t>Nombre</t>
  </si>
  <si>
    <t>Sexo</t>
  </si>
  <si>
    <t>Parentesco</t>
  </si>
  <si>
    <t>Derecho de Póliza</t>
  </si>
  <si>
    <t>Subtotal</t>
  </si>
  <si>
    <t>I.V.A.</t>
  </si>
  <si>
    <t>Prima Total Anual</t>
  </si>
  <si>
    <t>NOMBRE</t>
  </si>
  <si>
    <t>ANUAL</t>
  </si>
  <si>
    <t>SEMESTRAL</t>
  </si>
  <si>
    <t>SI</t>
  </si>
  <si>
    <t>NO</t>
  </si>
  <si>
    <t>Catálogo</t>
  </si>
  <si>
    <t>Reconocimiento de Antigüedad, previa comprobación</t>
  </si>
  <si>
    <t>FP</t>
  </si>
  <si>
    <t>INDIVIDUAL</t>
  </si>
  <si>
    <t>FAMILIAR</t>
  </si>
  <si>
    <t>Tipo de Hospital</t>
  </si>
  <si>
    <t>Incremento al Catálogo</t>
  </si>
  <si>
    <t>Notas:</t>
  </si>
  <si>
    <t>TIPO DE COTIZACIÓN</t>
  </si>
  <si>
    <t>Sala de operación y recuperación, medicamentos, consumo de oxígeno,</t>
  </si>
  <si>
    <t>servicios de terapia, tratamiento de diálisis y transfusiones de sangre</t>
  </si>
  <si>
    <t>Renta de aparatos ortopédicos y prótesis</t>
  </si>
  <si>
    <t>DATOS DE LA PÓLIZA</t>
  </si>
  <si>
    <t>Titular</t>
  </si>
  <si>
    <t>Prematurez siempre que el nacimiento ocurra después de 10 meses de</t>
  </si>
  <si>
    <t>Terapia Psicológica o Psiquiátrica</t>
  </si>
  <si>
    <t>Incremento en Parto o Cesárea</t>
  </si>
  <si>
    <t>INSTRUCCIONES</t>
  </si>
  <si>
    <t>Gastos por Parto o Cesárea del Titular, Cónyuge o hija asegurada con periodo de</t>
  </si>
  <si>
    <t>espera de 10 meses sin deducible, ni coaseguro</t>
  </si>
  <si>
    <t>con periodo  de espera de 10 meses, con deducible y coaseguro</t>
  </si>
  <si>
    <t xml:space="preserve">Complicaciones del Embarazo y del Parto del Titular, Cónyuge o hija asegurada, </t>
  </si>
  <si>
    <t>de antigüedad</t>
  </si>
  <si>
    <t>COSTO</t>
  </si>
  <si>
    <t>DED CERO POR ACC</t>
  </si>
  <si>
    <t>Deducible por Accidente y Enfermedad</t>
  </si>
  <si>
    <t>ENFERMEDADES GRAVES</t>
  </si>
  <si>
    <t>RECARGOS POR PAGO FRACCIONADO</t>
  </si>
  <si>
    <t>TRIMESTRAL</t>
  </si>
  <si>
    <t>RPF</t>
  </si>
  <si>
    <t>MENSUAL</t>
  </si>
  <si>
    <t>CAPTURA</t>
  </si>
  <si>
    <t>FIJO</t>
  </si>
  <si>
    <t>% CALCULO</t>
  </si>
  <si>
    <t>FAVOR de Verificar si estos factores son los vigentes</t>
  </si>
  <si>
    <t xml:space="preserve">IVA </t>
  </si>
  <si>
    <t>OAXACA</t>
  </si>
  <si>
    <t>TABASCO</t>
  </si>
  <si>
    <t>Estado</t>
  </si>
  <si>
    <t>VERACRUZ</t>
  </si>
  <si>
    <t>CAMPECHE</t>
  </si>
  <si>
    <t>YUCATAN</t>
  </si>
  <si>
    <t>CHIAPAS</t>
  </si>
  <si>
    <t>GUERRERO</t>
  </si>
  <si>
    <t>PUEBLA</t>
  </si>
  <si>
    <t>TLAXCALA</t>
  </si>
  <si>
    <t xml:space="preserve">HIDALGO </t>
  </si>
  <si>
    <t>NAYARIT</t>
  </si>
  <si>
    <t>AGUASCALIENTES</t>
  </si>
  <si>
    <t>GUANAJUATO</t>
  </si>
  <si>
    <t>JALISCO</t>
  </si>
  <si>
    <t>MICHOACAN</t>
  </si>
  <si>
    <t>COLIMA</t>
  </si>
  <si>
    <t>ZACATECAS</t>
  </si>
  <si>
    <t>ESTADO DE MÉXICO</t>
  </si>
  <si>
    <t>COAHUILA</t>
  </si>
  <si>
    <t>TAMAULIPAS</t>
  </si>
  <si>
    <t>NUEVO LEON</t>
  </si>
  <si>
    <t>DURANGO</t>
  </si>
  <si>
    <t>CHIHUAHUA</t>
  </si>
  <si>
    <t>BAJA CALIFORNIA NORTE</t>
  </si>
  <si>
    <t>QUINTANA ROO</t>
  </si>
  <si>
    <t>MORELOS</t>
  </si>
  <si>
    <t xml:space="preserve">QUERETARO </t>
  </si>
  <si>
    <t>SONORA</t>
  </si>
  <si>
    <t>SINALOA</t>
  </si>
  <si>
    <t>BAJA CALIFORNIA SUR</t>
  </si>
  <si>
    <t>SAN LUIS POTOSI</t>
  </si>
  <si>
    <t xml:space="preserve"> (La base de suma asegurada es de $20,000)</t>
  </si>
  <si>
    <t>Cobertura Total en el Extranjero</t>
  </si>
  <si>
    <t xml:space="preserve"> ¡Estamos seguros, te será de gran utilidad!</t>
  </si>
  <si>
    <t>SIDA, siempre que el asegurado se encuentre cubierto en Seguros Banorte al</t>
  </si>
  <si>
    <t>Tabla de Deducible</t>
  </si>
  <si>
    <t>Tabla de Eliminación de Deducible por Accidente</t>
  </si>
  <si>
    <t>Nueva Tabla de parto y cesárea</t>
  </si>
  <si>
    <t>Tabla de Enfermedades Graves</t>
  </si>
  <si>
    <t>Tabla de Tarifas</t>
  </si>
  <si>
    <t>Se elimina la cobertura de Educasystem (maestro a domicilio)</t>
  </si>
  <si>
    <t>Se agrega costo por cobertura de parto y cesárea (amarrado a la tabla que se encuentra en factores)</t>
  </si>
  <si>
    <t>Modificación de costo de Derecho de Póliza a 700 pesos</t>
  </si>
  <si>
    <t>HOJA COTIZACION (COTIZADOR)</t>
  </si>
  <si>
    <t>Se elimina de cuadro de coberturas la cobertura de Servicio de Maestro a Domicilio</t>
  </si>
  <si>
    <t>HOJA IMPRESIÓN (formato Cotización y Cuadro de especificaciones)</t>
  </si>
  <si>
    <t>MODULOS A IMPACTAR EN ESPACIO</t>
  </si>
  <si>
    <t>Tarifario</t>
  </si>
  <si>
    <t>Tarifa de Línea</t>
  </si>
  <si>
    <t>Tarifa de Empleados</t>
  </si>
  <si>
    <t>Renovación</t>
  </si>
  <si>
    <t>CAMBIO EN NUMERO DE REGISTRO</t>
  </si>
  <si>
    <t xml:space="preserve">Solicitud </t>
  </si>
  <si>
    <t>Carátula</t>
  </si>
  <si>
    <t>Cuadro de Especificaciones</t>
  </si>
  <si>
    <t>SABE</t>
  </si>
  <si>
    <t>Aplicar los cambios en la integración</t>
  </si>
  <si>
    <t>No integrar la cobertura de educasystem (maestro a domicilio)</t>
  </si>
  <si>
    <t>MODIFICACION EN CARTAS</t>
  </si>
  <si>
    <t>Cartas de Bienvenida</t>
  </si>
  <si>
    <t>Carta de Aviso de Renovación</t>
  </si>
  <si>
    <t>Carta de Renovación</t>
  </si>
  <si>
    <t>CAMBIOS MEDICO TOTAL</t>
  </si>
  <si>
    <t>Considerar la nueva cobertura adicional para cobertura de parto y cesárea (adicional 17)</t>
  </si>
  <si>
    <t>CUADRO DE ESPECIFICACIONES IMPLICA</t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</si>
  <si>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del botón de “Cuadro de Especificaciones” en el paso 2 del cotizador.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</si>
  <si>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 la cotización.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</si>
  <si>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 xml:space="preserve">Cuadro de especificaciones dentro del kit de impresión de la póliza.  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</si>
  <si>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en el botón “Cuadro de Especificaciones” del Tarifario</t>
    </r>
    <r>
      <rPr>
        <b/>
        <sz val="9"/>
        <rFont val="Century Gothic"/>
        <family val="2"/>
      </rPr>
      <t>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</si>
  <si>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generado dentro del Tarifario.</t>
    </r>
  </si>
  <si>
    <r>
      <t>ü</t>
    </r>
    <r>
      <rPr>
        <sz val="7"/>
        <rFont val="Times New Roman"/>
        <family val="1"/>
      </rPr>
      <t xml:space="preserve">  </t>
    </r>
    <r>
      <rPr>
        <sz val="9"/>
        <rFont val="Century Gothic"/>
        <family val="2"/>
      </rPr>
      <t>Cuadro de especificaciones dentro de renovaciones Aviso de Renovación de Póliza</t>
    </r>
  </si>
  <si>
    <t>HOJA FACTORES (TABLAS DE CALCULO)</t>
  </si>
  <si>
    <t>HOJA TITULAR DEL COTIZADOR (CALCULO TARIFA)</t>
  </si>
  <si>
    <t>*Este producto cuenta con exclusiones y limitaciones, las cuales pueden ser consultadas en las Condiciones Generales del producto en la página</t>
  </si>
  <si>
    <t xml:space="preserve">   www.segurosbanorte.com.mx</t>
  </si>
  <si>
    <t>Modificación de la leyenda de beneficio por pago directo y una leyenda en NOTAS</t>
  </si>
  <si>
    <t>Se deja deducible mínimo en 6,000</t>
  </si>
  <si>
    <t>se modifica Querétaro a zona 4</t>
  </si>
  <si>
    <t>Modificación de costos cobertura Adicionales (dental, PAQ_ADIC, ASIST_IKE, CVISION)</t>
  </si>
  <si>
    <t>Se MODIFICA en el cuadro de coberturas la Cobertura de Dental para agregar Visión (REVISAR LAS AYUDAS PARA ESPECIFICAR ALCANCES Y EVITAR CONFUSION CON LA OPCIONAL)</t>
  </si>
  <si>
    <t>MODIFICACION DE FORMATOS, TAMAÑO DE LETRA Y FORMATOS</t>
  </si>
  <si>
    <t>Solicitud</t>
  </si>
  <si>
    <t>carátula</t>
  </si>
  <si>
    <t>cuadro de especificaciones.</t>
  </si>
  <si>
    <t>Modificación de la cobertura de enfermedades catastróficas</t>
  </si>
  <si>
    <t>MONTO</t>
  </si>
  <si>
    <t>Se agrega tabla de Base de honorarios</t>
  </si>
  <si>
    <t>Se modifica tabla de factores por región a quedar 4</t>
  </si>
  <si>
    <t>se modifican la tabla de estados por zona (sólo hay 4 zonas)</t>
  </si>
  <si>
    <t>Modificación de base de honorarios quirúrgicos y fórmula para calcularlo</t>
  </si>
  <si>
    <t>BASE</t>
  </si>
  <si>
    <t>Cobertura de Visión Incremental</t>
  </si>
  <si>
    <t>Padecimientos congénitos para nacidos dentro de la vigencia, dados de alta dentro</t>
  </si>
  <si>
    <t>de los 30 días posteriores al nacimiento y que la madre asegurada cumpla con el</t>
  </si>
  <si>
    <t>periodo de espera de 10 meses. Para los nacidos fuera de vigencia aplica periodo de</t>
  </si>
  <si>
    <t>espera de 12 meses.</t>
  </si>
  <si>
    <t>Costo por persona de 543</t>
  </si>
  <si>
    <t>Nivel Hospitalario</t>
  </si>
  <si>
    <t>Coaseguro por Accidente y Enfermedad</t>
  </si>
  <si>
    <t>IMPORTE</t>
  </si>
  <si>
    <t>%</t>
  </si>
  <si>
    <t>Factor</t>
  </si>
  <si>
    <t>Zona</t>
  </si>
  <si>
    <t>CATALOGO</t>
  </si>
  <si>
    <t>Incremento HQ</t>
  </si>
  <si>
    <t>Zonas</t>
  </si>
  <si>
    <t>TABULADOR DE HONORARIOS</t>
  </si>
  <si>
    <t>Tabulador de Honorarios Médicos</t>
  </si>
  <si>
    <t>Tipo de Cotización</t>
  </si>
  <si>
    <t>TARIFA</t>
  </si>
  <si>
    <t>COBERTURAS ADICIONALES</t>
  </si>
  <si>
    <t>Prima Neta 
Anual</t>
  </si>
  <si>
    <t>Región de tarifa</t>
  </si>
  <si>
    <t>Agente</t>
  </si>
  <si>
    <t>Se cobrará doble deducible y coaseguro de póliza, a los Asegurados que se atiendan en Hospiten México S.A de C.V (Cancún Quintana Roo)</t>
  </si>
  <si>
    <t>APLICACIÓN DE FACTORES</t>
  </si>
  <si>
    <t>CONCEPTO</t>
  </si>
  <si>
    <t>SEXO</t>
  </si>
  <si>
    <t>ASEGURADO</t>
  </si>
  <si>
    <t>Forma de Pago</t>
  </si>
  <si>
    <t>Primer Recibo</t>
  </si>
  <si>
    <t>Recibos Subsecuentes</t>
  </si>
  <si>
    <t>Total</t>
  </si>
  <si>
    <t>AGENTE</t>
  </si>
  <si>
    <t>RESPUESTA</t>
  </si>
  <si>
    <t>MATERNIDAD</t>
  </si>
  <si>
    <t>Derecho de póliza</t>
  </si>
  <si>
    <t>PERIODO</t>
  </si>
  <si>
    <t>RECARGO POR PAGO FRACCIONADO</t>
  </si>
  <si>
    <t>Estados</t>
  </si>
  <si>
    <t>Asistencias</t>
  </si>
  <si>
    <t>ASISTENCIAS</t>
  </si>
  <si>
    <t>COBERTURA INTEGRAL DENTAL Y VISIÓN</t>
  </si>
  <si>
    <t>VISIÓN INCREMENTAL</t>
  </si>
  <si>
    <t>Cobertura integral D y V</t>
  </si>
  <si>
    <t>Visión Incremental</t>
  </si>
  <si>
    <t>Enfermedades graves</t>
  </si>
  <si>
    <t>Basica</t>
  </si>
  <si>
    <t>Participante</t>
  </si>
  <si>
    <t>Maternidad</t>
  </si>
  <si>
    <t>Adicionales</t>
  </si>
  <si>
    <t>COSTO COBERTURA EXTRANJERO</t>
  </si>
  <si>
    <t>COSTO EMERGENCIA EN EXTRANJERO</t>
  </si>
  <si>
    <t>Base de Honorarios Quirúrgicos</t>
  </si>
  <si>
    <t>Suma Asegurada Básica</t>
  </si>
  <si>
    <t>De acuerdo a Condiciones Generales</t>
  </si>
  <si>
    <t>Llave</t>
  </si>
  <si>
    <t>Ramo</t>
  </si>
  <si>
    <t>Norma</t>
  </si>
  <si>
    <t>Textos</t>
  </si>
  <si>
    <t>Llave_2</t>
  </si>
  <si>
    <t>GENERO TITULAR</t>
  </si>
  <si>
    <t>Cobertura Integral Dental y Visión (operado por Dentegra)</t>
  </si>
  <si>
    <t>CIUDAD DE MÉXICO</t>
  </si>
  <si>
    <t>* Esta cotización tiene una validez de 15 días a partir de su fecha de elaboración. La edad limite de aceptación es hasta los 64 años.
* El recargo por pago fraccionado está sujeto a cambio sin previo aviso.</t>
  </si>
  <si>
    <t>CLAVE DE AGENTE</t>
  </si>
  <si>
    <r>
      <t xml:space="preserve">A. Ingresa o selecciona de la lista desplegable tu clave de agente en la pestaña de </t>
    </r>
    <r>
      <rPr>
        <b/>
        <sz val="10"/>
        <rFont val="Tahoma"/>
        <family val="2"/>
      </rPr>
      <t>COTIZACIÓN</t>
    </r>
  </si>
  <si>
    <t>Cobertura de Indemnización por Enfermedad Grave (1)</t>
  </si>
  <si>
    <r>
      <rPr>
        <b/>
        <sz val="10"/>
        <color rgb="FFFF0000"/>
        <rFont val="Tahoma"/>
        <family val="2"/>
      </rPr>
      <t>Seguros Banorte</t>
    </r>
    <r>
      <rPr>
        <b/>
        <sz val="10"/>
        <color rgb="FFC00000"/>
        <rFont val="Tahoma"/>
        <family val="2"/>
      </rPr>
      <t xml:space="preserve"> </t>
    </r>
    <r>
      <rPr>
        <sz val="10"/>
        <rFont val="Tahoma"/>
        <family val="2"/>
      </rPr>
      <t xml:space="preserve">elaboró para ti esta herramienta de sencilla utilización de la que . . . </t>
    </r>
  </si>
  <si>
    <r>
      <t xml:space="preserve">6. Seleccione el </t>
    </r>
    <r>
      <rPr>
        <b/>
        <sz val="10"/>
        <color rgb="FFFF0000"/>
        <rFont val="Tahoma"/>
        <family val="2"/>
      </rPr>
      <t>COASEGURO</t>
    </r>
    <r>
      <rPr>
        <sz val="10"/>
        <rFont val="Tahoma"/>
        <family val="2"/>
      </rPr>
      <t xml:space="preserve"> deseado</t>
    </r>
  </si>
  <si>
    <t>TARIFA 2015-2016</t>
  </si>
  <si>
    <t>-Cobertura de Visión Incremental</t>
  </si>
  <si>
    <t>-Cobertura de Indemnización por Enfermedad Grave</t>
  </si>
  <si>
    <t>TARIFA 2017 (01 de agosto)</t>
  </si>
  <si>
    <t>TARIFA 2017 (01 de enero)</t>
  </si>
  <si>
    <t>Nueva</t>
  </si>
  <si>
    <t>Renovada</t>
  </si>
  <si>
    <t>1,2,3,5,6,7,8</t>
  </si>
  <si>
    <t>Tipo de Deducible</t>
  </si>
  <si>
    <t>POR PADECIMIENTO</t>
  </si>
  <si>
    <t xml:space="preserve">DEDUCIBLE </t>
  </si>
  <si>
    <t>Inc THQ</t>
  </si>
  <si>
    <t>Incremento THQ</t>
  </si>
  <si>
    <t>TIPO DE DEDUCIBLE</t>
  </si>
  <si>
    <t>10% CON TOPE DE $35,000</t>
  </si>
  <si>
    <t>COSTO ELIMINACION DE DEDUCIBLE</t>
  </si>
  <si>
    <t>DEDUCIBLE</t>
  </si>
  <si>
    <t>Eliminación de Deducible por Accidente</t>
  </si>
  <si>
    <t>Tipo de Deducible por Accidente y Enfermedad</t>
  </si>
  <si>
    <t>BASE DE CATALOGO</t>
  </si>
  <si>
    <t>-Cobertura Total en el Extranjero coaseguro 20%</t>
  </si>
  <si>
    <t>PORCENTAJE</t>
  </si>
  <si>
    <t>Honorarios por enfermera máximo 3 turnos por día durante 30 días</t>
  </si>
  <si>
    <t xml:space="preserve">Gastos por donación de organos </t>
  </si>
  <si>
    <t>Renta diaria por hospitalización en un Centro de Asistencia Social máximo 30 días</t>
  </si>
  <si>
    <t>Preexistencia Declarada, con periodo de espera de 2 años, no aplica reconocimiento</t>
  </si>
  <si>
    <t>Circuncisión, con periodo de espera de 1 año, no aplica reconocimiento de antigüedad</t>
  </si>
  <si>
    <t>Legrado</t>
  </si>
  <si>
    <t>Xifósis, lordósis y escoleosis, con periodo de espera de 2 años</t>
  </si>
  <si>
    <t>no aplica reconocimiento de antigüedad</t>
  </si>
  <si>
    <t>Incremento de Catálogo de Honorarios para enfermedades catastróficas</t>
  </si>
  <si>
    <t>Trastornos Visuales, con periodo de espera de 18 meses</t>
  </si>
  <si>
    <t>Lente intraocular, con periodo de espera de 12 meses</t>
  </si>
  <si>
    <t>* La edad de contratación de la cobertura de enfermedades graves es de 18 a 59 años.</t>
  </si>
  <si>
    <t>1T T 16</t>
  </si>
  <si>
    <t>2T T 16</t>
  </si>
  <si>
    <t>3T T 16</t>
  </si>
  <si>
    <t>4T T 16</t>
  </si>
  <si>
    <t>5T T 16</t>
  </si>
  <si>
    <t>6T T 16</t>
  </si>
  <si>
    <t>7T T 16</t>
  </si>
  <si>
    <t>8T T 16</t>
  </si>
  <si>
    <t>9T T 16</t>
  </si>
  <si>
    <t>10T T 16</t>
  </si>
  <si>
    <t>1E T 16</t>
  </si>
  <si>
    <t>2E T 16</t>
  </si>
  <si>
    <t>3E T 16</t>
  </si>
  <si>
    <t>4E T 16</t>
  </si>
  <si>
    <t>5E T 16</t>
  </si>
  <si>
    <t>6E T 16</t>
  </si>
  <si>
    <t>7E T 16</t>
  </si>
  <si>
    <t>8E T 16</t>
  </si>
  <si>
    <t>9E T 16</t>
  </si>
  <si>
    <t>10E T 16</t>
  </si>
  <si>
    <r>
      <t xml:space="preserve">2. Seleccione el </t>
    </r>
    <r>
      <rPr>
        <b/>
        <sz val="10"/>
        <color rgb="FFFF0000"/>
        <rFont val="Tahoma"/>
        <family val="2"/>
      </rPr>
      <t>TIPO DE COTIZACIÓN (Individual o Familiar)</t>
    </r>
  </si>
  <si>
    <r>
      <t xml:space="preserve">3. Seleccione la </t>
    </r>
    <r>
      <rPr>
        <b/>
        <sz val="10"/>
        <color rgb="FFFF0000"/>
        <rFont val="Tahoma"/>
        <family val="2"/>
      </rPr>
      <t>SUMA ASEGURADA</t>
    </r>
    <r>
      <rPr>
        <sz val="10"/>
        <rFont val="Tahoma"/>
        <family val="2"/>
      </rPr>
      <t xml:space="preserve"> deseada</t>
    </r>
  </si>
  <si>
    <r>
      <t xml:space="preserve">4. Seleccione el </t>
    </r>
    <r>
      <rPr>
        <b/>
        <sz val="10"/>
        <color rgb="FFFF0000"/>
        <rFont val="Tahoma"/>
        <family val="2"/>
      </rPr>
      <t>TIPO DE DEDUCIBLE (Anual o Por Padecimiento)</t>
    </r>
  </si>
  <si>
    <r>
      <t xml:space="preserve">5. Seleccione el </t>
    </r>
    <r>
      <rPr>
        <b/>
        <sz val="10"/>
        <color rgb="FFFF0000"/>
        <rFont val="Tahoma"/>
        <family val="2"/>
      </rPr>
      <t>DEDUCIBLE</t>
    </r>
    <r>
      <rPr>
        <sz val="10"/>
        <rFont val="Tahoma"/>
        <family val="2"/>
      </rPr>
      <t xml:space="preserve"> deseado</t>
    </r>
  </si>
  <si>
    <r>
      <t xml:space="preserve">7. Seleccione el </t>
    </r>
    <r>
      <rPr>
        <b/>
        <sz val="10"/>
        <color rgb="FFFF0000"/>
        <rFont val="Tahoma"/>
        <family val="2"/>
      </rPr>
      <t>ESTADO</t>
    </r>
    <r>
      <rPr>
        <sz val="10"/>
        <rFont val="Tahoma"/>
        <family val="2"/>
      </rPr>
      <t xml:space="preserve"> donde radica el cliente.</t>
    </r>
  </si>
  <si>
    <r>
      <t xml:space="preserve">9. Seleccione si desea </t>
    </r>
    <r>
      <rPr>
        <b/>
        <sz val="10"/>
        <color rgb="FFFF0000"/>
        <rFont val="Tahoma"/>
        <family val="2"/>
      </rPr>
      <t>INCREMENTO EN SUMA ASEGURADA POR PARTO O CESÁREA ("SI", "NO")</t>
    </r>
  </si>
  <si>
    <r>
      <t>10. Seleccione la</t>
    </r>
    <r>
      <rPr>
        <sz val="10"/>
        <color rgb="FFFF000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SUMA ASEGURADA POR PARTO O CESÁREA</t>
    </r>
    <r>
      <rPr>
        <b/>
        <i/>
        <sz val="10"/>
        <color indexed="60"/>
        <rFont val="Tahoma"/>
        <family val="2"/>
      </rPr>
      <t/>
    </r>
  </si>
  <si>
    <r>
      <t xml:space="preserve">11. Seleccione si desea </t>
    </r>
    <r>
      <rPr>
        <b/>
        <sz val="10"/>
        <color rgb="FFFF0000"/>
        <rFont val="Tahoma"/>
        <family val="2"/>
      </rPr>
      <t>COBERTURA DE VISION INCREMENTAL  ("SI", " NO")</t>
    </r>
  </si>
  <si>
    <r>
      <t xml:space="preserve">13. Seleccione si desea </t>
    </r>
    <r>
      <rPr>
        <b/>
        <sz val="10"/>
        <color rgb="FFFF0000"/>
        <rFont val="Tahoma"/>
        <family val="2"/>
      </rPr>
      <t>COBERTURA TOTAL EN EL EXTRANJERO  ("SI", " NO")</t>
    </r>
  </si>
  <si>
    <t>REGIÓN PREFERENTE</t>
  </si>
  <si>
    <r>
      <t xml:space="preserve">14. Si desea incrementar la base de honorarios quirúrgicos deberá indicar el porcentaje deseado en </t>
    </r>
    <r>
      <rPr>
        <b/>
        <sz val="10"/>
        <color rgb="FFFF0000"/>
        <rFont val="Tahoma"/>
        <family val="2"/>
      </rPr>
      <t>INC THQ</t>
    </r>
  </si>
  <si>
    <r>
      <t xml:space="preserve">15. Llene el </t>
    </r>
    <r>
      <rPr>
        <b/>
        <sz val="10"/>
        <color rgb="FFFF0000"/>
        <rFont val="Tahoma"/>
        <family val="2"/>
      </rPr>
      <t>NOMBRE</t>
    </r>
    <r>
      <rPr>
        <b/>
        <sz val="10"/>
        <rFont val="Tahoma"/>
        <family val="2"/>
      </rPr>
      <t>,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 xml:space="preserve">SEXO </t>
    </r>
    <r>
      <rPr>
        <sz val="10"/>
        <rFont val="Tahoma"/>
        <family val="2"/>
      </rPr>
      <t>y</t>
    </r>
    <r>
      <rPr>
        <b/>
        <sz val="10"/>
        <color indexed="60"/>
        <rFont val="Tahoma"/>
        <family val="2"/>
      </rPr>
      <t xml:space="preserve"> </t>
    </r>
    <r>
      <rPr>
        <b/>
        <sz val="10"/>
        <color rgb="FFFF0000"/>
        <rFont val="Tahoma"/>
        <family val="2"/>
      </rPr>
      <t>EDAD</t>
    </r>
    <r>
      <rPr>
        <sz val="10"/>
        <rFont val="Tahoma"/>
        <family val="2"/>
      </rPr>
      <t xml:space="preserve"> del Titular, Cónyuge y Dependientes</t>
    </r>
    <r>
      <rPr>
        <i/>
        <sz val="10"/>
        <rFont val="Tahoma"/>
        <family val="2"/>
      </rPr>
      <t xml:space="preserve"> (si fuera el caso)</t>
    </r>
  </si>
  <si>
    <t>16. Vaya al FORMATO DE IMPRESIÓN para obtener la COTIZACIÓN</t>
  </si>
  <si>
    <t>Emergencia en el extranjero</t>
  </si>
  <si>
    <t>ELIMINACION DE DEDUCIBLE</t>
  </si>
  <si>
    <t>El coaseguro contratado funciona para la red Hospitalaria Preferente contratada en caso de salir de esta aplica:</t>
  </si>
  <si>
    <t>En Red Preferente, nivel hospitalario contratado o menor y misma zona o menor</t>
  </si>
  <si>
    <t>En Red Preferente, nivel Hospitalario contratado o menor y zona mayor a la contratada</t>
  </si>
  <si>
    <t>En Red Preferente, nivel Hospitalario mayor al contratado y misma zona o menor</t>
  </si>
  <si>
    <t>En Red Preferente, nivel Hospitalario mayor al contratado y zona mayor a la contratada</t>
  </si>
  <si>
    <t>Fuera de Red Preferente, nivel Hospitalario contratado o menor y misma zona o menor</t>
  </si>
  <si>
    <t>Fuera de Red Preferente, nivel Hospitalario contratado o menor y zona mayor a la contratada</t>
  </si>
  <si>
    <t>Fuera de Red Preferente, nivel Hospitalario mayor al contratado y misma zona o menor</t>
  </si>
  <si>
    <t>Fuera de Red Preferente, nivel Hospitalario mayor al contratado y zona mayor a la contratada</t>
  </si>
  <si>
    <t>APLICACIÓN DE COASEGURO EN CASO DE SINIESTRO</t>
  </si>
  <si>
    <t>Opción</t>
  </si>
  <si>
    <t>Hospitales Red Preferente nivel Hospitalario contratado o menor y misma zona o menor</t>
  </si>
  <si>
    <t>15% CON TOPE DE $45,000</t>
  </si>
  <si>
    <t>20% CON TOPE DE $60,000</t>
  </si>
  <si>
    <t>25% CON TOPE DE $80,000</t>
  </si>
  <si>
    <t>30% CON TOPE DE $100,000</t>
  </si>
  <si>
    <t>35% CON TOPE DE $120,000</t>
  </si>
  <si>
    <t>Hospitales Red Preferente nivel Hospitalario contratado o menor y zona mayor a la contratada.</t>
  </si>
  <si>
    <t>Hospitales Red Preferente nivel Hospitalario mayor al contratado y misma zona o menor.</t>
  </si>
  <si>
    <t>Fuera de Red Preferente, nivel Hospitalario contratado o menor y misma zona o menor.</t>
  </si>
  <si>
    <t>Hospitales Red Preferente nivel Hospitalario mayor al  contratado y zona mayor.</t>
  </si>
  <si>
    <t>Fuera de Red Preferente, nivel Hospitalario contratado o menor y zona mayor a la contratada.</t>
  </si>
  <si>
    <t>Fuera de Red Preferente, nivel Hospitalario mayor al contratado y misma zona o menor.</t>
  </si>
  <si>
    <t>Coaseguro2</t>
  </si>
  <si>
    <t>Coaseguro3</t>
  </si>
  <si>
    <t>Coaseguro4</t>
  </si>
  <si>
    <r>
      <t xml:space="preserve">12. Seleccione si desea </t>
    </r>
    <r>
      <rPr>
        <b/>
        <sz val="10"/>
        <color rgb="FFFF0000"/>
        <rFont val="Tahoma"/>
        <family val="2"/>
      </rPr>
      <t>COBERTURA DE INDEMNIZACION POR ENFERMEDAD GRAVE, así como la SUMA ASEGURADA
      para esta cobertura</t>
    </r>
  </si>
  <si>
    <t>COPAGO EN CASO DE SINIESTRO</t>
  </si>
  <si>
    <t>A continuación le presentamos aplicación de Copago y Coaseguro en caso de siniestro</t>
  </si>
  <si>
    <t>El copago del asegurado en caso de siniestro es:</t>
  </si>
  <si>
    <t>Sin Copago</t>
  </si>
  <si>
    <t>0-19</t>
  </si>
  <si>
    <t>20-100</t>
  </si>
  <si>
    <t>EDxA</t>
  </si>
  <si>
    <t>18-50</t>
  </si>
  <si>
    <t>Cob Ext</t>
  </si>
  <si>
    <t>NIVEL HOSPITALARIO PREFERENTE</t>
  </si>
  <si>
    <t>ok</t>
  </si>
  <si>
    <r>
      <t xml:space="preserve">1. Seleccione el </t>
    </r>
    <r>
      <rPr>
        <b/>
        <sz val="10"/>
        <color rgb="FFFF0000"/>
        <rFont val="Tahoma"/>
        <family val="2"/>
      </rPr>
      <t>NIVEL HOSPITALARIO (T o T+)</t>
    </r>
  </si>
  <si>
    <t>T</t>
  </si>
  <si>
    <t>T+</t>
  </si>
  <si>
    <t>Cobertura de Reducción de Deducible por Accidente (con tope de $50,000)</t>
  </si>
  <si>
    <t>Servicios de Asistencia (operado por México Asistencias y Montolin)</t>
  </si>
  <si>
    <t>ESTADO DE LA REPUBLICA</t>
  </si>
  <si>
    <t>REGION</t>
  </si>
  <si>
    <t>COBERTURAS OPCIONALES</t>
  </si>
  <si>
    <t>Suma Asegurada para Parto y Cesárea</t>
  </si>
  <si>
    <t>Cobertura de Indemnización por Enfermedad Grave</t>
  </si>
  <si>
    <t>SUMA ASEGURADA:</t>
  </si>
  <si>
    <t>DEDUCIBLE:</t>
  </si>
  <si>
    <t>COASEGURO:</t>
  </si>
  <si>
    <t>PRIMA TOTAL CONYUGE</t>
  </si>
  <si>
    <t>0-10</t>
  </si>
  <si>
    <r>
      <t xml:space="preserve">Nota: Esta cotización tiene una validez de 15 días apartir de su fecha de elaboración.  La edad limite de aceptación es hasta los 64 años. </t>
    </r>
    <r>
      <rPr>
        <b/>
        <u/>
        <sz val="8"/>
        <rFont val="Tahoma"/>
        <family val="2"/>
      </rPr>
      <t>Incluyen I.V.A. Y derechos de póliza, no incluye recargo por pago fraccionado</t>
    </r>
  </si>
  <si>
    <t>Incremento en el Catálogo</t>
  </si>
  <si>
    <t>Tipo de póliza</t>
  </si>
  <si>
    <t>Hombre</t>
  </si>
  <si>
    <t>Mujer</t>
  </si>
  <si>
    <t>TARIFA 2020</t>
  </si>
  <si>
    <t>Prima Neta Total Anual</t>
  </si>
  <si>
    <r>
      <t>(1) Esta cobertura aplica para Asegurados con edades entre 18 a 59 años.
**</t>
    </r>
    <r>
      <rPr>
        <sz val="9"/>
        <rFont val="Tahoma"/>
        <family val="2"/>
      </rPr>
      <t>Vigencia de cotizador del 01</t>
    </r>
    <r>
      <rPr>
        <b/>
        <sz val="9"/>
        <rFont val="Tahoma"/>
        <family val="2"/>
      </rPr>
      <t xml:space="preserve"> de Marzo 2022</t>
    </r>
    <r>
      <rPr>
        <sz val="9"/>
        <rFont val="Tahoma"/>
        <family val="2"/>
      </rPr>
      <t xml:space="preserve"> al</t>
    </r>
    <r>
      <rPr>
        <b/>
        <sz val="9"/>
        <rFont val="Tahoma"/>
        <family val="2"/>
      </rPr>
      <t xml:space="preserve"> 28 de Febrero 2023.</t>
    </r>
  </si>
  <si>
    <t>Tarifa Vig: 01 de Marzo 2022</t>
  </si>
  <si>
    <t>Zona de cobertura</t>
  </si>
  <si>
    <t>Zona Contratada</t>
  </si>
  <si>
    <t>Cotizador Vig: 01 de marzo 2023 a 28 de Febrero 2024</t>
  </si>
  <si>
    <t>Emergencia Extranjero con suma asegurada de 50,000 Dlls, deducible de 50 Dlls y coaseguro 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</si>
</sst>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1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\ #,##0_);[Red]\(&quot;$&quot;\ #,##0\)"/>
    <numFmt numFmtId="165" formatCode="&quot;$&quot;\ #,##0.00_);[Red]\(&quot;$&quot;\ #,##0.00\)"/>
    <numFmt numFmtId="166" formatCode="_(* #,##0.00_);_(* \(#,##0.00\);_(* &quot;-&quot;??_);_(@_)"/>
    <numFmt numFmtId="167" formatCode="_(* #,##0_);_(* \(#,##0\);_(* &quot;-&quot;??_);_(@_)"/>
    <numFmt numFmtId="168" formatCode="#,##0.000"/>
    <numFmt numFmtId="169" formatCode="mmmm\ d\,\ yyyy"/>
    <numFmt numFmtId="170" formatCode="_-* #,##0_-;\-* #,##0_-;_-* &quot;-&quot;??_-;_-@_-"/>
    <numFmt numFmtId="171" formatCode="0.0%"/>
    <numFmt numFmtId="172" formatCode="#,##0.0000000000"/>
    <numFmt numFmtId="173" formatCode="&quot;$&quot;###,###.00\ "/>
    <numFmt numFmtId="174" formatCode="&quot;$&quot;###,###.00"/>
    <numFmt numFmtId="175" formatCode="&quot;$&quot;###,###"/>
    <numFmt numFmtId="176" formatCode="_-&quot;$&quot;* #,##0_-;\-&quot;$&quot;* #,##0_-;_-&quot;$&quot;* &quot;-&quot;??_-;_-@_-"/>
    <numFmt numFmtId="177" formatCode="&quot;$&quot;#,##0.00;[Red]&quot;$&quot;#,##0.00"/>
    <numFmt numFmtId="178" formatCode="&quot;$&quot;#,##0"/>
    <numFmt numFmtId="179" formatCode="#,##0.00000"/>
    <numFmt numFmtId="180" formatCode="0.000"/>
  </numFmts>
  <fonts count="88">
    <font>
      <sz val="10"/>
      <name val="Tahoma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b/>
      <sz val="12"/>
      <name val="Tahoma"/>
      <family val="2"/>
    </font>
    <font>
      <b/>
      <sz val="7"/>
      <name val="Tahoma"/>
      <family val="2"/>
    </font>
    <font>
      <sz val="7"/>
      <name val="Tahoma"/>
      <family val="2"/>
    </font>
    <font>
      <sz val="8"/>
      <color indexed="8"/>
      <name val="Tahoma"/>
      <family val="2"/>
    </font>
    <font>
      <b/>
      <sz val="8"/>
      <color indexed="60"/>
      <name val="Tahoma"/>
      <family val="2"/>
    </font>
    <font>
      <b/>
      <sz val="8"/>
      <color indexed="16"/>
      <name val="Tahoma"/>
      <family val="2"/>
    </font>
    <font>
      <sz val="8"/>
      <color indexed="60"/>
      <name val="Tahoma"/>
      <family val="2"/>
    </font>
    <font>
      <sz val="10"/>
      <color indexed="10"/>
      <name val="Tahoma"/>
      <family val="2"/>
    </font>
    <font>
      <sz val="10"/>
      <name val="Arial"/>
      <family val="2"/>
    </font>
    <font>
      <b/>
      <sz val="10"/>
      <color indexed="10"/>
      <name val="Tahoma"/>
      <family val="2"/>
    </font>
    <font>
      <b/>
      <sz val="9"/>
      <color indexed="9"/>
      <name val="Tahoma"/>
      <family val="2"/>
    </font>
    <font>
      <b/>
      <sz val="10"/>
      <color indexed="9"/>
      <name val="Tahoma"/>
      <family val="2"/>
    </font>
    <font>
      <sz val="9"/>
      <name val="Arial"/>
      <family val="2"/>
    </font>
    <font>
      <b/>
      <sz val="8"/>
      <color indexed="10"/>
      <name val="Tahoma"/>
      <family val="2"/>
    </font>
    <font>
      <sz val="9"/>
      <name val="Tahoma"/>
      <family val="2"/>
    </font>
    <font>
      <b/>
      <sz val="9"/>
      <name val="Tahoma"/>
      <family val="2"/>
    </font>
    <font>
      <b/>
      <sz val="10"/>
      <name val="Segoe UI Symbol"/>
      <family val="2"/>
    </font>
    <font>
      <b/>
      <sz val="8"/>
      <color theme="0"/>
      <name val="Tahoma"/>
      <family val="2"/>
    </font>
    <font>
      <b/>
      <sz val="9"/>
      <color theme="0"/>
      <name val="Tahoma"/>
      <family val="2"/>
    </font>
    <font>
      <b/>
      <sz val="8"/>
      <color rgb="FFFF0000"/>
      <name val="Tahoma"/>
      <family val="2"/>
    </font>
    <font>
      <b/>
      <sz val="10"/>
      <color theme="0"/>
      <name val="Tahoma"/>
      <family val="2"/>
    </font>
    <font>
      <sz val="7"/>
      <color theme="0"/>
      <name val="Tahoma"/>
      <family val="2"/>
    </font>
    <font>
      <b/>
      <sz val="8"/>
      <color theme="5" tint="-0.249977111117893"/>
      <name val="Tahoma"/>
      <family val="2"/>
    </font>
    <font>
      <b/>
      <sz val="8"/>
      <color theme="5" tint="-0.499984740745262"/>
      <name val="Tahoma"/>
      <family val="2"/>
    </font>
    <font>
      <b/>
      <sz val="9"/>
      <name val="Segoe UI Symbol"/>
      <family val="2"/>
    </font>
    <font>
      <b/>
      <sz val="8"/>
      <name val="Segoe UI Symbol"/>
      <family val="2"/>
    </font>
    <font>
      <sz val="14"/>
      <name val="Narkisim"/>
      <family val="2"/>
      <charset val="177"/>
    </font>
    <font>
      <b/>
      <sz val="11"/>
      <name val="Tahoma"/>
      <family val="2"/>
    </font>
    <font>
      <b/>
      <sz val="10"/>
      <color indexed="60"/>
      <name val="Tahoma"/>
      <family val="2"/>
    </font>
    <font>
      <b/>
      <sz val="10"/>
      <color rgb="FFC00000"/>
      <name val="Tahoma"/>
      <family val="2"/>
    </font>
    <font>
      <i/>
      <sz val="10"/>
      <name val="Tahoma"/>
      <family val="2"/>
    </font>
    <font>
      <b/>
      <i/>
      <sz val="10"/>
      <color indexed="60"/>
      <name val="Tahoma"/>
      <family val="2"/>
    </font>
    <font>
      <sz val="11"/>
      <name val="Narkisim"/>
      <family val="2"/>
      <charset val="177"/>
    </font>
    <font>
      <sz val="8"/>
      <color theme="0"/>
      <name val="Tahoma"/>
      <family val="2"/>
    </font>
    <font>
      <b/>
      <sz val="7"/>
      <color rgb="FFFF0000"/>
      <name val="Tahoma"/>
      <family val="2"/>
    </font>
    <font>
      <b/>
      <sz val="7"/>
      <color theme="0"/>
      <name val="Tahoma"/>
      <family val="2"/>
    </font>
    <font>
      <sz val="9"/>
      <name val="Wingdings"/>
      <charset val="2"/>
    </font>
    <font>
      <sz val="7"/>
      <name val="Times New Roman"/>
      <family val="1"/>
    </font>
    <font>
      <sz val="9"/>
      <name val="Century Gothic"/>
      <family val="2"/>
    </font>
    <font>
      <b/>
      <sz val="9"/>
      <name val="Century Gothic"/>
      <family val="2"/>
    </font>
    <font>
      <sz val="10"/>
      <name val="ArialMT"/>
    </font>
    <font>
      <b/>
      <sz val="11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i/>
      <sz val="8"/>
      <name val="Tahoma"/>
      <family val="2"/>
    </font>
    <font>
      <b/>
      <sz val="9"/>
      <color rgb="FFFF0000"/>
      <name val="Narkisim"/>
      <family val="2"/>
      <charset val="177"/>
    </font>
    <font>
      <b/>
      <sz val="8"/>
      <color rgb="FFFF0000"/>
      <name val="Segoe UI Symbol"/>
      <family val="2"/>
    </font>
    <font>
      <b/>
      <sz val="10"/>
      <color rgb="FFFF0000"/>
      <name val="Tahoma"/>
      <family val="2"/>
    </font>
    <font>
      <sz val="16"/>
      <color rgb="FFFF0000"/>
      <name val="Tahoma"/>
      <family val="2"/>
    </font>
    <font>
      <sz val="10"/>
      <color rgb="FFFF0000"/>
      <name val="Tahoma"/>
      <family val="2"/>
    </font>
    <font>
      <sz val="14"/>
      <color theme="0"/>
      <name val="Narkisim"/>
      <family val="2"/>
      <charset val="177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indexed="10"/>
      <name val="Calibri"/>
      <family val="2"/>
      <scheme val="minor"/>
    </font>
    <font>
      <b/>
      <sz val="9"/>
      <color rgb="FFFFFFFF"/>
      <name val="Calibri"/>
      <family val="2"/>
      <scheme val="minor"/>
    </font>
    <font>
      <sz val="9"/>
      <color rgb="FF000000"/>
      <name val="Calibri"/>
      <family val="2"/>
      <scheme val="minor"/>
    </font>
    <font>
      <sz val="10"/>
      <name val="Tahom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 Narrow"/>
      <family val="2"/>
    </font>
    <font>
      <b/>
      <sz val="9"/>
      <color rgb="FFFF0000"/>
      <name val="Tahoma"/>
      <family val="2"/>
    </font>
    <font>
      <sz val="9"/>
      <color rgb="FFFF8265"/>
      <name val="Tahoma"/>
      <family val="2"/>
    </font>
    <font>
      <b/>
      <u/>
      <sz val="8"/>
      <name val="Tahoma"/>
      <family val="2"/>
    </font>
    <font>
      <sz val="10"/>
      <color theme="0"/>
      <name val="Tahoma"/>
      <family val="2"/>
    </font>
    <font>
      <b/>
      <sz val="16"/>
      <color rgb="FFFF0000"/>
      <name val="Tahoma"/>
      <family val="2"/>
    </font>
    <font>
      <sz val="10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6">
    <border>
      <left/>
      <right/>
      <top/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theme="0"/>
      </top>
      <bottom/>
      <diagonal/>
    </border>
    <border>
      <left style="hair">
        <color theme="5" tint="-0.24994659260841701"/>
      </left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/>
      <bottom style="thin">
        <color theme="5" tint="-0.24994659260841701"/>
      </bottom>
      <diagonal/>
    </border>
    <border>
      <left style="hair">
        <color theme="5" tint="-0.24994659260841701"/>
      </left>
      <right/>
      <top style="hair">
        <color theme="5" tint="-0.24994659260841701"/>
      </top>
      <bottom style="hair">
        <color theme="5" tint="-0.24994659260841701"/>
      </bottom>
      <diagonal/>
    </border>
    <border>
      <left/>
      <right style="hair">
        <color theme="5" tint="-0.24994659260841701"/>
      </right>
      <top style="hair">
        <color theme="5" tint="-0.24994659260841701"/>
      </top>
      <bottom style="hair">
        <color theme="5" tint="-0.24994659260841701"/>
      </bottom>
      <diagonal/>
    </border>
    <border>
      <left/>
      <right/>
      <top style="hair">
        <color theme="5" tint="-0.24994659260841701"/>
      </top>
      <bottom style="hair">
        <color theme="5" tint="-0.2499465926084170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hair">
        <color theme="5" tint="-0.24994659260841701"/>
      </right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34">
    <xf numFmtId="0" fontId="0" fillId="0" borderId="0" applyBorder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1" fillId="0" borderId="0"/>
    <xf numFmtId="9" fontId="4" fillId="0" borderId="0" applyFont="0" applyFill="0" applyBorder="0" applyAlignment="0" applyProtection="0"/>
    <xf numFmtId="0" fontId="3" fillId="0" borderId="0"/>
    <xf numFmtId="0" fontId="4" fillId="0" borderId="0" applyBorder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5" fillId="0" borderId="0" applyBorder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47" applyNumberFormat="0" applyFill="0" applyAlignment="0" applyProtection="0"/>
    <xf numFmtId="0" fontId="68" fillId="0" borderId="48" applyNumberFormat="0" applyFill="0" applyAlignment="0" applyProtection="0"/>
    <xf numFmtId="0" fontId="69" fillId="0" borderId="49" applyNumberFormat="0" applyFill="0" applyAlignment="0" applyProtection="0"/>
    <xf numFmtId="0" fontId="69" fillId="0" borderId="0" applyNumberFormat="0" applyFill="0" applyBorder="0" applyAlignment="0" applyProtection="0"/>
    <xf numFmtId="0" fontId="70" fillId="10" borderId="0" applyNumberFormat="0" applyBorder="0" applyAlignment="0" applyProtection="0"/>
    <xf numFmtId="0" fontId="71" fillId="11" borderId="0" applyNumberFormat="0" applyBorder="0" applyAlignment="0" applyProtection="0"/>
    <xf numFmtId="0" fontId="72" fillId="12" borderId="0" applyNumberFormat="0" applyBorder="0" applyAlignment="0" applyProtection="0"/>
    <xf numFmtId="0" fontId="73" fillId="13" borderId="50" applyNumberFormat="0" applyAlignment="0" applyProtection="0"/>
    <xf numFmtId="0" fontId="74" fillId="14" borderId="51" applyNumberFormat="0" applyAlignment="0" applyProtection="0"/>
    <xf numFmtId="0" fontId="75" fillId="14" borderId="50" applyNumberFormat="0" applyAlignment="0" applyProtection="0"/>
    <xf numFmtId="0" fontId="76" fillId="0" borderId="52" applyNumberFormat="0" applyFill="0" applyAlignment="0" applyProtection="0"/>
    <xf numFmtId="0" fontId="52" fillId="15" borderId="53" applyNumberFormat="0" applyAlignment="0" applyProtection="0"/>
    <xf numFmtId="0" fontId="77" fillId="0" borderId="0" applyNumberFormat="0" applyFill="0" applyBorder="0" applyAlignment="0" applyProtection="0"/>
    <xf numFmtId="0" fontId="78" fillId="0" borderId="0" applyNumberFormat="0" applyFill="0" applyBorder="0" applyAlignment="0" applyProtection="0"/>
    <xf numFmtId="0" fontId="79" fillId="0" borderId="55" applyNumberFormat="0" applyFill="0" applyAlignment="0" applyProtection="0"/>
    <xf numFmtId="0" fontId="80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80" fillId="20" borderId="0" applyNumberFormat="0" applyBorder="0" applyAlignment="0" applyProtection="0"/>
    <xf numFmtId="0" fontId="80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80" fillId="24" borderId="0" applyNumberFormat="0" applyBorder="0" applyAlignment="0" applyProtection="0"/>
    <xf numFmtId="0" fontId="80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80" fillId="28" borderId="0" applyNumberFormat="0" applyBorder="0" applyAlignment="0" applyProtection="0"/>
    <xf numFmtId="0" fontId="80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80" fillId="32" borderId="0" applyNumberFormat="0" applyBorder="0" applyAlignment="0" applyProtection="0"/>
    <xf numFmtId="0" fontId="80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80" fillId="36" borderId="0" applyNumberFormat="0" applyBorder="0" applyAlignment="0" applyProtection="0"/>
    <xf numFmtId="0" fontId="80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80" fillId="40" borderId="0" applyNumberFormat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16" borderId="54" applyNumberFormat="0" applyFont="0" applyAlignment="0" applyProtection="0"/>
    <xf numFmtId="0" fontId="4" fillId="0" borderId="0" applyBorder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0" fontId="4" fillId="0" borderId="0" applyBorder="0"/>
    <xf numFmtId="0" fontId="17" fillId="0" borderId="0"/>
    <xf numFmtId="43" fontId="17" fillId="0" borderId="0" applyFont="0" applyFill="0" applyBorder="0" applyAlignment="0" applyProtection="0"/>
    <xf numFmtId="0" fontId="2" fillId="0" borderId="0"/>
    <xf numFmtId="0" fontId="4" fillId="0" borderId="0" applyBorder="0"/>
    <xf numFmtId="0" fontId="17" fillId="0" borderId="0"/>
    <xf numFmtId="0" fontId="17" fillId="0" borderId="0"/>
    <xf numFmtId="43" fontId="17" fillId="0" borderId="0" applyFont="0" applyFill="0" applyBorder="0" applyAlignment="0" applyProtection="0"/>
    <xf numFmtId="0" fontId="17" fillId="0" borderId="0"/>
    <xf numFmtId="0" fontId="81" fillId="0" borderId="0"/>
    <xf numFmtId="0" fontId="17" fillId="0" borderId="0"/>
    <xf numFmtId="4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17" fillId="0" borderId="0"/>
    <xf numFmtId="44" fontId="17" fillId="0" borderId="0" applyFont="0" applyFill="0" applyBorder="0" applyAlignment="0" applyProtection="0"/>
    <xf numFmtId="0" fontId="17" fillId="0" borderId="0"/>
    <xf numFmtId="44" fontId="17" fillId="0" borderId="0" applyFont="0" applyFill="0" applyBorder="0" applyAlignment="0" applyProtection="0"/>
    <xf numFmtId="0" fontId="17" fillId="0" borderId="0"/>
    <xf numFmtId="44" fontId="17" fillId="0" borderId="0" applyFont="0" applyFill="0" applyBorder="0" applyAlignment="0" applyProtection="0"/>
    <xf numFmtId="0" fontId="4" fillId="0" borderId="0" applyBorder="0"/>
    <xf numFmtId="0" fontId="4" fillId="0" borderId="0" applyBorder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 applyBorder="0"/>
    <xf numFmtId="0" fontId="1" fillId="0" borderId="0"/>
    <xf numFmtId="44" fontId="1" fillId="0" borderId="0" applyFont="0" applyFill="0" applyBorder="0" applyAlignment="0" applyProtection="0"/>
    <xf numFmtId="0" fontId="87" fillId="0" borderId="0" applyBorder="0"/>
    <xf numFmtId="0" fontId="4" fillId="0" borderId="0" applyBorder="0"/>
    <xf numFmtId="0" fontId="1" fillId="16" borderId="54" applyNumberFormat="0" applyFont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43" fontId="17" fillId="0" borderId="0" applyFont="0" applyFill="0" applyBorder="0" applyAlignment="0" applyProtection="0"/>
    <xf numFmtId="0" fontId="1" fillId="0" borderId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17" fillId="0" borderId="0" applyFont="0" applyFill="0" applyBorder="0" applyAlignment="0" applyProtection="0"/>
    <xf numFmtId="44" fontId="17" fillId="0" borderId="0" applyFont="0" applyFill="0" applyBorder="0" applyAlignment="0" applyProtection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16" borderId="54" applyNumberFormat="0" applyFont="0" applyAlignment="0" applyProtection="0"/>
    <xf numFmtId="0" fontId="4" fillId="0" borderId="0" applyBorder="0"/>
    <xf numFmtId="43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1" fillId="0" borderId="0"/>
    <xf numFmtId="0" fontId="1" fillId="0" borderId="0"/>
    <xf numFmtId="44" fontId="1" fillId="0" borderId="0" applyFont="0" applyFill="0" applyBorder="0" applyAlignment="0" applyProtection="0"/>
  </cellStyleXfs>
  <cellXfs count="583">
    <xf numFmtId="0" fontId="0" fillId="0" borderId="0" xfId="0"/>
    <xf numFmtId="0" fontId="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Continuous" vertical="center"/>
    </xf>
    <xf numFmtId="0" fontId="6" fillId="0" borderId="0" xfId="0" applyFont="1" applyFill="1" applyBorder="1" applyAlignment="1">
      <alignment horizontal="centerContinuous" vertical="center"/>
    </xf>
    <xf numFmtId="4" fontId="6" fillId="0" borderId="0" xfId="0" applyNumberFormat="1" applyFont="1" applyFill="1" applyBorder="1" applyAlignment="1">
      <alignment horizontal="centerContinuous" vertical="center"/>
    </xf>
    <xf numFmtId="0" fontId="8" fillId="3" borderId="0" xfId="0" applyFont="1" applyFill="1"/>
    <xf numFmtId="0" fontId="8" fillId="3" borderId="0" xfId="0" applyFont="1" applyFill="1" applyAlignment="1"/>
    <xf numFmtId="0" fontId="11" fillId="3" borderId="0" xfId="0" applyFont="1" applyFill="1"/>
    <xf numFmtId="0" fontId="11" fillId="3" borderId="0" xfId="0" applyFont="1" applyFill="1" applyAlignment="1">
      <alignment vertical="center"/>
    </xf>
    <xf numFmtId="0" fontId="10" fillId="3" borderId="0" xfId="0" applyFont="1" applyFill="1" applyAlignment="1">
      <alignment horizontal="center" vertical="center"/>
    </xf>
    <xf numFmtId="169" fontId="10" fillId="3" borderId="0" xfId="0" applyNumberFormat="1" applyFont="1" applyFill="1" applyAlignment="1">
      <alignment horizontal="right" vertical="center"/>
    </xf>
    <xf numFmtId="0" fontId="10" fillId="3" borderId="0" xfId="0" applyFont="1" applyFill="1" applyAlignment="1">
      <alignment horizontal="right" vertical="center"/>
    </xf>
    <xf numFmtId="0" fontId="5" fillId="3" borderId="0" xfId="0" applyFont="1" applyFill="1" applyBorder="1" applyAlignment="1" applyProtection="1">
      <alignment vertical="center"/>
    </xf>
    <xf numFmtId="0" fontId="8" fillId="3" borderId="0" xfId="0" applyFont="1" applyFill="1" applyProtection="1"/>
    <xf numFmtId="0" fontId="8" fillId="3" borderId="0" xfId="0" applyFont="1" applyFill="1" applyAlignment="1" applyProtection="1"/>
    <xf numFmtId="0" fontId="11" fillId="3" borderId="0" xfId="0" applyFont="1" applyFill="1" applyAlignment="1" applyProtection="1"/>
    <xf numFmtId="0" fontId="8" fillId="3" borderId="0" xfId="0" applyFont="1" applyFill="1" applyAlignment="1" applyProtection="1">
      <alignment vertical="center"/>
    </xf>
    <xf numFmtId="0" fontId="8" fillId="3" borderId="0" xfId="0" applyFont="1" applyFill="1" applyBorder="1" applyAlignment="1" applyProtection="1">
      <alignment vertical="center"/>
    </xf>
    <xf numFmtId="169" fontId="8" fillId="3" borderId="0" xfId="0" applyNumberFormat="1" applyFont="1" applyFill="1" applyAlignment="1" applyProtection="1">
      <alignment vertical="center"/>
    </xf>
    <xf numFmtId="169" fontId="23" fillId="3" borderId="0" xfId="0" applyNumberFormat="1" applyFont="1" applyFill="1" applyAlignment="1" applyProtection="1">
      <alignment vertical="center"/>
    </xf>
    <xf numFmtId="43" fontId="8" fillId="3" borderId="0" xfId="0" applyNumberFormat="1" applyFont="1" applyFill="1" applyProtection="1"/>
    <xf numFmtId="0" fontId="11" fillId="3" borderId="0" xfId="0" applyFont="1" applyFill="1" applyProtection="1"/>
    <xf numFmtId="0" fontId="11" fillId="3" borderId="0" xfId="0" applyFont="1" applyFill="1" applyBorder="1" applyAlignment="1" applyProtection="1">
      <alignment vertical="center"/>
    </xf>
    <xf numFmtId="0" fontId="10" fillId="3" borderId="0" xfId="0" applyFont="1" applyFill="1" applyBorder="1" applyAlignment="1" applyProtection="1">
      <alignment horizontal="right" vertical="center"/>
    </xf>
    <xf numFmtId="0" fontId="11" fillId="3" borderId="0" xfId="0" applyFont="1" applyFill="1" applyBorder="1" applyProtection="1"/>
    <xf numFmtId="169" fontId="10" fillId="3" borderId="0" xfId="0" applyNumberFormat="1" applyFont="1" applyFill="1" applyBorder="1" applyAlignment="1" applyProtection="1">
      <alignment horizontal="right" vertical="center"/>
    </xf>
    <xf numFmtId="169" fontId="11" fillId="3" borderId="0" xfId="0" applyNumberFormat="1" applyFont="1" applyFill="1" applyBorder="1" applyAlignment="1" applyProtection="1">
      <alignment vertical="center"/>
    </xf>
    <xf numFmtId="0" fontId="11" fillId="3" borderId="0" xfId="0" applyFont="1" applyFill="1" applyBorder="1" applyAlignment="1" applyProtection="1">
      <alignment horizontal="left" vertical="center"/>
    </xf>
    <xf numFmtId="0" fontId="11" fillId="3" borderId="0" xfId="0" applyFont="1" applyFill="1" applyBorder="1" applyAlignment="1" applyProtection="1">
      <alignment horizontal="center" vertical="center"/>
    </xf>
    <xf numFmtId="0" fontId="7" fillId="3" borderId="0" xfId="0" quotePrefix="1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center" vertical="center"/>
    </xf>
    <xf numFmtId="4" fontId="8" fillId="3" borderId="0" xfId="0" applyNumberFormat="1" applyFont="1" applyFill="1" applyBorder="1" applyAlignment="1" applyProtection="1">
      <alignment horizontal="left" vertical="center"/>
    </xf>
    <xf numFmtId="0" fontId="8" fillId="3" borderId="0" xfId="0" applyFont="1" applyFill="1" applyBorder="1" applyProtection="1"/>
    <xf numFmtId="4" fontId="8" fillId="3" borderId="0" xfId="0" applyNumberFormat="1" applyFont="1" applyFill="1" applyBorder="1" applyAlignment="1" applyProtection="1">
      <alignment horizontal="right" vertical="center"/>
    </xf>
    <xf numFmtId="4" fontId="8" fillId="3" borderId="0" xfId="0" applyNumberFormat="1" applyFont="1" applyFill="1" applyBorder="1" applyAlignment="1" applyProtection="1">
      <alignment vertical="center"/>
    </xf>
    <xf numFmtId="14" fontId="8" fillId="3" borderId="0" xfId="0" applyNumberFormat="1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left" vertical="center"/>
    </xf>
    <xf numFmtId="9" fontId="8" fillId="3" borderId="0" xfId="0" applyNumberFormat="1" applyFont="1" applyFill="1" applyBorder="1" applyAlignment="1" applyProtection="1">
      <alignment vertical="center"/>
    </xf>
    <xf numFmtId="43" fontId="8" fillId="3" borderId="0" xfId="1" applyFont="1" applyFill="1" applyBorder="1" applyAlignment="1" applyProtection="1">
      <alignment horizontal="left" vertical="center"/>
    </xf>
    <xf numFmtId="43" fontId="8" fillId="3" borderId="0" xfId="1" applyFont="1" applyFill="1" applyBorder="1" applyAlignment="1" applyProtection="1">
      <alignment vertical="center"/>
    </xf>
    <xf numFmtId="10" fontId="8" fillId="3" borderId="0" xfId="0" applyNumberFormat="1" applyFont="1" applyFill="1" applyBorder="1" applyAlignment="1" applyProtection="1">
      <alignment vertical="center"/>
    </xf>
    <xf numFmtId="43" fontId="8" fillId="3" borderId="0" xfId="0" applyNumberFormat="1" applyFont="1" applyFill="1" applyBorder="1" applyAlignment="1" applyProtection="1">
      <alignment vertical="center"/>
    </xf>
    <xf numFmtId="10" fontId="8" fillId="3" borderId="0" xfId="0" quotePrefix="1" applyNumberFormat="1" applyFont="1" applyFill="1" applyBorder="1" applyAlignment="1" applyProtection="1">
      <alignment horizontal="center" vertical="center"/>
    </xf>
    <xf numFmtId="43" fontId="8" fillId="3" borderId="0" xfId="0" applyNumberFormat="1" applyFont="1" applyFill="1" applyBorder="1" applyAlignment="1" applyProtection="1">
      <alignment horizontal="left" vertical="center"/>
    </xf>
    <xf numFmtId="174" fontId="8" fillId="3" borderId="0" xfId="0" applyNumberFormat="1" applyFont="1" applyFill="1" applyBorder="1" applyAlignment="1" applyProtection="1">
      <alignment horizontal="right" vertical="center"/>
    </xf>
    <xf numFmtId="0" fontId="12" fillId="3" borderId="0" xfId="0" applyFont="1" applyFill="1" applyBorder="1" applyAlignment="1" applyProtection="1">
      <alignment vertical="center"/>
    </xf>
    <xf numFmtId="9" fontId="8" fillId="3" borderId="0" xfId="4" applyFont="1" applyFill="1" applyBorder="1" applyAlignment="1" applyProtection="1">
      <alignment vertical="center"/>
    </xf>
    <xf numFmtId="9" fontId="8" fillId="3" borderId="0" xfId="0" applyNumberFormat="1" applyFont="1" applyFill="1" applyBorder="1" applyAlignment="1" applyProtection="1">
      <alignment horizontal="left" vertical="center"/>
    </xf>
    <xf numFmtId="43" fontId="11" fillId="3" borderId="0" xfId="1" applyFont="1" applyFill="1" applyProtection="1"/>
    <xf numFmtId="43" fontId="11" fillId="3" borderId="0" xfId="0" applyNumberFormat="1" applyFont="1" applyFill="1" applyProtection="1"/>
    <xf numFmtId="173" fontId="8" fillId="3" borderId="0" xfId="0" applyNumberFormat="1" applyFont="1" applyFill="1" applyBorder="1" applyAlignment="1" applyProtection="1">
      <alignment horizontal="left" vertical="center"/>
    </xf>
    <xf numFmtId="44" fontId="8" fillId="3" borderId="0" xfId="2" applyFont="1" applyFill="1" applyBorder="1" applyAlignment="1" applyProtection="1">
      <alignment vertical="center"/>
    </xf>
    <xf numFmtId="0" fontId="17" fillId="0" borderId="0" xfId="0" applyFont="1" applyBorder="1" applyProtection="1"/>
    <xf numFmtId="0" fontId="7" fillId="3" borderId="0" xfId="0" applyFont="1" applyFill="1" applyBorder="1" applyAlignment="1" applyProtection="1">
      <alignment horizontal="right" wrapText="1"/>
    </xf>
    <xf numFmtId="0" fontId="8" fillId="3" borderId="0" xfId="0" applyFont="1" applyFill="1" applyBorder="1" applyAlignment="1" applyProtection="1">
      <alignment horizontal="right" vertical="center"/>
    </xf>
    <xf numFmtId="0" fontId="8" fillId="3" borderId="0" xfId="0" applyFont="1" applyFill="1" applyBorder="1" applyAlignment="1" applyProtection="1"/>
    <xf numFmtId="0" fontId="11" fillId="3" borderId="0" xfId="0" applyFont="1" applyFill="1" applyBorder="1" applyAlignment="1" applyProtection="1"/>
    <xf numFmtId="0" fontId="8" fillId="3" borderId="0" xfId="0" applyFont="1" applyFill="1" applyBorder="1" applyAlignment="1" applyProtection="1">
      <alignment horizontal="center"/>
    </xf>
    <xf numFmtId="43" fontId="8" fillId="3" borderId="0" xfId="1" applyFont="1" applyFill="1" applyBorder="1" applyProtection="1"/>
    <xf numFmtId="172" fontId="11" fillId="3" borderId="0" xfId="0" applyNumberFormat="1" applyFont="1" applyFill="1" applyProtection="1"/>
    <xf numFmtId="166" fontId="7" fillId="3" borderId="0" xfId="0" applyNumberFormat="1" applyFont="1" applyFill="1" applyBorder="1" applyAlignment="1" applyProtection="1">
      <alignment horizontal="left" vertical="center"/>
    </xf>
    <xf numFmtId="166" fontId="7" fillId="3" borderId="0" xfId="0" applyNumberFormat="1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horizontal="left"/>
    </xf>
    <xf numFmtId="43" fontId="8" fillId="3" borderId="0" xfId="0" applyNumberFormat="1" applyFont="1" applyFill="1" applyBorder="1" applyProtection="1"/>
    <xf numFmtId="166" fontId="8" fillId="3" borderId="0" xfId="0" applyNumberFormat="1" applyFont="1" applyFill="1" applyBorder="1" applyAlignment="1" applyProtection="1">
      <alignment horizontal="left" vertical="center"/>
    </xf>
    <xf numFmtId="10" fontId="8" fillId="3" borderId="0" xfId="4" applyNumberFormat="1" applyFont="1" applyFill="1" applyBorder="1" applyAlignment="1" applyProtection="1">
      <alignment vertical="center"/>
    </xf>
    <xf numFmtId="171" fontId="11" fillId="3" borderId="0" xfId="4" applyNumberFormat="1" applyFont="1" applyFill="1" applyAlignment="1" applyProtection="1">
      <alignment vertical="center"/>
    </xf>
    <xf numFmtId="4" fontId="11" fillId="3" borderId="0" xfId="0" applyNumberFormat="1" applyFont="1" applyFill="1" applyAlignment="1" applyProtection="1">
      <alignment vertical="center"/>
    </xf>
    <xf numFmtId="0" fontId="7" fillId="3" borderId="0" xfId="0" applyFont="1" applyFill="1" applyBorder="1" applyAlignment="1" applyProtection="1">
      <alignment vertical="center"/>
    </xf>
    <xf numFmtId="4" fontId="7" fillId="3" borderId="0" xfId="0" applyNumberFormat="1" applyFont="1" applyFill="1" applyBorder="1" applyAlignment="1" applyProtection="1">
      <alignment vertical="center"/>
    </xf>
    <xf numFmtId="4" fontId="10" fillId="3" borderId="0" xfId="0" applyNumberFormat="1" applyFont="1" applyFill="1" applyBorder="1" applyAlignment="1" applyProtection="1">
      <alignment vertical="center"/>
    </xf>
    <xf numFmtId="0" fontId="13" fillId="3" borderId="0" xfId="0" applyFont="1" applyFill="1" applyBorder="1" applyAlignment="1" applyProtection="1">
      <alignment horizontal="center"/>
    </xf>
    <xf numFmtId="0" fontId="14" fillId="3" borderId="0" xfId="0" applyFont="1" applyFill="1" applyBorder="1" applyAlignment="1" applyProtection="1">
      <alignment horizontal="center" vertical="center"/>
    </xf>
    <xf numFmtId="0" fontId="15" fillId="3" borderId="0" xfId="0" applyFont="1" applyFill="1" applyBorder="1" applyProtection="1"/>
    <xf numFmtId="0" fontId="8" fillId="2" borderId="1" xfId="0" applyFont="1" applyFill="1" applyBorder="1" applyAlignment="1" applyProtection="1">
      <alignment vertical="center"/>
    </xf>
    <xf numFmtId="0" fontId="8" fillId="2" borderId="2" xfId="0" applyFont="1" applyFill="1" applyBorder="1" applyAlignment="1" applyProtection="1">
      <alignment vertical="center"/>
    </xf>
    <xf numFmtId="0" fontId="8" fillId="0" borderId="0" xfId="0" applyFont="1" applyBorder="1" applyAlignment="1" applyProtection="1">
      <alignment vertical="center"/>
    </xf>
    <xf numFmtId="0" fontId="8" fillId="0" borderId="3" xfId="0" applyFont="1" applyBorder="1" applyAlignment="1" applyProtection="1">
      <alignment vertical="center"/>
    </xf>
    <xf numFmtId="0" fontId="8" fillId="0" borderId="4" xfId="0" applyFont="1" applyBorder="1" applyAlignment="1" applyProtection="1">
      <alignment vertical="center"/>
    </xf>
    <xf numFmtId="0" fontId="8" fillId="0" borderId="5" xfId="0" applyFont="1" applyBorder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7" fillId="0" borderId="0" xfId="0" applyFont="1" applyAlignment="1" applyProtection="1">
      <alignment vertical="center"/>
    </xf>
    <xf numFmtId="9" fontId="8" fillId="0" borderId="0" xfId="4" applyFont="1" applyAlignment="1" applyProtection="1">
      <alignment vertical="center"/>
    </xf>
    <xf numFmtId="0" fontId="11" fillId="3" borderId="0" xfId="0" applyFont="1" applyFill="1" applyAlignment="1" applyProtection="1">
      <alignment vertical="center"/>
    </xf>
    <xf numFmtId="0" fontId="10" fillId="3" borderId="0" xfId="0" applyFont="1" applyFill="1" applyAlignment="1" applyProtection="1">
      <alignment horizontal="right" vertical="center"/>
    </xf>
    <xf numFmtId="0" fontId="10" fillId="3" borderId="0" xfId="0" applyFont="1" applyFill="1" applyAlignment="1" applyProtection="1">
      <alignment horizontal="center" vertical="center"/>
    </xf>
    <xf numFmtId="169" fontId="10" fillId="3" borderId="0" xfId="0" applyNumberFormat="1" applyFont="1" applyFill="1" applyAlignment="1" applyProtection="1">
      <alignment horizontal="right" vertical="center"/>
    </xf>
    <xf numFmtId="0" fontId="11" fillId="3" borderId="0" xfId="0" applyFont="1" applyFill="1" applyAlignment="1" applyProtection="1">
      <alignment horizontal="left" vertical="center"/>
    </xf>
    <xf numFmtId="0" fontId="11" fillId="3" borderId="0" xfId="0" applyFont="1" applyFill="1" applyAlignment="1" applyProtection="1">
      <alignment horizontal="center" vertical="center"/>
    </xf>
    <xf numFmtId="0" fontId="28" fillId="3" borderId="0" xfId="0" applyFont="1" applyFill="1" applyBorder="1" applyProtection="1"/>
    <xf numFmtId="0" fontId="30" fillId="3" borderId="0" xfId="0" applyFont="1" applyFill="1" applyProtection="1"/>
    <xf numFmtId="0" fontId="0" fillId="4" borderId="0" xfId="0" applyFill="1"/>
    <xf numFmtId="0" fontId="9" fillId="3" borderId="0" xfId="0" applyFont="1" applyFill="1" applyBorder="1" applyAlignment="1" applyProtection="1">
      <alignment vertical="center"/>
    </xf>
    <xf numFmtId="0" fontId="8" fillId="3" borderId="0" xfId="0" applyFont="1" applyFill="1" applyBorder="1" applyAlignment="1"/>
    <xf numFmtId="0" fontId="0" fillId="0" borderId="0" xfId="0" applyBorder="1"/>
    <xf numFmtId="0" fontId="5" fillId="3" borderId="0" xfId="0" applyFont="1" applyFill="1" applyAlignment="1">
      <alignment wrapText="1"/>
    </xf>
    <xf numFmtId="0" fontId="5" fillId="3" borderId="0" xfId="0" applyFont="1" applyFill="1" applyBorder="1" applyAlignment="1">
      <alignment wrapText="1"/>
    </xf>
    <xf numFmtId="0" fontId="6" fillId="3" borderId="0" xfId="0" applyFont="1" applyFill="1" applyAlignment="1">
      <alignment horizontal="left" wrapText="1"/>
    </xf>
    <xf numFmtId="0" fontId="6" fillId="3" borderId="0" xfId="0" applyFont="1" applyFill="1" applyAlignment="1">
      <alignment wrapText="1"/>
    </xf>
    <xf numFmtId="169" fontId="23" fillId="3" borderId="0" xfId="0" applyNumberFormat="1" applyFont="1" applyFill="1" applyAlignment="1" applyProtection="1">
      <alignment horizontal="center" vertical="center"/>
    </xf>
    <xf numFmtId="0" fontId="42" fillId="3" borderId="0" xfId="0" applyFont="1" applyFill="1" applyProtection="1"/>
    <xf numFmtId="0" fontId="8" fillId="3" borderId="0" xfId="0" applyFont="1" applyFill="1" applyAlignment="1" applyProtection="1">
      <alignment vertical="top"/>
    </xf>
    <xf numFmtId="43" fontId="6" fillId="0" borderId="0" xfId="1" applyFont="1" applyFill="1" applyBorder="1" applyAlignment="1" applyProtection="1">
      <alignment horizontal="center" vertical="center"/>
    </xf>
    <xf numFmtId="0" fontId="5" fillId="0" borderId="0" xfId="0" applyFont="1" applyFill="1" applyAlignment="1" applyProtection="1">
      <alignment vertical="center"/>
    </xf>
    <xf numFmtId="0" fontId="4" fillId="0" borderId="0" xfId="0" applyFont="1"/>
    <xf numFmtId="0" fontId="6" fillId="0" borderId="0" xfId="0" applyFont="1"/>
    <xf numFmtId="0" fontId="45" fillId="0" borderId="0" xfId="0" applyFont="1" applyAlignment="1">
      <alignment horizontal="left" vertical="center"/>
    </xf>
    <xf numFmtId="0" fontId="8" fillId="0" borderId="0" xfId="0" applyFont="1" applyFill="1" applyProtection="1"/>
    <xf numFmtId="0" fontId="4" fillId="0" borderId="0" xfId="0" applyFont="1" applyFill="1" applyBorder="1" applyAlignment="1" applyProtection="1">
      <alignment vertical="center"/>
    </xf>
    <xf numFmtId="0" fontId="24" fillId="0" borderId="0" xfId="0" applyFont="1" applyFill="1" applyAlignment="1" applyProtection="1"/>
    <xf numFmtId="0" fontId="7" fillId="0" borderId="0" xfId="0" applyFont="1" applyFill="1" applyAlignment="1" applyProtection="1">
      <alignment horizontal="left" wrapText="1"/>
    </xf>
    <xf numFmtId="4" fontId="4" fillId="0" borderId="0" xfId="0" applyNumberFormat="1" applyFont="1" applyFill="1" applyBorder="1" applyAlignment="1">
      <alignment horizontal="center" vertical="center"/>
    </xf>
    <xf numFmtId="9" fontId="4" fillId="0" borderId="0" xfId="4" applyFont="1" applyFill="1" applyBorder="1" applyAlignment="1">
      <alignment horizontal="right" vertical="center"/>
    </xf>
    <xf numFmtId="4" fontId="4" fillId="0" borderId="0" xfId="0" applyNumberFormat="1" applyFont="1" applyFill="1" applyBorder="1" applyAlignment="1">
      <alignment vertical="center"/>
    </xf>
    <xf numFmtId="2" fontId="4" fillId="0" borderId="0" xfId="0" applyNumberFormat="1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39" fontId="4" fillId="0" borderId="0" xfId="0" applyNumberFormat="1" applyFont="1" applyFill="1" applyBorder="1" applyAlignment="1" applyProtection="1">
      <alignment vertical="center"/>
    </xf>
    <xf numFmtId="0" fontId="6" fillId="0" borderId="0" xfId="0" applyFont="1" applyFill="1" applyBorder="1" applyAlignment="1">
      <alignment vertical="center"/>
    </xf>
    <xf numFmtId="0" fontId="50" fillId="0" borderId="0" xfId="3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 vertical="center"/>
    </xf>
    <xf numFmtId="170" fontId="4" fillId="0" borderId="0" xfId="1" applyNumberFormat="1" applyFont="1" applyFill="1" applyBorder="1" applyAlignment="1">
      <alignment vertical="center"/>
    </xf>
    <xf numFmtId="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170" fontId="51" fillId="0" borderId="0" xfId="1" applyNumberFormat="1" applyFont="1" applyFill="1" applyBorder="1"/>
    <xf numFmtId="43" fontId="51" fillId="0" borderId="0" xfId="1" applyFont="1" applyFill="1" applyBorder="1"/>
    <xf numFmtId="10" fontId="4" fillId="0" borderId="0" xfId="4" applyNumberFormat="1" applyFont="1" applyFill="1" applyBorder="1" applyAlignment="1">
      <alignment vertical="center"/>
    </xf>
    <xf numFmtId="43" fontId="4" fillId="0" borderId="0" xfId="1" applyFont="1" applyFill="1" applyBorder="1" applyAlignment="1">
      <alignment vertical="center"/>
    </xf>
    <xf numFmtId="4" fontId="6" fillId="0" borderId="0" xfId="0" applyNumberFormat="1" applyFont="1" applyFill="1" applyBorder="1" applyAlignment="1">
      <alignment horizontal="center" vertical="center"/>
    </xf>
    <xf numFmtId="3" fontId="4" fillId="0" borderId="0" xfId="0" applyNumberFormat="1" applyFont="1" applyFill="1" applyBorder="1" applyAlignment="1">
      <alignment horizontal="center" vertical="center"/>
    </xf>
    <xf numFmtId="9" fontId="4" fillId="0" borderId="0" xfId="4" applyFont="1" applyFill="1" applyBorder="1" applyAlignment="1">
      <alignment horizontal="center" vertical="center"/>
    </xf>
    <xf numFmtId="170" fontId="4" fillId="0" borderId="0" xfId="0" applyNumberFormat="1" applyFont="1" applyFill="1" applyBorder="1" applyAlignment="1">
      <alignment vertical="center"/>
    </xf>
    <xf numFmtId="10" fontId="4" fillId="0" borderId="0" xfId="0" applyNumberFormat="1" applyFont="1" applyFill="1" applyBorder="1" applyAlignment="1">
      <alignment horizontal="center" vertical="center"/>
    </xf>
    <xf numFmtId="9" fontId="4" fillId="0" borderId="0" xfId="4" applyFont="1" applyFill="1" applyBorder="1" applyAlignment="1">
      <alignment horizontal="right"/>
    </xf>
    <xf numFmtId="43" fontId="4" fillId="0" borderId="0" xfId="1" applyFont="1" applyFill="1" applyBorder="1"/>
    <xf numFmtId="170" fontId="4" fillId="0" borderId="0" xfId="1" applyNumberFormat="1" applyFont="1" applyFill="1" applyBorder="1" applyAlignment="1">
      <alignment horizontal="center" vertical="center"/>
    </xf>
    <xf numFmtId="43" fontId="4" fillId="0" borderId="0" xfId="1" applyFont="1" applyFill="1" applyBorder="1" applyAlignment="1">
      <alignment horizontal="center" vertical="center"/>
    </xf>
    <xf numFmtId="4" fontId="4" fillId="0" borderId="0" xfId="4" applyNumberFormat="1" applyFont="1" applyFill="1" applyBorder="1" applyAlignment="1">
      <alignment horizontal="right"/>
    </xf>
    <xf numFmtId="0" fontId="4" fillId="0" borderId="0" xfId="0" applyFont="1" applyFill="1" applyBorder="1"/>
    <xf numFmtId="0" fontId="6" fillId="0" borderId="0" xfId="0" applyFont="1" applyFill="1" applyBorder="1" applyAlignment="1" applyProtection="1">
      <alignment horizontal="left" vertical="center"/>
    </xf>
    <xf numFmtId="2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left" vertical="center"/>
    </xf>
    <xf numFmtId="9" fontId="4" fillId="0" borderId="0" xfId="0" applyNumberFormat="1" applyFont="1" applyFill="1" applyBorder="1" applyAlignment="1">
      <alignment horizontal="right" vertical="center"/>
    </xf>
    <xf numFmtId="3" fontId="4" fillId="0" borderId="0" xfId="0" applyNumberFormat="1" applyFont="1" applyFill="1" applyBorder="1" applyAlignment="1">
      <alignment horizontal="right" vertical="center"/>
    </xf>
    <xf numFmtId="4" fontId="4" fillId="0" borderId="0" xfId="0" applyNumberFormat="1" applyFont="1" applyFill="1" applyBorder="1"/>
    <xf numFmtId="0" fontId="4" fillId="0" borderId="0" xfId="0" applyFont="1" applyFill="1" applyBorder="1" applyAlignment="1" applyProtection="1">
      <alignment horizontal="centerContinuous" vertical="center"/>
    </xf>
    <xf numFmtId="43" fontId="6" fillId="0" borderId="0" xfId="0" applyNumberFormat="1" applyFont="1" applyFill="1" applyBorder="1" applyAlignment="1" applyProtection="1">
      <alignment horizontal="center" vertical="center"/>
    </xf>
    <xf numFmtId="3" fontId="6" fillId="0" borderId="0" xfId="0" applyNumberFormat="1" applyFont="1" applyFill="1" applyBorder="1" applyAlignment="1">
      <alignment horizontal="center" vertical="center"/>
    </xf>
    <xf numFmtId="4" fontId="4" fillId="5" borderId="0" xfId="0" applyNumberFormat="1" applyFont="1" applyFill="1" applyBorder="1" applyAlignment="1">
      <alignment horizontal="center" vertical="center"/>
    </xf>
    <xf numFmtId="4" fontId="4" fillId="0" borderId="15" xfId="0" applyNumberFormat="1" applyFont="1" applyFill="1" applyBorder="1" applyAlignment="1">
      <alignment horizontal="center" vertical="center"/>
    </xf>
    <xf numFmtId="170" fontId="4" fillId="5" borderId="24" xfId="1" applyNumberFormat="1" applyFont="1" applyFill="1" applyBorder="1" applyAlignment="1">
      <alignment vertical="center"/>
    </xf>
    <xf numFmtId="4" fontId="4" fillId="5" borderId="15" xfId="0" applyNumberFormat="1" applyFont="1" applyFill="1" applyBorder="1" applyAlignment="1">
      <alignment horizontal="center" vertical="center"/>
    </xf>
    <xf numFmtId="4" fontId="4" fillId="5" borderId="26" xfId="0" applyNumberFormat="1" applyFont="1" applyFill="1" applyBorder="1" applyAlignment="1">
      <alignment horizontal="center" vertical="center"/>
    </xf>
    <xf numFmtId="9" fontId="4" fillId="0" borderId="24" xfId="1" applyNumberFormat="1" applyFont="1" applyFill="1" applyBorder="1" applyAlignment="1">
      <alignment vertical="center"/>
    </xf>
    <xf numFmtId="9" fontId="4" fillId="5" borderId="25" xfId="1" applyNumberFormat="1" applyFont="1" applyFill="1" applyBorder="1" applyAlignment="1">
      <alignment vertical="center"/>
    </xf>
    <xf numFmtId="9" fontId="4" fillId="0" borderId="24" xfId="1" applyNumberFormat="1" applyFont="1" applyFill="1" applyBorder="1" applyAlignment="1">
      <alignment horizontal="center" vertical="center"/>
    </xf>
    <xf numFmtId="9" fontId="4" fillId="5" borderId="24" xfId="1" applyNumberFormat="1" applyFont="1" applyFill="1" applyBorder="1" applyAlignment="1">
      <alignment horizontal="center" vertical="center"/>
    </xf>
    <xf numFmtId="9" fontId="4" fillId="5" borderId="25" xfId="1" applyNumberFormat="1" applyFont="1" applyFill="1" applyBorder="1" applyAlignment="1">
      <alignment horizontal="center" vertical="center"/>
    </xf>
    <xf numFmtId="0" fontId="4" fillId="0" borderId="24" xfId="1" applyNumberFormat="1" applyFont="1" applyFill="1" applyBorder="1" applyAlignment="1">
      <alignment horizontal="center" vertical="center"/>
    </xf>
    <xf numFmtId="0" fontId="4" fillId="5" borderId="24" xfId="1" applyNumberFormat="1" applyFont="1" applyFill="1" applyBorder="1" applyAlignment="1">
      <alignment horizontal="center" vertical="center"/>
    </xf>
    <xf numFmtId="3" fontId="4" fillId="0" borderId="24" xfId="1" applyNumberFormat="1" applyFont="1" applyFill="1" applyBorder="1" applyAlignment="1">
      <alignment horizontal="center" vertical="center"/>
    </xf>
    <xf numFmtId="3" fontId="4" fillId="5" borderId="24" xfId="1" applyNumberFormat="1" applyFont="1" applyFill="1" applyBorder="1" applyAlignment="1">
      <alignment horizontal="center" vertical="center"/>
    </xf>
    <xf numFmtId="4" fontId="4" fillId="0" borderId="26" xfId="0" applyNumberFormat="1" applyFont="1" applyFill="1" applyBorder="1" applyAlignment="1">
      <alignment horizontal="center" vertical="center"/>
    </xf>
    <xf numFmtId="168" fontId="4" fillId="0" borderId="15" xfId="0" applyNumberFormat="1" applyFont="1" applyFill="1" applyBorder="1" applyAlignment="1">
      <alignment horizontal="center" vertical="center"/>
    </xf>
    <xf numFmtId="168" fontId="4" fillId="5" borderId="15" xfId="0" applyNumberFormat="1" applyFont="1" applyFill="1" applyBorder="1" applyAlignment="1">
      <alignment horizontal="center" vertical="center"/>
    </xf>
    <xf numFmtId="9" fontId="4" fillId="0" borderId="13" xfId="1" applyNumberFormat="1" applyFont="1" applyFill="1" applyBorder="1" applyAlignment="1">
      <alignment vertical="center"/>
    </xf>
    <xf numFmtId="9" fontId="4" fillId="5" borderId="14" xfId="1" applyNumberFormat="1" applyFont="1" applyFill="1" applyBorder="1" applyAlignment="1">
      <alignment vertical="center"/>
    </xf>
    <xf numFmtId="4" fontId="4" fillId="0" borderId="11" xfId="0" applyNumberFormat="1" applyFont="1" applyFill="1" applyBorder="1" applyAlignment="1">
      <alignment horizontal="center" vertical="center"/>
    </xf>
    <xf numFmtId="0" fontId="8" fillId="0" borderId="0" xfId="0" applyFont="1" applyFill="1" applyAlignment="1" applyProtection="1"/>
    <xf numFmtId="0" fontId="19" fillId="0" borderId="0" xfId="0" applyFont="1" applyFill="1" applyBorder="1" applyAlignment="1" applyProtection="1">
      <alignment horizontal="center" vertical="center"/>
    </xf>
    <xf numFmtId="168" fontId="4" fillId="5" borderId="26" xfId="0" applyNumberFormat="1" applyFont="1" applyFill="1" applyBorder="1" applyAlignment="1">
      <alignment horizontal="center" vertical="center"/>
    </xf>
    <xf numFmtId="43" fontId="32" fillId="5" borderId="0" xfId="1" applyFont="1" applyFill="1" applyBorder="1" applyAlignment="1" applyProtection="1">
      <alignment horizontal="center" vertical="center"/>
      <protection locked="0"/>
    </xf>
    <xf numFmtId="6" fontId="32" fillId="5" borderId="0" xfId="1" applyNumberFormat="1" applyFont="1" applyFill="1" applyBorder="1" applyAlignment="1" applyProtection="1">
      <alignment horizontal="center" vertical="center"/>
      <protection locked="0"/>
    </xf>
    <xf numFmtId="6" fontId="32" fillId="5" borderId="0" xfId="2" applyNumberFormat="1" applyFont="1" applyFill="1" applyBorder="1" applyAlignment="1" applyProtection="1">
      <alignment horizontal="center" vertical="center"/>
      <protection locked="0"/>
    </xf>
    <xf numFmtId="9" fontId="32" fillId="5" borderId="0" xfId="4" applyFont="1" applyFill="1" applyBorder="1" applyAlignment="1" applyProtection="1">
      <alignment horizontal="center" vertical="center"/>
      <protection locked="0"/>
    </xf>
    <xf numFmtId="176" fontId="32" fillId="5" borderId="0" xfId="2" applyNumberFormat="1" applyFont="1" applyFill="1" applyBorder="1" applyAlignment="1" applyProtection="1">
      <alignment horizontal="center" vertical="center"/>
      <protection locked="0"/>
    </xf>
    <xf numFmtId="6" fontId="4" fillId="5" borderId="8" xfId="1" applyNumberFormat="1" applyFont="1" applyFill="1" applyBorder="1" applyAlignment="1">
      <alignment horizontal="center" vertical="center"/>
    </xf>
    <xf numFmtId="3" fontId="4" fillId="0" borderId="8" xfId="1" applyNumberFormat="1" applyFont="1" applyFill="1" applyBorder="1" applyAlignment="1">
      <alignment horizontal="center" vertical="center"/>
    </xf>
    <xf numFmtId="6" fontId="4" fillId="0" borderId="8" xfId="1" applyNumberFormat="1" applyFont="1" applyFill="1" applyBorder="1" applyAlignment="1">
      <alignment horizontal="center" vertical="center"/>
    </xf>
    <xf numFmtId="10" fontId="4" fillId="5" borderId="0" xfId="4" applyNumberFormat="1" applyFont="1" applyFill="1" applyBorder="1" applyAlignment="1">
      <alignment vertical="center"/>
    </xf>
    <xf numFmtId="0" fontId="4" fillId="5" borderId="0" xfId="0" applyFont="1" applyFill="1" applyBorder="1" applyAlignment="1" applyProtection="1">
      <alignment horizontal="left" vertical="center"/>
    </xf>
    <xf numFmtId="0" fontId="4" fillId="0" borderId="24" xfId="0" applyFont="1" applyFill="1" applyBorder="1" applyAlignment="1">
      <alignment vertical="center"/>
    </xf>
    <xf numFmtId="43" fontId="4" fillId="0" borderId="15" xfId="1" applyFont="1" applyFill="1" applyBorder="1" applyAlignment="1">
      <alignment vertical="center"/>
    </xf>
    <xf numFmtId="0" fontId="4" fillId="5" borderId="24" xfId="0" applyFont="1" applyFill="1" applyBorder="1" applyAlignment="1">
      <alignment vertical="center"/>
    </xf>
    <xf numFmtId="43" fontId="4" fillId="5" borderId="15" xfId="1" applyFont="1" applyFill="1" applyBorder="1" applyAlignment="1">
      <alignment vertical="center"/>
    </xf>
    <xf numFmtId="0" fontId="4" fillId="0" borderId="25" xfId="0" applyFont="1" applyFill="1" applyBorder="1" applyAlignment="1">
      <alignment vertical="center"/>
    </xf>
    <xf numFmtId="10" fontId="4" fillId="0" borderId="11" xfId="4" applyNumberFormat="1" applyFont="1" applyFill="1" applyBorder="1" applyAlignment="1">
      <alignment vertical="center"/>
    </xf>
    <xf numFmtId="43" fontId="4" fillId="0" borderId="26" xfId="1" applyFont="1" applyFill="1" applyBorder="1" applyAlignment="1">
      <alignment vertical="center"/>
    </xf>
    <xf numFmtId="0" fontId="4" fillId="0" borderId="24" xfId="0" applyFont="1" applyFill="1" applyBorder="1" applyAlignment="1" applyProtection="1">
      <alignment horizontal="left" vertical="center"/>
    </xf>
    <xf numFmtId="0" fontId="4" fillId="5" borderId="24" xfId="0" applyFont="1" applyFill="1" applyBorder="1" applyAlignment="1" applyProtection="1">
      <alignment horizontal="left" vertical="center"/>
    </xf>
    <xf numFmtId="0" fontId="4" fillId="5" borderId="25" xfId="0" applyFont="1" applyFill="1" applyBorder="1" applyAlignment="1">
      <alignment vertical="center"/>
    </xf>
    <xf numFmtId="8" fontId="4" fillId="0" borderId="26" xfId="4" applyNumberFormat="1" applyFont="1" applyFill="1" applyBorder="1" applyAlignment="1">
      <alignment vertical="center"/>
    </xf>
    <xf numFmtId="8" fontId="4" fillId="5" borderId="26" xfId="4" applyNumberFormat="1" applyFont="1" applyFill="1" applyBorder="1" applyAlignment="1">
      <alignment vertical="center"/>
    </xf>
    <xf numFmtId="8" fontId="4" fillId="0" borderId="15" xfId="4" applyNumberFormat="1" applyFont="1" applyFill="1" applyBorder="1" applyAlignment="1">
      <alignment vertical="center"/>
    </xf>
    <xf numFmtId="8" fontId="4" fillId="5" borderId="0" xfId="0" applyNumberFormat="1" applyFont="1" applyFill="1" applyBorder="1" applyProtection="1"/>
    <xf numFmtId="8" fontId="4" fillId="0" borderId="0" xfId="0" applyNumberFormat="1" applyFont="1" applyFill="1" applyBorder="1" applyAlignment="1">
      <alignment vertical="center"/>
    </xf>
    <xf numFmtId="4" fontId="4" fillId="0" borderId="0" xfId="4" applyNumberFormat="1" applyFont="1" applyFill="1" applyBorder="1" applyAlignment="1">
      <alignment horizontal="right" vertical="center"/>
    </xf>
    <xf numFmtId="8" fontId="4" fillId="0" borderId="0" xfId="4" applyNumberFormat="1" applyFont="1" applyFill="1" applyBorder="1" applyAlignment="1">
      <alignment vertical="center"/>
    </xf>
    <xf numFmtId="8" fontId="4" fillId="5" borderId="0" xfId="4" applyNumberFormat="1" applyFont="1" applyFill="1" applyBorder="1" applyAlignment="1">
      <alignment vertical="center"/>
    </xf>
    <xf numFmtId="8" fontId="4" fillId="5" borderId="11" xfId="4" applyNumberFormat="1" applyFont="1" applyFill="1" applyBorder="1" applyAlignment="1">
      <alignment vertical="center"/>
    </xf>
    <xf numFmtId="8" fontId="4" fillId="5" borderId="0" xfId="0" applyNumberFormat="1" applyFont="1" applyFill="1" applyBorder="1" applyAlignment="1">
      <alignment vertical="center"/>
    </xf>
    <xf numFmtId="8" fontId="22" fillId="0" borderId="9" xfId="0" applyNumberFormat="1" applyFont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left" vertical="center"/>
    </xf>
    <xf numFmtId="4" fontId="4" fillId="0" borderId="24" xfId="0" applyNumberFormat="1" applyFont="1" applyFill="1" applyBorder="1" applyAlignment="1">
      <alignment horizontal="left" vertical="center"/>
    </xf>
    <xf numFmtId="4" fontId="4" fillId="0" borderId="25" xfId="0" applyNumberFormat="1" applyFont="1" applyFill="1" applyBorder="1" applyAlignment="1">
      <alignment horizontal="left" vertical="center"/>
    </xf>
    <xf numFmtId="4" fontId="4" fillId="5" borderId="24" xfId="0" applyNumberFormat="1" applyFont="1" applyFill="1" applyBorder="1" applyAlignment="1">
      <alignment horizontal="left" vertical="center"/>
    </xf>
    <xf numFmtId="8" fontId="4" fillId="5" borderId="15" xfId="4" applyNumberFormat="1" applyFont="1" applyFill="1" applyBorder="1" applyAlignment="1">
      <alignment vertical="center"/>
    </xf>
    <xf numFmtId="8" fontId="4" fillId="5" borderId="11" xfId="0" applyNumberFormat="1" applyFont="1" applyFill="1" applyBorder="1" applyAlignment="1">
      <alignment vertical="center"/>
    </xf>
    <xf numFmtId="0" fontId="5" fillId="0" borderId="0" xfId="0" applyFont="1" applyFill="1" applyAlignment="1" applyProtection="1">
      <alignment horizontal="center" vertical="center"/>
    </xf>
    <xf numFmtId="175" fontId="5" fillId="0" borderId="0" xfId="0" applyNumberFormat="1" applyFont="1" applyFill="1" applyBorder="1" applyAlignment="1" applyProtection="1">
      <alignment horizontal="left" vertical="center"/>
    </xf>
    <xf numFmtId="43" fontId="4" fillId="5" borderId="0" xfId="1" applyFont="1" applyFill="1" applyBorder="1" applyAlignment="1">
      <alignment vertical="center"/>
    </xf>
    <xf numFmtId="43" fontId="4" fillId="5" borderId="11" xfId="1" applyFont="1" applyFill="1" applyBorder="1" applyAlignment="1">
      <alignment vertical="center"/>
    </xf>
    <xf numFmtId="0" fontId="6" fillId="0" borderId="22" xfId="0" applyFont="1" applyFill="1" applyBorder="1" applyAlignment="1">
      <alignment vertical="center"/>
    </xf>
    <xf numFmtId="0" fontId="4" fillId="0" borderId="10" xfId="0" applyFont="1" applyFill="1" applyBorder="1" applyAlignment="1">
      <alignment vertical="center"/>
    </xf>
    <xf numFmtId="0" fontId="4" fillId="0" borderId="23" xfId="0" applyFont="1" applyFill="1" applyBorder="1" applyAlignment="1">
      <alignment vertical="center"/>
    </xf>
    <xf numFmtId="8" fontId="4" fillId="0" borderId="24" xfId="4" applyNumberFormat="1" applyFont="1" applyFill="1" applyBorder="1" applyAlignment="1">
      <alignment vertical="center"/>
    </xf>
    <xf numFmtId="8" fontId="4" fillId="5" borderId="24" xfId="4" applyNumberFormat="1" applyFont="1" applyFill="1" applyBorder="1" applyAlignment="1">
      <alignment vertical="center"/>
    </xf>
    <xf numFmtId="8" fontId="4" fillId="5" borderId="25" xfId="4" applyNumberFormat="1" applyFont="1" applyFill="1" applyBorder="1" applyAlignment="1">
      <alignment vertical="center"/>
    </xf>
    <xf numFmtId="0" fontId="10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center" vertical="center"/>
    </xf>
    <xf numFmtId="0" fontId="8" fillId="3" borderId="0" xfId="0" applyFont="1" applyFill="1" applyBorder="1" applyAlignment="1" applyProtection="1">
      <alignment vertical="center"/>
    </xf>
    <xf numFmtId="0" fontId="7" fillId="3" borderId="0" xfId="0" applyFont="1" applyFill="1" applyBorder="1" applyAlignment="1" applyProtection="1">
      <alignment horizontal="left" vertical="center"/>
    </xf>
    <xf numFmtId="0" fontId="36" fillId="3" borderId="0" xfId="0" applyFont="1" applyFill="1" applyAlignment="1">
      <alignment horizontal="center" wrapText="1"/>
    </xf>
    <xf numFmtId="0" fontId="8" fillId="3" borderId="0" xfId="0" applyFont="1" applyFill="1" applyAlignment="1">
      <alignment horizontal="left" wrapText="1"/>
    </xf>
    <xf numFmtId="0" fontId="11" fillId="4" borderId="0" xfId="0" applyFont="1" applyFill="1" applyProtection="1"/>
    <xf numFmtId="177" fontId="8" fillId="3" borderId="0" xfId="0" applyNumberFormat="1" applyFont="1" applyFill="1" applyAlignment="1" applyProtection="1">
      <alignment vertical="center"/>
    </xf>
    <xf numFmtId="0" fontId="53" fillId="3" borderId="0" xfId="0" applyFont="1" applyFill="1" applyAlignment="1" applyProtection="1">
      <alignment vertical="top"/>
    </xf>
    <xf numFmtId="0" fontId="19" fillId="7" borderId="27" xfId="0" applyFont="1" applyFill="1" applyBorder="1" applyAlignment="1" applyProtection="1">
      <alignment horizontal="center" vertical="center" wrapText="1"/>
    </xf>
    <xf numFmtId="0" fontId="7" fillId="3" borderId="33" xfId="0" applyFont="1" applyFill="1" applyBorder="1" applyAlignment="1" applyProtection="1">
      <alignment vertical="center"/>
      <protection locked="0"/>
    </xf>
    <xf numFmtId="0" fontId="8" fillId="3" borderId="33" xfId="0" applyFont="1" applyFill="1" applyBorder="1" applyAlignment="1" applyProtection="1">
      <alignment horizontal="center" vertical="center"/>
      <protection locked="0"/>
    </xf>
    <xf numFmtId="0" fontId="4" fillId="8" borderId="0" xfId="0" applyFont="1" applyFill="1" applyBorder="1" applyAlignment="1">
      <alignment vertical="center"/>
    </xf>
    <xf numFmtId="0" fontId="29" fillId="7" borderId="22" xfId="0" applyFont="1" applyFill="1" applyBorder="1" applyAlignment="1">
      <alignment horizontal="center" vertical="center"/>
    </xf>
    <xf numFmtId="0" fontId="29" fillId="7" borderId="10" xfId="0" applyFont="1" applyFill="1" applyBorder="1" applyAlignment="1">
      <alignment horizontal="center" vertical="center"/>
    </xf>
    <xf numFmtId="0" fontId="29" fillId="7" borderId="23" xfId="0" applyFont="1" applyFill="1" applyBorder="1" applyAlignment="1">
      <alignment horizontal="center" vertical="center"/>
    </xf>
    <xf numFmtId="0" fontId="29" fillId="7" borderId="8" xfId="0" applyFont="1" applyFill="1" applyBorder="1" applyAlignment="1">
      <alignment horizontal="center" vertical="center"/>
    </xf>
    <xf numFmtId="0" fontId="29" fillId="7" borderId="6" xfId="0" applyFont="1" applyFill="1" applyBorder="1" applyAlignment="1">
      <alignment horizontal="center" vertical="center"/>
    </xf>
    <xf numFmtId="0" fontId="29" fillId="7" borderId="7" xfId="0" applyFont="1" applyFill="1" applyBorder="1" applyAlignment="1">
      <alignment horizontal="center" vertical="center"/>
    </xf>
    <xf numFmtId="0" fontId="29" fillId="7" borderId="12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horizontal="left" vertical="center"/>
    </xf>
    <xf numFmtId="0" fontId="29" fillId="7" borderId="0" xfId="0" applyFont="1" applyFill="1" applyBorder="1" applyAlignment="1">
      <alignment horizontal="center" vertical="center"/>
    </xf>
    <xf numFmtId="0" fontId="29" fillId="7" borderId="22" xfId="0" applyFont="1" applyFill="1" applyBorder="1" applyAlignment="1">
      <alignment vertical="center"/>
    </xf>
    <xf numFmtId="0" fontId="29" fillId="7" borderId="23" xfId="0" applyFont="1" applyFill="1" applyBorder="1" applyAlignment="1">
      <alignment vertical="center"/>
    </xf>
    <xf numFmtId="0" fontId="29" fillId="7" borderId="0" xfId="0" applyFont="1" applyFill="1" applyBorder="1" applyAlignment="1">
      <alignment vertical="center"/>
    </xf>
    <xf numFmtId="0" fontId="52" fillId="7" borderId="0" xfId="0" applyFont="1" applyFill="1" applyAlignment="1">
      <alignment horizontal="center" vertical="center"/>
    </xf>
    <xf numFmtId="0" fontId="7" fillId="0" borderId="0" xfId="0" quotePrefix="1" applyFont="1" applyFill="1" applyAlignment="1" applyProtection="1">
      <alignment horizontal="right" vertical="center"/>
    </xf>
    <xf numFmtId="0" fontId="7" fillId="3" borderId="33" xfId="0" applyFont="1" applyFill="1" applyBorder="1" applyAlignment="1" applyProtection="1">
      <alignment horizontal="left"/>
    </xf>
    <xf numFmtId="165" fontId="8" fillId="3" borderId="33" xfId="2" applyNumberFormat="1" applyFont="1" applyFill="1" applyBorder="1" applyAlignment="1" applyProtection="1">
      <alignment vertical="center"/>
    </xf>
    <xf numFmtId="44" fontId="8" fillId="3" borderId="33" xfId="2" applyFont="1" applyFill="1" applyBorder="1" applyAlignment="1" applyProtection="1">
      <alignment horizontal="right" vertical="center"/>
    </xf>
    <xf numFmtId="44" fontId="8" fillId="3" borderId="33" xfId="2" applyFont="1" applyFill="1" applyBorder="1" applyAlignment="1" applyProtection="1">
      <alignment vertical="center"/>
    </xf>
    <xf numFmtId="0" fontId="28" fillId="3" borderId="33" xfId="0" applyFont="1" applyFill="1" applyBorder="1" applyAlignment="1" applyProtection="1">
      <alignment horizontal="left"/>
    </xf>
    <xf numFmtId="0" fontId="4" fillId="9" borderId="0" xfId="0" applyFont="1" applyFill="1" applyBorder="1" applyAlignment="1">
      <alignment vertical="center"/>
    </xf>
    <xf numFmtId="0" fontId="4" fillId="0" borderId="25" xfId="1" applyNumberFormat="1" applyFont="1" applyFill="1" applyBorder="1" applyAlignment="1">
      <alignment horizontal="center" vertical="center"/>
    </xf>
    <xf numFmtId="0" fontId="6" fillId="9" borderId="0" xfId="0" applyFont="1" applyFill="1" applyBorder="1" applyAlignment="1">
      <alignment horizontal="left" vertical="center"/>
    </xf>
    <xf numFmtId="0" fontId="6" fillId="8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170" fontId="4" fillId="0" borderId="0" xfId="1" applyNumberFormat="1" applyFont="1" applyFill="1" applyBorder="1" applyAlignment="1" applyProtection="1">
      <alignment vertical="center"/>
    </xf>
    <xf numFmtId="0" fontId="4" fillId="0" borderId="0" xfId="0" applyFont="1" applyFill="1" applyBorder="1" applyAlignment="1">
      <alignment horizontal="left" vertical="center"/>
    </xf>
    <xf numFmtId="0" fontId="0" fillId="9" borderId="0" xfId="0" applyFill="1"/>
    <xf numFmtId="0" fontId="11" fillId="4" borderId="0" xfId="0" applyFont="1" applyFill="1" applyBorder="1" applyAlignment="1" applyProtection="1">
      <alignment vertical="center"/>
    </xf>
    <xf numFmtId="0" fontId="11" fillId="4" borderId="0" xfId="0" applyFont="1" applyFill="1" applyBorder="1" applyAlignment="1" applyProtection="1">
      <alignment horizontal="left" vertical="center"/>
    </xf>
    <xf numFmtId="0" fontId="11" fillId="4" borderId="0" xfId="0" applyFont="1" applyFill="1" applyBorder="1" applyAlignment="1" applyProtection="1">
      <alignment horizontal="center" vertical="center"/>
    </xf>
    <xf numFmtId="0" fontId="29" fillId="7" borderId="8" xfId="0" applyFont="1" applyFill="1" applyBorder="1" applyAlignment="1" applyProtection="1">
      <alignment horizontal="left" vertical="center"/>
    </xf>
    <xf numFmtId="0" fontId="4" fillId="4" borderId="8" xfId="0" applyFont="1" applyFill="1" applyBorder="1" applyAlignment="1" applyProtection="1">
      <alignment horizontal="left" vertical="center"/>
    </xf>
    <xf numFmtId="0" fontId="4" fillId="5" borderId="8" xfId="0" applyFont="1" applyFill="1" applyBorder="1" applyAlignment="1" applyProtection="1">
      <alignment horizontal="left" vertical="center"/>
    </xf>
    <xf numFmtId="9" fontId="4" fillId="4" borderId="24" xfId="1" applyNumberFormat="1" applyFont="1" applyFill="1" applyBorder="1" applyAlignment="1">
      <alignment horizontal="center" vertical="center"/>
    </xf>
    <xf numFmtId="9" fontId="4" fillId="4" borderId="25" xfId="1" applyNumberFormat="1" applyFont="1" applyFill="1" applyBorder="1" applyAlignment="1">
      <alignment horizontal="center" vertical="center"/>
    </xf>
    <xf numFmtId="3" fontId="4" fillId="5" borderId="25" xfId="1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 applyProtection="1">
      <alignment horizontal="center" vertical="center"/>
    </xf>
    <xf numFmtId="168" fontId="4" fillId="0" borderId="0" xfId="0" applyNumberFormat="1" applyFont="1" applyFill="1" applyBorder="1" applyAlignment="1">
      <alignment horizontal="center" vertical="center"/>
    </xf>
    <xf numFmtId="168" fontId="4" fillId="5" borderId="0" xfId="0" applyNumberFormat="1" applyFont="1" applyFill="1" applyBorder="1" applyAlignment="1">
      <alignment horizontal="center" vertical="center"/>
    </xf>
    <xf numFmtId="170" fontId="4" fillId="0" borderId="24" xfId="1" applyNumberFormat="1" applyFont="1" applyFill="1" applyBorder="1" applyAlignment="1">
      <alignment vertical="center"/>
    </xf>
    <xf numFmtId="170" fontId="4" fillId="0" borderId="25" xfId="1" applyNumberFormat="1" applyFont="1" applyFill="1" applyBorder="1" applyAlignment="1">
      <alignment vertical="center"/>
    </xf>
    <xf numFmtId="168" fontId="4" fillId="0" borderId="11" xfId="0" applyNumberFormat="1" applyFont="1" applyFill="1" applyBorder="1" applyAlignment="1">
      <alignment horizontal="center" vertical="center"/>
    </xf>
    <xf numFmtId="168" fontId="4" fillId="0" borderId="26" xfId="0" applyNumberFormat="1" applyFont="1" applyFill="1" applyBorder="1" applyAlignment="1">
      <alignment horizontal="center" vertical="center"/>
    </xf>
    <xf numFmtId="0" fontId="61" fillId="0" borderId="0" xfId="0" applyFont="1" applyAlignment="1">
      <alignment horizontal="center" vertical="center"/>
    </xf>
    <xf numFmtId="3" fontId="61" fillId="0" borderId="24" xfId="0" applyNumberFormat="1" applyFont="1" applyBorder="1" applyAlignment="1">
      <alignment horizontal="center" vertical="center"/>
    </xf>
    <xf numFmtId="0" fontId="29" fillId="7" borderId="34" xfId="0" applyFont="1" applyFill="1" applyBorder="1" applyAlignment="1">
      <alignment horizontal="center" vertical="center"/>
    </xf>
    <xf numFmtId="0" fontId="60" fillId="0" borderId="6" xfId="0" applyFont="1" applyBorder="1" applyAlignment="1">
      <alignment horizontal="center" vertical="center"/>
    </xf>
    <xf numFmtId="170" fontId="62" fillId="0" borderId="7" xfId="1" applyNumberFormat="1" applyFont="1" applyBorder="1" applyAlignment="1">
      <alignment horizontal="center" vertical="center"/>
    </xf>
    <xf numFmtId="39" fontId="6" fillId="0" borderId="34" xfId="0" applyNumberFormat="1" applyFont="1" applyFill="1" applyBorder="1" applyAlignment="1" applyProtection="1">
      <alignment vertical="center"/>
    </xf>
    <xf numFmtId="3" fontId="61" fillId="5" borderId="24" xfId="0" applyNumberFormat="1" applyFont="1" applyFill="1" applyBorder="1" applyAlignment="1">
      <alignment horizontal="center" vertical="center"/>
    </xf>
    <xf numFmtId="0" fontId="53" fillId="3" borderId="0" xfId="0" applyFont="1" applyFill="1" applyAlignment="1" applyProtection="1">
      <alignment horizontal="left" vertical="top"/>
    </xf>
    <xf numFmtId="0" fontId="4" fillId="5" borderId="25" xfId="1" applyNumberFormat="1" applyFont="1" applyFill="1" applyBorder="1" applyAlignment="1">
      <alignment horizontal="center" vertical="center"/>
    </xf>
    <xf numFmtId="0" fontId="4" fillId="5" borderId="25" xfId="0" applyFont="1" applyFill="1" applyBorder="1" applyAlignment="1" applyProtection="1">
      <alignment horizontal="left" vertical="center"/>
    </xf>
    <xf numFmtId="0" fontId="29" fillId="7" borderId="12" xfId="0" applyFont="1" applyFill="1" applyBorder="1" applyAlignment="1">
      <alignment vertical="center"/>
    </xf>
    <xf numFmtId="0" fontId="4" fillId="0" borderId="13" xfId="0" applyFont="1" applyFill="1" applyBorder="1" applyAlignment="1">
      <alignment vertical="center"/>
    </xf>
    <xf numFmtId="0" fontId="4" fillId="5" borderId="14" xfId="0" applyFont="1" applyFill="1" applyBorder="1" applyAlignment="1">
      <alignment vertical="center"/>
    </xf>
    <xf numFmtId="9" fontId="4" fillId="0" borderId="0" xfId="0" applyNumberFormat="1" applyFont="1" applyFill="1" applyBorder="1" applyAlignment="1" applyProtection="1">
      <alignment vertical="center"/>
    </xf>
    <xf numFmtId="9" fontId="4" fillId="4" borderId="0" xfId="1" applyNumberFormat="1" applyFont="1" applyFill="1" applyBorder="1" applyAlignment="1">
      <alignment horizontal="left" vertical="center"/>
    </xf>
    <xf numFmtId="9" fontId="4" fillId="5" borderId="0" xfId="1" applyNumberFormat="1" applyFont="1" applyFill="1" applyBorder="1" applyAlignment="1">
      <alignment horizontal="left" vertical="center"/>
    </xf>
    <xf numFmtId="0" fontId="63" fillId="7" borderId="39" xfId="0" applyFont="1" applyFill="1" applyBorder="1" applyAlignment="1">
      <alignment horizontal="center" vertical="center"/>
    </xf>
    <xf numFmtId="0" fontId="63" fillId="7" borderId="40" xfId="0" applyFont="1" applyFill="1" applyBorder="1" applyAlignment="1">
      <alignment horizontal="center" vertical="center"/>
    </xf>
    <xf numFmtId="0" fontId="63" fillId="7" borderId="41" xfId="0" applyFont="1" applyFill="1" applyBorder="1" applyAlignment="1">
      <alignment horizontal="center" vertical="center"/>
    </xf>
    <xf numFmtId="9" fontId="4" fillId="4" borderId="36" xfId="1" applyNumberFormat="1" applyFont="1" applyFill="1" applyBorder="1" applyAlignment="1">
      <alignment horizontal="left" vertical="center"/>
    </xf>
    <xf numFmtId="0" fontId="64" fillId="0" borderId="37" xfId="0" applyFont="1" applyBorder="1" applyAlignment="1">
      <alignment horizontal="center" vertical="center"/>
    </xf>
    <xf numFmtId="9" fontId="4" fillId="4" borderId="42" xfId="1" applyNumberFormat="1" applyFont="1" applyFill="1" applyBorder="1" applyAlignment="1">
      <alignment horizontal="left" vertical="center"/>
    </xf>
    <xf numFmtId="9" fontId="4" fillId="4" borderId="38" xfId="1" applyNumberFormat="1" applyFont="1" applyFill="1" applyBorder="1" applyAlignment="1">
      <alignment horizontal="left" vertical="center"/>
    </xf>
    <xf numFmtId="0" fontId="64" fillId="4" borderId="35" xfId="0" applyFont="1" applyFill="1" applyBorder="1" applyAlignment="1">
      <alignment horizontal="center" vertical="center"/>
    </xf>
    <xf numFmtId="0" fontId="64" fillId="5" borderId="35" xfId="0" applyFont="1" applyFill="1" applyBorder="1" applyAlignment="1">
      <alignment horizontal="center" vertical="center"/>
    </xf>
    <xf numFmtId="9" fontId="4" fillId="5" borderId="36" xfId="1" applyNumberFormat="1" applyFont="1" applyFill="1" applyBorder="1" applyAlignment="1">
      <alignment horizontal="left" vertical="center"/>
    </xf>
    <xf numFmtId="4" fontId="4" fillId="0" borderId="15" xfId="4" applyNumberFormat="1" applyFont="1" applyFill="1" applyBorder="1" applyAlignment="1">
      <alignment vertical="center"/>
    </xf>
    <xf numFmtId="4" fontId="4" fillId="5" borderId="26" xfId="4" applyNumberFormat="1" applyFont="1" applyFill="1" applyBorder="1" applyAlignment="1">
      <alignment vertical="center"/>
    </xf>
    <xf numFmtId="8" fontId="4" fillId="0" borderId="8" xfId="2" applyNumberFormat="1" applyFont="1" applyFill="1" applyBorder="1" applyAlignment="1">
      <alignment horizontal="center" vertical="center"/>
    </xf>
    <xf numFmtId="8" fontId="4" fillId="5" borderId="8" xfId="2" applyNumberFormat="1" applyFont="1" applyFill="1" applyBorder="1" applyAlignment="1">
      <alignment horizontal="center" vertical="center"/>
    </xf>
    <xf numFmtId="0" fontId="6" fillId="4" borderId="0" xfId="0" applyFont="1" applyFill="1" applyBorder="1" applyAlignment="1">
      <alignment vertical="center"/>
    </xf>
    <xf numFmtId="0" fontId="29" fillId="7" borderId="43" xfId="6" applyFont="1" applyFill="1" applyBorder="1" applyAlignment="1">
      <alignment horizontal="center" vertical="center"/>
    </xf>
    <xf numFmtId="0" fontId="29" fillId="7" borderId="44" xfId="6" applyFont="1" applyFill="1" applyBorder="1" applyAlignment="1">
      <alignment horizontal="center" vertical="center"/>
    </xf>
    <xf numFmtId="9" fontId="4" fillId="5" borderId="45" xfId="7" applyNumberFormat="1" applyFont="1" applyFill="1" applyBorder="1" applyAlignment="1">
      <alignment vertical="center"/>
    </xf>
    <xf numFmtId="4" fontId="4" fillId="5" borderId="46" xfId="6" applyNumberFormat="1" applyFont="1" applyFill="1" applyBorder="1" applyAlignment="1">
      <alignment horizontal="center" vertical="center"/>
    </xf>
    <xf numFmtId="9" fontId="4" fillId="4" borderId="35" xfId="7" applyNumberFormat="1" applyFont="1" applyFill="1" applyBorder="1" applyAlignment="1">
      <alignment vertical="center"/>
    </xf>
    <xf numFmtId="4" fontId="4" fillId="4" borderId="36" xfId="6" applyNumberFormat="1" applyFont="1" applyFill="1" applyBorder="1" applyAlignment="1">
      <alignment horizontal="center" vertical="center"/>
    </xf>
    <xf numFmtId="9" fontId="4" fillId="5" borderId="35" xfId="7" applyNumberFormat="1" applyFont="1" applyFill="1" applyBorder="1" applyAlignment="1">
      <alignment vertical="center"/>
    </xf>
    <xf numFmtId="4" fontId="4" fillId="5" borderId="36" xfId="6" applyNumberFormat="1" applyFont="1" applyFill="1" applyBorder="1" applyAlignment="1">
      <alignment horizontal="center" vertical="center"/>
    </xf>
    <xf numFmtId="9" fontId="4" fillId="4" borderId="37" xfId="7" applyNumberFormat="1" applyFont="1" applyFill="1" applyBorder="1" applyAlignment="1">
      <alignment vertical="center"/>
    </xf>
    <xf numFmtId="4" fontId="4" fillId="4" borderId="38" xfId="6" applyNumberFormat="1" applyFont="1" applyFill="1" applyBorder="1" applyAlignment="1">
      <alignment horizontal="center" vertical="center"/>
    </xf>
    <xf numFmtId="0" fontId="60" fillId="0" borderId="0" xfId="0" applyFont="1" applyFill="1" applyAlignment="1">
      <alignment horizontal="center" vertical="center"/>
    </xf>
    <xf numFmtId="8" fontId="4" fillId="5" borderId="15" xfId="0" applyNumberFormat="1" applyFont="1" applyFill="1" applyBorder="1" applyAlignment="1">
      <alignment horizontal="center" vertical="center"/>
    </xf>
    <xf numFmtId="171" fontId="61" fillId="5" borderId="0" xfId="4" quotePrefix="1" applyNumberFormat="1" applyFont="1" applyFill="1" applyBorder="1" applyAlignment="1">
      <alignment horizontal="center" vertical="center"/>
    </xf>
    <xf numFmtId="43" fontId="61" fillId="5" borderId="15" xfId="0" quotePrefix="1" applyNumberFormat="1" applyFont="1" applyFill="1" applyBorder="1" applyAlignment="1">
      <alignment horizontal="center" vertical="center"/>
    </xf>
    <xf numFmtId="8" fontId="4" fillId="0" borderId="15" xfId="0" applyNumberFormat="1" applyFont="1" applyFill="1" applyBorder="1" applyAlignment="1">
      <alignment horizontal="center" vertical="center"/>
    </xf>
    <xf numFmtId="171" fontId="61" fillId="0" borderId="0" xfId="13" applyNumberFormat="1" applyFont="1" applyBorder="1" applyAlignment="1">
      <alignment horizontal="center" vertical="center"/>
    </xf>
    <xf numFmtId="171" fontId="61" fillId="5" borderId="0" xfId="13" applyNumberFormat="1" applyFont="1" applyFill="1" applyBorder="1" applyAlignment="1">
      <alignment horizontal="center" vertical="center"/>
    </xf>
    <xf numFmtId="171" fontId="61" fillId="4" borderId="0" xfId="13" applyNumberFormat="1" applyFont="1" applyFill="1" applyBorder="1" applyAlignment="1">
      <alignment horizontal="center" vertical="center"/>
    </xf>
    <xf numFmtId="0" fontId="29" fillId="7" borderId="22" xfId="58" applyFont="1" applyFill="1" applyBorder="1" applyAlignment="1">
      <alignment horizontal="center" vertical="center"/>
    </xf>
    <xf numFmtId="0" fontId="29" fillId="7" borderId="10" xfId="58" applyFont="1" applyFill="1" applyBorder="1" applyAlignment="1">
      <alignment horizontal="center" vertical="center"/>
    </xf>
    <xf numFmtId="0" fontId="29" fillId="7" borderId="23" xfId="58" applyFont="1" applyFill="1" applyBorder="1" applyAlignment="1">
      <alignment horizontal="center" vertical="center"/>
    </xf>
    <xf numFmtId="0" fontId="2" fillId="0" borderId="35" xfId="54" applyBorder="1"/>
    <xf numFmtId="0" fontId="2" fillId="41" borderId="35" xfId="54" applyFill="1" applyBorder="1"/>
    <xf numFmtId="0" fontId="2" fillId="0" borderId="39" xfId="54" applyBorder="1"/>
    <xf numFmtId="0" fontId="2" fillId="0" borderId="37" xfId="54" applyFill="1" applyBorder="1"/>
    <xf numFmtId="8" fontId="4" fillId="0" borderId="0" xfId="0" applyNumberFormat="1" applyFont="1" applyFill="1" applyBorder="1" applyProtection="1"/>
    <xf numFmtId="0" fontId="8" fillId="0" borderId="0" xfId="0" applyFont="1" applyAlignment="1">
      <alignment vertical="center"/>
    </xf>
    <xf numFmtId="0" fontId="8" fillId="0" borderId="19" xfId="0" applyFont="1" applyBorder="1" applyAlignment="1">
      <alignment horizontal="center" vertical="center"/>
    </xf>
    <xf numFmtId="43" fontId="7" fillId="0" borderId="33" xfId="0" applyNumberFormat="1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33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2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8" fillId="0" borderId="0" xfId="0" applyFont="1"/>
    <xf numFmtId="0" fontId="7" fillId="0" borderId="0" xfId="0" applyFont="1" applyBorder="1" applyAlignment="1">
      <alignment vertical="center"/>
    </xf>
    <xf numFmtId="178" fontId="23" fillId="0" borderId="0" xfId="0" applyNumberFormat="1" applyFont="1" applyAlignment="1">
      <alignment horizontal="left" vertical="top"/>
    </xf>
    <xf numFmtId="0" fontId="23" fillId="0" borderId="0" xfId="0" applyFont="1" applyBorder="1" applyAlignment="1">
      <alignment vertical="center"/>
    </xf>
    <xf numFmtId="0" fontId="23" fillId="0" borderId="0" xfId="0" applyFont="1" applyAlignment="1">
      <alignment horizontal="left" vertical="center"/>
    </xf>
    <xf numFmtId="0" fontId="8" fillId="0" borderId="0" xfId="0" applyFont="1" applyBorder="1" applyAlignment="1">
      <alignment vertical="center"/>
    </xf>
    <xf numFmtId="176" fontId="23" fillId="0" borderId="0" xfId="2" applyNumberFormat="1" applyFont="1" applyAlignment="1" applyProtection="1">
      <alignment vertical="center"/>
    </xf>
    <xf numFmtId="10" fontId="23" fillId="0" borderId="0" xfId="4" applyNumberFormat="1" applyFont="1" applyAlignment="1" applyProtection="1">
      <alignment vertical="center"/>
    </xf>
    <xf numFmtId="0" fontId="8" fillId="0" borderId="0" xfId="0" applyFont="1" applyFill="1" applyBorder="1" applyAlignment="1">
      <alignment vertical="center"/>
    </xf>
    <xf numFmtId="0" fontId="26" fillId="7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8" fontId="0" fillId="0" borderId="0" xfId="0" applyNumberFormat="1"/>
    <xf numFmtId="8" fontId="0" fillId="42" borderId="0" xfId="0" applyNumberFormat="1" applyFill="1"/>
    <xf numFmtId="0" fontId="0" fillId="0" borderId="0" xfId="0" applyFill="1" applyAlignment="1">
      <alignment horizontal="center"/>
    </xf>
    <xf numFmtId="0" fontId="0" fillId="0" borderId="0" xfId="0" applyFill="1"/>
    <xf numFmtId="44" fontId="4" fillId="0" borderId="0" xfId="0" applyNumberFormat="1" applyFont="1" applyFill="1" applyBorder="1" applyAlignment="1" applyProtection="1">
      <alignment horizontal="centerContinuous" vertical="center"/>
    </xf>
    <xf numFmtId="0" fontId="29" fillId="7" borderId="41" xfId="6" applyFont="1" applyFill="1" applyBorder="1" applyAlignment="1">
      <alignment horizontal="center" vertical="center"/>
    </xf>
    <xf numFmtId="0" fontId="8" fillId="3" borderId="0" xfId="0" applyFont="1" applyFill="1" applyBorder="1" applyAlignment="1" applyProtection="1">
      <alignment vertical="center"/>
    </xf>
    <xf numFmtId="0" fontId="7" fillId="0" borderId="0" xfId="0" applyFont="1" applyFill="1" applyBorder="1" applyAlignment="1">
      <alignment horizontal="right" vertical="center"/>
    </xf>
    <xf numFmtId="4" fontId="7" fillId="0" borderId="0" xfId="0" applyNumberFormat="1" applyFont="1" applyFill="1" applyBorder="1" applyAlignment="1">
      <alignment vertical="center"/>
    </xf>
    <xf numFmtId="0" fontId="42" fillId="3" borderId="0" xfId="0" applyFont="1" applyFill="1" applyProtection="1">
      <protection hidden="1"/>
    </xf>
    <xf numFmtId="0" fontId="30" fillId="3" borderId="0" xfId="0" applyFont="1" applyFill="1" applyProtection="1">
      <protection hidden="1"/>
    </xf>
    <xf numFmtId="0" fontId="44" fillId="0" borderId="0" xfId="0" applyFont="1" applyFill="1" applyAlignment="1" applyProtection="1">
      <alignment horizontal="center" vertical="center" wrapText="1"/>
      <protection hidden="1"/>
    </xf>
    <xf numFmtId="0" fontId="30" fillId="4" borderId="0" xfId="0" applyFont="1" applyFill="1" applyProtection="1">
      <protection hidden="1"/>
    </xf>
    <xf numFmtId="0" fontId="8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7" fillId="4" borderId="0" xfId="0" applyFont="1" applyFill="1" applyBorder="1" applyAlignment="1" applyProtection="1">
      <alignment horizontal="left" vertical="center"/>
      <protection hidden="1"/>
    </xf>
    <xf numFmtId="0" fontId="20" fillId="4" borderId="0" xfId="0" applyFont="1" applyFill="1" applyBorder="1" applyAlignment="1" applyProtection="1">
      <alignment horizontal="center"/>
      <protection hidden="1"/>
    </xf>
    <xf numFmtId="0" fontId="7" fillId="0" borderId="0" xfId="0" applyFont="1" applyFill="1" applyBorder="1" applyAlignment="1" applyProtection="1">
      <alignment horizontal="left" vertical="center"/>
      <protection hidden="1"/>
    </xf>
    <xf numFmtId="0" fontId="11" fillId="3" borderId="0" xfId="0" applyFont="1" applyFill="1" applyBorder="1" applyProtection="1">
      <protection hidden="1"/>
    </xf>
    <xf numFmtId="0" fontId="11" fillId="0" borderId="0" xfId="0" applyFont="1" applyFill="1" applyProtection="1">
      <protection hidden="1"/>
    </xf>
    <xf numFmtId="0" fontId="11" fillId="4" borderId="0" xfId="0" applyFont="1" applyFill="1" applyProtection="1">
      <protection hidden="1"/>
    </xf>
    <xf numFmtId="0" fontId="7" fillId="3" borderId="0" xfId="0" applyFont="1" applyFill="1" applyProtection="1">
      <protection hidden="1"/>
    </xf>
    <xf numFmtId="0" fontId="10" fillId="0" borderId="0" xfId="0" applyFont="1" applyAlignment="1" applyProtection="1">
      <alignment vertical="center" wrapText="1"/>
      <protection hidden="1"/>
    </xf>
    <xf numFmtId="0" fontId="10" fillId="4" borderId="0" xfId="0" applyFont="1" applyFill="1" applyAlignment="1" applyProtection="1">
      <alignment vertical="center" wrapText="1"/>
      <protection hidden="1"/>
    </xf>
    <xf numFmtId="43" fontId="32" fillId="4" borderId="0" xfId="1" applyFont="1" applyFill="1" applyBorder="1" applyAlignment="1" applyProtection="1">
      <alignment horizontal="center" vertical="center"/>
      <protection hidden="1"/>
    </xf>
    <xf numFmtId="0" fontId="10" fillId="3" borderId="0" xfId="0" applyFont="1" applyFill="1" applyAlignment="1" applyProtection="1">
      <alignment horizontal="center" vertical="center" wrapText="1"/>
      <protection hidden="1"/>
    </xf>
    <xf numFmtId="44" fontId="11" fillId="3" borderId="0" xfId="0" applyNumberFormat="1" applyFont="1" applyFill="1" applyProtection="1">
      <protection hidden="1"/>
    </xf>
    <xf numFmtId="2" fontId="11" fillId="3" borderId="0" xfId="0" applyNumberFormat="1" applyFont="1" applyFill="1" applyProtection="1">
      <protection hidden="1"/>
    </xf>
    <xf numFmtId="2" fontId="10" fillId="3" borderId="0" xfId="0" applyNumberFormat="1" applyFont="1" applyFill="1" applyAlignment="1" applyProtection="1">
      <alignment horizontal="center" vertical="center" wrapText="1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43" fillId="4" borderId="0" xfId="0" applyFont="1" applyFill="1" applyAlignment="1" applyProtection="1">
      <alignment horizontal="left" vertical="center" wrapText="1"/>
      <protection hidden="1"/>
    </xf>
    <xf numFmtId="0" fontId="10" fillId="3" borderId="0" xfId="0" applyFont="1" applyFill="1" applyBorder="1" applyAlignment="1" applyProtection="1">
      <alignment horizontal="center" vertical="center" wrapText="1"/>
      <protection hidden="1"/>
    </xf>
    <xf numFmtId="0" fontId="10" fillId="4" borderId="0" xfId="0" applyFont="1" applyFill="1" applyAlignment="1" applyProtection="1">
      <alignment horizontal="center" vertical="center" wrapText="1"/>
      <protection hidden="1"/>
    </xf>
    <xf numFmtId="43" fontId="28" fillId="3" borderId="0" xfId="1" applyFont="1" applyFill="1" applyBorder="1" applyAlignment="1" applyProtection="1">
      <alignment horizontal="left" vertical="center"/>
      <protection hidden="1"/>
    </xf>
    <xf numFmtId="43" fontId="31" fillId="3" borderId="0" xfId="1" applyFont="1" applyFill="1" applyBorder="1" applyAlignment="1" applyProtection="1">
      <alignment horizontal="center" vertical="center"/>
      <protection hidden="1"/>
    </xf>
    <xf numFmtId="0" fontId="11" fillId="4" borderId="0" xfId="0" applyFont="1" applyFill="1" applyBorder="1" applyProtection="1">
      <protection hidden="1"/>
    </xf>
    <xf numFmtId="0" fontId="43" fillId="4" borderId="0" xfId="0" applyFont="1" applyFill="1" applyAlignment="1" applyProtection="1">
      <alignment horizontal="center" vertical="center"/>
      <protection hidden="1"/>
    </xf>
    <xf numFmtId="165" fontId="11" fillId="4" borderId="0" xfId="0" applyNumberFormat="1" applyFont="1" applyFill="1" applyBorder="1" applyAlignment="1" applyProtection="1">
      <alignment horizontal="center"/>
      <protection hidden="1"/>
    </xf>
    <xf numFmtId="9" fontId="11" fillId="4" borderId="0" xfId="4" applyFont="1" applyFill="1" applyProtection="1">
      <protection hidden="1"/>
    </xf>
    <xf numFmtId="0" fontId="28" fillId="3" borderId="0" xfId="0" applyFont="1" applyFill="1" applyBorder="1" applyProtection="1">
      <protection hidden="1"/>
    </xf>
    <xf numFmtId="0" fontId="33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protection hidden="1"/>
    </xf>
    <xf numFmtId="0" fontId="10" fillId="3" borderId="0" xfId="0" applyFont="1" applyFill="1" applyAlignment="1" applyProtection="1">
      <alignment horizontal="center"/>
      <protection hidden="1"/>
    </xf>
    <xf numFmtId="10" fontId="0" fillId="0" borderId="0" xfId="4" applyNumberFormat="1" applyFont="1" applyProtection="1">
      <protection hidden="1"/>
    </xf>
    <xf numFmtId="0" fontId="11" fillId="3" borderId="0" xfId="0" applyFont="1" applyFill="1" applyBorder="1" applyAlignment="1" applyProtection="1">
      <alignment horizontal="center"/>
      <protection hidden="1"/>
    </xf>
    <xf numFmtId="43" fontId="11" fillId="3" borderId="0" xfId="1" applyFont="1" applyFill="1" applyProtection="1">
      <protection hidden="1"/>
    </xf>
    <xf numFmtId="43" fontId="11" fillId="3" borderId="0" xfId="0" applyNumberFormat="1" applyFont="1" applyFill="1" applyProtection="1">
      <protection hidden="1"/>
    </xf>
    <xf numFmtId="43" fontId="32" fillId="5" borderId="0" xfId="1" applyFont="1" applyFill="1" applyBorder="1" applyAlignment="1" applyProtection="1">
      <alignment horizontal="center" vertical="center"/>
      <protection hidden="1"/>
    </xf>
    <xf numFmtId="9" fontId="32" fillId="0" borderId="0" xfId="4" applyFont="1" applyFill="1" applyBorder="1" applyAlignment="1" applyProtection="1">
      <alignment horizontal="center" vertical="center"/>
      <protection hidden="1"/>
    </xf>
    <xf numFmtId="9" fontId="32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7" borderId="28" xfId="0" applyFont="1" applyFill="1" applyBorder="1" applyAlignment="1" applyProtection="1">
      <alignment horizontal="center" vertical="center"/>
      <protection hidden="1"/>
    </xf>
    <xf numFmtId="0" fontId="19" fillId="7" borderId="27" xfId="0" applyFont="1" applyFill="1" applyBorder="1" applyAlignment="1" applyProtection="1">
      <alignment horizontal="center" vertical="center" wrapText="1"/>
      <protection hidden="1"/>
    </xf>
    <xf numFmtId="0" fontId="7" fillId="3" borderId="33" xfId="0" applyFont="1" applyFill="1" applyBorder="1" applyAlignment="1" applyProtection="1">
      <alignment vertical="center"/>
      <protection hidden="1"/>
    </xf>
    <xf numFmtId="0" fontId="7" fillId="3" borderId="17" xfId="0" applyFont="1" applyFill="1" applyBorder="1" applyAlignment="1" applyProtection="1">
      <alignment horizontal="left"/>
      <protection hidden="1"/>
    </xf>
    <xf numFmtId="165" fontId="8" fillId="3" borderId="17" xfId="2" applyNumberFormat="1" applyFont="1" applyFill="1" applyBorder="1" applyAlignment="1" applyProtection="1">
      <alignment vertical="center"/>
      <protection hidden="1"/>
    </xf>
    <xf numFmtId="165" fontId="7" fillId="5" borderId="17" xfId="2" applyNumberFormat="1" applyFont="1" applyFill="1" applyBorder="1" applyAlignment="1" applyProtection="1">
      <alignment vertical="center"/>
      <protection hidden="1"/>
    </xf>
    <xf numFmtId="0" fontId="34" fillId="3" borderId="17" xfId="0" applyFont="1" applyFill="1" applyBorder="1" applyAlignment="1" applyProtection="1">
      <alignment horizontal="left" vertical="center"/>
      <protection hidden="1"/>
    </xf>
    <xf numFmtId="171" fontId="55" fillId="3" borderId="17" xfId="4" applyNumberFormat="1" applyFont="1" applyFill="1" applyBorder="1" applyProtection="1">
      <protection hidden="1"/>
    </xf>
    <xf numFmtId="0" fontId="19" fillId="7" borderId="31" xfId="0" applyFont="1" applyFill="1" applyBorder="1" applyAlignment="1" applyProtection="1">
      <alignment horizontal="center" vertical="center"/>
      <protection hidden="1"/>
    </xf>
    <xf numFmtId="43" fontId="0" fillId="0" borderId="0" xfId="0" applyNumberFormat="1" applyAlignment="1">
      <alignment horizontal="left"/>
    </xf>
    <xf numFmtId="9" fontId="0" fillId="0" borderId="0" xfId="0" applyNumberFormat="1" applyAlignment="1">
      <alignment horizontal="left"/>
    </xf>
    <xf numFmtId="179" fontId="4" fillId="0" borderId="15" xfId="0" applyNumberFormat="1" applyFont="1" applyFill="1" applyBorder="1" applyAlignment="1">
      <alignment horizontal="center" vertical="center"/>
    </xf>
    <xf numFmtId="179" fontId="4" fillId="5" borderId="15" xfId="0" applyNumberFormat="1" applyFont="1" applyFill="1" applyBorder="1" applyAlignment="1">
      <alignment horizontal="center" vertical="center"/>
    </xf>
    <xf numFmtId="180" fontId="4" fillId="3" borderId="15" xfId="0" applyNumberFormat="1" applyFont="1" applyFill="1" applyBorder="1" applyProtection="1"/>
    <xf numFmtId="180" fontId="4" fillId="5" borderId="15" xfId="0" applyNumberFormat="1" applyFont="1" applyFill="1" applyBorder="1" applyProtection="1"/>
    <xf numFmtId="180" fontId="4" fillId="5" borderId="26" xfId="0" applyNumberFormat="1" applyFont="1" applyFill="1" applyBorder="1" applyProtection="1"/>
    <xf numFmtId="168" fontId="4" fillId="4" borderId="15" xfId="0" applyNumberFormat="1" applyFont="1" applyFill="1" applyBorder="1" applyAlignment="1">
      <alignment horizontal="center" vertical="center"/>
    </xf>
    <xf numFmtId="168" fontId="4" fillId="4" borderId="26" xfId="0" applyNumberFormat="1" applyFont="1" applyFill="1" applyBorder="1" applyAlignment="1">
      <alignment horizontal="center" vertical="center"/>
    </xf>
    <xf numFmtId="43" fontId="0" fillId="0" borderId="0" xfId="1" applyFont="1"/>
    <xf numFmtId="43" fontId="0" fillId="0" borderId="0" xfId="1" applyFont="1" applyFill="1"/>
    <xf numFmtId="8" fontId="0" fillId="0" borderId="0" xfId="1" applyNumberFormat="1" applyFont="1" applyFill="1"/>
    <xf numFmtId="8" fontId="0" fillId="0" borderId="0" xfId="1" applyNumberFormat="1" applyFont="1"/>
    <xf numFmtId="0" fontId="10" fillId="4" borderId="0" xfId="0" applyFont="1" applyFill="1" applyAlignment="1" applyProtection="1">
      <alignment horizontal="center" vertical="center"/>
      <protection hidden="1"/>
    </xf>
    <xf numFmtId="8" fontId="23" fillId="3" borderId="0" xfId="0" applyNumberFormat="1" applyFont="1" applyFill="1" applyProtection="1">
      <protection hidden="1"/>
    </xf>
    <xf numFmtId="8" fontId="23" fillId="4" borderId="0" xfId="0" applyNumberFormat="1" applyFont="1" applyFill="1" applyProtection="1">
      <protection hidden="1"/>
    </xf>
    <xf numFmtId="44" fontId="23" fillId="3" borderId="0" xfId="0" applyNumberFormat="1" applyFont="1" applyFill="1" applyProtection="1">
      <protection hidden="1"/>
    </xf>
    <xf numFmtId="44" fontId="11" fillId="4" borderId="0" xfId="0" applyNumberFormat="1" applyFont="1" applyFill="1" applyBorder="1" applyProtection="1">
      <protection hidden="1"/>
    </xf>
    <xf numFmtId="0" fontId="0" fillId="0" borderId="0" xfId="0" applyFill="1" applyBorder="1"/>
    <xf numFmtId="0" fontId="23" fillId="3" borderId="0" xfId="0" applyFont="1" applyFill="1" applyProtection="1">
      <protection hidden="1"/>
    </xf>
    <xf numFmtId="0" fontId="85" fillId="3" borderId="0" xfId="0" applyFont="1" applyFill="1" applyProtection="1">
      <protection hidden="1"/>
    </xf>
    <xf numFmtId="0" fontId="11" fillId="3" borderId="0" xfId="0" applyFont="1" applyFill="1" applyAlignment="1" applyProtection="1">
      <alignment vertical="center"/>
      <protection hidden="1"/>
    </xf>
    <xf numFmtId="0" fontId="11" fillId="3" borderId="0" xfId="0" applyFont="1" applyFill="1" applyAlignment="1" applyProtection="1">
      <alignment horizontal="left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7" fillId="0" borderId="0" xfId="0" quotePrefix="1" applyFont="1" applyFill="1" applyAlignment="1" applyProtection="1">
      <alignment horizontal="center" vertical="center"/>
      <protection hidden="1"/>
    </xf>
    <xf numFmtId="0" fontId="7" fillId="0" borderId="0" xfId="0" quotePrefix="1" applyFont="1" applyFill="1" applyAlignment="1" applyProtection="1">
      <alignment horizontal="right" vertical="center"/>
      <protection hidden="1"/>
    </xf>
    <xf numFmtId="0" fontId="5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horizontal="center" vertical="center"/>
      <protection hidden="1"/>
    </xf>
    <xf numFmtId="0" fontId="5" fillId="0" borderId="0" xfId="0" applyFont="1" applyFill="1" applyAlignment="1" applyProtection="1">
      <alignment vertical="center"/>
      <protection hidden="1"/>
    </xf>
    <xf numFmtId="175" fontId="5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5" fillId="0" borderId="0" xfId="0" applyFont="1" applyFill="1" applyAlignment="1" applyProtection="1">
      <alignment horizontal="left" vertical="center"/>
      <protection hidden="1"/>
    </xf>
    <xf numFmtId="9" fontId="5" fillId="0" borderId="0" xfId="0" applyNumberFormat="1" applyFont="1" applyFill="1" applyAlignment="1" applyProtection="1">
      <alignment horizontal="left" vertical="center"/>
      <protection hidden="1"/>
    </xf>
    <xf numFmtId="4" fontId="5" fillId="0" borderId="0" xfId="0" applyNumberFormat="1" applyFont="1" applyFill="1" applyAlignment="1" applyProtection="1">
      <alignment vertical="center"/>
      <protection hidden="1"/>
    </xf>
    <xf numFmtId="0" fontId="5" fillId="0" borderId="0" xfId="0" quotePrefix="1" applyFont="1" applyFill="1" applyAlignment="1" applyProtection="1">
      <alignment horizontal="left" vertical="center"/>
      <protection hidden="1"/>
    </xf>
    <xf numFmtId="0" fontId="6" fillId="0" borderId="0" xfId="0" applyFont="1" applyFill="1" applyAlignment="1" applyProtection="1">
      <alignment horizontal="center" vertical="center"/>
      <protection hidden="1"/>
    </xf>
    <xf numFmtId="9" fontId="4" fillId="0" borderId="0" xfId="0" applyNumberFormat="1" applyFont="1" applyFill="1" applyAlignment="1" applyProtection="1">
      <alignment horizontal="left" vertical="center"/>
      <protection hidden="1"/>
    </xf>
    <xf numFmtId="0" fontId="5" fillId="0" borderId="0" xfId="0" applyFont="1" applyFill="1" applyProtection="1">
      <protection hidden="1"/>
    </xf>
    <xf numFmtId="0" fontId="4" fillId="0" borderId="0" xfId="0" quotePrefix="1" applyFont="1" applyFill="1" applyAlignment="1" applyProtection="1">
      <alignment horizontal="left" vertical="center"/>
      <protection hidden="1"/>
    </xf>
    <xf numFmtId="44" fontId="5" fillId="0" borderId="0" xfId="2" applyFont="1" applyFill="1" applyBorder="1" applyAlignment="1" applyProtection="1">
      <alignment vertical="center"/>
      <protection hidden="1"/>
    </xf>
    <xf numFmtId="167" fontId="5" fillId="0" borderId="0" xfId="1" applyNumberFormat="1" applyFont="1" applyFill="1" applyBorder="1" applyAlignment="1" applyProtection="1">
      <alignment vertical="center"/>
      <protection hidden="1"/>
    </xf>
    <xf numFmtId="175" fontId="6" fillId="0" borderId="0" xfId="0" applyNumberFormat="1" applyFont="1" applyFill="1" applyBorder="1" applyAlignment="1" applyProtection="1">
      <alignment horizontal="left" vertical="center"/>
      <protection hidden="1"/>
    </xf>
    <xf numFmtId="0" fontId="5" fillId="0" borderId="0" xfId="0" applyFont="1" applyFill="1" applyBorder="1" applyAlignment="1" applyProtection="1">
      <alignment horizontal="left" vertical="center"/>
      <protection hidden="1"/>
    </xf>
    <xf numFmtId="9" fontId="4" fillId="0" borderId="0" xfId="4" applyFont="1" applyFill="1" applyBorder="1" applyAlignment="1" applyProtection="1">
      <alignment horizontal="left" vertical="center"/>
      <protection hidden="1"/>
    </xf>
    <xf numFmtId="164" fontId="4" fillId="0" borderId="0" xfId="0" applyNumberFormat="1" applyFont="1" applyFill="1" applyBorder="1" applyAlignment="1" applyProtection="1">
      <alignment horizontal="left" vertical="center"/>
      <protection hidden="1"/>
    </xf>
    <xf numFmtId="0" fontId="4" fillId="0" borderId="0" xfId="0" applyFont="1" applyFill="1" applyAlignment="1" applyProtection="1">
      <alignment vertical="center"/>
      <protection hidden="1"/>
    </xf>
    <xf numFmtId="0" fontId="4" fillId="3" borderId="0" xfId="0" quotePrefix="1" applyFont="1" applyFill="1" applyAlignment="1" applyProtection="1">
      <alignment horizontal="left" vertical="center"/>
      <protection hidden="1"/>
    </xf>
    <xf numFmtId="164" fontId="4" fillId="3" borderId="0" xfId="0" applyNumberFormat="1" applyFont="1" applyFill="1" applyBorder="1" applyAlignment="1" applyProtection="1">
      <alignment horizontal="left" vertical="center"/>
      <protection hidden="1"/>
    </xf>
    <xf numFmtId="0" fontId="49" fillId="0" borderId="0" xfId="0" applyFont="1" applyFill="1" applyAlignment="1" applyProtection="1">
      <alignment vertical="center"/>
      <protection hidden="1"/>
    </xf>
    <xf numFmtId="0" fontId="49" fillId="0" borderId="0" xfId="0" applyFont="1" applyFill="1" applyProtection="1"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7" fillId="3" borderId="0" xfId="0" quotePrefix="1" applyFont="1" applyFill="1" applyAlignment="1" applyProtection="1">
      <alignment horizontal="right" vertical="center"/>
      <protection hidden="1"/>
    </xf>
    <xf numFmtId="0" fontId="4" fillId="3" borderId="0" xfId="0" applyFont="1" applyFill="1" applyAlignment="1" applyProtection="1">
      <alignment horizontal="right" vertical="center"/>
      <protection hidden="1"/>
    </xf>
    <xf numFmtId="0" fontId="4" fillId="3" borderId="0" xfId="0" applyFont="1" applyFill="1" applyAlignment="1" applyProtection="1">
      <alignment vertical="center"/>
      <protection hidden="1"/>
    </xf>
    <xf numFmtId="0" fontId="4" fillId="3" borderId="0" xfId="0" applyFont="1" applyFill="1" applyBorder="1" applyAlignment="1" applyProtection="1">
      <alignment vertical="center"/>
      <protection hidden="1"/>
    </xf>
    <xf numFmtId="0" fontId="4" fillId="3" borderId="0" xfId="0" quotePrefix="1" applyFont="1" applyFill="1" applyAlignment="1" applyProtection="1">
      <alignment horizontal="right" vertical="center"/>
      <protection hidden="1"/>
    </xf>
    <xf numFmtId="0" fontId="4" fillId="0" borderId="0" xfId="0" applyFont="1" applyFill="1" applyAlignment="1" applyProtection="1">
      <alignment horizontal="left" vertical="center"/>
      <protection hidden="1"/>
    </xf>
    <xf numFmtId="0" fontId="5" fillId="3" borderId="0" xfId="0" applyFont="1" applyFill="1" applyAlignment="1" applyProtection="1">
      <alignment vertical="center"/>
      <protection hidden="1"/>
    </xf>
    <xf numFmtId="0" fontId="5" fillId="3" borderId="0" xfId="0" applyFont="1" applyFill="1" applyBorder="1" applyAlignment="1" applyProtection="1">
      <alignment vertical="center"/>
      <protection hidden="1"/>
    </xf>
    <xf numFmtId="0" fontId="16" fillId="3" borderId="0" xfId="0" applyFont="1" applyFill="1" applyBorder="1" applyAlignment="1" applyProtection="1">
      <alignment horizontal="right" wrapText="1"/>
      <protection hidden="1"/>
    </xf>
    <xf numFmtId="0" fontId="7" fillId="3" borderId="0" xfId="0" quotePrefix="1" applyFont="1" applyFill="1" applyAlignment="1" applyProtection="1">
      <alignment horizontal="center" vertical="center"/>
      <protection hidden="1"/>
    </xf>
    <xf numFmtId="0" fontId="5" fillId="3" borderId="0" xfId="0" quotePrefix="1" applyFont="1" applyFill="1" applyAlignment="1" applyProtection="1">
      <alignment horizontal="left" vertical="center"/>
      <protection hidden="1"/>
    </xf>
    <xf numFmtId="0" fontId="18" fillId="3" borderId="0" xfId="0" applyFont="1" applyFill="1" applyBorder="1" applyAlignment="1" applyProtection="1">
      <alignment horizontal="right" wrapText="1"/>
      <protection hidden="1"/>
    </xf>
    <xf numFmtId="0" fontId="5" fillId="3" borderId="0" xfId="0" applyFont="1" applyFill="1" applyAlignment="1" applyProtection="1">
      <alignment horizontal="right" vertical="center"/>
      <protection hidden="1"/>
    </xf>
    <xf numFmtId="0" fontId="5" fillId="3" borderId="0" xfId="0" applyFont="1" applyFill="1" applyAlignment="1" applyProtection="1">
      <alignment horizontal="left" vertical="center"/>
      <protection hidden="1"/>
    </xf>
    <xf numFmtId="0" fontId="7" fillId="3" borderId="0" xfId="0" applyFont="1" applyFill="1" applyAlignment="1" applyProtection="1">
      <alignment horizontal="center" vertical="center"/>
      <protection hidden="1"/>
    </xf>
    <xf numFmtId="164" fontId="5" fillId="3" borderId="0" xfId="0" applyNumberFormat="1" applyFont="1" applyFill="1" applyBorder="1" applyAlignment="1" applyProtection="1">
      <alignment horizontal="left" vertical="center"/>
      <protection hidden="1"/>
    </xf>
    <xf numFmtId="0" fontId="18" fillId="0" borderId="0" xfId="0" applyFont="1" applyFill="1" applyBorder="1" applyAlignment="1" applyProtection="1">
      <alignment horizontal="right" wrapText="1"/>
      <protection hidden="1"/>
    </xf>
    <xf numFmtId="164" fontId="5" fillId="0" borderId="0" xfId="0" applyNumberFormat="1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8" fillId="0" borderId="0" xfId="0" applyFont="1" applyFill="1" applyProtection="1">
      <protection hidden="1"/>
    </xf>
    <xf numFmtId="0" fontId="4" fillId="0" borderId="0" xfId="0" applyFont="1" applyFill="1" applyProtection="1">
      <protection hidden="1"/>
    </xf>
    <xf numFmtId="0" fontId="19" fillId="0" borderId="0" xfId="0" applyFont="1" applyFill="1" applyBorder="1" applyAlignment="1" applyProtection="1">
      <alignment horizontal="center" vertical="center"/>
      <protection hidden="1"/>
    </xf>
    <xf numFmtId="0" fontId="23" fillId="3" borderId="0" xfId="0" applyFont="1" applyFill="1" applyBorder="1" applyAlignment="1" applyProtection="1">
      <alignment horizontal="center"/>
      <protection hidden="1"/>
    </xf>
    <xf numFmtId="44" fontId="23" fillId="3" borderId="0" xfId="2" applyFont="1" applyFill="1" applyBorder="1" applyProtection="1">
      <protection hidden="1"/>
    </xf>
    <xf numFmtId="0" fontId="23" fillId="5" borderId="0" xfId="0" applyFont="1" applyFill="1" applyBorder="1" applyAlignment="1" applyProtection="1">
      <alignment horizontal="center"/>
      <protection hidden="1"/>
    </xf>
    <xf numFmtId="44" fontId="23" fillId="5" borderId="0" xfId="2" applyFont="1" applyFill="1" applyBorder="1" applyProtection="1">
      <protection hidden="1"/>
    </xf>
    <xf numFmtId="44" fontId="23" fillId="5" borderId="0" xfId="1" applyNumberFormat="1" applyFont="1" applyFill="1" applyBorder="1" applyProtection="1">
      <protection hidden="1"/>
    </xf>
    <xf numFmtId="44" fontId="23" fillId="3" borderId="0" xfId="1" applyNumberFormat="1" applyFont="1" applyFill="1" applyBorder="1" applyProtection="1">
      <protection hidden="1"/>
    </xf>
    <xf numFmtId="0" fontId="23" fillId="5" borderId="18" xfId="0" applyFont="1" applyFill="1" applyBorder="1" applyAlignment="1" applyProtection="1">
      <alignment horizontal="center"/>
      <protection hidden="1"/>
    </xf>
    <xf numFmtId="44" fontId="23" fillId="5" borderId="18" xfId="0" applyNumberFormat="1" applyFont="1" applyFill="1" applyBorder="1" applyAlignment="1" applyProtection="1">
      <alignment horizontal="center"/>
      <protection hidden="1"/>
    </xf>
    <xf numFmtId="0" fontId="23" fillId="3" borderId="0" xfId="0" applyFont="1" applyFill="1" applyAlignment="1" applyProtection="1">
      <alignment horizontal="left"/>
      <protection hidden="1"/>
    </xf>
    <xf numFmtId="44" fontId="23" fillId="3" borderId="0" xfId="2" applyFont="1" applyFill="1" applyProtection="1">
      <protection hidden="1"/>
    </xf>
    <xf numFmtId="0" fontId="8" fillId="3" borderId="0" xfId="0" applyFont="1" applyFill="1" applyAlignment="1" applyProtection="1">
      <alignment vertical="center"/>
      <protection hidden="1"/>
    </xf>
    <xf numFmtId="0" fontId="23" fillId="3" borderId="0" xfId="0" applyFont="1" applyFill="1" applyAlignment="1" applyProtection="1">
      <alignment vertical="center"/>
      <protection hidden="1"/>
    </xf>
    <xf numFmtId="44" fontId="23" fillId="3" borderId="0" xfId="2" applyFont="1" applyFill="1" applyAlignment="1" applyProtection="1">
      <alignment vertical="center"/>
      <protection hidden="1"/>
    </xf>
    <xf numFmtId="172" fontId="11" fillId="3" borderId="0" xfId="0" applyNumberFormat="1" applyFont="1" applyFill="1" applyProtection="1">
      <protection hidden="1"/>
    </xf>
    <xf numFmtId="0" fontId="4" fillId="3" borderId="19" xfId="0" applyFont="1" applyFill="1" applyBorder="1" applyAlignment="1" applyProtection="1">
      <alignment horizontal="left" vertical="center"/>
      <protection hidden="1"/>
    </xf>
    <xf numFmtId="0" fontId="7" fillId="3" borderId="20" xfId="0" applyFont="1" applyFill="1" applyBorder="1" applyAlignment="1" applyProtection="1">
      <alignment horizontal="center" vertical="center"/>
      <protection hidden="1"/>
    </xf>
    <xf numFmtId="0" fontId="24" fillId="6" borderId="0" xfId="0" applyFont="1" applyFill="1" applyBorder="1" applyAlignment="1" applyProtection="1">
      <alignment vertical="center"/>
      <protection hidden="1"/>
    </xf>
    <xf numFmtId="44" fontId="24" fillId="6" borderId="0" xfId="2" applyFont="1" applyFill="1" applyBorder="1" applyAlignment="1" applyProtection="1">
      <alignment vertical="center"/>
      <protection hidden="1"/>
    </xf>
    <xf numFmtId="0" fontId="42" fillId="3" borderId="0" xfId="0" applyFont="1" applyFill="1" applyAlignment="1" applyProtection="1">
      <alignment vertical="top"/>
    </xf>
    <xf numFmtId="44" fontId="1" fillId="0" borderId="0" xfId="121" applyFont="1" applyBorder="1"/>
    <xf numFmtId="44" fontId="1" fillId="0" borderId="36" xfId="121" applyFont="1" applyBorder="1"/>
    <xf numFmtId="44" fontId="1" fillId="41" borderId="0" xfId="121" applyFont="1" applyFill="1" applyBorder="1"/>
    <xf numFmtId="44" fontId="1" fillId="41" borderId="36" xfId="121" applyFont="1" applyFill="1" applyBorder="1"/>
    <xf numFmtId="44" fontId="1" fillId="0" borderId="40" xfId="121" applyFont="1" applyBorder="1"/>
    <xf numFmtId="44" fontId="1" fillId="0" borderId="41" xfId="121" applyFont="1" applyBorder="1"/>
    <xf numFmtId="44" fontId="1" fillId="0" borderId="42" xfId="121" applyFont="1" applyFill="1" applyBorder="1"/>
    <xf numFmtId="44" fontId="1" fillId="0" borderId="38" xfId="121" applyFont="1" applyFill="1" applyBorder="1"/>
    <xf numFmtId="0" fontId="10" fillId="3" borderId="0" xfId="0" applyFont="1" applyFill="1" applyBorder="1" applyAlignment="1" applyProtection="1">
      <alignment horizontal="center" vertical="center"/>
    </xf>
    <xf numFmtId="0" fontId="32" fillId="5" borderId="0" xfId="0" applyFont="1" applyFill="1" applyBorder="1" applyAlignment="1" applyProtection="1">
      <alignment horizontal="center" vertical="center" wrapText="1"/>
      <protection hidden="1"/>
    </xf>
    <xf numFmtId="0" fontId="26" fillId="7" borderId="0" xfId="0" applyFont="1" applyFill="1" applyBorder="1" applyAlignment="1" applyProtection="1">
      <alignment vertical="center"/>
      <protection hidden="1"/>
    </xf>
    <xf numFmtId="43" fontId="4" fillId="5" borderId="15" xfId="1" applyNumberFormat="1" applyFont="1" applyFill="1" applyBorder="1" applyAlignment="1">
      <alignment vertical="center"/>
    </xf>
    <xf numFmtId="43" fontId="4" fillId="0" borderId="15" xfId="1" applyNumberFormat="1" applyFont="1" applyFill="1" applyBorder="1" applyAlignment="1">
      <alignment vertical="center"/>
    </xf>
    <xf numFmtId="43" fontId="4" fillId="5" borderId="26" xfId="1" applyNumberFormat="1" applyFont="1" applyFill="1" applyBorder="1" applyAlignment="1">
      <alignment vertical="center"/>
    </xf>
    <xf numFmtId="43" fontId="61" fillId="0" borderId="36" xfId="10" applyNumberFormat="1" applyFont="1" applyBorder="1" applyAlignment="1">
      <alignment horizontal="center" vertical="center"/>
    </xf>
    <xf numFmtId="43" fontId="61" fillId="5" borderId="36" xfId="10" applyNumberFormat="1" applyFont="1" applyFill="1" applyBorder="1" applyAlignment="1">
      <alignment horizontal="center" vertical="center"/>
    </xf>
    <xf numFmtId="43" fontId="61" fillId="4" borderId="36" xfId="10" applyNumberFormat="1" applyFont="1" applyFill="1" applyBorder="1" applyAlignment="1">
      <alignment horizontal="center" vertical="center"/>
    </xf>
    <xf numFmtId="168" fontId="4" fillId="0" borderId="15" xfId="0" applyNumberFormat="1" applyFont="1" applyBorder="1" applyAlignment="1">
      <alignment horizontal="center" vertical="center"/>
    </xf>
    <xf numFmtId="8" fontId="4" fillId="0" borderId="0" xfId="0" applyNumberFormat="1" applyFont="1" applyFill="1" applyBorder="1" applyAlignment="1" applyProtection="1">
      <alignment horizontal="left" vertical="center"/>
    </xf>
    <xf numFmtId="0" fontId="36" fillId="3" borderId="0" xfId="0" applyFont="1" applyFill="1" applyAlignment="1">
      <alignment horizontal="center" wrapText="1"/>
    </xf>
    <xf numFmtId="0" fontId="4" fillId="3" borderId="0" xfId="0" applyFont="1" applyFill="1" applyAlignment="1">
      <alignment horizontal="left" wrapText="1"/>
    </xf>
    <xf numFmtId="0" fontId="5" fillId="3" borderId="0" xfId="0" applyFont="1" applyFill="1" applyAlignment="1">
      <alignment horizontal="left" wrapText="1"/>
    </xf>
    <xf numFmtId="0" fontId="4" fillId="0" borderId="0" xfId="0" applyFont="1" applyFill="1" applyAlignment="1">
      <alignment horizontal="left" wrapText="1"/>
    </xf>
    <xf numFmtId="0" fontId="5" fillId="0" borderId="0" xfId="0" applyFont="1" applyFill="1" applyAlignment="1">
      <alignment horizontal="left" wrapText="1"/>
    </xf>
    <xf numFmtId="0" fontId="57" fillId="3" borderId="0" xfId="0" applyFont="1" applyFill="1" applyAlignment="1">
      <alignment horizontal="right" wrapText="1"/>
    </xf>
    <xf numFmtId="0" fontId="5" fillId="3" borderId="0" xfId="0" applyFont="1" applyFill="1" applyBorder="1" applyAlignment="1">
      <alignment horizontal="left" wrapText="1"/>
    </xf>
    <xf numFmtId="0" fontId="8" fillId="3" borderId="0" xfId="0" applyFont="1" applyFill="1" applyAlignment="1">
      <alignment horizontal="left" wrapText="1"/>
    </xf>
    <xf numFmtId="0" fontId="4" fillId="3" borderId="0" xfId="0" applyFont="1" applyFill="1" applyAlignment="1">
      <alignment horizontal="left" vertical="top" wrapText="1"/>
    </xf>
    <xf numFmtId="0" fontId="5" fillId="3" borderId="0" xfId="0" applyFont="1" applyFill="1" applyAlignment="1">
      <alignment horizontal="left" vertical="top" wrapText="1"/>
    </xf>
    <xf numFmtId="0" fontId="39" fillId="3" borderId="0" xfId="0" applyFont="1" applyFill="1" applyAlignment="1">
      <alignment horizontal="left" wrapText="1"/>
    </xf>
    <xf numFmtId="0" fontId="25" fillId="3" borderId="0" xfId="0" applyFont="1" applyFill="1" applyAlignment="1" applyProtection="1">
      <alignment horizontal="center"/>
      <protection hidden="1"/>
    </xf>
    <xf numFmtId="0" fontId="6" fillId="3" borderId="0" xfId="0" applyFont="1" applyFill="1" applyAlignment="1" applyProtection="1">
      <alignment horizontal="center"/>
      <protection hidden="1"/>
    </xf>
    <xf numFmtId="0" fontId="10" fillId="3" borderId="0" xfId="0" applyFont="1" applyFill="1" applyBorder="1" applyAlignment="1" applyProtection="1">
      <alignment horizontal="center" vertical="center"/>
    </xf>
    <xf numFmtId="0" fontId="20" fillId="7" borderId="0" xfId="0" applyFont="1" applyFill="1" applyBorder="1" applyAlignment="1" applyProtection="1">
      <alignment horizontal="center" vertical="center"/>
      <protection hidden="1"/>
    </xf>
    <xf numFmtId="0" fontId="7" fillId="3" borderId="0" xfId="0" applyFont="1" applyFill="1" applyBorder="1" applyAlignment="1" applyProtection="1">
      <alignment horizontal="center" vertical="center"/>
    </xf>
    <xf numFmtId="0" fontId="0" fillId="0" borderId="0" xfId="0" applyBorder="1" applyProtection="1"/>
    <xf numFmtId="0" fontId="8" fillId="3" borderId="0" xfId="0" applyFont="1" applyFill="1" applyBorder="1" applyAlignment="1" applyProtection="1">
      <alignment horizontal="justify" vertical="center"/>
    </xf>
    <xf numFmtId="0" fontId="59" fillId="7" borderId="33" xfId="0" applyFont="1" applyFill="1" applyBorder="1" applyAlignment="1" applyProtection="1">
      <alignment horizontal="center"/>
      <protection locked="0"/>
    </xf>
    <xf numFmtId="0" fontId="54" fillId="3" borderId="0" xfId="0" applyFont="1" applyFill="1" applyBorder="1" applyAlignment="1" applyProtection="1">
      <alignment horizontal="center" vertical="center" wrapText="1"/>
      <protection hidden="1"/>
    </xf>
    <xf numFmtId="0" fontId="24" fillId="3" borderId="0" xfId="0" applyFont="1" applyFill="1" applyAlignment="1" applyProtection="1">
      <alignment horizontal="left" vertical="center" wrapText="1"/>
      <protection hidden="1"/>
    </xf>
    <xf numFmtId="0" fontId="35" fillId="3" borderId="33" xfId="0" applyFont="1" applyFill="1" applyBorder="1" applyAlignment="1" applyProtection="1">
      <alignment horizontal="center"/>
      <protection locked="0"/>
    </xf>
    <xf numFmtId="4" fontId="8" fillId="3" borderId="0" xfId="0" applyNumberFormat="1" applyFont="1" applyFill="1" applyBorder="1" applyAlignment="1" applyProtection="1">
      <alignment horizontal="center" vertical="center"/>
    </xf>
    <xf numFmtId="166" fontId="8" fillId="3" borderId="0" xfId="0" applyNumberFormat="1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horizontal="left" wrapText="1"/>
    </xf>
    <xf numFmtId="0" fontId="8" fillId="3" borderId="0" xfId="0" applyFont="1" applyFill="1" applyBorder="1" applyAlignment="1" applyProtection="1">
      <alignment vertical="center"/>
    </xf>
    <xf numFmtId="0" fontId="7" fillId="3" borderId="0" xfId="0" applyFont="1" applyFill="1" applyBorder="1" applyAlignment="1" applyProtection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left" vertical="center"/>
    </xf>
    <xf numFmtId="0" fontId="7" fillId="0" borderId="0" xfId="0" applyFont="1" applyBorder="1" applyAlignment="1">
      <alignment horizontal="left" vertical="top" wrapText="1"/>
    </xf>
    <xf numFmtId="0" fontId="7" fillId="0" borderId="0" xfId="0" applyFont="1" applyBorder="1" applyAlignment="1">
      <alignment horizontal="center" vertical="center"/>
    </xf>
    <xf numFmtId="0" fontId="7" fillId="3" borderId="0" xfId="0" applyFont="1" applyFill="1" applyAlignment="1">
      <alignment horizontal="left" vertical="justify" wrapText="1"/>
    </xf>
    <xf numFmtId="178" fontId="23" fillId="0" borderId="0" xfId="0" applyNumberFormat="1" applyFont="1" applyAlignment="1">
      <alignment horizontal="left" vertical="center"/>
    </xf>
    <xf numFmtId="0" fontId="86" fillId="3" borderId="0" xfId="0" applyFont="1" applyFill="1" applyAlignment="1" applyProtection="1">
      <alignment horizontal="center" vertical="center"/>
    </xf>
    <xf numFmtId="0" fontId="23" fillId="5" borderId="0" xfId="0" applyFont="1" applyFill="1" applyBorder="1" applyAlignment="1" applyProtection="1">
      <alignment horizontal="left"/>
      <protection hidden="1"/>
    </xf>
    <xf numFmtId="0" fontId="23" fillId="3" borderId="0" xfId="0" applyFont="1" applyFill="1" applyBorder="1" applyAlignment="1" applyProtection="1">
      <alignment horizontal="left"/>
      <protection hidden="1"/>
    </xf>
    <xf numFmtId="0" fontId="23" fillId="5" borderId="18" xfId="0" applyFont="1" applyFill="1" applyBorder="1" applyAlignment="1" applyProtection="1">
      <alignment horizontal="left"/>
      <protection hidden="1"/>
    </xf>
    <xf numFmtId="0" fontId="4" fillId="3" borderId="0" xfId="0" applyFont="1" applyFill="1" applyAlignment="1" applyProtection="1">
      <alignment horizontal="left" vertical="center" indent="2"/>
      <protection hidden="1"/>
    </xf>
    <xf numFmtId="0" fontId="23" fillId="3" borderId="16" xfId="0" applyFont="1" applyFill="1" applyBorder="1" applyAlignment="1" applyProtection="1">
      <alignment horizontal="left"/>
      <protection hidden="1"/>
    </xf>
    <xf numFmtId="0" fontId="19" fillId="7" borderId="0" xfId="0" applyFont="1" applyFill="1" applyBorder="1" applyAlignment="1" applyProtection="1">
      <alignment horizontal="center" vertical="center"/>
      <protection hidden="1"/>
    </xf>
    <xf numFmtId="0" fontId="7" fillId="0" borderId="0" xfId="0" applyFont="1" applyFill="1" applyAlignment="1" applyProtection="1">
      <alignment horizontal="left" vertical="top" wrapText="1"/>
    </xf>
    <xf numFmtId="0" fontId="5" fillId="3" borderId="0" xfId="0" applyFont="1" applyFill="1" applyAlignment="1" applyProtection="1">
      <alignment horizontal="justify" vertical="center"/>
      <protection hidden="1"/>
    </xf>
    <xf numFmtId="0" fontId="24" fillId="3" borderId="0" xfId="0" applyFont="1" applyFill="1" applyAlignment="1" applyProtection="1">
      <alignment horizontal="left" wrapText="1"/>
    </xf>
    <xf numFmtId="0" fontId="7" fillId="3" borderId="0" xfId="0" applyFont="1" applyFill="1" applyAlignment="1" applyProtection="1">
      <alignment horizontal="left" wrapText="1"/>
    </xf>
    <xf numFmtId="0" fontId="19" fillId="7" borderId="31" xfId="0" applyFont="1" applyFill="1" applyBorder="1" applyAlignment="1" applyProtection="1">
      <alignment horizontal="center" vertical="center" wrapText="1"/>
    </xf>
    <xf numFmtId="0" fontId="19" fillId="7" borderId="32" xfId="0" applyFont="1" applyFill="1" applyBorder="1" applyAlignment="1" applyProtection="1">
      <alignment horizontal="center" vertical="center" wrapText="1"/>
    </xf>
    <xf numFmtId="0" fontId="41" fillId="3" borderId="19" xfId="0" applyFont="1" applyFill="1" applyBorder="1" applyAlignment="1" applyProtection="1">
      <alignment horizontal="left"/>
      <protection hidden="1"/>
    </xf>
    <xf numFmtId="0" fontId="41" fillId="3" borderId="21" xfId="0" applyFont="1" applyFill="1" applyBorder="1" applyAlignment="1" applyProtection="1">
      <alignment horizontal="left"/>
      <protection hidden="1"/>
    </xf>
    <xf numFmtId="0" fontId="41" fillId="3" borderId="20" xfId="0" applyFont="1" applyFill="1" applyBorder="1" applyAlignment="1" applyProtection="1">
      <alignment horizontal="left"/>
      <protection hidden="1"/>
    </xf>
    <xf numFmtId="0" fontId="27" fillId="7" borderId="27" xfId="0" applyFont="1" applyFill="1" applyBorder="1" applyAlignment="1" applyProtection="1">
      <alignment horizontal="center" vertical="center"/>
      <protection hidden="1"/>
    </xf>
    <xf numFmtId="0" fontId="27" fillId="7" borderId="28" xfId="0" applyFont="1" applyFill="1" applyBorder="1" applyAlignment="1" applyProtection="1">
      <alignment horizontal="center" vertical="center" wrapText="1"/>
      <protection hidden="1"/>
    </xf>
    <xf numFmtId="0" fontId="27" fillId="7" borderId="29" xfId="0" applyFont="1" applyFill="1" applyBorder="1" applyAlignment="1" applyProtection="1">
      <alignment horizontal="center" vertical="center"/>
      <protection hidden="1"/>
    </xf>
    <xf numFmtId="0" fontId="26" fillId="7" borderId="0" xfId="0" applyFont="1" applyFill="1" applyBorder="1" applyAlignment="1" applyProtection="1">
      <alignment horizontal="left" vertical="center"/>
      <protection hidden="1"/>
    </xf>
    <xf numFmtId="0" fontId="26" fillId="7" borderId="30" xfId="0" applyFont="1" applyFill="1" applyBorder="1" applyAlignment="1" applyProtection="1">
      <alignment horizontal="left" vertical="center"/>
      <protection hidden="1"/>
    </xf>
    <xf numFmtId="0" fontId="29" fillId="7" borderId="0" xfId="0" applyFont="1" applyFill="1" applyAlignment="1" applyProtection="1">
      <alignment horizontal="center" vertical="center" wrapText="1"/>
      <protection hidden="1"/>
    </xf>
    <xf numFmtId="175" fontId="4" fillId="0" borderId="0" xfId="0" applyNumberFormat="1" applyFont="1" applyFill="1" applyBorder="1" applyAlignment="1" applyProtection="1">
      <alignment horizontal="left" vertical="center"/>
    </xf>
    <xf numFmtId="175" fontId="5" fillId="0" borderId="0" xfId="0" applyNumberFormat="1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justify" vertical="center"/>
    </xf>
    <xf numFmtId="0" fontId="5" fillId="3" borderId="0" xfId="0" applyFont="1" applyFill="1" applyAlignment="1" applyProtection="1">
      <alignment horizontal="justify" vertical="center"/>
    </xf>
    <xf numFmtId="0" fontId="20" fillId="7" borderId="0" xfId="0" applyFont="1" applyFill="1" applyBorder="1" applyAlignment="1" applyProtection="1">
      <alignment horizontal="center" vertical="center"/>
    </xf>
  </cellXfs>
  <cellStyles count="134">
    <cellStyle name="20% - Énfasis1" xfId="31" builtinId="30" customBuiltin="1"/>
    <cellStyle name="20% - Énfasis1 2" xfId="94"/>
    <cellStyle name="20% - Énfasis2" xfId="35" builtinId="34" customBuiltin="1"/>
    <cellStyle name="20% - Énfasis2 2" xfId="96"/>
    <cellStyle name="20% - Énfasis3" xfId="39" builtinId="38" customBuiltin="1"/>
    <cellStyle name="20% - Énfasis3 2" xfId="98"/>
    <cellStyle name="20% - Énfasis4" xfId="43" builtinId="42" customBuiltin="1"/>
    <cellStyle name="20% - Énfasis4 2" xfId="100"/>
    <cellStyle name="20% - Énfasis5" xfId="47" builtinId="46" customBuiltin="1"/>
    <cellStyle name="20% - Énfasis5 2" xfId="102"/>
    <cellStyle name="20% - Énfasis6" xfId="51" builtinId="50" customBuiltin="1"/>
    <cellStyle name="20% - Énfasis6 2" xfId="104"/>
    <cellStyle name="40% - Énfasis1" xfId="32" builtinId="31" customBuiltin="1"/>
    <cellStyle name="40% - Énfasis1 2" xfId="95"/>
    <cellStyle name="40% - Énfasis2" xfId="36" builtinId="35" customBuiltin="1"/>
    <cellStyle name="40% - Énfasis2 2" xfId="97"/>
    <cellStyle name="40% - Énfasis3" xfId="40" builtinId="39" customBuiltin="1"/>
    <cellStyle name="40% - Énfasis3 2" xfId="99"/>
    <cellStyle name="40% - Énfasis4" xfId="44" builtinId="43" customBuiltin="1"/>
    <cellStyle name="40% - Énfasis4 2" xfId="101"/>
    <cellStyle name="40% - Énfasis5" xfId="48" builtinId="47" customBuiltin="1"/>
    <cellStyle name="40% - Énfasis5 2" xfId="103"/>
    <cellStyle name="40% - Énfasis6" xfId="52" builtinId="51" customBuiltin="1"/>
    <cellStyle name="40% - Énfasis6 2" xfId="105"/>
    <cellStyle name="60% - Énfasis1" xfId="33" builtinId="32" customBuiltin="1"/>
    <cellStyle name="60% - Énfasis2" xfId="37" builtinId="36" customBuiltin="1"/>
    <cellStyle name="60% - Énfasis3" xfId="41" builtinId="40" customBuiltin="1"/>
    <cellStyle name="60% - Énfasis4" xfId="45" builtinId="44" customBuiltin="1"/>
    <cellStyle name="60% - Énfasis5" xfId="49" builtinId="48" customBuiltin="1"/>
    <cellStyle name="60% - Énfasis6" xfId="53" builtinId="52" customBuiltin="1"/>
    <cellStyle name="Bueno" xfId="19" builtinId="26" customBuiltin="1"/>
    <cellStyle name="Cálculo" xfId="24" builtinId="22" customBuiltin="1"/>
    <cellStyle name="Celda de comprobación" xfId="26" builtinId="23" customBuiltin="1"/>
    <cellStyle name="Celda vinculada" xfId="25" builtinId="24" customBuiltin="1"/>
    <cellStyle name="Encabezado 1" xfId="15" builtinId="16" customBuiltin="1"/>
    <cellStyle name="Encabezado 4" xfId="18" builtinId="19" customBuiltin="1"/>
    <cellStyle name="Énfasis1" xfId="30" builtinId="29" customBuiltin="1"/>
    <cellStyle name="Énfasis2" xfId="34" builtinId="33" customBuiltin="1"/>
    <cellStyle name="Énfasis3" xfId="38" builtinId="37" customBuiltin="1"/>
    <cellStyle name="Énfasis4" xfId="42" builtinId="41" customBuiltin="1"/>
    <cellStyle name="Énfasis5" xfId="46" builtinId="45" customBuiltin="1"/>
    <cellStyle name="Énfasis6" xfId="50" builtinId="49" customBuiltin="1"/>
    <cellStyle name="Entrada" xfId="22" builtinId="20" customBuiltin="1"/>
    <cellStyle name="Incorrecto" xfId="20" builtinId="27" customBuiltin="1"/>
    <cellStyle name="Millares" xfId="1" builtinId="3"/>
    <cellStyle name="Millares 2" xfId="7"/>
    <cellStyle name="Millares 2 2" xfId="76"/>
    <cellStyle name="Millares 2 2 2" xfId="85"/>
    <cellStyle name="Millares 2 2 2 2" xfId="115"/>
    <cellStyle name="Millares 2 2 3" xfId="111"/>
    <cellStyle name="Millares 2 3" xfId="65"/>
    <cellStyle name="Millares 2 3 2" xfId="122"/>
    <cellStyle name="Millares 2 4" xfId="106"/>
    <cellStyle name="Millares 3" xfId="11"/>
    <cellStyle name="Millares 3 2" xfId="86"/>
    <cellStyle name="Millares 3 2 2" xfId="116"/>
    <cellStyle name="Millares 3 3" xfId="70"/>
    <cellStyle name="Millares 3 3 2" xfId="123"/>
    <cellStyle name="Millares 3 4" xfId="108"/>
    <cellStyle name="Millares 4" xfId="59"/>
    <cellStyle name="Millares 4 2" xfId="129"/>
    <cellStyle name="Moneda" xfId="2" builtinId="4"/>
    <cellStyle name="Moneda 2" xfId="8"/>
    <cellStyle name="Moneda 2 2" xfId="80"/>
    <cellStyle name="Moneda 2 2 2" xfId="113"/>
    <cellStyle name="Moneda 2 3" xfId="78"/>
    <cellStyle name="Moneda 2 3 2" xfId="82"/>
    <cellStyle name="Moneda 2 3 2 2" xfId="114"/>
    <cellStyle name="Moneda 2 3 3" xfId="112"/>
    <cellStyle name="Moneda 2 4" xfId="87"/>
    <cellStyle name="Moneda 2 4 2" xfId="117"/>
    <cellStyle name="Moneda 2 5" xfId="74"/>
    <cellStyle name="Moneda 2 5 2" xfId="124"/>
    <cellStyle name="Moneda 2 6" xfId="109"/>
    <cellStyle name="Moneda 3" xfId="12"/>
    <cellStyle name="Moneda 3 2" xfId="121"/>
    <cellStyle name="Moneda 3 2 2" xfId="125"/>
    <cellStyle name="Moneda 3 2 3" xfId="133"/>
    <cellStyle name="Moneda 4" xfId="60"/>
    <cellStyle name="Moneda 4 2" xfId="130"/>
    <cellStyle name="Moneda 5" xfId="55"/>
    <cellStyle name="Moneda 5 2" xfId="120"/>
    <cellStyle name="Moneda 6" xfId="90"/>
    <cellStyle name="Neutral" xfId="21" builtinId="28" customBuiltin="1"/>
    <cellStyle name="Normal" xfId="0" builtinId="0"/>
    <cellStyle name="Normal 2" xfId="6"/>
    <cellStyle name="Normal 2 2" xfId="68"/>
    <cellStyle name="Normal 2 2 2" xfId="71"/>
    <cellStyle name="Normal 2 2 3" xfId="83"/>
    <cellStyle name="Normal 2 3" xfId="72"/>
    <cellStyle name="Normal 2 4" xfId="66"/>
    <cellStyle name="Normal 2 4 2" xfId="107"/>
    <cellStyle name="Normal 2 5" xfId="64"/>
    <cellStyle name="Normal 3" xfId="5"/>
    <cellStyle name="Normal 3 2" xfId="88"/>
    <cellStyle name="Normal 3 3" xfId="84"/>
    <cellStyle name="Normal 3 4" xfId="75"/>
    <cellStyle name="Normal 3 4 2" xfId="110"/>
    <cellStyle name="Normal 3 5" xfId="67"/>
    <cellStyle name="Normal 3 6" xfId="62"/>
    <cellStyle name="Normal 3 6 2" xfId="131"/>
    <cellStyle name="Normal 4" xfId="10"/>
    <cellStyle name="Normal 4 2" xfId="69"/>
    <cellStyle name="Normal 4 3" xfId="63"/>
    <cellStyle name="Normal 4 4" xfId="92"/>
    <cellStyle name="Normal 5" xfId="58"/>
    <cellStyle name="Normal 5 2" xfId="79"/>
    <cellStyle name="Normal 5 3" xfId="77"/>
    <cellStyle name="Normal 5 3 2" xfId="81"/>
    <cellStyle name="Normal 5 4" xfId="73"/>
    <cellStyle name="Normal 5 5" xfId="128"/>
    <cellStyle name="Normal 6" xfId="54"/>
    <cellStyle name="Normal 6 2" xfId="119"/>
    <cellStyle name="Normal 7" xfId="89"/>
    <cellStyle name="Normal 7 2" xfId="91"/>
    <cellStyle name="Normal 7 3" xfId="132"/>
    <cellStyle name="Normal_CalculoTarifa GASTOS MEDICOS MAS VISION MEDICA 2009" xfId="3"/>
    <cellStyle name="Notas 2" xfId="57"/>
    <cellStyle name="Notas 2 2" xfId="127"/>
    <cellStyle name="Notas 3" xfId="93"/>
    <cellStyle name="Porcentaje" xfId="4" builtinId="5"/>
    <cellStyle name="Porcentaje 2" xfId="9"/>
    <cellStyle name="Porcentaje 3" xfId="13"/>
    <cellStyle name="Porcentaje 4" xfId="61"/>
    <cellStyle name="Porcentaje 5" xfId="56"/>
    <cellStyle name="Porcentaje 5 2" xfId="126"/>
    <cellStyle name="Porcentaje 6" xfId="118"/>
    <cellStyle name="Salida" xfId="23" builtinId="21" customBuiltin="1"/>
    <cellStyle name="Texto de advertencia" xfId="27" builtinId="11" customBuiltin="1"/>
    <cellStyle name="Texto explicativo" xfId="28" builtinId="53" customBuiltin="1"/>
    <cellStyle name="Título" xfId="14" builtinId="15" customBuiltin="1"/>
    <cellStyle name="Título 2" xfId="16" builtinId="17" customBuiltin="1"/>
    <cellStyle name="Título 3" xfId="17" builtinId="18" customBuiltin="1"/>
    <cellStyle name="Total" xfId="29" builtinId="25" customBuiltin="1"/>
  </cellStyles>
  <dxfs count="4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image" Target="../media/image3.png"/><Relationship Id="rId1" Type="http://schemas.openxmlformats.org/officeDocument/2006/relationships/hyperlink" Target="#Cotizador!A1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5.png"/><Relationship Id="rId4" Type="http://schemas.openxmlformats.org/officeDocument/2006/relationships/hyperlink" Target="#COTIZACION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TIZACION!A1"/><Relationship Id="rId2" Type="http://schemas.openxmlformats.org/officeDocument/2006/relationships/hyperlink" Target="#Cotizador!A1"/><Relationship Id="rId1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Cotizador!A1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hyperlink" Target="#COTIZACIO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695324</xdr:colOff>
      <xdr:row>0</xdr:row>
      <xdr:rowOff>33871</xdr:rowOff>
    </xdr:from>
    <xdr:ext cx="5069418" cy="90063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924674" y="33871"/>
          <a:ext cx="5069418" cy="90063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4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32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32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32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868595</xdr:colOff>
      <xdr:row>15</xdr:row>
      <xdr:rowOff>76201</xdr:rowOff>
    </xdr:from>
    <xdr:to>
      <xdr:col>7</xdr:col>
      <xdr:colOff>241300</xdr:colOff>
      <xdr:row>17</xdr:row>
      <xdr:rowOff>85725</xdr:rowOff>
    </xdr:to>
    <xdr:sp macro="[0]!Instrucciones_ver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6059720" y="2152651"/>
          <a:ext cx="1449155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876300</xdr:colOff>
      <xdr:row>19</xdr:row>
      <xdr:rowOff>57151</xdr:rowOff>
    </xdr:from>
    <xdr:to>
      <xdr:col>7</xdr:col>
      <xdr:colOff>239183</xdr:colOff>
      <xdr:row>21</xdr:row>
      <xdr:rowOff>66675</xdr:rowOff>
    </xdr:to>
    <xdr:sp macro="[0]!Cotizacion_ver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6067425" y="2781301"/>
          <a:ext cx="1439333" cy="333374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600">
              <a:solidFill>
                <a:schemeClr val="bg1"/>
              </a:solidFill>
            </a:rPr>
            <a:t>Cotización</a:t>
          </a:r>
        </a:p>
      </xdr:txBody>
    </xdr:sp>
    <xdr:clientData/>
  </xdr:twoCellAnchor>
  <xdr:twoCellAnchor editAs="oneCell">
    <xdr:from>
      <xdr:col>3</xdr:col>
      <xdr:colOff>66675</xdr:colOff>
      <xdr:row>11</xdr:row>
      <xdr:rowOff>38100</xdr:rowOff>
    </xdr:from>
    <xdr:to>
      <xdr:col>5</xdr:col>
      <xdr:colOff>521093</xdr:colOff>
      <xdr:row>26</xdr:row>
      <xdr:rowOff>19051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1350" y="1466850"/>
          <a:ext cx="2530868" cy="2409826"/>
        </a:xfrm>
        <a:prstGeom prst="ellipse">
          <a:avLst/>
        </a:prstGeom>
        <a:ln>
          <a:noFill/>
        </a:ln>
        <a:effectLst>
          <a:softEdge rad="112500"/>
        </a:effectLst>
      </xdr:spPr>
    </xdr:pic>
    <xdr:clientData/>
  </xdr:twoCellAnchor>
  <xdr:twoCellAnchor>
    <xdr:from>
      <xdr:col>0</xdr:col>
      <xdr:colOff>85725</xdr:colOff>
      <xdr:row>1</xdr:row>
      <xdr:rowOff>57150</xdr:rowOff>
    </xdr:from>
    <xdr:to>
      <xdr:col>3</xdr:col>
      <xdr:colOff>565045</xdr:colOff>
      <xdr:row>5</xdr:row>
      <xdr:rowOff>21837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7145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619125</xdr:colOff>
      <xdr:row>34</xdr:row>
      <xdr:rowOff>133350</xdr:rowOff>
    </xdr:from>
    <xdr:to>
      <xdr:col>8</xdr:col>
      <xdr:colOff>1076325</xdr:colOff>
      <xdr:row>36</xdr:row>
      <xdr:rowOff>47625</xdr:rowOff>
    </xdr:to>
    <xdr:grpSp>
      <xdr:nvGrpSpPr>
        <xdr:cNvPr id="4" name="3 Grup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305550" y="5934075"/>
          <a:ext cx="1219200" cy="238125"/>
          <a:chOff x="9239249" y="7067550"/>
          <a:chExt cx="981076" cy="266700"/>
        </a:xfrm>
      </xdr:grpSpPr>
      <xdr:sp macro="[0]!Instucciones_volver_menu" textlink="">
        <xdr:nvSpPr>
          <xdr:cNvPr id="5" name="4 CuadroTexto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nstucciones_volver_menu" textlink="">
        <xdr:nvSpPr>
          <xdr:cNvPr id="6" name="5 Flecha izquierda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 editAs="oneCell">
    <xdr:from>
      <xdr:col>6</xdr:col>
      <xdr:colOff>19050</xdr:colOff>
      <xdr:row>34</xdr:row>
      <xdr:rowOff>104775</xdr:rowOff>
    </xdr:from>
    <xdr:to>
      <xdr:col>7</xdr:col>
      <xdr:colOff>410634</xdr:colOff>
      <xdr:row>36</xdr:row>
      <xdr:rowOff>109008</xdr:rowOff>
    </xdr:to>
    <xdr:pic macro="[0]!imprimir_Instrucciones">
      <xdr:nvPicPr>
        <xdr:cNvPr id="9" name="Picture 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4591050" y="8039100"/>
          <a:ext cx="1153584" cy="32808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1104901</xdr:colOff>
      <xdr:row>34</xdr:row>
      <xdr:rowOff>133350</xdr:rowOff>
    </xdr:from>
    <xdr:to>
      <xdr:col>10</xdr:col>
      <xdr:colOff>0</xdr:colOff>
      <xdr:row>36</xdr:row>
      <xdr:rowOff>47625</xdr:rowOff>
    </xdr:to>
    <xdr:grpSp>
      <xdr:nvGrpSpPr>
        <xdr:cNvPr id="7" name="6 Grup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7553326" y="5934075"/>
          <a:ext cx="781049" cy="238125"/>
          <a:chOff x="7858124" y="4762500"/>
          <a:chExt cx="1781176" cy="238125"/>
        </a:xfrm>
      </xdr:grpSpPr>
      <xdr:sp macro="[0]!Instucciones_volver_cotizador" textlink="">
        <xdr:nvSpPr>
          <xdr:cNvPr id="11" name="10 CuadroTexto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nstucciones_volver_cotizador" textlink="">
        <xdr:nvSpPr>
          <xdr:cNvPr id="12" name="11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ln>
                <a:solidFill>
                  <a:srgbClr val="FF0000"/>
                </a:solidFill>
              </a:ln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5</xdr:col>
      <xdr:colOff>200025</xdr:colOff>
      <xdr:row>0</xdr:row>
      <xdr:rowOff>73025</xdr:rowOff>
    </xdr:from>
    <xdr:ext cx="3879834" cy="609600"/>
    <xdr:sp macro="" textlink="">
      <xdr:nvSpPr>
        <xdr:cNvPr id="13" name="12 Rectángulo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4010025" y="73025"/>
          <a:ext cx="3879834" cy="60960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0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0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0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0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  <a:p>
          <a:pPr algn="r">
            <a:lnSpc>
              <a:spcPts val="3200"/>
            </a:lnSpc>
          </a:pPr>
          <a:endParaRPr lang="es-ES" sz="20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>
    <xdr:from>
      <xdr:col>0</xdr:col>
      <xdr:colOff>161925</xdr:colOff>
      <xdr:row>1</xdr:row>
      <xdr:rowOff>95250</xdr:rowOff>
    </xdr:from>
    <xdr:to>
      <xdr:col>4</xdr:col>
      <xdr:colOff>707920</xdr:colOff>
      <xdr:row>3</xdr:row>
      <xdr:rowOff>78987</xdr:rowOff>
    </xdr:to>
    <xdr:pic>
      <xdr:nvPicPr>
        <xdr:cNvPr id="16" name="15 Imagen" descr="seguros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25717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391584</xdr:colOff>
      <xdr:row>0</xdr:row>
      <xdr:rowOff>76203</xdr:rowOff>
    </xdr:from>
    <xdr:ext cx="4459821" cy="812797"/>
    <xdr:sp macro="" textlink="">
      <xdr:nvSpPr>
        <xdr:cNvPr id="3" name="2 Rectángul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7958667" y="76203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8</xdr:col>
      <xdr:colOff>419100</xdr:colOff>
      <xdr:row>44</xdr:row>
      <xdr:rowOff>19050</xdr:rowOff>
    </xdr:from>
    <xdr:to>
      <xdr:col>9</xdr:col>
      <xdr:colOff>747432</xdr:colOff>
      <xdr:row>46</xdr:row>
      <xdr:rowOff>38101</xdr:rowOff>
    </xdr:to>
    <xdr:pic macro="[0]!Cotizacion_ir_impresion">
      <xdr:nvPicPr>
        <xdr:cNvPr id="22" name="Pictur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10601325" y="7981950"/>
          <a:ext cx="1314450" cy="3619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7</xdr:col>
      <xdr:colOff>209546</xdr:colOff>
      <xdr:row>44</xdr:row>
      <xdr:rowOff>28575</xdr:rowOff>
    </xdr:from>
    <xdr:to>
      <xdr:col>8</xdr:col>
      <xdr:colOff>266694</xdr:colOff>
      <xdr:row>47</xdr:row>
      <xdr:rowOff>76200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9981075" y="7939928"/>
          <a:ext cx="1233766" cy="518272"/>
          <a:chOff x="9239251" y="7067550"/>
          <a:chExt cx="981074" cy="323849"/>
        </a:xfrm>
      </xdr:grpSpPr>
      <xdr:sp macro="[0]!Cotizacion_volver_menu" textlink="">
        <xdr:nvSpPr>
          <xdr:cNvPr id="6" name="5 CuadroTexto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9467850" y="7067550"/>
            <a:ext cx="752475" cy="3238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Menú</a:t>
            </a:r>
            <a:r>
              <a:rPr lang="es-MX" sz="9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</a:t>
            </a:r>
            <a:r>
              <a:rPr lang="es-MX" sz="9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Principal</a:t>
            </a:r>
          </a:p>
        </xdr:txBody>
      </xdr:sp>
      <xdr:sp macro="[0]!Cotizacion_volver_menu" textlink="">
        <xdr:nvSpPr>
          <xdr:cNvPr id="25" name="24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 bwMode="auto">
          <a:xfrm>
            <a:off x="9239251" y="7067550"/>
            <a:ext cx="238123" cy="206086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1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8</xdr:col>
      <xdr:colOff>914400</xdr:colOff>
      <xdr:row>44</xdr:row>
      <xdr:rowOff>47625</xdr:rowOff>
    </xdr:from>
    <xdr:to>
      <xdr:col>9</xdr:col>
      <xdr:colOff>790576</xdr:colOff>
      <xdr:row>46</xdr:row>
      <xdr:rowOff>57150</xdr:rowOff>
    </xdr:to>
    <xdr:sp macro="[0]!Cotizacion_ir_impresion" textlink="">
      <xdr:nvSpPr>
        <xdr:cNvPr id="23" name="22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11096625" y="8010525"/>
          <a:ext cx="828676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Formato</a:t>
          </a:r>
          <a:r>
            <a:rPr lang="es-MX" sz="800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  </a:t>
          </a:r>
          <a:r>
            <a:rPr lang="es-MX" sz="8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t>de Impresión</a:t>
          </a:r>
        </a:p>
      </xdr:txBody>
    </xdr:sp>
    <xdr:clientData/>
  </xdr:twoCellAnchor>
  <xdr:twoCellAnchor>
    <xdr:from>
      <xdr:col>0</xdr:col>
      <xdr:colOff>317500</xdr:colOff>
      <xdr:row>0</xdr:row>
      <xdr:rowOff>190500</xdr:rowOff>
    </xdr:from>
    <xdr:to>
      <xdr:col>2</xdr:col>
      <xdr:colOff>1392662</xdr:colOff>
      <xdr:row>2</xdr:row>
      <xdr:rowOff>74754</xdr:rowOff>
    </xdr:to>
    <xdr:pic>
      <xdr:nvPicPr>
        <xdr:cNvPr id="9" name="8 Imagen" descr="seguros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7500" y="190500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457200</xdr:colOff>
      <xdr:row>44</xdr:row>
      <xdr:rowOff>76200</xdr:rowOff>
    </xdr:from>
    <xdr:to>
      <xdr:col>6</xdr:col>
      <xdr:colOff>760948</xdr:colOff>
      <xdr:row>46</xdr:row>
      <xdr:rowOff>28576</xdr:rowOff>
    </xdr:to>
    <xdr:grpSp>
      <xdr:nvGrpSpPr>
        <xdr:cNvPr id="10" name="9 Grupo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8032376" y="7987553"/>
          <a:ext cx="1491572" cy="288552"/>
          <a:chOff x="7962900" y="8658225"/>
          <a:chExt cx="1019175" cy="373062"/>
        </a:xfrm>
      </xdr:grpSpPr>
      <xdr:pic macro="[0]!Cotizacion_ir_tarifario">
        <xdr:nvPicPr>
          <xdr:cNvPr id="11" name="Picture 26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962900" y="8658225"/>
            <a:ext cx="296862" cy="373062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Cotizacion_ir_tarifario" textlink="">
        <xdr:nvSpPr>
          <xdr:cNvPr id="12" name="11 CuadroTexto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 txBox="1"/>
        </xdr:nvSpPr>
        <xdr:spPr>
          <a:xfrm>
            <a:off x="8229600" y="8705850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es-MX" sz="10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Tarifario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123826</xdr:rowOff>
    </xdr:from>
    <xdr:to>
      <xdr:col>11</xdr:col>
      <xdr:colOff>0</xdr:colOff>
      <xdr:row>7</xdr:row>
      <xdr:rowOff>9526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7477125" y="933451"/>
          <a:ext cx="9715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Zona</a:t>
          </a:r>
          <a:r>
            <a:rPr lang="es-MX" sz="1100" baseline="0">
              <a:solidFill>
                <a:schemeClr val="bg1"/>
              </a:solidFill>
            </a:rPr>
            <a:t> de Tarifa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0</xdr:colOff>
      <xdr:row>18</xdr:row>
      <xdr:rowOff>0</xdr:rowOff>
    </xdr:from>
    <xdr:to>
      <xdr:col>4</xdr:col>
      <xdr:colOff>9525</xdr:colOff>
      <xdr:row>19</xdr:row>
      <xdr:rowOff>114300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381000" y="2657475"/>
          <a:ext cx="248602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5</xdr:col>
      <xdr:colOff>0</xdr:colOff>
      <xdr:row>18</xdr:row>
      <xdr:rowOff>0</xdr:rowOff>
    </xdr:from>
    <xdr:to>
      <xdr:col>8</xdr:col>
      <xdr:colOff>0</xdr:colOff>
      <xdr:row>19</xdr:row>
      <xdr:rowOff>114300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3657600" y="2657475"/>
          <a:ext cx="24669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12</xdr:col>
      <xdr:colOff>0</xdr:colOff>
      <xdr:row>19</xdr:row>
      <xdr:rowOff>114300</xdr:rowOff>
    </xdr:to>
    <xdr:sp macro="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6972300" y="2657475"/>
          <a:ext cx="2505075" cy="2857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  <xdr:twoCellAnchor>
    <xdr:from>
      <xdr:col>1</xdr:col>
      <xdr:colOff>514350</xdr:colOff>
      <xdr:row>5</xdr:row>
      <xdr:rowOff>114300</xdr:rowOff>
    </xdr:from>
    <xdr:to>
      <xdr:col>3</xdr:col>
      <xdr:colOff>9525</xdr:colOff>
      <xdr:row>7</xdr:row>
      <xdr:rowOff>0</xdr:rowOff>
    </xdr:to>
    <xdr:sp macro="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895350" y="781050"/>
          <a:ext cx="10477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Tipo</a:t>
          </a:r>
          <a:r>
            <a:rPr lang="es-MX" sz="1100" baseline="0">
              <a:solidFill>
                <a:schemeClr val="bg1"/>
              </a:solidFill>
            </a:rPr>
            <a:t> de Póliza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247650</xdr:colOff>
      <xdr:row>1</xdr:row>
      <xdr:rowOff>57150</xdr:rowOff>
    </xdr:from>
    <xdr:to>
      <xdr:col>5</xdr:col>
      <xdr:colOff>192742</xdr:colOff>
      <xdr:row>3</xdr:row>
      <xdr:rowOff>101351</xdr:rowOff>
    </xdr:to>
    <xdr:pic>
      <xdr:nvPicPr>
        <xdr:cNvPr id="8" name="7 Imagen" descr="seguros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190500"/>
          <a:ext cx="3602692" cy="3109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400050</xdr:colOff>
      <xdr:row>5</xdr:row>
      <xdr:rowOff>133350</xdr:rowOff>
    </xdr:from>
    <xdr:to>
      <xdr:col>6</xdr:col>
      <xdr:colOff>0</xdr:colOff>
      <xdr:row>7</xdr:row>
      <xdr:rowOff>19050</xdr:rowOff>
    </xdr:to>
    <xdr:sp macro="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3276600" y="942975"/>
          <a:ext cx="1123950" cy="20955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Nivel</a:t>
          </a:r>
          <a:r>
            <a:rPr lang="es-MX" sz="1100" baseline="0">
              <a:solidFill>
                <a:schemeClr val="bg1"/>
              </a:solidFill>
            </a:rPr>
            <a:t> Hospitalario</a:t>
          </a:r>
          <a:endParaRPr lang="es-MX" sz="1100">
            <a:solidFill>
              <a:schemeClr val="bg1"/>
            </a:solidFill>
          </a:endParaRPr>
        </a:p>
      </xdr:txBody>
    </xdr:sp>
    <xdr:clientData/>
  </xdr:twoCellAnchor>
  <xdr:oneCellAnchor>
    <xdr:from>
      <xdr:col>7</xdr:col>
      <xdr:colOff>502704</xdr:colOff>
      <xdr:row>0</xdr:row>
      <xdr:rowOff>28575</xdr:rowOff>
    </xdr:from>
    <xdr:ext cx="4459821" cy="812797"/>
    <xdr:sp macro="" textlink="">
      <xdr:nvSpPr>
        <xdr:cNvPr id="10" name="9 Rectángulo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5665254" y="28575"/>
          <a:ext cx="4459821" cy="812797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8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8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  <a:endParaRPr lang="es-ES" sz="2800" b="1" cap="none" spc="50">
            <a:ln w="11430">
              <a:solidFill>
                <a:srgbClr val="FF0000"/>
              </a:solidFill>
            </a:ln>
            <a:solidFill>
              <a:srgbClr val="FF0000"/>
            </a:soli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oneCellAnchor>
  <xdr:twoCellAnchor editAs="oneCell">
    <xdr:from>
      <xdr:col>10</xdr:col>
      <xdr:colOff>0</xdr:colOff>
      <xdr:row>103</xdr:row>
      <xdr:rowOff>76200</xdr:rowOff>
    </xdr:from>
    <xdr:to>
      <xdr:col>11</xdr:col>
      <xdr:colOff>372158</xdr:colOff>
      <xdr:row>105</xdr:row>
      <xdr:rowOff>80434</xdr:rowOff>
    </xdr:to>
    <xdr:pic macro="[0]!imprimir_Tarifario">
      <xdr:nvPicPr>
        <xdr:cNvPr id="18" name="Pictur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7686675" y="13515975"/>
          <a:ext cx="1134158" cy="3280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8</xdr:col>
      <xdr:colOff>0</xdr:colOff>
      <xdr:row>104</xdr:row>
      <xdr:rowOff>0</xdr:rowOff>
    </xdr:from>
    <xdr:to>
      <xdr:col>9</xdr:col>
      <xdr:colOff>438150</xdr:colOff>
      <xdr:row>105</xdr:row>
      <xdr:rowOff>104775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GrpSpPr/>
      </xdr:nvGrpSpPr>
      <xdr:grpSpPr>
        <a:xfrm>
          <a:off x="6162675" y="13601700"/>
          <a:ext cx="1200150" cy="266700"/>
          <a:chOff x="9239249" y="7067550"/>
          <a:chExt cx="981076" cy="266700"/>
        </a:xfrm>
      </xdr:grpSpPr>
      <xdr:sp macro="[0]!Tarifario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 txBox="1"/>
        </xdr:nvSpPr>
        <xdr:spPr>
          <a:xfrm>
            <a:off x="9467850" y="7067551"/>
            <a:ext cx="752475" cy="2666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5</xdr:col>
      <xdr:colOff>390525</xdr:colOff>
      <xdr:row>104</xdr:row>
      <xdr:rowOff>9525</xdr:rowOff>
    </xdr:from>
    <xdr:to>
      <xdr:col>7</xdr:col>
      <xdr:colOff>628651</xdr:colOff>
      <xdr:row>105</xdr:row>
      <xdr:rowOff>114300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4029075" y="13611225"/>
          <a:ext cx="1762126" cy="266700"/>
          <a:chOff x="7858124" y="4762500"/>
          <a:chExt cx="1781176" cy="238125"/>
        </a:xfrm>
      </xdr:grpSpPr>
      <xdr:sp macro="[0]!Tarifario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8148963" y="4762500"/>
            <a:ext cx="1490337" cy="22859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/>
          </a:p>
        </xdr:txBody>
      </xdr:sp>
    </xdr:grpSp>
    <xdr:clientData/>
  </xdr:twoCellAnchor>
  <xdr:twoCellAnchor>
    <xdr:from>
      <xdr:col>15</xdr:col>
      <xdr:colOff>0</xdr:colOff>
      <xdr:row>18</xdr:row>
      <xdr:rowOff>0</xdr:rowOff>
    </xdr:from>
    <xdr:to>
      <xdr:col>18</xdr:col>
      <xdr:colOff>9525</xdr:colOff>
      <xdr:row>19</xdr:row>
      <xdr:rowOff>114300</xdr:rowOff>
    </xdr:to>
    <xdr:sp macro="" textlink="">
      <xdr:nvSpPr>
        <xdr:cNvPr id="27" name="26 Rectángulo redondeado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11649075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Titular</a:t>
          </a:r>
        </a:p>
      </xdr:txBody>
    </xdr:sp>
    <xdr:clientData/>
  </xdr:twoCellAnchor>
  <xdr:twoCellAnchor>
    <xdr:from>
      <xdr:col>19</xdr:col>
      <xdr:colOff>1</xdr:colOff>
      <xdr:row>18</xdr:row>
      <xdr:rowOff>0</xdr:rowOff>
    </xdr:from>
    <xdr:to>
      <xdr:col>22</xdr:col>
      <xdr:colOff>19051</xdr:colOff>
      <xdr:row>19</xdr:row>
      <xdr:rowOff>114300</xdr:rowOff>
    </xdr:to>
    <xdr:sp macro="" textlink="">
      <xdr:nvSpPr>
        <xdr:cNvPr id="28" name="27 Rectángulo redondeado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14792326" y="2914650"/>
          <a:ext cx="2400300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Cónyuge</a:t>
          </a:r>
        </a:p>
      </xdr:txBody>
    </xdr:sp>
    <xdr:clientData/>
  </xdr:twoCellAnchor>
  <xdr:twoCellAnchor>
    <xdr:from>
      <xdr:col>23</xdr:col>
      <xdr:colOff>9525</xdr:colOff>
      <xdr:row>18</xdr:row>
      <xdr:rowOff>0</xdr:rowOff>
    </xdr:from>
    <xdr:to>
      <xdr:col>26</xdr:col>
      <xdr:colOff>19050</xdr:colOff>
      <xdr:row>19</xdr:row>
      <xdr:rowOff>114300</xdr:rowOff>
    </xdr:to>
    <xdr:sp macro="" textlink="">
      <xdr:nvSpPr>
        <xdr:cNvPr id="29" name="28 Rectángulo redondeado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 bwMode="auto">
        <a:xfrm>
          <a:off x="17945100" y="2914650"/>
          <a:ext cx="2390775" cy="276225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glow rad="127000">
            <a:schemeClr val="accent1">
              <a:alpha val="0"/>
            </a:schemeClr>
          </a:glo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es-MX" sz="1100">
              <a:solidFill>
                <a:schemeClr val="bg1"/>
              </a:solidFill>
            </a:rPr>
            <a:t>Prima Total Dependiente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645583</xdr:colOff>
      <xdr:row>100</xdr:row>
      <xdr:rowOff>28574</xdr:rowOff>
    </xdr:from>
    <xdr:to>
      <xdr:col>11</xdr:col>
      <xdr:colOff>638175</xdr:colOff>
      <xdr:row>233</xdr:row>
      <xdr:rowOff>76200</xdr:rowOff>
    </xdr:to>
    <xdr:pic macro="[0]!imprimir">
      <xdr:nvPicPr>
        <xdr:cNvPr id="4" name="Pictur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275233" y="15516224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100</xdr:row>
      <xdr:rowOff>38100</xdr:rowOff>
    </xdr:from>
    <xdr:to>
      <xdr:col>10</xdr:col>
      <xdr:colOff>480511</xdr:colOff>
      <xdr:row>233</xdr:row>
      <xdr:rowOff>47625</xdr:rowOff>
    </xdr:to>
    <xdr:grpSp>
      <xdr:nvGrpSpPr>
        <xdr:cNvPr id="24" name="23 Grupo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7772428" y="16363950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5" name="24 CuadroTexto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6" name="25 Flecha izquierda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500-00001A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100</xdr:row>
      <xdr:rowOff>47625</xdr:rowOff>
    </xdr:from>
    <xdr:to>
      <xdr:col>8</xdr:col>
      <xdr:colOff>902787</xdr:colOff>
      <xdr:row>233</xdr:row>
      <xdr:rowOff>57150</xdr:rowOff>
    </xdr:to>
    <xdr:grpSp>
      <xdr:nvGrpSpPr>
        <xdr:cNvPr id="27" name="26 Grupo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pSpPr/>
      </xdr:nvGrpSpPr>
      <xdr:grpSpPr>
        <a:xfrm>
          <a:off x="5819803" y="16373475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8" name="27 CuadroTexto">
            <a:extLst>
              <a:ext uri="{FF2B5EF4-FFF2-40B4-BE49-F238E27FC236}">
                <a16:creationId xmlns:a16="http://schemas.microsoft.com/office/drawing/2014/main" id="{00000000-0008-0000-0500-00001C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9" name="28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500-00001D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19" name="18 Rectángulo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57150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1" name="10 Imagen" descr="seguros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5939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190500</xdr:colOff>
      <xdr:row>0</xdr:row>
      <xdr:rowOff>47625</xdr:rowOff>
    </xdr:from>
    <xdr:ext cx="4022710" cy="677819"/>
    <xdr:sp macro="" textlink="">
      <xdr:nvSpPr>
        <xdr:cNvPr id="9" name="8 Rectángul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5600700" y="47625"/>
          <a:ext cx="4022710" cy="677819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r"/>
          <a:r>
            <a:rPr lang="es-ES" sz="1100" b="1" i="0" cap="none" spc="0">
              <a:ln w="18000">
                <a:solidFill>
                  <a:srgbClr val="FF0000"/>
                </a:solidFill>
                <a:prstDash val="solid"/>
                <a:miter lim="800000"/>
              </a:ln>
              <a:solidFill>
                <a:srgbClr val="FF0000"/>
              </a:solidFill>
              <a:effectLst>
                <a:outerShdw blurRad="25500" dist="23000" dir="7020000" algn="tl">
                  <a:srgbClr val="000000">
                    <a:alpha val="50000"/>
                  </a:srgbClr>
                </a:outerShdw>
              </a:effectLst>
              <a:latin typeface="Aharoni" pitchFamily="2" charset="-79"/>
              <a:cs typeface="Aharoni" pitchFamily="2" charset="-79"/>
            </a:rPr>
            <a:t>GASTOS MEDICOS MAYORES INDIVIDUAL / FAMILIAR</a:t>
          </a:r>
        </a:p>
        <a:p>
          <a:pPr algn="r">
            <a:lnSpc>
              <a:spcPts val="3200"/>
            </a:lnSpc>
          </a:pPr>
          <a:r>
            <a:rPr lang="es-ES" sz="2600" b="1" cap="none" spc="5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Plan</a:t>
          </a:r>
          <a:r>
            <a:rPr lang="es-ES" sz="2600" b="1" cap="none" spc="50" baseline="0">
              <a:ln w="11430">
                <a:solidFill>
                  <a:srgbClr val="FF0000"/>
                </a:solidFill>
              </a:ln>
              <a:solidFill>
                <a:srgbClr val="FF0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Médico Transforma</a:t>
          </a:r>
        </a:p>
      </xdr:txBody>
    </xdr:sp>
    <xdr:clientData/>
  </xdr:oneCellAnchor>
  <xdr:twoCellAnchor>
    <xdr:from>
      <xdr:col>1</xdr:col>
      <xdr:colOff>47625</xdr:colOff>
      <xdr:row>1</xdr:row>
      <xdr:rowOff>47625</xdr:rowOff>
    </xdr:from>
    <xdr:to>
      <xdr:col>5</xdr:col>
      <xdr:colOff>545995</xdr:colOff>
      <xdr:row>4</xdr:row>
      <xdr:rowOff>12312</xdr:rowOff>
    </xdr:to>
    <xdr:pic>
      <xdr:nvPicPr>
        <xdr:cNvPr id="10" name="9 Imagen" descr="seguros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161925"/>
          <a:ext cx="3479695" cy="3075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645583</xdr:colOff>
      <xdr:row>37</xdr:row>
      <xdr:rowOff>28574</xdr:rowOff>
    </xdr:from>
    <xdr:to>
      <xdr:col>11</xdr:col>
      <xdr:colOff>638175</xdr:colOff>
      <xdr:row>170</xdr:row>
      <xdr:rowOff>76200</xdr:rowOff>
    </xdr:to>
    <xdr:pic macro="[0]!imprimir">
      <xdr:nvPicPr>
        <xdr:cNvPr id="18" name="Pictur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0804" t="40675" r="1482" b="55356"/>
        <a:stretch/>
      </xdr:blipFill>
      <xdr:spPr bwMode="auto">
        <a:xfrm>
          <a:off x="9160933" y="16363949"/>
          <a:ext cx="1154642" cy="31432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47653</xdr:colOff>
      <xdr:row>37</xdr:row>
      <xdr:rowOff>38100</xdr:rowOff>
    </xdr:from>
    <xdr:to>
      <xdr:col>10</xdr:col>
      <xdr:colOff>480511</xdr:colOff>
      <xdr:row>170</xdr:row>
      <xdr:rowOff>47625</xdr:rowOff>
    </xdr:to>
    <xdr:grpSp>
      <xdr:nvGrpSpPr>
        <xdr:cNvPr id="19" name="18 Grupo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GrpSpPr/>
      </xdr:nvGrpSpPr>
      <xdr:grpSpPr>
        <a:xfrm>
          <a:off x="7743853" y="5553075"/>
          <a:ext cx="1252008" cy="276225"/>
          <a:chOff x="9239249" y="7067550"/>
          <a:chExt cx="981076" cy="266700"/>
        </a:xfrm>
      </xdr:grpSpPr>
      <xdr:sp macro="[0]!Impresion_volver_menu" textlink="">
        <xdr:nvSpPr>
          <xdr:cNvPr id="20" name="19 CuadroTexto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 txBox="1"/>
        </xdr:nvSpPr>
        <xdr:spPr>
          <a:xfrm>
            <a:off x="9467850" y="7067551"/>
            <a:ext cx="752475" cy="1809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Menu Principal</a:t>
            </a:r>
          </a:p>
        </xdr:txBody>
      </xdr:sp>
      <xdr:sp macro="[0]!Impresion_volver_menu" textlink="">
        <xdr:nvSpPr>
          <xdr:cNvPr id="21" name="20 Flecha izquierda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 bwMode="auto">
          <a:xfrm>
            <a:off x="9239249" y="7067550"/>
            <a:ext cx="238125" cy="266700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  <xdr:twoCellAnchor>
    <xdr:from>
      <xdr:col>7</xdr:col>
      <xdr:colOff>381028</xdr:colOff>
      <xdr:row>37</xdr:row>
      <xdr:rowOff>47625</xdr:rowOff>
    </xdr:from>
    <xdr:to>
      <xdr:col>8</xdr:col>
      <xdr:colOff>902787</xdr:colOff>
      <xdr:row>170</xdr:row>
      <xdr:rowOff>57150</xdr:rowOff>
    </xdr:to>
    <xdr:grpSp>
      <xdr:nvGrpSpPr>
        <xdr:cNvPr id="22" name="21 Grupo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91228" y="5562600"/>
          <a:ext cx="1779059" cy="276225"/>
          <a:chOff x="7858124" y="4762500"/>
          <a:chExt cx="1781176" cy="238125"/>
        </a:xfrm>
      </xdr:grpSpPr>
      <xdr:sp macro="[0]!Impresion_ir_cotizacion" textlink="">
        <xdr:nvSpPr>
          <xdr:cNvPr id="23" name="22 CuadroTexto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SpPr txBox="1"/>
        </xdr:nvSpPr>
        <xdr:spPr>
          <a:xfrm>
            <a:off x="8148963" y="4762501"/>
            <a:ext cx="1490337" cy="16158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MX" sz="800" b="1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Regresar</a:t>
            </a:r>
            <a:r>
              <a:rPr lang="es-MX" sz="800" b="1" baseline="0">
                <a:solidFill>
                  <a:srgbClr val="FF0000"/>
                </a:solidFill>
                <a:latin typeface="Arial" pitchFamily="34" charset="0"/>
                <a:cs typeface="Arial" pitchFamily="34" charset="0"/>
              </a:rPr>
              <a:t> a la Cotización</a:t>
            </a:r>
            <a:endParaRPr lang="es-MX" sz="800" b="1">
              <a:solidFill>
                <a:srgbClr val="FF0000"/>
              </a:solidFill>
              <a:latin typeface="Arial" pitchFamily="34" charset="0"/>
              <a:cs typeface="Arial" pitchFamily="34" charset="0"/>
            </a:endParaRPr>
          </a:p>
        </xdr:txBody>
      </xdr:sp>
      <xdr:sp macro="[0]!Impresion_ir_cotizacion" textlink="">
        <xdr:nvSpPr>
          <xdr:cNvPr id="24" name="23 Flecha izquierda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600-000018000000}"/>
              </a:ext>
            </a:extLst>
          </xdr:cNvPr>
          <xdr:cNvSpPr/>
        </xdr:nvSpPr>
        <xdr:spPr bwMode="auto">
          <a:xfrm>
            <a:off x="7858124" y="4762500"/>
            <a:ext cx="309701" cy="238125"/>
          </a:xfrm>
          <a:prstGeom prst="leftArrow">
            <a:avLst/>
          </a:prstGeom>
          <a:solidFill>
            <a:srgbClr val="FF0000"/>
          </a:solidFill>
          <a:ln>
            <a:solidFill>
              <a:srgbClr val="FF0000"/>
            </a:solidFill>
            <a:headEnd type="none" w="med" len="med"/>
            <a:tailEnd type="none" w="med" len="med"/>
          </a:ln>
        </xdr:spPr>
        <xdr:style>
          <a:lnRef idx="2">
            <a:schemeClr val="accent2"/>
          </a:lnRef>
          <a:fillRef idx="1">
            <a:schemeClr val="lt1"/>
          </a:fillRef>
          <a:effectRef idx="0">
            <a:schemeClr val="accent2"/>
          </a:effectRef>
          <a:fontRef idx="minor">
            <a:schemeClr val="dk1"/>
          </a:fontRef>
        </xdr:style>
        <xdr:txBody>
          <a:bodyPr vertOverflow="clip" horzOverflow="clip" wrap="square" lIns="18288" tIns="0" rIns="0" bIns="0" rtlCol="0" anchor="t" upright="1"/>
          <a:lstStyle/>
          <a:p>
            <a:pPr algn="l"/>
            <a:endParaRPr lang="es-MX" sz="1000">
              <a:solidFill>
                <a:srgbClr val="FF0000"/>
              </a:solidFill>
            </a:endParaRP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la-a2243437lap\Galeana\Notas%20Tecnicas\2006\Gastos%20Medicos%20Mayores\+%20VISI&#211;N%20Grupo%20y%20Colectivo\CalculoTarifas%20gpo%20y%20colec_2006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RESIÓN"/>
      <sheetName val="SESAS"/>
      <sheetName val="MORBILIDAD"/>
      <sheetName val="G-GPO"/>
      <sheetName val="G-PN-GPO"/>
      <sheetName val="G-COL"/>
      <sheetName val="G-PN-COL"/>
      <sheetName val="PNyT"/>
      <sheetName val="CATALOGO catastrofico"/>
      <sheetName val="CATALOGO"/>
      <sheetName val="1er escenario"/>
      <sheetName val="2º escenario"/>
      <sheetName val="PNyT (2)"/>
      <sheetName val="PNyT (3)"/>
      <sheetName val="SIDA"/>
      <sheetName val="COBERTURAS"/>
      <sheetName val="SinPad Gpo Nac P"/>
      <sheetName val="padecimientos de oj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A1:L33"/>
  <sheetViews>
    <sheetView windowProtection="1" showGridLines="0" showRowColHeaders="0" tabSelected="1" zoomScaleNormal="100" zoomScaleSheetLayoutView="110" workbookViewId="0">
      <selection activeCell="D9" sqref="D9"/>
    </sheetView>
  </sheetViews>
  <sheetFormatPr baseColWidth="10" defaultColWidth="0" defaultRowHeight="12.5" zeroHeight="1"/>
  <cols>
    <col min="1" max="12" width="15.54296875" customWidth="1"/>
    <col min="13" max="16384" width="11.453125" hidden="1"/>
  </cols>
  <sheetData>
    <row r="1" spans="1:11" ht="9" customHeight="1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</row>
    <row r="2" spans="1:11" ht="9" customHeight="1">
      <c r="A2" s="91"/>
      <c r="B2" s="91"/>
      <c r="C2" s="91"/>
      <c r="D2" s="91"/>
      <c r="E2" s="91"/>
      <c r="F2" s="91"/>
      <c r="G2" s="91"/>
      <c r="H2" s="91"/>
      <c r="I2" s="91"/>
      <c r="J2" s="91"/>
      <c r="K2" s="91"/>
    </row>
    <row r="3" spans="1:11" ht="6" customHeight="1">
      <c r="A3" s="91"/>
      <c r="B3" s="91"/>
      <c r="C3" s="91"/>
      <c r="D3" s="91"/>
      <c r="E3" s="91"/>
      <c r="F3" s="91"/>
      <c r="G3" s="91"/>
      <c r="H3" s="91"/>
      <c r="I3" s="91"/>
      <c r="J3" s="91"/>
      <c r="K3" s="91"/>
    </row>
    <row r="4" spans="1:11" ht="6" customHeight="1">
      <c r="A4" s="91"/>
      <c r="B4" s="91"/>
      <c r="C4" s="91"/>
      <c r="D4" s="91"/>
      <c r="E4" s="91"/>
      <c r="F4" s="91"/>
      <c r="G4" s="91"/>
      <c r="H4" s="91"/>
      <c r="I4" s="91"/>
      <c r="J4" s="91"/>
      <c r="K4" s="91"/>
    </row>
    <row r="5" spans="1:11" ht="6" customHeight="1">
      <c r="A5" s="91"/>
      <c r="B5" s="91"/>
      <c r="C5" s="91"/>
      <c r="D5" s="91"/>
      <c r="E5" s="91"/>
      <c r="F5" s="91"/>
      <c r="G5" s="91"/>
      <c r="H5" s="91"/>
      <c r="I5" s="91"/>
      <c r="J5" s="91"/>
      <c r="K5" s="91"/>
    </row>
    <row r="6" spans="1:11">
      <c r="A6" s="91"/>
      <c r="B6" s="91"/>
      <c r="C6" s="91"/>
      <c r="D6" s="91"/>
      <c r="E6" s="91"/>
      <c r="F6" s="91"/>
      <c r="G6" s="91"/>
      <c r="H6" s="91"/>
      <c r="I6" s="91"/>
      <c r="J6" s="91"/>
      <c r="K6" s="91"/>
    </row>
    <row r="7" spans="1:11">
      <c r="A7" s="91"/>
      <c r="B7" s="91"/>
      <c r="C7" s="91"/>
      <c r="D7" s="91"/>
      <c r="E7" s="91"/>
      <c r="F7" s="91"/>
      <c r="G7" s="91"/>
      <c r="H7" s="91"/>
      <c r="I7" s="91"/>
      <c r="J7" s="91"/>
      <c r="K7" s="91"/>
    </row>
    <row r="8" spans="1:11">
      <c r="A8" s="91"/>
      <c r="B8" s="91"/>
      <c r="C8" s="91"/>
      <c r="D8" s="91"/>
      <c r="E8" s="91"/>
      <c r="F8" s="91"/>
      <c r="G8" s="91"/>
      <c r="H8" s="91"/>
      <c r="I8" s="91"/>
      <c r="J8" s="91"/>
      <c r="K8" s="91"/>
    </row>
    <row r="9" spans="1:11">
      <c r="A9" s="91"/>
      <c r="B9" s="91"/>
      <c r="C9" s="91"/>
      <c r="D9" s="91"/>
      <c r="E9" s="91"/>
      <c r="F9" s="91"/>
      <c r="G9" s="91"/>
      <c r="H9" s="91"/>
      <c r="I9" s="91"/>
      <c r="J9" s="91"/>
      <c r="K9" s="91"/>
    </row>
    <row r="10" spans="1:11">
      <c r="A10" s="91"/>
      <c r="B10" s="91"/>
      <c r="C10" s="91"/>
      <c r="D10" s="91"/>
      <c r="E10" s="91"/>
      <c r="F10" s="91"/>
      <c r="G10" s="91"/>
      <c r="H10" s="91"/>
      <c r="I10" s="91"/>
      <c r="J10" s="91"/>
      <c r="K10" s="91"/>
    </row>
    <row r="11" spans="1:11">
      <c r="A11" s="91"/>
      <c r="B11" s="91"/>
      <c r="C11" s="91"/>
      <c r="D11" s="91"/>
      <c r="E11" s="91"/>
      <c r="F11" s="91"/>
      <c r="G11" s="91"/>
      <c r="H11" s="91"/>
      <c r="I11" s="91"/>
      <c r="J11" s="91"/>
      <c r="K11" s="91"/>
    </row>
    <row r="12" spans="1:11">
      <c r="A12" s="91"/>
      <c r="B12" s="91"/>
      <c r="C12" s="91"/>
      <c r="D12" s="91"/>
      <c r="E12" s="91"/>
      <c r="F12" s="91"/>
      <c r="G12" s="91"/>
      <c r="H12" s="91"/>
      <c r="I12" s="91"/>
      <c r="J12" s="91"/>
      <c r="K12" s="91"/>
    </row>
    <row r="13" spans="1:11">
      <c r="A13" s="91"/>
      <c r="B13" s="91"/>
      <c r="C13" s="91"/>
      <c r="D13" s="91"/>
      <c r="E13" s="91"/>
      <c r="F13" s="91"/>
      <c r="G13" s="91"/>
      <c r="H13" s="91"/>
      <c r="I13" s="91"/>
      <c r="J13" s="91"/>
      <c r="K13" s="91"/>
    </row>
    <row r="14" spans="1:11">
      <c r="A14" s="91"/>
      <c r="B14" s="91"/>
      <c r="C14" s="91"/>
      <c r="D14" s="91"/>
      <c r="E14" s="91"/>
      <c r="F14" s="91"/>
      <c r="G14" s="91"/>
      <c r="H14" s="91"/>
      <c r="I14" s="91"/>
      <c r="J14" s="91"/>
      <c r="K14" s="91"/>
    </row>
    <row r="15" spans="1:11">
      <c r="A15" s="91"/>
      <c r="B15" s="91"/>
      <c r="C15" s="91"/>
      <c r="D15" s="91"/>
      <c r="E15" s="91"/>
      <c r="F15" s="91"/>
      <c r="G15" s="91"/>
      <c r="H15" s="91"/>
      <c r="I15" s="91"/>
      <c r="J15" s="91"/>
      <c r="K15" s="91"/>
    </row>
    <row r="16" spans="1:11">
      <c r="A16" s="91"/>
      <c r="B16" s="91"/>
      <c r="C16" s="91"/>
      <c r="D16" s="91"/>
      <c r="E16" s="91"/>
      <c r="F16" s="91"/>
      <c r="G16" s="91"/>
      <c r="H16" s="91"/>
      <c r="I16" s="91"/>
      <c r="J16" s="91"/>
      <c r="K16" s="91"/>
    </row>
    <row r="17" spans="1:11">
      <c r="A17" s="91"/>
      <c r="B17" s="91"/>
      <c r="C17" s="91"/>
      <c r="D17" s="91"/>
      <c r="E17" s="91"/>
      <c r="F17" s="91"/>
      <c r="G17" s="91"/>
      <c r="H17" s="91"/>
      <c r="I17" s="91"/>
      <c r="J17" s="91"/>
      <c r="K17" s="91"/>
    </row>
    <row r="18" spans="1:11">
      <c r="A18" s="91"/>
      <c r="B18" s="91"/>
      <c r="C18" s="91"/>
      <c r="D18" s="91"/>
      <c r="E18" s="91"/>
      <c r="F18" s="91"/>
      <c r="G18" s="91"/>
      <c r="H18" s="91"/>
      <c r="I18" s="91"/>
      <c r="J18" s="91"/>
      <c r="K18" s="91"/>
    </row>
    <row r="19" spans="1:11">
      <c r="A19" s="91"/>
      <c r="B19" s="91"/>
      <c r="C19" s="91"/>
      <c r="D19" s="91"/>
      <c r="E19" s="91"/>
      <c r="F19" s="91"/>
      <c r="G19" s="91"/>
      <c r="H19" s="91"/>
      <c r="I19" s="91"/>
      <c r="J19" s="91"/>
      <c r="K19" s="91"/>
    </row>
    <row r="20" spans="1:11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91"/>
    </row>
    <row r="21" spans="1:11">
      <c r="A21" s="91"/>
      <c r="B21" s="91"/>
      <c r="C21" s="91"/>
      <c r="D21" s="91"/>
      <c r="E21" s="91"/>
      <c r="F21" s="91"/>
      <c r="G21" s="91"/>
      <c r="H21" s="91"/>
      <c r="I21" s="91"/>
      <c r="J21" s="91"/>
      <c r="K21" s="91"/>
    </row>
    <row r="22" spans="1:11">
      <c r="A22" s="91"/>
      <c r="B22" s="91"/>
      <c r="C22" s="91"/>
      <c r="D22" s="91"/>
      <c r="E22" s="91"/>
      <c r="F22" s="91"/>
      <c r="G22" s="91"/>
      <c r="H22" s="91"/>
      <c r="I22" s="91"/>
      <c r="J22" s="91"/>
      <c r="K22" s="91"/>
    </row>
    <row r="23" spans="1:11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</row>
    <row r="24" spans="1:11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</row>
    <row r="25" spans="1:11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</row>
    <row r="26" spans="1:11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</row>
    <row r="27" spans="1:11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</row>
    <row r="28" spans="1:11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</row>
    <row r="29" spans="1:11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</row>
    <row r="30" spans="1:11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</row>
    <row r="31" spans="1:11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</row>
    <row r="32" spans="1:11">
      <c r="A32" s="91"/>
      <c r="B32" s="91"/>
      <c r="C32" s="91"/>
      <c r="D32" s="91"/>
      <c r="E32" s="91"/>
      <c r="F32" s="91"/>
      <c r="G32" s="91"/>
      <c r="H32" s="91"/>
      <c r="I32" s="91"/>
      <c r="J32" s="91"/>
      <c r="K32" s="91"/>
    </row>
    <row r="33" spans="1:11">
      <c r="A33" s="91"/>
      <c r="B33" s="91"/>
      <c r="C33" s="91"/>
      <c r="D33" s="91"/>
      <c r="E33" s="91"/>
      <c r="F33" s="91"/>
      <c r="G33" s="91"/>
      <c r="H33" s="91"/>
      <c r="I33" s="91"/>
      <c r="J33" s="91"/>
      <c r="K33" s="91"/>
    </row>
  </sheetData>
  <sheetProtection password="F6B9" sheet="1" objects="1" scenarios="1" selectLockedCells="1" selectUnlockedCells="1"/>
  <printOptions horizontalCentered="1" verticalCentered="1"/>
  <pageMargins left="0.70866141732283472" right="0.70866141732283472" top="0.74803149606299213" bottom="0.74803149606299213" header="0.31496062992125984" footer="0.31496062992125984"/>
  <pageSetup scale="66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M64"/>
  <sheetViews>
    <sheetView windowProtection="1" showGridLines="0" showRowColHeaders="0" topLeftCell="A14" zoomScaleNormal="100" workbookViewId="0">
      <selection activeCell="B12" sqref="B12:I12"/>
    </sheetView>
  </sheetViews>
  <sheetFormatPr baseColWidth="10" defaultColWidth="0" defaultRowHeight="12.5" zeroHeight="1"/>
  <cols>
    <col min="1" max="5" width="11.453125" customWidth="1"/>
    <col min="6" max="6" width="16.7265625" customWidth="1"/>
    <col min="7" max="8" width="11.453125" customWidth="1"/>
    <col min="9" max="9" width="16.81640625" customWidth="1"/>
    <col min="10" max="12" width="11.453125" customWidth="1"/>
    <col min="13" max="13" width="20.7265625" customWidth="1"/>
    <col min="14" max="16384" width="11.453125" hidden="1"/>
  </cols>
  <sheetData>
    <row r="1" spans="1:10">
      <c r="A1" s="8"/>
      <c r="B1" s="8"/>
      <c r="C1" s="8"/>
      <c r="D1" s="8"/>
      <c r="E1" s="8"/>
      <c r="F1" s="8"/>
      <c r="G1" s="8"/>
      <c r="H1" s="8"/>
      <c r="I1" s="11"/>
    </row>
    <row r="2" spans="1:10">
      <c r="A2" s="8"/>
      <c r="B2" s="8"/>
      <c r="C2" s="8"/>
      <c r="D2" s="8"/>
      <c r="E2" s="8"/>
      <c r="F2" s="8"/>
      <c r="G2" s="8"/>
      <c r="H2" s="8"/>
      <c r="I2" s="11"/>
    </row>
    <row r="3" spans="1:10">
      <c r="A3" s="8"/>
      <c r="B3" s="8"/>
      <c r="C3" s="8"/>
      <c r="D3" s="8"/>
      <c r="E3" s="8"/>
      <c r="F3" s="8"/>
      <c r="G3" s="8"/>
      <c r="H3" s="8"/>
      <c r="I3" s="11"/>
    </row>
    <row r="4" spans="1:10">
      <c r="A4" s="8"/>
      <c r="B4" s="8"/>
      <c r="C4" s="8"/>
      <c r="D4" s="8"/>
      <c r="E4" s="8"/>
      <c r="F4" s="8"/>
      <c r="G4" s="8"/>
      <c r="H4" s="8"/>
      <c r="I4" s="8"/>
    </row>
    <row r="5" spans="1:10">
      <c r="A5" s="8"/>
      <c r="B5" s="8"/>
      <c r="C5" s="8"/>
      <c r="D5" s="8"/>
      <c r="E5" s="8"/>
      <c r="F5" s="8"/>
      <c r="G5" s="8"/>
      <c r="H5" s="8"/>
      <c r="I5" s="8"/>
    </row>
    <row r="6" spans="1:10">
      <c r="A6" s="8"/>
      <c r="B6" s="8"/>
      <c r="C6" s="8"/>
      <c r="D6" s="8"/>
      <c r="E6" s="8"/>
      <c r="F6" s="8"/>
      <c r="G6" s="8"/>
      <c r="H6" s="8"/>
      <c r="I6" s="8"/>
    </row>
    <row r="7" spans="1:10">
      <c r="A7" s="8"/>
      <c r="B7" s="9"/>
      <c r="C7" s="9"/>
      <c r="D7" s="9"/>
      <c r="E7" s="9"/>
      <c r="F7" s="9"/>
      <c r="G7" s="9"/>
      <c r="H7" s="9"/>
      <c r="I7" s="18">
        <f ca="1">TODAY()</f>
        <v>44991</v>
      </c>
    </row>
    <row r="8" spans="1:10">
      <c r="A8" s="8"/>
      <c r="B8" s="9"/>
      <c r="C8" s="9"/>
      <c r="D8" s="9"/>
      <c r="E8" s="9"/>
      <c r="F8" s="9"/>
      <c r="G8" s="9"/>
      <c r="H8" s="9"/>
      <c r="I8" s="9"/>
    </row>
    <row r="9" spans="1:10">
      <c r="A9" s="8"/>
      <c r="B9" s="9"/>
      <c r="C9" s="9"/>
      <c r="D9" s="10"/>
      <c r="E9" s="10"/>
      <c r="F9" s="8"/>
      <c r="G9" s="7"/>
      <c r="H9" s="7"/>
    </row>
    <row r="10" spans="1:10" ht="14">
      <c r="A10" s="6"/>
      <c r="B10" s="523" t="s">
        <v>62</v>
      </c>
      <c r="C10" s="523"/>
      <c r="D10" s="523"/>
      <c r="E10" s="523"/>
      <c r="F10" s="523"/>
      <c r="G10" s="523"/>
      <c r="H10" s="523"/>
      <c r="I10" s="523"/>
    </row>
    <row r="11" spans="1:10" ht="14">
      <c r="A11" s="6"/>
      <c r="B11" s="221"/>
      <c r="C11" s="221"/>
      <c r="D11" s="221"/>
      <c r="E11" s="221"/>
      <c r="F11" s="221"/>
      <c r="G11" s="221"/>
      <c r="H11" s="221"/>
      <c r="I11" s="221"/>
    </row>
    <row r="12" spans="1:10" ht="12.75" customHeight="1">
      <c r="A12" s="6"/>
      <c r="B12" s="524" t="s">
        <v>240</v>
      </c>
      <c r="C12" s="525"/>
      <c r="D12" s="525"/>
      <c r="E12" s="525"/>
      <c r="F12" s="525"/>
      <c r="G12" s="525"/>
      <c r="H12" s="525"/>
      <c r="I12" s="525"/>
      <c r="J12" s="98"/>
    </row>
    <row r="13" spans="1:10" ht="18" customHeight="1">
      <c r="A13" s="6"/>
      <c r="B13" s="528" t="s">
        <v>115</v>
      </c>
      <c r="C13" s="528"/>
      <c r="D13" s="528"/>
      <c r="E13" s="528"/>
      <c r="F13" s="528"/>
      <c r="G13" s="528"/>
      <c r="H13" s="528"/>
      <c r="I13" s="528"/>
      <c r="J13" s="98"/>
    </row>
    <row r="14" spans="1:10" ht="12.75" customHeight="1">
      <c r="A14" s="6"/>
      <c r="J14" s="95"/>
    </row>
    <row r="15" spans="1:10" ht="12.75" customHeight="1">
      <c r="A15" s="6"/>
      <c r="B15" s="526" t="s">
        <v>238</v>
      </c>
      <c r="C15" s="527"/>
      <c r="D15" s="527"/>
      <c r="E15" s="527"/>
      <c r="F15" s="527"/>
      <c r="G15" s="527"/>
      <c r="H15" s="527"/>
      <c r="I15" s="527"/>
      <c r="J15" s="95"/>
    </row>
    <row r="16" spans="1:10">
      <c r="A16" s="6"/>
      <c r="J16" s="97"/>
    </row>
    <row r="17" spans="1:10">
      <c r="A17" s="6"/>
      <c r="B17" s="524" t="s">
        <v>349</v>
      </c>
      <c r="C17" s="525"/>
      <c r="D17" s="525"/>
      <c r="E17" s="525"/>
      <c r="F17" s="525"/>
      <c r="G17" s="525"/>
      <c r="H17" s="525"/>
      <c r="I17" s="525"/>
      <c r="J17" s="97"/>
    </row>
    <row r="18" spans="1:10">
      <c r="A18" s="6"/>
      <c r="B18" s="524" t="s">
        <v>296</v>
      </c>
      <c r="C18" s="525"/>
      <c r="D18" s="525"/>
      <c r="E18" s="525"/>
      <c r="F18" s="525"/>
      <c r="G18" s="525"/>
      <c r="H18" s="525"/>
      <c r="I18" s="525"/>
    </row>
    <row r="19" spans="1:10">
      <c r="A19" s="6"/>
      <c r="B19" s="524" t="s">
        <v>297</v>
      </c>
      <c r="C19" s="525"/>
      <c r="D19" s="525"/>
      <c r="E19" s="525"/>
      <c r="F19" s="525"/>
      <c r="G19" s="525"/>
      <c r="H19" s="525"/>
      <c r="I19" s="525"/>
    </row>
    <row r="20" spans="1:10" ht="12.75" customHeight="1">
      <c r="A20" s="6"/>
      <c r="B20" s="524" t="s">
        <v>298</v>
      </c>
      <c r="C20" s="525"/>
      <c r="D20" s="525"/>
      <c r="E20" s="525"/>
      <c r="F20" s="525"/>
      <c r="G20" s="525"/>
      <c r="H20" s="525"/>
      <c r="I20" s="525"/>
    </row>
    <row r="21" spans="1:10">
      <c r="A21" s="6"/>
      <c r="B21" s="524" t="s">
        <v>299</v>
      </c>
      <c r="C21" s="525"/>
      <c r="D21" s="525"/>
      <c r="E21" s="525"/>
      <c r="F21" s="525"/>
      <c r="G21" s="525"/>
      <c r="H21" s="525"/>
      <c r="I21" s="525"/>
    </row>
    <row r="22" spans="1:10">
      <c r="A22" s="6"/>
      <c r="B22" s="524" t="s">
        <v>241</v>
      </c>
      <c r="C22" s="525"/>
      <c r="D22" s="525"/>
      <c r="E22" s="525"/>
      <c r="F22" s="525"/>
      <c r="G22" s="525"/>
      <c r="H22" s="525"/>
      <c r="I22" s="525"/>
    </row>
    <row r="23" spans="1:10" ht="12.75" customHeight="1">
      <c r="A23" s="6"/>
      <c r="B23" s="524" t="s">
        <v>300</v>
      </c>
      <c r="C23" s="525"/>
      <c r="D23" s="525"/>
      <c r="E23" s="525"/>
      <c r="F23" s="525"/>
      <c r="G23" s="525"/>
      <c r="H23" s="525"/>
      <c r="I23" s="525"/>
    </row>
    <row r="24" spans="1:10">
      <c r="A24" s="6"/>
      <c r="B24" s="524" t="s">
        <v>301</v>
      </c>
      <c r="C24" s="525"/>
      <c r="D24" s="525"/>
      <c r="E24" s="525"/>
      <c r="F24" s="525"/>
      <c r="G24" s="525"/>
      <c r="H24" s="525"/>
      <c r="I24" s="525"/>
    </row>
    <row r="25" spans="1:10">
      <c r="A25" s="6"/>
      <c r="B25" s="524" t="s">
        <v>302</v>
      </c>
      <c r="C25" s="525"/>
      <c r="D25" s="525"/>
      <c r="E25" s="525"/>
      <c r="F25" s="525"/>
      <c r="G25" s="525"/>
      <c r="H25" s="525"/>
      <c r="I25" s="525"/>
    </row>
    <row r="26" spans="1:10">
      <c r="A26" s="6"/>
      <c r="B26" s="533" t="s">
        <v>113</v>
      </c>
      <c r="C26" s="533"/>
      <c r="D26" s="533"/>
      <c r="E26" s="533"/>
      <c r="F26" s="533"/>
      <c r="G26" s="533"/>
      <c r="H26" s="533"/>
      <c r="I26" s="533"/>
    </row>
    <row r="27" spans="1:10">
      <c r="A27" s="6"/>
      <c r="B27" s="524" t="s">
        <v>303</v>
      </c>
      <c r="C27" s="525"/>
      <c r="D27" s="525"/>
      <c r="E27" s="525"/>
      <c r="F27" s="525"/>
      <c r="G27" s="525"/>
      <c r="H27" s="525"/>
      <c r="I27" s="525"/>
    </row>
    <row r="28" spans="1:10" ht="27.75" customHeight="1">
      <c r="A28" s="6"/>
      <c r="B28" s="531" t="s">
        <v>337</v>
      </c>
      <c r="C28" s="532"/>
      <c r="D28" s="532"/>
      <c r="E28" s="532"/>
      <c r="F28" s="532"/>
      <c r="G28" s="532"/>
      <c r="H28" s="532"/>
      <c r="I28" s="532"/>
    </row>
    <row r="29" spans="1:10">
      <c r="A29" s="6"/>
      <c r="B29" s="524" t="s">
        <v>304</v>
      </c>
      <c r="C29" s="525"/>
      <c r="D29" s="525"/>
      <c r="E29" s="525"/>
      <c r="F29" s="525"/>
      <c r="G29" s="525"/>
      <c r="H29" s="525"/>
      <c r="I29" s="525"/>
    </row>
    <row r="30" spans="1:10">
      <c r="A30" s="6"/>
      <c r="B30" s="524" t="s">
        <v>306</v>
      </c>
      <c r="C30" s="524"/>
      <c r="D30" s="524"/>
      <c r="E30" s="524"/>
      <c r="F30" s="524"/>
      <c r="G30" s="524"/>
      <c r="H30" s="524"/>
      <c r="I30" s="524"/>
    </row>
    <row r="31" spans="1:10" ht="12.75" customHeight="1">
      <c r="A31" s="93"/>
      <c r="B31" s="524" t="s">
        <v>307</v>
      </c>
      <c r="C31" s="525"/>
      <c r="D31" s="525"/>
      <c r="E31" s="525"/>
      <c r="F31" s="525"/>
      <c r="G31" s="525"/>
      <c r="H31" s="525"/>
      <c r="I31" s="525"/>
      <c r="J31" s="94"/>
    </row>
    <row r="32" spans="1:10" ht="12.75" customHeight="1">
      <c r="A32" s="93"/>
      <c r="B32" s="524" t="s">
        <v>308</v>
      </c>
      <c r="C32" s="525"/>
      <c r="D32" s="525"/>
      <c r="E32" s="525"/>
      <c r="F32" s="525"/>
      <c r="G32" s="525"/>
      <c r="H32" s="525"/>
      <c r="I32" s="525"/>
      <c r="J32" s="94"/>
    </row>
    <row r="33" spans="1:12" ht="12.75" customHeight="1">
      <c r="A33" s="93"/>
      <c r="B33" s="524"/>
      <c r="C33" s="525"/>
      <c r="D33" s="525"/>
      <c r="E33" s="525"/>
      <c r="F33" s="525"/>
      <c r="G33" s="525"/>
      <c r="H33" s="525"/>
      <c r="I33" s="525"/>
      <c r="J33" s="94"/>
    </row>
    <row r="34" spans="1:12" ht="12.75" customHeight="1">
      <c r="A34" s="93"/>
      <c r="B34" s="529"/>
      <c r="C34" s="529"/>
      <c r="D34" s="529"/>
      <c r="E34" s="529"/>
      <c r="F34" s="529"/>
      <c r="G34" s="529"/>
      <c r="H34" s="529"/>
      <c r="I34" s="529"/>
      <c r="J34" s="96"/>
      <c r="K34" s="94"/>
      <c r="L34" s="94"/>
    </row>
    <row r="35" spans="1:12">
      <c r="A35" s="93"/>
      <c r="B35" s="94"/>
      <c r="C35" s="94"/>
      <c r="D35" s="94"/>
      <c r="E35" s="94"/>
      <c r="F35" s="94"/>
      <c r="G35" s="94"/>
      <c r="H35" s="94"/>
      <c r="I35" s="94"/>
      <c r="J35" s="94"/>
      <c r="K35" s="94"/>
      <c r="L35" s="94"/>
    </row>
    <row r="36" spans="1:12">
      <c r="A36" s="6"/>
    </row>
    <row r="37" spans="1:12">
      <c r="A37" s="6"/>
    </row>
    <row r="38" spans="1:12">
      <c r="A38" s="6"/>
      <c r="B38" s="530"/>
      <c r="C38" s="530"/>
      <c r="D38" s="530"/>
      <c r="E38" s="530"/>
      <c r="F38" s="530"/>
      <c r="G38" s="530"/>
      <c r="H38" s="530"/>
      <c r="I38" s="530"/>
    </row>
    <row r="39" spans="1:12" hidden="1">
      <c r="A39" s="6"/>
      <c r="B39" s="222"/>
      <c r="C39" s="222"/>
      <c r="D39" s="222"/>
      <c r="E39" s="222"/>
      <c r="F39" s="222"/>
      <c r="G39" s="222"/>
      <c r="H39" s="222"/>
      <c r="I39" s="222"/>
    </row>
    <row r="40" spans="1:12" hidden="1">
      <c r="A40" s="6"/>
      <c r="B40" s="5"/>
      <c r="C40" s="5"/>
      <c r="D40" s="5"/>
      <c r="E40" s="5"/>
      <c r="F40" s="5"/>
      <c r="G40" s="5"/>
      <c r="H40" s="5"/>
      <c r="I40" s="5"/>
    </row>
    <row r="41" spans="1:12" hidden="1">
      <c r="A41" s="6"/>
      <c r="B41" s="5"/>
      <c r="C41" s="5"/>
      <c r="D41" s="5"/>
      <c r="E41" s="5"/>
      <c r="F41" s="5"/>
      <c r="G41" s="5"/>
      <c r="H41" s="5"/>
      <c r="I41" s="5"/>
    </row>
    <row r="42" spans="1:12" hidden="1">
      <c r="A42" s="6"/>
      <c r="B42" s="5"/>
      <c r="C42" s="5"/>
      <c r="D42" s="5"/>
      <c r="E42" s="5"/>
      <c r="F42" s="5"/>
      <c r="G42" s="5"/>
      <c r="H42" s="5"/>
      <c r="I42" s="5"/>
    </row>
    <row r="43" spans="1:12" hidden="1">
      <c r="A43" s="6"/>
      <c r="B43" s="5"/>
      <c r="C43" s="5"/>
      <c r="D43" s="5"/>
      <c r="E43" s="5"/>
      <c r="F43" s="5"/>
      <c r="G43" s="5"/>
      <c r="H43" s="5"/>
      <c r="I43" s="5"/>
    </row>
    <row r="44" spans="1:12"/>
    <row r="45" spans="1:12"/>
    <row r="46" spans="1:12"/>
    <row r="59"/>
    <row r="60"/>
    <row r="61"/>
    <row r="62"/>
    <row r="63"/>
    <row r="64"/>
  </sheetData>
  <sheetProtection password="F6B9" sheet="1" objects="1" scenarios="1"/>
  <mergeCells count="23">
    <mergeCell ref="B30:I30"/>
    <mergeCell ref="B29:I29"/>
    <mergeCell ref="B28:I28"/>
    <mergeCell ref="B24:I24"/>
    <mergeCell ref="B25:I25"/>
    <mergeCell ref="B27:I27"/>
    <mergeCell ref="B26:I26"/>
    <mergeCell ref="B34:I34"/>
    <mergeCell ref="B32:I32"/>
    <mergeCell ref="B38:I38"/>
    <mergeCell ref="B31:I31"/>
    <mergeCell ref="B33:I33"/>
    <mergeCell ref="B10:I10"/>
    <mergeCell ref="B18:I18"/>
    <mergeCell ref="B19:I19"/>
    <mergeCell ref="B21:I21"/>
    <mergeCell ref="B23:I23"/>
    <mergeCell ref="B12:I12"/>
    <mergeCell ref="B15:I15"/>
    <mergeCell ref="B22:I22"/>
    <mergeCell ref="B13:I13"/>
    <mergeCell ref="B17:I17"/>
    <mergeCell ref="B20:I20"/>
  </mergeCells>
  <printOptions horizontalCentered="1"/>
  <pageMargins left="0.70866141732283472" right="0.70866141732283472" top="0.74803149606299213" bottom="0.74803149606299213" header="0.31496062992125984" footer="0.31496062992125984"/>
  <pageSetup scale="66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9"/>
    <pageSetUpPr fitToPage="1"/>
  </sheetPr>
  <dimension ref="A1:W211"/>
  <sheetViews>
    <sheetView windowProtection="1" showGridLines="0" topLeftCell="A29" zoomScale="85" zoomScaleNormal="85" workbookViewId="0">
      <selection activeCell="D7" sqref="D7"/>
    </sheetView>
  </sheetViews>
  <sheetFormatPr baseColWidth="10" defaultColWidth="0" defaultRowHeight="10" zeroHeight="1"/>
  <cols>
    <col min="1" max="1" width="5.26953125" style="100" bestFit="1" customWidth="1"/>
    <col min="2" max="2" width="32.54296875" style="13" customWidth="1"/>
    <col min="3" max="3" width="37.453125" style="13" customWidth="1"/>
    <col min="4" max="4" width="24.26953125" style="13" customWidth="1"/>
    <col min="5" max="5" width="14" style="13" customWidth="1"/>
    <col min="6" max="6" width="17.81640625" style="13" bestFit="1" customWidth="1"/>
    <col min="7" max="7" width="15.1796875" style="13" customWidth="1"/>
    <col min="8" max="8" width="17.7265625" style="13" customWidth="1"/>
    <col min="9" max="9" width="14.81640625" style="13" customWidth="1"/>
    <col min="10" max="10" width="14.26953125" style="13" customWidth="1"/>
    <col min="11" max="11" width="3.1796875" style="13" customWidth="1"/>
    <col min="12" max="12" width="7" style="14" hidden="1" customWidth="1"/>
    <col min="13" max="13" width="12.54296875" style="13" hidden="1" customWidth="1"/>
    <col min="14" max="14" width="11.7265625" style="13" hidden="1" customWidth="1"/>
    <col min="15" max="15" width="13.453125" style="13" hidden="1" customWidth="1"/>
    <col min="16" max="16" width="11.453125" style="13" hidden="1" customWidth="1"/>
    <col min="17" max="17" width="8" style="13" hidden="1" customWidth="1"/>
    <col min="18" max="19" width="11.453125" style="13" hidden="1" customWidth="1"/>
    <col min="20" max="20" width="15.54296875" style="13" hidden="1" customWidth="1"/>
    <col min="21" max="21" width="13.54296875" style="13" hidden="1" customWidth="1"/>
    <col min="22" max="16384" width="11.453125" style="13" hidden="1"/>
  </cols>
  <sheetData>
    <row r="1" spans="1:20" ht="18.75" customHeight="1">
      <c r="A1" s="362"/>
      <c r="B1" s="366"/>
      <c r="C1" s="366"/>
      <c r="D1" s="366"/>
      <c r="E1" s="366"/>
      <c r="F1" s="366"/>
      <c r="G1" s="366"/>
      <c r="H1" s="366"/>
      <c r="I1" s="366"/>
      <c r="J1" s="366"/>
      <c r="K1" s="366"/>
    </row>
    <row r="2" spans="1:20" ht="16">
      <c r="A2" s="362"/>
      <c r="B2" s="534"/>
      <c r="C2" s="534"/>
      <c r="D2" s="366"/>
      <c r="E2" s="366"/>
      <c r="F2" s="366"/>
      <c r="G2" s="366"/>
      <c r="H2" s="366"/>
      <c r="I2" s="366"/>
      <c r="J2" s="366"/>
      <c r="K2" s="366"/>
    </row>
    <row r="3" spans="1:20" ht="12.5">
      <c r="A3" s="362"/>
      <c r="B3" s="535"/>
      <c r="C3" s="535"/>
      <c r="D3" s="366"/>
      <c r="E3" s="366"/>
      <c r="F3" s="366"/>
      <c r="G3" s="366"/>
      <c r="H3" s="366"/>
      <c r="I3" s="366"/>
      <c r="J3" s="366"/>
      <c r="K3" s="366"/>
    </row>
    <row r="4" spans="1:20" s="21" customFormat="1" ht="14.25" customHeight="1">
      <c r="A4" s="362"/>
      <c r="B4" s="367"/>
      <c r="C4" s="367"/>
      <c r="D4" s="367"/>
      <c r="E4" s="367"/>
      <c r="F4" s="367"/>
      <c r="G4" s="367"/>
      <c r="H4" s="367"/>
      <c r="I4" s="367"/>
      <c r="J4" s="367"/>
      <c r="K4" s="367"/>
      <c r="L4" s="22"/>
      <c r="M4" s="22"/>
      <c r="Q4" s="22"/>
      <c r="R4" s="22"/>
      <c r="S4" s="22"/>
      <c r="T4" s="23"/>
    </row>
    <row r="5" spans="1:20" s="21" customFormat="1" ht="12.75" customHeight="1">
      <c r="A5" s="363"/>
      <c r="B5" s="537" t="s">
        <v>57</v>
      </c>
      <c r="C5" s="537"/>
      <c r="D5" s="537"/>
      <c r="E5" s="378"/>
      <c r="F5" s="367"/>
      <c r="G5" s="367"/>
      <c r="H5" s="367"/>
      <c r="I5" s="367"/>
      <c r="J5" s="367"/>
      <c r="K5" s="367"/>
      <c r="L5" s="22"/>
      <c r="M5" s="22"/>
      <c r="Q5" s="22"/>
      <c r="R5" s="22"/>
      <c r="S5" s="22"/>
      <c r="T5" s="22"/>
    </row>
    <row r="6" spans="1:20" s="21" customFormat="1" ht="12.75" customHeight="1">
      <c r="A6" s="363"/>
      <c r="B6" s="537"/>
      <c r="C6" s="537"/>
      <c r="D6" s="537"/>
      <c r="E6" s="367"/>
      <c r="F6" s="367"/>
      <c r="G6" s="367"/>
      <c r="H6" s="367"/>
      <c r="I6" s="367"/>
      <c r="J6" s="367"/>
      <c r="K6" s="367"/>
      <c r="L6" s="22"/>
      <c r="M6" s="22"/>
      <c r="Q6" s="22"/>
      <c r="R6" s="22"/>
      <c r="S6" s="22"/>
      <c r="T6" s="22"/>
    </row>
    <row r="7" spans="1:20" s="21" customFormat="1" ht="12.75" customHeight="1">
      <c r="A7" s="363"/>
      <c r="B7" s="368" t="s">
        <v>366</v>
      </c>
      <c r="C7" s="369"/>
      <c r="D7" s="170" t="s">
        <v>247</v>
      </c>
      <c r="E7" s="432" t="str">
        <f>IF(AND(D7="Nueva",E29&gt;64),"COTIZACION INVALIDA",IF(AND(D7="Nueva",E30&gt;64),"COTIZACION INVALIDA","OK"))</f>
        <v>OK</v>
      </c>
      <c r="F7" s="367"/>
      <c r="G7" s="367"/>
      <c r="H7" s="367"/>
      <c r="I7" s="367"/>
      <c r="J7" s="367"/>
      <c r="K7" s="367"/>
      <c r="L7" s="22"/>
      <c r="M7" s="22"/>
      <c r="Q7" s="22"/>
      <c r="R7" s="22"/>
      <c r="S7" s="22"/>
      <c r="T7" s="22"/>
    </row>
    <row r="8" spans="1:20" s="21" customFormat="1" ht="12.5">
      <c r="A8" s="363"/>
      <c r="B8" s="368" t="s">
        <v>179</v>
      </c>
      <c r="C8" s="369"/>
      <c r="D8" s="170" t="s">
        <v>351</v>
      </c>
      <c r="E8" s="379"/>
      <c r="F8" s="429"/>
      <c r="G8" s="367"/>
      <c r="H8" s="367"/>
      <c r="I8" s="367"/>
      <c r="J8" s="367"/>
      <c r="K8" s="367"/>
      <c r="L8" s="22"/>
      <c r="M8" s="22"/>
      <c r="Q8" s="22"/>
      <c r="R8" s="22"/>
      <c r="S8" s="22"/>
      <c r="T8" s="22"/>
    </row>
    <row r="9" spans="1:20" s="21" customFormat="1" ht="12.5">
      <c r="A9" s="363"/>
      <c r="B9" s="370" t="s">
        <v>190</v>
      </c>
      <c r="C9" s="369"/>
      <c r="D9" s="170" t="s">
        <v>49</v>
      </c>
      <c r="E9" s="380"/>
      <c r="F9" s="94"/>
      <c r="G9" s="426"/>
      <c r="H9" s="367"/>
      <c r="I9" s="367"/>
      <c r="J9" s="367"/>
      <c r="K9" s="367"/>
      <c r="L9" s="22"/>
      <c r="M9" s="22"/>
      <c r="Q9" s="22"/>
      <c r="R9" s="22"/>
      <c r="S9" s="22"/>
      <c r="T9" s="22"/>
    </row>
    <row r="10" spans="1:20" s="21" customFormat="1" ht="14.25" customHeight="1">
      <c r="A10" s="363"/>
      <c r="B10" s="370" t="s">
        <v>17</v>
      </c>
      <c r="C10" s="371"/>
      <c r="D10" s="171">
        <v>100000000</v>
      </c>
      <c r="E10" s="381"/>
      <c r="F10" s="94"/>
      <c r="G10" s="427"/>
      <c r="H10" s="367"/>
      <c r="I10" s="367"/>
      <c r="J10" s="367"/>
      <c r="K10" s="367"/>
      <c r="L10" s="22"/>
      <c r="M10" s="22"/>
      <c r="Q10" s="22"/>
      <c r="R10" s="22"/>
      <c r="S10" s="22"/>
      <c r="T10" s="22"/>
    </row>
    <row r="11" spans="1:20" s="21" customFormat="1" ht="14.25" customHeight="1">
      <c r="A11" s="363"/>
      <c r="B11" s="368" t="s">
        <v>250</v>
      </c>
      <c r="C11" s="369"/>
      <c r="D11" s="170" t="s">
        <v>251</v>
      </c>
      <c r="E11" s="381"/>
      <c r="F11" s="430"/>
      <c r="G11" s="427"/>
      <c r="H11" s="367"/>
      <c r="I11" s="367"/>
      <c r="J11" s="367"/>
      <c r="K11" s="367"/>
      <c r="L11" s="22"/>
      <c r="M11" s="22"/>
      <c r="Q11" s="22"/>
      <c r="R11" s="22"/>
      <c r="S11" s="22"/>
      <c r="T11" s="22"/>
    </row>
    <row r="12" spans="1:20" s="21" customFormat="1" ht="14.25" customHeight="1">
      <c r="A12" s="363"/>
      <c r="B12" s="370" t="s">
        <v>19</v>
      </c>
      <c r="C12" s="371"/>
      <c r="D12" s="172">
        <v>12000</v>
      </c>
      <c r="E12" s="378"/>
      <c r="F12" s="430"/>
      <c r="G12" s="427"/>
      <c r="H12" s="367"/>
      <c r="I12" s="367"/>
      <c r="J12" s="367"/>
      <c r="K12" s="367"/>
      <c r="L12" s="22"/>
      <c r="M12" s="536"/>
      <c r="N12" s="536"/>
      <c r="O12" s="536"/>
      <c r="P12" s="536"/>
      <c r="Q12" s="536"/>
      <c r="R12" s="536"/>
      <c r="S12" s="536"/>
      <c r="T12" s="536"/>
    </row>
    <row r="13" spans="1:20" s="21" customFormat="1" ht="13.5" customHeight="1">
      <c r="A13" s="363"/>
      <c r="B13" s="370" t="s">
        <v>20</v>
      </c>
      <c r="C13" s="367"/>
      <c r="D13" s="173" t="s">
        <v>256</v>
      </c>
      <c r="E13" s="378"/>
      <c r="F13" s="430"/>
      <c r="G13" s="427"/>
      <c r="H13" s="367"/>
      <c r="I13" s="367"/>
      <c r="J13" s="367"/>
      <c r="K13" s="367"/>
      <c r="L13" s="22"/>
      <c r="M13" s="217"/>
      <c r="N13" s="217"/>
      <c r="O13" s="217"/>
      <c r="P13" s="217"/>
      <c r="Q13" s="217"/>
      <c r="R13" s="217"/>
      <c r="S13" s="217"/>
      <c r="T13" s="217"/>
    </row>
    <row r="14" spans="1:20" s="21" customFormat="1" ht="14.25" customHeight="1">
      <c r="A14" s="363"/>
      <c r="B14" s="370" t="s">
        <v>83</v>
      </c>
      <c r="C14" s="367"/>
      <c r="D14" s="174" t="s">
        <v>235</v>
      </c>
      <c r="E14" s="378"/>
      <c r="F14" s="430"/>
      <c r="G14" s="427"/>
      <c r="H14" s="367"/>
      <c r="I14" s="367"/>
      <c r="J14" s="367"/>
      <c r="K14" s="367"/>
      <c r="L14" s="22"/>
      <c r="M14" s="217"/>
      <c r="N14" s="217"/>
      <c r="O14" s="217"/>
      <c r="P14" s="217"/>
      <c r="Q14" s="217"/>
      <c r="R14" s="217"/>
      <c r="S14" s="217"/>
      <c r="T14" s="217"/>
    </row>
    <row r="15" spans="1:20" s="21" customFormat="1" ht="14.25" hidden="1" customHeight="1">
      <c r="A15" s="363"/>
      <c r="B15" s="370" t="s">
        <v>184</v>
      </c>
      <c r="C15" s="367"/>
      <c r="D15" s="513">
        <f>VLOOKUP(D14,FACTORES!$M$3:$O$34,2,0)</f>
        <v>8</v>
      </c>
      <c r="E15" s="378"/>
      <c r="F15" s="373"/>
      <c r="G15" s="367"/>
      <c r="H15" s="367"/>
      <c r="I15" s="367"/>
      <c r="J15" s="367"/>
      <c r="K15" s="367"/>
      <c r="L15" s="22"/>
      <c r="M15" s="217"/>
      <c r="N15" s="217"/>
      <c r="O15" s="217"/>
      <c r="P15" s="217"/>
      <c r="Q15" s="217"/>
      <c r="R15" s="217"/>
      <c r="S15" s="217"/>
      <c r="T15" s="217"/>
    </row>
    <row r="16" spans="1:20" s="21" customFormat="1" ht="14.25" customHeight="1">
      <c r="A16" s="363"/>
      <c r="B16" s="370" t="s">
        <v>373</v>
      </c>
      <c r="C16" s="367"/>
      <c r="D16" s="513">
        <f>VLOOKUP(D14,FACTORES!$M$2:$O$34,3,0)</f>
        <v>5</v>
      </c>
      <c r="E16" s="378"/>
      <c r="F16" s="373"/>
      <c r="G16" s="367"/>
      <c r="H16" s="367"/>
      <c r="I16" s="367"/>
      <c r="J16" s="367"/>
      <c r="K16" s="367"/>
      <c r="L16" s="22"/>
      <c r="M16" s="512"/>
      <c r="N16" s="512"/>
      <c r="O16" s="512"/>
      <c r="P16" s="512"/>
      <c r="Q16" s="512"/>
      <c r="R16" s="512"/>
      <c r="S16" s="512"/>
      <c r="T16" s="512"/>
    </row>
    <row r="17" spans="1:20" s="21" customFormat="1" ht="12.75" hidden="1" customHeight="1">
      <c r="A17" s="364"/>
      <c r="B17" s="370" t="s">
        <v>259</v>
      </c>
      <c r="C17" s="370"/>
      <c r="D17" s="400" t="s">
        <v>43</v>
      </c>
      <c r="E17" s="382"/>
      <c r="F17" s="383"/>
      <c r="G17" s="367"/>
      <c r="H17" s="384"/>
      <c r="I17" s="367"/>
      <c r="J17" s="367"/>
      <c r="K17" s="367"/>
      <c r="L17" s="22"/>
      <c r="M17" s="217"/>
      <c r="N17" s="217"/>
      <c r="O17" s="217"/>
      <c r="P17" s="217"/>
      <c r="Q17" s="217"/>
      <c r="R17" s="217"/>
      <c r="S17" s="217"/>
      <c r="T17" s="217"/>
    </row>
    <row r="18" spans="1:20" s="21" customFormat="1" ht="14.25" customHeight="1">
      <c r="A18" s="363"/>
      <c r="B18" s="370" t="s">
        <v>61</v>
      </c>
      <c r="C18" s="367"/>
      <c r="D18" s="170" t="s">
        <v>44</v>
      </c>
      <c r="E18" s="382" t="str">
        <f>IF(D12&gt;50000,"Gasto por parto o cesárea incluido en cobertura básica de hasta $20,000",IF(D18="NO","Gasto por parto o cesárea incluido en cobertura básica de hasta $20,000","Gasto por parto o cesárea con cobertura incremental contratada, hasta"&amp;" $ "&amp;D18))</f>
        <v>Gasto por parto o cesárea incluido en cobertura básica de hasta $20,000</v>
      </c>
      <c r="F18" s="425"/>
      <c r="G18" s="367"/>
      <c r="H18" s="367"/>
      <c r="I18" s="371"/>
      <c r="J18" s="371"/>
      <c r="K18" s="367"/>
      <c r="L18" s="22"/>
      <c r="M18" s="217"/>
      <c r="N18" s="217"/>
      <c r="O18" s="25"/>
      <c r="P18" s="25"/>
      <c r="Q18" s="22"/>
      <c r="R18" s="22"/>
      <c r="S18" s="22"/>
      <c r="T18" s="26"/>
    </row>
    <row r="19" spans="1:20" s="21" customFormat="1" ht="14.25" customHeight="1">
      <c r="A19" s="363"/>
      <c r="B19" s="370" t="s">
        <v>173</v>
      </c>
      <c r="C19" s="372"/>
      <c r="D19" s="170" t="s">
        <v>44</v>
      </c>
      <c r="E19" s="367"/>
      <c r="F19" s="373"/>
      <c r="G19" s="428"/>
      <c r="H19" s="367"/>
      <c r="I19" s="371"/>
      <c r="J19" s="371"/>
      <c r="K19" s="367"/>
      <c r="L19" s="540"/>
      <c r="M19" s="540"/>
      <c r="N19" s="540"/>
      <c r="O19" s="540"/>
      <c r="P19" s="540"/>
      <c r="Q19" s="540"/>
      <c r="R19" s="540"/>
      <c r="S19" s="540"/>
      <c r="T19" s="540"/>
    </row>
    <row r="20" spans="1:20" s="21" customFormat="1" ht="14.25" customHeight="1">
      <c r="A20" s="363"/>
      <c r="B20" s="370" t="s">
        <v>239</v>
      </c>
      <c r="C20" s="367"/>
      <c r="D20" s="174" t="s">
        <v>44</v>
      </c>
      <c r="E20" s="386" t="str">
        <f>IF(AND(D20&lt;&gt;"NO",SUM(A29:A36)&lt;1),"COBERTURA NO PERMITIDA POR EDAD","")</f>
        <v/>
      </c>
      <c r="F20" s="385"/>
      <c r="G20" s="367"/>
      <c r="H20" s="367"/>
      <c r="I20" s="387"/>
      <c r="J20" s="371"/>
      <c r="K20" s="367"/>
      <c r="L20" s="540"/>
      <c r="M20" s="540"/>
      <c r="N20" s="540"/>
      <c r="O20" s="540"/>
      <c r="P20" s="540"/>
      <c r="Q20" s="540"/>
      <c r="R20" s="540"/>
      <c r="S20" s="540"/>
      <c r="T20" s="540"/>
    </row>
    <row r="21" spans="1:20" s="21" customFormat="1" ht="14.25" customHeight="1">
      <c r="A21" s="363"/>
      <c r="B21" s="370" t="s">
        <v>114</v>
      </c>
      <c r="C21" s="367"/>
      <c r="D21" s="170" t="s">
        <v>44</v>
      </c>
      <c r="E21" s="386" t="str">
        <f>+IF(D8="T","No es posible contratar cobertura en el extranjero en este nivel Hospitalario","")</f>
        <v/>
      </c>
      <c r="F21" s="373"/>
      <c r="G21" s="367"/>
      <c r="H21" s="367"/>
      <c r="I21" s="371"/>
      <c r="J21" s="371"/>
      <c r="K21" s="367"/>
      <c r="L21" s="22"/>
      <c r="M21" s="27"/>
      <c r="N21" s="28"/>
      <c r="O21" s="28"/>
      <c r="P21" s="28"/>
      <c r="Q21" s="22"/>
      <c r="R21" s="22"/>
      <c r="S21" s="22"/>
      <c r="T21" s="22"/>
    </row>
    <row r="22" spans="1:20" s="223" customFormat="1" ht="14.25" customHeight="1">
      <c r="A22" s="365"/>
      <c r="B22" s="368"/>
      <c r="C22" s="373"/>
      <c r="D22" s="377"/>
      <c r="E22" s="373"/>
      <c r="F22" s="385"/>
      <c r="G22" s="373"/>
      <c r="H22" s="373"/>
      <c r="I22" s="388"/>
      <c r="J22" s="388"/>
      <c r="K22" s="373"/>
      <c r="L22" s="257"/>
      <c r="M22" s="258"/>
      <c r="N22" s="259"/>
      <c r="O22" s="259"/>
      <c r="P22" s="259"/>
      <c r="Q22" s="257"/>
      <c r="R22" s="257"/>
      <c r="S22" s="257"/>
      <c r="T22" s="257"/>
    </row>
    <row r="23" spans="1:20" s="21" customFormat="1" ht="14.25" customHeight="1">
      <c r="A23" s="363"/>
      <c r="B23" s="370" t="s">
        <v>253</v>
      </c>
      <c r="C23" s="367"/>
      <c r="D23" s="173">
        <v>0</v>
      </c>
      <c r="E23" s="367"/>
      <c r="F23" s="385"/>
      <c r="G23" s="367"/>
      <c r="H23" s="367"/>
      <c r="I23" s="371"/>
      <c r="J23" s="371"/>
      <c r="K23" s="367"/>
      <c r="L23" s="22"/>
      <c r="M23" s="27"/>
      <c r="N23" s="28"/>
      <c r="O23" s="28"/>
      <c r="P23" s="28"/>
      <c r="Q23" s="22"/>
      <c r="R23" s="22"/>
      <c r="S23" s="22"/>
      <c r="T23" s="22"/>
    </row>
    <row r="24" spans="1:20" ht="12.75" customHeight="1">
      <c r="A24" s="363"/>
      <c r="B24" s="374" t="s">
        <v>80</v>
      </c>
      <c r="C24" s="366"/>
      <c r="D24" s="401">
        <v>0.16</v>
      </c>
      <c r="E24" s="366"/>
      <c r="F24" s="385"/>
      <c r="G24" s="367"/>
      <c r="H24" s="367"/>
      <c r="I24" s="367"/>
      <c r="J24" s="367"/>
      <c r="K24" s="367"/>
      <c r="L24" s="29"/>
      <c r="M24" s="17"/>
      <c r="N24" s="30"/>
      <c r="O24" s="30"/>
      <c r="P24" s="30"/>
      <c r="Q24" s="17"/>
      <c r="R24" s="31"/>
      <c r="S24" s="32"/>
      <c r="T24" s="17"/>
    </row>
    <row r="25" spans="1:20" s="21" customFormat="1" ht="21.75" hidden="1" customHeight="1">
      <c r="A25" s="363"/>
      <c r="B25" s="370" t="s">
        <v>80</v>
      </c>
      <c r="C25" s="367"/>
      <c r="D25" s="402">
        <v>0.16</v>
      </c>
      <c r="E25" s="367"/>
      <c r="F25" s="373"/>
      <c r="G25" s="367"/>
      <c r="H25" s="367"/>
      <c r="I25" s="367"/>
      <c r="J25" s="367"/>
      <c r="K25" s="367"/>
      <c r="L25" s="29"/>
      <c r="M25" s="17"/>
      <c r="N25" s="30"/>
      <c r="O25" s="30"/>
      <c r="P25" s="30"/>
      <c r="Q25" s="17"/>
      <c r="R25" s="33"/>
      <c r="S25" s="17"/>
      <c r="T25" s="17"/>
    </row>
    <row r="26" spans="1:20" s="21" customFormat="1" ht="13.5" customHeight="1">
      <c r="A26" s="363"/>
      <c r="B26" s="367"/>
      <c r="C26" s="367"/>
      <c r="D26" s="367"/>
      <c r="E26" s="375"/>
      <c r="F26" s="376"/>
      <c r="G26" s="375"/>
      <c r="H26" s="367"/>
      <c r="I26" s="367"/>
      <c r="J26" s="367"/>
      <c r="K26" s="367"/>
      <c r="L26" s="17"/>
      <c r="M26" s="17"/>
      <c r="N26" s="30"/>
      <c r="O26" s="30"/>
      <c r="P26" s="30"/>
      <c r="Q26" s="17"/>
      <c r="R26" s="34"/>
      <c r="S26" s="17"/>
      <c r="T26" s="17"/>
    </row>
    <row r="27" spans="1:20" s="21" customFormat="1">
      <c r="A27" s="363"/>
      <c r="B27" s="367"/>
      <c r="C27" s="367"/>
      <c r="D27" s="367"/>
      <c r="E27" s="367"/>
      <c r="F27" s="373"/>
      <c r="G27" s="367"/>
      <c r="H27" s="367"/>
      <c r="I27" s="367"/>
      <c r="J27" s="367"/>
      <c r="K27" s="367"/>
      <c r="L27" s="17"/>
      <c r="M27" s="17"/>
      <c r="N27" s="30"/>
      <c r="O27" s="30"/>
      <c r="P27" s="30"/>
      <c r="Q27" s="17"/>
      <c r="R27" s="17"/>
      <c r="S27" s="17"/>
      <c r="T27" s="17"/>
    </row>
    <row r="28" spans="1:20" s="21" customFormat="1" ht="30" customHeight="1">
      <c r="A28" s="363"/>
      <c r="B28" s="403" t="s">
        <v>200</v>
      </c>
      <c r="C28" s="403" t="s">
        <v>40</v>
      </c>
      <c r="D28" s="403" t="s">
        <v>199</v>
      </c>
      <c r="E28" s="403" t="s">
        <v>5</v>
      </c>
      <c r="F28" s="373"/>
      <c r="G28" s="404" t="s">
        <v>201</v>
      </c>
      <c r="H28" s="404" t="s">
        <v>202</v>
      </c>
      <c r="I28" s="404" t="s">
        <v>203</v>
      </c>
      <c r="J28" s="404" t="s">
        <v>204</v>
      </c>
      <c r="K28" s="367"/>
      <c r="L28" s="29"/>
      <c r="M28" s="17"/>
      <c r="N28" s="30"/>
      <c r="O28" s="35"/>
      <c r="P28" s="36"/>
      <c r="Q28" s="17"/>
      <c r="R28" s="37"/>
      <c r="S28" s="17"/>
      <c r="T28" s="17"/>
    </row>
    <row r="29" spans="1:20" s="21" customFormat="1" ht="15" customHeight="1">
      <c r="A29" s="363">
        <f>+IF(AND(E29&gt;=18,E29&lt;60),1,0)</f>
        <v>1</v>
      </c>
      <c r="B29" s="405" t="s">
        <v>58</v>
      </c>
      <c r="C29" s="227"/>
      <c r="D29" s="228" t="s">
        <v>7</v>
      </c>
      <c r="E29" s="228">
        <v>26</v>
      </c>
      <c r="F29" s="389" t="str">
        <f>+IF(E29="","",IF(D9="FAMILIAR",IF(E29&lt;18,"Edad no permitida",""),""))</f>
        <v/>
      </c>
      <c r="G29" s="406" t="s">
        <v>41</v>
      </c>
      <c r="H29" s="407">
        <f>+IMPRESION!E87</f>
        <v>18865.675022130086</v>
      </c>
      <c r="I29" s="407">
        <f>+IMPRESION!F87</f>
        <v>0</v>
      </c>
      <c r="J29" s="408">
        <f>+IMPRESION!G87</f>
        <v>18865.675022130086</v>
      </c>
      <c r="K29" s="367"/>
      <c r="L29" s="219"/>
      <c r="M29" s="219"/>
      <c r="N29" s="218"/>
      <c r="O29" s="35"/>
      <c r="P29" s="38"/>
      <c r="Q29" s="39"/>
      <c r="R29" s="37"/>
      <c r="S29" s="219"/>
      <c r="T29" s="219"/>
    </row>
    <row r="30" spans="1:20" s="21" customFormat="1" ht="15" customHeight="1">
      <c r="A30" s="363">
        <f t="shared" ref="A30:A36" si="0">+IF(AND(E30&gt;=18,E30&lt;60),1,0)</f>
        <v>0</v>
      </c>
      <c r="B30" s="405" t="str">
        <f>IF(D9="FAMILIAR","Cónyuge","")</f>
        <v>Cónyuge</v>
      </c>
      <c r="C30" s="227"/>
      <c r="D30" s="228"/>
      <c r="E30" s="228"/>
      <c r="F30" s="389" t="str">
        <f>+IF(E30="","",IF(D10="FAMILIAR",IF(E30&lt;18,"Edad no permitida",""),""))</f>
        <v/>
      </c>
      <c r="G30" s="406" t="s">
        <v>42</v>
      </c>
      <c r="H30" s="407">
        <f>+IMPRESION!E88</f>
        <v>10348.691825338419</v>
      </c>
      <c r="I30" s="407">
        <f>+IMPRESION!F88</f>
        <v>9362.6918253384192</v>
      </c>
      <c r="J30" s="408">
        <f>+IMPRESION!G88</f>
        <v>19711.383650676838</v>
      </c>
      <c r="K30" s="367"/>
      <c r="L30" s="40"/>
      <c r="M30" s="39"/>
      <c r="N30" s="39"/>
      <c r="O30" s="39"/>
      <c r="P30" s="41"/>
      <c r="Q30" s="219"/>
      <c r="R30" s="219"/>
      <c r="S30" s="219"/>
      <c r="T30" s="219"/>
    </row>
    <row r="31" spans="1:20" s="21" customFormat="1" ht="15" customHeight="1">
      <c r="A31" s="363">
        <f t="shared" si="0"/>
        <v>0</v>
      </c>
      <c r="B31" s="405" t="str">
        <f>IF($D$9="FAMILIAR","Dependiente 1","")</f>
        <v>Dependiente 1</v>
      </c>
      <c r="C31" s="227"/>
      <c r="D31" s="228"/>
      <c r="E31" s="228"/>
      <c r="F31" s="389"/>
      <c r="G31" s="406" t="s">
        <v>73</v>
      </c>
      <c r="H31" s="407">
        <f>+IMPRESION!E89</f>
        <v>5768.3660765442455</v>
      </c>
      <c r="I31" s="407">
        <f>+IMPRESION!F89</f>
        <v>4782.3660765442455</v>
      </c>
      <c r="J31" s="408">
        <f>+IMPRESION!G89</f>
        <v>20115.464306176982</v>
      </c>
      <c r="K31" s="367"/>
      <c r="L31" s="42"/>
      <c r="M31" s="39"/>
      <c r="N31" s="39"/>
      <c r="O31" s="39"/>
      <c r="P31" s="43"/>
      <c r="Q31" s="219"/>
      <c r="R31" s="37"/>
      <c r="S31" s="219"/>
      <c r="T31" s="32"/>
    </row>
    <row r="32" spans="1:20" s="21" customFormat="1" ht="15" customHeight="1">
      <c r="A32" s="363">
        <f t="shared" si="0"/>
        <v>0</v>
      </c>
      <c r="B32" s="405" t="str">
        <f>IF($D$9="FAMILIAR","Dependiente 2","")</f>
        <v>Dependiente 2</v>
      </c>
      <c r="C32" s="227"/>
      <c r="D32" s="228"/>
      <c r="E32" s="228"/>
      <c r="F32" s="389"/>
      <c r="G32" s="406" t="s">
        <v>75</v>
      </c>
      <c r="H32" s="407">
        <f>+IMPRESION!E90</f>
        <v>2624.821213070074</v>
      </c>
      <c r="I32" s="407">
        <f>+IMPRESION!F90</f>
        <v>1638.8212130700738</v>
      </c>
      <c r="J32" s="408">
        <f>+IMPRESION!G90</f>
        <v>20651.854556840884</v>
      </c>
      <c r="K32" s="367"/>
      <c r="L32" s="42"/>
      <c r="M32" s="39"/>
      <c r="N32" s="39"/>
      <c r="O32" s="39"/>
      <c r="P32" s="41"/>
      <c r="Q32" s="219"/>
      <c r="R32" s="44"/>
      <c r="S32" s="219"/>
      <c r="T32" s="219"/>
    </row>
    <row r="33" spans="1:20" s="21" customFormat="1" ht="15" customHeight="1">
      <c r="A33" s="363">
        <f t="shared" si="0"/>
        <v>0</v>
      </c>
      <c r="B33" s="405" t="str">
        <f>IF($D$9="FAMILIAR","Dependiente 3","")</f>
        <v>Dependiente 3</v>
      </c>
      <c r="C33" s="227"/>
      <c r="D33" s="228"/>
      <c r="E33" s="228"/>
      <c r="F33" s="389"/>
      <c r="G33" s="392"/>
      <c r="H33" s="371"/>
      <c r="I33" s="371"/>
      <c r="J33" s="371"/>
      <c r="K33" s="396"/>
      <c r="L33" s="29"/>
      <c r="M33" s="45"/>
      <c r="N33" s="46"/>
      <c r="O33" s="46"/>
      <c r="P33" s="219"/>
      <c r="Q33" s="219"/>
      <c r="R33" s="219"/>
      <c r="S33" s="219"/>
      <c r="T33" s="219"/>
    </row>
    <row r="34" spans="1:20" s="21" customFormat="1" ht="15" customHeight="1">
      <c r="A34" s="363">
        <f t="shared" si="0"/>
        <v>0</v>
      </c>
      <c r="B34" s="405" t="str">
        <f>IF($D$9="FAMILIAR","Dependiente 4","")</f>
        <v>Dependiente 4</v>
      </c>
      <c r="C34" s="227"/>
      <c r="D34" s="228"/>
      <c r="E34" s="228"/>
      <c r="F34" s="389"/>
      <c r="G34" s="392"/>
      <c r="H34" s="371"/>
      <c r="I34" s="371"/>
      <c r="J34" s="371"/>
      <c r="K34" s="367"/>
      <c r="L34" s="29"/>
      <c r="M34" s="45"/>
      <c r="N34" s="46"/>
      <c r="O34" s="46"/>
      <c r="P34" s="219"/>
      <c r="Q34" s="219"/>
      <c r="R34" s="219"/>
      <c r="S34" s="219"/>
      <c r="T34" s="219"/>
    </row>
    <row r="35" spans="1:20" s="21" customFormat="1" ht="15" customHeight="1">
      <c r="A35" s="363">
        <f t="shared" si="0"/>
        <v>0</v>
      </c>
      <c r="B35" s="405" t="str">
        <f>IF($D$9="FAMILIAR","Dependiente 5","")</f>
        <v>Dependiente 5</v>
      </c>
      <c r="C35" s="227"/>
      <c r="D35" s="228"/>
      <c r="E35" s="228"/>
      <c r="F35" s="389"/>
      <c r="G35" s="392"/>
      <c r="H35" s="371"/>
      <c r="I35" s="371"/>
      <c r="J35" s="371"/>
      <c r="K35" s="367"/>
      <c r="L35" s="29"/>
      <c r="M35" s="45"/>
      <c r="N35" s="36"/>
      <c r="O35" s="36"/>
      <c r="P35" s="219"/>
      <c r="Q35" s="219"/>
      <c r="R35" s="219"/>
      <c r="S35" s="32"/>
      <c r="T35" s="32"/>
    </row>
    <row r="36" spans="1:20" s="21" customFormat="1" ht="15" customHeight="1">
      <c r="A36" s="363">
        <f t="shared" si="0"/>
        <v>0</v>
      </c>
      <c r="B36" s="405" t="str">
        <f>IF($D$9="FAMILIAR","Dependiente 6","")</f>
        <v>Dependiente 6</v>
      </c>
      <c r="C36" s="227"/>
      <c r="D36" s="228"/>
      <c r="E36" s="228"/>
      <c r="F36" s="389"/>
      <c r="G36" s="393" t="s">
        <v>72</v>
      </c>
      <c r="H36" s="367"/>
      <c r="I36" s="394"/>
      <c r="J36" s="395"/>
      <c r="K36" s="367"/>
      <c r="L36" s="29"/>
      <c r="M36" s="45"/>
      <c r="N36" s="219"/>
      <c r="O36" s="219"/>
      <c r="P36" s="219"/>
      <c r="Q36" s="219"/>
      <c r="R36" s="219"/>
      <c r="S36" s="32"/>
      <c r="T36" s="32"/>
    </row>
    <row r="37" spans="1:20" s="21" customFormat="1" ht="22.5" customHeight="1">
      <c r="A37" s="363"/>
      <c r="B37" s="367"/>
      <c r="C37" s="367"/>
      <c r="D37" s="367"/>
      <c r="E37" s="367"/>
      <c r="F37" s="373"/>
      <c r="G37" s="404" t="s">
        <v>201</v>
      </c>
      <c r="H37" s="404" t="s">
        <v>182</v>
      </c>
      <c r="I37" s="367"/>
      <c r="J37" s="395"/>
      <c r="K37" s="367"/>
      <c r="L37" s="29"/>
      <c r="M37" s="45"/>
      <c r="N37" s="219"/>
      <c r="O37" s="219"/>
      <c r="P37" s="219"/>
      <c r="Q37" s="219"/>
      <c r="R37" s="219"/>
      <c r="S37" s="32"/>
      <c r="T37" s="32"/>
    </row>
    <row r="38" spans="1:20" s="21" customFormat="1" ht="15" customHeight="1">
      <c r="A38" s="363"/>
      <c r="B38" s="367"/>
      <c r="C38" s="367"/>
      <c r="D38" s="367"/>
      <c r="E38" s="367"/>
      <c r="F38" s="373"/>
      <c r="G38" s="409" t="s">
        <v>42</v>
      </c>
      <c r="H38" s="410">
        <v>4.7300000000000002E-2</v>
      </c>
      <c r="I38" s="542" t="s">
        <v>79</v>
      </c>
      <c r="J38" s="542"/>
      <c r="K38" s="367"/>
      <c r="L38" s="29"/>
      <c r="M38" s="45"/>
      <c r="N38" s="219"/>
      <c r="O38" s="219"/>
      <c r="P38" s="219"/>
      <c r="Q38" s="219"/>
      <c r="R38" s="219"/>
      <c r="S38" s="32"/>
      <c r="T38" s="32"/>
    </row>
    <row r="39" spans="1:20" s="21" customFormat="1" ht="15" customHeight="1">
      <c r="A39" s="363"/>
      <c r="B39" s="367"/>
      <c r="C39" s="367"/>
      <c r="D39" s="367"/>
      <c r="E39" s="367"/>
      <c r="F39" s="373"/>
      <c r="G39" s="409" t="s">
        <v>73</v>
      </c>
      <c r="H39" s="410">
        <v>6.9900000000000004E-2</v>
      </c>
      <c r="I39" s="542"/>
      <c r="J39" s="542"/>
      <c r="K39" s="367"/>
      <c r="L39" s="29"/>
      <c r="M39" s="45"/>
      <c r="N39" s="219"/>
      <c r="O39" s="219"/>
      <c r="P39" s="219"/>
      <c r="Q39" s="219"/>
      <c r="R39" s="24"/>
      <c r="S39" s="32"/>
      <c r="T39" s="32"/>
    </row>
    <row r="40" spans="1:20" s="21" customFormat="1" ht="15" customHeight="1">
      <c r="A40" s="363"/>
      <c r="B40" s="411" t="s">
        <v>237</v>
      </c>
      <c r="C40" s="544"/>
      <c r="D40" s="544"/>
      <c r="E40" s="544"/>
      <c r="F40" s="390"/>
      <c r="G40" s="409" t="s">
        <v>75</v>
      </c>
      <c r="H40" s="410">
        <v>9.9900000000000003E-2</v>
      </c>
      <c r="I40" s="542"/>
      <c r="J40" s="542"/>
      <c r="K40" s="367"/>
      <c r="L40" s="29"/>
      <c r="M40" s="45"/>
      <c r="N40" s="219"/>
      <c r="O40" s="219"/>
      <c r="P40" s="219"/>
      <c r="Q40" s="219"/>
      <c r="R40" s="47"/>
      <c r="S40" s="32"/>
      <c r="T40" s="32"/>
    </row>
    <row r="41" spans="1:20" s="21" customFormat="1" ht="18" customHeight="1">
      <c r="A41" s="363"/>
      <c r="B41" s="411" t="s">
        <v>205</v>
      </c>
      <c r="C41" s="541"/>
      <c r="D41" s="541"/>
      <c r="E41" s="541"/>
      <c r="F41" s="373"/>
      <c r="G41" s="367"/>
      <c r="H41" s="367"/>
      <c r="I41" s="367"/>
      <c r="J41" s="367"/>
      <c r="K41" s="367"/>
      <c r="L41" s="29"/>
      <c r="M41" s="45"/>
      <c r="N41" s="219"/>
      <c r="O41" s="219"/>
      <c r="P41" s="219"/>
      <c r="Q41" s="219"/>
      <c r="R41" s="47"/>
      <c r="S41" s="32"/>
      <c r="T41" s="32"/>
    </row>
    <row r="42" spans="1:20" s="21" customFormat="1" ht="14.15" customHeight="1">
      <c r="A42" s="363"/>
      <c r="B42" s="367"/>
      <c r="C42" s="367"/>
      <c r="D42" s="398"/>
      <c r="E42" s="367"/>
      <c r="F42" s="391"/>
      <c r="G42" s="397"/>
      <c r="H42" s="367"/>
      <c r="I42" s="367"/>
      <c r="J42" s="367"/>
      <c r="K42" s="367"/>
      <c r="L42" s="29"/>
      <c r="M42" s="45"/>
      <c r="N42" s="219"/>
      <c r="O42" s="219"/>
      <c r="P42" s="219"/>
      <c r="Q42" s="219"/>
      <c r="R42" s="219"/>
      <c r="S42" s="219"/>
      <c r="T42" s="32"/>
    </row>
    <row r="43" spans="1:20" s="21" customFormat="1" ht="35.25" customHeight="1">
      <c r="A43" s="363"/>
      <c r="B43" s="543" t="s">
        <v>371</v>
      </c>
      <c r="C43" s="543"/>
      <c r="D43" s="543"/>
      <c r="E43" s="543"/>
      <c r="F43" s="543"/>
      <c r="G43" s="374"/>
      <c r="H43" s="367"/>
      <c r="I43" s="367"/>
      <c r="J43" s="367"/>
      <c r="K43" s="367"/>
      <c r="L43" s="29"/>
      <c r="M43" s="45"/>
      <c r="N43" s="219"/>
      <c r="O43" s="219"/>
      <c r="P43" s="219"/>
      <c r="Q43" s="219"/>
      <c r="R43" s="219"/>
      <c r="S43" s="32"/>
      <c r="T43" s="32"/>
    </row>
    <row r="44" spans="1:20" s="21" customFormat="1" ht="14.15" customHeight="1">
      <c r="A44" s="363"/>
      <c r="B44" s="367"/>
      <c r="C44" s="367"/>
      <c r="D44" s="398"/>
      <c r="E44" s="367"/>
      <c r="F44" s="367"/>
      <c r="G44" s="367"/>
      <c r="H44" s="367"/>
      <c r="I44" s="367"/>
      <c r="J44" s="367"/>
      <c r="K44" s="367"/>
      <c r="L44" s="29"/>
      <c r="M44" s="45"/>
      <c r="N44" s="219"/>
      <c r="O44" s="219"/>
      <c r="P44" s="219"/>
      <c r="Q44" s="219"/>
      <c r="R44" s="219"/>
      <c r="S44" s="219"/>
      <c r="T44" s="30"/>
    </row>
    <row r="45" spans="1:20" s="21" customFormat="1" ht="14.15" customHeight="1">
      <c r="A45" s="363"/>
      <c r="B45" s="367"/>
      <c r="C45" s="367"/>
      <c r="D45" s="367"/>
      <c r="E45" s="367"/>
      <c r="F45" s="367"/>
      <c r="G45" s="367"/>
      <c r="H45" s="367"/>
      <c r="I45" s="367"/>
      <c r="J45" s="367"/>
      <c r="K45" s="367"/>
      <c r="L45" s="29"/>
      <c r="M45" s="219"/>
      <c r="N45" s="219"/>
      <c r="O45" s="219"/>
      <c r="P45" s="219"/>
      <c r="Q45" s="219"/>
      <c r="R45" s="219"/>
      <c r="S45" s="32"/>
      <c r="T45" s="32"/>
    </row>
    <row r="46" spans="1:20" s="21" customFormat="1" ht="14.15" customHeight="1">
      <c r="A46" s="363"/>
      <c r="B46" s="367"/>
      <c r="C46" s="367"/>
      <c r="D46" s="399"/>
      <c r="E46" s="367"/>
      <c r="F46" s="367"/>
      <c r="G46" s="367"/>
      <c r="H46" s="367"/>
      <c r="I46" s="367"/>
      <c r="J46" s="367"/>
      <c r="K46" s="367"/>
      <c r="L46" s="29"/>
      <c r="M46" s="219"/>
      <c r="N46" s="219"/>
      <c r="O46" s="219"/>
      <c r="P46" s="219"/>
      <c r="Q46" s="219"/>
      <c r="R46" s="219"/>
      <c r="S46" s="32"/>
      <c r="T46" s="219"/>
    </row>
    <row r="47" spans="1:20" s="21" customFormat="1">
      <c r="A47" s="363"/>
      <c r="B47" s="367"/>
      <c r="C47" s="367"/>
      <c r="D47" s="367"/>
      <c r="E47" s="367"/>
      <c r="F47" s="367"/>
      <c r="G47" s="367"/>
      <c r="H47" s="367"/>
      <c r="I47" s="367"/>
      <c r="J47" s="367"/>
      <c r="K47" s="367"/>
      <c r="L47" s="29"/>
      <c r="M47" s="219"/>
      <c r="N47" s="219"/>
      <c r="O47" s="219"/>
      <c r="P47" s="219"/>
      <c r="Q47" s="219"/>
      <c r="R47" s="219"/>
      <c r="S47" s="219"/>
      <c r="T47" s="32"/>
    </row>
    <row r="48" spans="1:20" s="21" customFormat="1">
      <c r="A48" s="363"/>
      <c r="B48" s="367"/>
      <c r="C48" s="367"/>
      <c r="D48" s="367"/>
      <c r="E48" s="367"/>
      <c r="F48" s="367"/>
      <c r="G48" s="367"/>
      <c r="H48" s="367"/>
      <c r="I48" s="367"/>
      <c r="J48" s="367"/>
      <c r="K48" s="367"/>
      <c r="L48" s="29"/>
      <c r="M48" s="219"/>
      <c r="N48" s="219"/>
      <c r="O48" s="219"/>
      <c r="P48" s="219"/>
      <c r="Q48" s="219"/>
      <c r="R48" s="50"/>
      <c r="S48" s="219"/>
      <c r="T48" s="32"/>
    </row>
    <row r="49" spans="1:20" s="21" customFormat="1">
      <c r="A49" s="363"/>
      <c r="B49" s="367"/>
      <c r="C49" s="367"/>
      <c r="D49" s="367"/>
      <c r="E49" s="367"/>
      <c r="F49" s="367"/>
      <c r="G49" s="367"/>
      <c r="H49" s="367"/>
      <c r="I49" s="367"/>
      <c r="J49" s="367"/>
      <c r="K49" s="367"/>
      <c r="L49" s="29"/>
      <c r="M49" s="219"/>
      <c r="N49" s="219"/>
      <c r="O49" s="219"/>
      <c r="P49" s="219"/>
      <c r="Q49" s="219"/>
      <c r="R49" s="219"/>
      <c r="S49" s="219"/>
      <c r="T49" s="32"/>
    </row>
    <row r="50" spans="1:20" s="21" customFormat="1">
      <c r="A50" s="363"/>
      <c r="B50" s="367"/>
      <c r="C50" s="367"/>
      <c r="D50" s="367"/>
      <c r="E50" s="367"/>
      <c r="F50" s="367"/>
      <c r="G50" s="367"/>
      <c r="H50" s="367"/>
      <c r="I50" s="367"/>
      <c r="J50" s="367"/>
      <c r="K50" s="367"/>
      <c r="L50" s="219"/>
      <c r="M50" s="219"/>
      <c r="N50" s="219"/>
      <c r="O50" s="219"/>
      <c r="P50" s="219"/>
      <c r="Q50" s="219"/>
      <c r="R50" s="219"/>
      <c r="S50" s="219"/>
      <c r="T50" s="219"/>
    </row>
    <row r="51" spans="1:20" s="21" customFormat="1">
      <c r="A51" s="363"/>
      <c r="B51" s="367"/>
      <c r="C51" s="367"/>
      <c r="D51" s="367"/>
      <c r="E51" s="367"/>
      <c r="F51" s="367"/>
      <c r="G51" s="367"/>
      <c r="H51" s="367"/>
      <c r="I51" s="367"/>
      <c r="J51" s="367"/>
      <c r="K51" s="367"/>
      <c r="L51" s="29"/>
      <c r="M51" s="219"/>
      <c r="N51" s="219"/>
      <c r="O51" s="219"/>
      <c r="P51" s="219"/>
      <c r="Q51" s="219"/>
      <c r="R51" s="219"/>
      <c r="S51" s="219"/>
      <c r="T51" s="219"/>
    </row>
    <row r="52" spans="1:20" s="21" customFormat="1">
      <c r="A52" s="363"/>
      <c r="B52" s="367"/>
      <c r="C52" s="367"/>
      <c r="D52" s="367"/>
      <c r="E52" s="367"/>
      <c r="F52" s="367"/>
      <c r="G52" s="367"/>
      <c r="H52" s="367"/>
      <c r="I52" s="367"/>
      <c r="J52" s="367"/>
      <c r="K52" s="367"/>
      <c r="L52" s="29"/>
      <c r="M52" s="219"/>
      <c r="N52" s="219"/>
      <c r="O52" s="219"/>
      <c r="P52" s="219"/>
      <c r="Q52" s="219"/>
      <c r="R52" s="51"/>
      <c r="S52" s="219"/>
      <c r="T52" s="219"/>
    </row>
    <row r="53" spans="1:20" s="21" customFormat="1" ht="12.5">
      <c r="A53" s="363"/>
      <c r="B53" s="367"/>
      <c r="C53" s="367"/>
      <c r="D53" s="367"/>
      <c r="E53" s="367"/>
      <c r="F53" s="367"/>
      <c r="G53" s="367"/>
      <c r="H53" s="367"/>
      <c r="I53" s="367"/>
      <c r="J53" s="367"/>
      <c r="K53" s="367"/>
      <c r="L53" s="29"/>
      <c r="M53" s="219"/>
      <c r="N53" s="219"/>
      <c r="O53" s="52"/>
      <c r="P53" s="219"/>
      <c r="Q53" s="219"/>
      <c r="R53" s="219"/>
      <c r="S53" s="24"/>
      <c r="T53" s="219"/>
    </row>
    <row r="54" spans="1:20" s="21" customFormat="1">
      <c r="A54" s="363"/>
      <c r="B54" s="367"/>
      <c r="C54" s="367"/>
      <c r="D54" s="367"/>
      <c r="E54" s="367"/>
      <c r="F54" s="367"/>
      <c r="G54" s="367"/>
      <c r="H54" s="367"/>
      <c r="I54" s="367"/>
      <c r="J54" s="367"/>
      <c r="K54" s="367"/>
      <c r="L54" s="29"/>
      <c r="M54" s="219"/>
      <c r="N54" s="219"/>
      <c r="O54" s="219"/>
      <c r="P54" s="219"/>
      <c r="Q54" s="219"/>
      <c r="R54" s="219"/>
      <c r="S54" s="24"/>
      <c r="T54" s="219"/>
    </row>
    <row r="55" spans="1:20" s="21" customFormat="1" ht="12.5">
      <c r="A55" s="363"/>
      <c r="B55" s="367"/>
      <c r="C55" s="367"/>
      <c r="D55" s="367"/>
      <c r="E55" s="367"/>
      <c r="F55" s="367"/>
      <c r="G55" s="367"/>
      <c r="H55" s="367"/>
      <c r="I55" s="367"/>
      <c r="J55" s="367"/>
      <c r="K55" s="367"/>
      <c r="L55" s="29"/>
      <c r="M55" s="219"/>
      <c r="N55" s="219"/>
      <c r="O55" s="52"/>
      <c r="P55" s="219"/>
      <c r="Q55" s="219"/>
      <c r="R55" s="219"/>
      <c r="S55" s="24"/>
      <c r="T55" s="219"/>
    </row>
    <row r="56" spans="1:20" s="21" customFormat="1" hidden="1">
      <c r="A56" s="90"/>
      <c r="L56" s="29"/>
      <c r="M56" s="219"/>
      <c r="N56" s="219"/>
      <c r="O56" s="219"/>
      <c r="P56" s="219"/>
      <c r="Q56" s="219"/>
      <c r="R56" s="219"/>
      <c r="S56" s="219"/>
      <c r="T56" s="219"/>
    </row>
    <row r="57" spans="1:20" s="21" customFormat="1" hidden="1">
      <c r="A57" s="90"/>
      <c r="L57" s="29"/>
      <c r="M57" s="219"/>
      <c r="N57" s="219"/>
      <c r="O57" s="219"/>
      <c r="P57" s="219"/>
      <c r="Q57" s="219"/>
      <c r="R57" s="219"/>
      <c r="S57" s="219"/>
      <c r="T57" s="219"/>
    </row>
    <row r="58" spans="1:20" s="21" customFormat="1" hidden="1">
      <c r="A58" s="90"/>
      <c r="L58" s="29"/>
      <c r="M58" s="219"/>
      <c r="N58" s="219"/>
      <c r="O58" s="219"/>
      <c r="P58" s="219"/>
      <c r="Q58" s="219"/>
      <c r="R58" s="219"/>
      <c r="S58" s="219"/>
      <c r="T58" s="219"/>
    </row>
    <row r="59" spans="1:20" s="21" customFormat="1" hidden="1">
      <c r="A59" s="90"/>
      <c r="L59" s="29"/>
      <c r="M59" s="219"/>
      <c r="N59" s="219"/>
      <c r="O59" s="219"/>
      <c r="P59" s="219"/>
      <c r="Q59" s="219"/>
      <c r="R59" s="32"/>
      <c r="S59" s="219"/>
      <c r="T59" s="219"/>
    </row>
    <row r="60" spans="1:20" s="21" customFormat="1" hidden="1">
      <c r="A60" s="90"/>
      <c r="L60" s="29"/>
      <c r="M60" s="219"/>
      <c r="N60" s="219"/>
      <c r="O60" s="219"/>
      <c r="P60" s="219"/>
      <c r="Q60" s="219"/>
      <c r="R60" s="219"/>
      <c r="S60" s="219"/>
      <c r="T60" s="219"/>
    </row>
    <row r="61" spans="1:20" s="21" customFormat="1" hidden="1">
      <c r="A61" s="90"/>
      <c r="L61" s="29"/>
      <c r="M61" s="219"/>
      <c r="N61" s="219"/>
      <c r="O61" s="219"/>
      <c r="P61" s="219"/>
      <c r="Q61" s="219"/>
      <c r="R61" s="219"/>
      <c r="S61" s="219"/>
      <c r="T61" s="32"/>
    </row>
    <row r="62" spans="1:20" s="21" customFormat="1" hidden="1">
      <c r="A62" s="90"/>
      <c r="L62" s="29"/>
      <c r="M62" s="219"/>
      <c r="N62" s="219"/>
      <c r="O62" s="219"/>
      <c r="P62" s="219"/>
      <c r="Q62" s="219"/>
      <c r="R62" s="219"/>
      <c r="S62" s="219"/>
      <c r="T62" s="32"/>
    </row>
    <row r="63" spans="1:20" s="21" customFormat="1" hidden="1">
      <c r="A63" s="90"/>
      <c r="L63" s="29"/>
      <c r="M63" s="219"/>
      <c r="N63" s="219"/>
      <c r="O63" s="219"/>
      <c r="P63" s="219"/>
      <c r="Q63" s="219"/>
      <c r="R63" s="219"/>
      <c r="S63" s="219"/>
      <c r="T63" s="32"/>
    </row>
    <row r="64" spans="1:20" s="21" customFormat="1" ht="12.5" hidden="1">
      <c r="A64" s="90"/>
      <c r="L64" s="29"/>
      <c r="M64" s="219"/>
      <c r="N64" s="219"/>
      <c r="O64" s="52"/>
      <c r="P64" s="219"/>
      <c r="Q64" s="219"/>
      <c r="R64" s="219"/>
      <c r="S64" s="24"/>
      <c r="T64" s="32"/>
    </row>
    <row r="65" spans="1:20" s="21" customFormat="1" hidden="1">
      <c r="A65" s="90"/>
      <c r="L65" s="29"/>
      <c r="M65" s="219"/>
      <c r="N65" s="219"/>
      <c r="O65" s="219"/>
      <c r="P65" s="219"/>
      <c r="Q65" s="219"/>
      <c r="R65" s="219"/>
      <c r="S65" s="219"/>
      <c r="T65" s="219"/>
    </row>
    <row r="66" spans="1:20" s="21" customFormat="1" hidden="1">
      <c r="A66" s="90"/>
      <c r="L66" s="29"/>
      <c r="M66" s="219"/>
      <c r="N66" s="219"/>
      <c r="O66" s="219"/>
      <c r="P66" s="219"/>
      <c r="Q66" s="219"/>
      <c r="R66" s="219"/>
      <c r="S66" s="219"/>
      <c r="T66" s="219"/>
    </row>
    <row r="67" spans="1:20" s="21" customFormat="1" hidden="1">
      <c r="A67" s="90"/>
      <c r="L67" s="29"/>
      <c r="M67" s="219"/>
      <c r="N67" s="219"/>
      <c r="O67" s="219"/>
      <c r="P67" s="219"/>
      <c r="Q67" s="219"/>
      <c r="R67" s="219"/>
      <c r="S67" s="219"/>
      <c r="T67" s="219"/>
    </row>
    <row r="68" spans="1:20" s="21" customFormat="1" hidden="1">
      <c r="A68" s="90"/>
      <c r="L68" s="29"/>
      <c r="M68" s="219"/>
      <c r="N68" s="219"/>
      <c r="O68" s="219"/>
      <c r="P68" s="219"/>
      <c r="Q68" s="219"/>
      <c r="R68" s="219"/>
      <c r="S68" s="219"/>
      <c r="T68" s="219"/>
    </row>
    <row r="69" spans="1:20" s="21" customFormat="1" hidden="1">
      <c r="A69" s="90"/>
      <c r="L69" s="29"/>
      <c r="M69" s="219"/>
      <c r="N69" s="219"/>
      <c r="O69" s="219"/>
      <c r="P69" s="219"/>
      <c r="Q69" s="219"/>
      <c r="R69" s="219"/>
      <c r="S69" s="219"/>
      <c r="T69" s="219"/>
    </row>
    <row r="70" spans="1:20" s="21" customFormat="1" hidden="1">
      <c r="A70" s="90"/>
      <c r="L70" s="29"/>
      <c r="M70" s="219"/>
      <c r="N70" s="219"/>
      <c r="O70" s="219"/>
      <c r="P70" s="219"/>
      <c r="Q70" s="53"/>
      <c r="R70" s="36"/>
      <c r="S70" s="54"/>
      <c r="T70" s="219"/>
    </row>
    <row r="71" spans="1:20" s="21" customFormat="1" hidden="1">
      <c r="A71" s="90"/>
      <c r="L71" s="29"/>
      <c r="M71" s="219"/>
      <c r="N71" s="219"/>
      <c r="O71" s="219"/>
      <c r="P71" s="219"/>
      <c r="Q71" s="53"/>
      <c r="R71" s="36"/>
      <c r="S71" s="54"/>
      <c r="T71" s="36"/>
    </row>
    <row r="72" spans="1:20" s="21" customFormat="1" hidden="1">
      <c r="A72" s="90"/>
      <c r="L72" s="29"/>
      <c r="M72" s="219"/>
      <c r="N72" s="219"/>
      <c r="O72" s="219"/>
      <c r="P72" s="219"/>
      <c r="Q72" s="53"/>
      <c r="R72" s="36"/>
      <c r="S72" s="54"/>
      <c r="T72" s="36"/>
    </row>
    <row r="73" spans="1:20" s="21" customFormat="1" ht="10.5" hidden="1" customHeight="1">
      <c r="A73" s="90"/>
      <c r="L73" s="29"/>
      <c r="M73" s="219"/>
      <c r="N73" s="219"/>
      <c r="O73" s="219"/>
      <c r="P73" s="219"/>
      <c r="Q73" s="53"/>
      <c r="R73" s="219"/>
      <c r="S73" s="54"/>
      <c r="T73" s="36"/>
    </row>
    <row r="74" spans="1:20" s="21" customFormat="1" ht="10.5" hidden="1" customHeight="1">
      <c r="A74" s="90"/>
      <c r="L74" s="29"/>
      <c r="M74" s="219"/>
      <c r="N74" s="219"/>
      <c r="O74" s="219"/>
      <c r="P74" s="219"/>
      <c r="Q74" s="53"/>
      <c r="R74" s="219"/>
      <c r="S74" s="54"/>
      <c r="T74" s="36"/>
    </row>
    <row r="75" spans="1:20" s="21" customFormat="1" ht="10.5" hidden="1" customHeight="1">
      <c r="A75" s="90"/>
      <c r="L75" s="29"/>
      <c r="M75" s="219"/>
      <c r="N75" s="219"/>
      <c r="O75" s="219"/>
      <c r="P75" s="219"/>
      <c r="Q75" s="219"/>
      <c r="R75" s="219"/>
      <c r="S75" s="219"/>
      <c r="T75" s="219"/>
    </row>
    <row r="76" spans="1:20" s="21" customFormat="1" ht="10.5" hidden="1" customHeight="1">
      <c r="A76" s="90"/>
      <c r="L76" s="29"/>
      <c r="M76" s="219"/>
      <c r="N76" s="219"/>
      <c r="O76" s="219"/>
      <c r="P76" s="219"/>
      <c r="Q76" s="219"/>
      <c r="R76" s="219"/>
      <c r="S76" s="219"/>
      <c r="T76" s="219"/>
    </row>
    <row r="77" spans="1:20" ht="3.75" hidden="1" customHeight="1">
      <c r="A77" s="90"/>
      <c r="B77" s="21"/>
      <c r="C77" s="21"/>
      <c r="D77" s="21"/>
      <c r="E77" s="21"/>
      <c r="F77" s="21"/>
      <c r="G77" s="21"/>
      <c r="H77" s="21"/>
      <c r="I77" s="21"/>
      <c r="J77" s="21"/>
      <c r="K77" s="21"/>
      <c r="L77" s="55"/>
      <c r="M77" s="32"/>
      <c r="N77" s="32"/>
      <c r="O77" s="32"/>
      <c r="P77" s="32"/>
      <c r="Q77" s="32"/>
      <c r="R77" s="32"/>
      <c r="S77" s="32"/>
      <c r="T77" s="32"/>
    </row>
    <row r="78" spans="1:20" hidden="1">
      <c r="G78" s="21"/>
      <c r="H78" s="21"/>
      <c r="I78" s="21"/>
      <c r="J78" s="21"/>
      <c r="L78" s="55"/>
      <c r="M78" s="220"/>
      <c r="N78" s="218"/>
      <c r="O78" s="218"/>
      <c r="P78" s="218"/>
      <c r="Q78" s="218"/>
      <c r="R78" s="218"/>
      <c r="S78" s="218"/>
      <c r="T78" s="218"/>
    </row>
    <row r="79" spans="1:20" s="21" customFormat="1" ht="12.5" hidden="1">
      <c r="A79" s="100"/>
      <c r="B79" s="13"/>
      <c r="C79" s="13"/>
      <c r="D79" s="13"/>
      <c r="E79" s="13"/>
      <c r="F79" s="13"/>
      <c r="K79" s="13"/>
      <c r="L79" s="55"/>
      <c r="M79" s="538"/>
      <c r="N79" s="539"/>
      <c r="O79" s="539"/>
      <c r="P79" s="539"/>
      <c r="Q79" s="218"/>
      <c r="R79" s="218"/>
      <c r="S79" s="218"/>
      <c r="T79" s="218"/>
    </row>
    <row r="80" spans="1:20" s="21" customFormat="1" hidden="1">
      <c r="A80" s="90"/>
      <c r="G80" s="13"/>
      <c r="H80" s="13"/>
      <c r="I80" s="13"/>
      <c r="J80" s="13"/>
      <c r="L80" s="55"/>
      <c r="M80" s="218"/>
      <c r="N80" s="218"/>
      <c r="O80" s="218"/>
      <c r="P80" s="218"/>
      <c r="Q80" s="218"/>
      <c r="R80" s="218"/>
      <c r="S80" s="218"/>
      <c r="T80" s="218"/>
    </row>
    <row r="81" spans="1:23" s="21" customFormat="1" hidden="1">
      <c r="A81" s="90"/>
      <c r="G81" s="13"/>
      <c r="H81" s="13"/>
      <c r="I81" s="13"/>
      <c r="J81" s="13"/>
      <c r="L81" s="56"/>
      <c r="M81" s="32"/>
      <c r="N81" s="32"/>
      <c r="O81" s="32"/>
      <c r="P81" s="32"/>
      <c r="Q81" s="57"/>
      <c r="R81" s="57"/>
      <c r="S81" s="57"/>
      <c r="T81" s="58"/>
      <c r="U81" s="48"/>
      <c r="V81" s="48"/>
    </row>
    <row r="82" spans="1:23" s="21" customFormat="1" hidden="1">
      <c r="A82" s="90"/>
      <c r="L82" s="56"/>
      <c r="M82" s="32"/>
      <c r="N82" s="32"/>
      <c r="O82" s="32"/>
      <c r="P82" s="32"/>
      <c r="Q82" s="57"/>
      <c r="R82" s="57"/>
      <c r="S82" s="57"/>
      <c r="T82" s="58"/>
      <c r="U82" s="48"/>
      <c r="V82" s="48"/>
    </row>
    <row r="83" spans="1:23" s="21" customFormat="1" hidden="1">
      <c r="A83" s="90"/>
      <c r="L83" s="56"/>
      <c r="M83" s="32"/>
      <c r="N83" s="32"/>
      <c r="O83" s="32"/>
      <c r="P83" s="32"/>
      <c r="Q83" s="57"/>
      <c r="R83" s="57"/>
      <c r="S83" s="57"/>
      <c r="T83" s="58"/>
      <c r="U83" s="48"/>
      <c r="V83" s="48"/>
    </row>
    <row r="84" spans="1:23" s="21" customFormat="1" hidden="1">
      <c r="A84" s="90"/>
      <c r="L84" s="56"/>
      <c r="M84" s="32"/>
      <c r="N84" s="32"/>
      <c r="O84" s="32"/>
      <c r="P84" s="32"/>
      <c r="Q84" s="57"/>
      <c r="R84" s="57"/>
      <c r="S84" s="57"/>
      <c r="T84" s="58"/>
      <c r="U84" s="48"/>
      <c r="V84" s="48"/>
    </row>
    <row r="85" spans="1:23" s="21" customFormat="1" hidden="1">
      <c r="A85" s="90"/>
      <c r="L85" s="56"/>
      <c r="M85" s="32"/>
      <c r="N85" s="32"/>
      <c r="O85" s="32"/>
      <c r="P85" s="32"/>
      <c r="Q85" s="57"/>
      <c r="R85" s="57"/>
      <c r="S85" s="57"/>
      <c r="T85" s="58"/>
      <c r="U85" s="48"/>
      <c r="V85" s="48"/>
      <c r="W85" s="49"/>
    </row>
    <row r="86" spans="1:23" s="21" customFormat="1" hidden="1">
      <c r="A86" s="90"/>
      <c r="L86" s="56"/>
      <c r="M86" s="32"/>
      <c r="N86" s="32"/>
      <c r="O86" s="32"/>
      <c r="P86" s="32"/>
      <c r="Q86" s="57"/>
      <c r="R86" s="57"/>
      <c r="S86" s="57"/>
      <c r="T86" s="58"/>
      <c r="U86" s="48"/>
      <c r="V86" s="48"/>
      <c r="W86" s="59"/>
    </row>
    <row r="87" spans="1:23" s="21" customFormat="1" hidden="1">
      <c r="A87" s="90"/>
      <c r="L87" s="56"/>
      <c r="M87" s="32"/>
      <c r="N87" s="32"/>
      <c r="O87" s="32"/>
      <c r="P87" s="32"/>
      <c r="Q87" s="57"/>
      <c r="R87" s="57"/>
      <c r="S87" s="57"/>
      <c r="T87" s="58"/>
      <c r="U87" s="49"/>
      <c r="V87" s="48"/>
    </row>
    <row r="88" spans="1:23" s="21" customFormat="1" hidden="1">
      <c r="A88" s="90"/>
      <c r="L88" s="56"/>
      <c r="M88" s="32"/>
      <c r="N88" s="32"/>
      <c r="O88" s="32"/>
      <c r="P88" s="32"/>
      <c r="Q88" s="57"/>
      <c r="R88" s="57"/>
      <c r="S88" s="57"/>
      <c r="T88" s="58"/>
      <c r="U88" s="49"/>
      <c r="V88" s="48"/>
    </row>
    <row r="89" spans="1:23" s="21" customFormat="1" hidden="1">
      <c r="A89" s="90"/>
      <c r="L89" s="56"/>
      <c r="M89" s="32"/>
      <c r="N89" s="32"/>
      <c r="O89" s="32"/>
      <c r="P89" s="32"/>
      <c r="Q89" s="57"/>
      <c r="R89" s="57"/>
      <c r="S89" s="57"/>
      <c r="T89" s="58"/>
      <c r="U89" s="49"/>
      <c r="V89" s="48"/>
    </row>
    <row r="90" spans="1:23" s="21" customFormat="1" ht="12.5" hidden="1">
      <c r="A90" s="90"/>
      <c r="L90" s="56"/>
      <c r="M90" s="60"/>
      <c r="N90" s="61"/>
      <c r="O90" s="546"/>
      <c r="P90" s="539"/>
      <c r="Q90" s="32"/>
      <c r="R90" s="62"/>
      <c r="S90" s="32"/>
      <c r="T90" s="63"/>
      <c r="U90" s="49"/>
      <c r="V90" s="48"/>
    </row>
    <row r="91" spans="1:23" s="21" customFormat="1" ht="12.5" hidden="1">
      <c r="A91" s="90"/>
      <c r="L91" s="56"/>
      <c r="M91" s="64"/>
      <c r="N91" s="61"/>
      <c r="O91" s="545"/>
      <c r="P91" s="539"/>
      <c r="Q91" s="32"/>
      <c r="R91" s="219"/>
      <c r="S91" s="219"/>
      <c r="T91" s="65"/>
      <c r="U91" s="49"/>
      <c r="V91" s="66"/>
    </row>
    <row r="92" spans="1:23" s="21" customFormat="1" ht="12.5" hidden="1">
      <c r="A92" s="90"/>
      <c r="L92" s="56"/>
      <c r="M92" s="64"/>
      <c r="N92" s="61"/>
      <c r="O92" s="545"/>
      <c r="P92" s="539"/>
      <c r="Q92" s="219"/>
      <c r="R92" s="219"/>
      <c r="S92" s="219"/>
      <c r="T92" s="34"/>
      <c r="U92" s="59"/>
      <c r="V92" s="67"/>
    </row>
    <row r="93" spans="1:23" s="21" customFormat="1" hidden="1">
      <c r="A93" s="90"/>
      <c r="L93" s="56"/>
      <c r="M93" s="32"/>
      <c r="N93" s="32"/>
      <c r="O93" s="32"/>
      <c r="P93" s="32"/>
      <c r="Q93" s="219"/>
      <c r="R93" s="219"/>
      <c r="S93" s="219"/>
      <c r="T93" s="58"/>
      <c r="V93" s="48"/>
    </row>
    <row r="94" spans="1:23" s="21" customFormat="1" ht="12.5" hidden="1">
      <c r="A94" s="90"/>
      <c r="L94" s="56"/>
      <c r="M94" s="549"/>
      <c r="N94" s="539"/>
      <c r="O94" s="218"/>
      <c r="P94" s="219"/>
      <c r="Q94" s="219"/>
      <c r="R94" s="219"/>
      <c r="S94" s="219"/>
      <c r="T94" s="34"/>
      <c r="V94" s="67"/>
    </row>
    <row r="95" spans="1:23" ht="12.75" hidden="1" customHeight="1">
      <c r="A95" s="90"/>
      <c r="B95" s="21"/>
      <c r="C95" s="21"/>
      <c r="D95" s="21"/>
      <c r="E95" s="21"/>
      <c r="F95" s="21"/>
      <c r="G95" s="21"/>
      <c r="H95" s="21"/>
      <c r="I95" s="21"/>
      <c r="J95" s="21"/>
      <c r="K95" s="21"/>
      <c r="L95" s="56"/>
      <c r="M95" s="32"/>
      <c r="N95" s="32"/>
      <c r="O95" s="32"/>
      <c r="P95" s="32"/>
      <c r="Q95" s="219"/>
      <c r="R95" s="68"/>
      <c r="S95" s="68"/>
      <c r="T95" s="69"/>
      <c r="V95" s="70"/>
    </row>
    <row r="96" spans="1:23" ht="12.5" hidden="1">
      <c r="G96" s="21"/>
      <c r="H96" s="21"/>
      <c r="I96" s="21"/>
      <c r="J96" s="21"/>
      <c r="L96" s="56"/>
      <c r="M96" s="218"/>
      <c r="N96" s="548"/>
      <c r="O96" s="539"/>
      <c r="P96" s="539"/>
      <c r="Q96" s="32"/>
      <c r="R96" s="32"/>
      <c r="S96" s="32"/>
      <c r="T96" s="32"/>
    </row>
    <row r="97" spans="7:20" ht="3.75" hidden="1" customHeight="1">
      <c r="G97" s="21"/>
      <c r="H97" s="21"/>
      <c r="I97" s="21"/>
      <c r="J97" s="21"/>
      <c r="L97" s="56"/>
      <c r="M97" s="218"/>
      <c r="N97" s="219"/>
      <c r="O97" s="219"/>
      <c r="P97" s="219"/>
      <c r="Q97" s="32"/>
      <c r="R97" s="32"/>
      <c r="S97" s="32"/>
      <c r="T97" s="32"/>
    </row>
    <row r="98" spans="7:20" hidden="1">
      <c r="L98" s="56"/>
      <c r="M98" s="71"/>
      <c r="N98" s="71"/>
      <c r="O98" s="71"/>
      <c r="P98" s="71"/>
      <c r="Q98" s="219"/>
      <c r="R98" s="32"/>
      <c r="S98" s="32"/>
      <c r="T98" s="32"/>
    </row>
    <row r="99" spans="7:20" hidden="1">
      <c r="L99" s="56"/>
      <c r="M99" s="218"/>
      <c r="N99" s="33"/>
      <c r="O99" s="33"/>
      <c r="P99" s="33"/>
      <c r="Q99" s="219"/>
      <c r="R99" s="32"/>
      <c r="S99" s="32"/>
      <c r="T99" s="32"/>
    </row>
    <row r="100" spans="7:20" hidden="1">
      <c r="L100" s="56"/>
      <c r="M100" s="218"/>
      <c r="N100" s="33"/>
      <c r="O100" s="33"/>
      <c r="P100" s="33"/>
      <c r="Q100" s="219"/>
      <c r="R100" s="32"/>
      <c r="S100" s="32"/>
      <c r="T100" s="32"/>
    </row>
    <row r="101" spans="7:20" hidden="1">
      <c r="L101" s="56"/>
      <c r="M101" s="72"/>
      <c r="N101" s="33"/>
      <c r="O101" s="33"/>
      <c r="P101" s="33"/>
      <c r="Q101" s="219"/>
      <c r="R101" s="32"/>
      <c r="S101" s="32"/>
      <c r="T101" s="32"/>
    </row>
    <row r="102" spans="7:20" hidden="1">
      <c r="L102" s="56"/>
      <c r="M102" s="72"/>
      <c r="N102" s="33"/>
      <c r="O102" s="33"/>
      <c r="P102" s="33"/>
      <c r="Q102" s="73"/>
      <c r="R102" s="32"/>
      <c r="S102" s="32"/>
      <c r="T102" s="32"/>
    </row>
    <row r="103" spans="7:20" ht="3.75" hidden="1" customHeight="1">
      <c r="L103" s="55"/>
      <c r="M103" s="32"/>
      <c r="N103" s="32"/>
      <c r="O103" s="32"/>
      <c r="P103" s="32"/>
      <c r="Q103" s="32"/>
      <c r="R103" s="32"/>
      <c r="S103" s="32"/>
      <c r="T103" s="32"/>
    </row>
    <row r="104" spans="7:20" ht="12.75" hidden="1" customHeight="1">
      <c r="L104" s="55"/>
      <c r="M104" s="547"/>
      <c r="N104" s="547"/>
      <c r="O104" s="547"/>
      <c r="P104" s="547"/>
      <c r="Q104" s="547"/>
      <c r="R104" s="547"/>
      <c r="S104" s="547"/>
      <c r="T104" s="547"/>
    </row>
    <row r="105" spans="7:20" hidden="1">
      <c r="L105" s="55"/>
      <c r="M105" s="547"/>
      <c r="N105" s="547"/>
      <c r="O105" s="547"/>
      <c r="P105" s="547"/>
      <c r="Q105" s="547"/>
      <c r="R105" s="547"/>
      <c r="S105" s="547"/>
      <c r="T105" s="547"/>
    </row>
    <row r="106" spans="7:20" ht="10.5" hidden="1" customHeight="1">
      <c r="L106" s="55"/>
      <c r="M106" s="547"/>
      <c r="N106" s="547"/>
      <c r="O106" s="547"/>
      <c r="P106" s="547"/>
      <c r="Q106" s="547"/>
      <c r="R106" s="547"/>
      <c r="S106" s="547"/>
      <c r="T106" s="547"/>
    </row>
    <row r="107" spans="7:20" ht="10.5" hidden="1" customHeight="1">
      <c r="L107" s="55"/>
      <c r="M107" s="32"/>
      <c r="N107" s="32"/>
      <c r="O107" s="32"/>
      <c r="P107" s="32"/>
      <c r="Q107" s="32"/>
      <c r="R107" s="32"/>
      <c r="S107" s="32"/>
      <c r="T107" s="32"/>
    </row>
    <row r="108" spans="7:20" hidden="1">
      <c r="L108" s="55"/>
      <c r="M108" s="32"/>
      <c r="N108" s="32"/>
      <c r="O108" s="32"/>
      <c r="P108" s="32"/>
      <c r="Q108" s="32"/>
      <c r="R108" s="32"/>
      <c r="S108" s="32"/>
      <c r="T108" s="32"/>
    </row>
    <row r="109" spans="7:20" hidden="1">
      <c r="L109" s="55"/>
      <c r="M109" s="32"/>
      <c r="N109" s="32"/>
      <c r="O109" s="32"/>
      <c r="P109" s="32"/>
      <c r="Q109" s="32"/>
      <c r="R109" s="32"/>
      <c r="S109" s="32"/>
      <c r="T109" s="32"/>
    </row>
    <row r="110" spans="7:20" hidden="1">
      <c r="L110" s="55"/>
      <c r="M110" s="32"/>
      <c r="N110" s="32"/>
      <c r="O110" s="32"/>
      <c r="P110" s="32"/>
      <c r="Q110" s="32"/>
      <c r="R110" s="32"/>
      <c r="S110" s="32"/>
      <c r="T110" s="32"/>
    </row>
    <row r="111" spans="7:20" hidden="1">
      <c r="L111" s="55"/>
      <c r="M111" s="32"/>
      <c r="N111" s="32"/>
      <c r="O111" s="32"/>
      <c r="P111" s="32"/>
      <c r="Q111" s="32"/>
      <c r="R111" s="32"/>
      <c r="S111" s="32"/>
      <c r="T111" s="32"/>
    </row>
    <row r="112" spans="7:20" hidden="1">
      <c r="L112" s="55"/>
      <c r="M112" s="32"/>
      <c r="N112" s="32"/>
      <c r="O112" s="32"/>
      <c r="P112" s="32"/>
      <c r="Q112" s="32"/>
      <c r="R112" s="32"/>
      <c r="S112" s="32"/>
      <c r="T112" s="32"/>
    </row>
    <row r="113" spans="12:20" hidden="1">
      <c r="L113" s="55"/>
      <c r="M113" s="32"/>
      <c r="N113" s="32"/>
      <c r="O113" s="32"/>
      <c r="P113" s="32"/>
      <c r="Q113" s="32"/>
      <c r="R113" s="32"/>
      <c r="S113" s="32"/>
      <c r="T113" s="32"/>
    </row>
    <row r="114" spans="12:20" hidden="1">
      <c r="L114" s="55"/>
      <c r="M114" s="32"/>
      <c r="N114" s="32"/>
      <c r="O114" s="32"/>
      <c r="P114" s="32"/>
      <c r="Q114" s="32"/>
      <c r="R114" s="32"/>
      <c r="S114" s="32"/>
      <c r="T114" s="32"/>
    </row>
    <row r="115" spans="12:20" hidden="1">
      <c r="L115" s="55"/>
      <c r="M115" s="32"/>
      <c r="N115" s="32"/>
      <c r="O115" s="32"/>
      <c r="P115" s="32"/>
      <c r="Q115" s="32"/>
      <c r="R115" s="32"/>
      <c r="S115" s="32"/>
      <c r="T115" s="32"/>
    </row>
    <row r="116" spans="12:20" hidden="1">
      <c r="L116" s="55"/>
      <c r="M116" s="32"/>
      <c r="N116" s="32"/>
      <c r="O116" s="32"/>
      <c r="P116" s="32"/>
      <c r="Q116" s="32"/>
      <c r="R116" s="32"/>
      <c r="S116" s="32"/>
      <c r="T116" s="32"/>
    </row>
    <row r="117" spans="12:20" hidden="1">
      <c r="L117" s="55"/>
      <c r="M117" s="32"/>
      <c r="N117" s="32"/>
      <c r="O117" s="32"/>
      <c r="P117" s="32"/>
      <c r="Q117" s="32"/>
      <c r="R117" s="32"/>
      <c r="S117" s="32"/>
      <c r="T117" s="32"/>
    </row>
    <row r="118" spans="12:20" hidden="1">
      <c r="L118" s="55"/>
      <c r="M118" s="32"/>
      <c r="N118" s="32"/>
      <c r="O118" s="32"/>
      <c r="P118" s="32"/>
      <c r="Q118" s="32"/>
      <c r="R118" s="32"/>
      <c r="S118" s="32"/>
      <c r="T118" s="32"/>
    </row>
    <row r="119" spans="12:20" hidden="1">
      <c r="L119" s="55"/>
      <c r="M119" s="32"/>
      <c r="N119" s="32"/>
      <c r="O119" s="32"/>
      <c r="P119" s="32"/>
      <c r="Q119" s="32"/>
      <c r="R119" s="32"/>
      <c r="S119" s="32"/>
      <c r="T119" s="32"/>
    </row>
    <row r="120" spans="12:20" hidden="1">
      <c r="L120" s="55"/>
      <c r="M120" s="32"/>
      <c r="N120" s="32"/>
      <c r="O120" s="32"/>
      <c r="P120" s="32"/>
      <c r="Q120" s="32"/>
      <c r="R120" s="32"/>
      <c r="S120" s="32"/>
      <c r="T120" s="32"/>
    </row>
    <row r="121" spans="12:20" hidden="1">
      <c r="L121" s="55"/>
      <c r="M121" s="32"/>
      <c r="N121" s="32"/>
      <c r="O121" s="32"/>
      <c r="P121" s="32"/>
      <c r="Q121" s="32"/>
      <c r="R121" s="32"/>
      <c r="S121" s="32"/>
      <c r="T121" s="32"/>
    </row>
    <row r="122" spans="12:20" hidden="1">
      <c r="L122" s="55"/>
      <c r="M122" s="32"/>
      <c r="N122" s="32"/>
      <c r="O122" s="32"/>
      <c r="P122" s="32"/>
      <c r="Q122" s="32"/>
      <c r="R122" s="32"/>
      <c r="S122" s="32"/>
      <c r="T122" s="32"/>
    </row>
    <row r="123" spans="12:20" hidden="1">
      <c r="L123" s="55"/>
      <c r="M123" s="32"/>
      <c r="N123" s="32"/>
      <c r="O123" s="32"/>
      <c r="P123" s="32"/>
      <c r="Q123" s="32"/>
      <c r="R123" s="32"/>
      <c r="S123" s="32"/>
      <c r="T123" s="32"/>
    </row>
    <row r="124" spans="12:20" hidden="1">
      <c r="L124" s="55"/>
      <c r="M124" s="32"/>
      <c r="N124" s="32"/>
      <c r="O124" s="32"/>
      <c r="P124" s="32"/>
      <c r="Q124" s="32"/>
      <c r="R124" s="32"/>
      <c r="S124" s="32"/>
      <c r="T124" s="32"/>
    </row>
    <row r="125" spans="12:20" hidden="1">
      <c r="L125" s="55"/>
      <c r="M125" s="32"/>
      <c r="N125" s="32"/>
      <c r="O125" s="32"/>
      <c r="P125" s="32"/>
      <c r="Q125" s="32"/>
      <c r="R125" s="32"/>
      <c r="S125" s="32"/>
      <c r="T125" s="32"/>
    </row>
    <row r="126" spans="12:20" hidden="1">
      <c r="L126" s="55"/>
      <c r="M126" s="32"/>
      <c r="N126" s="32"/>
      <c r="O126" s="32"/>
      <c r="P126" s="32"/>
      <c r="Q126" s="32"/>
      <c r="R126" s="32"/>
      <c r="S126" s="32"/>
      <c r="T126" s="32"/>
    </row>
    <row r="127" spans="12:20" hidden="1">
      <c r="L127" s="55"/>
      <c r="M127" s="32"/>
      <c r="N127" s="32"/>
      <c r="O127" s="32"/>
      <c r="P127" s="32"/>
      <c r="Q127" s="32"/>
      <c r="R127" s="32"/>
      <c r="S127" s="32"/>
      <c r="T127" s="32"/>
    </row>
    <row r="128" spans="12:20" hidden="1">
      <c r="L128" s="55"/>
      <c r="M128" s="32"/>
      <c r="N128" s="32"/>
      <c r="O128" s="32"/>
      <c r="P128" s="32"/>
      <c r="Q128" s="32"/>
      <c r="R128" s="32"/>
      <c r="S128" s="32"/>
      <c r="T128" s="32"/>
    </row>
    <row r="129" spans="12:20" hidden="1">
      <c r="L129" s="55"/>
      <c r="M129" s="32"/>
      <c r="N129" s="32"/>
      <c r="O129" s="32"/>
      <c r="P129" s="32"/>
      <c r="Q129" s="32"/>
      <c r="R129" s="32"/>
      <c r="S129" s="32"/>
      <c r="T129" s="32"/>
    </row>
    <row r="130" spans="12:20" hidden="1">
      <c r="L130" s="55"/>
      <c r="M130" s="32"/>
      <c r="N130" s="32"/>
      <c r="O130" s="32"/>
      <c r="P130" s="32"/>
      <c r="Q130" s="32"/>
      <c r="R130" s="32"/>
      <c r="S130" s="32"/>
      <c r="T130" s="32"/>
    </row>
    <row r="131" spans="12:20" hidden="1">
      <c r="L131" s="55"/>
      <c r="M131" s="32"/>
      <c r="N131" s="32"/>
      <c r="O131" s="32"/>
      <c r="P131" s="32"/>
      <c r="Q131" s="32"/>
      <c r="R131" s="32"/>
      <c r="S131" s="32"/>
      <c r="T131" s="32"/>
    </row>
    <row r="211" ht="12" hidden="1" customHeight="1"/>
  </sheetData>
  <sheetProtection algorithmName="SHA-512" hashValue="yyfd9n/q1W3kh3OdoWtL7/lPBivYEKFYOYBb05tcg/Bgkq3AhVyTi6ogDd6ai8KD21wyPbcy9+aVeOYBx24s/A==" saltValue="iBfYCSKZDjLRsfXlGI+ejQ==" spinCount="100000" sheet="1" selectLockedCells="1"/>
  <sortState ref="C316:D347">
    <sortCondition ref="C316:C347"/>
  </sortState>
  <dataConsolidate/>
  <mergeCells count="17">
    <mergeCell ref="O92:P92"/>
    <mergeCell ref="O90:P90"/>
    <mergeCell ref="M104:T104"/>
    <mergeCell ref="M105:T106"/>
    <mergeCell ref="N96:P96"/>
    <mergeCell ref="M94:N94"/>
    <mergeCell ref="O91:P91"/>
    <mergeCell ref="B2:C2"/>
    <mergeCell ref="B3:C3"/>
    <mergeCell ref="M12:T12"/>
    <mergeCell ref="B5:D6"/>
    <mergeCell ref="M79:P79"/>
    <mergeCell ref="L19:T20"/>
    <mergeCell ref="C41:E41"/>
    <mergeCell ref="I38:J40"/>
    <mergeCell ref="B43:F43"/>
    <mergeCell ref="C40:E40"/>
  </mergeCells>
  <phoneticPr fontId="0" type="noConversion"/>
  <conditionalFormatting sqref="C30:D30">
    <cfRule type="expression" dxfId="3" priority="5">
      <formula>$B$30=""</formula>
    </cfRule>
  </conditionalFormatting>
  <conditionalFormatting sqref="C31:E36">
    <cfRule type="expression" dxfId="2" priority="4">
      <formula>$B$30=""</formula>
    </cfRule>
  </conditionalFormatting>
  <conditionalFormatting sqref="C41:E41">
    <cfRule type="expression" dxfId="1" priority="1">
      <formula>$C$41="Nombre de agente"</formula>
    </cfRule>
  </conditionalFormatting>
  <dataValidations count="1">
    <dataValidation showDropDown="1" showInputMessage="1" showErrorMessage="1" sqref="C40:E40"/>
  </dataValidations>
  <printOptions horizontalCentered="1" verticalCentered="1"/>
  <pageMargins left="0.39370078740157483" right="0.39370078740157483" top="0.39370078740157483" bottom="0.39370078740157483" header="0" footer="0"/>
  <pageSetup scale="46" orientation="landscape" r:id="rId1"/>
  <headerFooter alignWithMargins="0"/>
  <cellWatches>
    <cellWatch r="D10"/>
  </cellWatches>
  <drawing r:id="rId2"/>
  <extLst>
    <ext xmlns:x14="http://schemas.microsoft.com/office/spreadsheetml/2009/9/main" uri="{CCE6A557-97BC-4b89-ADB6-D9C93CAAB3DF}">
      <x14:dataValidations xmlns:xm="http://schemas.microsoft.com/office/excel/2006/main" count="18">
        <x14:dataValidation type="list" allowBlank="1" showInputMessage="1" showErrorMessage="1">
          <x14:formula1>
            <xm:f>FACTORES!$W$11:$W$18</xm:f>
          </x14:formula1>
          <xm:sqref>D20</xm:sqref>
        </x14:dataValidation>
        <x14:dataValidation type="list" operator="lessThanOrEqual" allowBlank="1" showInputMessage="1" showErrorMessage="1" errorTitle="AVISO" error="DEDUCIBLE FUERA DE RANGO">
          <x14:formula1>
            <xm:f>FACTORES!$F$3:$F$13</xm:f>
          </x14:formula1>
          <xm:sqref>D12</xm:sqref>
        </x14:dataValidation>
        <x14:dataValidation type="list" operator="lessThanOrEqual" allowBlank="1" showInputMessage="1" showErrorMessage="1" errorTitle="AVISO" error="COASEGURO FUERA DE RANGO">
          <x14:formula1>
            <xm:f>FACTORES!$J$3:$J$5</xm:f>
          </x14:formula1>
          <xm:sqref>D13</xm:sqref>
        </x14:dataValidation>
        <x14:dataValidation type="list" allowBlank="1" showInputMessage="1" showErrorMessage="1">
          <x14:formula1>
            <xm:f>FACTORES!$B$3:$B$27</xm:f>
          </x14:formula1>
          <xm:sqref>E31:E36</xm:sqref>
        </x14:dataValidation>
        <x14:dataValidation type="list" allowBlank="1" showInputMessage="1" showErrorMessage="1">
          <x14:formula1>
            <xm:f>FACTORES!$Q$21:$Q$22</xm:f>
          </x14:formula1>
          <xm:sqref>D9</xm:sqref>
        </x14:dataValidation>
        <x14:dataValidation type="list" allowBlank="1" showInputMessage="1" showErrorMessage="1">
          <x14:formula1>
            <xm:f>FACTORES!$Q$17:$Q$18</xm:f>
          </x14:formula1>
          <xm:sqref>D8</xm:sqref>
        </x14:dataValidation>
        <x14:dataValidation type="list" allowBlank="1" showInputMessage="1" showErrorMessage="1">
          <x14:formula1>
            <xm:f>FACTORES!$Q$25:$Q$26</xm:f>
          </x14:formula1>
          <xm:sqref>D29:D36</xm:sqref>
        </x14:dataValidation>
        <x14:dataValidation type="list" allowBlank="1" showInputMessage="1" showErrorMessage="1">
          <x14:formula1>
            <xm:f>IF($D$7="NUEVA",FACTORES!$B$3:$B$67,FACTORES!$B$3:$B$103)</xm:f>
          </x14:formula1>
          <xm:sqref>E29:E30</xm:sqref>
        </x14:dataValidation>
        <x14:dataValidation type="list" allowBlank="1" showInputMessage="1" showErrorMessage="1">
          <x14:formula1>
            <xm:f>FACTORES!$G$22:$G$23</xm:f>
          </x14:formula1>
          <xm:sqref>D11</xm:sqref>
        </x14:dataValidation>
        <x14:dataValidation type="list" allowBlank="1" showInputMessage="1" showErrorMessage="1">
          <x14:formula1>
            <xm:f>IF($D$12&gt;50000,FACTORES!$J$21,FACTORES!$J$21:$J$23)</xm:f>
          </x14:formula1>
          <xm:sqref>D18</xm:sqref>
        </x14:dataValidation>
        <x14:dataValidation type="list" allowBlank="1" showInputMessage="1" showErrorMessage="1">
          <x14:formula1>
            <xm:f>FACTORES!$J$11:$J$16</xm:f>
          </x14:formula1>
          <xm:sqref>D23</xm:sqref>
        </x14:dataValidation>
        <x14:dataValidation type="list" operator="lessThanOrEqual" allowBlank="1" showInputMessage="1" showErrorMessage="1" errorTitle="AVISO" error="DEDUCIBLE FUERA DE RANGO">
          <x14:formula1>
            <xm:f>FACTORES!$M$3:$M$34</xm:f>
          </x14:formula1>
          <xm:sqref>D14</xm:sqref>
        </x14:dataValidation>
        <x14:dataValidation type="list" allowBlank="1" showInputMessage="1" showErrorMessage="1">
          <x14:formula1>
            <xm:f>FACTORES!$AB$30:$AB$31</xm:f>
          </x14:formula1>
          <xm:sqref>D21</xm:sqref>
        </x14:dataValidation>
        <x14:dataValidation type="list" allowBlank="1" showInputMessage="1" showErrorMessage="1">
          <x14:formula1>
            <xm:f>FACTORES!#REF!</xm:f>
          </x14:formula1>
          <xm:sqref>D22</xm:sqref>
        </x14:dataValidation>
        <x14:dataValidation type="list" operator="lessThanOrEqual" allowBlank="1" showInputMessage="1" showErrorMessage="1" errorTitle="AVISO" error="DEDUCIBLE FUERA DE RANGO">
          <x14:formula1>
            <xm:f>FACTORES!$AB$35:$AB$36</xm:f>
          </x14:formula1>
          <xm:sqref>D17</xm:sqref>
        </x14:dataValidation>
        <x14:dataValidation type="list" allowBlank="1" showInputMessage="1" showErrorMessage="1">
          <x14:formula1>
            <xm:f>FACTORES!$AB$21:$AB$22</xm:f>
          </x14:formula1>
          <xm:sqref>D19</xm:sqref>
        </x14:dataValidation>
        <x14:dataValidation type="list" allowBlank="1" showInputMessage="1" showErrorMessage="1">
          <x14:formula1>
            <xm:f>FACTORES!$Q$37:$Q$38</xm:f>
          </x14:formula1>
          <xm:sqref>D7</xm:sqref>
        </x14:dataValidation>
        <x14:dataValidation type="list" operator="notBetween" allowBlank="1" showInputMessage="1" showErrorMessage="1" errorTitle="AVISO" error="SUMA ASEGURADA FUERA DE RANGO">
          <x14:formula1>
            <xm:f>FACTORES!$T$3:$T$24</xm:f>
          </x14:formula1>
          <xm:sqref>D10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1:BO990"/>
  <sheetViews>
    <sheetView windowProtection="1" showGridLines="0" zoomScaleNormal="100" workbookViewId="0"/>
  </sheetViews>
  <sheetFormatPr baseColWidth="10" defaultColWidth="11.453125" defaultRowHeight="12.5" zeroHeight="1"/>
  <cols>
    <col min="1" max="1" width="2.453125" style="115" customWidth="1"/>
    <col min="2" max="2" width="6.7265625" style="122" hidden="1" customWidth="1"/>
    <col min="3" max="4" width="14.54296875" style="115" hidden="1" customWidth="1"/>
    <col min="5" max="5" width="1.81640625" style="115" hidden="1" customWidth="1"/>
    <col min="6" max="6" width="13.26953125" style="115" hidden="1" customWidth="1"/>
    <col min="7" max="7" width="23.54296875" style="115" hidden="1" customWidth="1"/>
    <col min="8" max="8" width="11.1796875" style="115" hidden="1" customWidth="1"/>
    <col min="9" max="9" width="4.7265625" style="115" hidden="1" customWidth="1"/>
    <col min="10" max="10" width="30.81640625" style="115" hidden="1" customWidth="1"/>
    <col min="11" max="11" width="10.54296875" style="115" hidden="1" customWidth="1"/>
    <col min="12" max="12" width="4.7265625" style="115" hidden="1" customWidth="1"/>
    <col min="13" max="13" width="36.26953125" style="115" hidden="1" customWidth="1"/>
    <col min="14" max="15" width="32.81640625" style="115" hidden="1" customWidth="1"/>
    <col min="16" max="16" width="9" style="115" hidden="1" customWidth="1"/>
    <col min="17" max="17" width="22.7265625" style="115" hidden="1" customWidth="1"/>
    <col min="18" max="18" width="10.1796875" style="115" hidden="1" customWidth="1"/>
    <col min="19" max="19" width="4.7265625" style="115" hidden="1" customWidth="1"/>
    <col min="20" max="20" width="26.7265625" style="115" hidden="1" customWidth="1"/>
    <col min="21" max="21" width="9.1796875" style="115" hidden="1" customWidth="1"/>
    <col min="22" max="22" width="4.7265625" style="115" hidden="1" customWidth="1"/>
    <col min="23" max="23" width="37" style="115" hidden="1" customWidth="1"/>
    <col min="24" max="24" width="18" style="115" hidden="1" customWidth="1"/>
    <col min="25" max="25" width="10.7265625" style="115" hidden="1" customWidth="1"/>
    <col min="26" max="26" width="13" style="115" hidden="1" customWidth="1"/>
    <col min="27" max="27" width="4.7265625" style="115" hidden="1" customWidth="1"/>
    <col min="28" max="28" width="44.1796875" style="115" hidden="1" customWidth="1"/>
    <col min="29" max="29" width="9.81640625" style="115" hidden="1" customWidth="1"/>
    <col min="30" max="30" width="6.81640625" style="115" hidden="1" customWidth="1"/>
    <col min="31" max="31" width="37.81640625" style="115" hidden="1" customWidth="1"/>
    <col min="32" max="32" width="11.1796875" style="115" hidden="1" customWidth="1"/>
    <col min="33" max="33" width="13.81640625" style="115" hidden="1" customWidth="1"/>
    <col min="34" max="34" width="13.54296875" style="115" hidden="1" customWidth="1"/>
    <col min="35" max="35" width="10.54296875" style="115" hidden="1" customWidth="1"/>
    <col min="36" max="36" width="12.81640625" style="115" hidden="1" customWidth="1"/>
    <col min="37" max="37" width="12.7265625" style="115" hidden="1" customWidth="1"/>
    <col min="38" max="38" width="11.7265625" style="115" hidden="1" customWidth="1"/>
    <col min="39" max="39" width="10.7265625" style="115" hidden="1" customWidth="1"/>
    <col min="40" max="44" width="13.81640625" style="115" hidden="1" customWidth="1"/>
    <col min="45" max="45" width="33.1796875" style="115" hidden="1" customWidth="1"/>
    <col min="46" max="46" width="5.1796875" style="115" hidden="1" customWidth="1"/>
    <col min="47" max="47" width="9.1796875" style="115" hidden="1" customWidth="1"/>
    <col min="48" max="48" width="4.54296875" style="115" hidden="1" customWidth="1"/>
    <col min="49" max="49" width="23" style="115" hidden="1" customWidth="1"/>
    <col min="50" max="50" width="11.26953125" style="115" hidden="1" customWidth="1"/>
    <col min="51" max="51" width="10.81640625" style="115" hidden="1" customWidth="1"/>
    <col min="52" max="52" width="23.81640625" style="115" hidden="1" customWidth="1"/>
    <col min="53" max="53" width="12.26953125" style="115" hidden="1" customWidth="1"/>
    <col min="54" max="54" width="8.7265625" style="115" hidden="1" customWidth="1"/>
    <col min="55" max="55" width="10.7265625" style="115" hidden="1" customWidth="1"/>
    <col min="56" max="56" width="13" style="115" hidden="1" customWidth="1"/>
    <col min="57" max="59" width="11.453125" style="115" hidden="1" customWidth="1"/>
    <col min="60" max="60" width="35.1796875" style="115" hidden="1" customWidth="1"/>
    <col min="61" max="62" width="13.7265625" style="115" hidden="1" customWidth="1"/>
    <col min="63" max="67" width="11.453125" style="115" hidden="1" customWidth="1"/>
    <col min="68" max="77" width="11.453125" style="115" customWidth="1"/>
    <col min="78" max="16384" width="11.453125" style="115"/>
  </cols>
  <sheetData>
    <row r="1" spans="2:58">
      <c r="B1" s="251" t="s">
        <v>369</v>
      </c>
      <c r="C1" s="249"/>
      <c r="D1" s="249" t="s">
        <v>348</v>
      </c>
      <c r="F1" s="117" t="s">
        <v>252</v>
      </c>
      <c r="G1" s="117" t="s">
        <v>251</v>
      </c>
      <c r="H1" s="117" t="s">
        <v>41</v>
      </c>
      <c r="J1" s="551" t="s">
        <v>1</v>
      </c>
      <c r="K1" s="551"/>
      <c r="M1" s="117" t="s">
        <v>211</v>
      </c>
      <c r="Q1" s="117" t="s">
        <v>187</v>
      </c>
      <c r="T1" s="117" t="s">
        <v>0</v>
      </c>
      <c r="W1" s="117" t="s">
        <v>210</v>
      </c>
      <c r="AB1" s="117" t="s">
        <v>197</v>
      </c>
      <c r="AE1" s="117" t="s">
        <v>192</v>
      </c>
    </row>
    <row r="2" spans="2:58" ht="14.5" hidden="1" thickBot="1">
      <c r="B2" s="322" t="s">
        <v>31</v>
      </c>
      <c r="C2" s="323" t="s">
        <v>367</v>
      </c>
      <c r="D2" s="324" t="s">
        <v>368</v>
      </c>
      <c r="F2" s="230" t="s">
        <v>181</v>
      </c>
      <c r="G2" s="231" t="s">
        <v>2</v>
      </c>
      <c r="H2" s="232" t="s">
        <v>2</v>
      </c>
      <c r="I2" s="117"/>
      <c r="J2" s="230" t="s">
        <v>182</v>
      </c>
      <c r="K2" s="232" t="s">
        <v>2</v>
      </c>
      <c r="L2" s="117"/>
      <c r="M2" s="304" t="s">
        <v>354</v>
      </c>
      <c r="N2" s="305" t="s">
        <v>305</v>
      </c>
      <c r="O2" s="358" t="s">
        <v>184</v>
      </c>
      <c r="Q2" s="230" t="s">
        <v>13</v>
      </c>
      <c r="R2" s="232" t="s">
        <v>2</v>
      </c>
      <c r="S2" s="117"/>
      <c r="T2" s="230" t="s">
        <v>0</v>
      </c>
      <c r="U2" s="232" t="s">
        <v>2</v>
      </c>
      <c r="V2" s="119"/>
      <c r="W2" s="230" t="s">
        <v>209</v>
      </c>
      <c r="X2" s="231" t="s">
        <v>77</v>
      </c>
      <c r="Y2" s="231" t="s">
        <v>76</v>
      </c>
      <c r="Z2" s="232" t="s">
        <v>78</v>
      </c>
      <c r="AA2" s="119"/>
      <c r="AB2" s="239" t="s">
        <v>198</v>
      </c>
      <c r="AC2" s="240" t="s">
        <v>2</v>
      </c>
      <c r="AD2" s="119"/>
      <c r="AE2" s="241" t="s">
        <v>198</v>
      </c>
      <c r="AF2" s="241" t="s">
        <v>2</v>
      </c>
      <c r="AG2" s="119"/>
      <c r="AH2" s="230" t="s">
        <v>220</v>
      </c>
      <c r="AI2" s="231" t="s">
        <v>219</v>
      </c>
      <c r="AJ2" s="231" t="s">
        <v>221</v>
      </c>
      <c r="AK2" s="231" t="s">
        <v>222</v>
      </c>
      <c r="AL2" s="231" t="s">
        <v>344</v>
      </c>
      <c r="AM2" s="231" t="s">
        <v>346</v>
      </c>
      <c r="AN2" s="232" t="s">
        <v>204</v>
      </c>
      <c r="AP2" s="119"/>
      <c r="AQ2" s="119"/>
      <c r="AR2" s="119"/>
      <c r="AS2" s="119"/>
      <c r="AT2" s="119"/>
      <c r="AU2" s="119" t="s">
        <v>10</v>
      </c>
      <c r="AV2" s="119"/>
      <c r="AY2" s="118" t="s">
        <v>69</v>
      </c>
      <c r="AZ2" s="118" t="s">
        <v>68</v>
      </c>
      <c r="BA2" s="118"/>
      <c r="BC2" s="119" t="s">
        <v>74</v>
      </c>
      <c r="BD2" s="119" t="s">
        <v>77</v>
      </c>
      <c r="BE2" s="119" t="s">
        <v>76</v>
      </c>
      <c r="BF2" s="119" t="s">
        <v>78</v>
      </c>
    </row>
    <row r="3" spans="2:58" ht="14.5" hidden="1">
      <c r="B3" s="327">
        <v>0</v>
      </c>
      <c r="C3" s="508">
        <v>10600.136407849179</v>
      </c>
      <c r="D3" s="509">
        <v>10565.388129570414</v>
      </c>
      <c r="F3" s="269">
        <v>12000</v>
      </c>
      <c r="G3" s="267">
        <v>0.83099999999999996</v>
      </c>
      <c r="H3" s="414">
        <f t="shared" ref="H3:H13" si="0">ROUND(G3*$H$18,3)</f>
        <v>0.751</v>
      </c>
      <c r="I3" s="111"/>
      <c r="J3" s="263" t="s">
        <v>256</v>
      </c>
      <c r="K3" s="419">
        <v>0.92200000000000004</v>
      </c>
      <c r="L3" s="111"/>
      <c r="M3" s="306" t="s">
        <v>93</v>
      </c>
      <c r="N3" s="307">
        <v>5</v>
      </c>
      <c r="O3" s="311">
        <v>3</v>
      </c>
      <c r="Q3" s="157">
        <v>1</v>
      </c>
      <c r="R3" s="148">
        <v>0.65</v>
      </c>
      <c r="S3" s="111"/>
      <c r="T3" s="159">
        <v>200000</v>
      </c>
      <c r="U3" s="162">
        <v>0.67700000000000005</v>
      </c>
      <c r="V3" s="111"/>
      <c r="W3" s="180" t="s">
        <v>42</v>
      </c>
      <c r="X3" s="125">
        <v>4.7300000000000002E-2</v>
      </c>
      <c r="Y3" s="125">
        <f>+COTIZACION!H38</f>
        <v>4.7300000000000002E-2</v>
      </c>
      <c r="Z3" s="181">
        <f>IF(Y3=0,1+X3,1+Y3)</f>
        <v>1.0472999999999999</v>
      </c>
      <c r="AA3" s="111"/>
      <c r="AB3" s="187" t="s">
        <v>179</v>
      </c>
      <c r="AC3" s="416">
        <f>VLOOKUP(COTIZACION!D8,FACTORES!$Q$17:$R$18,2,0)</f>
        <v>0.84</v>
      </c>
      <c r="AD3" s="111"/>
      <c r="AE3" s="179" t="s">
        <v>309</v>
      </c>
      <c r="AF3" s="193">
        <f>$AC$26</f>
        <v>188.09</v>
      </c>
      <c r="AG3" s="111"/>
      <c r="AH3" s="180">
        <v>1</v>
      </c>
      <c r="AI3" s="194">
        <f>(IF(COTIZACION!F29="EDAD NO PERMITIDA","EDAD NO PERMITIDA",IF(IMPRESION!H71="","",IF(IMPRESION!I71="HOMBRE",VLOOKUP(IMPRESION!H71,FACTORES!$B$3:$D$103,2,0)*FACTORES!$AC$9,IF(IMPRESION!I71="MUJER",VLOOKUP(IMPRESION!H71,FACTORES!$B$3:$D$103,3,0)*FACTORES!$AC$9,"")))))</f>
        <v>12872.912922612144</v>
      </c>
      <c r="AJ3" s="196">
        <f>IF(COTIZACION!D29="","",IF(AND(COTIZACION!D29="MUJER",50&gt;COTIZACION!E29,COTIZACION!E29&gt;17,COTIZACION!$D$12&gt;45000),FACTORES!$K$21,IF(AND(COTIZACION!D29="mujer",50&gt;COTIZACION!E29,COTIZACION!E29&gt;17),VLOOKUP(COTIZACION!$D$18,FACTORES!$J$21:$K$23,2,0),0)))</f>
        <v>0</v>
      </c>
      <c r="AK3" s="196">
        <f>IF(AND(COTIZACION!E29&gt;17,COTIZACION!E29&lt;60),IF(AI3="","",$AF$8),IF(AI3="","",$AF$8-$AF$7))</f>
        <v>445.98002750000001</v>
      </c>
      <c r="AL3" s="196">
        <f>IF(AI3="","",IF(COTIZACION!E29&lt;20,FACTORES!$AF$26,FACTORES!$AF$27))</f>
        <v>2094.62</v>
      </c>
      <c r="AM3" s="196">
        <f>IFERROR(IF(COTIZACION!$D$8="T",0,IF(AI3="","",VLOOKUP(COTIZACION!$D$21,FACTORES!$AB$30:$AC$31,2,0))*AI3),0)</f>
        <v>0</v>
      </c>
      <c r="AN3" s="192">
        <f>IF(AI3="","",SUM(AI3:AM3))</f>
        <v>15413.512950112145</v>
      </c>
      <c r="AO3" s="126"/>
      <c r="AP3" s="111"/>
      <c r="AQ3" s="111"/>
      <c r="AR3" s="111"/>
      <c r="AS3" s="111"/>
      <c r="AT3" s="111"/>
      <c r="AU3" s="122" t="s">
        <v>43</v>
      </c>
      <c r="AV3" s="111">
        <v>1.05</v>
      </c>
      <c r="AW3" s="195"/>
      <c r="AY3" s="123"/>
      <c r="AZ3" s="124"/>
      <c r="BA3" s="124"/>
      <c r="BC3" s="115" t="s">
        <v>42</v>
      </c>
    </row>
    <row r="4" spans="2:58" ht="14.5" hidden="1">
      <c r="B4" s="326">
        <v>1</v>
      </c>
      <c r="C4" s="506">
        <v>10600.136407849179</v>
      </c>
      <c r="D4" s="507">
        <v>10565.388129570414</v>
      </c>
      <c r="F4" s="149">
        <v>15000</v>
      </c>
      <c r="G4" s="268">
        <v>0.79800000000000004</v>
      </c>
      <c r="H4" s="415">
        <f t="shared" si="0"/>
        <v>0.72099999999999997</v>
      </c>
      <c r="I4" s="111"/>
      <c r="J4" s="155" t="s">
        <v>323</v>
      </c>
      <c r="K4" s="163">
        <v>0.88800000000000001</v>
      </c>
      <c r="L4" s="111"/>
      <c r="M4" s="308" t="s">
        <v>105</v>
      </c>
      <c r="N4" s="309">
        <v>3</v>
      </c>
      <c r="O4" s="309">
        <v>2</v>
      </c>
      <c r="Q4" s="158">
        <v>2</v>
      </c>
      <c r="R4" s="150">
        <v>0.71</v>
      </c>
      <c r="S4" s="111"/>
      <c r="T4" s="160">
        <v>300000</v>
      </c>
      <c r="U4" s="163">
        <v>0.71</v>
      </c>
      <c r="V4" s="111"/>
      <c r="W4" s="182" t="s">
        <v>73</v>
      </c>
      <c r="X4" s="178">
        <v>7.0000000000000007E-2</v>
      </c>
      <c r="Y4" s="178">
        <f>+COTIZACION!H39</f>
        <v>6.9900000000000004E-2</v>
      </c>
      <c r="Z4" s="183">
        <f>IF(Y4=0,1+X4,1+Y4)</f>
        <v>1.0699000000000001</v>
      </c>
      <c r="AA4" s="111"/>
      <c r="AB4" s="188" t="s">
        <v>17</v>
      </c>
      <c r="AC4" s="417">
        <f>VLOOKUP(COTIZACION!D10,FACTORES!$T$3:$U$26,2,0)</f>
        <v>1.19</v>
      </c>
      <c r="AD4" s="111"/>
      <c r="AE4" s="140" t="s">
        <v>212</v>
      </c>
      <c r="AF4" s="329">
        <f>$AC$13</f>
        <v>84.480165</v>
      </c>
      <c r="AG4" s="111"/>
      <c r="AH4" s="182">
        <v>2</v>
      </c>
      <c r="AI4" s="199" t="str">
        <f>(IF(COTIZACION!F30="EDAD NO PERMITIDA","EDAD NO PERMITIDA",IF(IMPRESION!H72="","",IF(IMPRESION!I72="HOMBRE",VLOOKUP(IMPRESION!H72,FACTORES!$B$3:$D$103,2,0)*FACTORES!$AC$9,IF(IMPRESION!I72="MUJER",VLOOKUP(IMPRESION!H72,FACTORES!$B$3:$D$103,3,0)*FACTORES!$AC$9,"")))))</f>
        <v/>
      </c>
      <c r="AJ4" s="197" t="str">
        <f>IF(COTIZACION!D30="","",IF(AND(COTIZACION!D30="MUJER",50&gt;COTIZACION!E30,COTIZACION!E30&gt;17,COTIZACION!$D$12&gt;45000),FACTORES!$K$21,IF(AND(COTIZACION!D30="mujer",50&gt;COTIZACION!E30,COTIZACION!E30&gt;17),VLOOKUP(COTIZACION!$D$18,FACTORES!$J$21:$K$23,2,0),0)))</f>
        <v/>
      </c>
      <c r="AK4" s="197" t="str">
        <f>IF(AND(COTIZACION!E30&gt;17,COTIZACION!E30&lt;60),IF(AI4="","",$AF$8),IF(AI4="","",$AF$8-$AF$7))</f>
        <v/>
      </c>
      <c r="AL4" s="197" t="str">
        <f>IF(AI4="","",IF(COTIZACION!E30&lt;20,FACTORES!$AF$26,FACTORES!$AF$27))</f>
        <v/>
      </c>
      <c r="AM4" s="197">
        <f>IFERROR(IF(COTIZACION!D8="T",0,IF(AI4="","",VLOOKUP(COTIZACION!$D$21,FACTORES!$AB$30:$AC$31,2,0))*AI4),0)</f>
        <v>0</v>
      </c>
      <c r="AN4" s="205" t="str">
        <f t="shared" ref="AN4:AN10" si="1">IF(AI4="","",SUM(AI4:AM4))</f>
        <v/>
      </c>
      <c r="AO4" s="126"/>
      <c r="AP4" s="111"/>
      <c r="AQ4" s="111"/>
      <c r="AR4" s="111"/>
      <c r="AS4" s="111"/>
      <c r="AT4" s="111"/>
      <c r="AU4" s="122" t="s">
        <v>44</v>
      </c>
      <c r="AV4" s="111">
        <v>1</v>
      </c>
      <c r="AW4" s="112"/>
      <c r="AY4" s="123"/>
      <c r="AZ4" s="124"/>
      <c r="BA4" s="124"/>
      <c r="BC4" s="115" t="s">
        <v>73</v>
      </c>
    </row>
    <row r="5" spans="2:58" ht="14.5" hidden="1">
      <c r="B5" s="325">
        <v>2</v>
      </c>
      <c r="C5" s="504">
        <v>10600.136407849179</v>
      </c>
      <c r="D5" s="505">
        <v>10565.388129570414</v>
      </c>
      <c r="F5" s="269">
        <v>20000</v>
      </c>
      <c r="G5" s="267">
        <v>0.747</v>
      </c>
      <c r="H5" s="414">
        <f t="shared" si="0"/>
        <v>0.67500000000000004</v>
      </c>
      <c r="I5" s="111"/>
      <c r="J5" s="264" t="s">
        <v>324</v>
      </c>
      <c r="K5" s="420">
        <v>0.85</v>
      </c>
      <c r="L5" s="111"/>
      <c r="M5" s="310" t="s">
        <v>111</v>
      </c>
      <c r="N5" s="311">
        <v>5</v>
      </c>
      <c r="O5" s="311">
        <v>3</v>
      </c>
      <c r="Q5" s="157">
        <v>3</v>
      </c>
      <c r="R5" s="148">
        <v>0.71</v>
      </c>
      <c r="S5" s="111"/>
      <c r="T5" s="159">
        <v>400000</v>
      </c>
      <c r="U5" s="162">
        <v>0.73399999999999999</v>
      </c>
      <c r="V5" s="111"/>
      <c r="W5" s="184" t="s">
        <v>75</v>
      </c>
      <c r="X5" s="185">
        <v>0.1</v>
      </c>
      <c r="Y5" s="185">
        <f>+COTIZACION!H40</f>
        <v>9.9900000000000003E-2</v>
      </c>
      <c r="Z5" s="186">
        <f>IF(Y5=0,1+X5,1+Y5)</f>
        <v>1.0999000000000001</v>
      </c>
      <c r="AA5" s="111"/>
      <c r="AB5" s="187" t="s">
        <v>19</v>
      </c>
      <c r="AC5" s="416">
        <f>IF(COTIZACION!D11="ANUAL",VLOOKUP(COTIZACION!D12,FACTORES!$F$3:$H$17,3,0),VLOOKUP(COTIZACION!D12,FACTORES!$F$3:$H$17,2,0))</f>
        <v>0.83099999999999996</v>
      </c>
      <c r="AD5" s="111"/>
      <c r="AE5" s="179" t="s">
        <v>216</v>
      </c>
      <c r="AF5" s="193">
        <f>$AC$17</f>
        <v>173.40986250000003</v>
      </c>
      <c r="AG5" s="111"/>
      <c r="AH5" s="180">
        <v>3</v>
      </c>
      <c r="AI5" s="194" t="str">
        <f>(IF(COTIZACION!F31="EDAD NO PERMITIDA","EDAD NO PERMITIDA",IF(IMPRESION!H73="","",IF(IMPRESION!I73="HOMBRE",VLOOKUP(IMPRESION!H73,FACTORES!$B$3:$D$103,2,0)*FACTORES!$AC$9,IF(IMPRESION!I73="MUJER",VLOOKUP(IMPRESION!H73,FACTORES!$B$3:$D$103,3,0)*FACTORES!$AC$9,"")))))</f>
        <v/>
      </c>
      <c r="AJ5" s="196" t="str">
        <f>IF(COTIZACION!D31="","",IF(AND(COTIZACION!D31="MUJER",50&gt;COTIZACION!E31,COTIZACION!E31&gt;17,COTIZACION!$D$12&gt;45000),FACTORES!$K$21,IF(AND(COTIZACION!D31="mujer",50&gt;COTIZACION!E31,COTIZACION!E31&gt;17),VLOOKUP(COTIZACION!$D$18,FACTORES!$J$21:$K$23,2,0),0)))</f>
        <v/>
      </c>
      <c r="AK5" s="196" t="str">
        <f>IF(AND(COTIZACION!E31&gt;17,COTIZACION!E31&lt;60),IF(AI5="","",$AF$8),IF(AI5="","",$AF$8-$AF$7))</f>
        <v/>
      </c>
      <c r="AL5" s="196" t="str">
        <f>IF(AI5="","",IF(COTIZACION!E31&lt;20,FACTORES!$AF$26,FACTORES!$AF$27))</f>
        <v/>
      </c>
      <c r="AM5" s="196">
        <f>IFERROR(IF(COTIZACION!D8="T",0,IF(AI5="","",VLOOKUP(COTIZACION!$D$21,FACTORES!$AB$30:$AC$31,2,0))*AI5),0)</f>
        <v>0</v>
      </c>
      <c r="AN5" s="192" t="str">
        <f t="shared" si="1"/>
        <v/>
      </c>
      <c r="AO5" s="126"/>
      <c r="AP5" s="111"/>
      <c r="AQ5" s="111"/>
      <c r="AR5" s="111"/>
      <c r="AS5" s="111"/>
      <c r="AT5" s="111"/>
      <c r="AU5" s="122"/>
      <c r="AV5" s="111"/>
      <c r="AW5" s="112"/>
      <c r="AY5" s="123"/>
      <c r="AZ5" s="124"/>
      <c r="BA5" s="124"/>
      <c r="BC5" s="115" t="s">
        <v>75</v>
      </c>
    </row>
    <row r="6" spans="2:58" ht="14.5" hidden="1">
      <c r="B6" s="326">
        <v>3</v>
      </c>
      <c r="C6" s="506">
        <v>10600.136407849179</v>
      </c>
      <c r="D6" s="507">
        <v>10565.388129570414</v>
      </c>
      <c r="F6" s="149">
        <v>25000</v>
      </c>
      <c r="G6" s="268">
        <v>0.70399999999999996</v>
      </c>
      <c r="H6" s="415">
        <f t="shared" si="0"/>
        <v>0.63600000000000001</v>
      </c>
      <c r="I6" s="111"/>
      <c r="K6" s="115" t="s">
        <v>348</v>
      </c>
      <c r="L6" s="111"/>
      <c r="M6" s="308" t="s">
        <v>85</v>
      </c>
      <c r="N6" s="309">
        <v>1</v>
      </c>
      <c r="O6" s="309">
        <v>1</v>
      </c>
      <c r="Q6" s="158">
        <v>4</v>
      </c>
      <c r="R6" s="150">
        <v>0.84</v>
      </c>
      <c r="S6" s="111"/>
      <c r="T6" s="160">
        <v>500000</v>
      </c>
      <c r="U6" s="163">
        <v>0.753</v>
      </c>
      <c r="V6" s="111"/>
      <c r="W6" s="111"/>
      <c r="X6" s="111"/>
      <c r="Y6" s="111"/>
      <c r="Z6" s="111"/>
      <c r="AA6" s="111"/>
      <c r="AB6" s="188" t="s">
        <v>20</v>
      </c>
      <c r="AC6" s="417">
        <f>VLOOKUP(COTIZACION!D13,FACTORES!$J$3:$K$5,2,0)</f>
        <v>0.92200000000000004</v>
      </c>
      <c r="AD6" s="111"/>
      <c r="AE6" s="140" t="s">
        <v>217</v>
      </c>
      <c r="AF6" s="329">
        <f>VLOOKUP(COTIZACION!$D$19,FACTORES!$AB$21:$AC$22,2,0)</f>
        <v>0</v>
      </c>
      <c r="AG6" s="111"/>
      <c r="AH6" s="182">
        <v>4</v>
      </c>
      <c r="AI6" s="199" t="str">
        <f>(IF(COTIZACION!F32="EDAD NO PERMITIDA","EDAD NO PERMITIDA",IF(IMPRESION!H74="","",IF(IMPRESION!I74="HOMBRE",VLOOKUP(IMPRESION!H74,FACTORES!$B$3:$D$103,2,0)*FACTORES!$AC$9,IF(IMPRESION!I74="MUJER",VLOOKUP(IMPRESION!H74,FACTORES!$B$3:$D$103,3,0)*FACTORES!$AC$9,"")))))</f>
        <v/>
      </c>
      <c r="AJ6" s="197" t="str">
        <f>IF(COTIZACION!D32="","",IF(AND(COTIZACION!D32="MUJER",50&gt;COTIZACION!E32,COTIZACION!E32&gt;17,COTIZACION!$D$12&gt;45000),FACTORES!$K$21,IF(AND(COTIZACION!D32="mujer",50&gt;COTIZACION!E32,COTIZACION!E32&gt;17),VLOOKUP(COTIZACION!$D$18,FACTORES!$J$21:$K$23,2,0),0)))</f>
        <v/>
      </c>
      <c r="AK6" s="197" t="str">
        <f>IF(AND(COTIZACION!E32&gt;17,COTIZACION!E32&lt;60),IF(AI6="","",$AF$8),IF(AI6="","",$AF$8-$AF$7))</f>
        <v/>
      </c>
      <c r="AL6" s="197" t="str">
        <f>IF(AI6="","",IF(COTIZACION!E32&lt;20,FACTORES!$AF$26,FACTORES!$AF$27))</f>
        <v/>
      </c>
      <c r="AM6" s="197">
        <f>IFERROR(IF(COTIZACION!D8="T",0,IF(AI6="","",VLOOKUP(COTIZACION!$D$21,FACTORES!$AB$30:$AC$31,2,0))*AI6),0)</f>
        <v>0</v>
      </c>
      <c r="AN6" s="205" t="str">
        <f t="shared" si="1"/>
        <v/>
      </c>
      <c r="AO6" s="126"/>
      <c r="AP6" s="111"/>
      <c r="AQ6" s="111"/>
      <c r="AR6" s="111"/>
      <c r="AS6" s="111"/>
      <c r="AT6" s="111"/>
      <c r="AU6" s="119" t="s">
        <v>9</v>
      </c>
      <c r="AV6" s="119"/>
      <c r="AW6" s="112"/>
      <c r="AY6" s="123">
        <v>5500</v>
      </c>
      <c r="AZ6" s="124">
        <v>541.66999999999996</v>
      </c>
      <c r="BA6" s="124"/>
    </row>
    <row r="7" spans="2:58" ht="14.5" hidden="1">
      <c r="B7" s="325">
        <v>4</v>
      </c>
      <c r="C7" s="504">
        <v>10600.136407849179</v>
      </c>
      <c r="D7" s="505">
        <v>10565.388129570414</v>
      </c>
      <c r="F7" s="269">
        <v>30000</v>
      </c>
      <c r="G7" s="267">
        <v>0.66400000000000003</v>
      </c>
      <c r="H7" s="414">
        <f t="shared" si="0"/>
        <v>0.6</v>
      </c>
      <c r="I7" s="111"/>
      <c r="L7" s="111"/>
      <c r="M7" s="310" t="s">
        <v>87</v>
      </c>
      <c r="N7" s="311">
        <v>3</v>
      </c>
      <c r="O7" s="311">
        <v>2</v>
      </c>
      <c r="Q7" s="157">
        <v>5</v>
      </c>
      <c r="R7" s="148">
        <v>0.84</v>
      </c>
      <c r="S7" s="111"/>
      <c r="T7" s="159">
        <v>600000</v>
      </c>
      <c r="U7" s="162">
        <v>0.76800000000000002</v>
      </c>
      <c r="V7" s="111"/>
      <c r="W7" s="111"/>
      <c r="X7" s="111"/>
      <c r="Y7" s="111"/>
      <c r="Z7" s="111"/>
      <c r="AA7" s="111"/>
      <c r="AB7" s="187" t="s">
        <v>189</v>
      </c>
      <c r="AC7" s="416">
        <f>VLOOKUP(COTIZACION!D23,FACTORES!$J$11:$K$16,2,0)</f>
        <v>1</v>
      </c>
      <c r="AD7" s="111"/>
      <c r="AE7" s="179" t="s">
        <v>218</v>
      </c>
      <c r="AF7" s="193">
        <f>+IF(OR(COTIZACION!E20="COBERTURA NO PERMITIDA POR EDAD",COTIZACION!D20="NO"),0,VLOOKUP(COTIZACION!D20,FACTORES!W11:Z18,4,FALSE))</f>
        <v>0</v>
      </c>
      <c r="AG7" s="111"/>
      <c r="AH7" s="180">
        <v>5</v>
      </c>
      <c r="AI7" s="194" t="str">
        <f>(IF(COTIZACION!F33="EDAD NO PERMITIDA","EDAD NO PERMITIDA",IF(IMPRESION!H75="","",IF(IMPRESION!I75="HOMBRE",VLOOKUP(IMPRESION!H75,FACTORES!$B$3:$D$103,2,0)*FACTORES!$AC$9,IF(IMPRESION!I75="MUJER",VLOOKUP(IMPRESION!H75,FACTORES!$B$3:$D$103,3,0)*FACTORES!$AC$9,"")))))</f>
        <v/>
      </c>
      <c r="AJ7" s="196" t="str">
        <f>IF(COTIZACION!D33="","",IF(AND(COTIZACION!D33="MUJER",50&gt;COTIZACION!E33,COTIZACION!E33&gt;17,COTIZACION!$D$12&gt;45000),FACTORES!$K$21,IF(AND(COTIZACION!D33="mujer",50&gt;COTIZACION!E33,COTIZACION!E33&gt;17),VLOOKUP(COTIZACION!$D$18,FACTORES!$J$21:$K$23,2,0),0)))</f>
        <v/>
      </c>
      <c r="AK7" s="196" t="str">
        <f>IF(AND(COTIZACION!E33&gt;17,COTIZACION!E33&lt;60),IF(AI7="","",$AF$8),IF(AI7="","",$AF$8-$AF$7))</f>
        <v/>
      </c>
      <c r="AL7" s="196" t="str">
        <f>IF(AI7="","",IF(COTIZACION!E33&lt;20,FACTORES!$AF$26,FACTORES!$AF$27))</f>
        <v/>
      </c>
      <c r="AM7" s="196">
        <f>IFERROR(IF(COTIZACION!D8="T",0,IF(AI7="","",VLOOKUP(COTIZACION!$D$21,FACTORES!$AB$30:$AC$31,2,0))*AI7),0)</f>
        <v>0</v>
      </c>
      <c r="AN7" s="192" t="str">
        <f t="shared" si="1"/>
        <v/>
      </c>
      <c r="AO7" s="126"/>
      <c r="AP7" s="111"/>
      <c r="AQ7" s="111"/>
      <c r="AR7" s="111"/>
      <c r="AS7" s="111"/>
      <c r="AT7" s="111"/>
      <c r="AU7" s="122" t="s">
        <v>11</v>
      </c>
      <c r="AV7" s="111">
        <v>3.3</v>
      </c>
      <c r="AW7" s="112"/>
      <c r="AY7" s="123">
        <v>6000</v>
      </c>
      <c r="AZ7" s="124">
        <v>574.51</v>
      </c>
      <c r="BA7" s="124"/>
    </row>
    <row r="8" spans="2:58" ht="14.5" hidden="1">
      <c r="B8" s="326">
        <v>5</v>
      </c>
      <c r="C8" s="506">
        <v>10600.136407849179</v>
      </c>
      <c r="D8" s="507">
        <v>10565.388129570414</v>
      </c>
      <c r="F8" s="149">
        <v>35000</v>
      </c>
      <c r="G8" s="268">
        <v>0.63</v>
      </c>
      <c r="H8" s="415">
        <f t="shared" si="0"/>
        <v>0.56999999999999995</v>
      </c>
      <c r="I8" s="111"/>
      <c r="L8" s="111"/>
      <c r="M8" s="308" t="s">
        <v>104</v>
      </c>
      <c r="N8" s="309">
        <v>7</v>
      </c>
      <c r="O8" s="309">
        <v>4</v>
      </c>
      <c r="Q8" s="158">
        <v>6</v>
      </c>
      <c r="R8" s="150">
        <v>1</v>
      </c>
      <c r="S8" s="111"/>
      <c r="T8" s="160">
        <v>700000</v>
      </c>
      <c r="U8" s="163">
        <v>0.78</v>
      </c>
      <c r="V8" s="111"/>
      <c r="Y8" s="111"/>
      <c r="Z8" s="111"/>
      <c r="AA8" s="111"/>
      <c r="AB8" s="282" t="s">
        <v>184</v>
      </c>
      <c r="AC8" s="418">
        <f>VLOOKUP(COTIZACION!D15,FACTORES!$Q$3:$R$12,2,0)</f>
        <v>1.25</v>
      </c>
      <c r="AD8" s="111"/>
      <c r="AE8" s="140"/>
      <c r="AF8" s="127">
        <f>SUM(AF3:AF7)</f>
        <v>445.98002750000001</v>
      </c>
      <c r="AG8" s="111"/>
      <c r="AH8" s="182">
        <v>6</v>
      </c>
      <c r="AI8" s="199" t="str">
        <f>(IF(COTIZACION!F34="EDAD NO PERMITIDA","EDAD NO PERMITIDA",IF(IMPRESION!H76="","",IF(IMPRESION!I76="HOMBRE",VLOOKUP(IMPRESION!H76,FACTORES!$B$3:$D$103,2,0)*FACTORES!$AC$9,IF(IMPRESION!I76="MUJER",VLOOKUP(IMPRESION!H76,FACTORES!$B$3:$D$103,3,0)*FACTORES!$AC$9,"")))))</f>
        <v/>
      </c>
      <c r="AJ8" s="197" t="str">
        <f>IF(COTIZACION!D34="","",IF(AND(COTIZACION!D34="MUJER",50&gt;COTIZACION!E34,COTIZACION!E34&gt;17,COTIZACION!$D$12&gt;45000),FACTORES!$K$21,IF(AND(COTIZACION!D34="mujer",50&gt;COTIZACION!E34,COTIZACION!E34&gt;17),VLOOKUP(COTIZACION!$D$18,FACTORES!$J$21:$K$23,2,0),0)))</f>
        <v/>
      </c>
      <c r="AK8" s="197" t="str">
        <f>IF(AND(COTIZACION!E34&gt;17,COTIZACION!E34&lt;60),IF(AI8="","",$AF$8),IF(AI8="","",$AF$8-$AF$7))</f>
        <v/>
      </c>
      <c r="AL8" s="197" t="str">
        <f>IF(AI8="","",IF(COTIZACION!E34&lt;20,FACTORES!$AF$26,FACTORES!$AF$27))</f>
        <v/>
      </c>
      <c r="AM8" s="197">
        <f>IFERROR(IF(COTIZACION!D8="T",0,IF(AI8="","",VLOOKUP(COTIZACION!$D$21,FACTORES!$AB$30:$AC$31,2,0))*AI8),0)</f>
        <v>0</v>
      </c>
      <c r="AN8" s="205" t="str">
        <f t="shared" si="1"/>
        <v/>
      </c>
      <c r="AO8" s="126"/>
      <c r="AP8" s="111"/>
      <c r="AQ8" s="111"/>
      <c r="AR8" s="111"/>
      <c r="AS8" s="111"/>
      <c r="AT8" s="111"/>
      <c r="AU8" s="122" t="s">
        <v>12</v>
      </c>
      <c r="AV8" s="111">
        <v>1.9</v>
      </c>
      <c r="AW8" s="112"/>
      <c r="AX8" s="111"/>
      <c r="AY8" s="123">
        <v>8000</v>
      </c>
      <c r="AZ8" s="124">
        <v>626.29</v>
      </c>
      <c r="BA8" s="124"/>
      <c r="BC8" s="127" t="s">
        <v>13</v>
      </c>
      <c r="BD8" s="119" t="s">
        <v>167</v>
      </c>
    </row>
    <row r="9" spans="2:58" ht="14.5" hidden="1">
      <c r="B9" s="325">
        <v>6</v>
      </c>
      <c r="C9" s="504">
        <v>10600.136407849179</v>
      </c>
      <c r="D9" s="505">
        <v>10565.388129570414</v>
      </c>
      <c r="F9" s="269">
        <v>40000</v>
      </c>
      <c r="G9" s="267">
        <v>0.59799999999999998</v>
      </c>
      <c r="H9" s="414">
        <f t="shared" si="0"/>
        <v>0.54100000000000004</v>
      </c>
      <c r="I9" s="111"/>
      <c r="J9" s="117" t="s">
        <v>188</v>
      </c>
      <c r="L9" s="111"/>
      <c r="M9" s="310" t="s">
        <v>235</v>
      </c>
      <c r="N9" s="311">
        <v>8</v>
      </c>
      <c r="O9" s="311">
        <v>5</v>
      </c>
      <c r="Q9" s="157">
        <v>7</v>
      </c>
      <c r="R9" s="148">
        <v>1</v>
      </c>
      <c r="S9" s="111"/>
      <c r="T9" s="159">
        <v>800000</v>
      </c>
      <c r="U9" s="162">
        <v>0.79100000000000004</v>
      </c>
      <c r="V9" s="111"/>
      <c r="W9" s="211" t="s">
        <v>71</v>
      </c>
      <c r="X9" s="212"/>
      <c r="Y9" s="212"/>
      <c r="Z9" s="213"/>
      <c r="AA9" s="111"/>
      <c r="AC9" s="115">
        <f>AC3*AC4*AC5*AC6*AC7*AC8</f>
        <v>0.95734440899999995</v>
      </c>
      <c r="AD9" s="111"/>
      <c r="AG9" s="111"/>
      <c r="AH9" s="180">
        <v>7</v>
      </c>
      <c r="AI9" s="194" t="str">
        <f>(IF(COTIZACION!F35="EDAD NO PERMITIDA","EDAD NO PERMITIDA",IF(IMPRESION!H77="","",IF(IMPRESION!I77="HOMBRE",VLOOKUP(IMPRESION!H77,FACTORES!$B$3:$D$103,2,0)*FACTORES!$AC$9,IF(IMPRESION!I77="MUJER",VLOOKUP(IMPRESION!H77,FACTORES!$B$3:$D$103,3,0)*FACTORES!$AC$9,"")))))</f>
        <v/>
      </c>
      <c r="AJ9" s="196" t="str">
        <f>IF(COTIZACION!D35="","",IF(AND(COTIZACION!D35="MUJER",50&gt;COTIZACION!E35,COTIZACION!E35&gt;17,COTIZACION!$D$12&gt;45000),FACTORES!$K$21,IF(AND(COTIZACION!D35="mujer",50&gt;COTIZACION!E35,COTIZACION!E35&gt;17),VLOOKUP(COTIZACION!$D$18,FACTORES!$J$21:$K$23,2,0),0)))</f>
        <v/>
      </c>
      <c r="AK9" s="196" t="str">
        <f>IF(AND(COTIZACION!E35&gt;17,COTIZACION!E35&lt;60),IF(AI9="","",$AF$8),IF(AI9="","",$AF$8-$AF$7))</f>
        <v/>
      </c>
      <c r="AL9" s="196" t="str">
        <f>IF(AI9="","",IF(COTIZACION!E35&lt;20,FACTORES!$AF$26,FACTORES!$AF$27))</f>
        <v/>
      </c>
      <c r="AM9" s="196">
        <f>IFERROR(IF(COTIZACION!D8="T",0,IF(AI9="","",VLOOKUP(COTIZACION!$D$21,FACTORES!$AB$30:$AC$31,2,0))*AI9),0)</f>
        <v>0</v>
      </c>
      <c r="AN9" s="192" t="str">
        <f t="shared" si="1"/>
        <v/>
      </c>
      <c r="AO9" s="126"/>
      <c r="AP9" s="111"/>
      <c r="AQ9" s="111"/>
      <c r="AR9" s="111"/>
      <c r="AS9" s="111"/>
      <c r="AT9" s="111"/>
      <c r="AU9" s="119"/>
      <c r="AV9" s="119"/>
      <c r="AW9" s="112"/>
      <c r="AX9" s="111"/>
      <c r="AY9" s="123">
        <v>9000</v>
      </c>
      <c r="AZ9" s="124">
        <v>647.52</v>
      </c>
      <c r="BA9" s="124"/>
      <c r="BC9" s="128">
        <v>1</v>
      </c>
      <c r="BD9" s="129">
        <v>0.627</v>
      </c>
      <c r="BE9" s="130">
        <f>+BD9*$BB$14</f>
        <v>30973.8</v>
      </c>
    </row>
    <row r="10" spans="2:58" ht="14.5" hidden="1">
      <c r="B10" s="326">
        <v>7</v>
      </c>
      <c r="C10" s="506">
        <v>10600.136407849179</v>
      </c>
      <c r="D10" s="507">
        <v>10565.388129570414</v>
      </c>
      <c r="F10" s="149">
        <v>45000</v>
      </c>
      <c r="G10" s="268">
        <v>0.56999999999999995</v>
      </c>
      <c r="H10" s="415">
        <f t="shared" si="0"/>
        <v>0.51500000000000001</v>
      </c>
      <c r="I10" s="111"/>
      <c r="J10" s="230" t="s">
        <v>254</v>
      </c>
      <c r="K10" s="232" t="s">
        <v>183</v>
      </c>
      <c r="L10" s="111"/>
      <c r="M10" s="308" t="s">
        <v>100</v>
      </c>
      <c r="N10" s="309">
        <v>7</v>
      </c>
      <c r="O10" s="309">
        <v>4</v>
      </c>
      <c r="Q10" s="158">
        <v>8</v>
      </c>
      <c r="R10" s="150">
        <v>1.25</v>
      </c>
      <c r="S10" s="111"/>
      <c r="T10" s="160">
        <v>1000000</v>
      </c>
      <c r="U10" s="163">
        <v>0.81</v>
      </c>
      <c r="V10" s="111"/>
      <c r="W10" s="237" t="s">
        <v>0</v>
      </c>
      <c r="X10" s="231" t="s">
        <v>191</v>
      </c>
      <c r="Y10" s="238" t="s">
        <v>2</v>
      </c>
      <c r="Z10" s="232" t="s">
        <v>68</v>
      </c>
      <c r="AA10" s="111"/>
      <c r="AD10" s="111"/>
      <c r="AG10" s="111"/>
      <c r="AH10" s="189">
        <v>8</v>
      </c>
      <c r="AI10" s="206" t="str">
        <f>(IF(COTIZACION!F36="EDAD NO PERMITIDA","EDAD NO PERMITIDA",IF(IMPRESION!H78="","",IF(IMPRESION!I78="HOMBRE",VLOOKUP(IMPRESION!H78,FACTORES!$B$3:$D$103,2,0)*FACTORES!$AC$9,IF(IMPRESION!I78="MUJER",VLOOKUP(IMPRESION!H78,FACTORES!$B$3:$D$103,3,0)*FACTORES!$AC$9,"")))))</f>
        <v/>
      </c>
      <c r="AJ10" s="198" t="str">
        <f>IF(COTIZACION!D36="","",IF(AND(COTIZACION!D36="MUJER",50&gt;COTIZACION!E36,COTIZACION!E36&gt;17,COTIZACION!$D$12&gt;45000),FACTORES!$K$21,IF(AND(COTIZACION!D36="mujer",50&gt;COTIZACION!E36,COTIZACION!E36&gt;17),VLOOKUP(COTIZACION!$D$18,FACTORES!$J$21:$K$23,2,0),0)))</f>
        <v/>
      </c>
      <c r="AK10" s="198" t="str">
        <f>IF(AND(COTIZACION!E36&gt;17,COTIZACION!E36&lt;60),IF(AI10="","",$AF$8),IF(AI10="","",$AF$8-$AF$7))</f>
        <v/>
      </c>
      <c r="AL10" s="198" t="str">
        <f>IF(AI10="","",IF(COTIZACION!E36&lt;20,FACTORES!$AF$26,FACTORES!$AF$27))</f>
        <v/>
      </c>
      <c r="AM10" s="198">
        <f>IFERROR(IF(COTIZACION!D8="T",0,IF(AI10="","",VLOOKUP(COTIZACION!$D$21,FACTORES!$AB$30:$AC$31,2,0))*AI10),0)</f>
        <v>0</v>
      </c>
      <c r="AN10" s="191" t="str">
        <f t="shared" si="1"/>
        <v/>
      </c>
      <c r="AO10" s="126"/>
      <c r="AP10" s="111"/>
      <c r="AQ10" s="111"/>
      <c r="AR10" s="111"/>
      <c r="AS10" s="111"/>
      <c r="AT10" s="111"/>
      <c r="AV10" s="121"/>
      <c r="AW10" s="112"/>
      <c r="AX10" s="111"/>
      <c r="AY10" s="123">
        <v>10000</v>
      </c>
      <c r="AZ10" s="124">
        <v>666.48</v>
      </c>
      <c r="BA10" s="124"/>
      <c r="BC10" s="128">
        <v>2</v>
      </c>
      <c r="BD10" s="129">
        <v>0.73699999999999999</v>
      </c>
      <c r="BE10" s="130">
        <f>+BD10*$BB$14</f>
        <v>36407.800000000003</v>
      </c>
    </row>
    <row r="11" spans="2:58" ht="14.5" hidden="1">
      <c r="B11" s="325">
        <v>8</v>
      </c>
      <c r="C11" s="504">
        <v>10600.136407849179</v>
      </c>
      <c r="D11" s="505">
        <v>10565.388129570414</v>
      </c>
      <c r="F11" s="269">
        <v>50000</v>
      </c>
      <c r="G11" s="267">
        <v>0.54400000000000004</v>
      </c>
      <c r="H11" s="414">
        <f t="shared" si="0"/>
        <v>0.49199999999999999</v>
      </c>
      <c r="I11" s="111"/>
      <c r="J11" s="154">
        <v>0</v>
      </c>
      <c r="K11" s="148">
        <v>1</v>
      </c>
      <c r="L11" s="111"/>
      <c r="M11" s="310" t="s">
        <v>97</v>
      </c>
      <c r="N11" s="311">
        <v>5</v>
      </c>
      <c r="O11" s="311">
        <v>3</v>
      </c>
      <c r="Q11" s="157">
        <v>9</v>
      </c>
      <c r="R11" s="148">
        <v>1.25</v>
      </c>
      <c r="S11" s="111"/>
      <c r="T11" s="159">
        <v>2000000</v>
      </c>
      <c r="U11" s="162">
        <v>0.86699999999999999</v>
      </c>
      <c r="V11" s="111"/>
      <c r="W11" s="214" t="s">
        <v>44</v>
      </c>
      <c r="X11" s="196">
        <v>0</v>
      </c>
      <c r="Y11" s="126">
        <v>0</v>
      </c>
      <c r="Z11" s="181">
        <f>+Y11*X11</f>
        <v>0</v>
      </c>
      <c r="AA11" s="111"/>
      <c r="AB11" s="117" t="s">
        <v>213</v>
      </c>
      <c r="AD11" s="111"/>
      <c r="AG11" s="111"/>
      <c r="AH11" s="111"/>
      <c r="AI11" s="111"/>
      <c r="AJ11" s="111"/>
      <c r="AK11" s="111"/>
      <c r="AL11" s="111"/>
      <c r="AM11" s="111"/>
      <c r="AN11" s="111"/>
      <c r="AO11" s="111"/>
      <c r="AP11" s="111"/>
      <c r="AQ11" s="111"/>
      <c r="AR11" s="111"/>
      <c r="AT11" s="131"/>
      <c r="AU11" s="132"/>
      <c r="AW11" s="123">
        <v>15000</v>
      </c>
      <c r="AX11" s="124">
        <v>739.49</v>
      </c>
      <c r="AY11" s="124">
        <f>AX11/1.8</f>
        <v>410.82777777777778</v>
      </c>
      <c r="BA11" s="128">
        <v>3</v>
      </c>
      <c r="BB11" s="129">
        <v>0.82399999999999995</v>
      </c>
      <c r="BC11" s="130">
        <f>+BB11*$BB$14</f>
        <v>40705.599999999999</v>
      </c>
    </row>
    <row r="12" spans="2:58" ht="14.5" hidden="1">
      <c r="B12" s="326">
        <v>9</v>
      </c>
      <c r="C12" s="506">
        <v>10600.136407849179</v>
      </c>
      <c r="D12" s="507">
        <v>10565.388129570414</v>
      </c>
      <c r="F12" s="149">
        <v>75000</v>
      </c>
      <c r="G12" s="268">
        <v>0.44400000000000001</v>
      </c>
      <c r="H12" s="415">
        <f t="shared" si="0"/>
        <v>0.40100000000000002</v>
      </c>
      <c r="I12" s="111"/>
      <c r="J12" s="155">
        <v>0.15</v>
      </c>
      <c r="K12" s="150">
        <v>1.1000000000000001</v>
      </c>
      <c r="L12" s="111"/>
      <c r="M12" s="308" t="s">
        <v>103</v>
      </c>
      <c r="N12" s="309">
        <v>5</v>
      </c>
      <c r="O12" s="309">
        <v>3</v>
      </c>
      <c r="Q12" s="281">
        <v>10</v>
      </c>
      <c r="R12" s="151" t="s">
        <v>16</v>
      </c>
      <c r="S12" s="111"/>
      <c r="T12" s="160">
        <v>3000000</v>
      </c>
      <c r="U12" s="163">
        <v>0.90100000000000002</v>
      </c>
      <c r="V12" s="111"/>
      <c r="W12" s="215">
        <v>10000</v>
      </c>
      <c r="X12" s="197">
        <v>115.05</v>
      </c>
      <c r="Y12" s="209">
        <v>1</v>
      </c>
      <c r="Z12" s="515">
        <f>+Y12*X12</f>
        <v>115.05</v>
      </c>
      <c r="AA12" s="111"/>
      <c r="AB12" s="230" t="s">
        <v>206</v>
      </c>
      <c r="AC12" s="232" t="s">
        <v>68</v>
      </c>
      <c r="AD12" s="111"/>
      <c r="AG12" s="111"/>
      <c r="AJ12" s="111"/>
      <c r="AK12" s="111"/>
      <c r="AL12" s="111"/>
      <c r="AM12" s="111"/>
      <c r="AN12" s="111"/>
      <c r="AO12" s="111"/>
      <c r="AP12" s="111"/>
      <c r="AQ12" s="111"/>
      <c r="AR12" s="111"/>
      <c r="AT12" s="131"/>
      <c r="AU12" s="132"/>
      <c r="AW12" s="123">
        <v>20000</v>
      </c>
      <c r="AX12" s="124">
        <v>791.3</v>
      </c>
      <c r="AY12" s="124"/>
      <c r="BA12" s="128">
        <v>4</v>
      </c>
      <c r="BB12" s="129">
        <v>1</v>
      </c>
      <c r="BC12" s="130">
        <f>+BB12*$BB$14</f>
        <v>49400</v>
      </c>
    </row>
    <row r="13" spans="2:58" ht="14.5" hidden="1">
      <c r="B13" s="325">
        <v>10</v>
      </c>
      <c r="C13" s="504">
        <v>10600.136407849179</v>
      </c>
      <c r="D13" s="505">
        <v>10565.388129570414</v>
      </c>
      <c r="F13" s="269">
        <v>100000</v>
      </c>
      <c r="G13" s="267">
        <v>0.376</v>
      </c>
      <c r="H13" s="414">
        <f t="shared" si="0"/>
        <v>0.34</v>
      </c>
      <c r="I13" s="111"/>
      <c r="J13" s="154">
        <v>0.25</v>
      </c>
      <c r="K13" s="148">
        <v>1.1399999999999999</v>
      </c>
      <c r="L13" s="111"/>
      <c r="M13" s="310" t="s">
        <v>99</v>
      </c>
      <c r="N13" s="311">
        <v>9</v>
      </c>
      <c r="O13" s="311">
        <v>5</v>
      </c>
      <c r="S13" s="111"/>
      <c r="T13" s="159">
        <v>4000000</v>
      </c>
      <c r="U13" s="162">
        <v>0.92400000000000004</v>
      </c>
      <c r="V13" s="111"/>
      <c r="W13" s="214">
        <v>20000</v>
      </c>
      <c r="X13" s="196">
        <v>115.05</v>
      </c>
      <c r="Y13" s="126">
        <v>2</v>
      </c>
      <c r="Z13" s="516">
        <f t="shared" ref="Z13:Z18" si="2">+Y13*X13</f>
        <v>230.1</v>
      </c>
      <c r="AA13" s="111"/>
      <c r="AB13" s="184" t="s">
        <v>43</v>
      </c>
      <c r="AC13" s="190">
        <v>84.480165</v>
      </c>
      <c r="AD13" s="111">
        <v>78.222375</v>
      </c>
      <c r="AH13" s="111"/>
      <c r="AI13" s="242" t="s">
        <v>228</v>
      </c>
      <c r="AJ13" s="242" t="s">
        <v>229</v>
      </c>
      <c r="AK13" s="242" t="s">
        <v>230</v>
      </c>
      <c r="AL13" s="242" t="s">
        <v>231</v>
      </c>
      <c r="AM13" s="242" t="s">
        <v>232</v>
      </c>
      <c r="AN13" s="111"/>
      <c r="AO13" s="111"/>
      <c r="AP13" s="111"/>
      <c r="AQ13" s="111"/>
      <c r="AR13" s="111"/>
      <c r="AT13" s="131"/>
      <c r="AU13" s="132"/>
      <c r="AW13" s="123">
        <v>25000</v>
      </c>
      <c r="AX13" s="124">
        <v>831.47</v>
      </c>
      <c r="AY13" s="124"/>
    </row>
    <row r="14" spans="2:58" ht="14.5" hidden="1">
      <c r="B14" s="326">
        <v>11</v>
      </c>
      <c r="C14" s="506">
        <v>10610.736544257028</v>
      </c>
      <c r="D14" s="507">
        <v>10459.734248274708</v>
      </c>
      <c r="F14" s="149"/>
      <c r="G14" s="268"/>
      <c r="H14" s="163"/>
      <c r="I14" s="111"/>
      <c r="J14" s="155">
        <v>0.5</v>
      </c>
      <c r="K14" s="150">
        <v>1.25</v>
      </c>
      <c r="L14" s="111"/>
      <c r="M14" s="308" t="s">
        <v>94</v>
      </c>
      <c r="N14" s="309">
        <v>3</v>
      </c>
      <c r="O14" s="309">
        <v>2</v>
      </c>
      <c r="S14" s="111"/>
      <c r="T14" s="160">
        <v>5000000</v>
      </c>
      <c r="U14" s="163">
        <v>0.94299999999999995</v>
      </c>
      <c r="V14" s="111"/>
      <c r="W14" s="215">
        <v>30000</v>
      </c>
      <c r="X14" s="197">
        <v>115.05</v>
      </c>
      <c r="Y14" s="209">
        <v>3</v>
      </c>
      <c r="Z14" s="515">
        <f t="shared" si="2"/>
        <v>345.15</v>
      </c>
      <c r="AA14" s="111"/>
      <c r="AB14" s="111"/>
      <c r="AC14" s="111"/>
      <c r="AD14" s="111"/>
      <c r="AH14" s="111" t="str">
        <f>+LEFT(AI14,4)</f>
        <v>1T T</v>
      </c>
      <c r="AI14" t="s">
        <v>276</v>
      </c>
      <c r="AJ14">
        <v>1200</v>
      </c>
      <c r="AK14" s="256">
        <v>95000</v>
      </c>
      <c r="AL14" t="s">
        <v>249</v>
      </c>
      <c r="AM14" s="111" t="str">
        <f>+VLOOKUP(COTIZACION!D14,FACTORES!M3:N34,2,FALSE)&amp;LEFT(COTIZACION!D8,1)&amp;" "&amp;IF(IFERROR(SEARCH("TOPE",COTIZACION!D13,1),"")="","","T")</f>
        <v>8T T</v>
      </c>
      <c r="AN14" s="111"/>
      <c r="AO14" s="111"/>
      <c r="AP14" s="111"/>
      <c r="AQ14" s="111"/>
      <c r="AR14" s="111"/>
      <c r="AS14" s="133"/>
      <c r="AT14" s="133"/>
      <c r="AU14" s="132"/>
      <c r="AW14" s="123">
        <v>30000</v>
      </c>
      <c r="AX14" s="124">
        <v>1324.73</v>
      </c>
      <c r="AY14" s="124"/>
      <c r="BA14" s="115" t="s">
        <v>172</v>
      </c>
      <c r="BB14" s="134">
        <v>49400</v>
      </c>
    </row>
    <row r="15" spans="2:58" ht="14.5" hidden="1">
      <c r="B15" s="325">
        <v>12</v>
      </c>
      <c r="C15" s="504">
        <v>10621.347280801283</v>
      </c>
      <c r="D15" s="505">
        <v>10355.136905791962</v>
      </c>
      <c r="F15" s="269"/>
      <c r="G15" s="267"/>
      <c r="H15" s="162"/>
      <c r="I15" s="111"/>
      <c r="J15" s="154">
        <v>0.75</v>
      </c>
      <c r="K15" s="148">
        <v>1.35</v>
      </c>
      <c r="L15" s="111"/>
      <c r="M15" s="310" t="s">
        <v>88</v>
      </c>
      <c r="N15" s="311">
        <v>3</v>
      </c>
      <c r="O15" s="311">
        <v>2</v>
      </c>
      <c r="Q15" s="303" t="s">
        <v>347</v>
      </c>
      <c r="S15" s="111"/>
      <c r="T15" s="159">
        <v>6000000</v>
      </c>
      <c r="U15" s="162">
        <v>0.95799999999999996</v>
      </c>
      <c r="V15" s="111"/>
      <c r="W15" s="214">
        <v>40000</v>
      </c>
      <c r="X15" s="196">
        <v>115.05</v>
      </c>
      <c r="Y15" s="126">
        <v>4</v>
      </c>
      <c r="Z15" s="516">
        <f t="shared" si="2"/>
        <v>460.2</v>
      </c>
      <c r="AA15" s="111"/>
      <c r="AB15" s="117" t="s">
        <v>214</v>
      </c>
      <c r="AD15" s="111"/>
      <c r="AH15" s="111" t="str">
        <f t="shared" ref="AH15:AH33" si="3">+LEFT(AI15,4)</f>
        <v>2T T</v>
      </c>
      <c r="AI15" t="s">
        <v>277</v>
      </c>
      <c r="AJ15">
        <v>1200</v>
      </c>
      <c r="AK15" s="256">
        <v>95001</v>
      </c>
      <c r="AL15" t="s">
        <v>249</v>
      </c>
      <c r="AM15" s="111"/>
      <c r="AN15" s="111"/>
      <c r="AO15" s="111"/>
      <c r="AP15" s="111"/>
      <c r="AQ15" s="111"/>
      <c r="AR15" s="111"/>
      <c r="AS15" s="127"/>
      <c r="AT15" s="127"/>
      <c r="AU15" s="132"/>
      <c r="AW15" s="123">
        <v>35000</v>
      </c>
      <c r="AX15" s="124">
        <v>1367.29</v>
      </c>
      <c r="AY15" s="124"/>
    </row>
    <row r="16" spans="2:58" ht="14.5" hidden="1">
      <c r="B16" s="326">
        <v>13</v>
      </c>
      <c r="C16" s="506">
        <v>10631.968628082084</v>
      </c>
      <c r="D16" s="507">
        <v>10251.585536734043</v>
      </c>
      <c r="F16" s="149"/>
      <c r="G16" s="268"/>
      <c r="H16" s="163"/>
      <c r="I16" s="111"/>
      <c r="J16" s="156">
        <v>1</v>
      </c>
      <c r="K16" s="151">
        <v>1.45</v>
      </c>
      <c r="L16" s="111"/>
      <c r="M16" s="308" t="s">
        <v>91</v>
      </c>
      <c r="N16" s="309">
        <v>5</v>
      </c>
      <c r="O16" s="309">
        <v>3</v>
      </c>
      <c r="Q16" s="230" t="s">
        <v>185</v>
      </c>
      <c r="R16" s="232" t="s">
        <v>2</v>
      </c>
      <c r="S16" s="111"/>
      <c r="T16" s="160">
        <v>7000000</v>
      </c>
      <c r="U16" s="163">
        <v>0.97099999999999997</v>
      </c>
      <c r="V16" s="111"/>
      <c r="W16" s="215">
        <v>50000</v>
      </c>
      <c r="X16" s="197">
        <v>115.05</v>
      </c>
      <c r="Y16" s="209">
        <v>5</v>
      </c>
      <c r="Z16" s="515">
        <f t="shared" si="2"/>
        <v>575.25</v>
      </c>
      <c r="AA16" s="111"/>
      <c r="AB16" s="230" t="s">
        <v>206</v>
      </c>
      <c r="AC16" s="232" t="s">
        <v>68</v>
      </c>
      <c r="AD16" s="111" t="s">
        <v>68</v>
      </c>
      <c r="AH16" s="111" t="str">
        <f t="shared" si="3"/>
        <v>3T T</v>
      </c>
      <c r="AI16" t="s">
        <v>278</v>
      </c>
      <c r="AJ16">
        <v>1200</v>
      </c>
      <c r="AK16" s="256">
        <v>95002</v>
      </c>
      <c r="AL16" t="s">
        <v>249</v>
      </c>
      <c r="AM16" s="111"/>
      <c r="AN16" s="111"/>
      <c r="AO16" s="111"/>
      <c r="AP16" s="111"/>
      <c r="AQ16" s="111"/>
      <c r="AR16" s="111"/>
      <c r="AS16" s="128"/>
      <c r="AT16" s="135"/>
      <c r="AU16" s="136">
        <v>1238</v>
      </c>
      <c r="AW16" s="123">
        <v>40000</v>
      </c>
      <c r="AX16" s="124">
        <v>1404.13</v>
      </c>
      <c r="AY16" s="124"/>
    </row>
    <row r="17" spans="2:52" ht="14.5" hidden="1">
      <c r="B17" s="325">
        <v>14</v>
      </c>
      <c r="C17" s="504">
        <v>10642.600596710165</v>
      </c>
      <c r="D17" s="505">
        <v>10251.585536734043</v>
      </c>
      <c r="F17" s="270"/>
      <c r="G17" s="271"/>
      <c r="H17" s="272"/>
      <c r="I17" s="111"/>
      <c r="J17" s="111"/>
      <c r="K17" s="111" t="s">
        <v>348</v>
      </c>
      <c r="L17" s="111"/>
      <c r="M17" s="310" t="s">
        <v>95</v>
      </c>
      <c r="N17" s="311">
        <v>4</v>
      </c>
      <c r="O17" s="311">
        <v>3</v>
      </c>
      <c r="Q17" s="152" t="s">
        <v>350</v>
      </c>
      <c r="R17" s="148">
        <v>0.69</v>
      </c>
      <c r="S17" s="111"/>
      <c r="T17" s="159">
        <v>8000000</v>
      </c>
      <c r="U17" s="162">
        <v>0.98199999999999998</v>
      </c>
      <c r="V17" s="111"/>
      <c r="W17" s="214">
        <v>75000</v>
      </c>
      <c r="X17" s="196">
        <v>115.05</v>
      </c>
      <c r="Y17" s="126">
        <v>7.5</v>
      </c>
      <c r="Z17" s="516">
        <f t="shared" si="2"/>
        <v>862.875</v>
      </c>
      <c r="AA17" s="111"/>
      <c r="AB17" s="184" t="s">
        <v>43</v>
      </c>
      <c r="AC17" s="190">
        <v>173.40986250000003</v>
      </c>
      <c r="AD17" s="111">
        <v>160.56468750000002</v>
      </c>
      <c r="AE17" s="194"/>
      <c r="AH17" s="111" t="str">
        <f t="shared" si="3"/>
        <v>4T T</v>
      </c>
      <c r="AI17" t="s">
        <v>279</v>
      </c>
      <c r="AJ17">
        <v>1200</v>
      </c>
      <c r="AK17" s="256">
        <v>95003</v>
      </c>
      <c r="AL17" t="s">
        <v>249</v>
      </c>
      <c r="AM17" s="111"/>
      <c r="AN17" s="111"/>
      <c r="AO17" s="111"/>
      <c r="AP17" s="111"/>
      <c r="AQ17" s="111"/>
      <c r="AR17" s="111"/>
      <c r="AS17" s="128"/>
      <c r="AT17" s="135"/>
      <c r="AU17" s="136"/>
      <c r="AW17" s="123">
        <v>45000</v>
      </c>
      <c r="AX17" s="124">
        <v>1436.64</v>
      </c>
      <c r="AY17" s="124"/>
    </row>
    <row r="18" spans="2:52" ht="14.5" hidden="1">
      <c r="B18" s="326">
        <v>15</v>
      </c>
      <c r="C18" s="506">
        <v>10653.243197306872</v>
      </c>
      <c r="D18" s="507">
        <v>10251.585536734043</v>
      </c>
      <c r="F18" s="140"/>
      <c r="G18" s="140"/>
      <c r="H18" s="140">
        <v>0.90400000000000003</v>
      </c>
      <c r="I18" s="111"/>
      <c r="J18" s="111"/>
      <c r="K18" s="111"/>
      <c r="L18" s="111"/>
      <c r="M18" s="308" t="s">
        <v>96</v>
      </c>
      <c r="N18" s="309">
        <v>5</v>
      </c>
      <c r="O18" s="309">
        <v>3</v>
      </c>
      <c r="Q18" s="153" t="s">
        <v>351</v>
      </c>
      <c r="R18" s="151">
        <v>0.84</v>
      </c>
      <c r="S18" s="111"/>
      <c r="T18" s="160">
        <v>9000000</v>
      </c>
      <c r="U18" s="163">
        <v>0.99099999999999999</v>
      </c>
      <c r="V18" s="111"/>
      <c r="W18" s="216">
        <v>100000</v>
      </c>
      <c r="X18" s="198">
        <v>115.05</v>
      </c>
      <c r="Y18" s="210">
        <v>10</v>
      </c>
      <c r="Z18" s="517">
        <f t="shared" si="2"/>
        <v>1150.5</v>
      </c>
      <c r="AA18" s="111"/>
      <c r="AB18" s="111"/>
      <c r="AC18" s="111"/>
      <c r="AD18" s="111"/>
      <c r="AH18" s="111" t="str">
        <f t="shared" si="3"/>
        <v>5T T</v>
      </c>
      <c r="AI18" t="s">
        <v>280</v>
      </c>
      <c r="AJ18">
        <v>1200</v>
      </c>
      <c r="AK18" s="256">
        <v>95004</v>
      </c>
      <c r="AL18" t="s">
        <v>249</v>
      </c>
      <c r="AM18" s="111"/>
      <c r="AN18" s="111"/>
      <c r="AO18" s="111"/>
      <c r="AP18" s="111"/>
      <c r="AQ18" s="111"/>
      <c r="AR18" s="111"/>
      <c r="AS18" s="128"/>
      <c r="AT18" s="135"/>
      <c r="AU18" s="132"/>
      <c r="AW18" s="123">
        <v>50000</v>
      </c>
      <c r="AX18" s="124">
        <v>1465.7</v>
      </c>
      <c r="AY18" s="124"/>
    </row>
    <row r="19" spans="2:52" ht="14.5" hidden="1">
      <c r="B19" s="325">
        <v>16</v>
      </c>
      <c r="C19" s="504">
        <v>10663.896440504177</v>
      </c>
      <c r="D19" s="505">
        <v>10251.585536734043</v>
      </c>
      <c r="F19" s="140"/>
      <c r="G19" s="140"/>
      <c r="H19" s="140" t="s">
        <v>348</v>
      </c>
      <c r="I19" s="111"/>
      <c r="J19" s="117" t="s">
        <v>207</v>
      </c>
      <c r="L19" s="111"/>
      <c r="M19" s="310" t="s">
        <v>107</v>
      </c>
      <c r="N19" s="311">
        <v>7</v>
      </c>
      <c r="O19" s="311">
        <v>4</v>
      </c>
      <c r="S19" s="111"/>
      <c r="T19" s="159">
        <v>10000000</v>
      </c>
      <c r="U19" s="162">
        <v>1</v>
      </c>
      <c r="V19" s="111"/>
      <c r="W19" s="111"/>
      <c r="X19" s="111"/>
      <c r="Y19" s="111"/>
      <c r="Z19" s="111">
        <f>+IF(OR(COTIZACION!E20="COBERTURA NO PERMITIDA POR EDAD",COTIZACION!D20="NO"),0,VLOOKUP(COTIZACION!D20,FACTORES!W11:Z18,4,FALSE))</f>
        <v>0</v>
      </c>
      <c r="AA19" s="111"/>
      <c r="AB19" s="117" t="s">
        <v>215</v>
      </c>
      <c r="AD19" s="111"/>
      <c r="AH19" s="111" t="str">
        <f t="shared" si="3"/>
        <v>6T T</v>
      </c>
      <c r="AI19" t="s">
        <v>281</v>
      </c>
      <c r="AJ19">
        <v>1200</v>
      </c>
      <c r="AK19" s="256">
        <v>95005</v>
      </c>
      <c r="AL19" t="s">
        <v>249</v>
      </c>
      <c r="AM19" s="111"/>
      <c r="AN19" s="111"/>
      <c r="AO19" s="111"/>
      <c r="AP19" s="111"/>
      <c r="AQ19" s="111"/>
      <c r="AR19" s="111"/>
      <c r="AS19" s="128"/>
      <c r="AT19" s="135"/>
      <c r="AU19" s="132"/>
      <c r="AW19" s="123"/>
      <c r="AX19" s="124"/>
      <c r="AY19" s="124"/>
    </row>
    <row r="20" spans="2:52" ht="14.5" hidden="1">
      <c r="B20" s="326">
        <v>17</v>
      </c>
      <c r="C20" s="506">
        <v>10674.560336944682</v>
      </c>
      <c r="D20" s="507">
        <v>10251.585536734043</v>
      </c>
      <c r="F20" s="140"/>
      <c r="G20" s="140"/>
      <c r="H20" s="140"/>
      <c r="I20" s="111"/>
      <c r="J20" s="233" t="s">
        <v>186</v>
      </c>
      <c r="K20" s="233" t="s">
        <v>183</v>
      </c>
      <c r="L20" s="111"/>
      <c r="M20" s="308" t="s">
        <v>92</v>
      </c>
      <c r="N20" s="309">
        <v>3</v>
      </c>
      <c r="O20" s="309">
        <v>2</v>
      </c>
      <c r="Q20" s="236" t="s">
        <v>53</v>
      </c>
      <c r="S20" s="111"/>
      <c r="T20" s="160">
        <v>20000000</v>
      </c>
      <c r="U20" s="163">
        <v>1.0569999999999999</v>
      </c>
      <c r="V20" s="111"/>
      <c r="W20" s="111"/>
      <c r="X20" s="111"/>
      <c r="Y20" s="111"/>
      <c r="Z20" s="111"/>
      <c r="AA20" s="111"/>
      <c r="AB20" s="230" t="s">
        <v>206</v>
      </c>
      <c r="AC20" s="232" t="s">
        <v>68</v>
      </c>
      <c r="AD20" s="111" t="s">
        <v>68</v>
      </c>
      <c r="AH20" s="111" t="str">
        <f t="shared" si="3"/>
        <v>7T T</v>
      </c>
      <c r="AI20" t="s">
        <v>282</v>
      </c>
      <c r="AJ20">
        <v>1200</v>
      </c>
      <c r="AK20" s="256">
        <v>95006</v>
      </c>
      <c r="AL20" t="s">
        <v>249</v>
      </c>
      <c r="AM20" s="111"/>
      <c r="AN20" s="111"/>
      <c r="AO20" s="111"/>
      <c r="AP20" s="111"/>
      <c r="AQ20" s="111"/>
      <c r="AR20" s="111"/>
      <c r="AS20" s="128"/>
      <c r="AT20" s="135"/>
      <c r="AU20" s="132"/>
      <c r="AW20" s="120"/>
      <c r="AX20" s="126"/>
      <c r="AY20" s="124"/>
    </row>
    <row r="21" spans="2:52" ht="14.5" hidden="1">
      <c r="B21" s="325">
        <v>18</v>
      </c>
      <c r="C21" s="504">
        <v>10781.305940314127</v>
      </c>
      <c r="D21" s="505">
        <v>8201.2684293872335</v>
      </c>
      <c r="F21" s="140"/>
      <c r="G21" s="260" t="s">
        <v>255</v>
      </c>
      <c r="H21" s="522">
        <f>K21/I21</f>
        <v>1054.6566728855041</v>
      </c>
      <c r="I21" s="111">
        <v>2</v>
      </c>
      <c r="J21" s="176" t="s">
        <v>44</v>
      </c>
      <c r="K21" s="301">
        <v>2109.3133457710082</v>
      </c>
      <c r="L21" s="111"/>
      <c r="M21" s="310" t="s">
        <v>102</v>
      </c>
      <c r="N21" s="311">
        <v>6</v>
      </c>
      <c r="O21" s="311">
        <v>4</v>
      </c>
      <c r="Q21" s="164" t="s">
        <v>48</v>
      </c>
      <c r="S21" s="111"/>
      <c r="T21" s="159">
        <v>30000000</v>
      </c>
      <c r="U21" s="162">
        <v>1.091</v>
      </c>
      <c r="V21" s="111"/>
      <c r="W21" s="314" t="s">
        <v>261</v>
      </c>
      <c r="X21" s="273"/>
      <c r="Y21" s="273"/>
      <c r="Z21" s="111"/>
      <c r="AA21" s="111"/>
      <c r="AB21" s="180" t="s">
        <v>43</v>
      </c>
      <c r="AC21" s="190">
        <v>251.86792050000003</v>
      </c>
      <c r="AD21" s="111">
        <v>233.2110375</v>
      </c>
      <c r="AH21" s="111" t="str">
        <f t="shared" si="3"/>
        <v>8T T</v>
      </c>
      <c r="AI21" t="s">
        <v>283</v>
      </c>
      <c r="AJ21">
        <v>1200</v>
      </c>
      <c r="AK21" s="256">
        <v>95007</v>
      </c>
      <c r="AL21" t="s">
        <v>249</v>
      </c>
      <c r="AM21" s="111"/>
      <c r="AN21" s="111"/>
      <c r="AO21" s="111"/>
      <c r="AP21" s="111"/>
      <c r="AQ21" s="111"/>
      <c r="AR21" s="111"/>
      <c r="AS21" s="133"/>
      <c r="AT21" s="133"/>
      <c r="AU21" s="132"/>
      <c r="AW21" s="120"/>
      <c r="AX21" s="126"/>
      <c r="AY21" s="126"/>
    </row>
    <row r="22" spans="2:52" ht="14.5" hidden="1">
      <c r="B22" s="326">
        <v>19</v>
      </c>
      <c r="C22" s="506">
        <v>10889.118999717268</v>
      </c>
      <c r="D22" s="507">
        <v>8758.9546825855668</v>
      </c>
      <c r="F22" s="140"/>
      <c r="G22" s="261" t="s">
        <v>251</v>
      </c>
      <c r="H22" s="522">
        <f t="shared" ref="H22:H24" si="4">K22/I22</f>
        <v>1054.7499030686449</v>
      </c>
      <c r="I22" s="111">
        <v>3.742</v>
      </c>
      <c r="J22" s="175">
        <v>30000</v>
      </c>
      <c r="K22" s="302">
        <v>3946.8741372828695</v>
      </c>
      <c r="L22" s="111"/>
      <c r="M22" s="308" t="s">
        <v>81</v>
      </c>
      <c r="N22" s="309">
        <v>1</v>
      </c>
      <c r="O22" s="309">
        <v>1</v>
      </c>
      <c r="Q22" s="165" t="s">
        <v>49</v>
      </c>
      <c r="S22" s="111"/>
      <c r="T22" s="160">
        <v>40000000</v>
      </c>
      <c r="U22" s="163">
        <v>1.115</v>
      </c>
      <c r="V22" s="111"/>
      <c r="W22" s="234" t="s">
        <v>13</v>
      </c>
      <c r="X22" s="235" t="s">
        <v>263</v>
      </c>
      <c r="Y22" s="275" t="s">
        <v>167</v>
      </c>
      <c r="Z22" s="111"/>
      <c r="AA22" s="111"/>
      <c r="AB22" s="189" t="s">
        <v>44</v>
      </c>
      <c r="AC22" s="191">
        <v>0</v>
      </c>
      <c r="AD22" s="111">
        <v>0</v>
      </c>
      <c r="AH22" s="111" t="str">
        <f t="shared" si="3"/>
        <v>9T T</v>
      </c>
      <c r="AI22" t="s">
        <v>284</v>
      </c>
      <c r="AJ22">
        <v>1200</v>
      </c>
      <c r="AK22" s="256">
        <v>95008</v>
      </c>
      <c r="AL22" t="s">
        <v>249</v>
      </c>
      <c r="AM22" s="111"/>
      <c r="AN22" s="111"/>
      <c r="AO22" s="111"/>
      <c r="AP22" s="111"/>
      <c r="AQ22" s="111"/>
      <c r="AR22" s="111"/>
      <c r="AS22" s="133"/>
      <c r="AT22" s="133"/>
      <c r="AU22" s="132"/>
      <c r="AW22" s="133"/>
      <c r="AX22" s="133"/>
      <c r="AY22" s="126"/>
    </row>
    <row r="23" spans="2:52" ht="14.5" hidden="1">
      <c r="B23" s="325">
        <v>20</v>
      </c>
      <c r="C23" s="504">
        <v>9660.654868879923</v>
      </c>
      <c r="D23" s="505">
        <v>8429.9006030384317</v>
      </c>
      <c r="F23" s="140"/>
      <c r="G23" s="262" t="s">
        <v>41</v>
      </c>
      <c r="H23" s="522">
        <f t="shared" si="4"/>
        <v>1054.6206211921108</v>
      </c>
      <c r="I23" s="111">
        <v>7.9740000000000002</v>
      </c>
      <c r="J23" s="177">
        <v>40000</v>
      </c>
      <c r="K23" s="301">
        <v>8409.5448333858913</v>
      </c>
      <c r="L23" s="111"/>
      <c r="M23" s="310" t="s">
        <v>89</v>
      </c>
      <c r="N23" s="311">
        <v>2</v>
      </c>
      <c r="O23" s="311">
        <v>2</v>
      </c>
      <c r="S23" s="111"/>
      <c r="T23" s="159">
        <v>50000000</v>
      </c>
      <c r="U23" s="521">
        <v>1.133</v>
      </c>
      <c r="V23" s="111"/>
      <c r="W23" s="274">
        <v>1</v>
      </c>
      <c r="X23" s="319">
        <v>0.76091991291861594</v>
      </c>
      <c r="Y23" s="518">
        <v>41382</v>
      </c>
      <c r="Z23" s="111"/>
      <c r="AA23" s="111"/>
      <c r="AD23" s="111"/>
      <c r="AE23" s="111"/>
      <c r="AF23" s="111"/>
      <c r="AH23" s="111" t="str">
        <f t="shared" si="3"/>
        <v xml:space="preserve">10T </v>
      </c>
      <c r="AI23" t="s">
        <v>285</v>
      </c>
      <c r="AJ23">
        <v>1200</v>
      </c>
      <c r="AK23" s="256">
        <v>95009</v>
      </c>
      <c r="AL23" t="s">
        <v>249</v>
      </c>
      <c r="AM23" s="111"/>
      <c r="AN23" s="111"/>
      <c r="AO23" s="111"/>
      <c r="AP23" s="111"/>
      <c r="AQ23" s="111"/>
      <c r="AR23" s="111"/>
      <c r="AS23" s="127"/>
      <c r="AT23" s="127"/>
      <c r="AU23" s="133"/>
      <c r="AW23" s="126"/>
      <c r="AY23" s="133"/>
      <c r="AZ23" s="115" t="s">
        <v>178</v>
      </c>
    </row>
    <row r="24" spans="2:52" ht="14.5" hidden="1">
      <c r="B24" s="326">
        <v>21</v>
      </c>
      <c r="C24" s="506">
        <v>10143.68761232392</v>
      </c>
      <c r="D24" s="507">
        <v>10284.478735706887</v>
      </c>
      <c r="F24" s="140"/>
      <c r="G24" s="140"/>
      <c r="H24" s="522">
        <f t="shared" si="4"/>
        <v>1054.6333706049511</v>
      </c>
      <c r="I24" s="111">
        <v>23.24</v>
      </c>
      <c r="J24" s="175">
        <v>50000</v>
      </c>
      <c r="K24" s="302">
        <v>24509.679532859063</v>
      </c>
      <c r="L24" s="111"/>
      <c r="M24" s="308" t="s">
        <v>108</v>
      </c>
      <c r="N24" s="309">
        <v>5</v>
      </c>
      <c r="O24" s="309">
        <v>3</v>
      </c>
      <c r="Q24" s="236" t="s">
        <v>233</v>
      </c>
      <c r="S24" s="111"/>
      <c r="T24" s="160">
        <v>100000000</v>
      </c>
      <c r="U24" s="163">
        <v>1.19</v>
      </c>
      <c r="V24" s="111"/>
      <c r="W24" s="279">
        <v>2</v>
      </c>
      <c r="X24" s="320">
        <v>0.76091991291861594</v>
      </c>
      <c r="Y24" s="519">
        <v>41382</v>
      </c>
      <c r="Z24" s="111"/>
      <c r="AA24" s="111"/>
      <c r="AB24" s="201" t="s">
        <v>224</v>
      </c>
      <c r="AC24" s="111"/>
      <c r="AD24" s="111"/>
      <c r="AE24" s="201" t="s">
        <v>257</v>
      </c>
      <c r="AH24" s="111" t="str">
        <f t="shared" si="3"/>
        <v>1E T</v>
      </c>
      <c r="AI24" t="s">
        <v>286</v>
      </c>
      <c r="AJ24">
        <v>1201</v>
      </c>
      <c r="AK24" s="256">
        <v>95010</v>
      </c>
      <c r="AL24" t="s">
        <v>249</v>
      </c>
      <c r="AM24" s="111"/>
      <c r="AN24" s="111"/>
      <c r="AO24" s="111"/>
      <c r="AP24" s="111"/>
      <c r="AQ24" s="111"/>
      <c r="AR24" s="111"/>
      <c r="AS24" s="128"/>
      <c r="AT24" s="135"/>
      <c r="AU24" s="133"/>
      <c r="AW24" s="126"/>
      <c r="AZ24" s="115">
        <v>543.35</v>
      </c>
    </row>
    <row r="25" spans="2:52" ht="14.5" hidden="1">
      <c r="B25" s="325">
        <v>22</v>
      </c>
      <c r="C25" s="504">
        <v>10650.871992940116</v>
      </c>
      <c r="D25" s="505">
        <v>11683.167843763023</v>
      </c>
      <c r="H25" s="140"/>
      <c r="I25" s="111"/>
      <c r="J25" s="122" t="s">
        <v>345</v>
      </c>
      <c r="K25" s="1" t="s">
        <v>348</v>
      </c>
      <c r="L25" s="111"/>
      <c r="M25" s="310" t="s">
        <v>106</v>
      </c>
      <c r="N25" s="311">
        <v>7</v>
      </c>
      <c r="O25" s="311">
        <v>4</v>
      </c>
      <c r="Q25" s="164" t="s">
        <v>7</v>
      </c>
      <c r="S25" s="111"/>
      <c r="T25" s="159"/>
      <c r="U25" s="521"/>
      <c r="V25" s="111"/>
      <c r="W25" s="274">
        <v>3</v>
      </c>
      <c r="X25" s="321">
        <v>0.76091991291861594</v>
      </c>
      <c r="Y25" s="520">
        <v>41382</v>
      </c>
      <c r="Z25" s="111"/>
      <c r="AA25" s="111"/>
      <c r="AB25" s="239" t="s">
        <v>6</v>
      </c>
      <c r="AC25" s="240" t="s">
        <v>68</v>
      </c>
      <c r="AD25" s="111"/>
      <c r="AE25" s="239" t="s">
        <v>258</v>
      </c>
      <c r="AF25" s="240" t="s">
        <v>68</v>
      </c>
      <c r="AH25" s="111" t="str">
        <f t="shared" si="3"/>
        <v>2E T</v>
      </c>
      <c r="AI25" t="s">
        <v>287</v>
      </c>
      <c r="AJ25">
        <v>1201</v>
      </c>
      <c r="AK25" s="256">
        <v>95011</v>
      </c>
      <c r="AL25" t="s">
        <v>249</v>
      </c>
      <c r="AM25" s="111"/>
      <c r="AN25" s="111"/>
      <c r="AO25" s="111"/>
      <c r="AP25" s="111"/>
      <c r="AQ25" s="111"/>
      <c r="AR25" s="111"/>
      <c r="AS25" s="128"/>
      <c r="AT25" s="135"/>
      <c r="AU25" s="133"/>
      <c r="AW25" s="126"/>
      <c r="AZ25" s="115">
        <v>510.75</v>
      </c>
    </row>
    <row r="26" spans="2:52" ht="14.5" hidden="1">
      <c r="B26" s="326">
        <v>23</v>
      </c>
      <c r="C26" s="506">
        <v>11289.924312516523</v>
      </c>
      <c r="D26" s="507">
        <v>12793.068788920511</v>
      </c>
      <c r="H26" s="140"/>
      <c r="I26" s="111"/>
      <c r="L26" s="111"/>
      <c r="M26" s="308" t="s">
        <v>112</v>
      </c>
      <c r="N26" s="309">
        <v>7</v>
      </c>
      <c r="O26" s="309">
        <v>4</v>
      </c>
      <c r="Q26" s="165" t="s">
        <v>8</v>
      </c>
      <c r="S26" s="111"/>
      <c r="T26" s="265"/>
      <c r="U26" s="169"/>
      <c r="V26" s="111"/>
      <c r="W26" s="279">
        <v>4</v>
      </c>
      <c r="X26" s="320">
        <v>0.89441382185372176</v>
      </c>
      <c r="Y26" s="519">
        <v>48642</v>
      </c>
      <c r="Z26" s="111"/>
      <c r="AA26" s="111"/>
      <c r="AB26" s="203">
        <v>1</v>
      </c>
      <c r="AC26" s="161">
        <v>188.09</v>
      </c>
      <c r="AD26" s="111"/>
      <c r="AE26" s="202" t="s">
        <v>342</v>
      </c>
      <c r="AF26" s="318">
        <v>911.09</v>
      </c>
      <c r="AG26" s="111"/>
      <c r="AH26" s="111" t="str">
        <f t="shared" si="3"/>
        <v>3E T</v>
      </c>
      <c r="AI26" t="s">
        <v>288</v>
      </c>
      <c r="AJ26">
        <v>1201</v>
      </c>
      <c r="AK26" s="256">
        <v>95012</v>
      </c>
      <c r="AL26" t="s">
        <v>249</v>
      </c>
      <c r="AM26" s="111"/>
      <c r="AN26" s="111"/>
      <c r="AO26" s="111"/>
      <c r="AP26" s="111"/>
      <c r="AQ26" s="111"/>
      <c r="AR26" s="111"/>
      <c r="AS26" s="128"/>
      <c r="AT26" s="135"/>
      <c r="AU26" s="133"/>
    </row>
    <row r="27" spans="2:52" ht="14.5" hidden="1">
      <c r="B27" s="325">
        <v>24</v>
      </c>
      <c r="C27" s="504">
        <v>11967.319771267516</v>
      </c>
      <c r="D27" s="505">
        <v>13688.583604144946</v>
      </c>
      <c r="H27" s="140"/>
      <c r="I27" s="111"/>
      <c r="L27" s="111"/>
      <c r="M27" s="310" t="s">
        <v>110</v>
      </c>
      <c r="N27" s="311">
        <v>5</v>
      </c>
      <c r="O27" s="311">
        <v>3</v>
      </c>
      <c r="S27" s="111"/>
      <c r="U27" s="115" t="s">
        <v>348</v>
      </c>
      <c r="V27" s="111"/>
      <c r="W27" s="274">
        <v>5</v>
      </c>
      <c r="X27" s="321">
        <v>0.89441382185372176</v>
      </c>
      <c r="Y27" s="520">
        <v>48642</v>
      </c>
      <c r="Z27" s="111"/>
      <c r="AA27" s="111"/>
      <c r="AD27" s="111"/>
      <c r="AE27" s="204" t="s">
        <v>343</v>
      </c>
      <c r="AF27" s="315">
        <v>2094.62</v>
      </c>
      <c r="AG27" s="111"/>
      <c r="AH27" s="111" t="str">
        <f t="shared" si="3"/>
        <v>4E T</v>
      </c>
      <c r="AI27" t="s">
        <v>289</v>
      </c>
      <c r="AJ27">
        <v>1201</v>
      </c>
      <c r="AK27" s="256">
        <v>95013</v>
      </c>
      <c r="AL27" t="s">
        <v>249</v>
      </c>
      <c r="AM27" s="111"/>
      <c r="AN27" s="111"/>
      <c r="AO27" s="111"/>
      <c r="AP27" s="111"/>
      <c r="AQ27" s="111"/>
      <c r="AR27" s="111"/>
      <c r="AS27" s="128"/>
      <c r="AT27" s="135"/>
      <c r="AU27" s="133"/>
    </row>
    <row r="28" spans="2:52" ht="14.5" hidden="1">
      <c r="B28" s="326">
        <v>25</v>
      </c>
      <c r="C28" s="506">
        <v>12685.358957543567</v>
      </c>
      <c r="D28" s="507">
        <v>14605.718705622656</v>
      </c>
      <c r="F28" s="140"/>
      <c r="G28" s="140"/>
      <c r="H28" s="140"/>
      <c r="M28" s="308" t="s">
        <v>109</v>
      </c>
      <c r="N28" s="309">
        <v>7</v>
      </c>
      <c r="O28" s="309">
        <v>4</v>
      </c>
      <c r="V28" s="111"/>
      <c r="W28" s="279">
        <v>6</v>
      </c>
      <c r="X28" s="320">
        <v>1</v>
      </c>
      <c r="Y28" s="519">
        <f t="shared" ref="Y28:Y29" si="5">X28*$X$33</f>
        <v>54384</v>
      </c>
      <c r="Z28" s="111"/>
      <c r="AA28" s="111"/>
      <c r="AB28" s="201" t="s">
        <v>223</v>
      </c>
      <c r="AC28" s="111"/>
      <c r="AD28" s="111"/>
      <c r="AE28" s="202"/>
      <c r="AF28" s="148"/>
      <c r="AG28" s="111"/>
      <c r="AH28" s="111" t="str">
        <f t="shared" si="3"/>
        <v>5E T</v>
      </c>
      <c r="AI28" t="s">
        <v>290</v>
      </c>
      <c r="AJ28">
        <v>1201</v>
      </c>
      <c r="AK28" s="256">
        <v>95014</v>
      </c>
      <c r="AL28" t="s">
        <v>249</v>
      </c>
      <c r="AM28" s="111"/>
      <c r="AN28" s="111"/>
      <c r="AO28" s="111"/>
      <c r="AP28" s="111"/>
      <c r="AQ28" s="111"/>
      <c r="AR28" s="111"/>
      <c r="AS28" s="133"/>
      <c r="AT28" s="133"/>
      <c r="AU28" s="133"/>
      <c r="AX28" s="115">
        <v>2318.2560000000003</v>
      </c>
    </row>
    <row r="29" spans="2:52" ht="14.5" hidden="1">
      <c r="B29" s="325">
        <v>26</v>
      </c>
      <c r="C29" s="504">
        <v>13446.48049499618</v>
      </c>
      <c r="D29" s="505">
        <v>15584.301858899373</v>
      </c>
      <c r="F29" s="140"/>
      <c r="G29" s="140"/>
      <c r="H29" s="140"/>
      <c r="M29" s="310" t="s">
        <v>82</v>
      </c>
      <c r="N29" s="311">
        <v>3</v>
      </c>
      <c r="O29" s="311">
        <v>2</v>
      </c>
      <c r="Q29" s="236" t="s">
        <v>206</v>
      </c>
      <c r="V29" s="111"/>
      <c r="W29" s="274">
        <v>7</v>
      </c>
      <c r="X29" s="321">
        <v>1</v>
      </c>
      <c r="Y29" s="520">
        <f t="shared" si="5"/>
        <v>54384</v>
      </c>
      <c r="Z29" s="111"/>
      <c r="AA29" s="111"/>
      <c r="AB29" s="239" t="s">
        <v>6</v>
      </c>
      <c r="AC29" s="240" t="s">
        <v>68</v>
      </c>
      <c r="AD29" s="111"/>
      <c r="AE29" s="204"/>
      <c r="AF29" s="150"/>
      <c r="AG29" s="111"/>
      <c r="AH29" s="111" t="str">
        <f t="shared" si="3"/>
        <v>6E T</v>
      </c>
      <c r="AI29" t="s">
        <v>291</v>
      </c>
      <c r="AJ29">
        <v>1201</v>
      </c>
      <c r="AK29" s="256">
        <v>95015</v>
      </c>
      <c r="AL29" t="s">
        <v>249</v>
      </c>
      <c r="AM29" s="111"/>
      <c r="AN29" s="111"/>
      <c r="AO29" s="111"/>
      <c r="AP29" s="111"/>
      <c r="AQ29" s="111"/>
      <c r="AR29" s="111"/>
      <c r="AS29" s="133"/>
      <c r="AT29" s="133"/>
      <c r="AU29" s="133"/>
      <c r="AW29" s="137"/>
      <c r="AX29" s="137"/>
      <c r="AY29" s="115">
        <f>AX28*1.1</f>
        <v>2550.0816000000004</v>
      </c>
    </row>
    <row r="30" spans="2:52" ht="14.5" hidden="1">
      <c r="B30" s="326">
        <v>27</v>
      </c>
      <c r="C30" s="506">
        <v>14253.269324695952</v>
      </c>
      <c r="D30" s="507">
        <v>16441.438461138838</v>
      </c>
      <c r="F30" s="140"/>
      <c r="G30" s="140"/>
      <c r="H30" s="140"/>
      <c r="M30" s="308" t="s">
        <v>101</v>
      </c>
      <c r="N30" s="309">
        <v>7</v>
      </c>
      <c r="O30" s="309">
        <v>4</v>
      </c>
      <c r="Q30" s="164" t="s">
        <v>43</v>
      </c>
      <c r="V30" s="111"/>
      <c r="W30" s="279">
        <v>8</v>
      </c>
      <c r="X30" s="320">
        <v>1.2135809903191439</v>
      </c>
      <c r="Y30" s="519">
        <v>66000</v>
      </c>
      <c r="Z30" s="111"/>
      <c r="AA30" s="111"/>
      <c r="AB30" s="180" t="s">
        <v>43</v>
      </c>
      <c r="AC30" s="299">
        <v>0.42399999999999999</v>
      </c>
      <c r="AD30" s="111"/>
      <c r="AE30" s="202"/>
      <c r="AF30" s="148"/>
      <c r="AG30" s="111"/>
      <c r="AH30" s="111" t="str">
        <f t="shared" si="3"/>
        <v>7E T</v>
      </c>
      <c r="AI30" t="s">
        <v>292</v>
      </c>
      <c r="AJ30">
        <v>1201</v>
      </c>
      <c r="AK30" s="256">
        <v>95016</v>
      </c>
      <c r="AL30" t="s">
        <v>249</v>
      </c>
      <c r="AM30" s="111"/>
      <c r="AN30" s="111"/>
      <c r="AO30" s="111"/>
      <c r="AP30" s="111"/>
      <c r="AQ30" s="111"/>
      <c r="AR30" s="111"/>
      <c r="AS30" s="113"/>
      <c r="AT30" s="127"/>
      <c r="AU30" s="119"/>
      <c r="AW30" s="137"/>
      <c r="AX30" s="137"/>
    </row>
    <row r="31" spans="2:52" ht="14.5" hidden="1">
      <c r="B31" s="325">
        <v>28</v>
      </c>
      <c r="C31" s="504">
        <v>14965.93279093075</v>
      </c>
      <c r="D31" s="505">
        <v>17263.510384195779</v>
      </c>
      <c r="F31" s="140"/>
      <c r="G31" s="140"/>
      <c r="H31" s="140"/>
      <c r="M31" s="310" t="s">
        <v>90</v>
      </c>
      <c r="N31" s="311">
        <v>1</v>
      </c>
      <c r="O31" s="311">
        <v>1</v>
      </c>
      <c r="Q31" s="165" t="s">
        <v>44</v>
      </c>
      <c r="V31" s="111"/>
      <c r="W31" s="274">
        <v>9</v>
      </c>
      <c r="X31" s="321">
        <v>1.2135809903191439</v>
      </c>
      <c r="Y31" s="520">
        <v>66000</v>
      </c>
      <c r="Z31" s="111"/>
      <c r="AA31" s="111"/>
      <c r="AB31" s="189" t="s">
        <v>44</v>
      </c>
      <c r="AC31" s="300">
        <v>0</v>
      </c>
      <c r="AD31" s="111"/>
      <c r="AE31" s="204"/>
      <c r="AF31" s="150"/>
      <c r="AG31" s="111"/>
      <c r="AH31" s="111" t="str">
        <f t="shared" si="3"/>
        <v>8E T</v>
      </c>
      <c r="AI31" t="s">
        <v>293</v>
      </c>
      <c r="AJ31">
        <v>1201</v>
      </c>
      <c r="AK31" s="256">
        <v>95017</v>
      </c>
      <c r="AL31" t="s">
        <v>249</v>
      </c>
      <c r="AM31" s="111"/>
      <c r="AN31" s="111"/>
      <c r="AO31" s="111"/>
      <c r="AP31" s="111"/>
      <c r="AQ31" s="111"/>
      <c r="AR31" s="111"/>
      <c r="AS31" s="113"/>
      <c r="AT31" s="128"/>
      <c r="AU31" s="139"/>
      <c r="AV31" s="114"/>
      <c r="AW31" s="137"/>
      <c r="AX31" s="137"/>
    </row>
    <row r="32" spans="2:52" ht="14.5" hidden="1">
      <c r="B32" s="326">
        <v>29</v>
      </c>
      <c r="C32" s="506">
        <v>15714.229430477289</v>
      </c>
      <c r="D32" s="507">
        <v>18126.685903405571</v>
      </c>
      <c r="F32" s="140"/>
      <c r="G32" s="140"/>
      <c r="M32" s="308" t="s">
        <v>84</v>
      </c>
      <c r="N32" s="309">
        <v>3</v>
      </c>
      <c r="O32" s="309">
        <v>2</v>
      </c>
      <c r="V32" s="111"/>
      <c r="W32" s="279">
        <v>10</v>
      </c>
      <c r="X32" s="316" t="s">
        <v>16</v>
      </c>
      <c r="Y32" s="317" t="s">
        <v>16</v>
      </c>
      <c r="Z32" s="111"/>
      <c r="AA32" s="111"/>
      <c r="AD32" s="111"/>
      <c r="AE32" s="202"/>
      <c r="AF32" s="148"/>
      <c r="AG32" s="111"/>
      <c r="AH32" s="111" t="str">
        <f t="shared" si="3"/>
        <v>9E T</v>
      </c>
      <c r="AI32" t="s">
        <v>294</v>
      </c>
      <c r="AJ32">
        <v>1201</v>
      </c>
      <c r="AK32" s="256">
        <v>95018</v>
      </c>
      <c r="AL32" t="s">
        <v>249</v>
      </c>
      <c r="AM32" s="111"/>
      <c r="AN32" s="111"/>
      <c r="AO32" s="111"/>
      <c r="AP32" s="111"/>
      <c r="AQ32" s="111"/>
      <c r="AR32" s="111"/>
      <c r="AT32" s="128"/>
      <c r="AU32" s="139"/>
      <c r="AV32" s="114"/>
      <c r="AY32" s="137"/>
      <c r="AZ32" s="137"/>
    </row>
    <row r="33" spans="2:59" ht="14.5" hidden="1">
      <c r="B33" s="325">
        <v>30</v>
      </c>
      <c r="C33" s="504">
        <v>16347.017958124015</v>
      </c>
      <c r="D33" s="505">
        <v>19115.414225409513</v>
      </c>
      <c r="F33" s="140"/>
      <c r="G33" s="140"/>
      <c r="H33" s="1"/>
      <c r="M33" s="310" t="s">
        <v>86</v>
      </c>
      <c r="N33" s="311">
        <v>1</v>
      </c>
      <c r="O33" s="311">
        <v>1</v>
      </c>
      <c r="V33" s="111"/>
      <c r="W33" s="276" t="s">
        <v>172</v>
      </c>
      <c r="X33" s="277">
        <v>54384</v>
      </c>
      <c r="Y33" s="278"/>
      <c r="Z33" s="111"/>
      <c r="AA33" s="111"/>
      <c r="AB33" s="201" t="s">
        <v>310</v>
      </c>
      <c r="AD33" s="111"/>
      <c r="AE33" s="204"/>
      <c r="AF33" s="150"/>
      <c r="AG33" s="111"/>
      <c r="AH33" s="111" t="str">
        <f t="shared" si="3"/>
        <v xml:space="preserve">10E </v>
      </c>
      <c r="AI33" t="s">
        <v>295</v>
      </c>
      <c r="AJ33">
        <v>1201</v>
      </c>
      <c r="AK33" s="256">
        <v>95019</v>
      </c>
      <c r="AL33" t="s">
        <v>249</v>
      </c>
      <c r="AM33" s="111"/>
      <c r="AN33" s="111"/>
      <c r="AO33" s="111"/>
      <c r="AP33" s="111"/>
      <c r="AQ33" s="111"/>
      <c r="AR33" s="111"/>
      <c r="AS33" s="141"/>
      <c r="AT33" s="128"/>
      <c r="AU33" s="139"/>
      <c r="AV33" s="114"/>
      <c r="AY33" s="137"/>
      <c r="AZ33" s="550" t="s">
        <v>71</v>
      </c>
      <c r="BA33" s="550"/>
    </row>
    <row r="34" spans="2:59" ht="15" hidden="1" thickBot="1">
      <c r="B34" s="326">
        <v>31</v>
      </c>
      <c r="C34" s="506">
        <v>17164.368856030214</v>
      </c>
      <c r="D34" s="507">
        <v>20071.184936679991</v>
      </c>
      <c r="F34" s="140"/>
      <c r="G34" s="140"/>
      <c r="H34" s="1"/>
      <c r="I34" s="1"/>
      <c r="L34" s="1"/>
      <c r="M34" s="312" t="s">
        <v>98</v>
      </c>
      <c r="N34" s="313">
        <v>5</v>
      </c>
      <c r="O34" s="313">
        <v>3</v>
      </c>
      <c r="P34" s="1"/>
      <c r="Q34" s="233" t="s">
        <v>208</v>
      </c>
      <c r="R34" s="200">
        <v>850</v>
      </c>
      <c r="S34" s="1"/>
      <c r="V34" s="111"/>
      <c r="Z34" s="111"/>
      <c r="AA34" s="111"/>
      <c r="AB34" s="283" t="s">
        <v>6</v>
      </c>
      <c r="AD34" s="111"/>
      <c r="AE34" s="202"/>
      <c r="AF34" s="148"/>
      <c r="AG34" s="111"/>
      <c r="AH34" s="111"/>
      <c r="AI34"/>
      <c r="AJ34"/>
      <c r="AK34"/>
      <c r="AL34"/>
      <c r="AM34" s="111"/>
      <c r="AN34" s="111"/>
      <c r="AO34" s="111"/>
      <c r="AP34" s="111"/>
      <c r="AQ34" s="111"/>
      <c r="AR34" s="111"/>
      <c r="AS34" s="141"/>
      <c r="AT34" s="128"/>
      <c r="AU34" s="139"/>
      <c r="AV34" s="114"/>
      <c r="AY34" s="143"/>
      <c r="AZ34" s="111">
        <v>10000</v>
      </c>
      <c r="BA34" s="111">
        <v>116.76</v>
      </c>
    </row>
    <row r="35" spans="2:59" ht="14.5" hidden="1">
      <c r="B35" s="325">
        <v>32</v>
      </c>
      <c r="C35" s="504">
        <v>18108.409143111876</v>
      </c>
      <c r="D35" s="505">
        <v>21074.744183513991</v>
      </c>
      <c r="F35" s="140"/>
      <c r="G35" s="140"/>
      <c r="H35" s="1"/>
      <c r="I35" s="1"/>
      <c r="L35" s="1"/>
      <c r="P35" s="1"/>
      <c r="S35" s="1"/>
      <c r="V35" s="111"/>
      <c r="Z35" s="111"/>
      <c r="AA35" s="111"/>
      <c r="AB35" s="284" t="s">
        <v>43</v>
      </c>
      <c r="AD35" s="111"/>
      <c r="AE35" s="111"/>
      <c r="AF35" s="111"/>
      <c r="AG35" s="111"/>
      <c r="AH35" s="111"/>
      <c r="AI35"/>
      <c r="AJ35"/>
      <c r="AK35"/>
      <c r="AL35"/>
      <c r="AM35" s="111"/>
      <c r="AN35" s="111"/>
      <c r="AO35" s="111"/>
      <c r="AP35" s="111"/>
      <c r="AQ35" s="111"/>
      <c r="AR35" s="111"/>
      <c r="AS35" s="142"/>
      <c r="AT35" s="128"/>
      <c r="AU35" s="139"/>
      <c r="AV35" s="114"/>
      <c r="AY35" s="143"/>
      <c r="AZ35" s="111">
        <v>20000</v>
      </c>
      <c r="BA35" s="111">
        <f>ROUND(AZ35/$AZ$34*$BA$34,2)</f>
        <v>233.52</v>
      </c>
    </row>
    <row r="36" spans="2:59" ht="14.5" hidden="1">
      <c r="B36" s="326">
        <v>33</v>
      </c>
      <c r="C36" s="506">
        <v>19013.829600267472</v>
      </c>
      <c r="D36" s="507">
        <v>22128.481392689693</v>
      </c>
      <c r="F36" s="140"/>
      <c r="G36" s="140"/>
      <c r="H36" s="1"/>
      <c r="I36" s="2"/>
      <c r="L36" s="2"/>
      <c r="P36" s="2"/>
      <c r="Q36" s="233" t="s">
        <v>366</v>
      </c>
      <c r="R36" s="2"/>
      <c r="S36" s="2"/>
      <c r="V36" s="111"/>
      <c r="Z36" s="111"/>
      <c r="AA36" s="111"/>
      <c r="AB36" s="285" t="s">
        <v>44</v>
      </c>
      <c r="AD36" s="111"/>
      <c r="AE36" s="111"/>
      <c r="AF36" s="111"/>
      <c r="AG36" s="111"/>
      <c r="AH36" s="111"/>
      <c r="AI36"/>
      <c r="AJ36"/>
      <c r="AK36"/>
      <c r="AL36"/>
      <c r="AM36" s="111"/>
      <c r="AN36" s="111"/>
      <c r="AO36" s="111"/>
      <c r="AP36" s="111"/>
      <c r="AQ36" s="111"/>
      <c r="AR36" s="111"/>
      <c r="AS36" s="141"/>
      <c r="AT36" s="128"/>
      <c r="AU36" s="139"/>
      <c r="AV36" s="114"/>
      <c r="AY36" s="143"/>
      <c r="AZ36" s="111">
        <v>30000</v>
      </c>
      <c r="BA36" s="111">
        <f>ROUND(AZ36/$AZ$34*$BA$34,2)</f>
        <v>350.28</v>
      </c>
    </row>
    <row r="37" spans="2:59" ht="15" hidden="1" thickBot="1">
      <c r="B37" s="325">
        <v>34</v>
      </c>
      <c r="C37" s="504">
        <v>19964.521080280847</v>
      </c>
      <c r="D37" s="505">
        <v>23234.905462324175</v>
      </c>
      <c r="F37" s="140"/>
      <c r="G37" s="140"/>
      <c r="H37" s="116"/>
      <c r="I37" s="116"/>
      <c r="L37" s="116"/>
      <c r="P37" s="116"/>
      <c r="Q37" s="164" t="s">
        <v>247</v>
      </c>
      <c r="R37" s="116"/>
      <c r="S37" s="116"/>
      <c r="V37" s="111"/>
      <c r="Z37" s="111"/>
      <c r="AA37" s="111"/>
      <c r="AD37" s="111"/>
      <c r="AE37" s="111"/>
      <c r="AF37" s="111"/>
      <c r="AG37" s="111"/>
      <c r="AH37" s="111"/>
      <c r="AI37"/>
      <c r="AJ37"/>
      <c r="AK37"/>
      <c r="AL37"/>
      <c r="AM37" s="111"/>
      <c r="AN37" s="111"/>
      <c r="AO37" s="111"/>
      <c r="AP37" s="111"/>
      <c r="AQ37" s="111"/>
      <c r="AR37" s="111"/>
      <c r="AS37" s="1"/>
      <c r="AT37" s="138"/>
      <c r="AU37" s="119"/>
      <c r="AV37" s="2"/>
      <c r="AY37" s="143"/>
      <c r="AZ37" s="111">
        <v>40000</v>
      </c>
      <c r="BA37" s="111">
        <f>ROUND(AZ37/$AZ$34*$BA$34,2)</f>
        <v>467.04</v>
      </c>
      <c r="BB37" s="2"/>
      <c r="BC37" s="3"/>
      <c r="BD37" s="2"/>
      <c r="BE37" s="3"/>
      <c r="BF37" s="2"/>
      <c r="BG37" s="3"/>
    </row>
    <row r="38" spans="2:59" ht="14.5" hidden="1">
      <c r="B38" s="326">
        <v>35</v>
      </c>
      <c r="C38" s="506">
        <v>20962.747134294888</v>
      </c>
      <c r="D38" s="507">
        <v>24280.476208128763</v>
      </c>
      <c r="F38" s="140"/>
      <c r="G38" s="140"/>
      <c r="H38" s="144"/>
      <c r="I38" s="116"/>
      <c r="J38" s="1"/>
      <c r="K38" s="1"/>
      <c r="L38" s="116"/>
      <c r="P38" s="116"/>
      <c r="Q38" s="165" t="s">
        <v>248</v>
      </c>
      <c r="R38" s="116"/>
      <c r="S38" s="116"/>
      <c r="T38" s="116"/>
      <c r="U38" s="116"/>
      <c r="V38" s="116"/>
      <c r="Z38" s="116"/>
      <c r="AA38" s="116"/>
      <c r="AD38" s="111"/>
      <c r="AE38" s="111"/>
      <c r="AF38" s="111"/>
      <c r="AG38" s="145"/>
      <c r="AH38" s="145"/>
      <c r="AI38" s="289" t="s">
        <v>321</v>
      </c>
      <c r="AJ38" s="290" t="s">
        <v>20</v>
      </c>
      <c r="AK38" s="290" t="s">
        <v>334</v>
      </c>
      <c r="AL38" s="290" t="s">
        <v>335</v>
      </c>
      <c r="AM38" s="291" t="s">
        <v>336</v>
      </c>
      <c r="AN38" s="145"/>
      <c r="AO38" s="145"/>
      <c r="AP38" s="145"/>
      <c r="AQ38" s="145"/>
      <c r="AR38" s="145"/>
      <c r="AS38" s="146"/>
      <c r="AT38" s="1"/>
      <c r="AU38" s="3"/>
      <c r="AV38" s="1"/>
      <c r="AY38" s="143"/>
      <c r="AZ38" s="111">
        <v>50000</v>
      </c>
      <c r="BA38" s="111">
        <f>ROUND(AZ38/$AZ$34*$BA$34,2)</f>
        <v>583.79999999999995</v>
      </c>
      <c r="BB38" s="102"/>
      <c r="BC38" s="4"/>
      <c r="BD38" s="1"/>
      <c r="BE38" s="3"/>
      <c r="BF38" s="1"/>
      <c r="BG38" s="4"/>
    </row>
    <row r="39" spans="2:59" ht="14.5" hidden="1">
      <c r="B39" s="325">
        <v>36</v>
      </c>
      <c r="C39" s="504">
        <v>22010.884491009634</v>
      </c>
      <c r="D39" s="505">
        <v>25373.097637494557</v>
      </c>
      <c r="F39" s="140"/>
      <c r="G39" s="140"/>
      <c r="H39" s="144"/>
      <c r="I39" s="254"/>
      <c r="J39" s="1"/>
      <c r="K39" s="1"/>
      <c r="L39" s="116"/>
      <c r="P39" s="116"/>
      <c r="Q39" s="116"/>
      <c r="R39" s="116"/>
      <c r="S39" s="116"/>
      <c r="T39" s="116"/>
      <c r="U39" s="116"/>
      <c r="V39" s="116"/>
      <c r="Z39" s="116"/>
      <c r="AA39" s="116"/>
      <c r="AB39" s="111"/>
      <c r="AC39" s="116"/>
      <c r="AD39" s="116"/>
      <c r="AI39" s="296">
        <v>1</v>
      </c>
      <c r="AJ39" s="287" t="s">
        <v>256</v>
      </c>
      <c r="AK39" s="287" t="s">
        <v>323</v>
      </c>
      <c r="AL39" s="287" t="s">
        <v>324</v>
      </c>
      <c r="AM39" s="292" t="s">
        <v>325</v>
      </c>
      <c r="AR39" s="2"/>
      <c r="AS39" s="1"/>
      <c r="AT39" s="2"/>
      <c r="AU39" s="1"/>
      <c r="AV39" s="2"/>
      <c r="AY39" s="143"/>
      <c r="AZ39" s="111">
        <v>75000</v>
      </c>
      <c r="BA39" s="111">
        <f>ROUND(AZ39/$AZ$34*$BA$34,2)</f>
        <v>875.7</v>
      </c>
      <c r="BB39" s="2"/>
      <c r="BC39" s="1"/>
      <c r="BD39" s="2"/>
      <c r="BE39" s="1"/>
      <c r="BF39" s="2"/>
      <c r="BG39" s="1"/>
    </row>
    <row r="40" spans="2:59" ht="14.5" hidden="1">
      <c r="B40" s="326">
        <v>37</v>
      </c>
      <c r="C40" s="506">
        <v>23111.42871556012</v>
      </c>
      <c r="D40" s="507">
        <v>26514.88703118181</v>
      </c>
      <c r="F40" s="140"/>
      <c r="G40" s="140"/>
      <c r="H40" s="144"/>
      <c r="I40" s="116"/>
      <c r="J40" s="1"/>
      <c r="K40" s="1"/>
      <c r="L40" s="116"/>
      <c r="P40" s="116"/>
      <c r="Q40" s="116"/>
      <c r="R40" s="116"/>
      <c r="S40" s="116"/>
      <c r="T40" s="116"/>
      <c r="U40" s="116"/>
      <c r="V40" s="116"/>
      <c r="Z40" s="116"/>
      <c r="AA40" s="116"/>
      <c r="AB40" s="116"/>
      <c r="AC40" s="116"/>
      <c r="AD40" s="116"/>
      <c r="AI40" s="297">
        <v>2</v>
      </c>
      <c r="AJ40" s="288" t="s">
        <v>323</v>
      </c>
      <c r="AK40" s="288" t="s">
        <v>324</v>
      </c>
      <c r="AL40" s="288" t="s">
        <v>325</v>
      </c>
      <c r="AM40" s="298" t="s">
        <v>326</v>
      </c>
      <c r="AR40" s="116"/>
      <c r="AS40" s="116"/>
      <c r="AT40" s="116"/>
      <c r="AU40" s="116"/>
      <c r="AV40" s="116"/>
      <c r="AY40" s="143"/>
      <c r="AZ40" s="111">
        <v>100000</v>
      </c>
      <c r="BA40" s="111">
        <f t="shared" ref="BA40:BA53" si="6">ROUND(AZ40/$AZ$34*$BA$34,2)</f>
        <v>1167.5999999999999</v>
      </c>
      <c r="BB40" s="116"/>
      <c r="BC40" s="116"/>
      <c r="BD40" s="116"/>
      <c r="BE40" s="116"/>
      <c r="BF40" s="116"/>
      <c r="BG40" s="116"/>
    </row>
    <row r="41" spans="2:59" ht="15" hidden="1" thickBot="1">
      <c r="B41" s="325">
        <v>38</v>
      </c>
      <c r="C41" s="504">
        <v>24267.000151338125</v>
      </c>
      <c r="D41" s="505">
        <v>27708.056947584992</v>
      </c>
      <c r="F41" s="140"/>
      <c r="Q41" s="116"/>
      <c r="T41" s="116"/>
      <c r="U41" s="116"/>
      <c r="V41" s="116"/>
      <c r="Z41" s="116"/>
      <c r="AA41" s="116"/>
      <c r="AB41" s="116"/>
      <c r="AC41" s="116"/>
      <c r="AD41" s="116"/>
      <c r="AI41" s="293">
        <v>3</v>
      </c>
      <c r="AJ41" s="294" t="s">
        <v>324</v>
      </c>
      <c r="AK41" s="294" t="s">
        <v>325</v>
      </c>
      <c r="AL41" s="294" t="s">
        <v>326</v>
      </c>
      <c r="AM41" s="295" t="s">
        <v>327</v>
      </c>
      <c r="AR41" s="116"/>
      <c r="AS41" s="116"/>
      <c r="AT41" s="116"/>
      <c r="AU41" s="116"/>
      <c r="AV41" s="116"/>
      <c r="AY41" s="143"/>
      <c r="AZ41" s="111">
        <v>150000</v>
      </c>
      <c r="BA41" s="111">
        <f t="shared" si="6"/>
        <v>1751.4</v>
      </c>
      <c r="BB41" s="116"/>
      <c r="BC41" s="116"/>
      <c r="BD41" s="116"/>
      <c r="BE41" s="116"/>
      <c r="BF41" s="116"/>
      <c r="BG41" s="116"/>
    </row>
    <row r="42" spans="2:59" ht="14.5" hidden="1">
      <c r="B42" s="326">
        <v>39</v>
      </c>
      <c r="C42" s="506">
        <v>25480.350158905028</v>
      </c>
      <c r="D42" s="507">
        <v>28954.919510226311</v>
      </c>
      <c r="F42" s="144"/>
      <c r="Q42" s="116"/>
      <c r="T42" s="116"/>
      <c r="U42" s="116"/>
      <c r="V42" s="116"/>
      <c r="Z42" s="116"/>
      <c r="AA42" s="116"/>
      <c r="AB42" s="116"/>
      <c r="AC42" s="116"/>
      <c r="AD42" s="116"/>
      <c r="AR42" s="116"/>
      <c r="AS42" s="116"/>
      <c r="AT42" s="116"/>
      <c r="AU42" s="116"/>
      <c r="AV42" s="116"/>
      <c r="AY42" s="143"/>
      <c r="AZ42" s="111">
        <v>200000</v>
      </c>
      <c r="BA42" s="111">
        <f t="shared" si="6"/>
        <v>2335.1999999999998</v>
      </c>
      <c r="BB42" s="116"/>
      <c r="BC42" s="116"/>
      <c r="BD42" s="116"/>
      <c r="BE42" s="116"/>
      <c r="BF42" s="116"/>
      <c r="BG42" s="116"/>
    </row>
    <row r="43" spans="2:59" ht="14.5" hidden="1">
      <c r="B43" s="325">
        <v>40</v>
      </c>
      <c r="C43" s="504">
        <v>26546.056310465079</v>
      </c>
      <c r="D43" s="505">
        <v>30390.52142123364</v>
      </c>
      <c r="F43" s="144"/>
      <c r="Q43" s="116"/>
      <c r="T43" s="116"/>
      <c r="U43" s="116"/>
      <c r="V43" s="116"/>
      <c r="Z43" s="116"/>
      <c r="AA43" s="116"/>
      <c r="AB43" s="116"/>
      <c r="AC43" s="116"/>
      <c r="AD43" s="116"/>
      <c r="AE43" s="116"/>
      <c r="AF43" s="116"/>
      <c r="AG43" s="116"/>
      <c r="AH43" s="116"/>
      <c r="AI43" s="116"/>
      <c r="AJ43" s="116"/>
      <c r="AK43" s="116"/>
      <c r="AL43" s="116"/>
      <c r="AM43" s="116"/>
      <c r="AN43" s="116"/>
      <c r="AO43" s="116"/>
      <c r="AP43" s="116"/>
      <c r="AQ43" s="116"/>
      <c r="AR43" s="116"/>
      <c r="AS43" s="116"/>
      <c r="AT43" s="116"/>
      <c r="AU43" s="116"/>
      <c r="AV43" s="116"/>
      <c r="AY43" s="143"/>
      <c r="AZ43" s="111">
        <v>250000</v>
      </c>
      <c r="BA43" s="111">
        <f t="shared" si="6"/>
        <v>2919</v>
      </c>
      <c r="BB43" s="116"/>
      <c r="BC43" s="116"/>
      <c r="BD43" s="116"/>
      <c r="BE43" s="116"/>
      <c r="BF43" s="116"/>
      <c r="BG43" s="116"/>
    </row>
    <row r="44" spans="2:59" ht="14.5" hidden="1">
      <c r="B44" s="326">
        <v>41</v>
      </c>
      <c r="C44" s="506">
        <v>27873.359125988332</v>
      </c>
      <c r="D44" s="507">
        <v>31910.047492295322</v>
      </c>
      <c r="F44" s="144"/>
      <c r="Q44" s="116"/>
      <c r="T44" s="116"/>
      <c r="U44" s="116"/>
      <c r="V44" s="116"/>
      <c r="Z44" s="116"/>
      <c r="AA44" s="116"/>
      <c r="AB44" s="116"/>
      <c r="AC44" s="116"/>
      <c r="AD44" s="116"/>
      <c r="AE44" s="116"/>
      <c r="AF44" s="116"/>
      <c r="AG44" s="116"/>
      <c r="AH44" s="116"/>
      <c r="AI44" s="116"/>
      <c r="AJ44" s="116"/>
      <c r="AK44" s="116"/>
      <c r="AL44" s="116"/>
      <c r="AM44" s="116"/>
      <c r="AN44" s="116"/>
      <c r="AO44" s="116"/>
      <c r="AP44" s="116"/>
      <c r="AQ44" s="116"/>
      <c r="AR44" s="116"/>
      <c r="AS44" s="116"/>
      <c r="AT44" s="116"/>
      <c r="AU44" s="116"/>
      <c r="AV44" s="116"/>
      <c r="AY44" s="143"/>
      <c r="AZ44" s="111">
        <v>300000</v>
      </c>
      <c r="BA44" s="111">
        <f t="shared" si="6"/>
        <v>3502.8</v>
      </c>
      <c r="BB44" s="116"/>
      <c r="BC44" s="116"/>
      <c r="BD44" s="116"/>
      <c r="BE44" s="116"/>
      <c r="BF44" s="116"/>
      <c r="BG44" s="116"/>
    </row>
    <row r="45" spans="2:59" ht="14.5" hidden="1">
      <c r="B45" s="325">
        <v>42</v>
      </c>
      <c r="C45" s="504">
        <v>29267.02708228775</v>
      </c>
      <c r="D45" s="505">
        <v>33505.549866910093</v>
      </c>
      <c r="F45" s="144"/>
      <c r="G45" s="266"/>
      <c r="H45" s="266"/>
      <c r="I45" s="116"/>
      <c r="J45" s="116"/>
      <c r="K45" s="116"/>
      <c r="L45" s="116"/>
      <c r="M45" s="116"/>
      <c r="N45" s="116"/>
      <c r="O45" s="116"/>
      <c r="P45" s="116"/>
      <c r="Q45" s="116"/>
      <c r="R45" s="116"/>
      <c r="S45" s="116"/>
      <c r="T45" s="116"/>
      <c r="U45" s="116"/>
      <c r="V45" s="116"/>
      <c r="Z45" s="116"/>
      <c r="AA45" s="116"/>
      <c r="AB45" s="116"/>
      <c r="AC45" s="116"/>
      <c r="AD45" s="116"/>
      <c r="AE45" s="116"/>
      <c r="AF45" s="116"/>
      <c r="AG45" s="116"/>
      <c r="AH45" s="116"/>
      <c r="AI45" s="116"/>
      <c r="AJ45" s="116"/>
      <c r="AK45" s="116"/>
      <c r="AL45" s="116"/>
      <c r="AM45" s="116"/>
      <c r="AN45" s="116"/>
      <c r="AO45" s="116"/>
      <c r="AP45" s="116"/>
      <c r="AQ45" s="116"/>
      <c r="AR45" s="116"/>
      <c r="AS45" s="116"/>
      <c r="AT45" s="116"/>
      <c r="AU45" s="116"/>
      <c r="AV45" s="116"/>
      <c r="AY45" s="143"/>
      <c r="AZ45" s="111">
        <v>350000</v>
      </c>
      <c r="BA45" s="111">
        <f t="shared" si="6"/>
        <v>4086.6</v>
      </c>
      <c r="BB45" s="116"/>
      <c r="BC45" s="116"/>
      <c r="BD45" s="116"/>
      <c r="BE45" s="116"/>
      <c r="BF45" s="116"/>
      <c r="BG45" s="116"/>
    </row>
    <row r="46" spans="2:59" ht="14.5" hidden="1">
      <c r="B46" s="326">
        <v>43</v>
      </c>
      <c r="C46" s="506">
        <v>30730.378436402134</v>
      </c>
      <c r="D46" s="507">
        <v>35180.8273602556</v>
      </c>
      <c r="F46" s="144"/>
      <c r="G46" s="266"/>
      <c r="H46" s="266"/>
      <c r="I46" s="116"/>
      <c r="J46" s="116"/>
      <c r="K46" s="116"/>
      <c r="L46" s="116"/>
      <c r="M46" s="116"/>
      <c r="N46" s="116"/>
      <c r="O46" s="116"/>
      <c r="P46" s="116"/>
      <c r="Q46" s="116"/>
      <c r="R46" s="116"/>
      <c r="S46" s="116"/>
      <c r="T46" s="116"/>
      <c r="U46" s="116"/>
      <c r="V46" s="116"/>
      <c r="Z46" s="116"/>
      <c r="AA46" s="116"/>
      <c r="AB46" s="116"/>
      <c r="AC46" s="116"/>
      <c r="AD46" s="116"/>
      <c r="AE46" s="116"/>
      <c r="AF46" s="116"/>
      <c r="AG46" s="116"/>
      <c r="AH46" s="116"/>
      <c r="AI46" s="116"/>
      <c r="AJ46" s="116"/>
      <c r="AK46" s="116"/>
      <c r="AL46" s="116"/>
      <c r="AM46" s="116"/>
      <c r="AN46" s="116"/>
      <c r="AO46" s="116"/>
      <c r="AP46" s="116"/>
      <c r="AQ46" s="116"/>
      <c r="AR46" s="116"/>
      <c r="AS46" s="116"/>
      <c r="AT46" s="116"/>
      <c r="AU46" s="116"/>
      <c r="AV46" s="116"/>
      <c r="AY46" s="143"/>
      <c r="AZ46" s="111">
        <v>400000</v>
      </c>
      <c r="BA46" s="111">
        <f t="shared" si="6"/>
        <v>4670.3999999999996</v>
      </c>
      <c r="BB46" s="116"/>
      <c r="BC46" s="116"/>
      <c r="BD46" s="116"/>
      <c r="BE46" s="116"/>
      <c r="BF46" s="116"/>
      <c r="BG46" s="116"/>
    </row>
    <row r="47" spans="2:59" ht="14.5" hidden="1">
      <c r="B47" s="325">
        <v>44</v>
      </c>
      <c r="C47" s="504">
        <v>32266.897358222242</v>
      </c>
      <c r="D47" s="505">
        <v>36939.868728268382</v>
      </c>
      <c r="F47" s="144"/>
      <c r="G47" s="266"/>
      <c r="H47" s="266"/>
      <c r="I47" s="116"/>
      <c r="J47" s="116"/>
      <c r="K47" s="116"/>
      <c r="L47" s="116"/>
      <c r="M47" s="116"/>
      <c r="N47" s="116"/>
      <c r="O47" s="116"/>
      <c r="P47" s="116"/>
      <c r="Q47" s="116"/>
      <c r="R47" s="116"/>
      <c r="S47" s="116"/>
      <c r="T47" s="116"/>
      <c r="U47" s="116"/>
      <c r="V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Y47" s="143"/>
      <c r="AZ47" s="111">
        <v>450000</v>
      </c>
      <c r="BA47" s="111">
        <f t="shared" si="6"/>
        <v>5254.2</v>
      </c>
      <c r="BB47" s="116"/>
      <c r="BC47" s="116"/>
      <c r="BD47" s="116"/>
      <c r="BE47" s="116"/>
      <c r="BF47" s="116"/>
      <c r="BG47" s="116"/>
    </row>
    <row r="48" spans="2:59" ht="14.5" hidden="1">
      <c r="B48" s="326">
        <v>45</v>
      </c>
      <c r="C48" s="506">
        <v>33880.242226133356</v>
      </c>
      <c r="D48" s="507">
        <v>39156.260851964485</v>
      </c>
      <c r="F48" s="144"/>
      <c r="G48" s="266"/>
      <c r="H48" s="266"/>
      <c r="I48" s="116"/>
      <c r="J48" s="116"/>
      <c r="K48" s="116"/>
      <c r="L48" s="116"/>
      <c r="M48" s="116"/>
      <c r="N48" s="116"/>
      <c r="O48" s="116"/>
      <c r="P48" s="116"/>
      <c r="Q48" s="116"/>
      <c r="R48" s="116"/>
      <c r="S48" s="116"/>
      <c r="T48" s="116"/>
      <c r="U48" s="116"/>
      <c r="V48" s="116"/>
      <c r="Z48" s="116"/>
      <c r="AA48" s="116"/>
      <c r="AB48" s="116"/>
      <c r="AC48" s="116"/>
      <c r="AD48" s="116"/>
      <c r="AE48" s="116"/>
      <c r="AF48" s="116"/>
      <c r="AG48" s="116"/>
      <c r="AH48" s="116"/>
      <c r="AI48" s="116"/>
      <c r="AJ48" s="116"/>
      <c r="AK48" s="116"/>
      <c r="AL48" s="116"/>
      <c r="AM48" s="116"/>
      <c r="AN48" s="116"/>
      <c r="AO48" s="116"/>
      <c r="AP48" s="116"/>
      <c r="AQ48" s="116"/>
      <c r="AR48" s="116"/>
      <c r="AS48" s="116"/>
      <c r="AT48" s="116"/>
      <c r="AU48" s="116"/>
      <c r="AV48" s="116"/>
      <c r="AY48" s="143"/>
      <c r="AZ48" s="111">
        <v>500000</v>
      </c>
      <c r="BA48" s="111">
        <f t="shared" si="6"/>
        <v>5838</v>
      </c>
      <c r="BB48" s="116"/>
      <c r="BC48" s="116"/>
      <c r="BD48" s="116"/>
      <c r="BE48" s="116"/>
      <c r="BF48" s="116"/>
      <c r="BG48" s="116"/>
    </row>
    <row r="49" spans="2:59" ht="14.5" hidden="1">
      <c r="B49" s="325">
        <v>46</v>
      </c>
      <c r="C49" s="504">
        <v>35574.254337440027</v>
      </c>
      <c r="D49" s="505">
        <v>41114.073894562709</v>
      </c>
      <c r="F49" s="144"/>
      <c r="G49" s="266"/>
      <c r="H49" s="266"/>
      <c r="I49" s="116"/>
      <c r="J49" s="116"/>
      <c r="K49" s="116"/>
      <c r="L49" s="116"/>
      <c r="M49" s="116"/>
      <c r="N49" s="116"/>
      <c r="O49" s="116"/>
      <c r="P49" s="116"/>
      <c r="Q49" s="116"/>
      <c r="R49" s="116"/>
      <c r="S49" s="116"/>
      <c r="T49" s="116"/>
      <c r="U49" s="116"/>
      <c r="V49" s="116"/>
      <c r="W49" s="116"/>
      <c r="X49" s="116"/>
      <c r="Y49" s="116"/>
      <c r="Z49" s="116"/>
      <c r="AA49" s="116"/>
      <c r="AB49" s="116"/>
      <c r="AC49" s="116"/>
      <c r="AD49" s="116"/>
      <c r="AE49" s="116"/>
      <c r="AF49" s="116"/>
      <c r="AG49" s="116"/>
      <c r="AH49" s="116"/>
      <c r="AI49" s="116"/>
      <c r="AJ49" s="116"/>
      <c r="AK49" s="116"/>
      <c r="AL49" s="116"/>
      <c r="AM49" s="116"/>
      <c r="AN49" s="116"/>
      <c r="AO49" s="116"/>
      <c r="AP49" s="116"/>
      <c r="AQ49" s="116"/>
      <c r="AR49" s="116"/>
      <c r="AS49" s="116"/>
      <c r="AT49" s="116"/>
      <c r="AU49" s="116"/>
      <c r="AV49" s="116"/>
      <c r="AY49" s="143"/>
      <c r="AZ49" s="111">
        <v>550000</v>
      </c>
      <c r="BA49" s="111">
        <f t="shared" si="6"/>
        <v>6421.8</v>
      </c>
      <c r="BB49" s="116"/>
      <c r="BC49" s="116"/>
      <c r="BD49" s="116"/>
      <c r="BE49" s="116"/>
      <c r="BF49" s="116"/>
      <c r="BG49" s="116"/>
    </row>
    <row r="50" spans="2:59" ht="14.5" hidden="1">
      <c r="B50" s="326">
        <v>47</v>
      </c>
      <c r="C50" s="506">
        <v>37352.967054312023</v>
      </c>
      <c r="D50" s="507">
        <v>43169.777589290847</v>
      </c>
      <c r="F50" s="144"/>
      <c r="G50" s="266"/>
      <c r="H50" s="266"/>
      <c r="I50" s="116"/>
      <c r="J50" s="116"/>
      <c r="K50" s="116"/>
      <c r="L50" s="116"/>
      <c r="M50" s="116"/>
      <c r="N50" s="116"/>
      <c r="O50" s="116"/>
      <c r="P50" s="116"/>
      <c r="Q50" s="116"/>
      <c r="R50" s="116"/>
      <c r="S50" s="116"/>
      <c r="T50" s="116"/>
      <c r="U50" s="116"/>
      <c r="V50" s="116"/>
      <c r="W50" s="116"/>
      <c r="X50" s="116"/>
      <c r="Y50" s="116"/>
      <c r="Z50" s="116"/>
      <c r="AA50" s="116"/>
      <c r="AB50" s="116"/>
      <c r="AC50" s="116"/>
      <c r="AD50" s="116"/>
      <c r="AE50" s="116"/>
      <c r="AF50" s="116"/>
      <c r="AG50" s="116"/>
      <c r="AH50" s="116"/>
      <c r="AI50" s="116"/>
      <c r="AJ50" s="116"/>
      <c r="AK50" s="116"/>
      <c r="AL50" s="116"/>
      <c r="AM50" s="116"/>
      <c r="AN50" s="116"/>
      <c r="AO50" s="116"/>
      <c r="AP50" s="116"/>
      <c r="AQ50" s="116"/>
      <c r="AR50" s="116"/>
      <c r="AS50" s="116"/>
      <c r="AT50" s="116"/>
      <c r="AU50" s="116"/>
      <c r="AV50" s="116"/>
      <c r="AY50" s="143"/>
      <c r="AZ50" s="111">
        <v>600000</v>
      </c>
      <c r="BA50" s="111">
        <f t="shared" si="6"/>
        <v>7005.6</v>
      </c>
      <c r="BB50" s="116"/>
      <c r="BC50" s="116"/>
      <c r="BD50" s="116"/>
      <c r="BE50" s="116"/>
      <c r="BF50" s="116"/>
      <c r="BG50" s="116"/>
    </row>
    <row r="51" spans="2:59" ht="14.5" hidden="1">
      <c r="B51" s="325">
        <v>48</v>
      </c>
      <c r="C51" s="504">
        <v>39220.615407027624</v>
      </c>
      <c r="D51" s="505">
        <v>45328.266468755392</v>
      </c>
      <c r="F51" s="144"/>
      <c r="G51" s="266"/>
      <c r="H51" s="26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Y51" s="143"/>
      <c r="AZ51" s="111">
        <v>650000</v>
      </c>
      <c r="BA51" s="111">
        <f t="shared" si="6"/>
        <v>7589.4</v>
      </c>
      <c r="BB51" s="116"/>
      <c r="BC51" s="116"/>
      <c r="BD51" s="116"/>
      <c r="BE51" s="116"/>
      <c r="BF51" s="116"/>
      <c r="BG51" s="116"/>
    </row>
    <row r="52" spans="2:59" ht="14.5" hidden="1">
      <c r="B52" s="326">
        <v>49</v>
      </c>
      <c r="C52" s="506">
        <v>41181.646177379014</v>
      </c>
      <c r="D52" s="507">
        <v>47368.038459849384</v>
      </c>
      <c r="F52" s="144"/>
      <c r="G52" s="266"/>
      <c r="H52" s="266"/>
      <c r="I52" s="116"/>
      <c r="J52" s="116"/>
      <c r="K52" s="116"/>
      <c r="L52" s="116"/>
      <c r="M52" s="116"/>
      <c r="N52" s="116"/>
      <c r="O52" s="116"/>
      <c r="P52" s="116"/>
      <c r="Q52" s="116"/>
      <c r="R52" s="116"/>
      <c r="S52" s="116"/>
      <c r="T52" s="116"/>
      <c r="U52" s="116"/>
      <c r="V52" s="116"/>
      <c r="W52" s="116"/>
      <c r="X52" s="116"/>
      <c r="Y52" s="116"/>
      <c r="Z52" s="116"/>
      <c r="AA52" s="116"/>
      <c r="AB52" s="116"/>
      <c r="AC52" s="116"/>
      <c r="AD52" s="116"/>
      <c r="AE52" s="116"/>
      <c r="AF52" s="116"/>
      <c r="AG52" s="116"/>
      <c r="AH52" s="116"/>
      <c r="AI52" s="116"/>
      <c r="AJ52" s="116"/>
      <c r="AK52" s="116"/>
      <c r="AL52" s="116"/>
      <c r="AM52" s="116"/>
      <c r="AN52" s="116"/>
      <c r="AO52" s="116"/>
      <c r="AP52" s="116"/>
      <c r="AQ52" s="116"/>
      <c r="AR52" s="116"/>
      <c r="AS52" s="116"/>
      <c r="AT52" s="116"/>
      <c r="AU52" s="116"/>
      <c r="AV52" s="116"/>
      <c r="AY52" s="143"/>
      <c r="AZ52" s="111">
        <v>700000</v>
      </c>
      <c r="BA52" s="111">
        <f t="shared" si="6"/>
        <v>8173.2</v>
      </c>
      <c r="BB52" s="116"/>
      <c r="BC52" s="116"/>
      <c r="BD52" s="116"/>
      <c r="BE52" s="116"/>
      <c r="BF52" s="116"/>
      <c r="BG52" s="116"/>
    </row>
    <row r="53" spans="2:59" ht="14.5" hidden="1">
      <c r="B53" s="325">
        <v>50</v>
      </c>
      <c r="C53" s="504">
        <v>44383.949522493618</v>
      </c>
      <c r="D53" s="505">
        <v>48416.721985870237</v>
      </c>
      <c r="F53" s="144"/>
      <c r="G53" s="266"/>
      <c r="H53" s="26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 s="116"/>
      <c r="AK53" s="116"/>
      <c r="AL53" s="116"/>
      <c r="AM53" s="116"/>
      <c r="AN53" s="116"/>
      <c r="AO53" s="116"/>
      <c r="AP53" s="116"/>
      <c r="AQ53" s="116"/>
      <c r="AR53" s="116"/>
      <c r="AS53" s="116"/>
      <c r="AT53" s="116"/>
      <c r="AU53" s="116"/>
      <c r="AV53" s="116"/>
      <c r="AY53" s="143"/>
      <c r="AZ53" s="111">
        <v>750000</v>
      </c>
      <c r="BA53" s="111">
        <f t="shared" si="6"/>
        <v>8757</v>
      </c>
      <c r="BB53" s="116"/>
      <c r="BC53" s="116"/>
      <c r="BD53" s="116"/>
      <c r="BE53" s="116"/>
      <c r="BF53" s="116"/>
      <c r="BG53" s="116"/>
    </row>
    <row r="54" spans="2:59" ht="14.5" hidden="1">
      <c r="B54" s="326">
        <v>51</v>
      </c>
      <c r="C54" s="506">
        <v>47490.825989068173</v>
      </c>
      <c r="D54" s="507">
        <v>52290.059744739861</v>
      </c>
      <c r="F54" s="144"/>
      <c r="G54" s="144"/>
      <c r="H54" s="144"/>
      <c r="I54" s="116"/>
      <c r="J54" s="116"/>
      <c r="K54" s="116"/>
      <c r="L54" s="116"/>
      <c r="M54" s="116"/>
      <c r="N54" s="116"/>
      <c r="O54" s="116"/>
      <c r="P54" s="116"/>
      <c r="Q54" s="116"/>
      <c r="R54" s="116"/>
      <c r="S54" s="116"/>
      <c r="T54" s="116"/>
      <c r="U54" s="116"/>
      <c r="V54" s="116"/>
      <c r="W54" s="116"/>
      <c r="X54" s="116"/>
      <c r="Y54" s="116"/>
      <c r="Z54" s="116"/>
      <c r="AA54" s="116"/>
      <c r="AB54" s="116"/>
      <c r="AC54" s="116"/>
      <c r="AD54" s="116"/>
      <c r="AE54" s="116"/>
      <c r="AF54" s="116"/>
      <c r="AG54" s="116"/>
      <c r="AH54" s="116"/>
      <c r="AI54" s="116"/>
      <c r="AJ54" s="116"/>
      <c r="AK54" s="116"/>
      <c r="AL54" s="116"/>
      <c r="AM54" s="116"/>
      <c r="AN54" s="116"/>
      <c r="AO54" s="116"/>
      <c r="AP54" s="116"/>
      <c r="AQ54" s="116"/>
      <c r="AR54" s="116"/>
      <c r="AS54" s="116"/>
      <c r="AT54" s="116"/>
      <c r="AU54" s="116"/>
      <c r="AV54" s="116"/>
      <c r="AY54" s="143"/>
      <c r="AZ54" s="111">
        <v>800000</v>
      </c>
      <c r="BA54" s="111">
        <f>ROUND(AZ54/$AZ$34*$BA$34,2)</f>
        <v>9340.7999999999993</v>
      </c>
      <c r="BB54" s="116"/>
      <c r="BC54" s="116"/>
      <c r="BD54" s="116"/>
      <c r="BE54" s="116"/>
      <c r="BF54" s="116"/>
      <c r="BG54" s="116"/>
    </row>
    <row r="55" spans="2:59" ht="14.5" hidden="1">
      <c r="B55" s="325">
        <v>52</v>
      </c>
      <c r="C55" s="504">
        <v>50340.275548412268</v>
      </c>
      <c r="D55" s="505">
        <v>54381.662134529455</v>
      </c>
      <c r="F55" s="144"/>
      <c r="G55" s="144"/>
      <c r="H55" s="144"/>
      <c r="I55" s="116"/>
      <c r="J55" s="116"/>
      <c r="K55" s="116"/>
      <c r="L55" s="116"/>
      <c r="M55" s="116"/>
      <c r="N55" s="116"/>
      <c r="O55" s="116"/>
      <c r="P55" s="116"/>
      <c r="Q55" s="116"/>
      <c r="R55" s="116"/>
      <c r="S55" s="116"/>
      <c r="T55" s="116"/>
      <c r="U55" s="116"/>
      <c r="V55" s="116"/>
      <c r="W55" s="116"/>
      <c r="X55" s="116"/>
      <c r="Y55" s="116"/>
      <c r="Z55" s="116"/>
      <c r="AA55" s="116"/>
      <c r="AB55" s="116"/>
      <c r="AC55" s="116"/>
      <c r="AD55" s="116"/>
      <c r="AE55" s="116"/>
      <c r="AF55" s="116"/>
      <c r="AG55" s="116"/>
      <c r="AH55" s="116"/>
      <c r="AI55" s="116"/>
      <c r="AJ55" s="116"/>
      <c r="AK55" s="116"/>
      <c r="AL55" s="116"/>
      <c r="AM55" s="116"/>
      <c r="AN55" s="116"/>
      <c r="AO55" s="116"/>
      <c r="AP55" s="116"/>
      <c r="AQ55" s="116"/>
      <c r="AR55" s="116"/>
      <c r="AS55" s="116"/>
      <c r="AT55" s="116"/>
      <c r="AU55" s="116"/>
      <c r="AV55" s="116"/>
      <c r="AY55" s="143"/>
      <c r="AZ55" s="111">
        <v>850000</v>
      </c>
      <c r="BA55" s="111">
        <f>ROUND(AZ55/$AZ$34*$BA$34,2)</f>
        <v>9924.6</v>
      </c>
      <c r="BB55" s="116"/>
      <c r="BC55" s="116"/>
      <c r="BD55" s="116"/>
      <c r="BE55" s="116"/>
      <c r="BF55" s="116"/>
      <c r="BG55" s="116"/>
    </row>
    <row r="56" spans="2:59" ht="14.5" hidden="1">
      <c r="B56" s="326">
        <v>53</v>
      </c>
      <c r="C56" s="506">
        <v>53360.692081317007</v>
      </c>
      <c r="D56" s="507">
        <v>57100.745241255936</v>
      </c>
      <c r="F56" s="144"/>
      <c r="G56" s="144"/>
      <c r="H56" s="144"/>
      <c r="I56" s="116"/>
      <c r="J56" s="116"/>
      <c r="K56" s="116"/>
      <c r="L56" s="116"/>
      <c r="M56" s="116"/>
      <c r="N56" s="116"/>
      <c r="O56" s="116"/>
      <c r="P56" s="116"/>
      <c r="Q56" s="116"/>
      <c r="R56" s="116"/>
      <c r="S56" s="116"/>
      <c r="T56" s="116"/>
      <c r="U56" s="116"/>
      <c r="V56" s="116"/>
      <c r="W56" s="116"/>
      <c r="X56" s="116"/>
      <c r="Y56" s="116"/>
      <c r="Z56" s="116"/>
      <c r="AA56" s="116"/>
      <c r="AB56" s="116"/>
      <c r="AC56" s="116"/>
      <c r="AD56" s="116"/>
      <c r="AE56" s="116"/>
      <c r="AF56" s="116"/>
      <c r="AG56" s="116"/>
      <c r="AH56" s="116"/>
      <c r="AI56" s="116"/>
      <c r="AJ56" s="116"/>
      <c r="AK56" s="116"/>
      <c r="AL56" s="116"/>
      <c r="AM56" s="116"/>
      <c r="AN56" s="116"/>
      <c r="AO56" s="116"/>
      <c r="AP56" s="116"/>
      <c r="AQ56" s="116"/>
      <c r="AR56" s="116"/>
      <c r="AS56" s="116"/>
      <c r="AT56" s="116"/>
      <c r="AU56" s="116"/>
      <c r="AV56" s="116"/>
      <c r="AY56" s="143"/>
      <c r="AZ56" s="111">
        <v>900000</v>
      </c>
      <c r="BA56" s="111">
        <f>ROUND(AZ56/$AZ$34*$BA$34,2)</f>
        <v>10508.4</v>
      </c>
      <c r="BB56" s="116"/>
      <c r="BC56" s="116"/>
      <c r="BD56" s="116"/>
      <c r="BE56" s="116"/>
      <c r="BF56" s="116"/>
      <c r="BG56" s="116"/>
    </row>
    <row r="57" spans="2:59" ht="14.5" hidden="1">
      <c r="B57" s="325">
        <v>54</v>
      </c>
      <c r="C57" s="504">
        <v>56562.333606196036</v>
      </c>
      <c r="D57" s="505">
        <v>59955.782503318733</v>
      </c>
      <c r="F57" s="144"/>
      <c r="G57" s="144"/>
      <c r="H57" s="144"/>
      <c r="I57" s="116"/>
      <c r="J57" s="116"/>
      <c r="K57" s="116"/>
      <c r="L57" s="116"/>
      <c r="M57" s="116"/>
      <c r="N57" s="116"/>
      <c r="O57" s="116"/>
      <c r="P57" s="116"/>
      <c r="Q57" s="116"/>
      <c r="R57" s="116"/>
      <c r="S57" s="116"/>
      <c r="T57" s="116"/>
      <c r="U57" s="116"/>
      <c r="V57" s="116"/>
      <c r="W57" s="116"/>
      <c r="X57" s="116"/>
      <c r="Y57" s="116"/>
      <c r="Z57" s="116"/>
      <c r="AA57" s="116"/>
      <c r="AB57" s="116"/>
      <c r="AC57" s="116"/>
      <c r="AD57" s="116"/>
      <c r="AE57" s="116"/>
      <c r="AF57" s="116"/>
      <c r="AG57" s="116"/>
      <c r="AH57" s="116"/>
      <c r="AI57" s="116"/>
      <c r="AJ57" s="116"/>
      <c r="AK57" s="116"/>
      <c r="AL57" s="116"/>
      <c r="AM57" s="116"/>
      <c r="AN57" s="116"/>
      <c r="AO57" s="116"/>
      <c r="AP57" s="116"/>
      <c r="AQ57" s="116"/>
      <c r="AR57" s="116"/>
      <c r="AS57" s="116"/>
      <c r="AT57" s="116"/>
      <c r="AU57" s="116"/>
      <c r="AV57" s="116"/>
      <c r="AY57" s="143"/>
      <c r="BB57" s="116"/>
      <c r="BC57" s="116"/>
      <c r="BD57" s="116"/>
      <c r="BE57" s="116"/>
      <c r="BF57" s="116"/>
      <c r="BG57" s="116"/>
    </row>
    <row r="58" spans="2:59" ht="14.5" hidden="1">
      <c r="B58" s="326">
        <v>55</v>
      </c>
      <c r="C58" s="506">
        <v>59956.073622567797</v>
      </c>
      <c r="D58" s="507">
        <v>62953.571628484679</v>
      </c>
      <c r="F58" s="144"/>
      <c r="G58" s="144"/>
      <c r="H58" s="144"/>
      <c r="I58" s="116"/>
      <c r="J58" s="116"/>
      <c r="K58" s="116"/>
      <c r="L58" s="116"/>
      <c r="M58" s="116"/>
      <c r="N58" s="116"/>
      <c r="O58" s="116"/>
      <c r="P58" s="116"/>
      <c r="Q58" s="116"/>
      <c r="R58" s="116"/>
      <c r="S58" s="116"/>
      <c r="T58" s="116"/>
      <c r="U58" s="116"/>
      <c r="V58" s="116"/>
      <c r="W58" s="116"/>
      <c r="X58" s="116"/>
      <c r="Y58" s="116"/>
      <c r="Z58" s="116"/>
      <c r="AA58" s="116"/>
      <c r="AB58" s="116"/>
      <c r="AC58" s="116"/>
      <c r="AD58" s="116"/>
      <c r="AE58" s="116"/>
      <c r="AF58" s="116"/>
      <c r="AG58" s="116"/>
      <c r="AH58" s="116"/>
      <c r="AI58" s="116"/>
      <c r="AJ58" s="116"/>
      <c r="AK58" s="116"/>
      <c r="AL58" s="116"/>
      <c r="AM58" s="116"/>
      <c r="AN58" s="116"/>
      <c r="AO58" s="116"/>
      <c r="AP58" s="116"/>
      <c r="AQ58" s="116"/>
      <c r="AR58" s="116"/>
      <c r="AS58" s="116"/>
      <c r="AT58" s="116"/>
      <c r="AU58" s="116"/>
      <c r="AV58" s="116"/>
      <c r="AY58" s="143"/>
      <c r="BB58" s="116"/>
      <c r="BC58" s="116"/>
      <c r="BD58" s="116"/>
      <c r="BE58" s="116"/>
      <c r="BF58" s="116"/>
      <c r="BG58" s="116"/>
    </row>
    <row r="59" spans="2:59" ht="14.5" hidden="1">
      <c r="B59" s="325">
        <v>56</v>
      </c>
      <c r="C59" s="504">
        <v>63553.438039921872</v>
      </c>
      <c r="D59" s="505">
        <v>66101.250209908918</v>
      </c>
      <c r="F59" s="144"/>
      <c r="G59" s="144"/>
      <c r="H59" s="144"/>
      <c r="I59" s="116"/>
      <c r="J59" s="116"/>
      <c r="K59" s="116"/>
      <c r="L59" s="116"/>
      <c r="M59" s="116"/>
      <c r="N59" s="116"/>
      <c r="O59" s="116"/>
      <c r="P59" s="116"/>
      <c r="Q59" s="116"/>
      <c r="R59" s="116"/>
      <c r="S59" s="116"/>
      <c r="T59" s="116"/>
      <c r="U59" s="116"/>
      <c r="V59" s="116"/>
      <c r="W59" s="116"/>
      <c r="X59" s="116"/>
      <c r="Y59" s="116"/>
      <c r="Z59" s="116"/>
      <c r="AA59" s="116"/>
      <c r="AB59" s="116"/>
      <c r="AC59" s="116"/>
      <c r="AD59" s="116"/>
      <c r="AE59" s="116"/>
      <c r="AF59" s="116"/>
      <c r="AG59" s="116"/>
      <c r="AH59" s="116"/>
      <c r="AI59" s="116"/>
      <c r="AJ59" s="116"/>
      <c r="AK59" s="116"/>
      <c r="AL59" s="116"/>
      <c r="AM59" s="116"/>
      <c r="AN59" s="116"/>
      <c r="AO59" s="116"/>
      <c r="AP59" s="116"/>
      <c r="AQ59" s="116"/>
      <c r="AR59" s="116"/>
      <c r="AS59" s="116"/>
      <c r="AT59" s="116"/>
      <c r="AU59" s="116"/>
      <c r="AV59" s="116"/>
      <c r="AY59" s="143"/>
      <c r="BB59" s="116"/>
      <c r="BC59" s="116"/>
      <c r="BD59" s="116"/>
      <c r="BE59" s="116"/>
      <c r="BF59" s="116"/>
      <c r="BG59" s="116"/>
    </row>
    <row r="60" spans="2:59" ht="14.5" hidden="1">
      <c r="B60" s="326">
        <v>57</v>
      </c>
      <c r="C60" s="506">
        <v>67366.644322317195</v>
      </c>
      <c r="D60" s="507">
        <v>69406.31272040437</v>
      </c>
      <c r="F60" s="144"/>
      <c r="G60" s="144"/>
      <c r="H60" s="144"/>
      <c r="I60" s="116"/>
      <c r="J60" s="116"/>
      <c r="K60" s="116"/>
      <c r="L60" s="116"/>
      <c r="M60" s="116"/>
      <c r="N60" s="116"/>
      <c r="O60" s="116"/>
      <c r="P60" s="116"/>
      <c r="Q60" s="116"/>
      <c r="R60" s="116"/>
      <c r="S60" s="116"/>
      <c r="T60" s="116"/>
      <c r="U60" s="116"/>
      <c r="V60" s="116"/>
      <c r="W60" s="116"/>
      <c r="X60" s="116"/>
      <c r="Y60" s="116"/>
      <c r="Z60" s="116"/>
      <c r="AA60" s="116"/>
      <c r="AB60" s="116"/>
      <c r="AC60" s="116"/>
      <c r="AD60" s="116"/>
      <c r="AE60" s="116"/>
      <c r="AF60" s="116"/>
      <c r="AG60" s="116"/>
      <c r="AH60" s="116"/>
      <c r="AI60" s="116"/>
      <c r="AJ60" s="116"/>
      <c r="AK60" s="116"/>
      <c r="AL60" s="116"/>
      <c r="AM60" s="116"/>
      <c r="AN60" s="116"/>
      <c r="AO60" s="116"/>
      <c r="AP60" s="116"/>
      <c r="AQ60" s="116"/>
      <c r="AR60" s="116"/>
      <c r="AS60" s="116"/>
      <c r="AT60" s="116"/>
      <c r="AU60" s="116"/>
      <c r="AV60" s="116"/>
      <c r="AY60" s="143"/>
      <c r="BB60" s="116"/>
      <c r="BC60" s="116"/>
      <c r="BD60" s="116"/>
      <c r="BE60" s="116"/>
      <c r="BF60" s="116"/>
      <c r="BG60" s="116"/>
    </row>
    <row r="61" spans="2:59" ht="14.5" hidden="1">
      <c r="B61" s="325">
        <v>58</v>
      </c>
      <c r="C61" s="504">
        <v>70734.976538433053</v>
      </c>
      <c r="D61" s="505">
        <v>72876.628356424597</v>
      </c>
      <c r="F61" s="144"/>
      <c r="G61" s="144"/>
      <c r="H61" s="116"/>
      <c r="I61" s="116"/>
      <c r="J61" s="116"/>
      <c r="K61" s="116"/>
      <c r="L61" s="116"/>
      <c r="M61" s="116"/>
      <c r="N61" s="116"/>
      <c r="O61" s="116"/>
      <c r="P61" s="116"/>
      <c r="Q61" s="116"/>
      <c r="R61" s="116"/>
      <c r="S61" s="116"/>
      <c r="T61" s="116"/>
      <c r="U61" s="116"/>
      <c r="V61" s="116"/>
      <c r="W61" s="116"/>
      <c r="X61" s="116"/>
      <c r="Y61" s="116"/>
      <c r="Z61" s="116"/>
      <c r="AA61" s="116"/>
      <c r="AB61" s="116"/>
      <c r="AC61" s="116"/>
      <c r="AD61" s="116"/>
      <c r="AE61" s="116"/>
      <c r="AF61" s="116"/>
      <c r="AG61" s="116"/>
      <c r="AH61" s="116"/>
      <c r="AI61" s="116"/>
      <c r="AJ61" s="116"/>
      <c r="AK61" s="116"/>
      <c r="AL61" s="116"/>
      <c r="AM61" s="116"/>
      <c r="AN61" s="116"/>
      <c r="AO61" s="116"/>
      <c r="AP61" s="116"/>
      <c r="AQ61" s="116"/>
      <c r="AR61" s="116"/>
      <c r="AS61" s="116"/>
      <c r="AT61" s="116"/>
      <c r="AU61" s="116"/>
      <c r="AV61" s="116"/>
      <c r="AY61" s="143"/>
      <c r="BB61" s="116"/>
      <c r="BC61" s="116"/>
      <c r="BD61" s="116"/>
      <c r="BE61" s="116"/>
      <c r="BF61" s="116"/>
      <c r="BG61" s="116"/>
    </row>
    <row r="62" spans="2:59" ht="14.5" hidden="1">
      <c r="B62" s="326">
        <v>59</v>
      </c>
      <c r="C62" s="506">
        <v>74979.075130739031</v>
      </c>
      <c r="D62" s="507">
        <v>76520.459774245828</v>
      </c>
      <c r="F62" s="144"/>
      <c r="G62" s="144"/>
      <c r="H62" s="116"/>
      <c r="I62" s="116"/>
      <c r="J62" s="116"/>
      <c r="K62" s="116"/>
      <c r="L62" s="116"/>
      <c r="M62" s="116"/>
      <c r="N62" s="116"/>
      <c r="O62" s="116"/>
      <c r="P62" s="116"/>
      <c r="Q62" s="116"/>
      <c r="R62" s="116"/>
      <c r="S62" s="116"/>
      <c r="T62" s="116"/>
      <c r="U62" s="116"/>
      <c r="V62" s="116"/>
      <c r="W62" s="116"/>
      <c r="X62" s="116"/>
      <c r="Y62" s="116"/>
      <c r="Z62" s="116"/>
      <c r="AA62" s="116"/>
      <c r="AB62" s="116"/>
      <c r="AC62" s="116"/>
      <c r="AD62" s="116"/>
      <c r="AE62" s="116"/>
      <c r="AF62" s="116"/>
      <c r="AG62" s="116"/>
      <c r="AH62" s="116"/>
      <c r="AI62" s="116"/>
      <c r="AJ62" s="116"/>
      <c r="AK62" s="116"/>
      <c r="AL62" s="116"/>
      <c r="AM62" s="116"/>
      <c r="AN62" s="116"/>
      <c r="AO62" s="116"/>
      <c r="AP62" s="116"/>
      <c r="AQ62" s="116"/>
      <c r="AR62" s="116"/>
      <c r="AS62" s="116"/>
      <c r="AT62" s="116"/>
      <c r="AU62" s="116"/>
      <c r="AV62" s="116"/>
      <c r="AY62" s="143"/>
      <c r="BB62" s="116"/>
      <c r="BC62" s="116"/>
      <c r="BD62" s="116"/>
      <c r="BE62" s="116"/>
      <c r="BF62" s="116"/>
      <c r="BG62" s="116"/>
    </row>
    <row r="63" spans="2:59" ht="14.5" hidden="1">
      <c r="B63" s="325">
        <v>60</v>
      </c>
      <c r="C63" s="504">
        <v>81090.930190064988</v>
      </c>
      <c r="D63" s="505">
        <v>82519.447835377985</v>
      </c>
      <c r="F63" s="357"/>
      <c r="G63" s="144"/>
      <c r="H63" s="116"/>
      <c r="I63" s="116"/>
      <c r="J63" s="116"/>
      <c r="K63" s="116"/>
      <c r="L63" s="116"/>
      <c r="M63" s="116"/>
      <c r="N63" s="116"/>
      <c r="O63" s="116"/>
      <c r="P63" s="116"/>
      <c r="Q63" s="116"/>
      <c r="R63" s="116"/>
      <c r="S63" s="116"/>
      <c r="T63" s="116"/>
      <c r="U63" s="116"/>
      <c r="V63" s="116"/>
      <c r="W63" s="116"/>
      <c r="X63" s="116"/>
      <c r="Y63" s="116"/>
      <c r="Z63" s="116"/>
      <c r="AA63" s="116"/>
      <c r="AB63" s="116"/>
      <c r="AC63" s="116"/>
      <c r="AD63" s="116"/>
      <c r="AE63" s="116"/>
      <c r="AF63" s="116"/>
      <c r="AG63" s="116"/>
      <c r="AH63" s="116"/>
      <c r="AI63" s="116"/>
      <c r="AJ63" s="116"/>
      <c r="AK63" s="116"/>
      <c r="AL63" s="116"/>
      <c r="AM63" s="116"/>
      <c r="AN63" s="116"/>
      <c r="AO63" s="116"/>
      <c r="AP63" s="116"/>
      <c r="AQ63" s="116"/>
      <c r="AR63" s="116"/>
      <c r="AS63" s="116"/>
      <c r="AT63" s="116"/>
      <c r="AU63" s="116"/>
      <c r="AV63" s="116"/>
      <c r="AY63" s="143"/>
      <c r="BB63" s="116"/>
      <c r="BC63" s="116"/>
      <c r="BD63" s="116"/>
      <c r="BE63" s="116"/>
      <c r="BF63" s="116"/>
      <c r="BG63" s="116"/>
    </row>
    <row r="64" spans="2:59" ht="14.5" hidden="1">
      <c r="B64" s="326">
        <v>61</v>
      </c>
      <c r="C64" s="506">
        <v>85956.386001468898</v>
      </c>
      <c r="D64" s="507">
        <v>88708.406423031323</v>
      </c>
      <c r="F64" s="144"/>
      <c r="G64" s="144"/>
      <c r="H64" s="116"/>
      <c r="I64" s="116"/>
      <c r="J64" s="116"/>
      <c r="K64" s="116"/>
      <c r="L64" s="116"/>
      <c r="M64" s="116"/>
      <c r="N64" s="116"/>
      <c r="O64" s="116"/>
      <c r="P64" s="116"/>
      <c r="Q64" s="116"/>
      <c r="R64" s="116"/>
      <c r="S64" s="116"/>
      <c r="T64" s="116"/>
      <c r="U64" s="116"/>
      <c r="V64" s="116"/>
      <c r="W64" s="116"/>
      <c r="X64" s="116"/>
      <c r="Y64" s="116"/>
      <c r="Z64" s="116"/>
      <c r="AA64" s="116"/>
      <c r="AB64" s="116"/>
      <c r="AC64" s="116"/>
      <c r="AD64" s="116"/>
      <c r="AE64" s="116"/>
      <c r="AF64" s="116"/>
      <c r="AG64" s="116"/>
      <c r="AH64" s="116"/>
      <c r="AI64" s="116"/>
      <c r="AJ64" s="116"/>
      <c r="AK64" s="116"/>
      <c r="AL64" s="116"/>
      <c r="AM64" s="116"/>
      <c r="AN64" s="116"/>
      <c r="AO64" s="116"/>
      <c r="AP64" s="116"/>
      <c r="AQ64" s="116"/>
      <c r="AR64" s="116"/>
      <c r="AS64" s="116"/>
      <c r="AT64" s="116"/>
      <c r="AU64" s="116"/>
      <c r="AV64" s="116"/>
      <c r="AY64" s="143"/>
      <c r="BB64" s="116"/>
      <c r="BC64" s="116"/>
      <c r="BD64" s="116"/>
      <c r="BE64" s="116"/>
      <c r="BF64" s="116"/>
      <c r="BG64" s="116"/>
    </row>
    <row r="65" spans="2:59" ht="14.5" hidden="1">
      <c r="B65" s="325">
        <v>62</v>
      </c>
      <c r="C65" s="504">
        <v>91113.769161557037</v>
      </c>
      <c r="D65" s="505">
        <v>95361.536904758672</v>
      </c>
      <c r="F65" s="144"/>
      <c r="G65" s="144"/>
      <c r="H65" s="116"/>
      <c r="I65" s="116"/>
      <c r="J65" s="116"/>
      <c r="K65" s="116"/>
      <c r="L65" s="116"/>
      <c r="M65" s="116"/>
      <c r="N65" s="116"/>
      <c r="O65" s="116"/>
      <c r="P65" s="116"/>
      <c r="Q65" s="116"/>
      <c r="R65" s="116"/>
      <c r="S65" s="116"/>
      <c r="T65" s="116"/>
      <c r="U65" s="116"/>
      <c r="V65" s="116"/>
      <c r="W65" s="116"/>
      <c r="X65" s="116"/>
      <c r="Y65" s="116"/>
      <c r="Z65" s="116"/>
      <c r="AA65" s="116"/>
      <c r="AB65" s="116"/>
      <c r="AC65" s="116"/>
      <c r="AD65" s="116"/>
      <c r="AE65" s="116"/>
      <c r="AF65" s="116"/>
      <c r="AG65" s="116"/>
      <c r="AH65" s="116"/>
      <c r="AI65" s="116"/>
      <c r="AJ65" s="116"/>
      <c r="AK65" s="116"/>
      <c r="AL65" s="116"/>
      <c r="AM65" s="116"/>
      <c r="AN65" s="116"/>
      <c r="AO65" s="116"/>
      <c r="AP65" s="116"/>
      <c r="AQ65" s="116"/>
      <c r="AR65" s="116"/>
      <c r="AS65" s="116"/>
      <c r="AT65" s="116"/>
      <c r="AU65" s="116"/>
      <c r="AV65" s="116"/>
      <c r="AY65" s="143"/>
      <c r="BB65" s="116"/>
      <c r="BC65" s="116"/>
      <c r="BD65" s="116"/>
      <c r="BE65" s="116"/>
      <c r="BF65" s="116"/>
      <c r="BG65" s="116"/>
    </row>
    <row r="66" spans="2:59" ht="14.5" hidden="1">
      <c r="B66" s="326">
        <v>63</v>
      </c>
      <c r="C66" s="506">
        <v>96580.595311250465</v>
      </c>
      <c r="D66" s="507">
        <v>102513.65217261558</v>
      </c>
      <c r="F66" s="144"/>
      <c r="G66" s="144"/>
      <c r="H66" s="116"/>
      <c r="I66" s="116"/>
      <c r="J66" s="116"/>
      <c r="K66" s="116"/>
      <c r="L66" s="116"/>
      <c r="M66" s="116"/>
      <c r="N66" s="116"/>
      <c r="O66" s="116"/>
      <c r="P66" s="116"/>
      <c r="Q66" s="116"/>
      <c r="R66" s="116"/>
      <c r="S66" s="116"/>
      <c r="T66" s="116"/>
      <c r="U66" s="116"/>
      <c r="V66" s="116"/>
      <c r="W66" s="116"/>
      <c r="X66" s="116"/>
      <c r="Y66" s="116"/>
      <c r="Z66" s="116"/>
      <c r="AA66" s="116"/>
      <c r="AB66" s="116"/>
      <c r="AC66" s="116"/>
      <c r="AD66" s="116"/>
      <c r="AE66" s="116"/>
      <c r="AF66" s="116"/>
      <c r="AG66" s="116"/>
      <c r="AH66" s="116"/>
      <c r="AI66" s="116"/>
      <c r="AJ66" s="116"/>
      <c r="AK66" s="116"/>
      <c r="AL66" s="116"/>
      <c r="AM66" s="116"/>
      <c r="AN66" s="116"/>
      <c r="AO66" s="116"/>
      <c r="AP66" s="116"/>
      <c r="AQ66" s="116"/>
      <c r="AR66" s="116"/>
      <c r="AS66" s="116"/>
      <c r="AT66" s="116"/>
      <c r="AU66" s="116"/>
      <c r="AV66" s="116"/>
      <c r="AY66" s="143"/>
      <c r="BB66" s="116"/>
      <c r="BC66" s="116"/>
      <c r="BD66" s="116"/>
      <c r="BE66" s="116"/>
      <c r="BF66" s="116"/>
      <c r="BG66" s="116"/>
    </row>
    <row r="67" spans="2:59" ht="14.5" hidden="1">
      <c r="B67" s="325">
        <v>64</v>
      </c>
      <c r="C67" s="504">
        <v>102375.4310299255</v>
      </c>
      <c r="D67" s="505">
        <v>110202.17608556173</v>
      </c>
      <c r="F67" s="144"/>
      <c r="G67" s="144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Y67" s="143"/>
      <c r="BB67" s="116"/>
      <c r="BC67" s="116"/>
      <c r="BD67" s="116"/>
      <c r="BE67" s="116"/>
      <c r="BF67" s="116"/>
      <c r="BG67" s="116"/>
    </row>
    <row r="68" spans="2:59" ht="14.5" hidden="1">
      <c r="B68" s="326">
        <v>65</v>
      </c>
      <c r="C68" s="506">
        <v>108517.95689172104</v>
      </c>
      <c r="D68" s="507">
        <v>118467.33929197886</v>
      </c>
      <c r="F68" s="144"/>
      <c r="G68" s="144"/>
      <c r="H68" s="116"/>
      <c r="I68" s="116"/>
      <c r="J68" s="116"/>
      <c r="K68" s="116"/>
      <c r="L68" s="116"/>
      <c r="M68" s="116"/>
      <c r="N68" s="116"/>
      <c r="O68" s="116"/>
      <c r="P68" s="116"/>
      <c r="Q68" s="116"/>
      <c r="R68" s="116"/>
      <c r="S68" s="116"/>
      <c r="T68" s="116"/>
      <c r="U68" s="116"/>
      <c r="V68" s="116"/>
      <c r="W68" s="116"/>
      <c r="X68" s="116"/>
      <c r="Y68" s="116"/>
      <c r="Z68" s="116"/>
      <c r="AA68" s="116"/>
      <c r="AB68" s="116"/>
      <c r="AC68" s="116"/>
      <c r="AD68" s="116"/>
      <c r="AE68" s="116"/>
      <c r="AF68" s="116"/>
      <c r="AG68" s="116"/>
      <c r="AH68" s="116"/>
      <c r="AI68" s="116"/>
      <c r="AJ68" s="116"/>
      <c r="AK68" s="116"/>
      <c r="AL68" s="116"/>
      <c r="AM68" s="116"/>
      <c r="AN68" s="116"/>
      <c r="AO68" s="116"/>
      <c r="AP68" s="116"/>
      <c r="AQ68" s="116"/>
      <c r="AR68" s="116"/>
      <c r="AS68" s="116"/>
      <c r="AT68" s="116"/>
      <c r="AU68" s="116"/>
      <c r="AV68" s="116"/>
      <c r="AW68" s="111"/>
      <c r="AX68" s="111"/>
      <c r="AY68" s="143"/>
      <c r="BB68" s="116"/>
      <c r="BC68" s="116"/>
      <c r="BD68" s="116"/>
      <c r="BE68" s="116"/>
      <c r="BF68" s="116"/>
      <c r="BG68" s="116"/>
    </row>
    <row r="69" spans="2:59" ht="14.5" hidden="1">
      <c r="B69" s="325">
        <v>66</v>
      </c>
      <c r="C69" s="504">
        <v>115029.03430522431</v>
      </c>
      <c r="D69" s="505">
        <v>125575.3796494976</v>
      </c>
      <c r="F69" s="144"/>
      <c r="G69" s="144"/>
      <c r="H69" s="116"/>
      <c r="I69" s="116"/>
      <c r="J69" s="116"/>
      <c r="K69" s="116"/>
      <c r="L69" s="116"/>
      <c r="M69" s="116"/>
      <c r="N69" s="116"/>
      <c r="O69" s="116"/>
      <c r="P69" s="116"/>
      <c r="Q69" s="116"/>
      <c r="R69" s="116"/>
      <c r="S69" s="116"/>
      <c r="T69" s="116"/>
      <c r="U69" s="116"/>
      <c r="V69" s="116"/>
      <c r="W69" s="116"/>
      <c r="X69" s="116"/>
      <c r="Y69" s="116"/>
      <c r="Z69" s="116"/>
      <c r="AA69" s="116"/>
      <c r="AB69" s="116"/>
      <c r="AC69" s="116"/>
      <c r="AD69" s="116"/>
      <c r="AE69" s="116"/>
      <c r="AF69" s="116"/>
      <c r="AG69" s="116"/>
      <c r="AH69" s="116"/>
      <c r="AI69" s="116"/>
      <c r="AJ69" s="116"/>
      <c r="AK69" s="116"/>
      <c r="AL69" s="116"/>
      <c r="AM69" s="116"/>
      <c r="AN69" s="116"/>
      <c r="AO69" s="116"/>
      <c r="AP69" s="116"/>
      <c r="AQ69" s="116"/>
      <c r="AR69" s="116"/>
      <c r="AS69" s="116"/>
      <c r="AT69" s="116"/>
      <c r="AU69" s="116"/>
      <c r="AV69" s="116"/>
      <c r="AY69" s="143"/>
      <c r="BB69" s="116"/>
      <c r="BC69" s="116"/>
      <c r="BD69" s="116"/>
      <c r="BE69" s="116"/>
      <c r="BF69" s="116"/>
      <c r="BG69" s="116"/>
    </row>
    <row r="70" spans="2:59" ht="14.5" hidden="1">
      <c r="B70" s="326">
        <v>67</v>
      </c>
      <c r="C70" s="506">
        <v>121930.77636353778</v>
      </c>
      <c r="D70" s="507">
        <v>133109.90242846747</v>
      </c>
      <c r="F70" s="144"/>
      <c r="G70" s="144"/>
      <c r="H70" s="116"/>
      <c r="I70" s="116"/>
      <c r="J70" s="116"/>
      <c r="K70" s="116"/>
      <c r="L70" s="116"/>
      <c r="M70" s="116"/>
      <c r="N70" s="116"/>
      <c r="O70" s="116"/>
      <c r="P70" s="116"/>
      <c r="Q70" s="116"/>
      <c r="R70" s="116"/>
      <c r="S70" s="116"/>
      <c r="T70" s="116"/>
      <c r="U70" s="116"/>
      <c r="V70" s="116"/>
      <c r="W70" s="116"/>
      <c r="X70" s="116"/>
      <c r="Y70" s="116"/>
      <c r="Z70" s="116"/>
      <c r="AA70" s="116"/>
      <c r="AB70" s="116"/>
      <c r="AC70" s="116"/>
      <c r="AD70" s="116"/>
      <c r="AE70" s="116"/>
      <c r="AF70" s="116"/>
      <c r="AG70" s="116"/>
      <c r="AH70" s="116"/>
      <c r="AI70" s="116"/>
      <c r="AJ70" s="116"/>
      <c r="AK70" s="116"/>
      <c r="AL70" s="116"/>
      <c r="AM70" s="116"/>
      <c r="AN70" s="116"/>
      <c r="AO70" s="116"/>
      <c r="AP70" s="116"/>
      <c r="AQ70" s="116"/>
      <c r="AR70" s="116"/>
      <c r="AS70" s="116"/>
      <c r="AT70" s="116"/>
      <c r="AU70" s="116"/>
      <c r="AV70" s="116"/>
      <c r="BC70" s="116"/>
      <c r="BD70" s="116"/>
      <c r="BE70" s="116"/>
      <c r="BF70" s="116"/>
      <c r="BG70" s="116"/>
    </row>
    <row r="71" spans="2:59" ht="14.5" hidden="1">
      <c r="B71" s="325">
        <v>68</v>
      </c>
      <c r="C71" s="504">
        <v>129246.62294535004</v>
      </c>
      <c r="D71" s="505">
        <v>141096.49657417554</v>
      </c>
      <c r="F71" s="144"/>
      <c r="G71" s="144"/>
      <c r="H71" s="116"/>
      <c r="I71" s="116"/>
      <c r="J71" s="116"/>
      <c r="K71" s="116"/>
      <c r="L71" s="116"/>
      <c r="M71" s="116"/>
      <c r="N71" s="116"/>
      <c r="O71" s="116"/>
      <c r="P71" s="116"/>
      <c r="Q71" s="116"/>
      <c r="R71" s="116"/>
      <c r="S71" s="116"/>
      <c r="T71" s="116"/>
      <c r="U71" s="116"/>
      <c r="V71" s="116"/>
      <c r="W71" s="116"/>
      <c r="X71" s="116"/>
      <c r="Y71" s="116"/>
      <c r="Z71" s="116"/>
      <c r="AA71" s="116"/>
      <c r="AB71" s="116"/>
      <c r="AC71" s="116"/>
      <c r="AD71" s="116"/>
      <c r="AE71" s="116"/>
      <c r="AF71" s="116"/>
      <c r="AG71" s="116"/>
      <c r="AH71" s="116"/>
      <c r="AI71" s="116"/>
      <c r="AJ71" s="116"/>
      <c r="AK71" s="116"/>
      <c r="AL71" s="116"/>
      <c r="AM71" s="116"/>
      <c r="AN71" s="116"/>
      <c r="AO71" s="116"/>
      <c r="AP71" s="116"/>
      <c r="AQ71" s="116"/>
      <c r="AR71" s="116"/>
      <c r="AS71" s="116"/>
      <c r="AT71" s="116"/>
      <c r="AU71" s="116"/>
      <c r="AV71" s="116"/>
      <c r="BC71" s="116"/>
      <c r="BD71" s="116"/>
      <c r="BE71" s="116"/>
      <c r="BF71" s="116"/>
      <c r="BG71" s="116"/>
    </row>
    <row r="72" spans="2:59" ht="14.5" hidden="1">
      <c r="B72" s="326">
        <v>69</v>
      </c>
      <c r="C72" s="506">
        <v>137001.42032207106</v>
      </c>
      <c r="D72" s="507">
        <v>149562.28636862608</v>
      </c>
      <c r="F72" s="144"/>
      <c r="G72" s="144"/>
      <c r="H72" s="116"/>
      <c r="I72" s="116"/>
      <c r="J72" s="116"/>
      <c r="K72" s="116"/>
      <c r="L72" s="116"/>
      <c r="M72" s="116"/>
      <c r="N72" s="116"/>
      <c r="O72" s="116"/>
      <c r="P72" s="116"/>
      <c r="Q72" s="116"/>
      <c r="R72" s="116"/>
      <c r="S72" s="116"/>
      <c r="T72" s="116"/>
      <c r="U72" s="116"/>
      <c r="V72" s="116"/>
      <c r="W72" s="116"/>
      <c r="X72" s="116"/>
      <c r="Y72" s="116"/>
      <c r="Z72" s="116"/>
      <c r="AA72" s="116"/>
      <c r="AB72" s="116"/>
      <c r="AC72" s="116"/>
      <c r="AD72" s="116"/>
      <c r="AE72" s="116"/>
      <c r="AF72" s="116"/>
      <c r="AG72" s="116"/>
      <c r="AH72" s="116"/>
      <c r="AI72" s="116"/>
      <c r="AJ72" s="116"/>
      <c r="AK72" s="116"/>
      <c r="AL72" s="116"/>
      <c r="AM72" s="116"/>
      <c r="AN72" s="116"/>
      <c r="AO72" s="116"/>
      <c r="AP72" s="116"/>
      <c r="AQ72" s="116"/>
      <c r="AR72" s="116"/>
      <c r="AS72" s="116"/>
      <c r="AT72" s="116"/>
      <c r="AU72" s="116"/>
      <c r="AV72" s="116"/>
      <c r="BC72" s="116"/>
      <c r="BD72" s="116"/>
      <c r="BE72" s="116"/>
      <c r="BF72" s="116"/>
      <c r="BG72" s="116"/>
    </row>
    <row r="73" spans="2:59" ht="14.5" hidden="1">
      <c r="B73" s="325">
        <v>70</v>
      </c>
      <c r="C73" s="504">
        <v>145221.50554139531</v>
      </c>
      <c r="D73" s="505">
        <v>158536.02355074364</v>
      </c>
      <c r="F73" s="144"/>
      <c r="G73" s="144"/>
      <c r="H73" s="116"/>
      <c r="I73" s="116"/>
      <c r="J73" s="116"/>
      <c r="K73" s="116"/>
      <c r="L73" s="116"/>
      <c r="M73" s="116"/>
      <c r="N73" s="116"/>
      <c r="O73" s="116"/>
      <c r="P73" s="116"/>
      <c r="Q73" s="116"/>
      <c r="R73" s="116"/>
      <c r="S73" s="116"/>
      <c r="T73" s="116"/>
      <c r="U73" s="116"/>
      <c r="V73" s="116"/>
      <c r="W73" s="116"/>
      <c r="X73" s="116"/>
      <c r="Y73" s="116"/>
      <c r="Z73" s="116"/>
      <c r="AA73" s="116"/>
      <c r="AB73" s="116"/>
      <c r="AC73" s="116"/>
      <c r="AD73" s="116"/>
      <c r="AE73" s="116"/>
      <c r="AF73" s="116"/>
      <c r="AG73" s="116"/>
      <c r="AH73" s="116"/>
      <c r="AI73" s="116"/>
      <c r="AJ73" s="116"/>
      <c r="AK73" s="116"/>
      <c r="AL73" s="116"/>
      <c r="AM73" s="116"/>
      <c r="AN73" s="116"/>
      <c r="AO73" s="116"/>
      <c r="AP73" s="116"/>
      <c r="AQ73" s="116"/>
      <c r="AR73" s="116"/>
      <c r="AS73" s="116"/>
      <c r="AT73" s="116"/>
      <c r="AU73" s="116"/>
      <c r="AV73" s="116"/>
      <c r="BC73" s="116"/>
      <c r="BD73" s="116"/>
      <c r="BE73" s="116"/>
      <c r="BF73" s="116"/>
      <c r="BG73" s="116"/>
    </row>
    <row r="74" spans="2:59" ht="14.5" hidden="1">
      <c r="B74" s="326">
        <v>71</v>
      </c>
      <c r="C74" s="506">
        <v>153934.79587387905</v>
      </c>
      <c r="D74" s="507">
        <v>168048.18496378826</v>
      </c>
      <c r="F74" s="144"/>
      <c r="G74" s="144"/>
      <c r="H74" s="116"/>
      <c r="I74" s="116"/>
      <c r="J74" s="116"/>
      <c r="K74" s="116"/>
      <c r="L74" s="116"/>
      <c r="M74" s="116"/>
      <c r="N74" s="116"/>
      <c r="O74" s="116"/>
      <c r="P74" s="116"/>
      <c r="Q74" s="116"/>
      <c r="R74" s="116"/>
      <c r="S74" s="116"/>
      <c r="T74" s="116"/>
      <c r="U74" s="116"/>
      <c r="V74" s="116"/>
      <c r="W74" s="116"/>
      <c r="X74" s="116"/>
      <c r="Y74" s="116"/>
      <c r="Z74" s="116"/>
      <c r="AA74" s="116"/>
      <c r="AB74" s="116"/>
      <c r="AC74" s="116"/>
      <c r="AD74" s="116"/>
      <c r="AE74" s="116"/>
      <c r="AF74" s="116"/>
      <c r="AG74" s="116"/>
      <c r="AH74" s="116"/>
      <c r="AI74" s="116"/>
      <c r="AJ74" s="116"/>
      <c r="AK74" s="116"/>
      <c r="AL74" s="116"/>
      <c r="AM74" s="116"/>
      <c r="AN74" s="116"/>
      <c r="AO74" s="116"/>
      <c r="AP74" s="116"/>
      <c r="AQ74" s="116"/>
      <c r="AR74" s="116"/>
      <c r="AS74" s="116"/>
      <c r="AT74" s="116"/>
      <c r="AU74" s="116"/>
      <c r="AV74" s="116"/>
      <c r="BC74" s="116"/>
      <c r="BD74" s="116"/>
      <c r="BE74" s="116"/>
      <c r="BF74" s="116"/>
      <c r="BG74" s="116"/>
    </row>
    <row r="75" spans="2:59" ht="14.5" hidden="1">
      <c r="B75" s="325">
        <v>72</v>
      </c>
      <c r="C75" s="504">
        <v>163170.88362631181</v>
      </c>
      <c r="D75" s="505">
        <v>178131.07606161555</v>
      </c>
      <c r="F75" s="144"/>
      <c r="G75" s="144"/>
      <c r="H75" s="116"/>
      <c r="I75" s="116"/>
      <c r="J75" s="116"/>
      <c r="K75" s="116"/>
      <c r="L75" s="116"/>
      <c r="M75" s="116"/>
      <c r="N75" s="116"/>
      <c r="O75" s="116"/>
      <c r="P75" s="116"/>
      <c r="Q75" s="116"/>
      <c r="R75" s="116"/>
      <c r="S75" s="116"/>
      <c r="T75" s="116"/>
      <c r="U75" s="116"/>
      <c r="V75" s="116"/>
      <c r="W75" s="116"/>
      <c r="X75" s="116"/>
      <c r="Y75" s="116"/>
      <c r="Z75" s="116"/>
      <c r="AA75" s="116"/>
      <c r="AB75" s="116"/>
      <c r="AC75" s="116"/>
      <c r="AD75" s="116"/>
      <c r="AE75" s="116"/>
      <c r="AF75" s="116"/>
      <c r="AG75" s="116"/>
      <c r="AH75" s="116"/>
      <c r="AI75" s="116"/>
      <c r="AJ75" s="116"/>
      <c r="AK75" s="116"/>
      <c r="AL75" s="116"/>
      <c r="AM75" s="116"/>
      <c r="AN75" s="116"/>
      <c r="AO75" s="116"/>
      <c r="AP75" s="116"/>
      <c r="AQ75" s="116"/>
      <c r="AR75" s="116"/>
      <c r="AS75" s="116"/>
      <c r="AT75" s="116"/>
      <c r="AU75" s="116"/>
      <c r="AV75" s="116"/>
      <c r="BC75" s="116"/>
      <c r="BD75" s="116"/>
      <c r="BE75" s="116"/>
      <c r="BF75" s="116"/>
      <c r="BG75" s="116"/>
    </row>
    <row r="76" spans="2:59" ht="14.5" hidden="1">
      <c r="B76" s="326">
        <v>73</v>
      </c>
      <c r="C76" s="506">
        <v>172961.13664389052</v>
      </c>
      <c r="D76" s="507">
        <v>188818.94062531248</v>
      </c>
      <c r="F76" s="144"/>
      <c r="G76" s="144"/>
      <c r="H76" s="116"/>
      <c r="I76" s="116"/>
      <c r="J76" s="116"/>
      <c r="K76" s="116"/>
      <c r="L76" s="116"/>
      <c r="M76" s="116"/>
      <c r="N76" s="116"/>
      <c r="O76" s="116"/>
      <c r="P76" s="116"/>
      <c r="Q76" s="116"/>
      <c r="R76" s="116"/>
      <c r="S76" s="116"/>
      <c r="T76" s="116"/>
      <c r="U76" s="116"/>
      <c r="V76" s="116"/>
      <c r="W76" s="116"/>
      <c r="X76" s="116"/>
      <c r="Y76" s="116"/>
      <c r="Z76" s="116"/>
      <c r="AA76" s="116"/>
      <c r="AB76" s="116"/>
      <c r="AC76" s="116"/>
      <c r="AD76" s="116"/>
      <c r="AE76" s="116"/>
      <c r="AF76" s="116"/>
      <c r="AG76" s="116"/>
      <c r="AH76" s="116"/>
      <c r="AI76" s="116"/>
      <c r="AJ76" s="116"/>
      <c r="AK76" s="116"/>
      <c r="AL76" s="116"/>
      <c r="AM76" s="116"/>
      <c r="AN76" s="116"/>
      <c r="AO76" s="116"/>
      <c r="AP76" s="116"/>
      <c r="AQ76" s="116"/>
      <c r="AR76" s="116"/>
      <c r="AS76" s="116"/>
      <c r="AT76" s="116"/>
      <c r="AU76" s="116"/>
      <c r="AV76" s="116"/>
      <c r="BC76" s="116"/>
      <c r="BD76" s="116"/>
      <c r="BE76" s="116"/>
      <c r="BF76" s="116"/>
      <c r="BG76" s="116"/>
    </row>
    <row r="77" spans="2:59" ht="14.5" hidden="1">
      <c r="B77" s="325">
        <v>74</v>
      </c>
      <c r="C77" s="504">
        <v>183338.80484252397</v>
      </c>
      <c r="D77" s="505">
        <v>200148.07706283126</v>
      </c>
      <c r="F77" s="144"/>
      <c r="G77" s="144"/>
      <c r="H77" s="116"/>
      <c r="I77" s="116"/>
      <c r="J77" s="116"/>
      <c r="K77" s="116"/>
      <c r="L77" s="116"/>
      <c r="M77" s="116"/>
      <c r="N77" s="116"/>
      <c r="O77" s="116"/>
      <c r="P77" s="116"/>
      <c r="Q77" s="116"/>
      <c r="R77" s="116"/>
      <c r="S77" s="116"/>
      <c r="T77" s="116"/>
      <c r="U77" s="116"/>
      <c r="V77" s="116"/>
      <c r="W77" s="116"/>
      <c r="X77" s="116"/>
      <c r="Y77" s="116"/>
      <c r="Z77" s="116"/>
      <c r="AA77" s="116"/>
      <c r="AB77" s="116"/>
      <c r="AC77" s="116"/>
      <c r="AD77" s="116"/>
      <c r="AE77" s="116"/>
      <c r="AF77" s="116"/>
      <c r="AG77" s="116"/>
      <c r="AH77" s="116"/>
      <c r="AI77" s="116"/>
      <c r="AJ77" s="116"/>
      <c r="AK77" s="116"/>
      <c r="AL77" s="116"/>
      <c r="AM77" s="116"/>
      <c r="AN77" s="116"/>
      <c r="AO77" s="116"/>
      <c r="AP77" s="116"/>
      <c r="AQ77" s="116"/>
      <c r="AR77" s="116"/>
      <c r="AS77" s="116"/>
      <c r="AT77" s="116"/>
      <c r="AU77" s="116"/>
      <c r="AV77" s="116"/>
      <c r="BC77" s="116"/>
      <c r="BD77" s="116"/>
      <c r="BE77" s="116"/>
      <c r="BF77" s="116"/>
      <c r="BG77" s="116"/>
    </row>
    <row r="78" spans="2:59" ht="14.5" hidden="1">
      <c r="B78" s="326">
        <v>75</v>
      </c>
      <c r="C78" s="506">
        <v>194339.13313307543</v>
      </c>
      <c r="D78" s="507">
        <v>212156.96168660113</v>
      </c>
      <c r="F78" s="144"/>
      <c r="G78" s="144"/>
      <c r="H78" s="116"/>
      <c r="I78" s="116"/>
      <c r="J78" s="116"/>
      <c r="K78" s="116"/>
      <c r="L78" s="116"/>
      <c r="M78" s="116"/>
      <c r="N78" s="116"/>
      <c r="O78" s="116"/>
      <c r="P78" s="116"/>
      <c r="Q78" s="116"/>
      <c r="R78" s="116"/>
      <c r="S78" s="116"/>
      <c r="T78" s="116"/>
      <c r="U78" s="116"/>
      <c r="V78" s="116"/>
      <c r="W78" s="116"/>
      <c r="X78" s="116"/>
      <c r="Y78" s="116"/>
      <c r="Z78" s="116"/>
      <c r="AA78" s="116"/>
      <c r="AB78" s="116"/>
      <c r="AC78" s="116"/>
      <c r="AD78" s="116"/>
      <c r="AE78" s="116"/>
      <c r="AF78" s="116"/>
      <c r="AG78" s="116"/>
      <c r="AH78" s="116"/>
      <c r="AI78" s="116"/>
      <c r="AJ78" s="116"/>
      <c r="AK78" s="116"/>
      <c r="AL78" s="116"/>
      <c r="AM78" s="116"/>
      <c r="AN78" s="116"/>
      <c r="AO78" s="116"/>
      <c r="AP78" s="116"/>
      <c r="AQ78" s="116"/>
      <c r="AR78" s="116"/>
      <c r="AS78" s="116"/>
      <c r="AT78" s="116"/>
      <c r="AU78" s="116"/>
      <c r="AV78" s="116"/>
      <c r="BC78" s="116"/>
      <c r="BD78" s="116"/>
      <c r="BE78" s="116"/>
      <c r="BF78" s="116"/>
      <c r="BG78" s="116"/>
    </row>
    <row r="79" spans="2:59" ht="14.5" hidden="1">
      <c r="B79" s="325">
        <v>76</v>
      </c>
      <c r="C79" s="504">
        <v>205999.48112105997</v>
      </c>
      <c r="D79" s="505">
        <v>224886.37938779723</v>
      </c>
      <c r="F79" s="144"/>
      <c r="G79" s="144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 s="116"/>
      <c r="AK79" s="116"/>
      <c r="AL79" s="116"/>
      <c r="AM79" s="116"/>
      <c r="AN79" s="116"/>
      <c r="AO79" s="116"/>
      <c r="AP79" s="116"/>
      <c r="AQ79" s="116"/>
      <c r="AR79" s="116"/>
      <c r="AS79" s="116"/>
      <c r="AT79" s="116"/>
      <c r="AU79" s="116"/>
      <c r="AV79" s="116"/>
      <c r="BC79" s="116"/>
      <c r="BD79" s="116"/>
      <c r="BE79" s="116"/>
      <c r="BF79" s="116"/>
      <c r="BG79" s="116"/>
    </row>
    <row r="80" spans="2:59" ht="14.5" hidden="1">
      <c r="B80" s="326">
        <v>77</v>
      </c>
      <c r="C80" s="506">
        <v>218359.44998832361</v>
      </c>
      <c r="D80" s="507">
        <v>238379.5621510651</v>
      </c>
      <c r="F80" s="144"/>
      <c r="G80" s="144"/>
      <c r="H80" s="116"/>
      <c r="I80" s="116"/>
      <c r="J80" s="116"/>
      <c r="K80" s="116"/>
      <c r="L80" s="116"/>
      <c r="M80" s="116"/>
      <c r="N80" s="116"/>
      <c r="O80" s="116"/>
      <c r="P80" s="116"/>
      <c r="Q80" s="116"/>
      <c r="R80" s="116"/>
      <c r="S80" s="116"/>
      <c r="T80" s="116"/>
      <c r="U80" s="116"/>
      <c r="V80" s="116"/>
      <c r="W80" s="116"/>
      <c r="X80" s="116"/>
      <c r="Y80" s="116"/>
      <c r="Z80" s="116"/>
      <c r="AA80" s="116"/>
      <c r="AB80" s="116"/>
      <c r="AC80" s="116"/>
      <c r="AD80" s="116"/>
      <c r="AE80" s="116"/>
      <c r="AF80" s="116"/>
      <c r="AG80" s="116"/>
      <c r="AH80" s="116"/>
      <c r="AI80" s="116"/>
      <c r="AJ80" s="116"/>
      <c r="AK80" s="116"/>
      <c r="AL80" s="116"/>
      <c r="AM80" s="116"/>
      <c r="AN80" s="116"/>
      <c r="AO80" s="116"/>
      <c r="AP80" s="116"/>
      <c r="AQ80" s="116"/>
      <c r="AR80" s="116"/>
      <c r="AS80" s="116"/>
      <c r="AT80" s="116"/>
      <c r="AU80" s="116"/>
      <c r="AV80" s="116"/>
      <c r="BC80" s="116"/>
      <c r="BD80" s="116"/>
      <c r="BE80" s="116"/>
      <c r="BF80" s="116"/>
      <c r="BG80" s="116"/>
    </row>
    <row r="81" spans="2:59" ht="14.5" hidden="1">
      <c r="B81" s="325">
        <v>78</v>
      </c>
      <c r="C81" s="504">
        <v>231461.01698762301</v>
      </c>
      <c r="D81" s="505">
        <v>252682.33588012902</v>
      </c>
      <c r="F81" s="144"/>
      <c r="G81" s="144"/>
      <c r="H81" s="116"/>
      <c r="I81" s="116"/>
      <c r="J81" s="116"/>
      <c r="K81" s="116"/>
      <c r="L81" s="116"/>
      <c r="M81" s="116"/>
      <c r="N81" s="116"/>
      <c r="O81" s="116"/>
      <c r="P81" s="116"/>
      <c r="Q81" s="116"/>
      <c r="R81" s="116"/>
      <c r="S81" s="116"/>
      <c r="T81" s="116"/>
      <c r="U81" s="116"/>
      <c r="V81" s="116"/>
      <c r="W81" s="116"/>
      <c r="X81" s="116"/>
      <c r="Y81" s="116"/>
      <c r="Z81" s="116"/>
      <c r="AA81" s="116"/>
      <c r="AB81" s="116"/>
      <c r="AC81" s="116"/>
      <c r="AD81" s="116"/>
      <c r="AE81" s="116"/>
      <c r="AF81" s="116"/>
      <c r="AG81" s="116"/>
      <c r="AH81" s="116"/>
      <c r="AI81" s="116"/>
      <c r="AJ81" s="116"/>
      <c r="AK81" s="116"/>
      <c r="AL81" s="116"/>
      <c r="AM81" s="116"/>
      <c r="AN81" s="116"/>
      <c r="AO81" s="116"/>
      <c r="AP81" s="116"/>
      <c r="AQ81" s="116"/>
      <c r="AR81" s="116"/>
      <c r="AS81" s="116"/>
      <c r="AT81" s="116"/>
      <c r="AU81" s="116"/>
      <c r="AV81" s="116"/>
      <c r="BC81" s="116"/>
      <c r="BD81" s="116"/>
      <c r="BE81" s="116"/>
      <c r="BF81" s="116"/>
      <c r="BG81" s="116"/>
    </row>
    <row r="82" spans="2:59" ht="14.5" hidden="1">
      <c r="B82" s="326">
        <v>79</v>
      </c>
      <c r="C82" s="506">
        <v>245348.67800688042</v>
      </c>
      <c r="D82" s="507">
        <v>267843.27603293676</v>
      </c>
      <c r="F82" s="144"/>
      <c r="G82" s="144"/>
      <c r="H82" s="116"/>
      <c r="I82" s="116"/>
      <c r="J82" s="116"/>
      <c r="K82" s="116"/>
      <c r="L82" s="116"/>
      <c r="M82" s="116"/>
      <c r="N82" s="116"/>
      <c r="O82" s="116"/>
      <c r="P82" s="116"/>
      <c r="Q82" s="116"/>
      <c r="R82" s="116"/>
      <c r="S82" s="116"/>
      <c r="T82" s="116"/>
      <c r="U82" s="116"/>
      <c r="V82" s="116"/>
      <c r="W82" s="116"/>
      <c r="X82" s="116"/>
      <c r="Y82" s="116"/>
      <c r="Z82" s="116"/>
      <c r="AA82" s="116"/>
      <c r="AB82" s="116"/>
      <c r="AC82" s="116"/>
      <c r="AD82" s="116"/>
      <c r="AE82" s="116"/>
      <c r="AF82" s="116"/>
      <c r="AG82" s="116"/>
      <c r="AH82" s="116"/>
      <c r="AI82" s="116"/>
      <c r="AJ82" s="116"/>
      <c r="AK82" s="116"/>
      <c r="AL82" s="116"/>
      <c r="AM82" s="116"/>
      <c r="AN82" s="116"/>
      <c r="AO82" s="116"/>
      <c r="AP82" s="116"/>
      <c r="AQ82" s="116"/>
      <c r="AR82" s="116"/>
      <c r="AS82" s="116"/>
      <c r="AT82" s="116"/>
      <c r="AU82" s="116"/>
      <c r="AV82" s="116"/>
      <c r="BC82" s="116"/>
      <c r="BD82" s="116"/>
      <c r="BE82" s="116"/>
      <c r="BF82" s="116"/>
      <c r="BG82" s="116"/>
    </row>
    <row r="83" spans="2:59" ht="14.5" hidden="1">
      <c r="B83" s="325">
        <v>80</v>
      </c>
      <c r="C83" s="504">
        <v>260069.59868729324</v>
      </c>
      <c r="D83" s="505">
        <v>283913.872594913</v>
      </c>
      <c r="F83" s="144"/>
      <c r="G83" s="144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BC83" s="116"/>
      <c r="BD83" s="116"/>
      <c r="BE83" s="116"/>
      <c r="BF83" s="116"/>
      <c r="BG83" s="116"/>
    </row>
    <row r="84" spans="2:59" ht="14.5" hidden="1">
      <c r="B84" s="326">
        <v>81</v>
      </c>
      <c r="C84" s="506">
        <v>275673.77460853086</v>
      </c>
      <c r="D84" s="507">
        <v>300948.70495060773</v>
      </c>
      <c r="F84" s="144"/>
      <c r="G84" s="144"/>
      <c r="H84" s="116"/>
      <c r="I84" s="116"/>
      <c r="J84" s="116"/>
      <c r="K84" s="116"/>
      <c r="L84" s="116"/>
      <c r="M84" s="116"/>
      <c r="N84" s="116"/>
      <c r="O84" s="116"/>
      <c r="P84" s="116"/>
      <c r="Q84" s="116"/>
      <c r="R84" s="116"/>
      <c r="S84" s="116"/>
      <c r="T84" s="116"/>
      <c r="U84" s="116"/>
      <c r="V84" s="116"/>
      <c r="W84" s="116"/>
      <c r="X84" s="116"/>
      <c r="Y84" s="116"/>
      <c r="Z84" s="116"/>
      <c r="AA84" s="116"/>
      <c r="AB84" s="116"/>
      <c r="AC84" s="116"/>
      <c r="AD84" s="116"/>
      <c r="AE84" s="116"/>
      <c r="AF84" s="116"/>
      <c r="AG84" s="116"/>
      <c r="AH84" s="116"/>
      <c r="AI84" s="116"/>
      <c r="AJ84" s="116"/>
      <c r="AK84" s="116"/>
      <c r="AL84" s="116"/>
      <c r="AM84" s="116"/>
      <c r="AN84" s="116"/>
      <c r="AO84" s="116"/>
      <c r="AP84" s="116"/>
      <c r="AQ84" s="116"/>
      <c r="AR84" s="116"/>
      <c r="AS84" s="116"/>
      <c r="AT84" s="116"/>
      <c r="AU84" s="116"/>
      <c r="AV84" s="116"/>
      <c r="BC84" s="116"/>
      <c r="BD84" s="116"/>
      <c r="BE84" s="116"/>
      <c r="BF84" s="116"/>
      <c r="BG84" s="116"/>
    </row>
    <row r="85" spans="2:59" ht="14.5" hidden="1">
      <c r="B85" s="325">
        <v>82</v>
      </c>
      <c r="C85" s="504">
        <v>292214.20108504273</v>
      </c>
      <c r="D85" s="505">
        <v>319005.62724764424</v>
      </c>
      <c r="F85" s="144"/>
      <c r="G85" s="144"/>
      <c r="H85" s="116"/>
      <c r="I85" s="116"/>
      <c r="J85" s="116"/>
      <c r="K85" s="116"/>
      <c r="L85" s="116"/>
      <c r="M85" s="116"/>
      <c r="N85" s="116"/>
      <c r="O85" s="116"/>
      <c r="P85" s="116"/>
      <c r="Q85" s="116"/>
      <c r="R85" s="116"/>
      <c r="S85" s="116"/>
      <c r="T85" s="116"/>
      <c r="U85" s="116"/>
      <c r="V85" s="116"/>
      <c r="W85" s="116"/>
      <c r="X85" s="116"/>
      <c r="Y85" s="116"/>
      <c r="Z85" s="116"/>
      <c r="AA85" s="116"/>
      <c r="AB85" s="116"/>
      <c r="AC85" s="116"/>
      <c r="AD85" s="116"/>
      <c r="AE85" s="116"/>
      <c r="AF85" s="116"/>
      <c r="AG85" s="116"/>
      <c r="AH85" s="116"/>
      <c r="AI85" s="116"/>
      <c r="AJ85" s="116"/>
      <c r="AK85" s="116"/>
      <c r="AL85" s="116"/>
      <c r="AM85" s="116"/>
      <c r="AN85" s="116"/>
      <c r="AO85" s="116"/>
      <c r="AP85" s="116"/>
      <c r="AQ85" s="116"/>
      <c r="AR85" s="116"/>
      <c r="AS85" s="116"/>
      <c r="AT85" s="116"/>
      <c r="AU85" s="116"/>
      <c r="AV85" s="116"/>
      <c r="BC85" s="116"/>
      <c r="BD85" s="116"/>
      <c r="BE85" s="116"/>
      <c r="BF85" s="116"/>
      <c r="BG85" s="116"/>
    </row>
    <row r="86" spans="2:59" ht="14.5" hidden="1">
      <c r="B86" s="326">
        <v>83</v>
      </c>
      <c r="C86" s="506">
        <v>309747.05315014534</v>
      </c>
      <c r="D86" s="507">
        <v>338145.96488250291</v>
      </c>
      <c r="F86" s="144"/>
      <c r="G86" s="144"/>
      <c r="H86" s="116"/>
      <c r="I86" s="116"/>
      <c r="J86" s="116"/>
      <c r="K86" s="116"/>
      <c r="L86" s="116"/>
      <c r="M86" s="116"/>
      <c r="N86" s="116"/>
      <c r="O86" s="116"/>
      <c r="P86" s="116"/>
      <c r="Q86" s="116"/>
      <c r="R86" s="116"/>
      <c r="S86" s="116"/>
      <c r="T86" s="116"/>
      <c r="U86" s="116"/>
      <c r="V86" s="116"/>
      <c r="W86" s="116"/>
      <c r="X86" s="116"/>
      <c r="Y86" s="116"/>
      <c r="Z86" s="116"/>
      <c r="AA86" s="116"/>
      <c r="AB86" s="116"/>
      <c r="AC86" s="116"/>
      <c r="AD86" s="116"/>
      <c r="AE86" s="116"/>
      <c r="AF86" s="116"/>
      <c r="AG86" s="116"/>
      <c r="AH86" s="116"/>
      <c r="AI86" s="116"/>
      <c r="AJ86" s="116"/>
      <c r="AK86" s="116"/>
      <c r="AL86" s="116"/>
      <c r="AM86" s="116"/>
      <c r="AN86" s="116"/>
      <c r="AO86" s="116"/>
      <c r="AP86" s="116"/>
      <c r="AQ86" s="116"/>
      <c r="AR86" s="116"/>
      <c r="AS86" s="116"/>
      <c r="AT86" s="116"/>
      <c r="AU86" s="116"/>
      <c r="AV86" s="116"/>
      <c r="BC86" s="116"/>
      <c r="BD86" s="116"/>
      <c r="BE86" s="116"/>
      <c r="BF86" s="116"/>
      <c r="BG86" s="116"/>
    </row>
    <row r="87" spans="2:59" ht="14.5" hidden="1">
      <c r="B87" s="325">
        <v>84</v>
      </c>
      <c r="C87" s="504">
        <v>328331.87633915409</v>
      </c>
      <c r="D87" s="505">
        <v>358434.72277545312</v>
      </c>
      <c r="F87" s="144"/>
      <c r="G87" s="144"/>
      <c r="H87" s="116"/>
      <c r="I87" s="116"/>
      <c r="J87" s="116"/>
      <c r="K87" s="116"/>
      <c r="L87" s="116"/>
      <c r="M87" s="116"/>
      <c r="N87" s="116"/>
      <c r="O87" s="116"/>
      <c r="P87" s="116"/>
      <c r="Q87" s="116"/>
      <c r="R87" s="116"/>
      <c r="S87" s="116"/>
      <c r="T87" s="116"/>
      <c r="U87" s="116"/>
      <c r="V87" s="116"/>
      <c r="W87" s="116"/>
      <c r="X87" s="116"/>
      <c r="Y87" s="116"/>
      <c r="Z87" s="116"/>
      <c r="AA87" s="116"/>
      <c r="AB87" s="116"/>
      <c r="AC87" s="116"/>
      <c r="AD87" s="116"/>
      <c r="AE87" s="116"/>
      <c r="AF87" s="116"/>
      <c r="AG87" s="116"/>
      <c r="AH87" s="116"/>
      <c r="AI87" s="116"/>
      <c r="AJ87" s="116"/>
      <c r="AK87" s="116"/>
      <c r="AL87" s="116"/>
      <c r="AM87" s="116"/>
      <c r="AN87" s="116"/>
      <c r="AO87" s="116"/>
      <c r="AP87" s="116"/>
      <c r="AQ87" s="116"/>
      <c r="AR87" s="116"/>
      <c r="AS87" s="116"/>
      <c r="AT87" s="116"/>
      <c r="AU87" s="116"/>
      <c r="AV87" s="116"/>
      <c r="BC87" s="116"/>
      <c r="BD87" s="116"/>
      <c r="BE87" s="116"/>
      <c r="BF87" s="116"/>
      <c r="BG87" s="116"/>
    </row>
    <row r="88" spans="2:59" ht="14.5" hidden="1">
      <c r="B88" s="326">
        <v>85</v>
      </c>
      <c r="C88" s="506">
        <v>348031.78891950333</v>
      </c>
      <c r="D88" s="507">
        <v>379940.80614198034</v>
      </c>
      <c r="F88" s="144"/>
      <c r="G88" s="144"/>
      <c r="H88" s="116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  <c r="AG88" s="116"/>
      <c r="AH88" s="116"/>
      <c r="AI88" s="116"/>
      <c r="AJ88" s="116"/>
      <c r="AK88" s="116"/>
      <c r="AL88" s="116"/>
      <c r="AM88" s="116"/>
      <c r="AN88" s="116"/>
      <c r="AO88" s="116"/>
      <c r="AP88" s="116"/>
      <c r="AQ88" s="116"/>
      <c r="AR88" s="116"/>
      <c r="AS88" s="116"/>
      <c r="AT88" s="116"/>
      <c r="AU88" s="116"/>
      <c r="AV88" s="116"/>
      <c r="BC88" s="116"/>
      <c r="BD88" s="116"/>
      <c r="BE88" s="116"/>
      <c r="BF88" s="116"/>
      <c r="BG88" s="116"/>
    </row>
    <row r="89" spans="2:59" ht="14.5" hidden="1">
      <c r="B89" s="325">
        <v>86</v>
      </c>
      <c r="C89" s="504">
        <v>348031.78891950333</v>
      </c>
      <c r="D89" s="505">
        <v>379940.80614198034</v>
      </c>
      <c r="F89" s="144"/>
      <c r="G89" s="144"/>
      <c r="H89" s="116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  <c r="AG89" s="116"/>
      <c r="AH89" s="116"/>
      <c r="AI89" s="116"/>
      <c r="AJ89" s="116"/>
      <c r="AK89" s="116"/>
      <c r="AL89" s="116"/>
      <c r="AM89" s="116"/>
      <c r="AN89" s="116"/>
      <c r="AO89" s="116"/>
      <c r="AP89" s="116"/>
      <c r="AQ89" s="116"/>
      <c r="AR89" s="116"/>
      <c r="AS89" s="116"/>
      <c r="AT89" s="116"/>
      <c r="AU89" s="116"/>
      <c r="AV89" s="116"/>
      <c r="BC89" s="116"/>
      <c r="BD89" s="116"/>
      <c r="BE89" s="116"/>
      <c r="BF89" s="116"/>
      <c r="BG89" s="116"/>
    </row>
    <row r="90" spans="2:59" ht="14.5" hidden="1">
      <c r="B90" s="326">
        <v>87</v>
      </c>
      <c r="C90" s="506">
        <v>348031.78891950333</v>
      </c>
      <c r="D90" s="507">
        <v>379940.80614198034</v>
      </c>
      <c r="F90" s="144"/>
      <c r="G90" s="144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  <c r="AH90" s="116"/>
      <c r="AI90" s="116"/>
      <c r="AJ90" s="116"/>
      <c r="AK90" s="116"/>
      <c r="AL90" s="116"/>
      <c r="AM90" s="116"/>
      <c r="AN90" s="116"/>
      <c r="AO90" s="116"/>
      <c r="AP90" s="116"/>
      <c r="AQ90" s="116"/>
      <c r="AR90" s="116"/>
      <c r="AS90" s="116"/>
      <c r="AT90" s="116"/>
      <c r="AU90" s="116"/>
      <c r="AV90" s="116"/>
      <c r="BC90" s="116"/>
      <c r="BD90" s="116"/>
      <c r="BE90" s="116"/>
      <c r="BF90" s="116"/>
      <c r="BG90" s="116"/>
    </row>
    <row r="91" spans="2:59" ht="14.5" hidden="1">
      <c r="B91" s="325">
        <v>88</v>
      </c>
      <c r="C91" s="504">
        <v>348031.78891950333</v>
      </c>
      <c r="D91" s="505">
        <v>379940.80614198034</v>
      </c>
      <c r="F91" s="144"/>
      <c r="G91" s="144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  <c r="AH91" s="116"/>
      <c r="AI91" s="116"/>
      <c r="AJ91" s="116"/>
      <c r="AK91" s="116"/>
      <c r="AL91" s="116"/>
      <c r="AM91" s="116"/>
      <c r="AN91" s="116"/>
      <c r="AO91" s="116"/>
      <c r="AP91" s="116"/>
      <c r="AQ91" s="116"/>
      <c r="AR91" s="116"/>
      <c r="AS91" s="116"/>
      <c r="AT91" s="116"/>
      <c r="AU91" s="116"/>
      <c r="AV91" s="116"/>
      <c r="BC91" s="116"/>
      <c r="BD91" s="116"/>
      <c r="BE91" s="116"/>
      <c r="BF91" s="116"/>
      <c r="BG91" s="116"/>
    </row>
    <row r="92" spans="2:59" ht="14.5" hidden="1">
      <c r="B92" s="326">
        <v>89</v>
      </c>
      <c r="C92" s="506">
        <v>348031.78891950333</v>
      </c>
      <c r="D92" s="507">
        <v>379940.80614198034</v>
      </c>
      <c r="F92" s="144"/>
      <c r="G92" s="144"/>
      <c r="H92" s="116"/>
      <c r="I92" s="116"/>
      <c r="J92" s="116"/>
      <c r="K92" s="116"/>
      <c r="L92" s="116"/>
      <c r="M92" s="116"/>
      <c r="N92" s="116"/>
      <c r="O92" s="116"/>
      <c r="P92" s="116"/>
      <c r="Q92" s="116"/>
      <c r="R92" s="116"/>
      <c r="S92" s="116"/>
      <c r="T92" s="116"/>
      <c r="U92" s="116"/>
      <c r="V92" s="116"/>
      <c r="W92" s="116"/>
      <c r="X92" s="116"/>
      <c r="Y92" s="116"/>
      <c r="Z92" s="116"/>
      <c r="AA92" s="116"/>
      <c r="AB92" s="116"/>
      <c r="AC92" s="116"/>
      <c r="AD92" s="116"/>
      <c r="AE92" s="116"/>
      <c r="AF92" s="116"/>
      <c r="AG92" s="116"/>
      <c r="AH92" s="116"/>
      <c r="AI92" s="116"/>
      <c r="AJ92" s="116"/>
      <c r="AK92" s="116"/>
      <c r="AL92" s="116"/>
      <c r="AM92" s="116"/>
      <c r="AN92" s="116"/>
      <c r="AO92" s="116"/>
      <c r="AP92" s="116"/>
      <c r="AQ92" s="116"/>
      <c r="AR92" s="116"/>
      <c r="AS92" s="116"/>
      <c r="AT92" s="116"/>
      <c r="AU92" s="116"/>
      <c r="AV92" s="116"/>
      <c r="BC92" s="116"/>
      <c r="BD92" s="116"/>
      <c r="BE92" s="116"/>
      <c r="BF92" s="116"/>
      <c r="BG92" s="116"/>
    </row>
    <row r="93" spans="2:59" ht="14.5" hidden="1">
      <c r="B93" s="325">
        <v>90</v>
      </c>
      <c r="C93" s="504">
        <v>348031.78891950333</v>
      </c>
      <c r="D93" s="505">
        <v>379940.80614198034</v>
      </c>
      <c r="F93" s="144"/>
      <c r="G93" s="144"/>
      <c r="H93" s="116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/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  <c r="AG93" s="116"/>
      <c r="AH93" s="116"/>
      <c r="AI93" s="116"/>
      <c r="AJ93" s="116"/>
      <c r="AK93" s="116"/>
      <c r="AL93" s="116"/>
      <c r="AM93" s="116"/>
      <c r="AN93" s="116"/>
      <c r="AO93" s="116"/>
      <c r="AP93" s="116"/>
      <c r="AQ93" s="116"/>
      <c r="AR93" s="116"/>
      <c r="AS93" s="116"/>
      <c r="AT93" s="116"/>
      <c r="AU93" s="116"/>
      <c r="AV93" s="116"/>
      <c r="BC93" s="116"/>
      <c r="BD93" s="116"/>
      <c r="BE93" s="116"/>
      <c r="BF93" s="116"/>
      <c r="BG93" s="116"/>
    </row>
    <row r="94" spans="2:59" ht="14.5" hidden="1">
      <c r="B94" s="326">
        <v>91</v>
      </c>
      <c r="C94" s="506">
        <v>348031.78891950333</v>
      </c>
      <c r="D94" s="507">
        <v>379940.80614198034</v>
      </c>
      <c r="F94" s="144"/>
      <c r="G94" s="144"/>
      <c r="H94" s="116"/>
      <c r="I94" s="116"/>
      <c r="J94" s="116"/>
      <c r="K94" s="116"/>
      <c r="L94" s="116"/>
      <c r="M94" s="116"/>
      <c r="N94" s="116"/>
      <c r="O94" s="116"/>
      <c r="P94" s="116"/>
      <c r="Q94" s="116"/>
      <c r="R94" s="116"/>
      <c r="S94" s="116"/>
      <c r="T94" s="116"/>
      <c r="U94" s="116"/>
      <c r="V94" s="116"/>
      <c r="W94" s="116"/>
      <c r="X94" s="116"/>
      <c r="Y94" s="116"/>
      <c r="Z94" s="116"/>
      <c r="AA94" s="116"/>
      <c r="AB94" s="116"/>
      <c r="AC94" s="116"/>
      <c r="AD94" s="116"/>
      <c r="AE94" s="116"/>
      <c r="AF94" s="116"/>
      <c r="AG94" s="116"/>
      <c r="AH94" s="116"/>
      <c r="AI94" s="116"/>
      <c r="AJ94" s="116"/>
      <c r="AK94" s="116"/>
      <c r="AL94" s="116"/>
      <c r="AM94" s="116"/>
      <c r="AN94" s="116"/>
      <c r="AO94" s="116"/>
      <c r="AP94" s="116"/>
      <c r="AQ94" s="116"/>
      <c r="AR94" s="116"/>
      <c r="AS94" s="116"/>
      <c r="AT94" s="116"/>
      <c r="AU94" s="116"/>
      <c r="AV94" s="116"/>
      <c r="BC94" s="116"/>
      <c r="BD94" s="116"/>
      <c r="BE94" s="116"/>
      <c r="BF94" s="116"/>
      <c r="BG94" s="116"/>
    </row>
    <row r="95" spans="2:59" ht="14.5" hidden="1">
      <c r="B95" s="325">
        <v>92</v>
      </c>
      <c r="C95" s="504">
        <v>348031.78891950333</v>
      </c>
      <c r="D95" s="505">
        <v>379940.80614198034</v>
      </c>
      <c r="F95" s="144"/>
      <c r="G95" s="144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  <c r="AH95" s="116"/>
      <c r="AI95" s="116"/>
      <c r="AJ95" s="116"/>
      <c r="AK95" s="116"/>
      <c r="AL95" s="116"/>
      <c r="AM95" s="116"/>
      <c r="AN95" s="116"/>
      <c r="AO95" s="116"/>
      <c r="AP95" s="116"/>
      <c r="AQ95" s="116"/>
      <c r="AR95" s="116"/>
      <c r="AS95" s="116"/>
      <c r="AT95" s="116"/>
      <c r="AU95" s="116"/>
      <c r="AV95" s="116"/>
      <c r="BC95" s="116"/>
      <c r="BD95" s="116"/>
      <c r="BE95" s="116"/>
      <c r="BF95" s="116"/>
      <c r="BG95" s="116"/>
    </row>
    <row r="96" spans="2:59" ht="14.5" hidden="1">
      <c r="B96" s="326">
        <v>93</v>
      </c>
      <c r="C96" s="506">
        <v>348031.78891950333</v>
      </c>
      <c r="D96" s="507">
        <v>379940.80614198034</v>
      </c>
      <c r="F96" s="144"/>
      <c r="G96" s="144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  <c r="AH96" s="116"/>
      <c r="AI96" s="116"/>
      <c r="AJ96" s="116"/>
      <c r="AK96" s="116"/>
      <c r="AL96" s="116"/>
      <c r="AM96" s="116"/>
      <c r="AN96" s="116"/>
      <c r="AO96" s="116"/>
      <c r="AP96" s="116"/>
      <c r="AQ96" s="116"/>
      <c r="AR96" s="116"/>
      <c r="AS96" s="116"/>
      <c r="AT96" s="116"/>
      <c r="AU96" s="116"/>
      <c r="AV96" s="116"/>
      <c r="BC96" s="116"/>
      <c r="BD96" s="116"/>
      <c r="BE96" s="116"/>
      <c r="BF96" s="116"/>
      <c r="BG96" s="116"/>
    </row>
    <row r="97" spans="2:59" ht="14.5" hidden="1">
      <c r="B97" s="325">
        <v>94</v>
      </c>
      <c r="C97" s="504">
        <v>348031.78891950333</v>
      </c>
      <c r="D97" s="505">
        <v>379940.80614198034</v>
      </c>
      <c r="F97" s="144"/>
      <c r="G97" s="144"/>
      <c r="H97" s="116"/>
      <c r="I97" s="116"/>
      <c r="J97" s="116"/>
      <c r="K97" s="116"/>
      <c r="L97" s="116"/>
      <c r="M97" s="116"/>
      <c r="N97" s="116"/>
      <c r="O97" s="116"/>
      <c r="P97" s="116"/>
      <c r="Q97" s="116"/>
      <c r="R97" s="116"/>
      <c r="S97" s="116"/>
      <c r="T97" s="116"/>
      <c r="U97" s="116"/>
      <c r="V97" s="116"/>
      <c r="W97" s="116"/>
      <c r="X97" s="116"/>
      <c r="Y97" s="116"/>
      <c r="Z97" s="116"/>
      <c r="AA97" s="116"/>
      <c r="AB97" s="116"/>
      <c r="AC97" s="116"/>
      <c r="AD97" s="116"/>
      <c r="AE97" s="116"/>
      <c r="AF97" s="116"/>
      <c r="AG97" s="116"/>
      <c r="AH97" s="116"/>
      <c r="AI97" s="116"/>
      <c r="AJ97" s="116"/>
      <c r="AK97" s="116"/>
      <c r="AL97" s="116"/>
      <c r="AM97" s="116"/>
      <c r="AN97" s="116"/>
      <c r="AO97" s="116"/>
      <c r="AP97" s="116"/>
      <c r="AQ97" s="116"/>
      <c r="AR97" s="116"/>
      <c r="AS97" s="116"/>
      <c r="AT97" s="116"/>
      <c r="AU97" s="116"/>
      <c r="AV97" s="116"/>
      <c r="BC97" s="116"/>
      <c r="BD97" s="116"/>
      <c r="BE97" s="116"/>
      <c r="BF97" s="116"/>
      <c r="BG97" s="116"/>
    </row>
    <row r="98" spans="2:59" ht="14.5" hidden="1">
      <c r="B98" s="326">
        <v>95</v>
      </c>
      <c r="C98" s="506">
        <v>348031.78891950333</v>
      </c>
      <c r="D98" s="507">
        <v>379940.80614198034</v>
      </c>
      <c r="F98" s="144"/>
      <c r="G98" s="144"/>
      <c r="H98" s="116"/>
      <c r="I98" s="116"/>
      <c r="J98" s="116"/>
      <c r="K98" s="116"/>
      <c r="L98" s="116"/>
      <c r="M98" s="116"/>
      <c r="N98" s="116"/>
      <c r="O98" s="116"/>
      <c r="P98" s="116"/>
      <c r="Q98" s="116"/>
      <c r="R98" s="116"/>
      <c r="S98" s="116"/>
      <c r="T98" s="116"/>
      <c r="U98" s="116"/>
      <c r="V98" s="116"/>
      <c r="W98" s="116"/>
      <c r="X98" s="116"/>
      <c r="Y98" s="116"/>
      <c r="Z98" s="116"/>
      <c r="AA98" s="116"/>
      <c r="AB98" s="116"/>
      <c r="AC98" s="116"/>
      <c r="AD98" s="116"/>
      <c r="AE98" s="116"/>
      <c r="AF98" s="116"/>
      <c r="AG98" s="116"/>
      <c r="AH98" s="116"/>
      <c r="AI98" s="116"/>
      <c r="AJ98" s="116"/>
      <c r="AK98" s="116"/>
      <c r="AL98" s="116"/>
      <c r="AM98" s="116"/>
      <c r="AN98" s="116"/>
      <c r="AO98" s="116"/>
      <c r="AP98" s="116"/>
      <c r="AQ98" s="116"/>
      <c r="AR98" s="116"/>
      <c r="AS98" s="116"/>
      <c r="AT98" s="116"/>
      <c r="AU98" s="116"/>
      <c r="AV98" s="116"/>
      <c r="BC98" s="116"/>
      <c r="BD98" s="116"/>
      <c r="BE98" s="116"/>
      <c r="BF98" s="116"/>
      <c r="BG98" s="116"/>
    </row>
    <row r="99" spans="2:59" ht="14.5" hidden="1">
      <c r="B99" s="325">
        <v>96</v>
      </c>
      <c r="C99" s="504">
        <v>348031.78891950333</v>
      </c>
      <c r="D99" s="505">
        <v>379940.80614198034</v>
      </c>
      <c r="F99" s="144"/>
      <c r="G99" s="144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BC99" s="116"/>
      <c r="BD99" s="116"/>
      <c r="BE99" s="116"/>
      <c r="BF99" s="116"/>
      <c r="BG99" s="116"/>
    </row>
    <row r="100" spans="2:59" ht="14.5" hidden="1">
      <c r="B100" s="326">
        <v>97</v>
      </c>
      <c r="C100" s="506">
        <v>348031.78891950333</v>
      </c>
      <c r="D100" s="507">
        <v>379940.80614198034</v>
      </c>
      <c r="F100" s="144"/>
      <c r="G100" s="144"/>
      <c r="H100" s="116"/>
      <c r="I100" s="116"/>
      <c r="J100" s="116"/>
      <c r="K100" s="116"/>
      <c r="L100" s="116"/>
      <c r="M100" s="116"/>
      <c r="N100" s="116"/>
      <c r="O100" s="116"/>
      <c r="P100" s="116"/>
      <c r="Q100" s="116"/>
      <c r="R100" s="116"/>
      <c r="S100" s="116"/>
      <c r="T100" s="116"/>
      <c r="U100" s="116"/>
      <c r="V100" s="116"/>
      <c r="W100" s="116"/>
      <c r="X100" s="116"/>
      <c r="Y100" s="116"/>
      <c r="Z100" s="116"/>
      <c r="AA100" s="116"/>
      <c r="AB100" s="116"/>
      <c r="AC100" s="116"/>
      <c r="AD100" s="116"/>
      <c r="AE100" s="116"/>
      <c r="AF100" s="116"/>
      <c r="AG100" s="116"/>
      <c r="AH100" s="116"/>
      <c r="AI100" s="116"/>
      <c r="AJ100" s="116"/>
      <c r="AK100" s="116"/>
      <c r="AL100" s="116"/>
      <c r="AM100" s="116"/>
      <c r="AN100" s="116"/>
      <c r="AO100" s="116"/>
      <c r="AP100" s="116"/>
      <c r="AQ100" s="116"/>
      <c r="AR100" s="116"/>
      <c r="AS100" s="116"/>
      <c r="AT100" s="116"/>
      <c r="AU100" s="116"/>
      <c r="AV100" s="116"/>
      <c r="BC100" s="116"/>
      <c r="BD100" s="116"/>
      <c r="BE100" s="116"/>
      <c r="BF100" s="116"/>
      <c r="BG100" s="116"/>
    </row>
    <row r="101" spans="2:59" ht="14.5" hidden="1">
      <c r="B101" s="325">
        <v>98</v>
      </c>
      <c r="C101" s="504">
        <v>348031.78891950333</v>
      </c>
      <c r="D101" s="505">
        <v>379940.80614198034</v>
      </c>
      <c r="F101" s="144"/>
      <c r="G101" s="144"/>
      <c r="H101" s="116"/>
      <c r="I101" s="116"/>
      <c r="J101" s="116"/>
      <c r="K101" s="116"/>
      <c r="L101" s="116"/>
      <c r="M101" s="116"/>
      <c r="N101" s="116"/>
      <c r="O101" s="116"/>
      <c r="P101" s="116"/>
      <c r="Q101" s="116"/>
      <c r="R101" s="116"/>
      <c r="S101" s="116"/>
      <c r="T101" s="116"/>
      <c r="U101" s="116"/>
      <c r="V101" s="116"/>
      <c r="W101" s="116"/>
      <c r="X101" s="116"/>
      <c r="Y101" s="116"/>
      <c r="Z101" s="116"/>
      <c r="AA101" s="116"/>
      <c r="AB101" s="116"/>
      <c r="AC101" s="116"/>
      <c r="AD101" s="116"/>
      <c r="AE101" s="116"/>
      <c r="AF101" s="116"/>
      <c r="AG101" s="116"/>
      <c r="AH101" s="116"/>
      <c r="AI101" s="116"/>
      <c r="AJ101" s="116"/>
      <c r="AK101" s="116"/>
      <c r="AL101" s="116"/>
      <c r="AM101" s="116"/>
      <c r="AN101" s="116"/>
      <c r="AO101" s="116"/>
      <c r="AP101" s="116"/>
      <c r="AQ101" s="116"/>
      <c r="AR101" s="116"/>
      <c r="AS101" s="116"/>
      <c r="AT101" s="116"/>
      <c r="AU101" s="116"/>
      <c r="AV101" s="116"/>
      <c r="BC101" s="116"/>
      <c r="BD101" s="116"/>
      <c r="BE101" s="116"/>
      <c r="BF101" s="116"/>
      <c r="BG101" s="116"/>
    </row>
    <row r="102" spans="2:59" ht="14.5" hidden="1">
      <c r="B102" s="326">
        <v>99</v>
      </c>
      <c r="C102" s="506">
        <v>348031.78891950333</v>
      </c>
      <c r="D102" s="507">
        <v>379940.80614198034</v>
      </c>
      <c r="F102" s="144"/>
      <c r="G102" s="144"/>
      <c r="H102" s="116"/>
      <c r="I102" s="116"/>
      <c r="J102" s="116"/>
      <c r="K102" s="116"/>
      <c r="L102" s="116"/>
      <c r="M102" s="116"/>
      <c r="N102" s="116"/>
      <c r="O102" s="116"/>
      <c r="P102" s="116"/>
      <c r="Q102" s="116"/>
      <c r="R102" s="116"/>
      <c r="S102" s="116"/>
      <c r="T102" s="116"/>
      <c r="U102" s="116"/>
      <c r="V102" s="116"/>
      <c r="W102" s="116"/>
      <c r="X102" s="116"/>
      <c r="Y102" s="116"/>
      <c r="Z102" s="116"/>
      <c r="AA102" s="116"/>
      <c r="AB102" s="116"/>
      <c r="AC102" s="116"/>
      <c r="AD102" s="116"/>
      <c r="AE102" s="116"/>
      <c r="AF102" s="116"/>
      <c r="AG102" s="116"/>
      <c r="AH102" s="116"/>
      <c r="AI102" s="116"/>
      <c r="AJ102" s="116"/>
      <c r="AK102" s="116"/>
      <c r="AL102" s="116"/>
      <c r="AM102" s="116"/>
      <c r="AN102" s="116"/>
      <c r="AO102" s="116"/>
      <c r="AP102" s="116"/>
      <c r="AQ102" s="116"/>
      <c r="AR102" s="116"/>
      <c r="AS102" s="116"/>
      <c r="AT102" s="116"/>
      <c r="AU102" s="116"/>
      <c r="AV102" s="116"/>
      <c r="BC102" s="116"/>
      <c r="BD102" s="116"/>
      <c r="BE102" s="116"/>
      <c r="BF102" s="116"/>
      <c r="BG102" s="116"/>
    </row>
    <row r="103" spans="2:59" ht="15" hidden="1" thickBot="1">
      <c r="B103" s="328">
        <v>100</v>
      </c>
      <c r="C103" s="510">
        <v>348031.78891950333</v>
      </c>
      <c r="D103" s="511">
        <v>379940.80614198034</v>
      </c>
      <c r="F103" s="144"/>
      <c r="G103" s="144"/>
      <c r="H103" s="116"/>
      <c r="I103" s="116"/>
      <c r="J103" s="116"/>
      <c r="K103" s="116"/>
      <c r="L103" s="116"/>
      <c r="M103" s="116"/>
      <c r="N103" s="116"/>
      <c r="O103" s="116"/>
      <c r="P103" s="116"/>
      <c r="Q103" s="116"/>
      <c r="R103" s="116"/>
      <c r="S103" s="116"/>
      <c r="T103" s="116"/>
      <c r="U103" s="116"/>
      <c r="V103" s="116"/>
      <c r="W103" s="116"/>
      <c r="X103" s="116"/>
      <c r="Y103" s="116"/>
      <c r="Z103" s="116"/>
      <c r="AA103" s="116"/>
      <c r="AB103" s="116"/>
      <c r="AC103" s="116"/>
      <c r="AD103" s="116"/>
      <c r="AE103" s="116"/>
      <c r="AF103" s="116"/>
      <c r="AG103" s="116"/>
      <c r="AH103" s="116"/>
      <c r="AI103" s="116"/>
      <c r="AJ103" s="116"/>
      <c r="AK103" s="116"/>
      <c r="AL103" s="116"/>
      <c r="AM103" s="116"/>
      <c r="AN103" s="116"/>
      <c r="AO103" s="116"/>
      <c r="AP103" s="116"/>
      <c r="AQ103" s="116"/>
      <c r="AR103" s="116"/>
      <c r="AS103" s="116"/>
      <c r="AT103" s="116"/>
      <c r="AU103" s="116"/>
      <c r="AV103" s="116"/>
      <c r="BC103" s="116"/>
      <c r="BD103" s="116"/>
      <c r="BE103" s="116"/>
      <c r="BF103" s="116"/>
      <c r="BG103" s="116"/>
    </row>
    <row r="104" spans="2:59" hidden="1">
      <c r="J104" s="116"/>
      <c r="K104" s="116"/>
      <c r="P104" s="116"/>
      <c r="Q104" s="116"/>
      <c r="R104" s="116"/>
      <c r="T104" s="116"/>
      <c r="AB104" s="116"/>
      <c r="AC104" s="116"/>
      <c r="AD104" s="116"/>
      <c r="AE104" s="116"/>
      <c r="AF104" s="116"/>
      <c r="AG104" s="116"/>
      <c r="AH104" s="116"/>
      <c r="AI104" s="116"/>
      <c r="AJ104" s="116"/>
      <c r="AK104" s="116"/>
      <c r="AL104" s="116"/>
      <c r="AM104" s="116"/>
      <c r="AN104" s="116"/>
      <c r="AO104" s="116"/>
      <c r="AP104" s="116"/>
      <c r="AQ104" s="116"/>
      <c r="AR104" s="116"/>
      <c r="AS104" s="116"/>
      <c r="AT104" s="116"/>
      <c r="AU104" s="116"/>
      <c r="AV104" s="116"/>
      <c r="BC104" s="116"/>
      <c r="BD104" s="116"/>
      <c r="BE104" s="116"/>
      <c r="BF104" s="116"/>
      <c r="BG104" s="116"/>
    </row>
    <row r="105" spans="2:59" hidden="1">
      <c r="J105" s="116"/>
      <c r="K105" s="116"/>
      <c r="P105" s="116"/>
      <c r="Q105" s="116"/>
      <c r="R105" s="116"/>
      <c r="T105" s="116"/>
      <c r="AB105" s="116"/>
    </row>
    <row r="106" spans="2:59" hidden="1">
      <c r="B106"/>
      <c r="C106"/>
      <c r="D106"/>
      <c r="E106"/>
      <c r="F106"/>
      <c r="G106"/>
      <c r="H106"/>
      <c r="J106" s="116"/>
      <c r="K106" s="116"/>
      <c r="P106" s="116"/>
      <c r="Q106" s="116"/>
      <c r="R106" s="116"/>
      <c r="T106" s="116"/>
    </row>
    <row r="107" spans="2:59" hidden="1">
      <c r="B107"/>
      <c r="C107"/>
      <c r="D107"/>
      <c r="E107"/>
      <c r="F107"/>
      <c r="G107"/>
      <c r="H107"/>
      <c r="Q107" s="116"/>
      <c r="R107" s="116"/>
      <c r="T107" s="116"/>
    </row>
    <row r="108" spans="2:59" hidden="1">
      <c r="B108"/>
      <c r="C108"/>
      <c r="D108"/>
      <c r="E108"/>
      <c r="F108"/>
      <c r="G108"/>
      <c r="H108"/>
      <c r="Q108" s="116"/>
      <c r="R108" s="116"/>
      <c r="T108" s="116"/>
    </row>
    <row r="109" spans="2:59" hidden="1">
      <c r="B109"/>
      <c r="C109"/>
      <c r="D109"/>
      <c r="E109"/>
      <c r="F109"/>
      <c r="G109"/>
      <c r="H109"/>
      <c r="Q109" s="116"/>
      <c r="R109" s="116"/>
      <c r="T109" s="116"/>
    </row>
    <row r="110" spans="2:59" hidden="1">
      <c r="B110"/>
      <c r="C110"/>
      <c r="D110"/>
      <c r="E110"/>
      <c r="F110"/>
      <c r="G110"/>
      <c r="H110"/>
      <c r="Q110" s="116"/>
      <c r="R110" s="116"/>
      <c r="T110" s="116"/>
    </row>
    <row r="111" spans="2:59" hidden="1">
      <c r="B111"/>
      <c r="C111"/>
      <c r="D111"/>
      <c r="E111"/>
      <c r="F111"/>
      <c r="G111"/>
      <c r="H111"/>
      <c r="Q111" s="116"/>
      <c r="R111" s="116"/>
      <c r="T111" s="116"/>
    </row>
    <row r="112" spans="2:59" hidden="1">
      <c r="B112"/>
      <c r="C112"/>
      <c r="D112"/>
      <c r="E112"/>
      <c r="F112"/>
      <c r="G112"/>
      <c r="H112"/>
      <c r="Q112" s="116"/>
      <c r="R112" s="116"/>
      <c r="T112" s="116"/>
    </row>
    <row r="113" spans="2:20" hidden="1">
      <c r="B113"/>
      <c r="C113"/>
      <c r="D113"/>
      <c r="E113"/>
      <c r="F113"/>
      <c r="G113"/>
      <c r="H113"/>
      <c r="Q113" s="116"/>
      <c r="R113" s="116"/>
      <c r="T113" s="116"/>
    </row>
    <row r="114" spans="2:20" hidden="1">
      <c r="B114"/>
      <c r="C114"/>
      <c r="D114"/>
      <c r="E114"/>
      <c r="F114"/>
      <c r="G114"/>
      <c r="H114"/>
      <c r="Q114" s="116"/>
      <c r="R114" s="116"/>
      <c r="T114" s="116"/>
    </row>
    <row r="115" spans="2:20" hidden="1">
      <c r="B115"/>
      <c r="C115"/>
      <c r="D115"/>
      <c r="E115"/>
      <c r="F115"/>
      <c r="G115"/>
      <c r="H115"/>
      <c r="Q115" s="116"/>
      <c r="R115" s="116"/>
      <c r="T115" s="116"/>
    </row>
    <row r="116" spans="2:20" hidden="1">
      <c r="B116"/>
      <c r="C116"/>
      <c r="D116"/>
      <c r="E116"/>
      <c r="F116"/>
      <c r="G116"/>
      <c r="H116"/>
      <c r="Q116" s="116"/>
      <c r="R116" s="116"/>
      <c r="T116" s="116"/>
    </row>
    <row r="117" spans="2:20" hidden="1">
      <c r="B117"/>
      <c r="C117"/>
      <c r="D117"/>
      <c r="E117"/>
      <c r="F117"/>
      <c r="G117"/>
      <c r="H117"/>
      <c r="Q117" s="116"/>
      <c r="R117" s="116"/>
      <c r="T117" s="116"/>
    </row>
    <row r="118" spans="2:20" hidden="1">
      <c r="B118"/>
      <c r="C118"/>
      <c r="D118"/>
      <c r="E118"/>
      <c r="F118"/>
      <c r="G118"/>
      <c r="H118"/>
      <c r="Q118" s="116"/>
      <c r="R118" s="116"/>
      <c r="T118" s="116"/>
    </row>
    <row r="119" spans="2:20" hidden="1">
      <c r="B119"/>
      <c r="C119"/>
      <c r="D119"/>
      <c r="E119"/>
      <c r="F119"/>
      <c r="G119"/>
      <c r="H119"/>
      <c r="Q119" s="116"/>
      <c r="R119" s="116"/>
      <c r="T119" s="116"/>
    </row>
    <row r="120" spans="2:20" hidden="1">
      <c r="B120"/>
      <c r="C120"/>
      <c r="D120"/>
      <c r="E120"/>
      <c r="F120"/>
      <c r="G120"/>
      <c r="H120"/>
      <c r="Q120" s="116"/>
      <c r="R120" s="116"/>
      <c r="T120" s="116"/>
    </row>
    <row r="121" spans="2:20" hidden="1">
      <c r="B121"/>
      <c r="C121"/>
      <c r="D121"/>
      <c r="E121"/>
      <c r="F121"/>
      <c r="G121"/>
      <c r="H121"/>
      <c r="Q121" s="116"/>
      <c r="R121" s="116"/>
      <c r="T121" s="116"/>
    </row>
    <row r="122" spans="2:20" hidden="1">
      <c r="B122"/>
      <c r="C122"/>
      <c r="D122"/>
      <c r="E122"/>
      <c r="F122"/>
      <c r="G122"/>
      <c r="H122"/>
      <c r="Q122" s="116"/>
      <c r="R122" s="116"/>
      <c r="T122" s="116"/>
    </row>
    <row r="123" spans="2:20" hidden="1">
      <c r="B123"/>
      <c r="C123"/>
      <c r="D123"/>
      <c r="E123"/>
      <c r="F123"/>
      <c r="G123"/>
      <c r="H123"/>
      <c r="Q123" s="116"/>
      <c r="R123" s="116"/>
      <c r="T123" s="116"/>
    </row>
    <row r="124" spans="2:20" hidden="1">
      <c r="B124"/>
      <c r="C124"/>
      <c r="D124"/>
      <c r="E124"/>
      <c r="F124"/>
      <c r="G124"/>
      <c r="H124"/>
      <c r="Q124" s="116"/>
      <c r="R124" s="116"/>
      <c r="T124" s="116"/>
    </row>
    <row r="125" spans="2:20" hidden="1">
      <c r="B125"/>
      <c r="C125"/>
      <c r="D125"/>
      <c r="E125"/>
      <c r="F125"/>
      <c r="G125"/>
      <c r="H125"/>
      <c r="P125" s="116"/>
      <c r="Q125" s="116"/>
      <c r="R125" s="116"/>
      <c r="T125" s="116"/>
    </row>
    <row r="126" spans="2:20" hidden="1">
      <c r="B126"/>
      <c r="C126"/>
      <c r="D126"/>
      <c r="E126"/>
      <c r="F126"/>
      <c r="G126"/>
      <c r="H126"/>
      <c r="P126" s="116"/>
      <c r="Q126" s="116"/>
      <c r="R126" s="116"/>
      <c r="T126" s="116"/>
    </row>
    <row r="127" spans="2:20" hidden="1">
      <c r="B127"/>
      <c r="C127"/>
      <c r="D127"/>
      <c r="E127"/>
      <c r="F127"/>
      <c r="G127"/>
      <c r="H127"/>
      <c r="P127" s="116"/>
      <c r="Q127" s="116"/>
      <c r="R127" s="116"/>
      <c r="T127" s="116"/>
    </row>
    <row r="128" spans="2:20" hidden="1">
      <c r="B128"/>
      <c r="C128"/>
      <c r="D128"/>
      <c r="E128"/>
      <c r="F128"/>
      <c r="G128"/>
      <c r="H128"/>
      <c r="P128" s="116"/>
      <c r="Q128" s="116"/>
      <c r="R128" s="116"/>
      <c r="T128" s="116"/>
    </row>
    <row r="129" spans="2:20" hidden="1">
      <c r="B129"/>
      <c r="C129"/>
      <c r="D129"/>
      <c r="E129"/>
      <c r="F129"/>
      <c r="G129"/>
      <c r="H129"/>
      <c r="P129" s="116"/>
      <c r="Q129" s="116"/>
      <c r="R129" s="116"/>
      <c r="T129" s="116"/>
    </row>
    <row r="130" spans="2:20" hidden="1">
      <c r="B130"/>
      <c r="C130"/>
      <c r="D130"/>
      <c r="E130"/>
      <c r="F130"/>
      <c r="G130"/>
      <c r="H130"/>
      <c r="P130" s="116"/>
      <c r="Q130" s="116"/>
      <c r="R130" s="116"/>
      <c r="T130" s="116"/>
    </row>
    <row r="131" spans="2:20" hidden="1">
      <c r="B131"/>
      <c r="C131"/>
      <c r="D131"/>
      <c r="E131"/>
      <c r="F131"/>
      <c r="G131"/>
      <c r="H131"/>
      <c r="P131" s="116"/>
      <c r="Q131" s="116"/>
      <c r="R131" s="116"/>
      <c r="T131" s="116"/>
    </row>
    <row r="132" spans="2:20" hidden="1">
      <c r="B132"/>
      <c r="C132"/>
      <c r="D132"/>
      <c r="E132"/>
      <c r="F132"/>
      <c r="G132"/>
      <c r="H132"/>
      <c r="P132" s="116"/>
      <c r="Q132" s="116"/>
      <c r="R132" s="116"/>
      <c r="T132" s="116"/>
    </row>
    <row r="133" spans="2:20" hidden="1">
      <c r="B133"/>
      <c r="C133"/>
      <c r="D133"/>
      <c r="E133"/>
      <c r="F133"/>
      <c r="G133"/>
      <c r="H133"/>
      <c r="P133" s="116"/>
      <c r="Q133" s="116"/>
      <c r="R133" s="116"/>
      <c r="T133" s="116"/>
    </row>
    <row r="134" spans="2:20" hidden="1">
      <c r="B134"/>
      <c r="C134"/>
      <c r="D134"/>
      <c r="E134"/>
      <c r="F134"/>
      <c r="G134"/>
      <c r="H134"/>
      <c r="P134" s="116"/>
      <c r="Q134" s="116"/>
      <c r="R134" s="116"/>
      <c r="T134" s="116"/>
    </row>
    <row r="135" spans="2:20" hidden="1">
      <c r="B135"/>
      <c r="C135"/>
      <c r="D135"/>
      <c r="E135"/>
      <c r="F135"/>
      <c r="G135"/>
      <c r="H135"/>
      <c r="P135" s="116"/>
      <c r="Q135" s="116"/>
      <c r="R135" s="116"/>
      <c r="T135" s="116"/>
    </row>
    <row r="136" spans="2:20" hidden="1">
      <c r="B136"/>
      <c r="C136"/>
      <c r="D136"/>
      <c r="E136"/>
      <c r="F136"/>
      <c r="G136"/>
      <c r="H136"/>
      <c r="P136" s="116"/>
      <c r="Q136" s="116"/>
      <c r="R136" s="116"/>
      <c r="T136" s="116"/>
    </row>
    <row r="137" spans="2:20" hidden="1">
      <c r="B137"/>
      <c r="C137"/>
      <c r="D137"/>
      <c r="E137"/>
      <c r="F137"/>
      <c r="G137"/>
      <c r="H137"/>
      <c r="P137" s="116"/>
      <c r="Q137" s="116"/>
      <c r="R137" s="116"/>
      <c r="T137" s="116"/>
    </row>
    <row r="138" spans="2:20" hidden="1">
      <c r="B138"/>
      <c r="C138"/>
      <c r="D138"/>
      <c r="E138"/>
      <c r="F138"/>
      <c r="G138"/>
      <c r="H138"/>
      <c r="P138" s="116"/>
      <c r="Q138" s="116"/>
      <c r="R138" s="116"/>
      <c r="T138" s="116"/>
    </row>
    <row r="139" spans="2:20" hidden="1">
      <c r="B139"/>
      <c r="C139"/>
      <c r="D139"/>
      <c r="E139"/>
      <c r="F139"/>
      <c r="G139"/>
      <c r="H139"/>
      <c r="P139" s="116"/>
      <c r="Q139" s="116"/>
      <c r="R139" s="116"/>
      <c r="T139" s="116"/>
    </row>
    <row r="140" spans="2:20" hidden="1">
      <c r="B140"/>
      <c r="C140"/>
      <c r="D140"/>
      <c r="E140"/>
      <c r="F140"/>
      <c r="G140"/>
      <c r="H140"/>
      <c r="P140" s="116"/>
      <c r="Q140" s="116"/>
      <c r="R140" s="116"/>
      <c r="T140" s="116"/>
    </row>
    <row r="141" spans="2:20" hidden="1">
      <c r="B141"/>
      <c r="C141"/>
      <c r="D141"/>
      <c r="E141"/>
      <c r="F141"/>
      <c r="G141"/>
      <c r="H141"/>
      <c r="P141" s="116"/>
      <c r="Q141" s="116"/>
      <c r="R141" s="116"/>
      <c r="T141" s="116"/>
    </row>
    <row r="142" spans="2:20" hidden="1">
      <c r="B142"/>
      <c r="C142"/>
      <c r="D142"/>
      <c r="E142"/>
      <c r="F142"/>
      <c r="G142"/>
      <c r="H142"/>
      <c r="P142" s="116"/>
      <c r="Q142" s="116"/>
      <c r="R142" s="116"/>
      <c r="T142" s="116"/>
    </row>
    <row r="143" spans="2:20" hidden="1">
      <c r="B143"/>
      <c r="C143"/>
      <c r="D143"/>
      <c r="E143"/>
      <c r="F143"/>
      <c r="G143"/>
      <c r="H143"/>
      <c r="P143" s="116"/>
      <c r="Q143" s="116"/>
      <c r="R143" s="116"/>
      <c r="T143" s="116"/>
    </row>
    <row r="144" spans="2:20" hidden="1">
      <c r="B144"/>
      <c r="C144"/>
      <c r="D144"/>
      <c r="E144"/>
      <c r="F144"/>
      <c r="G144"/>
      <c r="H144"/>
      <c r="P144" s="116"/>
      <c r="Q144" s="116"/>
      <c r="R144" s="116"/>
      <c r="T144" s="116"/>
    </row>
    <row r="145" spans="2:20" hidden="1">
      <c r="B145"/>
      <c r="C145"/>
      <c r="D145"/>
      <c r="E145"/>
      <c r="F145"/>
      <c r="G145"/>
      <c r="H145"/>
      <c r="P145" s="116"/>
      <c r="Q145" s="116"/>
      <c r="R145" s="116"/>
      <c r="T145" s="116"/>
    </row>
    <row r="146" spans="2:20" hidden="1">
      <c r="B146"/>
      <c r="C146"/>
      <c r="D146"/>
      <c r="E146"/>
      <c r="F146"/>
      <c r="G146"/>
      <c r="H146"/>
      <c r="P146" s="116"/>
      <c r="Q146" s="116"/>
      <c r="R146" s="116"/>
      <c r="T146" s="116"/>
    </row>
    <row r="147" spans="2:20" hidden="1">
      <c r="B147"/>
      <c r="C147"/>
      <c r="D147"/>
      <c r="E147"/>
      <c r="F147"/>
      <c r="G147"/>
      <c r="H147"/>
      <c r="P147" s="116"/>
      <c r="Q147" s="116"/>
      <c r="R147" s="116"/>
      <c r="T147" s="116"/>
    </row>
    <row r="148" spans="2:20" hidden="1">
      <c r="B148"/>
      <c r="C148"/>
      <c r="D148"/>
      <c r="E148"/>
      <c r="F148"/>
      <c r="G148"/>
      <c r="H148"/>
      <c r="P148" s="116"/>
      <c r="Q148" s="116"/>
      <c r="R148" s="116"/>
      <c r="T148" s="116"/>
    </row>
    <row r="149" spans="2:20" hidden="1">
      <c r="B149"/>
      <c r="C149"/>
      <c r="D149"/>
      <c r="E149"/>
      <c r="F149"/>
      <c r="G149"/>
      <c r="H149"/>
      <c r="P149" s="116"/>
      <c r="Q149" s="116"/>
      <c r="R149" s="116"/>
      <c r="T149" s="116"/>
    </row>
    <row r="150" spans="2:20" hidden="1">
      <c r="B150"/>
      <c r="C150"/>
      <c r="D150"/>
      <c r="E150"/>
      <c r="F150"/>
      <c r="G150"/>
      <c r="H150"/>
      <c r="P150" s="116"/>
      <c r="Q150" s="116"/>
      <c r="R150" s="116"/>
      <c r="T150" s="116"/>
    </row>
    <row r="151" spans="2:20" hidden="1">
      <c r="B151"/>
      <c r="C151"/>
      <c r="D151"/>
      <c r="E151"/>
      <c r="F151"/>
      <c r="G151"/>
      <c r="H151"/>
      <c r="P151" s="116"/>
      <c r="Q151" s="116"/>
      <c r="R151" s="116"/>
      <c r="T151" s="116"/>
    </row>
    <row r="152" spans="2:20" hidden="1">
      <c r="B152"/>
      <c r="C152"/>
      <c r="D152"/>
      <c r="E152"/>
      <c r="F152"/>
      <c r="G152"/>
      <c r="H152"/>
      <c r="P152" s="116"/>
      <c r="Q152" s="116"/>
      <c r="R152" s="116"/>
      <c r="T152" s="116"/>
    </row>
    <row r="153" spans="2:20" hidden="1">
      <c r="B153"/>
      <c r="C153"/>
      <c r="D153"/>
      <c r="E153"/>
      <c r="F153"/>
      <c r="G153"/>
      <c r="H153"/>
      <c r="P153" s="116"/>
      <c r="Q153" s="116"/>
      <c r="R153" s="116"/>
      <c r="T153" s="116"/>
    </row>
    <row r="154" spans="2:20" hidden="1">
      <c r="B154"/>
      <c r="C154"/>
      <c r="D154"/>
      <c r="E154"/>
      <c r="F154"/>
      <c r="G154"/>
      <c r="H154"/>
      <c r="P154" s="116"/>
      <c r="Q154" s="116"/>
      <c r="R154" s="116"/>
      <c r="T154" s="116"/>
    </row>
    <row r="155" spans="2:20" hidden="1">
      <c r="B155"/>
      <c r="C155"/>
      <c r="D155"/>
      <c r="E155"/>
      <c r="F155"/>
      <c r="G155"/>
      <c r="H155"/>
      <c r="P155" s="116"/>
      <c r="Q155" s="116"/>
      <c r="R155" s="116"/>
      <c r="T155" s="116"/>
    </row>
    <row r="156" spans="2:20" hidden="1">
      <c r="B156"/>
      <c r="C156"/>
      <c r="D156"/>
      <c r="E156"/>
      <c r="F156"/>
      <c r="G156"/>
      <c r="H156"/>
      <c r="P156" s="116"/>
      <c r="Q156" s="116"/>
      <c r="R156" s="116"/>
      <c r="T156" s="116"/>
    </row>
    <row r="157" spans="2:20" hidden="1">
      <c r="B157"/>
      <c r="C157"/>
      <c r="D157"/>
      <c r="E157"/>
      <c r="F157"/>
      <c r="G157"/>
      <c r="H157"/>
      <c r="P157" s="116"/>
      <c r="Q157" s="116"/>
      <c r="R157" s="116"/>
      <c r="T157" s="116"/>
    </row>
    <row r="158" spans="2:20" hidden="1">
      <c r="B158"/>
      <c r="C158"/>
      <c r="D158"/>
      <c r="E158"/>
      <c r="F158"/>
      <c r="G158"/>
      <c r="H158"/>
      <c r="P158" s="116"/>
      <c r="Q158" s="116"/>
      <c r="R158" s="116"/>
      <c r="T158" s="116"/>
    </row>
    <row r="159" spans="2:20" hidden="1">
      <c r="B159"/>
      <c r="C159"/>
      <c r="D159"/>
      <c r="E159"/>
      <c r="F159"/>
      <c r="G159"/>
      <c r="H159"/>
      <c r="P159" s="116"/>
      <c r="Q159" s="116"/>
      <c r="R159" s="116"/>
      <c r="T159" s="116"/>
    </row>
    <row r="160" spans="2:20" hidden="1">
      <c r="B160"/>
      <c r="C160"/>
      <c r="D160"/>
      <c r="E160"/>
      <c r="F160"/>
      <c r="G160"/>
      <c r="H160"/>
      <c r="P160" s="116"/>
      <c r="Q160" s="116"/>
      <c r="R160" s="116"/>
      <c r="T160" s="116"/>
    </row>
    <row r="161" spans="2:20" hidden="1">
      <c r="B161"/>
      <c r="C161"/>
      <c r="D161"/>
      <c r="E161"/>
      <c r="F161"/>
      <c r="G161"/>
      <c r="H161"/>
      <c r="P161" s="116"/>
      <c r="Q161" s="116"/>
      <c r="R161" s="116"/>
      <c r="T161" s="116"/>
    </row>
    <row r="162" spans="2:20" hidden="1">
      <c r="B162"/>
      <c r="C162"/>
      <c r="D162"/>
      <c r="E162"/>
      <c r="F162"/>
      <c r="G162"/>
      <c r="H162"/>
      <c r="P162" s="116"/>
      <c r="Q162" s="116"/>
      <c r="R162" s="116"/>
      <c r="T162" s="116"/>
    </row>
    <row r="163" spans="2:20" hidden="1">
      <c r="B163"/>
      <c r="C163"/>
      <c r="D163"/>
      <c r="E163"/>
      <c r="F163"/>
      <c r="G163"/>
      <c r="H163"/>
      <c r="P163" s="116"/>
      <c r="Q163" s="116"/>
      <c r="R163" s="116"/>
      <c r="T163" s="116"/>
    </row>
    <row r="164" spans="2:20" hidden="1">
      <c r="B164"/>
      <c r="C164"/>
      <c r="D164"/>
      <c r="E164"/>
      <c r="F164"/>
      <c r="G164"/>
      <c r="H164"/>
      <c r="P164" s="116"/>
      <c r="Q164" s="116"/>
      <c r="R164" s="116"/>
      <c r="T164" s="116"/>
    </row>
    <row r="165" spans="2:20" hidden="1">
      <c r="B165"/>
      <c r="C165"/>
      <c r="D165"/>
      <c r="E165"/>
      <c r="F165"/>
      <c r="G165"/>
      <c r="H165"/>
      <c r="P165" s="116"/>
      <c r="Q165" s="116"/>
      <c r="R165" s="116"/>
      <c r="T165" s="116"/>
    </row>
    <row r="166" spans="2:20" hidden="1">
      <c r="B166"/>
      <c r="C166"/>
      <c r="D166"/>
      <c r="E166"/>
      <c r="F166"/>
      <c r="G166"/>
      <c r="H166"/>
      <c r="P166" s="116"/>
      <c r="Q166" s="116"/>
      <c r="R166" s="116"/>
      <c r="T166" s="116"/>
    </row>
    <row r="167" spans="2:20" hidden="1">
      <c r="B167"/>
      <c r="C167"/>
      <c r="D167"/>
      <c r="E167"/>
      <c r="F167"/>
      <c r="G167"/>
      <c r="H167"/>
      <c r="P167" s="116"/>
      <c r="Q167" s="116"/>
      <c r="R167" s="116"/>
      <c r="T167" s="116"/>
    </row>
    <row r="168" spans="2:20" hidden="1">
      <c r="B168"/>
      <c r="C168"/>
      <c r="D168"/>
      <c r="E168"/>
      <c r="F168"/>
      <c r="G168"/>
      <c r="H168"/>
      <c r="P168" s="116"/>
      <c r="Q168" s="116"/>
      <c r="R168" s="116"/>
      <c r="T168" s="116"/>
    </row>
    <row r="169" spans="2:20" hidden="1">
      <c r="B169"/>
      <c r="C169"/>
      <c r="D169"/>
      <c r="E169"/>
      <c r="F169"/>
      <c r="G169"/>
      <c r="H169"/>
      <c r="P169" s="116"/>
      <c r="Q169" s="116"/>
      <c r="R169" s="116"/>
      <c r="T169" s="116"/>
    </row>
    <row r="170" spans="2:20" hidden="1">
      <c r="B170"/>
      <c r="C170"/>
      <c r="D170"/>
      <c r="E170"/>
      <c r="F170"/>
      <c r="G170"/>
      <c r="H170"/>
      <c r="P170" s="116"/>
      <c r="Q170" s="116"/>
      <c r="R170" s="116"/>
      <c r="T170" s="116"/>
    </row>
    <row r="171" spans="2:20" hidden="1">
      <c r="B171"/>
      <c r="C171"/>
      <c r="D171"/>
      <c r="E171"/>
      <c r="F171"/>
      <c r="G171"/>
      <c r="H171"/>
      <c r="P171" s="116"/>
      <c r="Q171" s="116"/>
      <c r="R171" s="116"/>
      <c r="T171" s="116"/>
    </row>
    <row r="172" spans="2:20" hidden="1">
      <c r="B172"/>
      <c r="C172"/>
      <c r="D172"/>
      <c r="E172"/>
      <c r="F172"/>
      <c r="G172"/>
      <c r="H172"/>
      <c r="P172" s="116"/>
      <c r="Q172" s="116"/>
      <c r="R172" s="116"/>
      <c r="T172" s="116"/>
    </row>
    <row r="173" spans="2:20" hidden="1">
      <c r="B173"/>
      <c r="C173"/>
      <c r="D173"/>
      <c r="E173"/>
      <c r="F173"/>
      <c r="G173"/>
      <c r="H173"/>
      <c r="P173" s="116"/>
      <c r="Q173" s="116"/>
      <c r="R173" s="116"/>
      <c r="T173" s="116"/>
    </row>
    <row r="174" spans="2:20" hidden="1">
      <c r="B174"/>
      <c r="C174"/>
      <c r="D174"/>
      <c r="E174"/>
      <c r="F174"/>
      <c r="G174"/>
      <c r="H174"/>
      <c r="P174" s="116"/>
      <c r="Q174" s="116"/>
      <c r="R174" s="116"/>
      <c r="T174" s="116"/>
    </row>
    <row r="175" spans="2:20" hidden="1">
      <c r="B175"/>
      <c r="C175"/>
      <c r="D175"/>
      <c r="E175"/>
      <c r="F175"/>
      <c r="G175"/>
      <c r="H175"/>
      <c r="P175" s="116"/>
      <c r="Q175" s="116"/>
      <c r="R175" s="116"/>
      <c r="T175" s="116"/>
    </row>
    <row r="176" spans="2:20" hidden="1">
      <c r="B176"/>
      <c r="C176"/>
      <c r="D176"/>
      <c r="E176"/>
      <c r="F176"/>
      <c r="G176"/>
      <c r="H176"/>
      <c r="P176" s="116"/>
      <c r="Q176" s="116"/>
      <c r="R176" s="116"/>
      <c r="T176" s="116"/>
    </row>
    <row r="177" spans="2:20" hidden="1">
      <c r="B177"/>
      <c r="C177"/>
      <c r="D177"/>
      <c r="E177"/>
      <c r="F177"/>
      <c r="G177"/>
      <c r="H177"/>
      <c r="P177" s="116"/>
      <c r="Q177" s="116"/>
      <c r="R177" s="116"/>
      <c r="T177" s="116"/>
    </row>
    <row r="178" spans="2:20" hidden="1">
      <c r="B178"/>
      <c r="C178"/>
      <c r="D178"/>
      <c r="E178"/>
      <c r="F178"/>
      <c r="G178"/>
      <c r="H178"/>
      <c r="P178" s="116"/>
      <c r="Q178" s="116"/>
      <c r="R178" s="116"/>
      <c r="T178" s="116"/>
    </row>
    <row r="179" spans="2:20" hidden="1">
      <c r="B179"/>
      <c r="C179"/>
      <c r="D179"/>
      <c r="E179"/>
      <c r="F179"/>
      <c r="G179"/>
      <c r="H179"/>
      <c r="P179" s="116"/>
      <c r="Q179" s="116"/>
      <c r="R179" s="116"/>
      <c r="T179" s="116"/>
    </row>
    <row r="180" spans="2:20" hidden="1">
      <c r="B180"/>
      <c r="C180"/>
      <c r="D180"/>
      <c r="E180"/>
      <c r="F180"/>
      <c r="G180"/>
      <c r="H180"/>
      <c r="P180" s="116"/>
      <c r="Q180" s="116"/>
      <c r="R180" s="116"/>
      <c r="T180" s="116"/>
    </row>
    <row r="181" spans="2:20" hidden="1">
      <c r="B181"/>
      <c r="C181"/>
      <c r="D181"/>
      <c r="E181"/>
      <c r="F181"/>
      <c r="G181"/>
      <c r="H181"/>
      <c r="P181" s="116"/>
      <c r="Q181" s="116"/>
      <c r="R181" s="116"/>
      <c r="T181" s="116"/>
    </row>
    <row r="182" spans="2:20" hidden="1">
      <c r="B182"/>
      <c r="C182"/>
      <c r="D182"/>
      <c r="E182"/>
      <c r="F182"/>
      <c r="G182"/>
      <c r="H182"/>
      <c r="P182" s="116"/>
      <c r="Q182" s="116"/>
      <c r="R182" s="116"/>
      <c r="T182" s="116"/>
    </row>
    <row r="183" spans="2:20" hidden="1">
      <c r="B183"/>
      <c r="C183"/>
      <c r="D183"/>
      <c r="E183"/>
      <c r="F183"/>
      <c r="G183"/>
      <c r="H183"/>
      <c r="P183" s="116"/>
      <c r="Q183" s="116"/>
      <c r="R183" s="116"/>
      <c r="T183" s="116"/>
    </row>
    <row r="184" spans="2:20" hidden="1">
      <c r="B184"/>
      <c r="C184"/>
      <c r="D184"/>
      <c r="E184"/>
      <c r="F184"/>
      <c r="G184"/>
      <c r="H184"/>
      <c r="P184" s="116"/>
      <c r="Q184" s="116"/>
      <c r="R184" s="116"/>
      <c r="T184" s="116"/>
    </row>
    <row r="185" spans="2:20" hidden="1">
      <c r="B185"/>
      <c r="C185"/>
      <c r="D185"/>
      <c r="E185"/>
      <c r="F185"/>
      <c r="G185"/>
      <c r="H185"/>
      <c r="P185" s="116"/>
      <c r="Q185" s="116"/>
      <c r="R185" s="116"/>
      <c r="T185" s="116"/>
    </row>
    <row r="186" spans="2:20" hidden="1">
      <c r="B186"/>
      <c r="C186"/>
      <c r="D186"/>
      <c r="E186"/>
      <c r="F186"/>
      <c r="G186"/>
      <c r="H186"/>
      <c r="P186" s="116"/>
      <c r="Q186" s="116"/>
      <c r="R186" s="116"/>
      <c r="T186" s="116"/>
    </row>
    <row r="187" spans="2:20" hidden="1">
      <c r="B187"/>
      <c r="C187"/>
      <c r="D187"/>
      <c r="E187"/>
      <c r="F187"/>
      <c r="G187"/>
      <c r="H187"/>
      <c r="P187" s="116"/>
      <c r="Q187" s="116"/>
      <c r="R187" s="116"/>
      <c r="T187" s="116"/>
    </row>
    <row r="188" spans="2:20" hidden="1">
      <c r="B188"/>
      <c r="C188"/>
      <c r="D188"/>
      <c r="E188"/>
      <c r="F188"/>
      <c r="G188"/>
      <c r="H188"/>
      <c r="P188" s="116"/>
      <c r="Q188" s="116"/>
      <c r="R188" s="116"/>
      <c r="T188" s="116"/>
    </row>
    <row r="189" spans="2:20" hidden="1">
      <c r="B189"/>
      <c r="C189"/>
      <c r="D189"/>
      <c r="E189"/>
      <c r="F189"/>
      <c r="G189"/>
      <c r="H189"/>
      <c r="P189" s="116"/>
      <c r="Q189" s="116"/>
      <c r="R189" s="116"/>
      <c r="T189" s="116"/>
    </row>
    <row r="190" spans="2:20" hidden="1">
      <c r="B190"/>
      <c r="C190"/>
      <c r="D190"/>
      <c r="E190"/>
      <c r="F190"/>
      <c r="G190"/>
      <c r="H190"/>
      <c r="P190" s="116"/>
      <c r="Q190" s="116"/>
      <c r="R190" s="116"/>
      <c r="T190" s="116"/>
    </row>
    <row r="191" spans="2:20" hidden="1">
      <c r="B191"/>
      <c r="C191"/>
      <c r="D191"/>
      <c r="E191"/>
      <c r="F191"/>
      <c r="G191"/>
      <c r="H191"/>
      <c r="P191" s="116"/>
      <c r="Q191" s="116"/>
      <c r="R191" s="116"/>
      <c r="T191" s="116"/>
    </row>
    <row r="192" spans="2:20" hidden="1">
      <c r="B192"/>
      <c r="C192"/>
      <c r="D192"/>
      <c r="E192"/>
      <c r="F192"/>
      <c r="G192"/>
      <c r="H192"/>
      <c r="P192" s="116"/>
      <c r="Q192" s="116"/>
      <c r="R192" s="116"/>
      <c r="T192" s="116"/>
    </row>
    <row r="193" spans="2:20" hidden="1">
      <c r="B193"/>
      <c r="C193"/>
      <c r="D193"/>
      <c r="E193"/>
      <c r="F193"/>
      <c r="G193"/>
      <c r="H193"/>
      <c r="P193" s="116"/>
      <c r="Q193" s="116"/>
      <c r="R193" s="116"/>
      <c r="T193" s="116"/>
    </row>
    <row r="194" spans="2:20" hidden="1">
      <c r="B194"/>
      <c r="C194"/>
      <c r="D194"/>
      <c r="E194"/>
      <c r="F194"/>
      <c r="G194"/>
      <c r="H194"/>
      <c r="P194" s="116"/>
      <c r="Q194" s="116"/>
      <c r="R194" s="116"/>
      <c r="T194" s="116"/>
    </row>
    <row r="195" spans="2:20" hidden="1">
      <c r="B195"/>
      <c r="C195"/>
      <c r="D195"/>
      <c r="E195"/>
      <c r="F195"/>
      <c r="G195"/>
      <c r="H195"/>
      <c r="P195" s="116"/>
      <c r="Q195" s="116"/>
      <c r="R195" s="116"/>
      <c r="T195" s="116"/>
    </row>
    <row r="196" spans="2:20" hidden="1">
      <c r="B196"/>
      <c r="C196"/>
      <c r="D196"/>
      <c r="E196"/>
      <c r="F196"/>
      <c r="G196"/>
      <c r="H196"/>
      <c r="P196" s="116"/>
      <c r="Q196" s="116"/>
      <c r="R196" s="116"/>
      <c r="T196" s="116"/>
    </row>
    <row r="197" spans="2:20" hidden="1">
      <c r="B197"/>
      <c r="C197"/>
      <c r="D197"/>
      <c r="E197"/>
      <c r="F197"/>
      <c r="G197"/>
      <c r="H197"/>
      <c r="P197" s="116"/>
      <c r="Q197" s="116"/>
      <c r="R197" s="116"/>
      <c r="T197" s="116"/>
    </row>
    <row r="198" spans="2:20" hidden="1">
      <c r="B198"/>
      <c r="C198"/>
      <c r="D198"/>
      <c r="E198"/>
      <c r="F198"/>
      <c r="G198"/>
      <c r="H198"/>
      <c r="P198" s="116"/>
      <c r="Q198" s="116"/>
      <c r="R198" s="116"/>
      <c r="T198" s="116"/>
    </row>
    <row r="199" spans="2:20" hidden="1">
      <c r="B199"/>
      <c r="C199"/>
      <c r="D199"/>
      <c r="E199"/>
      <c r="F199"/>
      <c r="G199"/>
      <c r="H199"/>
      <c r="P199" s="116"/>
      <c r="Q199" s="116"/>
      <c r="R199" s="116"/>
      <c r="T199" s="116"/>
    </row>
    <row r="200" spans="2:20" hidden="1">
      <c r="B200"/>
      <c r="C200"/>
      <c r="D200"/>
      <c r="E200"/>
      <c r="F200"/>
      <c r="G200"/>
      <c r="H200"/>
      <c r="P200" s="116"/>
      <c r="Q200" s="116"/>
      <c r="R200" s="116"/>
      <c r="T200" s="116"/>
    </row>
    <row r="201" spans="2:20" hidden="1">
      <c r="B201"/>
      <c r="C201"/>
      <c r="D201"/>
      <c r="E201"/>
      <c r="F201"/>
      <c r="G201"/>
      <c r="H201"/>
      <c r="P201" s="116"/>
      <c r="Q201" s="116"/>
      <c r="R201" s="116"/>
      <c r="T201" s="116"/>
    </row>
    <row r="202" spans="2:20" hidden="1">
      <c r="B202"/>
      <c r="C202"/>
      <c r="D202"/>
      <c r="E202"/>
      <c r="F202"/>
      <c r="G202"/>
      <c r="H202"/>
      <c r="P202" s="116"/>
      <c r="Q202" s="116"/>
      <c r="R202" s="116"/>
      <c r="T202" s="116"/>
    </row>
    <row r="203" spans="2:20" hidden="1">
      <c r="B203"/>
      <c r="C203"/>
      <c r="D203"/>
      <c r="E203"/>
      <c r="F203"/>
      <c r="G203"/>
      <c r="H203"/>
      <c r="P203" s="116"/>
      <c r="Q203" s="116"/>
      <c r="R203" s="116"/>
      <c r="T203" s="116"/>
    </row>
    <row r="204" spans="2:20" hidden="1">
      <c r="B204"/>
      <c r="C204"/>
      <c r="D204"/>
      <c r="E204"/>
      <c r="F204"/>
      <c r="G204"/>
      <c r="H204"/>
      <c r="P204" s="116"/>
      <c r="Q204" s="116"/>
      <c r="R204" s="116"/>
      <c r="T204" s="116"/>
    </row>
    <row r="205" spans="2:20" hidden="1">
      <c r="B205"/>
      <c r="C205"/>
      <c r="D205"/>
      <c r="E205"/>
      <c r="F205"/>
      <c r="G205"/>
      <c r="H205"/>
      <c r="P205" s="116"/>
      <c r="Q205" s="116"/>
      <c r="R205" s="116"/>
      <c r="T205" s="116"/>
    </row>
    <row r="206" spans="2:20" hidden="1">
      <c r="B206"/>
      <c r="C206"/>
      <c r="D206"/>
      <c r="E206"/>
      <c r="F206"/>
      <c r="G206"/>
      <c r="H206"/>
      <c r="P206" s="116"/>
      <c r="Q206" s="116"/>
      <c r="R206" s="116"/>
      <c r="T206" s="116"/>
    </row>
    <row r="207" spans="2:20" hidden="1">
      <c r="B207"/>
      <c r="C207"/>
      <c r="D207"/>
      <c r="E207"/>
      <c r="F207"/>
      <c r="G207"/>
      <c r="H207"/>
      <c r="P207" s="116"/>
      <c r="Q207" s="116"/>
      <c r="R207" s="116"/>
      <c r="T207" s="116"/>
    </row>
    <row r="208" spans="2:20" hidden="1">
      <c r="P208" s="116"/>
      <c r="Q208" s="116"/>
      <c r="R208" s="116"/>
      <c r="T208" s="116"/>
    </row>
    <row r="209" spans="16:20" hidden="1">
      <c r="P209" s="116"/>
      <c r="Q209" s="116"/>
      <c r="R209" s="116"/>
      <c r="T209" s="116"/>
    </row>
    <row r="210" spans="16:20" hidden="1">
      <c r="P210" s="116"/>
      <c r="Q210" s="116"/>
      <c r="R210" s="116"/>
      <c r="T210" s="116"/>
    </row>
    <row r="211" spans="16:20" hidden="1">
      <c r="P211" s="116"/>
      <c r="Q211" s="116"/>
      <c r="R211" s="116"/>
      <c r="T211" s="116"/>
    </row>
    <row r="212" spans="16:20" hidden="1">
      <c r="P212" s="116"/>
      <c r="Q212" s="116"/>
      <c r="R212" s="116"/>
      <c r="T212" s="116"/>
    </row>
    <row r="213" spans="16:20" hidden="1">
      <c r="P213" s="116"/>
      <c r="Q213" s="116"/>
      <c r="R213" s="116"/>
      <c r="T213" s="116"/>
    </row>
    <row r="214" spans="16:20" hidden="1">
      <c r="P214" s="116"/>
      <c r="Q214" s="116"/>
      <c r="R214" s="116"/>
      <c r="T214" s="116"/>
    </row>
    <row r="215" spans="16:20" hidden="1">
      <c r="P215" s="116"/>
      <c r="Q215" s="116"/>
      <c r="R215" s="116"/>
      <c r="T215" s="116"/>
    </row>
    <row r="216" spans="16:20" hidden="1">
      <c r="P216" s="116"/>
      <c r="Q216" s="116"/>
      <c r="R216" s="116"/>
      <c r="T216" s="116"/>
    </row>
    <row r="217" spans="16:20" hidden="1">
      <c r="P217" s="116"/>
      <c r="Q217" s="116"/>
      <c r="R217" s="116"/>
      <c r="T217" s="116"/>
    </row>
    <row r="218" spans="16:20" hidden="1">
      <c r="P218" s="116"/>
      <c r="Q218" s="116"/>
      <c r="R218" s="116"/>
      <c r="T218" s="116"/>
    </row>
    <row r="219" spans="16:20" hidden="1">
      <c r="P219" s="116"/>
      <c r="Q219" s="116"/>
      <c r="R219" s="116"/>
      <c r="T219" s="116"/>
    </row>
    <row r="220" spans="16:20" hidden="1">
      <c r="P220" s="116"/>
      <c r="Q220" s="116"/>
      <c r="R220" s="116"/>
      <c r="T220" s="116"/>
    </row>
    <row r="221" spans="16:20" hidden="1">
      <c r="P221" s="116"/>
      <c r="Q221" s="116"/>
      <c r="R221" s="116"/>
      <c r="T221" s="116"/>
    </row>
    <row r="222" spans="16:20" hidden="1">
      <c r="P222" s="116"/>
      <c r="Q222" s="116"/>
      <c r="R222" s="116"/>
      <c r="T222" s="116"/>
    </row>
    <row r="223" spans="16:20" hidden="1">
      <c r="P223" s="116"/>
      <c r="Q223" s="116"/>
      <c r="R223" s="116"/>
      <c r="T223" s="116"/>
    </row>
    <row r="224" spans="16:20" hidden="1">
      <c r="P224" s="116"/>
      <c r="Q224" s="116"/>
      <c r="R224" s="116"/>
      <c r="T224" s="116"/>
    </row>
    <row r="225" spans="16:20" hidden="1">
      <c r="P225" s="116"/>
      <c r="Q225" s="116"/>
      <c r="R225" s="116"/>
      <c r="T225" s="116"/>
    </row>
    <row r="226" spans="16:20" hidden="1">
      <c r="P226" s="116"/>
      <c r="Q226" s="116"/>
      <c r="R226" s="116"/>
      <c r="T226" s="116"/>
    </row>
    <row r="227" spans="16:20" hidden="1">
      <c r="P227" s="116"/>
      <c r="Q227" s="116"/>
      <c r="R227" s="116"/>
      <c r="T227" s="116"/>
    </row>
    <row r="228" spans="16:20" hidden="1">
      <c r="P228" s="116"/>
      <c r="Q228" s="116"/>
      <c r="R228" s="116"/>
      <c r="T228" s="116"/>
    </row>
    <row r="229" spans="16:20" hidden="1">
      <c r="P229" s="116"/>
      <c r="Q229" s="116"/>
      <c r="R229" s="116"/>
      <c r="T229" s="116"/>
    </row>
    <row r="230" spans="16:20" hidden="1">
      <c r="P230" s="116"/>
      <c r="Q230" s="116"/>
      <c r="R230" s="116"/>
      <c r="T230" s="116"/>
    </row>
    <row r="231" spans="16:20" hidden="1">
      <c r="P231" s="116"/>
      <c r="Q231" s="116"/>
      <c r="R231" s="116"/>
      <c r="T231" s="116"/>
    </row>
    <row r="232" spans="16:20" hidden="1">
      <c r="P232" s="116"/>
      <c r="Q232" s="116"/>
      <c r="R232" s="116"/>
      <c r="T232" s="116"/>
    </row>
    <row r="233" spans="16:20" hidden="1">
      <c r="P233" s="116"/>
      <c r="Q233" s="116"/>
      <c r="R233" s="116"/>
      <c r="T233" s="116"/>
    </row>
    <row r="234" spans="16:20" hidden="1">
      <c r="P234" s="116"/>
      <c r="Q234" s="116"/>
      <c r="R234" s="116"/>
      <c r="T234" s="116"/>
    </row>
    <row r="235" spans="16:20" hidden="1">
      <c r="P235" s="116"/>
      <c r="Q235" s="116"/>
      <c r="R235" s="116"/>
      <c r="T235" s="116"/>
    </row>
    <row r="236" spans="16:20" hidden="1">
      <c r="P236" s="116"/>
      <c r="Q236" s="116"/>
      <c r="R236" s="116"/>
      <c r="T236" s="116"/>
    </row>
    <row r="237" spans="16:20" hidden="1">
      <c r="P237" s="116"/>
      <c r="Q237" s="116"/>
      <c r="R237" s="116"/>
      <c r="T237" s="116"/>
    </row>
    <row r="238" spans="16:20" hidden="1">
      <c r="P238" s="116"/>
      <c r="Q238" s="116"/>
      <c r="R238" s="116"/>
      <c r="T238" s="116"/>
    </row>
    <row r="239" spans="16:20" hidden="1">
      <c r="P239" s="116"/>
      <c r="Q239" s="116"/>
      <c r="R239" s="116"/>
      <c r="T239" s="116"/>
    </row>
    <row r="240" spans="16:20" hidden="1">
      <c r="P240" s="116"/>
      <c r="Q240" s="116"/>
      <c r="R240" s="116"/>
      <c r="T240" s="116"/>
    </row>
    <row r="241" spans="16:20" hidden="1">
      <c r="P241" s="116"/>
      <c r="Q241" s="116"/>
      <c r="R241" s="116"/>
      <c r="T241" s="116"/>
    </row>
    <row r="242" spans="16:20" hidden="1">
      <c r="P242" s="116"/>
      <c r="Q242" s="116"/>
      <c r="R242" s="116"/>
      <c r="T242" s="116"/>
    </row>
    <row r="243" spans="16:20" hidden="1">
      <c r="P243" s="116"/>
      <c r="Q243" s="116"/>
      <c r="R243" s="116"/>
      <c r="T243" s="116"/>
    </row>
    <row r="244" spans="16:20" hidden="1">
      <c r="P244" s="116"/>
      <c r="Q244" s="116"/>
      <c r="R244" s="116"/>
      <c r="T244" s="116"/>
    </row>
    <row r="245" spans="16:20" hidden="1">
      <c r="P245" s="116"/>
      <c r="Q245" s="116"/>
      <c r="R245" s="116"/>
      <c r="T245" s="116"/>
    </row>
    <row r="246" spans="16:20" hidden="1">
      <c r="P246" s="116"/>
      <c r="Q246" s="116"/>
      <c r="R246" s="116"/>
      <c r="T246" s="116"/>
    </row>
    <row r="247" spans="16:20" hidden="1">
      <c r="P247" s="116"/>
      <c r="Q247" s="116"/>
      <c r="R247" s="116"/>
      <c r="T247" s="116"/>
    </row>
    <row r="248" spans="16:20" hidden="1">
      <c r="P248" s="116"/>
      <c r="Q248" s="116"/>
      <c r="R248" s="116"/>
      <c r="T248" s="116"/>
    </row>
    <row r="249" spans="16:20" hidden="1">
      <c r="P249" s="116"/>
      <c r="Q249" s="116"/>
      <c r="R249" s="116"/>
      <c r="T249" s="116"/>
    </row>
    <row r="250" spans="16:20" hidden="1">
      <c r="P250" s="116"/>
      <c r="Q250" s="116"/>
      <c r="R250" s="116"/>
      <c r="T250" s="116"/>
    </row>
    <row r="251" spans="16:20" hidden="1">
      <c r="P251" s="116"/>
      <c r="Q251" s="116"/>
      <c r="R251" s="116"/>
      <c r="T251" s="116"/>
    </row>
    <row r="252" spans="16:20" hidden="1">
      <c r="P252" s="116"/>
      <c r="Q252" s="116"/>
      <c r="R252" s="116"/>
      <c r="T252" s="116"/>
    </row>
    <row r="253" spans="16:20" hidden="1">
      <c r="P253" s="116"/>
      <c r="Q253" s="116"/>
      <c r="R253" s="116"/>
      <c r="T253" s="116"/>
    </row>
    <row r="254" spans="16:20" hidden="1">
      <c r="P254" s="116"/>
      <c r="Q254" s="116"/>
      <c r="R254" s="116"/>
      <c r="T254" s="116"/>
    </row>
    <row r="255" spans="16:20" hidden="1">
      <c r="P255" s="116"/>
      <c r="Q255" s="116"/>
      <c r="R255" s="116"/>
      <c r="T255" s="116"/>
    </row>
    <row r="256" spans="16:20" hidden="1">
      <c r="P256" s="116"/>
      <c r="Q256" s="116"/>
      <c r="R256" s="116"/>
      <c r="T256" s="116"/>
    </row>
    <row r="257" spans="16:20" hidden="1">
      <c r="P257" s="116"/>
      <c r="Q257" s="116"/>
      <c r="R257" s="116"/>
      <c r="T257" s="116"/>
    </row>
    <row r="258" spans="16:20" hidden="1">
      <c r="P258" s="116"/>
      <c r="Q258" s="116"/>
      <c r="R258" s="116"/>
      <c r="T258" s="116"/>
    </row>
    <row r="259" spans="16:20" hidden="1">
      <c r="P259" s="116"/>
      <c r="Q259" s="116"/>
      <c r="R259" s="116"/>
      <c r="T259" s="116"/>
    </row>
    <row r="260" spans="16:20" hidden="1">
      <c r="P260" s="116"/>
      <c r="Q260" s="116"/>
      <c r="R260" s="116"/>
      <c r="T260" s="116"/>
    </row>
    <row r="261" spans="16:20" hidden="1">
      <c r="P261" s="116"/>
      <c r="Q261" s="116"/>
      <c r="R261" s="116"/>
      <c r="T261" s="116"/>
    </row>
    <row r="262" spans="16:20" hidden="1">
      <c r="P262" s="116"/>
      <c r="Q262" s="116"/>
      <c r="R262" s="116"/>
      <c r="T262" s="116"/>
    </row>
    <row r="263" spans="16:20" hidden="1">
      <c r="P263" s="116"/>
      <c r="Q263" s="116"/>
      <c r="R263" s="116"/>
      <c r="T263" s="116"/>
    </row>
    <row r="264" spans="16:20" hidden="1">
      <c r="P264" s="116"/>
      <c r="Q264" s="116"/>
      <c r="R264" s="116"/>
      <c r="T264" s="116"/>
    </row>
    <row r="265" spans="16:20" hidden="1">
      <c r="P265" s="116"/>
      <c r="Q265" s="116"/>
      <c r="R265" s="116"/>
      <c r="T265" s="116"/>
    </row>
    <row r="266" spans="16:20" hidden="1">
      <c r="P266" s="116"/>
      <c r="Q266" s="116"/>
      <c r="R266" s="116"/>
      <c r="T266" s="116"/>
    </row>
    <row r="267" spans="16:20" hidden="1">
      <c r="P267" s="116"/>
      <c r="Q267" s="116"/>
      <c r="R267" s="116"/>
      <c r="T267" s="116"/>
    </row>
    <row r="268" spans="16:20" hidden="1">
      <c r="P268" s="116"/>
      <c r="Q268" s="116"/>
      <c r="R268" s="116"/>
      <c r="T268" s="116"/>
    </row>
    <row r="269" spans="16:20" hidden="1">
      <c r="P269" s="116"/>
      <c r="Q269" s="116"/>
      <c r="R269" s="116"/>
      <c r="T269" s="116"/>
    </row>
    <row r="270" spans="16:20" hidden="1">
      <c r="P270" s="116"/>
      <c r="Q270" s="116"/>
      <c r="R270" s="116"/>
      <c r="T270" s="116"/>
    </row>
    <row r="271" spans="16:20" hidden="1">
      <c r="P271" s="116"/>
      <c r="Q271" s="116"/>
      <c r="R271" s="116"/>
      <c r="T271" s="116"/>
    </row>
    <row r="272" spans="16:20" hidden="1">
      <c r="P272" s="116"/>
      <c r="Q272" s="116"/>
      <c r="R272" s="116"/>
      <c r="T272" s="116"/>
    </row>
    <row r="273" spans="16:20" hidden="1">
      <c r="P273" s="116"/>
      <c r="Q273" s="116"/>
      <c r="R273" s="116"/>
      <c r="T273" s="116"/>
    </row>
    <row r="274" spans="16:20" hidden="1">
      <c r="P274" s="116"/>
      <c r="Q274" s="116"/>
      <c r="R274" s="116"/>
      <c r="T274" s="116"/>
    </row>
    <row r="275" spans="16:20" hidden="1">
      <c r="P275" s="116"/>
      <c r="Q275" s="116"/>
      <c r="R275" s="116"/>
      <c r="T275" s="116"/>
    </row>
    <row r="276" spans="16:20" hidden="1">
      <c r="P276" s="116"/>
      <c r="Q276" s="116"/>
      <c r="R276" s="116"/>
      <c r="T276" s="116"/>
    </row>
    <row r="277" spans="16:20" hidden="1">
      <c r="P277" s="116"/>
      <c r="Q277" s="116"/>
      <c r="R277" s="116"/>
      <c r="T277" s="116"/>
    </row>
    <row r="278" spans="16:20" hidden="1">
      <c r="P278" s="116"/>
      <c r="Q278" s="116"/>
      <c r="R278" s="116"/>
      <c r="T278" s="116"/>
    </row>
    <row r="279" spans="16:20" hidden="1">
      <c r="P279" s="116"/>
      <c r="Q279" s="116"/>
      <c r="R279" s="116"/>
      <c r="T279" s="116"/>
    </row>
    <row r="280" spans="16:20" hidden="1">
      <c r="P280" s="116"/>
      <c r="Q280" s="116"/>
      <c r="R280" s="116"/>
      <c r="T280" s="116"/>
    </row>
    <row r="281" spans="16:20" hidden="1">
      <c r="P281" s="116"/>
      <c r="Q281" s="116"/>
      <c r="R281" s="116"/>
      <c r="T281" s="116"/>
    </row>
    <row r="282" spans="16:20" hidden="1">
      <c r="P282" s="116"/>
      <c r="Q282" s="116"/>
      <c r="R282" s="116"/>
      <c r="T282" s="116"/>
    </row>
    <row r="283" spans="16:20" hidden="1">
      <c r="P283" s="116"/>
      <c r="Q283" s="116"/>
      <c r="R283" s="116"/>
      <c r="T283" s="116"/>
    </row>
    <row r="284" spans="16:20" hidden="1">
      <c r="P284" s="116"/>
      <c r="Q284" s="116"/>
      <c r="R284" s="116"/>
      <c r="T284" s="116"/>
    </row>
    <row r="285" spans="16:20" hidden="1">
      <c r="P285" s="116"/>
      <c r="Q285" s="116"/>
      <c r="R285" s="116"/>
      <c r="T285" s="116"/>
    </row>
    <row r="286" spans="16:20" hidden="1">
      <c r="P286" s="116"/>
      <c r="Q286" s="116"/>
      <c r="R286" s="116"/>
      <c r="T286" s="116"/>
    </row>
    <row r="287" spans="16:20" hidden="1">
      <c r="P287" s="116"/>
      <c r="Q287" s="116"/>
      <c r="R287" s="116"/>
      <c r="T287" s="116"/>
    </row>
    <row r="288" spans="16:20" hidden="1">
      <c r="P288" s="116"/>
      <c r="Q288" s="116"/>
      <c r="R288" s="116"/>
      <c r="T288" s="116"/>
    </row>
    <row r="289" spans="16:20" hidden="1">
      <c r="P289" s="116"/>
      <c r="Q289" s="116"/>
      <c r="R289" s="116"/>
      <c r="T289" s="116"/>
    </row>
    <row r="290" spans="16:20" hidden="1">
      <c r="P290" s="116"/>
      <c r="Q290" s="116"/>
      <c r="R290" s="116"/>
      <c r="T290" s="116"/>
    </row>
    <row r="291" spans="16:20" hidden="1">
      <c r="P291" s="116"/>
      <c r="Q291" s="116"/>
      <c r="R291" s="116"/>
      <c r="T291" s="116"/>
    </row>
    <row r="292" spans="16:20" hidden="1">
      <c r="P292" s="116"/>
      <c r="Q292" s="116"/>
      <c r="R292" s="116"/>
      <c r="T292" s="116"/>
    </row>
    <row r="293" spans="16:20" hidden="1">
      <c r="P293" s="116"/>
      <c r="Q293" s="116"/>
      <c r="R293" s="116"/>
      <c r="T293" s="116"/>
    </row>
    <row r="294" spans="16:20" hidden="1">
      <c r="P294" s="116"/>
      <c r="Q294" s="116"/>
      <c r="R294" s="116"/>
      <c r="T294" s="116"/>
    </row>
    <row r="295" spans="16:20" hidden="1">
      <c r="P295" s="116"/>
      <c r="Q295" s="116"/>
      <c r="R295" s="116"/>
      <c r="T295" s="116"/>
    </row>
    <row r="296" spans="16:20" hidden="1">
      <c r="P296" s="116"/>
      <c r="Q296" s="116"/>
      <c r="R296" s="116"/>
      <c r="T296" s="116"/>
    </row>
    <row r="297" spans="16:20" hidden="1">
      <c r="P297" s="116"/>
      <c r="Q297" s="116"/>
      <c r="R297" s="116"/>
      <c r="T297" s="116"/>
    </row>
    <row r="298" spans="16:20" hidden="1">
      <c r="P298" s="116"/>
      <c r="Q298" s="116"/>
      <c r="R298" s="116"/>
      <c r="T298" s="116"/>
    </row>
    <row r="299" spans="16:20" hidden="1">
      <c r="P299" s="116"/>
      <c r="Q299" s="116"/>
      <c r="R299" s="116"/>
      <c r="T299" s="116"/>
    </row>
    <row r="300" spans="16:20" hidden="1">
      <c r="P300" s="116"/>
      <c r="Q300" s="116"/>
      <c r="R300" s="116"/>
      <c r="T300" s="116"/>
    </row>
    <row r="301" spans="16:20" hidden="1">
      <c r="P301" s="116"/>
      <c r="Q301" s="116"/>
      <c r="R301" s="116"/>
      <c r="T301" s="116"/>
    </row>
    <row r="302" spans="16:20" hidden="1">
      <c r="P302" s="116"/>
      <c r="Q302" s="116"/>
      <c r="R302" s="116"/>
      <c r="T302" s="116"/>
    </row>
    <row r="303" spans="16:20" hidden="1">
      <c r="P303" s="116"/>
      <c r="Q303" s="116"/>
      <c r="R303" s="116"/>
      <c r="T303" s="116"/>
    </row>
    <row r="304" spans="16:20" hidden="1">
      <c r="P304" s="116"/>
      <c r="Q304" s="116"/>
      <c r="R304" s="116"/>
      <c r="T304" s="116"/>
    </row>
    <row r="305" spans="16:20" hidden="1">
      <c r="P305" s="116"/>
      <c r="Q305" s="116"/>
      <c r="R305" s="116"/>
      <c r="T305" s="116"/>
    </row>
    <row r="306" spans="16:20" hidden="1">
      <c r="P306" s="116"/>
      <c r="Q306" s="116"/>
      <c r="R306" s="116"/>
      <c r="T306" s="116"/>
    </row>
    <row r="307" spans="16:20" hidden="1">
      <c r="P307" s="116"/>
      <c r="Q307" s="116"/>
      <c r="R307" s="116"/>
      <c r="T307" s="116"/>
    </row>
    <row r="308" spans="16:20" hidden="1">
      <c r="P308" s="116"/>
      <c r="Q308" s="116"/>
      <c r="R308" s="116"/>
      <c r="T308" s="116"/>
    </row>
    <row r="309" spans="16:20" hidden="1">
      <c r="P309" s="116"/>
      <c r="Q309" s="116"/>
      <c r="R309" s="116"/>
      <c r="T309" s="116"/>
    </row>
    <row r="310" spans="16:20" hidden="1">
      <c r="P310" s="116"/>
      <c r="Q310" s="116"/>
      <c r="R310" s="116"/>
      <c r="T310" s="116"/>
    </row>
    <row r="311" spans="16:20" hidden="1">
      <c r="P311" s="116"/>
      <c r="Q311" s="116"/>
      <c r="R311" s="116"/>
      <c r="T311" s="116"/>
    </row>
    <row r="312" spans="16:20" hidden="1">
      <c r="P312" s="116"/>
      <c r="Q312" s="116"/>
      <c r="R312" s="116"/>
      <c r="T312" s="116"/>
    </row>
    <row r="313" spans="16:20" hidden="1">
      <c r="P313" s="116"/>
      <c r="Q313" s="116"/>
      <c r="R313" s="116"/>
      <c r="T313" s="116"/>
    </row>
    <row r="314" spans="16:20" hidden="1">
      <c r="P314" s="116"/>
      <c r="Q314" s="116"/>
      <c r="R314" s="116"/>
      <c r="T314" s="116"/>
    </row>
    <row r="315" spans="16:20" hidden="1">
      <c r="P315" s="116"/>
      <c r="Q315" s="116"/>
      <c r="R315" s="116"/>
      <c r="T315" s="116"/>
    </row>
    <row r="316" spans="16:20" hidden="1">
      <c r="P316" s="116"/>
      <c r="Q316" s="116"/>
      <c r="R316" s="116"/>
      <c r="T316" s="116"/>
    </row>
    <row r="317" spans="16:20" hidden="1">
      <c r="P317" s="116"/>
      <c r="Q317" s="116"/>
      <c r="R317" s="116"/>
      <c r="T317" s="116"/>
    </row>
    <row r="318" spans="16:20" hidden="1">
      <c r="P318" s="116"/>
      <c r="Q318" s="116"/>
      <c r="R318" s="116"/>
      <c r="T318" s="116"/>
    </row>
    <row r="319" spans="16:20" hidden="1">
      <c r="P319" s="116"/>
      <c r="Q319" s="116"/>
      <c r="R319" s="116"/>
      <c r="T319" s="116"/>
    </row>
    <row r="320" spans="16:20" hidden="1">
      <c r="P320" s="116"/>
      <c r="Q320" s="116"/>
      <c r="R320" s="116"/>
      <c r="T320" s="116"/>
    </row>
    <row r="321" spans="16:20" hidden="1">
      <c r="P321" s="116"/>
      <c r="Q321" s="116"/>
      <c r="R321" s="116"/>
      <c r="T321" s="116"/>
    </row>
    <row r="322" spans="16:20" hidden="1">
      <c r="P322" s="116"/>
      <c r="Q322" s="116"/>
      <c r="R322" s="116"/>
      <c r="T322" s="116"/>
    </row>
    <row r="323" spans="16:20" hidden="1">
      <c r="P323" s="116"/>
      <c r="Q323" s="116"/>
      <c r="R323" s="116"/>
      <c r="T323" s="116"/>
    </row>
    <row r="324" spans="16:20" hidden="1">
      <c r="P324" s="116"/>
      <c r="Q324" s="116"/>
      <c r="R324" s="116"/>
      <c r="T324" s="116"/>
    </row>
    <row r="325" spans="16:20" hidden="1">
      <c r="P325" s="116"/>
      <c r="Q325" s="116"/>
      <c r="R325" s="116"/>
      <c r="T325" s="116"/>
    </row>
    <row r="326" spans="16:20" hidden="1">
      <c r="P326" s="116"/>
      <c r="Q326" s="116"/>
      <c r="R326" s="116"/>
      <c r="T326" s="116"/>
    </row>
    <row r="327" spans="16:20" hidden="1">
      <c r="P327" s="116"/>
      <c r="Q327" s="116"/>
      <c r="R327" s="116"/>
      <c r="T327" s="116"/>
    </row>
    <row r="328" spans="16:20" hidden="1">
      <c r="P328" s="116"/>
      <c r="Q328" s="116"/>
      <c r="R328" s="116"/>
      <c r="T328" s="116"/>
    </row>
    <row r="329" spans="16:20" hidden="1">
      <c r="P329" s="116"/>
      <c r="Q329" s="116"/>
      <c r="R329" s="116"/>
      <c r="T329" s="116"/>
    </row>
    <row r="330" spans="16:20" hidden="1">
      <c r="P330" s="116"/>
      <c r="Q330" s="116"/>
      <c r="R330" s="116"/>
      <c r="T330" s="116"/>
    </row>
    <row r="331" spans="16:20" hidden="1">
      <c r="P331" s="116"/>
      <c r="Q331" s="116"/>
      <c r="R331" s="116"/>
      <c r="T331" s="116"/>
    </row>
    <row r="332" spans="16:20" hidden="1">
      <c r="P332" s="116"/>
      <c r="Q332" s="116"/>
      <c r="R332" s="116"/>
      <c r="T332" s="116"/>
    </row>
    <row r="333" spans="16:20" hidden="1">
      <c r="P333" s="116"/>
      <c r="Q333" s="116"/>
      <c r="R333" s="116"/>
      <c r="T333" s="116"/>
    </row>
    <row r="334" spans="16:20" hidden="1">
      <c r="P334" s="116"/>
      <c r="Q334" s="116"/>
      <c r="R334" s="116"/>
      <c r="T334" s="116"/>
    </row>
    <row r="335" spans="16:20" hidden="1">
      <c r="P335" s="116"/>
      <c r="Q335" s="116"/>
      <c r="R335" s="116"/>
      <c r="T335" s="116"/>
    </row>
    <row r="336" spans="16:20" hidden="1">
      <c r="P336" s="116"/>
      <c r="Q336" s="116"/>
      <c r="R336" s="116"/>
      <c r="T336" s="116"/>
    </row>
    <row r="337" spans="16:20" hidden="1">
      <c r="P337" s="116"/>
      <c r="Q337" s="116"/>
      <c r="R337" s="116"/>
      <c r="T337" s="116"/>
    </row>
    <row r="338" spans="16:20" hidden="1">
      <c r="P338" s="116"/>
      <c r="Q338" s="116"/>
      <c r="R338" s="116"/>
      <c r="T338" s="116"/>
    </row>
    <row r="339" spans="16:20" hidden="1">
      <c r="P339" s="116"/>
      <c r="Q339" s="116"/>
      <c r="R339" s="116"/>
      <c r="T339" s="116"/>
    </row>
    <row r="340" spans="16:20" hidden="1">
      <c r="P340" s="116"/>
      <c r="Q340" s="116"/>
      <c r="R340" s="116"/>
      <c r="T340" s="116"/>
    </row>
    <row r="341" spans="16:20" hidden="1">
      <c r="P341" s="116"/>
      <c r="Q341" s="116"/>
      <c r="R341" s="116"/>
      <c r="T341" s="116"/>
    </row>
    <row r="342" spans="16:20" hidden="1">
      <c r="P342" s="116"/>
      <c r="Q342" s="116"/>
      <c r="R342" s="116"/>
      <c r="T342" s="116"/>
    </row>
    <row r="343" spans="16:20" hidden="1">
      <c r="P343" s="116"/>
      <c r="Q343" s="116"/>
      <c r="R343" s="116"/>
      <c r="T343" s="116"/>
    </row>
    <row r="344" spans="16:20" hidden="1">
      <c r="P344" s="116"/>
      <c r="Q344" s="116"/>
      <c r="R344" s="116"/>
      <c r="T344" s="116"/>
    </row>
    <row r="345" spans="16:20" hidden="1">
      <c r="P345" s="116"/>
      <c r="Q345" s="116"/>
      <c r="R345" s="116"/>
      <c r="T345" s="116"/>
    </row>
    <row r="346" spans="16:20" hidden="1">
      <c r="P346" s="116"/>
      <c r="Q346" s="116"/>
      <c r="R346" s="116"/>
      <c r="T346" s="116"/>
    </row>
    <row r="347" spans="16:20" hidden="1">
      <c r="P347" s="116"/>
      <c r="Q347" s="116"/>
      <c r="R347" s="116"/>
      <c r="T347" s="116"/>
    </row>
    <row r="348" spans="16:20" hidden="1">
      <c r="P348" s="116"/>
      <c r="Q348" s="116"/>
      <c r="R348" s="116"/>
      <c r="T348" s="116"/>
    </row>
    <row r="349" spans="16:20" hidden="1">
      <c r="P349" s="116"/>
      <c r="Q349" s="116"/>
      <c r="R349" s="116"/>
      <c r="T349" s="116"/>
    </row>
    <row r="350" spans="16:20" hidden="1">
      <c r="P350" s="116"/>
      <c r="Q350" s="116"/>
      <c r="R350" s="116"/>
      <c r="T350" s="116"/>
    </row>
    <row r="351" spans="16:20" hidden="1">
      <c r="P351" s="116"/>
      <c r="Q351" s="116"/>
      <c r="R351" s="116"/>
      <c r="T351" s="116"/>
    </row>
    <row r="352" spans="16:20" hidden="1">
      <c r="P352" s="116"/>
      <c r="Q352" s="116"/>
      <c r="R352" s="116"/>
      <c r="T352" s="116"/>
    </row>
    <row r="353" spans="16:20" hidden="1">
      <c r="P353" s="116"/>
      <c r="Q353" s="116"/>
      <c r="R353" s="116"/>
      <c r="T353" s="116"/>
    </row>
    <row r="354" spans="16:20" hidden="1">
      <c r="P354" s="116"/>
      <c r="Q354" s="116"/>
      <c r="R354" s="116"/>
      <c r="T354" s="116"/>
    </row>
    <row r="355" spans="16:20" hidden="1">
      <c r="P355" s="116"/>
      <c r="Q355" s="116"/>
      <c r="R355" s="116"/>
      <c r="T355" s="116"/>
    </row>
    <row r="356" spans="16:20" hidden="1">
      <c r="P356" s="116"/>
      <c r="Q356" s="116"/>
      <c r="R356" s="116"/>
      <c r="T356" s="116"/>
    </row>
    <row r="357" spans="16:20" hidden="1">
      <c r="P357" s="116"/>
      <c r="Q357" s="116"/>
      <c r="R357" s="116"/>
      <c r="T357" s="116"/>
    </row>
    <row r="358" spans="16:20" hidden="1">
      <c r="P358" s="116"/>
      <c r="Q358" s="116"/>
      <c r="R358" s="116"/>
      <c r="T358" s="116"/>
    </row>
    <row r="359" spans="16:20" hidden="1">
      <c r="P359" s="116"/>
      <c r="Q359" s="116"/>
      <c r="R359" s="116"/>
      <c r="T359" s="116"/>
    </row>
    <row r="360" spans="16:20" hidden="1">
      <c r="P360" s="116"/>
      <c r="Q360" s="116"/>
      <c r="R360" s="116"/>
      <c r="T360" s="116"/>
    </row>
    <row r="361" spans="16:20" hidden="1">
      <c r="P361" s="116"/>
      <c r="Q361" s="116"/>
      <c r="R361" s="116"/>
      <c r="T361" s="116"/>
    </row>
    <row r="362" spans="16:20" hidden="1">
      <c r="P362" s="116"/>
      <c r="Q362" s="116"/>
      <c r="R362" s="116"/>
      <c r="T362" s="116"/>
    </row>
    <row r="363" spans="16:20" hidden="1">
      <c r="P363" s="116"/>
      <c r="Q363" s="116"/>
      <c r="R363" s="116"/>
      <c r="T363" s="116"/>
    </row>
    <row r="364" spans="16:20" hidden="1">
      <c r="P364" s="116"/>
      <c r="Q364" s="116"/>
      <c r="R364" s="116"/>
      <c r="T364" s="116"/>
    </row>
    <row r="365" spans="16:20" hidden="1">
      <c r="P365" s="116"/>
      <c r="Q365" s="116"/>
      <c r="R365" s="116"/>
      <c r="T365" s="116"/>
    </row>
    <row r="366" spans="16:20" hidden="1">
      <c r="P366" s="116"/>
      <c r="Q366" s="116"/>
      <c r="R366" s="116"/>
      <c r="T366" s="116"/>
    </row>
    <row r="367" spans="16:20" hidden="1">
      <c r="P367" s="116"/>
      <c r="Q367" s="116"/>
      <c r="R367" s="116"/>
      <c r="T367" s="116"/>
    </row>
    <row r="368" spans="16:20" hidden="1">
      <c r="P368" s="116"/>
      <c r="Q368" s="116"/>
      <c r="R368" s="116"/>
      <c r="T368" s="116"/>
    </row>
    <row r="369" spans="16:20" hidden="1">
      <c r="P369" s="116"/>
      <c r="Q369" s="116"/>
      <c r="R369" s="116"/>
      <c r="T369" s="116"/>
    </row>
    <row r="370" spans="16:20" hidden="1">
      <c r="P370" s="116"/>
      <c r="Q370" s="116"/>
      <c r="R370" s="116"/>
      <c r="T370" s="116"/>
    </row>
    <row r="371" spans="16:20" hidden="1">
      <c r="P371" s="116"/>
      <c r="Q371" s="116"/>
      <c r="R371" s="116"/>
      <c r="T371" s="116"/>
    </row>
    <row r="372" spans="16:20" hidden="1">
      <c r="P372" s="116"/>
      <c r="Q372" s="116"/>
      <c r="R372" s="116"/>
      <c r="T372" s="116"/>
    </row>
    <row r="373" spans="16:20" hidden="1">
      <c r="P373" s="116"/>
      <c r="Q373" s="116"/>
      <c r="R373" s="116"/>
      <c r="T373" s="116"/>
    </row>
    <row r="374" spans="16:20" hidden="1">
      <c r="P374" s="116"/>
      <c r="Q374" s="116"/>
      <c r="R374" s="116"/>
      <c r="T374" s="116"/>
    </row>
    <row r="375" spans="16:20" hidden="1">
      <c r="P375" s="116"/>
      <c r="Q375" s="116"/>
      <c r="R375" s="116"/>
      <c r="T375" s="116"/>
    </row>
    <row r="376" spans="16:20" hidden="1">
      <c r="P376" s="116"/>
      <c r="Q376" s="116"/>
      <c r="R376" s="116"/>
      <c r="T376" s="116"/>
    </row>
    <row r="377" spans="16:20" hidden="1">
      <c r="P377" s="116"/>
      <c r="Q377" s="116"/>
      <c r="R377" s="116"/>
      <c r="T377" s="116"/>
    </row>
    <row r="378" spans="16:20" hidden="1">
      <c r="P378" s="116"/>
      <c r="Q378" s="116"/>
      <c r="R378" s="116"/>
      <c r="T378" s="116"/>
    </row>
    <row r="379" spans="16:20" hidden="1">
      <c r="P379" s="116"/>
      <c r="Q379" s="116"/>
      <c r="R379" s="116"/>
      <c r="T379" s="116"/>
    </row>
    <row r="380" spans="16:20" hidden="1">
      <c r="P380" s="116"/>
      <c r="Q380" s="116"/>
      <c r="R380" s="116"/>
      <c r="T380" s="116"/>
    </row>
    <row r="381" spans="16:20" hidden="1">
      <c r="P381" s="116"/>
      <c r="Q381" s="116"/>
      <c r="R381" s="116"/>
      <c r="T381" s="116"/>
    </row>
    <row r="382" spans="16:20" hidden="1">
      <c r="P382" s="116"/>
      <c r="Q382" s="116"/>
      <c r="R382" s="116"/>
      <c r="T382" s="116"/>
    </row>
    <row r="383" spans="16:20" hidden="1">
      <c r="P383" s="116"/>
      <c r="Q383" s="116"/>
      <c r="R383" s="116"/>
      <c r="T383" s="116"/>
    </row>
    <row r="384" spans="16:20" hidden="1">
      <c r="P384" s="116"/>
      <c r="Q384" s="116"/>
      <c r="R384" s="116"/>
      <c r="T384" s="116"/>
    </row>
    <row r="385" spans="16:20" hidden="1">
      <c r="P385" s="116"/>
      <c r="Q385" s="116"/>
      <c r="R385" s="116"/>
      <c r="T385" s="116"/>
    </row>
    <row r="386" spans="16:20" hidden="1">
      <c r="P386" s="116"/>
      <c r="Q386" s="116"/>
      <c r="R386" s="116"/>
      <c r="T386" s="116"/>
    </row>
    <row r="387" spans="16:20" hidden="1">
      <c r="P387" s="116"/>
      <c r="Q387" s="116"/>
      <c r="R387" s="116"/>
      <c r="T387" s="116"/>
    </row>
    <row r="388" spans="16:20" hidden="1">
      <c r="P388" s="116"/>
      <c r="Q388" s="116"/>
      <c r="R388" s="116"/>
      <c r="T388" s="116"/>
    </row>
    <row r="389" spans="16:20" hidden="1">
      <c r="P389" s="116"/>
      <c r="Q389" s="116"/>
      <c r="R389" s="116"/>
      <c r="T389" s="116"/>
    </row>
    <row r="390" spans="16:20" hidden="1">
      <c r="P390" s="116"/>
      <c r="Q390" s="116"/>
      <c r="R390" s="116"/>
      <c r="T390" s="116"/>
    </row>
    <row r="391" spans="16:20" hidden="1">
      <c r="P391" s="116"/>
      <c r="Q391" s="116"/>
      <c r="R391" s="116"/>
      <c r="T391" s="116"/>
    </row>
    <row r="392" spans="16:20" hidden="1">
      <c r="P392" s="116"/>
      <c r="Q392" s="116"/>
      <c r="R392" s="116"/>
      <c r="T392" s="116"/>
    </row>
    <row r="393" spans="16:20" hidden="1">
      <c r="P393" s="116"/>
      <c r="Q393" s="116"/>
      <c r="R393" s="116"/>
      <c r="T393" s="116"/>
    </row>
    <row r="394" spans="16:20" hidden="1">
      <c r="P394" s="116"/>
      <c r="Q394" s="116"/>
      <c r="R394" s="116"/>
      <c r="T394" s="116"/>
    </row>
    <row r="395" spans="16:20" hidden="1">
      <c r="P395" s="116"/>
      <c r="Q395" s="116"/>
      <c r="R395" s="116"/>
      <c r="T395" s="116"/>
    </row>
    <row r="396" spans="16:20" hidden="1">
      <c r="P396" s="116"/>
      <c r="Q396" s="116"/>
      <c r="R396" s="116"/>
      <c r="T396" s="116"/>
    </row>
    <row r="397" spans="16:20" hidden="1">
      <c r="P397" s="116"/>
      <c r="Q397" s="116"/>
      <c r="R397" s="116"/>
      <c r="T397" s="116"/>
    </row>
    <row r="398" spans="16:20" hidden="1">
      <c r="P398" s="116"/>
      <c r="Q398" s="116"/>
      <c r="R398" s="116"/>
      <c r="T398" s="116"/>
    </row>
    <row r="399" spans="16:20" hidden="1">
      <c r="P399" s="116"/>
      <c r="Q399" s="116"/>
      <c r="R399" s="116"/>
      <c r="T399" s="116"/>
    </row>
    <row r="400" spans="16:20" hidden="1">
      <c r="P400" s="116"/>
      <c r="Q400" s="116"/>
      <c r="R400" s="116"/>
      <c r="T400" s="116"/>
    </row>
    <row r="401" spans="16:20" hidden="1">
      <c r="P401" s="116"/>
      <c r="Q401" s="116"/>
      <c r="R401" s="116"/>
      <c r="T401" s="116"/>
    </row>
    <row r="402" spans="16:20" hidden="1">
      <c r="P402" s="116"/>
      <c r="Q402" s="116"/>
      <c r="R402" s="116"/>
      <c r="T402" s="116"/>
    </row>
    <row r="403" spans="16:20" hidden="1">
      <c r="P403" s="116"/>
      <c r="Q403" s="116"/>
      <c r="R403" s="116"/>
      <c r="T403" s="116"/>
    </row>
    <row r="404" spans="16:20" hidden="1">
      <c r="P404" s="116"/>
      <c r="Q404" s="116"/>
      <c r="R404" s="116"/>
      <c r="T404" s="116"/>
    </row>
    <row r="405" spans="16:20" hidden="1">
      <c r="P405" s="116"/>
      <c r="Q405" s="116"/>
      <c r="R405" s="116"/>
      <c r="T405" s="116"/>
    </row>
    <row r="406" spans="16:20" hidden="1">
      <c r="P406" s="116"/>
      <c r="Q406" s="116"/>
      <c r="R406" s="116"/>
      <c r="T406" s="116"/>
    </row>
    <row r="407" spans="16:20" hidden="1">
      <c r="P407" s="116"/>
      <c r="Q407" s="116"/>
      <c r="R407" s="116"/>
      <c r="T407" s="116"/>
    </row>
    <row r="408" spans="16:20" hidden="1">
      <c r="P408" s="116"/>
      <c r="Q408" s="116"/>
      <c r="R408" s="116"/>
      <c r="T408" s="116"/>
    </row>
    <row r="409" spans="16:20" hidden="1">
      <c r="P409" s="116"/>
      <c r="Q409" s="116"/>
      <c r="R409" s="116"/>
      <c r="T409" s="116"/>
    </row>
    <row r="410" spans="16:20" hidden="1">
      <c r="P410" s="116"/>
      <c r="Q410" s="116"/>
      <c r="R410" s="116"/>
      <c r="T410" s="116"/>
    </row>
    <row r="411" spans="16:20" hidden="1">
      <c r="P411" s="116"/>
      <c r="Q411" s="116"/>
      <c r="R411" s="116"/>
      <c r="T411" s="116"/>
    </row>
    <row r="412" spans="16:20" hidden="1">
      <c r="P412" s="116"/>
      <c r="Q412" s="116"/>
      <c r="R412" s="116"/>
      <c r="T412" s="116"/>
    </row>
    <row r="413" spans="16:20" hidden="1">
      <c r="P413" s="116"/>
      <c r="Q413" s="116"/>
      <c r="R413" s="116"/>
      <c r="T413" s="116"/>
    </row>
    <row r="414" spans="16:20" hidden="1">
      <c r="P414" s="116"/>
      <c r="Q414" s="116"/>
      <c r="R414" s="116"/>
      <c r="T414" s="116"/>
    </row>
    <row r="415" spans="16:20" hidden="1">
      <c r="P415" s="116"/>
      <c r="Q415" s="116"/>
      <c r="R415" s="116"/>
      <c r="T415" s="116"/>
    </row>
    <row r="416" spans="16:20" hidden="1">
      <c r="P416" s="116"/>
      <c r="Q416" s="116"/>
      <c r="R416" s="116"/>
      <c r="T416" s="116"/>
    </row>
    <row r="417" spans="16:20" hidden="1">
      <c r="P417" s="116"/>
      <c r="Q417" s="116"/>
      <c r="R417" s="116"/>
      <c r="T417" s="116"/>
    </row>
    <row r="418" spans="16:20" hidden="1">
      <c r="P418" s="116"/>
      <c r="Q418" s="116"/>
      <c r="R418" s="116"/>
      <c r="T418" s="116"/>
    </row>
    <row r="419" spans="16:20" hidden="1">
      <c r="P419" s="116"/>
      <c r="Q419" s="116"/>
      <c r="R419" s="116"/>
      <c r="T419" s="116"/>
    </row>
    <row r="420" spans="16:20" hidden="1">
      <c r="P420" s="116"/>
      <c r="Q420" s="116"/>
      <c r="R420" s="116"/>
      <c r="T420" s="116"/>
    </row>
    <row r="421" spans="16:20" hidden="1">
      <c r="P421" s="116"/>
      <c r="Q421" s="116"/>
      <c r="R421" s="116"/>
      <c r="T421" s="116"/>
    </row>
    <row r="422" spans="16:20" hidden="1">
      <c r="P422" s="116"/>
      <c r="Q422" s="116"/>
      <c r="R422" s="116"/>
      <c r="T422" s="116"/>
    </row>
    <row r="423" spans="16:20" hidden="1">
      <c r="P423" s="116"/>
      <c r="Q423" s="116"/>
      <c r="R423" s="116"/>
      <c r="T423" s="116"/>
    </row>
    <row r="424" spans="16:20" hidden="1">
      <c r="P424" s="116"/>
      <c r="Q424" s="116"/>
      <c r="R424" s="116"/>
      <c r="T424" s="116"/>
    </row>
    <row r="425" spans="16:20" hidden="1">
      <c r="P425" s="116"/>
      <c r="Q425" s="116"/>
      <c r="R425" s="116"/>
      <c r="T425" s="116"/>
    </row>
    <row r="426" spans="16:20" hidden="1">
      <c r="P426" s="116"/>
      <c r="Q426" s="116"/>
      <c r="R426" s="116"/>
      <c r="T426" s="116"/>
    </row>
    <row r="427" spans="16:20" hidden="1">
      <c r="P427" s="116"/>
      <c r="Q427" s="116"/>
      <c r="R427" s="116"/>
      <c r="T427" s="116"/>
    </row>
    <row r="428" spans="16:20" hidden="1">
      <c r="P428" s="116"/>
      <c r="Q428" s="116"/>
      <c r="R428" s="116"/>
      <c r="T428" s="116"/>
    </row>
    <row r="429" spans="16:20" hidden="1">
      <c r="P429" s="116"/>
      <c r="Q429" s="116"/>
      <c r="R429" s="116"/>
      <c r="T429" s="116"/>
    </row>
    <row r="430" spans="16:20" hidden="1">
      <c r="P430" s="116"/>
      <c r="Q430" s="116"/>
      <c r="R430" s="116"/>
      <c r="T430" s="116"/>
    </row>
    <row r="431" spans="16:20" hidden="1">
      <c r="P431" s="116"/>
      <c r="Q431" s="116"/>
      <c r="R431" s="116"/>
      <c r="T431" s="116"/>
    </row>
    <row r="432" spans="16:20" hidden="1">
      <c r="P432" s="116"/>
      <c r="Q432" s="116"/>
      <c r="R432" s="116"/>
      <c r="T432" s="116"/>
    </row>
    <row r="433" spans="16:20" hidden="1">
      <c r="P433" s="116"/>
      <c r="Q433" s="116"/>
      <c r="R433" s="116"/>
      <c r="T433" s="116"/>
    </row>
    <row r="434" spans="16:20" hidden="1">
      <c r="P434" s="116"/>
      <c r="Q434" s="116"/>
      <c r="R434" s="116"/>
      <c r="T434" s="116"/>
    </row>
    <row r="435" spans="16:20" hidden="1">
      <c r="P435" s="116"/>
      <c r="Q435" s="116"/>
      <c r="R435" s="116"/>
      <c r="T435" s="116"/>
    </row>
    <row r="436" spans="16:20" hidden="1">
      <c r="P436" s="116"/>
      <c r="Q436" s="116"/>
      <c r="R436" s="116"/>
      <c r="T436" s="116"/>
    </row>
    <row r="437" spans="16:20" hidden="1">
      <c r="P437" s="116"/>
      <c r="Q437" s="116"/>
      <c r="R437" s="116"/>
      <c r="T437" s="116"/>
    </row>
    <row r="438" spans="16:20" hidden="1">
      <c r="P438" s="116"/>
      <c r="Q438" s="116"/>
      <c r="R438" s="116"/>
      <c r="T438" s="116"/>
    </row>
    <row r="439" spans="16:20" hidden="1">
      <c r="P439" s="116"/>
      <c r="Q439" s="116"/>
      <c r="R439" s="116"/>
      <c r="T439" s="116"/>
    </row>
    <row r="440" spans="16:20" hidden="1">
      <c r="P440" s="116"/>
      <c r="Q440" s="116"/>
      <c r="R440" s="116"/>
      <c r="T440" s="116"/>
    </row>
    <row r="441" spans="16:20" hidden="1">
      <c r="P441" s="116"/>
      <c r="Q441" s="116"/>
      <c r="R441" s="116"/>
      <c r="T441" s="116"/>
    </row>
    <row r="442" spans="16:20" hidden="1">
      <c r="P442" s="116"/>
      <c r="Q442" s="116"/>
      <c r="R442" s="116"/>
      <c r="T442" s="116"/>
    </row>
    <row r="443" spans="16:20" hidden="1">
      <c r="P443" s="116"/>
      <c r="Q443" s="116"/>
      <c r="R443" s="116"/>
      <c r="T443" s="116"/>
    </row>
    <row r="444" spans="16:20" hidden="1">
      <c r="P444" s="116"/>
      <c r="Q444" s="116"/>
      <c r="R444" s="116"/>
      <c r="T444" s="116"/>
    </row>
    <row r="445" spans="16:20" hidden="1">
      <c r="P445" s="116"/>
      <c r="Q445" s="116"/>
      <c r="R445" s="116"/>
      <c r="T445" s="116"/>
    </row>
    <row r="446" spans="16:20" hidden="1">
      <c r="P446" s="116"/>
      <c r="Q446" s="116"/>
      <c r="R446" s="116"/>
      <c r="T446" s="116"/>
    </row>
    <row r="447" spans="16:20" hidden="1">
      <c r="P447" s="116"/>
      <c r="Q447" s="116"/>
      <c r="R447" s="116"/>
      <c r="T447" s="116"/>
    </row>
    <row r="448" spans="16:20" hidden="1">
      <c r="P448" s="116"/>
      <c r="Q448" s="116"/>
      <c r="R448" s="116"/>
      <c r="T448" s="116"/>
    </row>
    <row r="449" spans="16:20" hidden="1">
      <c r="P449" s="116"/>
      <c r="Q449" s="116"/>
      <c r="R449" s="116"/>
      <c r="T449" s="116"/>
    </row>
    <row r="450" spans="16:20" hidden="1">
      <c r="P450" s="116"/>
      <c r="Q450" s="116"/>
      <c r="R450" s="116"/>
      <c r="T450" s="116"/>
    </row>
    <row r="451" spans="16:20" hidden="1">
      <c r="P451" s="116"/>
      <c r="Q451" s="116"/>
      <c r="R451" s="116"/>
      <c r="T451" s="116"/>
    </row>
    <row r="452" spans="16:20" hidden="1">
      <c r="P452" s="116"/>
      <c r="Q452" s="116"/>
      <c r="R452" s="116"/>
      <c r="T452" s="116"/>
    </row>
    <row r="453" spans="16:20" hidden="1">
      <c r="P453" s="116"/>
      <c r="Q453" s="116"/>
      <c r="R453" s="116"/>
      <c r="T453" s="116"/>
    </row>
    <row r="454" spans="16:20" hidden="1">
      <c r="P454" s="116"/>
      <c r="Q454" s="116"/>
      <c r="R454" s="116"/>
      <c r="T454" s="116"/>
    </row>
    <row r="455" spans="16:20" hidden="1">
      <c r="P455" s="116"/>
      <c r="Q455" s="116"/>
      <c r="R455" s="116"/>
      <c r="T455" s="116"/>
    </row>
    <row r="456" spans="16:20" hidden="1">
      <c r="P456" s="116"/>
      <c r="Q456" s="116"/>
      <c r="R456" s="116"/>
      <c r="T456" s="116"/>
    </row>
    <row r="457" spans="16:20" hidden="1">
      <c r="P457" s="116"/>
      <c r="Q457" s="116"/>
      <c r="R457" s="116"/>
      <c r="T457" s="116"/>
    </row>
    <row r="458" spans="16:20" hidden="1">
      <c r="P458" s="116"/>
      <c r="Q458" s="116"/>
      <c r="R458" s="116"/>
      <c r="T458" s="116"/>
    </row>
    <row r="459" spans="16:20" hidden="1">
      <c r="P459" s="116"/>
      <c r="Q459" s="116"/>
      <c r="R459" s="116"/>
      <c r="T459" s="116"/>
    </row>
    <row r="460" spans="16:20" hidden="1">
      <c r="P460" s="116"/>
      <c r="Q460" s="116"/>
      <c r="R460" s="116"/>
      <c r="T460" s="116"/>
    </row>
    <row r="461" spans="16:20" hidden="1">
      <c r="P461" s="116"/>
      <c r="Q461" s="116"/>
      <c r="R461" s="116"/>
      <c r="T461" s="116"/>
    </row>
    <row r="462" spans="16:20" hidden="1">
      <c r="P462" s="116"/>
      <c r="Q462" s="116"/>
      <c r="R462" s="116"/>
      <c r="T462" s="116"/>
    </row>
    <row r="463" spans="16:20" hidden="1">
      <c r="P463" s="116"/>
      <c r="Q463" s="116"/>
      <c r="R463" s="116"/>
      <c r="T463" s="116"/>
    </row>
    <row r="464" spans="16:20" hidden="1">
      <c r="P464" s="116"/>
      <c r="Q464" s="116"/>
      <c r="R464" s="116"/>
      <c r="T464" s="116"/>
    </row>
    <row r="465" spans="16:20" hidden="1">
      <c r="P465" s="116"/>
      <c r="Q465" s="116"/>
      <c r="R465" s="116"/>
      <c r="T465" s="116"/>
    </row>
    <row r="466" spans="16:20" hidden="1">
      <c r="P466" s="116"/>
      <c r="Q466" s="116"/>
      <c r="R466" s="116"/>
      <c r="T466" s="116"/>
    </row>
    <row r="467" spans="16:20" hidden="1">
      <c r="P467" s="116"/>
      <c r="Q467" s="116"/>
      <c r="R467" s="116"/>
      <c r="T467" s="116"/>
    </row>
    <row r="468" spans="16:20" hidden="1">
      <c r="P468" s="116"/>
      <c r="Q468" s="116"/>
      <c r="R468" s="116"/>
      <c r="T468" s="116"/>
    </row>
    <row r="469" spans="16:20" hidden="1">
      <c r="P469" s="116"/>
      <c r="Q469" s="116"/>
      <c r="R469" s="116"/>
      <c r="T469" s="116"/>
    </row>
    <row r="470" spans="16:20" hidden="1">
      <c r="P470" s="116"/>
      <c r="Q470" s="116"/>
      <c r="R470" s="116"/>
      <c r="T470" s="116"/>
    </row>
    <row r="471" spans="16:20" hidden="1">
      <c r="P471" s="116"/>
      <c r="Q471" s="116"/>
      <c r="R471" s="116"/>
      <c r="T471" s="116"/>
    </row>
    <row r="472" spans="16:20" hidden="1">
      <c r="P472" s="116"/>
      <c r="Q472" s="116"/>
      <c r="R472" s="116"/>
      <c r="T472" s="116"/>
    </row>
    <row r="473" spans="16:20" hidden="1">
      <c r="P473" s="116"/>
      <c r="Q473" s="116"/>
      <c r="R473" s="116"/>
      <c r="T473" s="116"/>
    </row>
    <row r="474" spans="16:20" hidden="1">
      <c r="P474" s="116"/>
      <c r="Q474" s="116"/>
      <c r="R474" s="116"/>
      <c r="T474" s="116"/>
    </row>
    <row r="475" spans="16:20" hidden="1">
      <c r="P475" s="116"/>
      <c r="Q475" s="116"/>
      <c r="R475" s="116"/>
      <c r="T475" s="116"/>
    </row>
    <row r="476" spans="16:20" hidden="1">
      <c r="P476" s="116"/>
      <c r="Q476" s="116"/>
      <c r="R476" s="116"/>
      <c r="T476" s="116"/>
    </row>
    <row r="477" spans="16:20" hidden="1">
      <c r="P477" s="116"/>
      <c r="Q477" s="116"/>
      <c r="R477" s="116"/>
      <c r="T477" s="116"/>
    </row>
    <row r="478" spans="16:20" hidden="1">
      <c r="P478" s="116"/>
      <c r="Q478" s="116"/>
      <c r="R478" s="116"/>
      <c r="T478" s="116"/>
    </row>
    <row r="479" spans="16:20" hidden="1">
      <c r="P479" s="116"/>
      <c r="Q479" s="116"/>
      <c r="R479" s="116"/>
      <c r="T479" s="116"/>
    </row>
    <row r="480" spans="16:20" hidden="1">
      <c r="P480" s="116"/>
      <c r="Q480" s="116"/>
      <c r="R480" s="116"/>
      <c r="T480" s="116"/>
    </row>
    <row r="481" spans="16:20" hidden="1">
      <c r="P481" s="116"/>
      <c r="Q481" s="116"/>
      <c r="R481" s="116"/>
      <c r="T481" s="116"/>
    </row>
    <row r="482" spans="16:20" hidden="1">
      <c r="P482" s="116"/>
      <c r="Q482" s="116"/>
      <c r="R482" s="116"/>
      <c r="T482" s="116"/>
    </row>
    <row r="483" spans="16:20" hidden="1">
      <c r="P483" s="116"/>
      <c r="Q483" s="116"/>
      <c r="R483" s="116"/>
      <c r="T483" s="116"/>
    </row>
    <row r="484" spans="16:20" hidden="1">
      <c r="P484" s="116"/>
      <c r="Q484" s="116"/>
      <c r="R484" s="116"/>
      <c r="T484" s="116"/>
    </row>
    <row r="485" spans="16:20" hidden="1">
      <c r="P485" s="116"/>
      <c r="Q485" s="116"/>
      <c r="R485" s="116"/>
      <c r="T485" s="116"/>
    </row>
    <row r="486" spans="16:20" hidden="1">
      <c r="P486" s="116"/>
      <c r="Q486" s="116"/>
      <c r="R486" s="116"/>
      <c r="T486" s="116"/>
    </row>
    <row r="487" spans="16:20" hidden="1">
      <c r="P487" s="116"/>
      <c r="Q487" s="116"/>
      <c r="R487" s="116"/>
      <c r="T487" s="116"/>
    </row>
    <row r="488" spans="16:20" hidden="1">
      <c r="P488" s="116"/>
      <c r="Q488" s="116"/>
      <c r="R488" s="116"/>
      <c r="T488" s="116"/>
    </row>
    <row r="489" spans="16:20" hidden="1">
      <c r="P489" s="116"/>
      <c r="Q489" s="116"/>
      <c r="R489" s="116"/>
      <c r="T489" s="116"/>
    </row>
    <row r="490" spans="16:20" hidden="1">
      <c r="P490" s="116"/>
      <c r="Q490" s="116"/>
      <c r="R490" s="116"/>
      <c r="T490" s="116"/>
    </row>
    <row r="491" spans="16:20" hidden="1">
      <c r="P491" s="116"/>
      <c r="Q491" s="116"/>
      <c r="R491" s="116"/>
      <c r="T491" s="116"/>
    </row>
    <row r="492" spans="16:20" hidden="1">
      <c r="P492" s="116"/>
      <c r="Q492" s="116"/>
      <c r="R492" s="116"/>
      <c r="T492" s="116"/>
    </row>
    <row r="493" spans="16:20" hidden="1">
      <c r="P493" s="116"/>
      <c r="Q493" s="116"/>
      <c r="R493" s="116"/>
      <c r="T493" s="116"/>
    </row>
    <row r="494" spans="16:20" hidden="1">
      <c r="P494" s="116"/>
      <c r="Q494" s="116"/>
      <c r="R494" s="116"/>
      <c r="T494" s="116"/>
    </row>
    <row r="495" spans="16:20" hidden="1">
      <c r="P495" s="116"/>
      <c r="Q495" s="116"/>
      <c r="R495" s="116"/>
      <c r="T495" s="116"/>
    </row>
    <row r="496" spans="16:20" hidden="1">
      <c r="P496" s="116"/>
      <c r="Q496" s="116"/>
      <c r="R496" s="116"/>
      <c r="T496" s="116"/>
    </row>
    <row r="497" spans="16:20" hidden="1">
      <c r="P497" s="116"/>
      <c r="Q497" s="116"/>
      <c r="R497" s="116"/>
      <c r="T497" s="116"/>
    </row>
    <row r="498" spans="16:20" hidden="1">
      <c r="P498" s="116"/>
      <c r="Q498" s="116"/>
      <c r="R498" s="116"/>
      <c r="T498" s="116"/>
    </row>
    <row r="499" spans="16:20" hidden="1">
      <c r="P499" s="116"/>
      <c r="Q499" s="116"/>
      <c r="R499" s="116"/>
      <c r="T499" s="116"/>
    </row>
    <row r="500" spans="16:20" hidden="1">
      <c r="P500" s="116"/>
      <c r="Q500" s="116"/>
      <c r="R500" s="116"/>
      <c r="T500" s="116"/>
    </row>
    <row r="501" spans="16:20" hidden="1">
      <c r="P501" s="116"/>
      <c r="Q501" s="116"/>
      <c r="R501" s="116"/>
      <c r="T501" s="116"/>
    </row>
    <row r="502" spans="16:20" hidden="1">
      <c r="P502" s="116"/>
      <c r="Q502" s="116"/>
      <c r="R502" s="116"/>
      <c r="T502" s="116"/>
    </row>
    <row r="503" spans="16:20" hidden="1">
      <c r="P503" s="116"/>
      <c r="Q503" s="116"/>
      <c r="R503" s="116"/>
      <c r="T503" s="116"/>
    </row>
    <row r="504" spans="16:20" hidden="1">
      <c r="P504" s="116"/>
      <c r="Q504" s="116"/>
      <c r="R504" s="116"/>
      <c r="T504" s="116"/>
    </row>
    <row r="505" spans="16:20" hidden="1">
      <c r="P505" s="116"/>
      <c r="Q505" s="116"/>
      <c r="R505" s="116"/>
      <c r="T505" s="116"/>
    </row>
    <row r="506" spans="16:20" hidden="1">
      <c r="P506" s="116"/>
      <c r="Q506" s="116"/>
      <c r="R506" s="116"/>
      <c r="T506" s="116"/>
    </row>
    <row r="507" spans="16:20" hidden="1">
      <c r="P507" s="116"/>
      <c r="Q507" s="116"/>
      <c r="R507" s="116"/>
      <c r="T507" s="116"/>
    </row>
    <row r="508" spans="16:20" hidden="1">
      <c r="P508" s="116"/>
      <c r="Q508" s="116"/>
      <c r="R508" s="116"/>
      <c r="T508" s="116"/>
    </row>
    <row r="509" spans="16:20" hidden="1">
      <c r="P509" s="116"/>
      <c r="Q509" s="116"/>
      <c r="R509" s="116"/>
      <c r="T509" s="116"/>
    </row>
    <row r="510" spans="16:20" hidden="1">
      <c r="P510" s="116"/>
      <c r="Q510" s="116"/>
      <c r="R510" s="116"/>
      <c r="T510" s="116"/>
    </row>
    <row r="511" spans="16:20" hidden="1">
      <c r="P511" s="116"/>
      <c r="Q511" s="116"/>
      <c r="R511" s="116"/>
      <c r="T511" s="116"/>
    </row>
    <row r="512" spans="16:20" hidden="1">
      <c r="P512" s="116"/>
      <c r="Q512" s="116"/>
      <c r="R512" s="116"/>
      <c r="T512" s="116"/>
    </row>
    <row r="513" spans="16:20" hidden="1">
      <c r="P513" s="116"/>
      <c r="Q513" s="116"/>
      <c r="R513" s="116"/>
      <c r="T513" s="116"/>
    </row>
    <row r="514" spans="16:20" hidden="1">
      <c r="P514" s="116"/>
      <c r="Q514" s="116"/>
      <c r="R514" s="116"/>
      <c r="T514" s="116"/>
    </row>
    <row r="515" spans="16:20" hidden="1">
      <c r="P515" s="116"/>
      <c r="Q515" s="116"/>
      <c r="R515" s="116"/>
      <c r="T515" s="116"/>
    </row>
    <row r="516" spans="16:20" hidden="1">
      <c r="P516" s="116"/>
      <c r="Q516" s="116"/>
      <c r="R516" s="116"/>
      <c r="T516" s="116"/>
    </row>
    <row r="517" spans="16:20" hidden="1">
      <c r="P517" s="116"/>
      <c r="Q517" s="116"/>
      <c r="R517" s="116"/>
      <c r="T517" s="116"/>
    </row>
    <row r="518" spans="16:20" hidden="1">
      <c r="P518" s="116"/>
      <c r="Q518" s="116"/>
      <c r="R518" s="116"/>
      <c r="T518" s="116"/>
    </row>
    <row r="519" spans="16:20" hidden="1">
      <c r="P519" s="116"/>
      <c r="Q519" s="116"/>
      <c r="R519" s="116"/>
      <c r="T519" s="116"/>
    </row>
    <row r="520" spans="16:20" hidden="1">
      <c r="P520" s="116"/>
      <c r="Q520" s="116"/>
      <c r="R520" s="116"/>
      <c r="T520" s="116"/>
    </row>
    <row r="521" spans="16:20" hidden="1">
      <c r="P521" s="116"/>
      <c r="Q521" s="116"/>
      <c r="R521" s="116"/>
      <c r="T521" s="116"/>
    </row>
    <row r="522" spans="16:20" hidden="1">
      <c r="P522" s="116"/>
      <c r="Q522" s="116"/>
      <c r="R522" s="116"/>
      <c r="T522" s="116"/>
    </row>
    <row r="523" spans="16:20" hidden="1">
      <c r="P523" s="116"/>
      <c r="Q523" s="116"/>
      <c r="R523" s="116"/>
      <c r="T523" s="116"/>
    </row>
    <row r="524" spans="16:20" hidden="1">
      <c r="P524" s="116"/>
      <c r="Q524" s="116"/>
      <c r="R524" s="116"/>
      <c r="T524" s="116"/>
    </row>
    <row r="525" spans="16:20" hidden="1">
      <c r="P525" s="116"/>
      <c r="Q525" s="116"/>
      <c r="R525" s="116"/>
      <c r="T525" s="116"/>
    </row>
    <row r="526" spans="16:20" hidden="1">
      <c r="P526" s="116"/>
      <c r="Q526" s="116"/>
      <c r="R526" s="116"/>
      <c r="T526" s="116"/>
    </row>
    <row r="527" spans="16:20" hidden="1">
      <c r="P527" s="116"/>
      <c r="Q527" s="116"/>
      <c r="R527" s="116"/>
      <c r="T527" s="116"/>
    </row>
    <row r="528" spans="16:20" hidden="1">
      <c r="P528" s="116"/>
      <c r="Q528" s="116"/>
      <c r="R528" s="116"/>
      <c r="T528" s="116"/>
    </row>
    <row r="529" spans="16:20" hidden="1">
      <c r="P529" s="116"/>
      <c r="Q529" s="116"/>
      <c r="R529" s="116"/>
      <c r="T529" s="116"/>
    </row>
    <row r="530" spans="16:20" hidden="1">
      <c r="P530" s="116"/>
      <c r="Q530" s="116"/>
      <c r="R530" s="116"/>
      <c r="T530" s="116"/>
    </row>
    <row r="531" spans="16:20" hidden="1">
      <c r="P531" s="116"/>
      <c r="Q531" s="116"/>
      <c r="R531" s="116"/>
      <c r="T531" s="116"/>
    </row>
    <row r="532" spans="16:20" hidden="1">
      <c r="P532" s="116"/>
      <c r="Q532" s="116"/>
      <c r="R532" s="116"/>
      <c r="T532" s="116"/>
    </row>
    <row r="533" spans="16:20" hidden="1">
      <c r="P533" s="116"/>
      <c r="Q533" s="116"/>
      <c r="R533" s="116"/>
      <c r="T533" s="116"/>
    </row>
    <row r="534" spans="16:20" hidden="1">
      <c r="P534" s="116"/>
      <c r="Q534" s="116"/>
      <c r="R534" s="116"/>
      <c r="T534" s="116"/>
    </row>
    <row r="535" spans="16:20" hidden="1">
      <c r="P535" s="116"/>
      <c r="Q535" s="116"/>
      <c r="R535" s="116"/>
      <c r="T535" s="116"/>
    </row>
    <row r="536" spans="16:20" hidden="1">
      <c r="P536" s="116"/>
      <c r="Q536" s="116"/>
      <c r="R536" s="116"/>
      <c r="T536" s="116"/>
    </row>
    <row r="537" spans="16:20" hidden="1">
      <c r="P537" s="116"/>
      <c r="Q537" s="116"/>
      <c r="R537" s="116"/>
      <c r="T537" s="116"/>
    </row>
    <row r="538" spans="16:20" hidden="1">
      <c r="P538" s="116"/>
      <c r="Q538" s="116"/>
      <c r="R538" s="116"/>
      <c r="T538" s="116"/>
    </row>
    <row r="539" spans="16:20" hidden="1">
      <c r="P539" s="116"/>
      <c r="Q539" s="116"/>
      <c r="R539" s="116"/>
      <c r="T539" s="116"/>
    </row>
    <row r="540" spans="16:20" hidden="1">
      <c r="P540" s="116"/>
      <c r="Q540" s="116"/>
      <c r="R540" s="116"/>
      <c r="T540" s="116"/>
    </row>
    <row r="541" spans="16:20" hidden="1">
      <c r="P541" s="116"/>
      <c r="Q541" s="116"/>
      <c r="R541" s="116"/>
      <c r="T541" s="116"/>
    </row>
    <row r="542" spans="16:20" hidden="1">
      <c r="P542" s="116"/>
      <c r="Q542" s="116"/>
      <c r="R542" s="116"/>
      <c r="T542" s="116"/>
    </row>
    <row r="543" spans="16:20" hidden="1">
      <c r="P543" s="116"/>
      <c r="Q543" s="116"/>
      <c r="R543" s="116"/>
      <c r="T543" s="116"/>
    </row>
    <row r="544" spans="16:20" hidden="1">
      <c r="P544" s="116"/>
      <c r="Q544" s="116"/>
      <c r="R544" s="116"/>
      <c r="T544" s="116"/>
    </row>
    <row r="545" spans="16:20" hidden="1">
      <c r="P545" s="116"/>
      <c r="Q545" s="116"/>
      <c r="R545" s="116"/>
      <c r="T545" s="116"/>
    </row>
    <row r="546" spans="16:20" hidden="1">
      <c r="P546" s="116"/>
      <c r="Q546" s="116"/>
      <c r="R546" s="116"/>
      <c r="T546" s="116"/>
    </row>
    <row r="547" spans="16:20" hidden="1">
      <c r="P547" s="116"/>
      <c r="Q547" s="116"/>
      <c r="R547" s="116"/>
      <c r="T547" s="116"/>
    </row>
    <row r="548" spans="16:20" hidden="1">
      <c r="P548" s="116"/>
      <c r="Q548" s="116"/>
      <c r="R548" s="116"/>
      <c r="T548" s="116"/>
    </row>
    <row r="549" spans="16:20" hidden="1">
      <c r="P549" s="116"/>
      <c r="Q549" s="116"/>
      <c r="R549" s="116"/>
      <c r="T549" s="116"/>
    </row>
    <row r="550" spans="16:20" hidden="1">
      <c r="P550" s="116"/>
      <c r="Q550" s="116"/>
      <c r="R550" s="116"/>
      <c r="T550" s="116"/>
    </row>
    <row r="551" spans="16:20" hidden="1">
      <c r="P551" s="116"/>
      <c r="Q551" s="116"/>
      <c r="R551" s="116"/>
      <c r="T551" s="116"/>
    </row>
    <row r="552" spans="16:20" hidden="1">
      <c r="P552" s="116"/>
      <c r="Q552" s="116"/>
      <c r="R552" s="116"/>
      <c r="T552" s="116"/>
    </row>
    <row r="553" spans="16:20" hidden="1">
      <c r="P553" s="116"/>
      <c r="Q553" s="116"/>
      <c r="R553" s="116"/>
      <c r="T553" s="116"/>
    </row>
    <row r="554" spans="16:20" hidden="1">
      <c r="P554" s="116"/>
      <c r="Q554" s="116"/>
      <c r="R554" s="116"/>
      <c r="T554" s="116"/>
    </row>
    <row r="555" spans="16:20" hidden="1">
      <c r="P555" s="116"/>
      <c r="Q555" s="116"/>
      <c r="R555" s="116"/>
      <c r="T555" s="116"/>
    </row>
    <row r="556" spans="16:20" hidden="1">
      <c r="P556" s="116"/>
      <c r="Q556" s="116"/>
      <c r="R556" s="116"/>
      <c r="T556" s="116"/>
    </row>
    <row r="557" spans="16:20" hidden="1">
      <c r="P557" s="116"/>
      <c r="Q557" s="116"/>
      <c r="R557" s="116"/>
      <c r="T557" s="116"/>
    </row>
    <row r="558" spans="16:20" hidden="1">
      <c r="P558" s="116"/>
      <c r="Q558" s="116"/>
      <c r="R558" s="116"/>
      <c r="T558" s="116"/>
    </row>
    <row r="559" spans="16:20" hidden="1">
      <c r="P559" s="116"/>
      <c r="Q559" s="116"/>
      <c r="R559" s="116"/>
      <c r="T559" s="116"/>
    </row>
    <row r="560" spans="16:20" hidden="1">
      <c r="P560" s="116"/>
      <c r="Q560" s="116"/>
      <c r="R560" s="116"/>
      <c r="T560" s="116"/>
    </row>
    <row r="561" spans="16:20" hidden="1">
      <c r="P561" s="116"/>
      <c r="Q561" s="116"/>
      <c r="R561" s="116"/>
      <c r="T561" s="116"/>
    </row>
    <row r="562" spans="16:20" hidden="1">
      <c r="P562" s="116"/>
      <c r="Q562" s="116"/>
      <c r="R562" s="116"/>
      <c r="T562" s="116"/>
    </row>
    <row r="563" spans="16:20" hidden="1">
      <c r="P563" s="116"/>
      <c r="Q563" s="116"/>
      <c r="R563" s="116"/>
      <c r="T563" s="116"/>
    </row>
    <row r="564" spans="16:20" hidden="1">
      <c r="P564" s="116"/>
      <c r="Q564" s="116"/>
      <c r="R564" s="116"/>
      <c r="T564" s="116"/>
    </row>
    <row r="565" spans="16:20" hidden="1">
      <c r="P565" s="116"/>
      <c r="Q565" s="116"/>
      <c r="R565" s="116"/>
      <c r="T565" s="116"/>
    </row>
    <row r="566" spans="16:20" hidden="1">
      <c r="P566" s="116"/>
      <c r="Q566" s="116"/>
      <c r="R566" s="116"/>
      <c r="T566" s="116"/>
    </row>
    <row r="567" spans="16:20" hidden="1">
      <c r="P567" s="116"/>
      <c r="Q567" s="116"/>
      <c r="R567" s="116"/>
      <c r="T567" s="116"/>
    </row>
    <row r="568" spans="16:20" hidden="1">
      <c r="P568" s="116"/>
      <c r="Q568" s="116"/>
      <c r="R568" s="116"/>
      <c r="T568" s="116"/>
    </row>
    <row r="569" spans="16:20" hidden="1">
      <c r="P569" s="116"/>
      <c r="Q569" s="116"/>
      <c r="R569" s="116"/>
      <c r="T569" s="116"/>
    </row>
    <row r="570" spans="16:20" hidden="1">
      <c r="P570" s="116"/>
      <c r="Q570" s="116"/>
      <c r="R570" s="116"/>
      <c r="T570" s="116"/>
    </row>
    <row r="571" spans="16:20" hidden="1">
      <c r="P571" s="116"/>
      <c r="Q571" s="116"/>
      <c r="R571" s="116"/>
      <c r="T571" s="116"/>
    </row>
    <row r="572" spans="16:20" hidden="1">
      <c r="P572" s="116"/>
      <c r="Q572" s="116"/>
      <c r="R572" s="116"/>
      <c r="T572" s="116"/>
    </row>
    <row r="573" spans="16:20" hidden="1">
      <c r="P573" s="116"/>
      <c r="Q573" s="116"/>
      <c r="R573" s="116"/>
      <c r="T573" s="116"/>
    </row>
    <row r="574" spans="16:20" hidden="1">
      <c r="P574" s="116"/>
      <c r="Q574" s="116"/>
      <c r="R574" s="116"/>
      <c r="T574" s="116"/>
    </row>
    <row r="575" spans="16:20" hidden="1">
      <c r="P575" s="116"/>
      <c r="Q575" s="116"/>
      <c r="R575" s="116"/>
      <c r="T575" s="116"/>
    </row>
    <row r="576" spans="16:20" hidden="1">
      <c r="P576" s="116"/>
      <c r="Q576" s="116"/>
      <c r="R576" s="116"/>
      <c r="T576" s="116"/>
    </row>
    <row r="577" spans="16:20" hidden="1">
      <c r="P577" s="116"/>
      <c r="Q577" s="116"/>
      <c r="R577" s="116"/>
      <c r="T577" s="116"/>
    </row>
    <row r="578" spans="16:20" hidden="1">
      <c r="P578" s="116"/>
      <c r="Q578" s="116"/>
      <c r="R578" s="116"/>
      <c r="T578" s="116"/>
    </row>
    <row r="579" spans="16:20" hidden="1">
      <c r="P579" s="116"/>
      <c r="Q579" s="116"/>
      <c r="R579" s="116"/>
      <c r="T579" s="116"/>
    </row>
    <row r="580" spans="16:20" hidden="1">
      <c r="P580" s="116"/>
      <c r="Q580" s="116"/>
      <c r="R580" s="116"/>
      <c r="T580" s="116"/>
    </row>
    <row r="581" spans="16:20" hidden="1">
      <c r="P581" s="116"/>
      <c r="Q581" s="116"/>
      <c r="R581" s="116"/>
      <c r="T581" s="116"/>
    </row>
    <row r="582" spans="16:20" hidden="1">
      <c r="P582" s="116"/>
      <c r="Q582" s="116"/>
      <c r="R582" s="116"/>
      <c r="T582" s="116"/>
    </row>
    <row r="583" spans="16:20" hidden="1">
      <c r="P583" s="116"/>
      <c r="Q583" s="116"/>
      <c r="R583" s="116"/>
      <c r="T583" s="116"/>
    </row>
    <row r="584" spans="16:20" hidden="1">
      <c r="P584" s="116"/>
      <c r="Q584" s="116"/>
      <c r="R584" s="116"/>
      <c r="T584" s="116"/>
    </row>
    <row r="585" spans="16:20" hidden="1">
      <c r="P585" s="116"/>
      <c r="Q585" s="116"/>
      <c r="R585" s="116"/>
      <c r="T585" s="116"/>
    </row>
    <row r="586" spans="16:20" hidden="1">
      <c r="P586" s="116"/>
      <c r="Q586" s="116"/>
      <c r="R586" s="116"/>
      <c r="T586" s="116"/>
    </row>
    <row r="587" spans="16:20" hidden="1">
      <c r="P587" s="116"/>
      <c r="Q587" s="116"/>
      <c r="R587" s="116"/>
      <c r="T587" s="116"/>
    </row>
    <row r="588" spans="16:20" hidden="1">
      <c r="P588" s="116"/>
      <c r="Q588" s="116"/>
      <c r="R588" s="116"/>
      <c r="T588" s="116"/>
    </row>
    <row r="589" spans="16:20" hidden="1">
      <c r="P589" s="116"/>
      <c r="Q589" s="116"/>
      <c r="R589" s="116"/>
      <c r="T589" s="116"/>
    </row>
    <row r="590" spans="16:20" hidden="1">
      <c r="P590" s="116"/>
      <c r="Q590" s="116"/>
      <c r="R590" s="116"/>
      <c r="T590" s="116"/>
    </row>
    <row r="591" spans="16:20" hidden="1">
      <c r="P591" s="116"/>
      <c r="Q591" s="116"/>
      <c r="R591" s="116"/>
      <c r="T591" s="116"/>
    </row>
    <row r="592" spans="16:20" hidden="1">
      <c r="P592" s="116"/>
      <c r="Q592" s="116"/>
      <c r="R592" s="116"/>
      <c r="T592" s="116"/>
    </row>
    <row r="593" spans="16:20" hidden="1">
      <c r="P593" s="116"/>
      <c r="Q593" s="116"/>
      <c r="R593" s="116"/>
      <c r="T593" s="116"/>
    </row>
    <row r="594" spans="16:20" hidden="1">
      <c r="P594" s="116"/>
      <c r="Q594" s="116"/>
      <c r="R594" s="116"/>
      <c r="T594" s="116"/>
    </row>
    <row r="595" spans="16:20" hidden="1">
      <c r="P595" s="116"/>
      <c r="Q595" s="116"/>
      <c r="R595" s="116"/>
      <c r="T595" s="116"/>
    </row>
    <row r="596" spans="16:20" hidden="1">
      <c r="P596" s="116"/>
      <c r="Q596" s="116"/>
      <c r="R596" s="116"/>
      <c r="T596" s="116"/>
    </row>
    <row r="597" spans="16:20" hidden="1">
      <c r="P597" s="116"/>
      <c r="Q597" s="116"/>
      <c r="R597" s="116"/>
      <c r="T597" s="116"/>
    </row>
    <row r="598" spans="16:20" hidden="1">
      <c r="P598" s="116"/>
      <c r="Q598" s="116"/>
      <c r="R598" s="116"/>
      <c r="T598" s="116"/>
    </row>
    <row r="599" spans="16:20" hidden="1">
      <c r="P599" s="116"/>
      <c r="Q599" s="116"/>
      <c r="R599" s="116"/>
      <c r="T599" s="116"/>
    </row>
    <row r="600" spans="16:20" hidden="1">
      <c r="P600" s="116"/>
      <c r="Q600" s="116"/>
      <c r="R600" s="116"/>
      <c r="T600" s="116"/>
    </row>
    <row r="601" spans="16:20" hidden="1">
      <c r="P601" s="116"/>
      <c r="Q601" s="116"/>
      <c r="R601" s="116"/>
      <c r="T601" s="116"/>
    </row>
    <row r="602" spans="16:20" hidden="1">
      <c r="P602" s="116"/>
      <c r="Q602" s="116"/>
      <c r="R602" s="116"/>
      <c r="T602" s="116"/>
    </row>
    <row r="603" spans="16:20" hidden="1">
      <c r="P603" s="116"/>
      <c r="Q603" s="116"/>
      <c r="R603" s="116"/>
      <c r="T603" s="116"/>
    </row>
    <row r="604" spans="16:20" hidden="1">
      <c r="P604" s="116"/>
      <c r="Q604" s="116"/>
      <c r="R604" s="116"/>
      <c r="T604" s="116"/>
    </row>
    <row r="605" spans="16:20" hidden="1">
      <c r="P605" s="116"/>
      <c r="Q605" s="116"/>
      <c r="R605" s="116"/>
      <c r="T605" s="116"/>
    </row>
    <row r="606" spans="16:20" hidden="1">
      <c r="P606" s="116"/>
      <c r="Q606" s="116"/>
      <c r="R606" s="116"/>
      <c r="T606" s="116"/>
    </row>
    <row r="607" spans="16:20" hidden="1">
      <c r="P607" s="116"/>
      <c r="Q607" s="116"/>
      <c r="R607" s="116"/>
      <c r="T607" s="116"/>
    </row>
    <row r="608" spans="16:20" hidden="1">
      <c r="P608" s="116"/>
      <c r="Q608" s="116"/>
      <c r="R608" s="116"/>
      <c r="T608" s="116"/>
    </row>
    <row r="609" spans="16:20" hidden="1">
      <c r="P609" s="116"/>
      <c r="Q609" s="116"/>
      <c r="R609" s="116"/>
      <c r="T609" s="116"/>
    </row>
    <row r="610" spans="16:20" hidden="1">
      <c r="P610" s="116"/>
      <c r="Q610" s="116"/>
      <c r="R610" s="116"/>
      <c r="T610" s="116"/>
    </row>
    <row r="611" spans="16:20" hidden="1">
      <c r="P611" s="116"/>
      <c r="Q611" s="116"/>
      <c r="R611" s="116"/>
      <c r="T611" s="116"/>
    </row>
    <row r="612" spans="16:20" hidden="1">
      <c r="P612" s="116"/>
      <c r="Q612" s="116"/>
      <c r="R612" s="116"/>
      <c r="T612" s="116"/>
    </row>
    <row r="613" spans="16:20" hidden="1">
      <c r="P613" s="116"/>
      <c r="Q613" s="116"/>
      <c r="R613" s="116"/>
      <c r="T613" s="116"/>
    </row>
    <row r="614" spans="16:20" hidden="1">
      <c r="P614" s="116"/>
      <c r="Q614" s="116"/>
      <c r="R614" s="116"/>
      <c r="T614" s="116"/>
    </row>
    <row r="615" spans="16:20" hidden="1">
      <c r="P615" s="116"/>
      <c r="Q615" s="116"/>
      <c r="R615" s="116"/>
      <c r="T615" s="116"/>
    </row>
    <row r="616" spans="16:20" hidden="1">
      <c r="P616" s="116"/>
      <c r="Q616" s="116"/>
      <c r="R616" s="116"/>
      <c r="T616" s="116"/>
    </row>
    <row r="617" spans="16:20" hidden="1">
      <c r="P617" s="116"/>
      <c r="Q617" s="116"/>
      <c r="R617" s="116"/>
      <c r="T617" s="116"/>
    </row>
    <row r="618" spans="16:20" hidden="1">
      <c r="P618" s="116"/>
      <c r="Q618" s="116"/>
      <c r="R618" s="116"/>
      <c r="T618" s="116"/>
    </row>
    <row r="619" spans="16:20" hidden="1">
      <c r="P619" s="116"/>
      <c r="Q619" s="116"/>
      <c r="R619" s="116"/>
      <c r="T619" s="116"/>
    </row>
    <row r="620" spans="16:20" hidden="1">
      <c r="P620" s="116"/>
      <c r="Q620" s="116"/>
      <c r="R620" s="116"/>
      <c r="T620" s="116"/>
    </row>
    <row r="621" spans="16:20" hidden="1">
      <c r="P621" s="116"/>
      <c r="Q621" s="116"/>
      <c r="R621" s="116"/>
      <c r="T621" s="116"/>
    </row>
    <row r="622" spans="16:20" hidden="1">
      <c r="P622" s="116"/>
      <c r="Q622" s="116"/>
      <c r="R622" s="116"/>
      <c r="T622" s="116"/>
    </row>
    <row r="623" spans="16:20" hidden="1">
      <c r="P623" s="116"/>
      <c r="Q623" s="116"/>
      <c r="R623" s="116"/>
      <c r="T623" s="116"/>
    </row>
    <row r="624" spans="16:20" hidden="1">
      <c r="P624" s="116"/>
      <c r="Q624" s="116"/>
      <c r="R624" s="116"/>
      <c r="T624" s="116"/>
    </row>
    <row r="625" spans="16:20" hidden="1">
      <c r="P625" s="116"/>
      <c r="Q625" s="116"/>
      <c r="R625" s="116"/>
      <c r="T625" s="116"/>
    </row>
    <row r="626" spans="16:20" hidden="1">
      <c r="P626" s="116"/>
      <c r="Q626" s="116"/>
      <c r="R626" s="116"/>
      <c r="T626" s="116"/>
    </row>
    <row r="627" spans="16:20" hidden="1">
      <c r="P627" s="116"/>
      <c r="Q627" s="116"/>
      <c r="R627" s="116"/>
      <c r="T627" s="116"/>
    </row>
    <row r="628" spans="16:20" hidden="1">
      <c r="P628" s="116"/>
      <c r="Q628" s="116"/>
      <c r="R628" s="116"/>
      <c r="T628" s="116"/>
    </row>
    <row r="629" spans="16:20" hidden="1">
      <c r="P629" s="116"/>
      <c r="Q629" s="116"/>
      <c r="R629" s="116"/>
      <c r="T629" s="116"/>
    </row>
    <row r="630" spans="16:20" hidden="1">
      <c r="P630" s="116"/>
      <c r="Q630" s="116"/>
      <c r="R630" s="116"/>
      <c r="T630" s="116"/>
    </row>
    <row r="631" spans="16:20" hidden="1">
      <c r="P631" s="116"/>
      <c r="Q631" s="116"/>
      <c r="R631" s="116"/>
      <c r="T631" s="116"/>
    </row>
    <row r="632" spans="16:20" hidden="1">
      <c r="P632" s="116"/>
      <c r="Q632" s="116"/>
      <c r="R632" s="116"/>
      <c r="T632" s="116"/>
    </row>
    <row r="633" spans="16:20" hidden="1">
      <c r="P633" s="116"/>
      <c r="Q633" s="116"/>
      <c r="R633" s="116"/>
      <c r="T633" s="116"/>
    </row>
    <row r="634" spans="16:20" hidden="1">
      <c r="P634" s="116"/>
      <c r="Q634" s="116"/>
      <c r="R634" s="116"/>
      <c r="T634" s="116"/>
    </row>
    <row r="635" spans="16:20" hidden="1">
      <c r="P635" s="116"/>
      <c r="Q635" s="116"/>
      <c r="R635" s="116"/>
      <c r="T635" s="116"/>
    </row>
    <row r="636" spans="16:20" hidden="1">
      <c r="P636" s="116"/>
      <c r="Q636" s="116"/>
      <c r="R636" s="116"/>
      <c r="T636" s="116"/>
    </row>
    <row r="637" spans="16:20" hidden="1">
      <c r="P637" s="116"/>
      <c r="Q637" s="116"/>
      <c r="R637" s="116"/>
      <c r="T637" s="116"/>
    </row>
    <row r="638" spans="16:20" hidden="1">
      <c r="P638" s="116"/>
      <c r="Q638" s="116"/>
      <c r="R638" s="116"/>
      <c r="T638" s="116"/>
    </row>
    <row r="639" spans="16:20" hidden="1">
      <c r="P639" s="116"/>
      <c r="Q639" s="116"/>
      <c r="R639" s="116"/>
      <c r="T639" s="116"/>
    </row>
    <row r="640" spans="16:20" hidden="1">
      <c r="P640" s="116"/>
      <c r="Q640" s="116"/>
      <c r="R640" s="116"/>
      <c r="T640" s="116"/>
    </row>
    <row r="641" spans="16:20" hidden="1">
      <c r="P641" s="116"/>
      <c r="Q641" s="116"/>
      <c r="R641" s="116"/>
      <c r="T641" s="116"/>
    </row>
    <row r="642" spans="16:20" hidden="1">
      <c r="P642" s="116"/>
      <c r="Q642" s="116"/>
      <c r="R642" s="116"/>
      <c r="T642" s="116"/>
    </row>
    <row r="643" spans="16:20" hidden="1">
      <c r="P643" s="116"/>
      <c r="Q643" s="116"/>
      <c r="R643" s="116"/>
      <c r="T643" s="116"/>
    </row>
    <row r="644" spans="16:20" hidden="1">
      <c r="P644" s="116"/>
      <c r="Q644" s="116"/>
      <c r="R644" s="116"/>
      <c r="T644" s="116"/>
    </row>
    <row r="645" spans="16:20" hidden="1">
      <c r="P645" s="116"/>
      <c r="Q645" s="116"/>
      <c r="R645" s="116"/>
      <c r="T645" s="116"/>
    </row>
    <row r="646" spans="16:20" hidden="1">
      <c r="P646" s="116"/>
      <c r="Q646" s="116"/>
      <c r="R646" s="116"/>
      <c r="T646" s="116"/>
    </row>
    <row r="647" spans="16:20" hidden="1">
      <c r="P647" s="116"/>
      <c r="Q647" s="116"/>
      <c r="R647" s="116"/>
      <c r="T647" s="116"/>
    </row>
    <row r="648" spans="16:20" hidden="1">
      <c r="P648" s="116"/>
      <c r="Q648" s="116"/>
      <c r="R648" s="116"/>
      <c r="T648" s="116"/>
    </row>
    <row r="649" spans="16:20" hidden="1">
      <c r="P649" s="116"/>
      <c r="Q649" s="116"/>
      <c r="R649" s="116"/>
      <c r="T649" s="116"/>
    </row>
    <row r="650" spans="16:20" hidden="1">
      <c r="P650" s="116"/>
      <c r="Q650" s="116"/>
      <c r="R650" s="116"/>
      <c r="T650" s="116"/>
    </row>
    <row r="651" spans="16:20" hidden="1">
      <c r="P651" s="116"/>
      <c r="Q651" s="116"/>
      <c r="R651" s="116"/>
      <c r="T651" s="116"/>
    </row>
    <row r="652" spans="16:20" hidden="1">
      <c r="P652" s="116"/>
      <c r="Q652" s="116"/>
      <c r="R652" s="116"/>
      <c r="T652" s="116"/>
    </row>
    <row r="653" spans="16:20" hidden="1">
      <c r="P653" s="116"/>
      <c r="Q653" s="116"/>
      <c r="R653" s="116"/>
      <c r="T653" s="116"/>
    </row>
    <row r="654" spans="16:20" hidden="1">
      <c r="P654" s="116"/>
      <c r="Q654" s="116"/>
      <c r="R654" s="116"/>
      <c r="T654" s="116"/>
    </row>
    <row r="655" spans="16:20" hidden="1">
      <c r="P655" s="116"/>
      <c r="Q655" s="116"/>
      <c r="R655" s="116"/>
      <c r="T655" s="116"/>
    </row>
    <row r="656" spans="16:20" hidden="1">
      <c r="P656" s="116"/>
      <c r="Q656" s="116"/>
      <c r="R656" s="116"/>
      <c r="T656" s="116"/>
    </row>
    <row r="657" spans="16:20" hidden="1">
      <c r="P657" s="116"/>
      <c r="Q657" s="116"/>
      <c r="R657" s="116"/>
      <c r="T657" s="116"/>
    </row>
    <row r="658" spans="16:20" hidden="1">
      <c r="P658" s="116"/>
      <c r="Q658" s="116"/>
      <c r="R658" s="116"/>
      <c r="T658" s="116"/>
    </row>
    <row r="659" spans="16:20" hidden="1">
      <c r="P659" s="116"/>
      <c r="Q659" s="116"/>
      <c r="R659" s="116"/>
      <c r="T659" s="116"/>
    </row>
    <row r="660" spans="16:20" hidden="1">
      <c r="P660" s="116"/>
      <c r="Q660" s="116"/>
      <c r="R660" s="116"/>
      <c r="T660" s="116"/>
    </row>
    <row r="661" spans="16:20" hidden="1">
      <c r="P661" s="116"/>
      <c r="Q661" s="116"/>
      <c r="R661" s="116"/>
      <c r="T661" s="116"/>
    </row>
    <row r="662" spans="16:20" hidden="1">
      <c r="P662" s="116"/>
      <c r="Q662" s="116"/>
      <c r="R662" s="116"/>
      <c r="T662" s="116"/>
    </row>
    <row r="663" spans="16:20" hidden="1">
      <c r="P663" s="116"/>
      <c r="Q663" s="116"/>
      <c r="R663" s="116"/>
      <c r="T663" s="116"/>
    </row>
    <row r="664" spans="16:20" hidden="1">
      <c r="P664" s="116"/>
      <c r="Q664" s="116"/>
      <c r="R664" s="116"/>
      <c r="T664" s="116"/>
    </row>
    <row r="665" spans="16:20" hidden="1">
      <c r="P665" s="116"/>
      <c r="Q665" s="116"/>
      <c r="R665" s="116"/>
      <c r="T665" s="116"/>
    </row>
    <row r="666" spans="16:20" hidden="1">
      <c r="P666" s="116"/>
      <c r="Q666" s="116"/>
      <c r="R666" s="116"/>
      <c r="T666" s="116"/>
    </row>
    <row r="667" spans="16:20" hidden="1">
      <c r="P667" s="116"/>
      <c r="Q667" s="116"/>
      <c r="R667" s="116"/>
      <c r="T667" s="116"/>
    </row>
    <row r="668" spans="16:20" hidden="1">
      <c r="P668" s="116"/>
      <c r="Q668" s="116"/>
      <c r="R668" s="116"/>
      <c r="T668" s="116"/>
    </row>
    <row r="669" spans="16:20" hidden="1">
      <c r="P669" s="116"/>
      <c r="Q669" s="116"/>
      <c r="R669" s="116"/>
      <c r="T669" s="116"/>
    </row>
    <row r="670" spans="16:20" hidden="1">
      <c r="P670" s="116"/>
      <c r="Q670" s="116"/>
      <c r="R670" s="116"/>
      <c r="T670" s="116"/>
    </row>
    <row r="671" spans="16:20" hidden="1">
      <c r="P671" s="116"/>
      <c r="Q671" s="116"/>
      <c r="R671" s="116"/>
      <c r="T671" s="116"/>
    </row>
    <row r="672" spans="16:20" hidden="1">
      <c r="P672" s="116"/>
      <c r="Q672" s="116"/>
      <c r="R672" s="116"/>
      <c r="T672" s="116"/>
    </row>
    <row r="673" spans="16:20" hidden="1">
      <c r="P673" s="116"/>
      <c r="Q673" s="116"/>
      <c r="R673" s="116"/>
      <c r="T673" s="116"/>
    </row>
    <row r="674" spans="16:20" hidden="1">
      <c r="P674" s="116"/>
      <c r="Q674" s="116"/>
      <c r="R674" s="116"/>
      <c r="T674" s="116"/>
    </row>
    <row r="675" spans="16:20" hidden="1">
      <c r="P675" s="116"/>
      <c r="Q675" s="116"/>
      <c r="R675" s="116"/>
      <c r="T675" s="116"/>
    </row>
    <row r="676" spans="16:20" hidden="1">
      <c r="P676" s="116"/>
      <c r="Q676" s="116"/>
      <c r="R676" s="116"/>
      <c r="T676" s="116"/>
    </row>
    <row r="677" spans="16:20" hidden="1">
      <c r="P677" s="116"/>
      <c r="Q677" s="116"/>
      <c r="R677" s="116"/>
      <c r="T677" s="116"/>
    </row>
    <row r="678" spans="16:20" hidden="1">
      <c r="P678" s="116"/>
      <c r="Q678" s="116"/>
      <c r="R678" s="116"/>
      <c r="T678" s="116"/>
    </row>
    <row r="679" spans="16:20" hidden="1">
      <c r="P679" s="116"/>
      <c r="Q679" s="116"/>
      <c r="R679" s="116"/>
      <c r="T679" s="116"/>
    </row>
    <row r="680" spans="16:20" hidden="1">
      <c r="P680" s="116"/>
      <c r="Q680" s="116"/>
      <c r="R680" s="116"/>
      <c r="T680" s="116"/>
    </row>
    <row r="681" spans="16:20" hidden="1">
      <c r="P681" s="116"/>
      <c r="Q681" s="116"/>
      <c r="R681" s="116"/>
      <c r="T681" s="116"/>
    </row>
    <row r="682" spans="16:20" hidden="1">
      <c r="P682" s="116"/>
      <c r="Q682" s="116"/>
      <c r="R682" s="116"/>
      <c r="T682" s="116"/>
    </row>
    <row r="683" spans="16:20" hidden="1">
      <c r="P683" s="116"/>
      <c r="Q683" s="116"/>
      <c r="R683" s="116"/>
      <c r="T683" s="116"/>
    </row>
    <row r="684" spans="16:20" hidden="1">
      <c r="P684" s="116"/>
      <c r="Q684" s="116"/>
      <c r="R684" s="116"/>
      <c r="T684" s="116"/>
    </row>
    <row r="685" spans="16:20" hidden="1">
      <c r="P685" s="116"/>
      <c r="Q685" s="116"/>
      <c r="R685" s="116"/>
      <c r="T685" s="116"/>
    </row>
    <row r="686" spans="16:20" hidden="1">
      <c r="P686" s="116"/>
      <c r="Q686" s="116"/>
      <c r="R686" s="116"/>
      <c r="T686" s="116"/>
    </row>
    <row r="687" spans="16:20" hidden="1">
      <c r="P687" s="116"/>
      <c r="Q687" s="116"/>
      <c r="R687" s="116"/>
      <c r="T687" s="116"/>
    </row>
    <row r="688" spans="16:20" hidden="1">
      <c r="P688" s="116"/>
      <c r="Q688" s="116"/>
      <c r="R688" s="116"/>
      <c r="T688" s="116"/>
    </row>
    <row r="689" spans="16:20" hidden="1">
      <c r="P689" s="116"/>
      <c r="Q689" s="116"/>
      <c r="R689" s="116"/>
      <c r="T689" s="116"/>
    </row>
    <row r="690" spans="16:20" hidden="1">
      <c r="P690" s="116"/>
      <c r="Q690" s="116"/>
      <c r="R690" s="116"/>
      <c r="T690" s="116"/>
    </row>
    <row r="691" spans="16:20" hidden="1">
      <c r="P691" s="116"/>
      <c r="Q691" s="116"/>
      <c r="R691" s="116"/>
      <c r="T691" s="116"/>
    </row>
    <row r="692" spans="16:20" hidden="1">
      <c r="P692" s="116"/>
      <c r="Q692" s="116"/>
      <c r="R692" s="116"/>
      <c r="T692" s="116"/>
    </row>
    <row r="693" spans="16:20" hidden="1">
      <c r="P693" s="116"/>
      <c r="Q693" s="116"/>
      <c r="R693" s="116"/>
      <c r="T693" s="116"/>
    </row>
    <row r="694" spans="16:20" hidden="1">
      <c r="P694" s="116"/>
      <c r="Q694" s="116"/>
      <c r="R694" s="116"/>
      <c r="T694" s="116"/>
    </row>
    <row r="695" spans="16:20" hidden="1">
      <c r="P695" s="116"/>
      <c r="Q695" s="116"/>
      <c r="R695" s="116"/>
      <c r="T695" s="116"/>
    </row>
    <row r="696" spans="16:20" hidden="1">
      <c r="P696" s="116"/>
      <c r="Q696" s="116"/>
      <c r="R696" s="116"/>
      <c r="T696" s="116"/>
    </row>
    <row r="697" spans="16:20" hidden="1">
      <c r="P697" s="116"/>
      <c r="Q697" s="116"/>
      <c r="R697" s="116"/>
      <c r="T697" s="116"/>
    </row>
    <row r="698" spans="16:20" hidden="1">
      <c r="P698" s="116"/>
      <c r="Q698" s="116"/>
      <c r="R698" s="116"/>
      <c r="T698" s="116"/>
    </row>
    <row r="699" spans="16:20" hidden="1">
      <c r="P699" s="116"/>
      <c r="Q699" s="116"/>
      <c r="R699" s="116"/>
      <c r="T699" s="116"/>
    </row>
    <row r="700" spans="16:20" hidden="1">
      <c r="P700" s="116"/>
      <c r="Q700" s="116"/>
      <c r="R700" s="116"/>
      <c r="T700" s="116"/>
    </row>
    <row r="701" spans="16:20" hidden="1">
      <c r="P701" s="116"/>
      <c r="Q701" s="116"/>
      <c r="R701" s="116"/>
      <c r="T701" s="116"/>
    </row>
    <row r="702" spans="16:20" hidden="1">
      <c r="P702" s="116"/>
      <c r="Q702" s="116"/>
      <c r="R702" s="116"/>
      <c r="T702" s="116"/>
    </row>
    <row r="703" spans="16:20" hidden="1">
      <c r="P703" s="116"/>
      <c r="Q703" s="116"/>
      <c r="R703" s="116"/>
      <c r="T703" s="116"/>
    </row>
    <row r="704" spans="16:20" hidden="1">
      <c r="P704" s="116"/>
      <c r="Q704" s="116"/>
      <c r="R704" s="116"/>
      <c r="T704" s="116"/>
    </row>
    <row r="705" spans="16:20" hidden="1">
      <c r="P705" s="116"/>
      <c r="Q705" s="116"/>
      <c r="R705" s="116"/>
      <c r="T705" s="116"/>
    </row>
    <row r="706" spans="16:20" hidden="1">
      <c r="P706" s="116"/>
      <c r="Q706" s="116"/>
      <c r="R706" s="116"/>
      <c r="T706" s="116"/>
    </row>
    <row r="707" spans="16:20" hidden="1">
      <c r="P707" s="116"/>
      <c r="Q707" s="116"/>
      <c r="R707" s="116"/>
      <c r="T707" s="116"/>
    </row>
    <row r="708" spans="16:20" hidden="1">
      <c r="P708" s="116"/>
      <c r="Q708" s="116"/>
      <c r="R708" s="116"/>
      <c r="T708" s="116"/>
    </row>
    <row r="709" spans="16:20" hidden="1">
      <c r="P709" s="116"/>
      <c r="Q709" s="116"/>
      <c r="R709" s="116"/>
      <c r="T709" s="116"/>
    </row>
    <row r="710" spans="16:20" hidden="1">
      <c r="P710" s="116"/>
      <c r="Q710" s="116"/>
      <c r="R710" s="116"/>
      <c r="T710" s="116"/>
    </row>
    <row r="711" spans="16:20" hidden="1">
      <c r="P711" s="116"/>
      <c r="Q711" s="116"/>
      <c r="R711" s="116"/>
      <c r="T711" s="116"/>
    </row>
    <row r="712" spans="16:20" hidden="1">
      <c r="P712" s="116"/>
      <c r="Q712" s="116"/>
      <c r="R712" s="116"/>
      <c r="T712" s="116"/>
    </row>
    <row r="713" spans="16:20" hidden="1">
      <c r="P713" s="116"/>
      <c r="Q713" s="116"/>
      <c r="R713" s="116"/>
      <c r="T713" s="116"/>
    </row>
    <row r="714" spans="16:20" hidden="1">
      <c r="P714" s="116"/>
      <c r="Q714" s="116"/>
      <c r="R714" s="116"/>
      <c r="T714" s="116"/>
    </row>
    <row r="715" spans="16:20" hidden="1">
      <c r="P715" s="116"/>
      <c r="Q715" s="116"/>
      <c r="R715" s="116"/>
      <c r="T715" s="116"/>
    </row>
    <row r="716" spans="16:20" hidden="1">
      <c r="P716" s="116"/>
      <c r="Q716" s="116"/>
      <c r="R716" s="116"/>
    </row>
    <row r="717" spans="16:20" hidden="1">
      <c r="P717" s="116"/>
      <c r="Q717" s="116"/>
      <c r="R717" s="116"/>
    </row>
    <row r="718" spans="16:20" hidden="1">
      <c r="P718" s="116"/>
      <c r="Q718" s="116"/>
      <c r="R718" s="116"/>
    </row>
    <row r="719" spans="16:20" hidden="1">
      <c r="P719" s="116"/>
      <c r="Q719" s="116"/>
      <c r="R719" s="116"/>
    </row>
    <row r="720" spans="16:20" hidden="1">
      <c r="P720" s="116"/>
      <c r="Q720" s="116"/>
      <c r="R720" s="116"/>
    </row>
    <row r="721" spans="16:18" hidden="1">
      <c r="P721" s="116"/>
      <c r="Q721" s="116"/>
      <c r="R721" s="116"/>
    </row>
    <row r="722" spans="16:18" hidden="1">
      <c r="P722" s="116"/>
      <c r="Q722" s="116"/>
      <c r="R722" s="116"/>
    </row>
    <row r="723" spans="16:18" hidden="1">
      <c r="P723" s="116"/>
      <c r="Q723" s="116"/>
      <c r="R723" s="116"/>
    </row>
    <row r="724" spans="16:18" hidden="1">
      <c r="P724" s="116"/>
      <c r="Q724" s="116"/>
    </row>
    <row r="725" spans="16:18" hidden="1">
      <c r="P725" s="116"/>
      <c r="Q725" s="116"/>
    </row>
    <row r="726" spans="16:18" hidden="1">
      <c r="P726" s="116"/>
      <c r="Q726" s="116"/>
    </row>
    <row r="727" spans="16:18" hidden="1">
      <c r="P727" s="116"/>
      <c r="Q727" s="116"/>
    </row>
    <row r="728" spans="16:18" hidden="1">
      <c r="P728" s="116"/>
      <c r="Q728" s="116"/>
    </row>
    <row r="729" spans="16:18" hidden="1">
      <c r="P729" s="116"/>
      <c r="Q729" s="116"/>
    </row>
    <row r="730" spans="16:18" hidden="1">
      <c r="P730" s="116"/>
      <c r="Q730" s="116"/>
    </row>
    <row r="731" spans="16:18" hidden="1">
      <c r="P731" s="116"/>
      <c r="Q731" s="116"/>
    </row>
    <row r="732" spans="16:18" hidden="1">
      <c r="P732" s="116"/>
      <c r="Q732" s="116"/>
    </row>
    <row r="733" spans="16:18" hidden="1">
      <c r="P733" s="116"/>
      <c r="Q733" s="116"/>
    </row>
    <row r="734" spans="16:18" hidden="1">
      <c r="P734" s="116"/>
      <c r="Q734" s="116"/>
    </row>
    <row r="735" spans="16:18" hidden="1">
      <c r="P735" s="116"/>
      <c r="Q735" s="116"/>
    </row>
    <row r="736" spans="16:18" hidden="1">
      <c r="P736" s="116"/>
      <c r="Q736" s="116"/>
    </row>
    <row r="737" spans="16:17" hidden="1">
      <c r="P737" s="116"/>
      <c r="Q737" s="116"/>
    </row>
    <row r="738" spans="16:17" hidden="1">
      <c r="P738" s="116"/>
      <c r="Q738" s="116"/>
    </row>
    <row r="739" spans="16:17" hidden="1">
      <c r="P739" s="116"/>
      <c r="Q739" s="116"/>
    </row>
    <row r="740" spans="16:17" hidden="1">
      <c r="P740" s="116"/>
      <c r="Q740" s="116"/>
    </row>
    <row r="741" spans="16:17" hidden="1">
      <c r="P741" s="116"/>
      <c r="Q741" s="116"/>
    </row>
    <row r="742" spans="16:17" hidden="1">
      <c r="P742" s="116"/>
      <c r="Q742" s="116"/>
    </row>
    <row r="743" spans="16:17" hidden="1">
      <c r="P743" s="116"/>
      <c r="Q743" s="116"/>
    </row>
    <row r="744" spans="16:17" hidden="1">
      <c r="P744" s="116"/>
      <c r="Q744" s="116"/>
    </row>
    <row r="745" spans="16:17" hidden="1">
      <c r="P745" s="116"/>
      <c r="Q745" s="116"/>
    </row>
    <row r="746" spans="16:17" hidden="1">
      <c r="P746" s="116"/>
      <c r="Q746" s="116"/>
    </row>
    <row r="747" spans="16:17" hidden="1">
      <c r="P747" s="116"/>
      <c r="Q747" s="116"/>
    </row>
    <row r="748" spans="16:17" hidden="1">
      <c r="P748" s="116"/>
      <c r="Q748" s="116"/>
    </row>
    <row r="749" spans="16:17" hidden="1">
      <c r="P749" s="116"/>
      <c r="Q749" s="116"/>
    </row>
    <row r="750" spans="16:17" hidden="1">
      <c r="P750" s="116"/>
      <c r="Q750" s="116"/>
    </row>
    <row r="751" spans="16:17" hidden="1">
      <c r="P751" s="116"/>
      <c r="Q751" s="116"/>
    </row>
    <row r="752" spans="16:17" hidden="1">
      <c r="P752" s="116"/>
      <c r="Q752" s="116"/>
    </row>
    <row r="753" spans="16:17" hidden="1">
      <c r="P753" s="116"/>
      <c r="Q753" s="116"/>
    </row>
    <row r="754" spans="16:17" hidden="1">
      <c r="P754" s="116"/>
      <c r="Q754" s="116"/>
    </row>
    <row r="755" spans="16:17" hidden="1">
      <c r="P755" s="116"/>
      <c r="Q755" s="116"/>
    </row>
    <row r="756" spans="16:17" hidden="1">
      <c r="P756" s="116"/>
      <c r="Q756" s="116"/>
    </row>
    <row r="757" spans="16:17" hidden="1">
      <c r="P757" s="116"/>
      <c r="Q757" s="116"/>
    </row>
    <row r="758" spans="16:17" hidden="1">
      <c r="P758" s="116"/>
      <c r="Q758" s="116"/>
    </row>
    <row r="759" spans="16:17" hidden="1">
      <c r="P759" s="116"/>
      <c r="Q759" s="116"/>
    </row>
    <row r="760" spans="16:17" hidden="1">
      <c r="P760" s="116"/>
      <c r="Q760" s="116"/>
    </row>
    <row r="761" spans="16:17" hidden="1">
      <c r="P761" s="116"/>
      <c r="Q761" s="116"/>
    </row>
    <row r="762" spans="16:17" hidden="1">
      <c r="P762" s="116"/>
      <c r="Q762" s="116"/>
    </row>
    <row r="763" spans="16:17" hidden="1">
      <c r="P763" s="116"/>
      <c r="Q763" s="116"/>
    </row>
    <row r="764" spans="16:17" hidden="1">
      <c r="P764" s="116"/>
      <c r="Q764" s="116"/>
    </row>
    <row r="765" spans="16:17" hidden="1">
      <c r="P765" s="116"/>
      <c r="Q765" s="116"/>
    </row>
    <row r="766" spans="16:17" hidden="1">
      <c r="P766" s="116"/>
      <c r="Q766" s="116"/>
    </row>
    <row r="767" spans="16:17" hidden="1">
      <c r="P767" s="116"/>
      <c r="Q767" s="116"/>
    </row>
    <row r="768" spans="16:17" hidden="1">
      <c r="P768" s="116"/>
      <c r="Q768" s="116"/>
    </row>
    <row r="769" spans="16:17" hidden="1">
      <c r="P769" s="116"/>
      <c r="Q769" s="116"/>
    </row>
    <row r="770" spans="16:17" hidden="1">
      <c r="P770" s="116"/>
      <c r="Q770" s="116"/>
    </row>
    <row r="771" spans="16:17" hidden="1">
      <c r="P771" s="116"/>
      <c r="Q771" s="116"/>
    </row>
    <row r="772" spans="16:17" hidden="1">
      <c r="P772" s="116"/>
      <c r="Q772" s="116"/>
    </row>
    <row r="773" spans="16:17" hidden="1">
      <c r="P773" s="116"/>
      <c r="Q773" s="116"/>
    </row>
    <row r="774" spans="16:17" hidden="1">
      <c r="P774" s="116"/>
      <c r="Q774" s="116"/>
    </row>
    <row r="775" spans="16:17" hidden="1">
      <c r="P775" s="116"/>
      <c r="Q775" s="116"/>
    </row>
    <row r="776" spans="16:17" hidden="1">
      <c r="P776" s="116"/>
      <c r="Q776" s="116"/>
    </row>
    <row r="777" spans="16:17" hidden="1">
      <c r="P777" s="116"/>
      <c r="Q777" s="116"/>
    </row>
    <row r="778" spans="16:17" hidden="1">
      <c r="P778" s="116"/>
      <c r="Q778" s="116"/>
    </row>
    <row r="779" spans="16:17" hidden="1">
      <c r="P779" s="116"/>
      <c r="Q779" s="116"/>
    </row>
    <row r="780" spans="16:17" hidden="1">
      <c r="P780" s="116"/>
      <c r="Q780" s="116"/>
    </row>
    <row r="781" spans="16:17" hidden="1">
      <c r="P781" s="116"/>
      <c r="Q781" s="116"/>
    </row>
    <row r="782" spans="16:17" hidden="1">
      <c r="P782" s="116"/>
      <c r="Q782" s="116"/>
    </row>
    <row r="783" spans="16:17" hidden="1">
      <c r="P783" s="116"/>
      <c r="Q783" s="116"/>
    </row>
    <row r="784" spans="16:17" hidden="1">
      <c r="P784" s="116"/>
      <c r="Q784" s="116"/>
    </row>
    <row r="785" spans="16:17" hidden="1">
      <c r="P785" s="116"/>
      <c r="Q785" s="116"/>
    </row>
    <row r="786" spans="16:17" hidden="1">
      <c r="P786" s="116"/>
      <c r="Q786" s="116"/>
    </row>
    <row r="787" spans="16:17" hidden="1">
      <c r="P787" s="116"/>
      <c r="Q787" s="116"/>
    </row>
    <row r="788" spans="16:17" hidden="1">
      <c r="P788" s="116"/>
      <c r="Q788" s="116"/>
    </row>
    <row r="789" spans="16:17" hidden="1">
      <c r="P789" s="116"/>
      <c r="Q789" s="116"/>
    </row>
    <row r="790" spans="16:17" hidden="1">
      <c r="P790" s="116"/>
      <c r="Q790" s="116"/>
    </row>
    <row r="791" spans="16:17" hidden="1">
      <c r="P791" s="116"/>
      <c r="Q791" s="116"/>
    </row>
    <row r="792" spans="16:17" hidden="1">
      <c r="P792" s="116"/>
      <c r="Q792" s="116"/>
    </row>
    <row r="793" spans="16:17" hidden="1">
      <c r="P793" s="116"/>
      <c r="Q793" s="116"/>
    </row>
    <row r="794" spans="16:17" hidden="1">
      <c r="P794" s="116"/>
      <c r="Q794" s="116"/>
    </row>
    <row r="795" spans="16:17" hidden="1">
      <c r="P795" s="116"/>
      <c r="Q795" s="116"/>
    </row>
    <row r="796" spans="16:17" hidden="1">
      <c r="P796" s="116"/>
      <c r="Q796" s="116"/>
    </row>
    <row r="797" spans="16:17" hidden="1">
      <c r="P797" s="116"/>
      <c r="Q797" s="116"/>
    </row>
    <row r="798" spans="16:17" hidden="1">
      <c r="P798" s="116"/>
      <c r="Q798" s="116"/>
    </row>
    <row r="799" spans="16:17" hidden="1">
      <c r="P799" s="116"/>
      <c r="Q799" s="116"/>
    </row>
    <row r="800" spans="16:17" hidden="1">
      <c r="P800" s="116"/>
      <c r="Q800" s="116"/>
    </row>
    <row r="801" spans="16:17" hidden="1">
      <c r="P801" s="116"/>
      <c r="Q801" s="116"/>
    </row>
    <row r="802" spans="16:17" hidden="1">
      <c r="P802" s="116"/>
      <c r="Q802" s="116"/>
    </row>
    <row r="803" spans="16:17" hidden="1">
      <c r="P803" s="116"/>
      <c r="Q803" s="116"/>
    </row>
    <row r="804" spans="16:17" hidden="1">
      <c r="P804" s="116"/>
      <c r="Q804" s="116"/>
    </row>
    <row r="805" spans="16:17" hidden="1">
      <c r="P805" s="116"/>
      <c r="Q805" s="116"/>
    </row>
    <row r="806" spans="16:17" hidden="1">
      <c r="P806" s="116"/>
      <c r="Q806" s="116"/>
    </row>
    <row r="807" spans="16:17" hidden="1">
      <c r="P807" s="116"/>
      <c r="Q807" s="116"/>
    </row>
    <row r="808" spans="16:17" hidden="1">
      <c r="P808" s="116"/>
      <c r="Q808" s="116"/>
    </row>
    <row r="809" spans="16:17" hidden="1">
      <c r="P809" s="116"/>
      <c r="Q809" s="116"/>
    </row>
    <row r="810" spans="16:17" hidden="1">
      <c r="P810" s="116"/>
      <c r="Q810" s="116"/>
    </row>
    <row r="811" spans="16:17" hidden="1">
      <c r="P811" s="116"/>
      <c r="Q811" s="116"/>
    </row>
    <row r="812" spans="16:17" hidden="1">
      <c r="P812" s="116"/>
      <c r="Q812" s="116"/>
    </row>
    <row r="813" spans="16:17" hidden="1">
      <c r="P813" s="116"/>
      <c r="Q813" s="116"/>
    </row>
    <row r="814" spans="16:17" hidden="1">
      <c r="P814" s="116"/>
      <c r="Q814" s="116"/>
    </row>
    <row r="815" spans="16:17" hidden="1">
      <c r="P815" s="116"/>
      <c r="Q815" s="116"/>
    </row>
    <row r="816" spans="16:17" hidden="1">
      <c r="P816" s="116"/>
      <c r="Q816" s="116"/>
    </row>
    <row r="817" spans="16:17" hidden="1">
      <c r="P817" s="116"/>
      <c r="Q817" s="116"/>
    </row>
    <row r="818" spans="16:17" hidden="1">
      <c r="P818" s="116"/>
      <c r="Q818" s="116"/>
    </row>
    <row r="819" spans="16:17" hidden="1">
      <c r="P819" s="116"/>
      <c r="Q819" s="116"/>
    </row>
    <row r="820" spans="16:17" hidden="1">
      <c r="P820" s="116"/>
      <c r="Q820" s="116"/>
    </row>
    <row r="821" spans="16:17" hidden="1">
      <c r="P821" s="116"/>
      <c r="Q821" s="116"/>
    </row>
    <row r="822" spans="16:17" hidden="1">
      <c r="P822" s="116"/>
      <c r="Q822" s="116"/>
    </row>
    <row r="823" spans="16:17" hidden="1">
      <c r="P823" s="116"/>
      <c r="Q823" s="116"/>
    </row>
    <row r="824" spans="16:17" hidden="1">
      <c r="P824" s="116"/>
      <c r="Q824" s="116"/>
    </row>
    <row r="825" spans="16:17" hidden="1">
      <c r="P825" s="116"/>
      <c r="Q825" s="116"/>
    </row>
    <row r="826" spans="16:17" hidden="1">
      <c r="P826" s="116"/>
      <c r="Q826" s="116"/>
    </row>
    <row r="827" spans="16:17" hidden="1">
      <c r="P827" s="116"/>
      <c r="Q827" s="116"/>
    </row>
    <row r="828" spans="16:17" hidden="1">
      <c r="P828" s="116"/>
      <c r="Q828" s="116"/>
    </row>
    <row r="829" spans="16:17" hidden="1">
      <c r="P829" s="116"/>
      <c r="Q829" s="116"/>
    </row>
    <row r="830" spans="16:17" hidden="1">
      <c r="P830" s="116"/>
      <c r="Q830" s="116"/>
    </row>
    <row r="831" spans="16:17" hidden="1">
      <c r="P831" s="116"/>
      <c r="Q831" s="116"/>
    </row>
    <row r="832" spans="16:17" hidden="1">
      <c r="P832" s="116"/>
      <c r="Q832" s="116"/>
    </row>
    <row r="833" spans="16:17" hidden="1">
      <c r="P833" s="116"/>
      <c r="Q833" s="116"/>
    </row>
    <row r="834" spans="16:17" hidden="1">
      <c r="P834" s="116"/>
      <c r="Q834" s="116"/>
    </row>
    <row r="835" spans="16:17" hidden="1">
      <c r="P835" s="116"/>
      <c r="Q835" s="116"/>
    </row>
    <row r="836" spans="16:17" hidden="1">
      <c r="P836" s="116"/>
      <c r="Q836" s="116"/>
    </row>
    <row r="837" spans="16:17" hidden="1">
      <c r="P837" s="116"/>
      <c r="Q837" s="116"/>
    </row>
    <row r="838" spans="16:17" hidden="1">
      <c r="P838" s="116"/>
      <c r="Q838" s="116"/>
    </row>
    <row r="839" spans="16:17" hidden="1">
      <c r="P839" s="116"/>
      <c r="Q839" s="116"/>
    </row>
    <row r="840" spans="16:17" hidden="1">
      <c r="P840" s="116"/>
      <c r="Q840" s="116"/>
    </row>
    <row r="841" spans="16:17" hidden="1">
      <c r="P841" s="116"/>
      <c r="Q841" s="116"/>
    </row>
    <row r="842" spans="16:17" hidden="1">
      <c r="P842" s="116"/>
      <c r="Q842" s="116"/>
    </row>
    <row r="843" spans="16:17" hidden="1">
      <c r="P843" s="116"/>
      <c r="Q843" s="116"/>
    </row>
    <row r="844" spans="16:17" hidden="1">
      <c r="P844" s="116"/>
      <c r="Q844" s="116"/>
    </row>
    <row r="845" spans="16:17" hidden="1">
      <c r="P845" s="116"/>
      <c r="Q845" s="116"/>
    </row>
    <row r="846" spans="16:17" hidden="1">
      <c r="P846" s="116"/>
      <c r="Q846" s="116"/>
    </row>
    <row r="847" spans="16:17" hidden="1">
      <c r="P847" s="116"/>
      <c r="Q847" s="116"/>
    </row>
    <row r="848" spans="16:17" hidden="1">
      <c r="P848" s="116"/>
      <c r="Q848" s="116"/>
    </row>
    <row r="849" spans="16:17" hidden="1">
      <c r="P849" s="116"/>
      <c r="Q849" s="116"/>
    </row>
    <row r="850" spans="16:17" hidden="1">
      <c r="P850" s="116"/>
      <c r="Q850" s="116"/>
    </row>
    <row r="851" spans="16:17" hidden="1">
      <c r="P851" s="116"/>
      <c r="Q851" s="116"/>
    </row>
    <row r="852" spans="16:17" hidden="1">
      <c r="P852" s="116"/>
      <c r="Q852" s="116"/>
    </row>
    <row r="853" spans="16:17" hidden="1">
      <c r="P853" s="116"/>
      <c r="Q853" s="116"/>
    </row>
    <row r="854" spans="16:17" hidden="1">
      <c r="P854" s="116"/>
      <c r="Q854" s="116"/>
    </row>
    <row r="855" spans="16:17" hidden="1">
      <c r="P855" s="116"/>
      <c r="Q855" s="116"/>
    </row>
    <row r="856" spans="16:17" hidden="1">
      <c r="P856" s="116"/>
      <c r="Q856" s="116"/>
    </row>
    <row r="857" spans="16:17" hidden="1">
      <c r="P857" s="116"/>
      <c r="Q857" s="116"/>
    </row>
    <row r="858" spans="16:17" hidden="1">
      <c r="P858" s="116"/>
      <c r="Q858" s="116"/>
    </row>
    <row r="859" spans="16:17" hidden="1">
      <c r="P859" s="116"/>
      <c r="Q859" s="116"/>
    </row>
    <row r="860" spans="16:17" hidden="1">
      <c r="P860" s="116"/>
      <c r="Q860" s="116"/>
    </row>
    <row r="861" spans="16:17" hidden="1">
      <c r="P861" s="116"/>
      <c r="Q861" s="116"/>
    </row>
    <row r="862" spans="16:17" hidden="1">
      <c r="P862" s="116"/>
      <c r="Q862" s="116"/>
    </row>
    <row r="863" spans="16:17" hidden="1">
      <c r="P863" s="116"/>
      <c r="Q863" s="116"/>
    </row>
    <row r="864" spans="16:17" hidden="1">
      <c r="P864" s="116"/>
      <c r="Q864" s="116"/>
    </row>
    <row r="865" spans="16:17" hidden="1">
      <c r="P865" s="116"/>
      <c r="Q865" s="116"/>
    </row>
    <row r="866" spans="16:17" hidden="1">
      <c r="P866" s="116"/>
      <c r="Q866" s="116"/>
    </row>
    <row r="867" spans="16:17" hidden="1">
      <c r="P867" s="116"/>
      <c r="Q867" s="116"/>
    </row>
    <row r="868" spans="16:17" hidden="1">
      <c r="P868" s="116"/>
      <c r="Q868" s="116"/>
    </row>
    <row r="869" spans="16:17" hidden="1">
      <c r="P869" s="116"/>
      <c r="Q869" s="116"/>
    </row>
    <row r="870" spans="16:17" hidden="1">
      <c r="P870" s="116"/>
      <c r="Q870" s="116"/>
    </row>
    <row r="871" spans="16:17" hidden="1">
      <c r="P871" s="116"/>
      <c r="Q871" s="116"/>
    </row>
    <row r="872" spans="16:17" hidden="1">
      <c r="P872" s="116"/>
      <c r="Q872" s="116"/>
    </row>
    <row r="873" spans="16:17" hidden="1">
      <c r="P873" s="116"/>
      <c r="Q873" s="116"/>
    </row>
    <row r="874" spans="16:17" hidden="1">
      <c r="P874" s="116"/>
      <c r="Q874" s="116"/>
    </row>
    <row r="875" spans="16:17" hidden="1">
      <c r="P875" s="116"/>
      <c r="Q875" s="116"/>
    </row>
    <row r="876" spans="16:17" hidden="1">
      <c r="P876" s="116"/>
      <c r="Q876" s="116"/>
    </row>
    <row r="877" spans="16:17" hidden="1">
      <c r="P877" s="116"/>
      <c r="Q877" s="116"/>
    </row>
    <row r="878" spans="16:17" hidden="1">
      <c r="P878" s="116"/>
      <c r="Q878" s="116"/>
    </row>
    <row r="879" spans="16:17" hidden="1">
      <c r="P879" s="116"/>
      <c r="Q879" s="116"/>
    </row>
    <row r="880" spans="16:17" hidden="1">
      <c r="P880" s="116"/>
      <c r="Q880" s="116"/>
    </row>
    <row r="881" spans="16:17" hidden="1">
      <c r="P881" s="116"/>
      <c r="Q881" s="116"/>
    </row>
    <row r="882" spans="16:17" hidden="1">
      <c r="P882" s="116"/>
      <c r="Q882" s="116"/>
    </row>
    <row r="883" spans="16:17" hidden="1">
      <c r="P883" s="116"/>
      <c r="Q883" s="116"/>
    </row>
    <row r="884" spans="16:17" hidden="1">
      <c r="P884" s="116"/>
      <c r="Q884" s="116"/>
    </row>
    <row r="885" spans="16:17" hidden="1">
      <c r="P885" s="116"/>
      <c r="Q885" s="116"/>
    </row>
    <row r="886" spans="16:17" hidden="1">
      <c r="P886" s="116"/>
      <c r="Q886" s="116"/>
    </row>
    <row r="887" spans="16:17" hidden="1">
      <c r="P887" s="116"/>
      <c r="Q887" s="116"/>
    </row>
    <row r="888" spans="16:17" hidden="1">
      <c r="P888" s="116"/>
      <c r="Q888" s="116"/>
    </row>
    <row r="889" spans="16:17" hidden="1">
      <c r="P889" s="116"/>
      <c r="Q889" s="116"/>
    </row>
    <row r="890" spans="16:17" hidden="1">
      <c r="P890" s="116"/>
      <c r="Q890" s="116"/>
    </row>
    <row r="891" spans="16:17" hidden="1">
      <c r="P891" s="116"/>
      <c r="Q891" s="116"/>
    </row>
    <row r="892" spans="16:17" hidden="1">
      <c r="P892" s="116"/>
      <c r="Q892" s="116"/>
    </row>
    <row r="893" spans="16:17" hidden="1">
      <c r="P893" s="116"/>
      <c r="Q893" s="116"/>
    </row>
    <row r="894" spans="16:17" hidden="1">
      <c r="P894" s="116"/>
      <c r="Q894" s="116"/>
    </row>
    <row r="895" spans="16:17" hidden="1">
      <c r="P895" s="116"/>
      <c r="Q895" s="116"/>
    </row>
    <row r="896" spans="16:17" hidden="1">
      <c r="P896" s="116"/>
      <c r="Q896" s="116"/>
    </row>
    <row r="897" spans="16:17" hidden="1">
      <c r="P897" s="116"/>
      <c r="Q897" s="116"/>
    </row>
    <row r="898" spans="16:17" hidden="1">
      <c r="P898" s="116"/>
      <c r="Q898" s="116"/>
    </row>
    <row r="899" spans="16:17" hidden="1">
      <c r="P899" s="116"/>
      <c r="Q899" s="116"/>
    </row>
    <row r="900" spans="16:17" hidden="1">
      <c r="P900" s="116"/>
      <c r="Q900" s="116"/>
    </row>
    <row r="901" spans="16:17" hidden="1">
      <c r="P901" s="116"/>
      <c r="Q901" s="116"/>
    </row>
    <row r="902" spans="16:17" hidden="1">
      <c r="P902" s="116"/>
      <c r="Q902" s="116"/>
    </row>
    <row r="903" spans="16:17" hidden="1">
      <c r="P903" s="116"/>
      <c r="Q903" s="116"/>
    </row>
    <row r="904" spans="16:17" hidden="1">
      <c r="P904" s="116"/>
      <c r="Q904" s="116"/>
    </row>
    <row r="905" spans="16:17" hidden="1">
      <c r="P905" s="116"/>
      <c r="Q905" s="116"/>
    </row>
    <row r="906" spans="16:17" hidden="1">
      <c r="P906" s="116"/>
      <c r="Q906" s="116"/>
    </row>
    <row r="907" spans="16:17" hidden="1">
      <c r="P907" s="116"/>
      <c r="Q907" s="116"/>
    </row>
    <row r="908" spans="16:17" hidden="1">
      <c r="P908" s="116"/>
      <c r="Q908" s="116"/>
    </row>
    <row r="909" spans="16:17" hidden="1">
      <c r="P909" s="116"/>
      <c r="Q909" s="116"/>
    </row>
    <row r="910" spans="16:17" hidden="1">
      <c r="P910" s="116"/>
      <c r="Q910" s="116"/>
    </row>
    <row r="911" spans="16:17" hidden="1">
      <c r="P911" s="116"/>
      <c r="Q911" s="116"/>
    </row>
    <row r="912" spans="16:17" hidden="1">
      <c r="P912" s="116"/>
      <c r="Q912" s="116"/>
    </row>
    <row r="913" spans="16:17" hidden="1">
      <c r="P913" s="116"/>
      <c r="Q913" s="116"/>
    </row>
    <row r="914" spans="16:17" hidden="1">
      <c r="P914" s="116"/>
      <c r="Q914" s="116"/>
    </row>
    <row r="915" spans="16:17" hidden="1">
      <c r="P915" s="116"/>
      <c r="Q915" s="116"/>
    </row>
    <row r="916" spans="16:17" hidden="1">
      <c r="P916" s="116"/>
      <c r="Q916" s="116"/>
    </row>
    <row r="917" spans="16:17" hidden="1">
      <c r="P917" s="116"/>
      <c r="Q917" s="116"/>
    </row>
    <row r="918" spans="16:17" hidden="1">
      <c r="P918" s="116"/>
      <c r="Q918" s="116"/>
    </row>
    <row r="919" spans="16:17" hidden="1">
      <c r="P919" s="116"/>
      <c r="Q919" s="116"/>
    </row>
    <row r="920" spans="16:17" hidden="1">
      <c r="P920" s="116"/>
      <c r="Q920" s="116"/>
    </row>
    <row r="921" spans="16:17" hidden="1">
      <c r="P921" s="116"/>
      <c r="Q921" s="116"/>
    </row>
    <row r="922" spans="16:17" hidden="1">
      <c r="P922" s="116"/>
      <c r="Q922" s="116"/>
    </row>
    <row r="923" spans="16:17" hidden="1">
      <c r="P923" s="116"/>
      <c r="Q923" s="116"/>
    </row>
    <row r="924" spans="16:17" hidden="1">
      <c r="P924" s="116"/>
      <c r="Q924" s="116"/>
    </row>
    <row r="925" spans="16:17" hidden="1">
      <c r="P925" s="116"/>
      <c r="Q925" s="116"/>
    </row>
    <row r="926" spans="16:17" hidden="1">
      <c r="P926" s="116"/>
      <c r="Q926" s="116"/>
    </row>
    <row r="927" spans="16:17" hidden="1">
      <c r="P927" s="116"/>
      <c r="Q927" s="116"/>
    </row>
    <row r="928" spans="16:17" hidden="1">
      <c r="P928" s="116"/>
      <c r="Q928" s="116"/>
    </row>
    <row r="929" spans="16:17" hidden="1">
      <c r="P929" s="116"/>
      <c r="Q929" s="116"/>
    </row>
    <row r="930" spans="16:17" hidden="1">
      <c r="P930" s="116"/>
      <c r="Q930" s="116"/>
    </row>
    <row r="931" spans="16:17" hidden="1">
      <c r="P931" s="116"/>
      <c r="Q931" s="116"/>
    </row>
    <row r="932" spans="16:17" hidden="1">
      <c r="P932" s="116"/>
      <c r="Q932" s="116"/>
    </row>
    <row r="933" spans="16:17" hidden="1">
      <c r="P933" s="116"/>
      <c r="Q933" s="116"/>
    </row>
    <row r="934" spans="16:17" hidden="1">
      <c r="P934" s="116"/>
      <c r="Q934" s="116"/>
    </row>
    <row r="935" spans="16:17" hidden="1">
      <c r="P935" s="116"/>
      <c r="Q935" s="116"/>
    </row>
    <row r="936" spans="16:17" hidden="1">
      <c r="P936" s="116"/>
      <c r="Q936" s="116"/>
    </row>
    <row r="937" spans="16:17" hidden="1">
      <c r="P937" s="116"/>
      <c r="Q937" s="116"/>
    </row>
    <row r="938" spans="16:17" hidden="1">
      <c r="P938" s="116"/>
      <c r="Q938" s="116"/>
    </row>
    <row r="939" spans="16:17" hidden="1">
      <c r="P939" s="116"/>
      <c r="Q939" s="116"/>
    </row>
    <row r="940" spans="16:17" hidden="1">
      <c r="P940" s="116"/>
      <c r="Q940" s="116"/>
    </row>
    <row r="941" spans="16:17" hidden="1">
      <c r="P941" s="116"/>
      <c r="Q941" s="116"/>
    </row>
    <row r="942" spans="16:17" hidden="1">
      <c r="P942" s="116"/>
      <c r="Q942" s="116"/>
    </row>
    <row r="943" spans="16:17" hidden="1">
      <c r="P943" s="116"/>
      <c r="Q943" s="116"/>
    </row>
    <row r="944" spans="16:17" hidden="1">
      <c r="P944" s="116"/>
      <c r="Q944" s="116"/>
    </row>
    <row r="945" spans="16:17" hidden="1">
      <c r="P945" s="116"/>
      <c r="Q945" s="116"/>
    </row>
    <row r="946" spans="16:17" hidden="1">
      <c r="P946" s="116"/>
      <c r="Q946" s="116"/>
    </row>
    <row r="947" spans="16:17" hidden="1">
      <c r="P947" s="116"/>
      <c r="Q947" s="116"/>
    </row>
    <row r="948" spans="16:17" hidden="1">
      <c r="P948" s="116"/>
      <c r="Q948" s="116"/>
    </row>
    <row r="949" spans="16:17" hidden="1">
      <c r="P949" s="116"/>
      <c r="Q949" s="116"/>
    </row>
    <row r="950" spans="16:17" hidden="1">
      <c r="P950" s="116"/>
      <c r="Q950" s="116"/>
    </row>
    <row r="951" spans="16:17" hidden="1">
      <c r="P951" s="116"/>
      <c r="Q951" s="116"/>
    </row>
    <row r="952" spans="16:17" hidden="1">
      <c r="P952" s="116"/>
      <c r="Q952" s="116"/>
    </row>
    <row r="953" spans="16:17" hidden="1">
      <c r="P953" s="116"/>
      <c r="Q953" s="116"/>
    </row>
    <row r="954" spans="16:17" hidden="1">
      <c r="P954" s="116"/>
      <c r="Q954" s="116"/>
    </row>
    <row r="955" spans="16:17" hidden="1">
      <c r="P955" s="116"/>
      <c r="Q955" s="116"/>
    </row>
    <row r="956" spans="16:17" hidden="1">
      <c r="P956" s="116"/>
      <c r="Q956" s="116"/>
    </row>
    <row r="957" spans="16:17" hidden="1">
      <c r="P957" s="116"/>
      <c r="Q957" s="116"/>
    </row>
    <row r="958" spans="16:17" hidden="1">
      <c r="P958" s="116"/>
      <c r="Q958" s="116"/>
    </row>
    <row r="959" spans="16:17" hidden="1">
      <c r="P959" s="116"/>
      <c r="Q959" s="116"/>
    </row>
    <row r="960" spans="16:17" hidden="1">
      <c r="P960" s="116"/>
      <c r="Q960" s="116"/>
    </row>
    <row r="961" spans="16:17" hidden="1">
      <c r="P961" s="116"/>
      <c r="Q961" s="116"/>
    </row>
    <row r="962" spans="16:17" hidden="1">
      <c r="P962" s="116"/>
      <c r="Q962" s="116"/>
    </row>
    <row r="963" spans="16:17" hidden="1">
      <c r="P963" s="116"/>
      <c r="Q963" s="116"/>
    </row>
    <row r="964" spans="16:17" hidden="1">
      <c r="P964" s="116"/>
      <c r="Q964" s="116"/>
    </row>
    <row r="965" spans="16:17" hidden="1">
      <c r="P965" s="116"/>
      <c r="Q965" s="116"/>
    </row>
    <row r="966" spans="16:17" hidden="1">
      <c r="P966" s="116"/>
      <c r="Q966" s="116"/>
    </row>
    <row r="967" spans="16:17" hidden="1">
      <c r="P967" s="116"/>
      <c r="Q967" s="116"/>
    </row>
    <row r="968" spans="16:17" hidden="1">
      <c r="P968" s="116"/>
      <c r="Q968" s="116"/>
    </row>
    <row r="969" spans="16:17" hidden="1">
      <c r="P969" s="116"/>
      <c r="Q969" s="116"/>
    </row>
    <row r="970" spans="16:17" hidden="1">
      <c r="P970" s="116"/>
      <c r="Q970" s="116"/>
    </row>
    <row r="971" spans="16:17" hidden="1">
      <c r="P971" s="116"/>
      <c r="Q971" s="116"/>
    </row>
    <row r="972" spans="16:17" hidden="1">
      <c r="P972" s="116"/>
      <c r="Q972" s="116"/>
    </row>
    <row r="973" spans="16:17" hidden="1">
      <c r="P973" s="116"/>
      <c r="Q973" s="116"/>
    </row>
    <row r="974" spans="16:17" hidden="1">
      <c r="P974" s="116"/>
      <c r="Q974" s="116"/>
    </row>
    <row r="975" spans="16:17" hidden="1">
      <c r="P975" s="116"/>
      <c r="Q975" s="116"/>
    </row>
    <row r="976" spans="16:17" hidden="1">
      <c r="P976" s="116"/>
      <c r="Q976" s="116"/>
    </row>
    <row r="977" spans="16:17" hidden="1">
      <c r="P977" s="116"/>
      <c r="Q977" s="116"/>
    </row>
    <row r="978" spans="16:17" hidden="1">
      <c r="P978" s="116"/>
      <c r="Q978" s="116"/>
    </row>
    <row r="979" spans="16:17" hidden="1">
      <c r="P979" s="116"/>
      <c r="Q979" s="116"/>
    </row>
    <row r="980" spans="16:17" hidden="1">
      <c r="P980" s="116"/>
      <c r="Q980" s="116"/>
    </row>
    <row r="981" spans="16:17" hidden="1">
      <c r="P981" s="116"/>
      <c r="Q981" s="116"/>
    </row>
    <row r="982" spans="16:17" hidden="1">
      <c r="P982" s="116"/>
      <c r="Q982" s="116"/>
    </row>
    <row r="983" spans="16:17" hidden="1">
      <c r="P983" s="116"/>
      <c r="Q983" s="116"/>
    </row>
    <row r="984" spans="16:17" hidden="1">
      <c r="P984" s="116"/>
      <c r="Q984" s="116"/>
    </row>
    <row r="985" spans="16:17" hidden="1">
      <c r="P985" s="116"/>
      <c r="Q985" s="116"/>
    </row>
    <row r="986" spans="16:17" hidden="1">
      <c r="P986" s="116"/>
      <c r="Q986" s="116"/>
    </row>
    <row r="987" spans="16:17" hidden="1">
      <c r="P987" s="116"/>
      <c r="Q987" s="116"/>
    </row>
    <row r="988" spans="16:17" hidden="1">
      <c r="P988" s="116"/>
      <c r="Q988" s="116"/>
    </row>
    <row r="989" spans="16:17" hidden="1">
      <c r="P989" s="116"/>
      <c r="Q989" s="116"/>
    </row>
    <row r="990" spans="16:17" hidden="1">
      <c r="P990" s="116"/>
      <c r="Q990" s="116"/>
    </row>
  </sheetData>
  <sheetProtection algorithmName="SHA-512" hashValue="UzKUNDjFtUT+OUiPV0fm+OQckEeBM8t93Llnf3BUaHu2ODdfZu99Wv6Us1dBLFUgmMz2UCF8FDJC3jTqz4s/Lg==" saltValue="S1TMnGFAoYfyNBuncluijA==" spinCount="100000" sheet="1" selectLockedCells="1"/>
  <autoFilter ref="M2:N40">
    <sortState ref="M3:N40">
      <sortCondition ref="M2:M40"/>
    </sortState>
  </autoFilter>
  <sortState ref="F107:G196">
    <sortCondition ref="F107:F196"/>
  </sortState>
  <mergeCells count="2">
    <mergeCell ref="AZ33:BA33"/>
    <mergeCell ref="J1:K1"/>
  </mergeCells>
  <phoneticPr fontId="0" type="noConversion"/>
  <pageMargins left="0.75" right="0.75" top="1" bottom="1" header="0" footer="0"/>
  <pageSetup scale="90" orientation="landscape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O112"/>
  <sheetViews>
    <sheetView windowProtection="1" showGridLines="0" topLeftCell="A67" zoomScaleNormal="100" workbookViewId="0">
      <selection activeCell="B15" sqref="B15"/>
    </sheetView>
  </sheetViews>
  <sheetFormatPr baseColWidth="10" defaultColWidth="0" defaultRowHeight="12.5" zeroHeight="1"/>
  <cols>
    <col min="1" max="1" width="7.453125" customWidth="1"/>
    <col min="2" max="2" width="11" customWidth="1"/>
    <col min="3" max="3" width="11.453125" customWidth="1"/>
    <col min="4" max="4" width="13.26953125" bestFit="1" customWidth="1"/>
    <col min="5" max="7" width="11.453125" customWidth="1"/>
    <col min="8" max="8" width="15" customWidth="1"/>
    <col min="9" max="11" width="11.453125" customWidth="1"/>
    <col min="12" max="12" width="13.7265625" customWidth="1"/>
    <col min="13" max="13" width="11.453125" customWidth="1"/>
    <col min="14" max="15" width="11.453125" hidden="1" customWidth="1"/>
    <col min="16" max="16" width="11" hidden="1" customWidth="1"/>
    <col min="17" max="17" width="11.453125" hidden="1" customWidth="1"/>
    <col min="18" max="18" width="13.26953125" hidden="1" customWidth="1"/>
    <col min="19" max="19" width="11.453125" hidden="1" customWidth="1"/>
    <col min="20" max="20" width="11" hidden="1" customWidth="1"/>
    <col min="21" max="21" width="11.453125" hidden="1" customWidth="1"/>
    <col min="22" max="22" width="13.26953125" hidden="1" customWidth="1"/>
    <col min="23" max="23" width="11.453125" hidden="1" customWidth="1"/>
    <col min="24" max="24" width="11" hidden="1" customWidth="1"/>
    <col min="25" max="25" width="11.453125" hidden="1" customWidth="1"/>
    <col min="26" max="26" width="13.26953125" hidden="1" customWidth="1"/>
    <col min="27" max="16384" width="11.453125" hidden="1"/>
  </cols>
  <sheetData>
    <row r="1" spans="1:13">
      <c r="A1" s="330"/>
      <c r="B1" s="330"/>
      <c r="C1" s="330"/>
      <c r="D1" s="330"/>
      <c r="E1" s="330"/>
      <c r="F1" s="330"/>
      <c r="G1" s="330"/>
      <c r="H1" s="330"/>
      <c r="I1" s="330"/>
      <c r="J1" s="330"/>
      <c r="K1" s="330"/>
      <c r="L1" s="330"/>
      <c r="M1" s="330"/>
    </row>
    <row r="2" spans="1:13">
      <c r="A2" s="330"/>
      <c r="B2" s="330"/>
      <c r="C2" s="330"/>
      <c r="D2" s="330"/>
      <c r="E2" s="330"/>
      <c r="F2" s="330"/>
      <c r="G2" s="330"/>
      <c r="H2" s="330"/>
      <c r="I2" s="330"/>
      <c r="J2" s="330"/>
      <c r="K2" s="330"/>
      <c r="L2" s="330"/>
      <c r="M2" s="330"/>
    </row>
    <row r="3" spans="1:13">
      <c r="A3" s="330"/>
      <c r="B3" s="330"/>
      <c r="C3" s="330"/>
      <c r="D3" s="330"/>
      <c r="E3" s="330"/>
      <c r="F3" s="330"/>
      <c r="G3" s="330"/>
      <c r="H3" s="330"/>
      <c r="I3" s="330"/>
      <c r="J3" s="330"/>
      <c r="K3" s="330"/>
      <c r="L3" s="330"/>
      <c r="M3" s="330"/>
    </row>
    <row r="4" spans="1:13">
      <c r="A4" s="330"/>
      <c r="B4" s="330"/>
      <c r="C4" s="330"/>
      <c r="D4" s="330"/>
      <c r="E4" s="330"/>
      <c r="F4" s="330"/>
      <c r="G4" s="330"/>
      <c r="H4" s="330"/>
      <c r="I4" s="330"/>
      <c r="J4" s="330"/>
      <c r="K4" s="330"/>
      <c r="L4" s="330"/>
      <c r="M4" s="330"/>
    </row>
    <row r="5" spans="1:13">
      <c r="A5" s="330"/>
      <c r="B5" s="330"/>
      <c r="C5" s="330"/>
      <c r="D5" s="330"/>
      <c r="E5" s="330"/>
      <c r="F5" s="330"/>
      <c r="G5" s="330"/>
      <c r="H5" s="330"/>
      <c r="I5" s="330"/>
      <c r="J5" s="330"/>
      <c r="K5" s="330"/>
      <c r="L5" s="330"/>
      <c r="M5" s="330"/>
    </row>
    <row r="6" spans="1:13">
      <c r="A6" s="330"/>
      <c r="B6" s="330"/>
      <c r="C6" s="330"/>
      <c r="D6" s="330"/>
      <c r="E6" s="330"/>
      <c r="F6" s="330"/>
      <c r="G6" s="330"/>
      <c r="H6" s="330"/>
      <c r="I6" s="330"/>
      <c r="J6" s="330"/>
      <c r="K6" s="330"/>
      <c r="L6" s="330"/>
      <c r="M6" s="330"/>
    </row>
    <row r="7" spans="1:13">
      <c r="A7" s="330"/>
      <c r="B7" s="330"/>
      <c r="C7" s="331"/>
      <c r="D7" s="332" t="str">
        <f>COTIZACION!D9</f>
        <v>FAMILIAR</v>
      </c>
      <c r="E7" s="330"/>
      <c r="G7" s="332" t="str">
        <f>COTIZACION!D8</f>
        <v>T+</v>
      </c>
      <c r="H7" s="330"/>
      <c r="I7" s="330"/>
      <c r="J7" s="330"/>
      <c r="K7" s="333" t="s">
        <v>355</v>
      </c>
      <c r="L7" s="334">
        <f>VLOOKUP(COTIZACION!D14,FACTORES!$M$2:$O$34,3,0)</f>
        <v>5</v>
      </c>
      <c r="M7" s="330"/>
    </row>
    <row r="8" spans="1:13">
      <c r="A8" s="330"/>
      <c r="B8" s="330"/>
      <c r="C8" s="330"/>
      <c r="D8" s="330"/>
      <c r="E8" s="330"/>
      <c r="F8" s="330"/>
      <c r="G8" s="330"/>
      <c r="H8" s="330"/>
      <c r="I8" s="330"/>
      <c r="J8" s="330"/>
      <c r="K8" s="333"/>
      <c r="L8" s="335"/>
      <c r="M8" s="330"/>
    </row>
    <row r="9" spans="1:13">
      <c r="A9" s="330"/>
      <c r="B9" s="330"/>
      <c r="C9" s="336" t="s">
        <v>356</v>
      </c>
      <c r="D9" s="337"/>
      <c r="E9" s="338"/>
      <c r="F9" s="338"/>
      <c r="G9" s="338"/>
      <c r="H9" s="338"/>
      <c r="I9" s="338"/>
      <c r="J9" s="338"/>
      <c r="K9" s="339"/>
      <c r="L9" s="335"/>
      <c r="M9" s="330"/>
    </row>
    <row r="10" spans="1:13">
      <c r="A10" s="330"/>
      <c r="B10" s="340"/>
      <c r="C10" s="341" t="s">
        <v>357</v>
      </c>
      <c r="D10" s="338"/>
      <c r="E10" s="338"/>
      <c r="F10" s="342" t="str">
        <f>IF(COTIZACION!D12&gt;45000,"$20,000",IF(COTIZACION!$D$18="NO","$20,000",COTIZACION!$D$18))</f>
        <v>$20,000</v>
      </c>
      <c r="G10" s="343"/>
      <c r="H10" s="341" t="s">
        <v>114</v>
      </c>
      <c r="I10" s="333"/>
      <c r="J10" s="341"/>
      <c r="K10" s="344" t="str">
        <f>IF(COTIZACION!D21="NO","NO INCLUIDO", "INCLUIDO")</f>
        <v>NO INCLUIDO</v>
      </c>
      <c r="L10" s="330"/>
      <c r="M10" s="330"/>
    </row>
    <row r="11" spans="1:13">
      <c r="A11" s="330"/>
      <c r="B11" s="340"/>
      <c r="C11" s="552" t="s">
        <v>358</v>
      </c>
      <c r="D11" s="552"/>
      <c r="E11" s="552"/>
      <c r="F11" s="555" t="str">
        <f>IF(OR(COTIZACION!D20="NO",SUM(COTIZACION!A29:A36)&lt;=0),"Excluido",COTIZACION!D20)</f>
        <v>Excluido</v>
      </c>
      <c r="G11" s="343"/>
      <c r="H11" s="341" t="s">
        <v>250</v>
      </c>
      <c r="K11" s="412" t="str">
        <f>COTIZACION!D11</f>
        <v>POR PADECIMIENTO</v>
      </c>
      <c r="L11" s="330"/>
      <c r="M11" s="330"/>
    </row>
    <row r="12" spans="1:13">
      <c r="A12" s="330"/>
      <c r="B12" s="340"/>
      <c r="C12" s="552"/>
      <c r="D12" s="552"/>
      <c r="E12" s="552"/>
      <c r="F12" s="555"/>
      <c r="G12" s="343"/>
      <c r="H12" s="341" t="s">
        <v>365</v>
      </c>
      <c r="K12" s="413">
        <f>+COTIZACION!$D$23</f>
        <v>0</v>
      </c>
      <c r="L12" s="330"/>
      <c r="M12" s="330"/>
    </row>
    <row r="13" spans="1:13">
      <c r="A13" s="330"/>
      <c r="B13" s="340"/>
      <c r="C13" s="330"/>
      <c r="D13" s="330"/>
      <c r="E13" s="330"/>
      <c r="F13" s="345"/>
      <c r="G13" s="330"/>
      <c r="H13" s="330"/>
      <c r="I13" s="330"/>
      <c r="J13" s="345"/>
      <c r="K13" s="330"/>
      <c r="L13" s="330"/>
      <c r="M13" s="330"/>
    </row>
    <row r="14" spans="1:13">
      <c r="A14" s="330"/>
      <c r="B14" s="340"/>
      <c r="C14" s="330"/>
      <c r="D14" s="330"/>
      <c r="E14" s="330"/>
      <c r="F14" s="345"/>
      <c r="G14" s="330"/>
      <c r="H14" s="330"/>
      <c r="I14" s="330"/>
      <c r="J14" s="345"/>
      <c r="K14" s="330"/>
      <c r="L14" s="330"/>
      <c r="M14" s="330"/>
    </row>
    <row r="15" spans="1:13">
      <c r="A15" s="330"/>
      <c r="B15" s="343" t="s">
        <v>359</v>
      </c>
      <c r="C15" s="338"/>
      <c r="D15" s="346">
        <f>COTIZACION!$D$10</f>
        <v>100000000</v>
      </c>
      <c r="E15" s="330"/>
      <c r="F15" s="343" t="s">
        <v>359</v>
      </c>
      <c r="G15" s="338"/>
      <c r="H15" s="346">
        <f>COTIZACION!$D$10</f>
        <v>100000000</v>
      </c>
      <c r="I15" s="330"/>
      <c r="J15" s="343" t="s">
        <v>359</v>
      </c>
      <c r="K15" s="338"/>
      <c r="L15" s="346">
        <f>COTIZACION!$D$10</f>
        <v>100000000</v>
      </c>
      <c r="M15" s="330"/>
    </row>
    <row r="16" spans="1:13">
      <c r="A16" s="330"/>
      <c r="B16" s="343" t="s">
        <v>360</v>
      </c>
      <c r="C16" s="338"/>
      <c r="D16" s="346">
        <f>COTIZACION!$D$12</f>
        <v>12000</v>
      </c>
      <c r="E16" s="330"/>
      <c r="F16" s="343" t="s">
        <v>360</v>
      </c>
      <c r="G16" s="338"/>
      <c r="H16" s="346">
        <f>COTIZACION!$D$12</f>
        <v>12000</v>
      </c>
      <c r="I16" s="330"/>
      <c r="J16" s="343" t="s">
        <v>360</v>
      </c>
      <c r="K16" s="338"/>
      <c r="L16" s="346">
        <f>COTIZACION!$D$12</f>
        <v>12000</v>
      </c>
      <c r="M16" s="330"/>
    </row>
    <row r="17" spans="1:41">
      <c r="A17" s="330"/>
      <c r="B17" s="343" t="s">
        <v>361</v>
      </c>
      <c r="C17" s="338"/>
      <c r="D17" s="347" t="str">
        <f>COTIZACION!$D$13</f>
        <v>10% CON TOPE DE $35,000</v>
      </c>
      <c r="E17" s="330"/>
      <c r="F17" s="343" t="s">
        <v>361</v>
      </c>
      <c r="G17" s="338"/>
      <c r="H17" s="347" t="str">
        <f>COTIZACION!$D$13</f>
        <v>10% CON TOPE DE $35,000</v>
      </c>
      <c r="I17" s="330"/>
      <c r="J17" s="343" t="s">
        <v>361</v>
      </c>
      <c r="K17" s="338"/>
      <c r="L17" s="347" t="str">
        <f>COTIZACION!$D$13</f>
        <v>10% CON TOPE DE $35,000</v>
      </c>
      <c r="M17" s="330"/>
    </row>
    <row r="18" spans="1:41">
      <c r="A18" s="330"/>
      <c r="B18" s="330"/>
      <c r="C18" s="330"/>
      <c r="D18" s="330"/>
      <c r="E18" s="330"/>
      <c r="F18" s="330"/>
      <c r="G18" s="330"/>
      <c r="H18" s="330"/>
      <c r="I18" s="330"/>
      <c r="J18" s="330"/>
      <c r="K18" s="330"/>
      <c r="L18" s="330"/>
      <c r="M18" s="330"/>
    </row>
    <row r="19" spans="1:41">
      <c r="A19" s="348"/>
      <c r="B19" s="345"/>
      <c r="C19" s="553"/>
      <c r="D19" s="553"/>
      <c r="E19" s="348"/>
      <c r="F19" s="345"/>
      <c r="G19" s="553" t="s">
        <v>362</v>
      </c>
      <c r="H19" s="553"/>
      <c r="I19" s="348"/>
      <c r="J19" s="345"/>
      <c r="K19" s="553"/>
      <c r="L19" s="553"/>
      <c r="M19" s="348"/>
    </row>
    <row r="20" spans="1:41">
      <c r="A20" s="348"/>
      <c r="B20" s="345"/>
      <c r="C20" s="553"/>
      <c r="D20" s="553"/>
      <c r="E20" s="348"/>
      <c r="F20" s="345"/>
      <c r="G20" s="553"/>
      <c r="H20" s="553"/>
      <c r="I20" s="348"/>
      <c r="J20" s="345"/>
      <c r="K20" s="553"/>
      <c r="L20" s="553"/>
      <c r="M20" s="348"/>
    </row>
    <row r="21" spans="1:41">
      <c r="A21" s="348"/>
      <c r="B21" s="349" t="s">
        <v>5</v>
      </c>
      <c r="C21" s="349" t="s">
        <v>7</v>
      </c>
      <c r="D21" s="349" t="s">
        <v>8</v>
      </c>
      <c r="E21" s="348"/>
      <c r="F21" s="349" t="s">
        <v>5</v>
      </c>
      <c r="G21" s="349" t="s">
        <v>7</v>
      </c>
      <c r="H21" s="349" t="s">
        <v>8</v>
      </c>
      <c r="I21" s="348"/>
      <c r="J21" s="349" t="s">
        <v>5</v>
      </c>
      <c r="K21" s="349" t="s">
        <v>7</v>
      </c>
      <c r="L21" s="349" t="s">
        <v>8</v>
      </c>
      <c r="M21" s="348"/>
      <c r="P21" s="349" t="s">
        <v>5</v>
      </c>
      <c r="Q21" s="349" t="s">
        <v>7</v>
      </c>
      <c r="R21" s="349" t="s">
        <v>8</v>
      </c>
      <c r="S21" s="348"/>
      <c r="T21" s="349" t="s">
        <v>5</v>
      </c>
      <c r="U21" s="349" t="s">
        <v>7</v>
      </c>
      <c r="V21" s="349" t="s">
        <v>8</v>
      </c>
      <c r="W21" s="348"/>
      <c r="X21" s="349" t="s">
        <v>5</v>
      </c>
      <c r="Y21" s="349" t="s">
        <v>7</v>
      </c>
      <c r="Z21" s="349" t="s">
        <v>8</v>
      </c>
    </row>
    <row r="22" spans="1:41">
      <c r="B22" s="350" t="s">
        <v>363</v>
      </c>
      <c r="C22" s="353">
        <f>(Q22+DER)*(1+COTIZACION!$D$24)</f>
        <v>14331.859568542437</v>
      </c>
      <c r="D22" s="353">
        <f>(R22+DER)*(1+COTIZACION!$D$24)</f>
        <v>14293.270927420677</v>
      </c>
      <c r="F22" s="350" t="s">
        <v>363</v>
      </c>
      <c r="G22" s="353">
        <f>U22*(1+COTIZACION!$D$24)</f>
        <v>13345.859568542437</v>
      </c>
      <c r="H22" s="353">
        <f>V22*(1+COTIZACION!$D$24)</f>
        <v>13307.270927420677</v>
      </c>
      <c r="J22" s="350" t="s">
        <v>363</v>
      </c>
      <c r="K22" s="353">
        <f>Y22*(1+COTIZACION!$D$24)</f>
        <v>13345.859568542437</v>
      </c>
      <c r="L22" s="353">
        <f>Z22*(1+COTIZACION!$D$24)</f>
        <v>13307.270927420677</v>
      </c>
      <c r="P22" s="350" t="s">
        <v>363</v>
      </c>
      <c r="Q22" s="353">
        <f>IF($K$10="INCLUIDO",FACTORES!$C3*FACTORES!$AC$9+CDENT+CEE+VIS+ASIS+EDXA019+(FACTORES!$C3*FACTORES!$AC$9*CTE),FACTORES!$C3*FACTORES!$AC$9+CDENT+CEE+VIS+ASIS+EDXA019)</f>
        <v>11505.051352191756</v>
      </c>
      <c r="R22" s="353">
        <f>IF($K$10="INCLUIDO",FACTORES!$D3*FACTORES!$AC$9+CDENT+CEE+VIS+ASIS+EDXA019+(FACTORES!$D3*FACTORES!$AC$9*CTE),FACTORES!D3*FACTORES!$AC$9+CDENT+CEE+VIS+ASIS+EDXA019)</f>
        <v>11471.785282259205</v>
      </c>
      <c r="T22" s="350" t="s">
        <v>363</v>
      </c>
      <c r="U22" s="353">
        <f>IF($K$10="INCLUIDO",FACTORES!$C3*FACTORES!$AC$9+CDENT+CEE+VIS+ASIS+EDXA019+(FACTORES!$C3*FACTORES!$AC$9*CTE),FACTORES!$C3*FACTORES!$AC$9+CDENT+CEE+VIS+ASIS+EDXA019)</f>
        <v>11505.051352191756</v>
      </c>
      <c r="V22" s="353">
        <f>IF($K$10="INCLUIDO",FACTORES!$D3*FACTORES!$AC$9+CDENT+CEE+VIS+ASIS+EDXA019+(FACTORES!$D3*FACTORES!$AC$9*CTE),FACTORES!D3*FACTORES!$AC$9+CDENT+CEE+VIS+ASIS+EDXA019)</f>
        <v>11471.785282259205</v>
      </c>
      <c r="X22" s="350" t="s">
        <v>363</v>
      </c>
      <c r="Y22" s="353">
        <f>IF($K$10="INCLUIDO",FACTORES!$C3*FACTORES!$AC$9+CDENT+CEE+VIS+ASIS+EDXA019+(FACTORES!$C3*FACTORES!$AC$9*CTE),FACTORES!$C3*FACTORES!$AC$9+CDENT+CEE+VIS+ASIS+EDXA019)</f>
        <v>11505.051352191756</v>
      </c>
      <c r="Z22" s="353">
        <f>IF($K$10="INCLUIDO",FACTORES!$D3*FACTORES!$AC$9+CDENT+CEE+VIS+ASIS+EDXA019+(FACTORES!$D3*FACTORES!$AC$9*CTE),FACTORES!D3*FACTORES!$AC$9+CDENT+CEE+VIS+ASIS+EDXA019)</f>
        <v>11471.785282259205</v>
      </c>
      <c r="AL22">
        <f>IF(L22=Z22,1,0)</f>
        <v>0</v>
      </c>
      <c r="AO22">
        <f>IF(AND(Q22=U22,U22=Y22),1,0)</f>
        <v>1</v>
      </c>
    </row>
    <row r="23" spans="1:41">
      <c r="B23" s="352">
        <v>11</v>
      </c>
      <c r="C23" s="354">
        <f>(Q23+DER)*(1+COTIZACION!$D$24)</f>
        <v>14343.631226879079</v>
      </c>
      <c r="D23" s="354">
        <f>(R23+DER)*(1+COTIZACION!$D$24)</f>
        <v>14175.940230465469</v>
      </c>
      <c r="F23" s="352">
        <v>11</v>
      </c>
      <c r="G23" s="354">
        <f>U23*(1+COTIZACION!$D$24)</f>
        <v>13357.631226879079</v>
      </c>
      <c r="H23" s="354">
        <f>V23*(1+COTIZACION!$D$24)</f>
        <v>13189.940230465469</v>
      </c>
      <c r="J23" s="352">
        <v>11</v>
      </c>
      <c r="K23" s="354">
        <f>Y23*(1+COTIZACION!$D$24)</f>
        <v>13357.631226879079</v>
      </c>
      <c r="L23" s="354">
        <f>Z23*(1+COTIZACION!$D$24)</f>
        <v>13189.940230465469</v>
      </c>
      <c r="P23" s="352">
        <v>11</v>
      </c>
      <c r="Q23" s="354">
        <f>IF($K$10="INCLUIDO",FACTORES!$C14*FACTORES!$AC$9+CDENT+CEE+VIS+ASIS+EDXA019+(FACTORES!$C14*FACTORES!$AC$9*CTE),FACTORES!$C14*FACTORES!$AC$9+CDENT+CEE+VIS+ASIS+EDXA019)</f>
        <v>11515.199333516448</v>
      </c>
      <c r="R23" s="354">
        <f>IF($K$10="INCLUIDO",FACTORES!$D14*FACTORES!$AC$9+CDENT+CEE+VIS+ASIS+EDXA019+(FACTORES!$D14*FACTORES!$AC$9*CTE),FACTORES!$D14*FACTORES!$AC$9+CDENT+CEE+VIS+ASIS+EDXA019)</f>
        <v>11370.638129711611</v>
      </c>
      <c r="T23" s="352">
        <v>11</v>
      </c>
      <c r="U23" s="354">
        <f>IF($K$10="INCLUIDO",FACTORES!$C14*FACTORES!$AC$9+CDENT+CEE+VIS+ASIS+EDXA019+(FACTORES!$C14*FACTORES!$AC$9*CTE),FACTORES!$C14*FACTORES!$AC$9+CDENT+CEE+VIS+ASIS+EDXA019)</f>
        <v>11515.199333516448</v>
      </c>
      <c r="V23" s="354">
        <f>IF($K$10="INCLUIDO",FACTORES!$D14*FACTORES!$AC$9+CDENT+CEE+VIS+ASIS+EDXA019+(FACTORES!$D14*FACTORES!$AC$9*CTE),FACTORES!$D14*FACTORES!$AC$9+CDENT+CEE+VIS+ASIS+EDXA019)</f>
        <v>11370.638129711611</v>
      </c>
      <c r="X23" s="352">
        <v>11</v>
      </c>
      <c r="Y23" s="354">
        <f>IF($K$10="INCLUIDO",FACTORES!$C14*FACTORES!$AC$9+CDENT+CEE+VIS+ASIS+EDXA019+(FACTORES!$C14*FACTORES!$AC$9*CTE),FACTORES!$C14*FACTORES!$AC$9+CDENT+CEE+VIS+ASIS+EDXA019)</f>
        <v>11515.199333516448</v>
      </c>
      <c r="Z23" s="354">
        <f>IF($K$10="INCLUIDO",FACTORES!$D14*FACTORES!$AC$9+CDENT+CEE+VIS+ASIS+EDXA019+(FACTORES!$D14*FACTORES!$AC$9*CTE),FACTORES!$D14*FACTORES!$AC$9+CDENT+CEE+VIS+ASIS+EDXA019)</f>
        <v>11370.638129711611</v>
      </c>
      <c r="AL23">
        <f t="shared" ref="AL23:AL36" si="0">IF(L23=Z23,1,0)</f>
        <v>0</v>
      </c>
      <c r="AO23">
        <f t="shared" ref="AO23:AO36" si="1">IF(AND(Q23=U23,U23=Y23),1,0)</f>
        <v>1</v>
      </c>
    </row>
    <row r="24" spans="1:41">
      <c r="B24" s="351">
        <v>12</v>
      </c>
      <c r="C24" s="353">
        <f>(Q24+DER)*(1+COTIZACION!$D$24)</f>
        <v>14355.414656874056</v>
      </c>
      <c r="D24" s="353">
        <f>(R24+DER)*(1+COTIZACION!$D$24)</f>
        <v>14059.782840479815</v>
      </c>
      <c r="F24" s="351">
        <v>12</v>
      </c>
      <c r="G24" s="353">
        <f>U24*(1+COTIZACION!$D$24)</f>
        <v>13369.414656874056</v>
      </c>
      <c r="H24" s="353">
        <f>V24*(1+COTIZACION!$D$24)</f>
        <v>13073.782840479815</v>
      </c>
      <c r="J24" s="351">
        <v>12</v>
      </c>
      <c r="K24" s="353">
        <f>Y24*(1+COTIZACION!$D$24)</f>
        <v>13369.414656874056</v>
      </c>
      <c r="L24" s="353">
        <f>Z24*(1+COTIZACION!$D$24)</f>
        <v>13073.782840479815</v>
      </c>
      <c r="P24" s="351">
        <v>12</v>
      </c>
      <c r="Q24" s="353">
        <f>IF($K$10="INCLUIDO",FACTORES!$C15*FACTORES!$AC$9+CDENT+CEE+VIS+ASIS+EDXA019+(FACTORES!$C15*FACTORES!$AC$9*CTE),FACTORES!$C15*FACTORES!$AC$9+CDENT+CEE+VIS+ASIS+EDXA019)</f>
        <v>11525.357462822463</v>
      </c>
      <c r="R24" s="353">
        <f>IF($K$10="INCLUIDO",FACTORES!$D15*FACTORES!$AC$9+CDENT+CEE+VIS+ASIS+EDXA019+(FACTORES!$D15*FACTORES!$AC$9*CTE),FACTORES!$D15*FACTORES!$AC$9+CDENT+CEE+VIS+ASIS+EDXA019)</f>
        <v>11270.502448689496</v>
      </c>
      <c r="T24" s="351">
        <v>12</v>
      </c>
      <c r="U24" s="353">
        <f>IF($K$10="INCLUIDO",FACTORES!$C15*FACTORES!$AC$9+CDENT+CEE+VIS+ASIS+EDXA019+(FACTORES!$C15*FACTORES!$AC$9*CTE),FACTORES!$C15*FACTORES!$AC$9+CDENT+CEE+VIS+ASIS+EDXA019)</f>
        <v>11525.357462822463</v>
      </c>
      <c r="V24" s="353">
        <f>IF($K$10="INCLUIDO",FACTORES!$D15*FACTORES!$AC$9+CDENT+CEE+VIS+ASIS+EDXA019+(FACTORES!$D15*FACTORES!$AC$9*CTE),FACTORES!$D15*FACTORES!$AC$9+CDENT+CEE+VIS+ASIS+EDXA019)</f>
        <v>11270.502448689496</v>
      </c>
      <c r="X24" s="351">
        <v>12</v>
      </c>
      <c r="Y24" s="353">
        <f>IF($K$10="INCLUIDO",FACTORES!$C15*FACTORES!$AC$9+CDENT+CEE+VIS+ASIS+EDXA019+(FACTORES!$C15*FACTORES!$AC$9*CTE),FACTORES!$C15*FACTORES!$AC$9+CDENT+CEE+VIS+ASIS+EDXA019)</f>
        <v>11525.357462822463</v>
      </c>
      <c r="Z24" s="353">
        <f>IF($K$10="INCLUIDO",FACTORES!$D15*FACTORES!$AC$9+CDENT+CEE+VIS+ASIS+EDXA019+(FACTORES!$D15*FACTORES!$AC$9*CTE),FACTORES!$D15*FACTORES!$AC$9+CDENT+CEE+VIS+ASIS+EDXA019)</f>
        <v>11270.502448689496</v>
      </c>
      <c r="AL24">
        <f t="shared" si="0"/>
        <v>0</v>
      </c>
      <c r="AO24">
        <f t="shared" si="1"/>
        <v>1</v>
      </c>
    </row>
    <row r="25" spans="1:41">
      <c r="B25" s="352">
        <v>13</v>
      </c>
      <c r="C25" s="354">
        <f>(Q25+DER)*(1+COTIZACION!$D$24)</f>
        <v>14367.209870299028</v>
      </c>
      <c r="D25" s="354">
        <f>(R25+DER)*(1+COTIZACION!$D$24)</f>
        <v>13944.787024394018</v>
      </c>
      <c r="F25" s="352">
        <v>13</v>
      </c>
      <c r="G25" s="354">
        <f>U25*(1+COTIZACION!$D$24)</f>
        <v>13381.209870299028</v>
      </c>
      <c r="H25" s="354">
        <f>V25*(1+COTIZACION!$D$24)</f>
        <v>12958.787024394018</v>
      </c>
      <c r="J25" s="352">
        <v>13</v>
      </c>
      <c r="K25" s="354">
        <f>Y25*(1+COTIZACION!$D$24)</f>
        <v>13381.209870299028</v>
      </c>
      <c r="L25" s="354">
        <f>Z25*(1+COTIZACION!$D$24)</f>
        <v>12958.787024394018</v>
      </c>
      <c r="P25" s="352">
        <v>13</v>
      </c>
      <c r="Q25" s="354">
        <f>IF($K$10="INCLUIDO",FACTORES!$C16*FACTORES!$AC$9+CDENT+CEE+VIS+ASIS+EDXA019+(FACTORES!$C16*FACTORES!$AC$9*CTE),FACTORES!$C16*FACTORES!$AC$9+CDENT+CEE+VIS+ASIS+EDXA019)</f>
        <v>11535.525750257784</v>
      </c>
      <c r="R25" s="354">
        <f>IF($K$10="INCLUIDO",FACTORES!$D16*FACTORES!$AC$9+CDENT+CEE+VIS+ASIS+EDXA019+(FACTORES!$D16*FACTORES!$AC$9*CTE),FACTORES!$D16*FACTORES!$AC$9+CDENT+CEE+VIS+ASIS+EDXA019)</f>
        <v>11171.368124477602</v>
      </c>
      <c r="T25" s="352">
        <v>13</v>
      </c>
      <c r="U25" s="354">
        <f>IF($K$10="INCLUIDO",FACTORES!$C16*FACTORES!$AC$9+CDENT+CEE+VIS+ASIS+EDXA019+(FACTORES!$C16*FACTORES!$AC$9*CTE),FACTORES!$C16*FACTORES!$AC$9+CDENT+CEE+VIS+ASIS+EDXA019)</f>
        <v>11535.525750257784</v>
      </c>
      <c r="V25" s="354">
        <f>IF($K$10="INCLUIDO",FACTORES!$D16*FACTORES!$AC$9+CDENT+CEE+VIS+ASIS+EDXA019+(FACTORES!$D16*FACTORES!$AC$9*CTE),FACTORES!$D16*FACTORES!$AC$9+CDENT+CEE+VIS+ASIS+EDXA019)</f>
        <v>11171.368124477602</v>
      </c>
      <c r="X25" s="352">
        <v>13</v>
      </c>
      <c r="Y25" s="354">
        <f>IF($K$10="INCLUIDO",FACTORES!$C16*FACTORES!$AC$9+CDENT+CEE+VIS+ASIS+EDXA019+(FACTORES!$C16*FACTORES!$AC$9*CTE),FACTORES!$C16*FACTORES!$AC$9+CDENT+CEE+VIS+ASIS+EDXA019)</f>
        <v>11535.525750257784</v>
      </c>
      <c r="Z25" s="354">
        <f>IF($K$10="INCLUIDO",FACTORES!$D16*FACTORES!$AC$9+CDENT+CEE+VIS+ASIS+EDXA019+(FACTORES!$D16*FACTORES!$AC$9*CTE),FACTORES!$D16*FACTORES!$AC$9+CDENT+CEE+VIS+ASIS+EDXA019)</f>
        <v>11171.368124477602</v>
      </c>
      <c r="AL25">
        <f t="shared" si="0"/>
        <v>0</v>
      </c>
      <c r="AO25">
        <f t="shared" si="1"/>
        <v>1</v>
      </c>
    </row>
    <row r="26" spans="1:41">
      <c r="B26" s="351">
        <v>14</v>
      </c>
      <c r="C26" s="353">
        <f>(Q26+DER)*(1+COTIZACION!$D$24)</f>
        <v>14379.016878937426</v>
      </c>
      <c r="D26" s="353">
        <f>(R26+DER)*(1+COTIZACION!$D$24)</f>
        <v>13944.787024394018</v>
      </c>
      <c r="F26" s="351">
        <v>14</v>
      </c>
      <c r="G26" s="353">
        <f>U26*(1+COTIZACION!$D$24)</f>
        <v>13393.016878937426</v>
      </c>
      <c r="H26" s="353">
        <f>V26*(1+COTIZACION!$D$24)</f>
        <v>12958.787024394018</v>
      </c>
      <c r="J26" s="351">
        <v>14</v>
      </c>
      <c r="K26" s="353">
        <f>Y26*(1+COTIZACION!$D$24)</f>
        <v>13393.016878937426</v>
      </c>
      <c r="L26" s="353">
        <f>Z26*(1+COTIZACION!$D$24)</f>
        <v>12958.787024394018</v>
      </c>
      <c r="P26" s="351">
        <v>14</v>
      </c>
      <c r="Q26" s="353">
        <f>IF($K$10="INCLUIDO",FACTORES!$C17*FACTORES!$AC$9+CDENT+CEE+VIS+ASIS+EDXA019+(FACTORES!$C17*FACTORES!$AC$9*CTE),FACTORES!$C17*FACTORES!$AC$9+CDENT+CEE+VIS+ASIS+EDXA019)</f>
        <v>11545.704205980541</v>
      </c>
      <c r="R26" s="353">
        <f>IF($K$10="INCLUIDO",FACTORES!$D17*FACTORES!$AC$9+CDENT+CEE+VIS+ASIS+EDXA019+(FACTORES!$D17*FACTORES!$AC$9*CTE),FACTORES!$D17*FACTORES!$AC$9+CDENT+CEE+VIS+ASIS+EDXA019)</f>
        <v>11171.368124477602</v>
      </c>
      <c r="T26" s="351">
        <v>14</v>
      </c>
      <c r="U26" s="353">
        <f>IF($K$10="INCLUIDO",FACTORES!$C17*FACTORES!$AC$9+CDENT+CEE+VIS+ASIS+EDXA019+(FACTORES!$C17*FACTORES!$AC$9*CTE),FACTORES!$C17*FACTORES!$AC$9+CDENT+CEE+VIS+ASIS+EDXA019)</f>
        <v>11545.704205980541</v>
      </c>
      <c r="V26" s="353">
        <f>IF($K$10="INCLUIDO",FACTORES!$D17*FACTORES!$AC$9+CDENT+CEE+VIS+ASIS+EDXA019+(FACTORES!$D17*FACTORES!$AC$9*CTE),FACTORES!$D17*FACTORES!$AC$9+CDENT+CEE+VIS+ASIS+EDXA019)</f>
        <v>11171.368124477602</v>
      </c>
      <c r="X26" s="351">
        <v>14</v>
      </c>
      <c r="Y26" s="353">
        <f>IF($K$10="INCLUIDO",FACTORES!$C17*FACTORES!$AC$9+CDENT+CEE+VIS+ASIS+EDXA019+(FACTORES!$C17*FACTORES!$AC$9*CTE),FACTORES!$C17*FACTORES!$AC$9+CDENT+CEE+VIS+ASIS+EDXA019)</f>
        <v>11545.704205980541</v>
      </c>
      <c r="Z26" s="353">
        <f>IF($K$10="INCLUIDO",FACTORES!$D17*FACTORES!$AC$9+CDENT+CEE+VIS+ASIS+EDXA019+(FACTORES!$D17*FACTORES!$AC$9*CTE),FACTORES!$D17*FACTORES!$AC$9+CDENT+CEE+VIS+ASIS+EDXA019)</f>
        <v>11171.368124477602</v>
      </c>
      <c r="AL26">
        <f t="shared" si="0"/>
        <v>0</v>
      </c>
      <c r="AO26">
        <f t="shared" si="1"/>
        <v>1</v>
      </c>
    </row>
    <row r="27" spans="1:41">
      <c r="B27" s="352">
        <v>15</v>
      </c>
      <c r="C27" s="354">
        <f>(Q27+DER)*(1+COTIZACION!$D$24)</f>
        <v>14390.835694584463</v>
      </c>
      <c r="D27" s="354">
        <f>(R27+DER)*(1+COTIZACION!$D$24)</f>
        <v>13944.787024394018</v>
      </c>
      <c r="F27" s="352">
        <v>15</v>
      </c>
      <c r="G27" s="354">
        <f>U27*(1+COTIZACION!$D$24)</f>
        <v>13404.835694584463</v>
      </c>
      <c r="H27" s="354">
        <f>V27*(1+COTIZACION!$D$24)</f>
        <v>12958.787024394018</v>
      </c>
      <c r="J27" s="352">
        <v>15</v>
      </c>
      <c r="K27" s="354">
        <f>Y27*(1+COTIZACION!$D$24)</f>
        <v>13404.835694584463</v>
      </c>
      <c r="L27" s="354">
        <f>Z27*(1+COTIZACION!$D$24)</f>
        <v>12958.787024394018</v>
      </c>
      <c r="P27" s="352">
        <v>15</v>
      </c>
      <c r="Q27" s="354">
        <f>IF($K$10="INCLUIDO",FACTORES!$C18*FACTORES!$AC$9+CDENT+CEE+VIS+ASIS+EDXA019+(FACTORES!$C18*FACTORES!$AC$9*CTE),FACTORES!$C18*FACTORES!$AC$9+CDENT+CEE+VIS+ASIS+EDXA019)</f>
        <v>11555.89284015902</v>
      </c>
      <c r="R27" s="354">
        <f>IF($K$10="INCLUIDO",FACTORES!$D18*FACTORES!$AC$9+CDENT+CEE+VIS+ASIS+EDXA019+(FACTORES!$D18*FACTORES!$AC$9*CTE),FACTORES!$D18*FACTORES!$AC$9+CDENT+CEE+VIS+ASIS+EDXA019)</f>
        <v>11171.368124477602</v>
      </c>
      <c r="T27" s="352">
        <v>15</v>
      </c>
      <c r="U27" s="354">
        <f>IF($K$10="INCLUIDO",FACTORES!$C18*FACTORES!$AC$9+CDENT+CEE+VIS+ASIS+EDXA019+(FACTORES!$C18*FACTORES!$AC$9*CTE),FACTORES!$C18*FACTORES!$AC$9+CDENT+CEE+VIS+ASIS+EDXA019)</f>
        <v>11555.89284015902</v>
      </c>
      <c r="V27" s="354">
        <f>IF($K$10="INCLUIDO",FACTORES!$D18*FACTORES!$AC$9+CDENT+CEE+VIS+ASIS+EDXA019+(FACTORES!$D18*FACTORES!$AC$9*CTE),FACTORES!$D18*FACTORES!$AC$9+CDENT+CEE+VIS+ASIS+EDXA019)</f>
        <v>11171.368124477602</v>
      </c>
      <c r="X27" s="352">
        <v>15</v>
      </c>
      <c r="Y27" s="354">
        <f>IF($K$10="INCLUIDO",FACTORES!$C18*FACTORES!$AC$9+CDENT+CEE+VIS+ASIS+EDXA019+(FACTORES!$C18*FACTORES!$AC$9*CTE),FACTORES!$C18*FACTORES!$AC$9+CDENT+CEE+VIS+ASIS+EDXA019)</f>
        <v>11555.89284015902</v>
      </c>
      <c r="Z27" s="354">
        <f>IF($K$10="INCLUIDO",FACTORES!$D18*FACTORES!$AC$9+CDENT+CEE+VIS+ASIS+EDXA019+(FACTORES!$D18*FACTORES!$AC$9*CTE),FACTORES!$D18*FACTORES!$AC$9+CDENT+CEE+VIS+ASIS+EDXA019)</f>
        <v>11171.368124477602</v>
      </c>
      <c r="AL27">
        <f t="shared" si="0"/>
        <v>0</v>
      </c>
      <c r="AO27">
        <f t="shared" si="1"/>
        <v>1</v>
      </c>
    </row>
    <row r="28" spans="1:41">
      <c r="B28" s="351">
        <v>16</v>
      </c>
      <c r="C28" s="353">
        <f>(Q28+DER)*(1+COTIZACION!$D$24)</f>
        <v>14402.666329047142</v>
      </c>
      <c r="D28" s="353">
        <f>(R28+DER)*(1+COTIZACION!$D$24)</f>
        <v>13944.787024394018</v>
      </c>
      <c r="F28" s="351">
        <v>16</v>
      </c>
      <c r="G28" s="353">
        <f>U28*(1+COTIZACION!$D$24)</f>
        <v>13416.666329047142</v>
      </c>
      <c r="H28" s="353">
        <f>V28*(1+COTIZACION!$D$24)</f>
        <v>12958.787024394018</v>
      </c>
      <c r="J28" s="351">
        <v>16</v>
      </c>
      <c r="K28" s="353">
        <f>Y28*(1+COTIZACION!$D$24)</f>
        <v>13416.666329047142</v>
      </c>
      <c r="L28" s="353">
        <f>Z28*(1+COTIZACION!$D$24)</f>
        <v>12958.787024394018</v>
      </c>
      <c r="P28" s="351">
        <v>16</v>
      </c>
      <c r="Q28" s="353">
        <f>IF($K$10="INCLUIDO",FACTORES!$C19*FACTORES!$AC$9+CDENT+CEE+VIS+ASIS+EDXA019+(FACTORES!$C19*FACTORES!$AC$9*CTE),FACTORES!$C19*FACTORES!$AC$9+CDENT+CEE+VIS+ASIS+EDXA019)</f>
        <v>11566.091662971676</v>
      </c>
      <c r="R28" s="353">
        <f>IF($K$10="INCLUIDO",FACTORES!$D19*FACTORES!$AC$9+CDENT+CEE+VIS+ASIS+EDXA019+(FACTORES!$D19*FACTORES!$AC$9*CTE),FACTORES!$D19*FACTORES!$AC$9+CDENT+CEE+VIS+ASIS+EDXA019)</f>
        <v>11171.368124477602</v>
      </c>
      <c r="T28" s="351">
        <v>16</v>
      </c>
      <c r="U28" s="353">
        <f>IF($K$10="INCLUIDO",FACTORES!$C19*FACTORES!$AC$9+CDENT+CEE+VIS+ASIS+EDXA019+(FACTORES!$C19*FACTORES!$AC$9*CTE),FACTORES!$C19*FACTORES!$AC$9+CDENT+CEE+VIS+ASIS+EDXA019)</f>
        <v>11566.091662971676</v>
      </c>
      <c r="V28" s="353">
        <f>IF($K$10="INCLUIDO",FACTORES!$D19*FACTORES!$AC$9+CDENT+CEE+VIS+ASIS+EDXA019+(FACTORES!$D19*FACTORES!$AC$9*CTE),FACTORES!$D19*FACTORES!$AC$9+CDENT+CEE+VIS+ASIS+EDXA019)</f>
        <v>11171.368124477602</v>
      </c>
      <c r="X28" s="351">
        <v>16</v>
      </c>
      <c r="Y28" s="353">
        <f>IF($K$10="INCLUIDO",FACTORES!$C19*FACTORES!$AC$9+CDENT+CEE+VIS+ASIS+EDXA019+(FACTORES!$C19*FACTORES!$AC$9*CTE),FACTORES!$C19*FACTORES!$AC$9+CDENT+CEE+VIS+ASIS+EDXA019)</f>
        <v>11566.091662971676</v>
      </c>
      <c r="Z28" s="353">
        <f>IF($K$10="INCLUIDO",FACTORES!$D19*FACTORES!$AC$9+CDENT+CEE+VIS+ASIS+EDXA019+(FACTORES!$D19*FACTORES!$AC$9*CTE),FACTORES!$D19*FACTORES!$AC$9+CDENT+CEE+VIS+ASIS+EDXA019)</f>
        <v>11171.368124477602</v>
      </c>
      <c r="AL28">
        <f t="shared" si="0"/>
        <v>0</v>
      </c>
      <c r="AO28">
        <f t="shared" si="1"/>
        <v>1</v>
      </c>
    </row>
    <row r="29" spans="1:41">
      <c r="B29" s="352">
        <v>17</v>
      </c>
      <c r="C29" s="354">
        <f>(Q29+DER)*(1+COTIZACION!$D$24)</f>
        <v>14414.508794144291</v>
      </c>
      <c r="D29" s="354">
        <f>(R29+DER)*(1+COTIZACION!$D$24)</f>
        <v>13944.787024394018</v>
      </c>
      <c r="F29" s="352">
        <v>17</v>
      </c>
      <c r="G29" s="354">
        <f>U29*(1+COTIZACION!$D$24)</f>
        <v>13428.508794144291</v>
      </c>
      <c r="H29" s="354">
        <f>V29*(1+COTIZACION!$D$24)</f>
        <v>12958.787024394018</v>
      </c>
      <c r="J29" s="352">
        <v>17</v>
      </c>
      <c r="K29" s="354">
        <f>Y29*(1+COTIZACION!$D$24)</f>
        <v>13428.508794144291</v>
      </c>
      <c r="L29" s="354">
        <f>Z29*(1+COTIZACION!$D$24)</f>
        <v>12958.787024394018</v>
      </c>
      <c r="P29" s="352">
        <v>17</v>
      </c>
      <c r="Q29" s="354">
        <f>IF($K$10="INCLUIDO",FACTORES!$C20*FACTORES!$AC$9+CDENT+CEE+VIS+ASIS+EDXA019+(FACTORES!$C20*FACTORES!$AC$9*CTE),FACTORES!$C20*FACTORES!$AC$9+CDENT+CEE+VIS+ASIS+EDXA019)</f>
        <v>11576.300684607148</v>
      </c>
      <c r="R29" s="354">
        <f>IF($K$10="INCLUIDO",FACTORES!$D20*FACTORES!$AC$9+CDENT+CEE+VIS+ASIS+EDXA019+(FACTORES!$D20*FACTORES!$AC$9*CTE),FACTORES!$D20*FACTORES!$AC$9+CDENT+CEE+VIS+ASIS+EDXA019)</f>
        <v>11171.368124477602</v>
      </c>
      <c r="T29" s="352">
        <v>17</v>
      </c>
      <c r="U29" s="354">
        <f>IF($K$10="INCLUIDO",FACTORES!$C20*FACTORES!$AC$9+CDENT+CEE+VIS+ASIS+EDXA019+(FACTORES!$C20*FACTORES!$AC$9*CTE),FACTORES!$C20*FACTORES!$AC$9+CDENT+CEE+VIS+ASIS+EDXA019)</f>
        <v>11576.300684607148</v>
      </c>
      <c r="V29" s="354">
        <f>IF($K$10="INCLUIDO",FACTORES!$D20*FACTORES!$AC$9+CDENT+CEE+VIS+ASIS+EDXA019+(FACTORES!$D20*FACTORES!$AC$9*CTE),FACTORES!$D20*FACTORES!$AC$9+CDENT+CEE+VIS+ASIS+EDXA019)</f>
        <v>11171.368124477602</v>
      </c>
      <c r="X29" s="352">
        <v>17</v>
      </c>
      <c r="Y29" s="354">
        <f>IF($K$10="INCLUIDO",FACTORES!$C20*FACTORES!$AC$9+CDENT+CEE+VIS+ASIS+EDXA019+(FACTORES!$C20*FACTORES!$AC$9*CTE),FACTORES!$C20*FACTORES!$AC$9+CDENT+CEE+VIS+ASIS+EDXA019)</f>
        <v>11576.300684607148</v>
      </c>
      <c r="Z29" s="354">
        <f>IF($K$10="INCLUIDO",FACTORES!$D20*FACTORES!$AC$9+CDENT+CEE+VIS+ASIS+EDXA019+(FACTORES!$D20*FACTORES!$AC$9*CTE),FACTORES!$D20*FACTORES!$AC$9+CDENT+CEE+VIS+ASIS+EDXA019)</f>
        <v>11171.368124477602</v>
      </c>
      <c r="AL29">
        <f t="shared" si="0"/>
        <v>0</v>
      </c>
      <c r="AO29">
        <f t="shared" si="1"/>
        <v>1</v>
      </c>
    </row>
    <row r="30" spans="1:41">
      <c r="B30" s="351">
        <v>18</v>
      </c>
      <c r="C30" s="353">
        <f>(Q30+DER)*(1+COTIZACION!$D$24)</f>
        <v>14533.051869766732</v>
      </c>
      <c r="D30" s="353">
        <f>(R30+DER)*(1+COTIZACION!$D$24)</f>
        <v>14114.673346989581</v>
      </c>
      <c r="F30" s="351">
        <v>18</v>
      </c>
      <c r="G30" s="353">
        <f>U30*(1+COTIZACION!$D$24)</f>
        <v>13547.051869766732</v>
      </c>
      <c r="H30" s="353">
        <f>V30*(1+COTIZACION!$D$24)</f>
        <v>13128.673346989581</v>
      </c>
      <c r="J30" s="351">
        <v>18</v>
      </c>
      <c r="K30" s="353">
        <f>Y30*(1+COTIZACION!$D$24)</f>
        <v>13547.051869766732</v>
      </c>
      <c r="L30" s="353">
        <f>Z30*(1+COTIZACION!$D$24)</f>
        <v>13128.673346989581</v>
      </c>
      <c r="P30" s="351">
        <v>18</v>
      </c>
      <c r="Q30" s="353">
        <f>IF($K$10="INCLUIDO",FACTORES!$C21*FACTORES!$AC$9+CDENT+CEE+VIS+ASIS+EDXA019+(FACTORES!$C21*FACTORES!$AC$9*CTE)+ENFGR,FACTORES!$C21*FACTORES!$AC$9+CDENT+CEE+VIS+ASIS+EDXA019+ENFGR)</f>
        <v>11678.492991178218</v>
      </c>
      <c r="R30" s="353">
        <f>IF($K$10="INCLUIDO",FACTORES!$D21*FACTORES!$AC$9+CDENT+CEE+VIS+ASIS+EDXA019+(FACTORES!$D21*FACTORES!$AC$9*CTE)+ENFGR+VLOOKUP(COTIZACION!$D$18,FACTORES!$J$21:$K$24,2,0),FACTORES!$D21*FACTORES!$AC$9+CDENT+CEE+VIS+ASIS+EDXA019+ENFGR+VLOOKUP(COTIZACION!$D$18,FACTORES!$J$21:$K$24,2,0))</f>
        <v>11317.821850853088</v>
      </c>
      <c r="T30" s="351">
        <v>18</v>
      </c>
      <c r="U30" s="353">
        <f>IF($K$10="INCLUIDO",FACTORES!$C21*FACTORES!$AC$9+CDENT+CEE+VIS+ASIS+EDXA019+(FACTORES!$C21*FACTORES!$AC$9*CTE)+ENFGR,FACTORES!$C21*FACTORES!$AC$9+CDENT+CEE+VIS+ASIS+EDXA019+ENFGR)</f>
        <v>11678.492991178218</v>
      </c>
      <c r="V30" s="353">
        <f>IF($K$10="INCLUIDO",FACTORES!$D21*FACTORES!$AC$9+CDENT+CEE+VIS+ASIS+EDXA019+(FACTORES!$D21*FACTORES!$AC$9*CTE)+ENFGR+VLOOKUP(COTIZACION!$D$18,FACTORES!$J$21:$K$24,2,0),FACTORES!$D21*FACTORES!$AC$9+CDENT+CEE+VIS+ASIS+EDXA019+ENFGR+VLOOKUP(COTIZACION!$D$18,FACTORES!$J$21:$K$24,2,0))</f>
        <v>11317.821850853088</v>
      </c>
      <c r="X30" s="351">
        <v>18</v>
      </c>
      <c r="Y30" s="353">
        <f>IF($K$10="INCLUIDO",FACTORES!$C21*FACTORES!$AC$9+CDENT+CEE+VIS+ASIS+EDXA019+(FACTORES!$C21*FACTORES!$AC$9*CTE)+ENFGR,FACTORES!$C21*FACTORES!$AC$9+CDENT+CEE+VIS+ASIS+EDXA019+ENFGR)</f>
        <v>11678.492991178218</v>
      </c>
      <c r="Z30" s="353">
        <f>IF($K$10="INCLUIDO",FACTORES!$D21*FACTORES!$AC$9+CDENT+CEE+VIS+ASIS+EDXA019+(FACTORES!$D21*FACTORES!$AC$9*CTE)+ENFGR+VLOOKUP(COTIZACION!$D$18,FACTORES!$J$21:$K$24,2,0),FACTORES!$D21*FACTORES!$AC$9+CDENT+CEE+VIS+ASIS+EDXA019+ENFGR+VLOOKUP(COTIZACION!$D$18,FACTORES!$J$21:$K$24,2,0))</f>
        <v>11317.821850853088</v>
      </c>
      <c r="AL30">
        <f t="shared" si="0"/>
        <v>0</v>
      </c>
      <c r="AO30">
        <f t="shared" si="1"/>
        <v>1</v>
      </c>
    </row>
    <row r="31" spans="1:41">
      <c r="B31" s="352">
        <v>19</v>
      </c>
      <c r="C31" s="354">
        <f>(Q31+DER)*(1+COTIZACION!$D$24)</f>
        <v>14652.7803761454</v>
      </c>
      <c r="D31" s="354">
        <f>(R31+DER)*(1+COTIZACION!$D$24)</f>
        <v>14733.994814101257</v>
      </c>
      <c r="F31" s="352">
        <v>19</v>
      </c>
      <c r="G31" s="354">
        <f>U31*(1+COTIZACION!$D$24)</f>
        <v>13666.7803761454</v>
      </c>
      <c r="H31" s="354">
        <f>V31*(1+COTIZACION!$D$24)</f>
        <v>13747.994814101257</v>
      </c>
      <c r="J31" s="352">
        <v>19</v>
      </c>
      <c r="K31" s="354">
        <f>Y31*(1+COTIZACION!$D$24)</f>
        <v>13666.7803761454</v>
      </c>
      <c r="L31" s="354">
        <f>Z31*(1+COTIZACION!$D$24)</f>
        <v>13747.994814101257</v>
      </c>
      <c r="P31" s="352">
        <v>19</v>
      </c>
      <c r="Q31" s="354">
        <f>IF($K$10="INCLUIDO",FACTORES!$C22*FACTORES!$AC$9+CDENT+CEE+VIS+ASIS+EDXA019+(FACTORES!$C22*FACTORES!$AC$9*CTE)+ENFGR,FACTORES!$C22*FACTORES!$AC$9+CDENT+CEE+VIS+ASIS+EDXA019+ENFGR)</f>
        <v>11781.707220815</v>
      </c>
      <c r="R31" s="354">
        <f>IF($K$10="INCLUIDO",FACTORES!$D22*FACTORES!$AC$9+CDENT+CEE+VIS+ASIS+EDXA019+(FACTORES!$D22*FACTORES!$AC$9*CTE)+ENFGR+VLOOKUP(COTIZACION!$D$18,FACTORES!$J$21:$K$24,2,0),FACTORES!$D22*FACTORES!$AC$9+CDENT+CEE+VIS+ASIS+EDXA019+ENFGR+VLOOKUP(COTIZACION!$D$18,FACTORES!$J$21:$K$24,2,0))</f>
        <v>11851.719667328671</v>
      </c>
      <c r="T31" s="352">
        <v>19</v>
      </c>
      <c r="U31" s="354">
        <f>IF($K$10="INCLUIDO",FACTORES!$C22*FACTORES!$AC$9+CDENT+CEE+VIS+ASIS+EDXA019+(FACTORES!$C22*FACTORES!$AC$9*CTE)+ENFGR,FACTORES!$C22*FACTORES!$AC$9+CDENT+CEE+VIS+ASIS+EDXA019+ENFGR)</f>
        <v>11781.707220815</v>
      </c>
      <c r="V31" s="354">
        <f>IF($K$10="INCLUIDO",FACTORES!$D22*FACTORES!$AC$9+CDENT+CEE+VIS+ASIS+EDXA019+(FACTORES!$D22*FACTORES!$AC$9*CTE)+ENFGR+VLOOKUP(COTIZACION!$D$18,FACTORES!$J$21:$K$24,2,0),FACTORES!$D22*FACTORES!$AC$9+CDENT+CEE+VIS+ASIS+EDXA019+ENFGR+VLOOKUP(COTIZACION!$D$18,FACTORES!$J$21:$K$24,2,0))</f>
        <v>11851.719667328671</v>
      </c>
      <c r="X31" s="352">
        <v>19</v>
      </c>
      <c r="Y31" s="354">
        <f>IF($K$10="INCLUIDO",FACTORES!$C22*FACTORES!$AC$9+CDENT+CEE+VIS+ASIS+EDXA019+(FACTORES!$C22*FACTORES!$AC$9*CTE)+ENFGR,FACTORES!$C22*FACTORES!$AC$9+CDENT+CEE+VIS+ASIS+EDXA019+ENFGR)</f>
        <v>11781.707220815</v>
      </c>
      <c r="Z31" s="354">
        <f>IF($K$10="INCLUIDO",FACTORES!$D22*FACTORES!$AC$9+CDENT+CEE+VIS+ASIS+EDXA019+(FACTORES!$D22*FACTORES!$AC$9*CTE)+ENFGR+VLOOKUP(COTIZACION!$D$18,FACTORES!$J$21:$K$24,2,0),FACTORES!$D22*FACTORES!$AC$9+CDENT+CEE+VIS+ASIS+EDXA019+ENFGR+VLOOKUP(COTIZACION!$D$18,FACTORES!$J$21:$K$24,2,0))</f>
        <v>11851.719667328671</v>
      </c>
      <c r="AL31">
        <f t="shared" si="0"/>
        <v>0</v>
      </c>
      <c r="AO31">
        <f t="shared" si="1"/>
        <v>1</v>
      </c>
    </row>
    <row r="32" spans="1:41">
      <c r="B32" s="351">
        <v>20</v>
      </c>
      <c r="C32" s="353">
        <f>(Q32+DER)*(1+COTIZACION!$D$24)</f>
        <v>14661.441786060954</v>
      </c>
      <c r="D32" s="353">
        <f>(R32+DER)*(1+COTIZACION!$D$24)</f>
        <v>15741.468637458072</v>
      </c>
      <c r="F32" s="351">
        <v>20</v>
      </c>
      <c r="G32" s="353">
        <f>U32*(1+COTIZACION!$D$24)</f>
        <v>13675.441786060954</v>
      </c>
      <c r="H32" s="353">
        <f>V32*(1+COTIZACION!$D$24)</f>
        <v>14755.468637458072</v>
      </c>
      <c r="J32" s="351">
        <v>20</v>
      </c>
      <c r="K32" s="353">
        <f>Y32*(1+COTIZACION!$D$24)</f>
        <v>13675.441786060954</v>
      </c>
      <c r="L32" s="353">
        <f>Z32*(1+COTIZACION!$D$24)</f>
        <v>14755.468637458072</v>
      </c>
      <c r="P32" s="351">
        <v>20</v>
      </c>
      <c r="Q32" s="353">
        <f>IF($K$10="INCLUIDO",FACTORES!$C23*FACTORES!$AC$9+CDENT+CEE+VIS+ASIS+EDXA20100+(FACTORES!$C23*FACTORES!$AC$9*CTE)+ENFGR,FACTORES!$C23*FACTORES!$AC$9+CDENT+CEE+VIS+ASIS+EDXA20100+ENFGR)</f>
        <v>11789.173953500824</v>
      </c>
      <c r="R32" s="353">
        <f>IF($K$10="INCLUIDO",FACTORES!$D23*FACTORES!$AC$9+CDENT+CEE+VIS+ASIS+EDXA20100+(FACTORES!$D23*FACTORES!$AC$9*CTE)+ENFGR+VLOOKUP(COTIZACION!$D$18,FACTORES!$J$21:$K$24,2,0),FACTORES!$D23*FACTORES!$AC$9+CDENT+CEE+VIS+ASIS+EDXA20100+ENFGR+VLOOKUP(COTIZACION!$D$18,FACTORES!$J$21:$K$24,2,0))</f>
        <v>12720.231584015581</v>
      </c>
      <c r="T32" s="351">
        <v>20</v>
      </c>
      <c r="U32" s="353">
        <f>IF($K$10="INCLUIDO",FACTORES!$C23*FACTORES!$AC$9+CDENT+CEE+VIS+ASIS+EDXA20100+(FACTORES!$C23*FACTORES!$AC$9*CTE)+ENFGR,FACTORES!$C23*FACTORES!$AC$9+CDENT+CEE+VIS+ASIS+EDXA20100+ENFGR)</f>
        <v>11789.173953500824</v>
      </c>
      <c r="V32" s="353">
        <f>IF($K$10="INCLUIDO",FACTORES!$D23*FACTORES!$AC$9+CDENT+CEE+VIS+ASIS+EDXA20100+(FACTORES!$D23*FACTORES!$AC$9*CTE)+ENFGR+VLOOKUP(COTIZACION!$D$18,FACTORES!$J$21:$K$24,2,0),FACTORES!$D23*FACTORES!$AC$9+CDENT+CEE+VIS+ASIS+EDXA20100+ENFGR+VLOOKUP(COTIZACION!$D$18,FACTORES!$J$21:$K$24,2,0))</f>
        <v>12720.231584015581</v>
      </c>
      <c r="X32" s="351">
        <v>20</v>
      </c>
      <c r="Y32" s="353">
        <f>IF($K$10="INCLUIDO",FACTORES!$C23*FACTORES!$AC$9+CDENT+CEE+VIS+ASIS+EDXA20100+(FACTORES!$C23*FACTORES!$AC$9*CTE)+ENFGR,FACTORES!$C23*FACTORES!$AC$9+CDENT+CEE+VIS+ASIS+EDXA20100+ENFGR)</f>
        <v>11789.173953500824</v>
      </c>
      <c r="Z32" s="353">
        <f>IF($K$10="INCLUIDO",FACTORES!$D23*FACTORES!$AC$9+CDENT+CEE+VIS+ASIS+EDXA20100+(FACTORES!$D23*FACTORES!$AC$9*CTE)+ENFGR+VLOOKUP(COTIZACION!$D$18,FACTORES!$J$21:$K$24,2,0),FACTORES!$D23*FACTORES!$AC$9+CDENT+CEE+VIS+ASIS+EDXA20100+ENFGR+VLOOKUP(COTIZACION!$D$18,FACTORES!$J$21:$K$24,2,0))</f>
        <v>12720.231584015581</v>
      </c>
      <c r="AL32">
        <f t="shared" si="0"/>
        <v>0</v>
      </c>
      <c r="AO32">
        <f t="shared" si="1"/>
        <v>1</v>
      </c>
    </row>
    <row r="33" spans="2:41">
      <c r="B33" s="352">
        <v>21</v>
      </c>
      <c r="C33" s="354">
        <f>(Q33+DER)*(1+COTIZACION!$D$24)</f>
        <v>15197.859073769003</v>
      </c>
      <c r="D33" s="354">
        <f>(R33+DER)*(1+COTIZACION!$D$24)</f>
        <v>17801.013844840087</v>
      </c>
      <c r="F33" s="352">
        <v>21</v>
      </c>
      <c r="G33" s="354">
        <f>U33*(1+COTIZACION!$D$24)</f>
        <v>14211.859073769003</v>
      </c>
      <c r="H33" s="354">
        <f>V33*(1+COTIZACION!$D$24)</f>
        <v>16815.013844840087</v>
      </c>
      <c r="J33" s="352">
        <v>21</v>
      </c>
      <c r="K33" s="354">
        <f>Y33*(1+COTIZACION!$D$24)</f>
        <v>14211.859073769003</v>
      </c>
      <c r="L33" s="354">
        <f>Z33*(1+COTIZACION!$D$24)</f>
        <v>16815.013844840087</v>
      </c>
      <c r="P33" s="352">
        <v>21</v>
      </c>
      <c r="Q33" s="354">
        <f>IF($K$10="INCLUIDO",FACTORES!$C24*FACTORES!$AC$9+CDENT+CEE+VIS+ASIS+EDXA20100+(FACTORES!$C24*FACTORES!$AC$9*CTE)+ENFGR,FACTORES!$C24*FACTORES!$AC$9+CDENT+CEE+VIS+ASIS+EDXA20100+ENFGR)</f>
        <v>12251.602649800865</v>
      </c>
      <c r="R33" s="354">
        <f>IF($K$10="INCLUIDO",FACTORES!$D24*FACTORES!$AC$9+CDENT+CEE+VIS+ASIS+EDXA20100+(FACTORES!$D24*FACTORES!$AC$9*CTE)+ENFGR+VLOOKUP(COTIZACION!$D$18,FACTORES!$J$21:$K$24,2,0),FACTORES!$D24*FACTORES!$AC$9+CDENT+CEE+VIS+ASIS+EDXA20100+ENFGR+VLOOKUP(COTIZACION!$D$18,FACTORES!$J$21:$K$24,2,0))</f>
        <v>14495.701590379385</v>
      </c>
      <c r="T33" s="352">
        <v>21</v>
      </c>
      <c r="U33" s="354">
        <f>IF($K$10="INCLUIDO",FACTORES!$C24*FACTORES!$AC$9+CDENT+CEE+VIS+ASIS+EDXA20100+(FACTORES!$C24*FACTORES!$AC$9*CTE)+ENFGR,FACTORES!$C24*FACTORES!$AC$9+CDENT+CEE+VIS+ASIS+EDXA20100+ENFGR)</f>
        <v>12251.602649800865</v>
      </c>
      <c r="V33" s="354">
        <f>IF($K$10="INCLUIDO",FACTORES!$D24*FACTORES!$AC$9+CDENT+CEE+VIS+ASIS+EDXA20100+(FACTORES!$D24*FACTORES!$AC$9*CTE)+ENFGR+VLOOKUP(COTIZACION!$D$18,FACTORES!$J$21:$K$24,2,0),FACTORES!$D24*FACTORES!$AC$9+CDENT+CEE+VIS+ASIS+EDXA20100+ENFGR+VLOOKUP(COTIZACION!$D$18,FACTORES!$J$21:$K$24,2,0))</f>
        <v>14495.701590379385</v>
      </c>
      <c r="X33" s="352">
        <v>21</v>
      </c>
      <c r="Y33" s="354">
        <f>IF($K$10="INCLUIDO",FACTORES!$C24*FACTORES!$AC$9+CDENT+CEE+VIS+ASIS+EDXA20100+(FACTORES!$C24*FACTORES!$AC$9*CTE)+ENFGR,FACTORES!$C24*FACTORES!$AC$9+CDENT+CEE+VIS+ASIS+EDXA20100+ENFGR)</f>
        <v>12251.602649800865</v>
      </c>
      <c r="Z33" s="354">
        <f>IF($K$10="INCLUIDO",FACTORES!$D24*FACTORES!$AC$9+CDENT+CEE+VIS+ASIS+EDXA20100+(FACTORES!$D24*FACTORES!$AC$9*CTE)+ENFGR+VLOOKUP(COTIZACION!$D$18,FACTORES!$J$21:$K$24,2,0),FACTORES!$D24*FACTORES!$AC$9+CDENT+CEE+VIS+ASIS+EDXA20100+ENFGR+VLOOKUP(COTIZACION!$D$18,FACTORES!$J$21:$K$24,2,0))</f>
        <v>14495.701590379385</v>
      </c>
      <c r="AL33">
        <f t="shared" si="0"/>
        <v>0</v>
      </c>
      <c r="AO33">
        <f t="shared" si="1"/>
        <v>1</v>
      </c>
    </row>
    <row r="34" spans="2:41">
      <c r="B34" s="351">
        <v>22</v>
      </c>
      <c r="C34" s="353">
        <f>(Q34+DER)*(1+COTIZACION!$D$24)</f>
        <v>15761.097225862453</v>
      </c>
      <c r="D34" s="353">
        <f>(R34+DER)*(1+COTIZACION!$D$24)</f>
        <v>19354.285393971106</v>
      </c>
      <c r="F34" s="351">
        <v>22</v>
      </c>
      <c r="G34" s="353">
        <f>U34*(1+COTIZACION!$D$24)</f>
        <v>14775.097225862453</v>
      </c>
      <c r="H34" s="353">
        <f>V34*(1+COTIZACION!$D$24)</f>
        <v>18368.285393971102</v>
      </c>
      <c r="J34" s="351">
        <v>22</v>
      </c>
      <c r="K34" s="353">
        <f>Y34*(1+COTIZACION!$D$24)</f>
        <v>14775.097225862453</v>
      </c>
      <c r="L34" s="353">
        <f>Z34*(1+COTIZACION!$D$24)</f>
        <v>18368.285393971102</v>
      </c>
      <c r="P34" s="351">
        <v>22</v>
      </c>
      <c r="Q34" s="353">
        <f>IF($K$10="INCLUIDO",FACTORES!$C25*FACTORES!$AC$9+CDENT+CEE+VIS+ASIS+EDXA20100+(FACTORES!$C25*FACTORES!$AC$9*CTE)+ENFGR,FACTORES!$C25*FACTORES!$AC$9+CDENT+CEE+VIS+ASIS+EDXA20100+ENFGR)</f>
        <v>12737.152780915909</v>
      </c>
      <c r="R34" s="353">
        <f>IF($K$10="INCLUIDO",FACTORES!$D25*FACTORES!$AC$9+CDENT+CEE+VIS+ASIS+EDXA20100+(FACTORES!$D25*FACTORES!$AC$9*CTE)+ENFGR+VLOOKUP(COTIZACION!$D$18,FACTORES!$J$21:$K$24,2,0),FACTORES!$D25*FACTORES!$AC$9+CDENT+CEE+VIS+ASIS+EDXA20100+ENFGR+VLOOKUP(COTIZACION!$D$18,FACTORES!$J$21:$K$24,2,0))</f>
        <v>15834.728787906124</v>
      </c>
      <c r="T34" s="351">
        <v>22</v>
      </c>
      <c r="U34" s="353">
        <f>IF($K$10="INCLUIDO",FACTORES!$C25*FACTORES!$AC$9+CDENT+CEE+VIS+ASIS+EDXA20100+(FACTORES!$C25*FACTORES!$AC$9*CTE)+ENFGR,FACTORES!$C25*FACTORES!$AC$9+CDENT+CEE+VIS+ASIS+EDXA20100+ENFGR)</f>
        <v>12737.152780915909</v>
      </c>
      <c r="V34" s="353">
        <f>IF($K$10="INCLUIDO",FACTORES!$D25*FACTORES!$AC$9+CDENT+CEE+VIS+ASIS+EDXA20100+(FACTORES!$D25*FACTORES!$AC$9*CTE)+ENFGR+VLOOKUP(COTIZACION!$D$18,FACTORES!$J$21:$K$24,2,0),FACTORES!$D25*FACTORES!$AC$9+CDENT+CEE+VIS+ASIS+EDXA20100+ENFGR+VLOOKUP(COTIZACION!$D$18,FACTORES!$J$21:$K$24,2,0))</f>
        <v>15834.728787906124</v>
      </c>
      <c r="X34" s="351">
        <v>22</v>
      </c>
      <c r="Y34" s="353">
        <f>IF($K$10="INCLUIDO",FACTORES!$C25*FACTORES!$AC$9+CDENT+CEE+VIS+ASIS+EDXA20100+(FACTORES!$C25*FACTORES!$AC$9*CTE)+ENFGR,FACTORES!$C25*FACTORES!$AC$9+CDENT+CEE+VIS+ASIS+EDXA20100+ENFGR)</f>
        <v>12737.152780915909</v>
      </c>
      <c r="Z34" s="353">
        <f>IF($K$10="INCLUIDO",FACTORES!$D25*FACTORES!$AC$9+CDENT+CEE+VIS+ASIS+EDXA20100+(FACTORES!$D25*FACTORES!$AC$9*CTE)+ENFGR+VLOOKUP(COTIZACION!$D$18,FACTORES!$J$21:$K$24,2,0),FACTORES!$D25*FACTORES!$AC$9+CDENT+CEE+VIS+ASIS+EDXA20100+ENFGR+VLOOKUP(COTIZACION!$D$18,FACTORES!$J$21:$K$24,2,0))</f>
        <v>15834.728787906124</v>
      </c>
      <c r="AL34">
        <f t="shared" si="0"/>
        <v>0</v>
      </c>
      <c r="AO34">
        <f t="shared" si="1"/>
        <v>1</v>
      </c>
    </row>
    <row r="35" spans="2:41">
      <c r="B35" s="352">
        <v>23</v>
      </c>
      <c r="C35" s="354">
        <f>(Q35+DER)*(1+COTIZACION!$D$24)</f>
        <v>16470.777297500201</v>
      </c>
      <c r="D35" s="354">
        <f>(R35+DER)*(1+COTIZACION!$D$24)</f>
        <v>20586.852052663897</v>
      </c>
      <c r="F35" s="352">
        <v>23</v>
      </c>
      <c r="G35" s="354">
        <f>U35*(1+COTIZACION!$D$24)</f>
        <v>15484.777297500201</v>
      </c>
      <c r="H35" s="354">
        <f>V35*(1+COTIZACION!$D$24)</f>
        <v>19600.852052663897</v>
      </c>
      <c r="J35" s="352">
        <v>23</v>
      </c>
      <c r="K35" s="354">
        <f>Y35*(1+COTIZACION!$D$24)</f>
        <v>15484.777297500201</v>
      </c>
      <c r="L35" s="354">
        <f>Z35*(1+COTIZACION!$D$24)</f>
        <v>19600.852052663897</v>
      </c>
      <c r="P35" s="352">
        <v>23</v>
      </c>
      <c r="Q35" s="354">
        <f>IF($K$10="INCLUIDO",FACTORES!$C26*FACTORES!$AC$9+CDENT+CEE+VIS+ASIS+EDXA20100+(FACTORES!$C26*FACTORES!$AC$9*CTE)+ENFGR,FACTORES!$C26*FACTORES!$AC$9+CDENT+CEE+VIS+ASIS+EDXA20100+ENFGR)</f>
        <v>13348.945946120864</v>
      </c>
      <c r="R35" s="354">
        <f>IF($K$10="INCLUIDO",FACTORES!$D26*FACTORES!$AC$9+CDENT+CEE+VIS+ASIS+EDXA20100+(FACTORES!$D26*FACTORES!$AC$9*CTE)+ENFGR+VLOOKUP(COTIZACION!$D$18,FACTORES!$J$21:$K$24,2,0),FACTORES!$D26*FACTORES!$AC$9+CDENT+CEE+VIS+ASIS+EDXA20100+ENFGR+VLOOKUP(COTIZACION!$D$18,FACTORES!$J$21:$K$24,2,0))</f>
        <v>16897.286252296464</v>
      </c>
      <c r="T35" s="352">
        <v>23</v>
      </c>
      <c r="U35" s="354">
        <f>IF($K$10="INCLUIDO",FACTORES!$C26*FACTORES!$AC$9+CDENT+CEE+VIS+ASIS+EDXA20100+(FACTORES!$C26*FACTORES!$AC$9*CTE)+ENFGR,FACTORES!$C26*FACTORES!$AC$9+CDENT+CEE+VIS+ASIS+EDXA20100+ENFGR)</f>
        <v>13348.945946120864</v>
      </c>
      <c r="V35" s="354">
        <f>IF($K$10="INCLUIDO",FACTORES!$D26*FACTORES!$AC$9+CDENT+CEE+VIS+ASIS+EDXA20100+(FACTORES!$D26*FACTORES!$AC$9*CTE)+ENFGR+VLOOKUP(COTIZACION!$D$18,FACTORES!$J$21:$K$24,2,0),FACTORES!$D26*FACTORES!$AC$9+CDENT+CEE+VIS+ASIS+EDXA20100+ENFGR+VLOOKUP(COTIZACION!$D$18,FACTORES!$J$21:$K$24,2,0))</f>
        <v>16897.286252296464</v>
      </c>
      <c r="X35" s="352">
        <v>23</v>
      </c>
      <c r="Y35" s="354">
        <f>IF($K$10="INCLUIDO",FACTORES!$C26*FACTORES!$AC$9+CDENT+CEE+VIS+ASIS+EDXA20100+(FACTORES!$C26*FACTORES!$AC$9*CTE)+ENFGR,FACTORES!$C26*FACTORES!$AC$9+CDENT+CEE+VIS+ASIS+EDXA20100+ENFGR)</f>
        <v>13348.945946120864</v>
      </c>
      <c r="Z35" s="354">
        <f>IF($K$10="INCLUIDO",FACTORES!$D26*FACTORES!$AC$9+CDENT+CEE+VIS+ASIS+EDXA20100+(FACTORES!$D26*FACTORES!$AC$9*CTE)+ENFGR+VLOOKUP(COTIZACION!$D$18,FACTORES!$J$21:$K$24,2,0),FACTORES!$D26*FACTORES!$AC$9+CDENT+CEE+VIS+ASIS+EDXA20100+ENFGR+VLOOKUP(COTIZACION!$D$18,FACTORES!$J$21:$K$24,2,0))</f>
        <v>16897.286252296464</v>
      </c>
      <c r="AL35">
        <f t="shared" si="0"/>
        <v>0</v>
      </c>
      <c r="AO35">
        <f t="shared" si="1"/>
        <v>1</v>
      </c>
    </row>
    <row r="36" spans="2:41">
      <c r="B36" s="351">
        <v>24</v>
      </c>
      <c r="C36" s="353">
        <f>(Q36+DER)*(1+COTIZACION!$D$24)</f>
        <v>17223.038173436216</v>
      </c>
      <c r="D36" s="353">
        <f>(R36+DER)*(1+COTIZACION!$D$24)</f>
        <v>21581.338730440755</v>
      </c>
      <c r="F36" s="351">
        <v>24</v>
      </c>
      <c r="G36" s="353">
        <f>U36*(1+COTIZACION!$D$24)</f>
        <v>16237.038173436214</v>
      </c>
      <c r="H36" s="353">
        <f>V36*(1+COTIZACION!$D$24)</f>
        <v>20595.338730440755</v>
      </c>
      <c r="J36" s="351">
        <v>24</v>
      </c>
      <c r="K36" s="353">
        <f>Y36*(1+COTIZACION!$D$24)</f>
        <v>16237.038173436214</v>
      </c>
      <c r="L36" s="353">
        <f>Z36*(1+COTIZACION!$D$24)</f>
        <v>20595.338730440755</v>
      </c>
      <c r="P36" s="351">
        <v>24</v>
      </c>
      <c r="Q36" s="353">
        <f>IF($K$10="INCLUIDO",FACTORES!$C27*FACTORES!$AC$9+CDENT+CEE+VIS+ASIS+EDXA20100+(FACTORES!$C27*FACTORES!$AC$9*CTE)+ENFGR,FACTORES!$C27*FACTORES!$AC$9+CDENT+CEE+VIS+ASIS+EDXA20100+ENFGR)</f>
        <v>13997.446701238117</v>
      </c>
      <c r="R36" s="353">
        <f>IF($K$10="INCLUIDO",FACTORES!$D27*FACTORES!$AC$9+CDENT+CEE+VIS+ASIS+EDXA20100+(FACTORES!$D27*FACTORES!$AC$9*CTE)+ENFGR+VLOOKUP(COTIZACION!$D$18,FACTORES!$J$21:$K$24,2,0),FACTORES!$D27*FACTORES!$AC$9+CDENT+CEE+VIS+ASIS+EDXA20100+ENFGR+VLOOKUP(COTIZACION!$D$18,FACTORES!$J$21:$K$24,2,0))</f>
        <v>17754.602353828239</v>
      </c>
      <c r="T36" s="351">
        <v>24</v>
      </c>
      <c r="U36" s="353">
        <f>IF($K$10="INCLUIDO",FACTORES!$C27*FACTORES!$AC$9+CDENT+CEE+VIS+ASIS+EDXA20100+(FACTORES!$C27*FACTORES!$AC$9*CTE)+ENFGR,FACTORES!$C27*FACTORES!$AC$9+CDENT+CEE+VIS+ASIS+EDXA20100+ENFGR)</f>
        <v>13997.446701238117</v>
      </c>
      <c r="V36" s="353">
        <f>IF($K$10="INCLUIDO",FACTORES!$D27*FACTORES!$AC$9+CDENT+CEE+VIS+ASIS+EDXA20100+(FACTORES!$D27*FACTORES!$AC$9*CTE)+ENFGR+VLOOKUP(COTIZACION!$D$18,FACTORES!$J$21:$K$24,2,0),FACTORES!$D27*FACTORES!$AC$9+CDENT+CEE+VIS+ASIS+EDXA20100+ENFGR+VLOOKUP(COTIZACION!$D$18,FACTORES!$J$21:$K$24,2,0))</f>
        <v>17754.602353828239</v>
      </c>
      <c r="X36" s="351">
        <v>24</v>
      </c>
      <c r="Y36" s="353">
        <f>IF($K$10="INCLUIDO",FACTORES!$C27*FACTORES!$AC$9+CDENT+CEE+VIS+ASIS+EDXA20100+(FACTORES!$C27*FACTORES!$AC$9*CTE)+ENFGR,FACTORES!$C27*FACTORES!$AC$9+CDENT+CEE+VIS+ASIS+EDXA20100+ENFGR)</f>
        <v>13997.446701238117</v>
      </c>
      <c r="Z36" s="353">
        <f>IF($K$10="INCLUIDO",FACTORES!$D27*FACTORES!$AC$9+CDENT+CEE+VIS+ASIS+EDXA20100+(FACTORES!$D27*FACTORES!$AC$9*CTE)+ENFGR+VLOOKUP(COTIZACION!$D$18,FACTORES!$J$21:$K$24,2,0),FACTORES!$D27*FACTORES!$AC$9+CDENT+CEE+VIS+ASIS+EDXA20100+ENFGR+VLOOKUP(COTIZACION!$D$18,FACTORES!$J$21:$K$24,2,0))</f>
        <v>17754.602353828239</v>
      </c>
      <c r="AL36">
        <f t="shared" si="0"/>
        <v>0</v>
      </c>
      <c r="AO36">
        <f t="shared" si="1"/>
        <v>1</v>
      </c>
    </row>
    <row r="37" spans="2:41">
      <c r="B37" s="352">
        <v>25</v>
      </c>
      <c r="C37" s="354">
        <f>(Q37+DER)*(1+COTIZACION!$D$24)</f>
        <v>18020.434701928385</v>
      </c>
      <c r="D37" s="354">
        <f>(R37+DER)*(1+COTIZACION!$D$24)</f>
        <v>22599.835158009664</v>
      </c>
      <c r="F37" s="352">
        <v>25</v>
      </c>
      <c r="G37" s="354">
        <f>U37*(1+COTIZACION!$D$24)</f>
        <v>17034.434701928385</v>
      </c>
      <c r="H37" s="354">
        <f>V37*(1+COTIZACION!$D$24)</f>
        <v>21613.835158009664</v>
      </c>
      <c r="J37" s="355"/>
      <c r="K37" s="356"/>
      <c r="L37" s="356"/>
      <c r="M37" s="356"/>
      <c r="P37" s="352">
        <v>25</v>
      </c>
      <c r="Q37" s="354">
        <f>IF($K$10="INCLUIDO",FACTORES!$C28*FACTORES!$AC$9+CDENT+CEE+VIS+ASIS+EDXA20100+(FACTORES!$C28*FACTORES!$AC$9*CTE)+ENFGR,FACTORES!$C28*FACTORES!$AC$9+CDENT+CEE+VIS+ASIS+EDXA20100+ENFGR)</f>
        <v>14684.857501662402</v>
      </c>
      <c r="R37" s="354">
        <f>IF($K$10="INCLUIDO",FACTORES!$D28*FACTORES!$AC$9+CDENT+CEE+VIS+ASIS+EDXA20100+(FACTORES!$D28*FACTORES!$AC$9*CTE)+ENFGR+VLOOKUP(COTIZACION!$D$18,FACTORES!$J$21:$K$24,2,0),FACTORES!$D28*FACTORES!$AC$9+CDENT+CEE+VIS+ASIS+EDXA20100+ENFGR+VLOOKUP(COTIZACION!$D$18,FACTORES!$J$21:$K$24,2,0))</f>
        <v>18632.616515525573</v>
      </c>
      <c r="T37" s="352">
        <v>25</v>
      </c>
      <c r="U37" s="354">
        <f>IF($K$10="INCLUIDO",FACTORES!$C28*FACTORES!$AC$9+CDENT+CEE+VIS+ASIS+EDXA20100+(FACTORES!$C28*FACTORES!$AC$9*CTE)+ENFGR,FACTORES!$C28*FACTORES!$AC$9+CDENT+CEE+VIS+ASIS+EDXA20100+ENFGR)</f>
        <v>14684.857501662402</v>
      </c>
      <c r="V37" s="354">
        <f>IF($K$10="INCLUIDO",FACTORES!$D28*FACTORES!$AC$9+CDENT+CEE+VIS+ASIS+EDXA20100+(FACTORES!$D28*FACTORES!$AC$9*CTE)+ENFGR+VLOOKUP(COTIZACION!$D$18,FACTORES!$J$21:$K$24,2,0),FACTORES!$D28*FACTORES!$AC$9+CDENT+CEE+VIS+ASIS+EDXA20100+ENFGR+VLOOKUP(COTIZACION!$D$18,FACTORES!$J$21:$K$24,2,0))</f>
        <v>18632.616515525573</v>
      </c>
      <c r="X37" s="355"/>
      <c r="Y37" s="356"/>
      <c r="Z37" s="356"/>
      <c r="AO37">
        <f>IF(Q37=U37,1,0)</f>
        <v>1</v>
      </c>
    </row>
    <row r="38" spans="2:41">
      <c r="B38" s="351">
        <v>26</v>
      </c>
      <c r="C38" s="353">
        <f>(Q38+DER)*(1+COTIZACION!$D$24)</f>
        <v>18865.675022130086</v>
      </c>
      <c r="D38" s="353">
        <f>(R38+DER)*(1+COTIZACION!$D$24)</f>
        <v>23686.570846225692</v>
      </c>
      <c r="F38" s="351">
        <v>26</v>
      </c>
      <c r="G38" s="353">
        <f>U38*(1+COTIZACION!$D$24)</f>
        <v>17879.675022130086</v>
      </c>
      <c r="H38" s="353">
        <f>V38*(1+COTIZACION!$D$24)</f>
        <v>22700.570846225692</v>
      </c>
      <c r="J38" s="355"/>
      <c r="K38" s="356"/>
      <c r="L38" s="356"/>
      <c r="M38" s="356"/>
      <c r="P38" s="351">
        <v>26</v>
      </c>
      <c r="Q38" s="353">
        <f>IF($K$10="INCLUIDO",FACTORES!$C29*FACTORES!$AC$9+CDENT+CEE+VIS+ASIS+EDXA20100+(FACTORES!$C29*FACTORES!$AC$9*CTE)+ENFGR,FACTORES!$C29*FACTORES!$AC$9+CDENT+CEE+VIS+ASIS+EDXA20100+ENFGR)</f>
        <v>15413.512950112145</v>
      </c>
      <c r="R38" s="353">
        <f>IF($K$10="INCLUIDO",FACTORES!$D29*FACTORES!$AC$9+CDENT+CEE+VIS+ASIS+EDXA20100+(FACTORES!$D29*FACTORES!$AC$9*CTE)+ENFGR+VLOOKUP(COTIZACION!$D$18,FACTORES!$J$21:$K$24,2,0),FACTORES!$D29*FACTORES!$AC$9+CDENT+CEE+VIS+ASIS+EDXA20100+ENFGR+VLOOKUP(COTIZACION!$D$18,FACTORES!$J$21:$K$24,2,0))</f>
        <v>19569.457626056632</v>
      </c>
      <c r="T38" s="351">
        <v>26</v>
      </c>
      <c r="U38" s="353">
        <f>IF($K$10="INCLUIDO",FACTORES!$C29*FACTORES!$AC$9+CDENT+CEE+VIS+ASIS+EDXA20100+(FACTORES!$C29*FACTORES!$AC$9*CTE)+ENFGR,FACTORES!$C29*FACTORES!$AC$9+CDENT+CEE+VIS+ASIS+EDXA20100+ENFGR)</f>
        <v>15413.512950112145</v>
      </c>
      <c r="V38" s="353">
        <f>IF($K$10="INCLUIDO",FACTORES!$D29*FACTORES!$AC$9+CDENT+CEE+VIS+ASIS+EDXA20100+(FACTORES!$D29*FACTORES!$AC$9*CTE)+ENFGR+VLOOKUP(COTIZACION!$D$18,FACTORES!$J$21:$K$24,2,0),FACTORES!$D29*FACTORES!$AC$9+CDENT+CEE+VIS+ASIS+EDXA20100+ENFGR+VLOOKUP(COTIZACION!$D$18,FACTORES!$J$21:$K$24,2,0))</f>
        <v>19569.457626056632</v>
      </c>
      <c r="X38" s="355"/>
      <c r="Y38" s="356"/>
      <c r="Z38" s="356"/>
      <c r="AO38">
        <f t="shared" ref="AO38:AO76" si="2">IF(Q38=U38,1,0)</f>
        <v>1</v>
      </c>
    </row>
    <row r="39" spans="2:41">
      <c r="B39" s="352">
        <v>27</v>
      </c>
      <c r="C39" s="354">
        <f>(Q39+DER)*(1+COTIZACION!$D$24)</f>
        <v>19761.629761543893</v>
      </c>
      <c r="D39" s="354">
        <f>(R39+DER)*(1+COTIZACION!$D$24)</f>
        <v>24638.437769553409</v>
      </c>
      <c r="F39" s="352">
        <v>27</v>
      </c>
      <c r="G39" s="354">
        <f>U39*(1+COTIZACION!$D$24)</f>
        <v>18775.629761543893</v>
      </c>
      <c r="H39" s="354">
        <f>V39*(1+COTIZACION!$D$24)</f>
        <v>23652.437769553409</v>
      </c>
      <c r="J39" s="355"/>
      <c r="K39" s="356"/>
      <c r="L39" s="356"/>
      <c r="M39" s="356"/>
      <c r="P39" s="352">
        <v>27</v>
      </c>
      <c r="Q39" s="354">
        <f>IF($K$10="INCLUIDO",FACTORES!$C30*FACTORES!$AC$9+CDENT+CEE+VIS+ASIS+EDXA20100+(FACTORES!$C30*FACTORES!$AC$9*CTE)+ENFGR,FACTORES!$C30*FACTORES!$AC$9+CDENT+CEE+VIS+ASIS+EDXA20100+ENFGR)</f>
        <v>16185.887725468874</v>
      </c>
      <c r="R39" s="354">
        <f>IF($K$10="INCLUIDO",FACTORES!$D30*FACTORES!$AC$9+CDENT+CEE+VIS+ASIS+EDXA20100+(FACTORES!$D30*FACTORES!$AC$9*CTE)+ENFGR+VLOOKUP(COTIZACION!$D$18,FACTORES!$J$21:$K$24,2,0),FACTORES!$D30*FACTORES!$AC$9+CDENT+CEE+VIS+ASIS+EDXA20100+ENFGR+VLOOKUP(COTIZACION!$D$18,FACTORES!$J$21:$K$24,2,0))</f>
        <v>20390.032559959836</v>
      </c>
      <c r="T39" s="352">
        <v>27</v>
      </c>
      <c r="U39" s="354">
        <f>IF($K$10="INCLUIDO",FACTORES!$C30*FACTORES!$AC$9+CDENT+CEE+VIS+ASIS+EDXA20100+(FACTORES!$C30*FACTORES!$AC$9*CTE)+ENFGR,FACTORES!$C30*FACTORES!$AC$9+CDENT+CEE+VIS+ASIS+EDXA20100+ENFGR)</f>
        <v>16185.887725468874</v>
      </c>
      <c r="V39" s="354">
        <f>IF($K$10="INCLUIDO",FACTORES!$D30*FACTORES!$AC$9+CDENT+CEE+VIS+ASIS+EDXA20100+(FACTORES!$D30*FACTORES!$AC$9*CTE)+ENFGR+VLOOKUP(COTIZACION!$D$18,FACTORES!$J$21:$K$24,2,0),FACTORES!$D30*FACTORES!$AC$9+CDENT+CEE+VIS+ASIS+EDXA20100+ENFGR+VLOOKUP(COTIZACION!$D$18,FACTORES!$J$21:$K$24,2,0))</f>
        <v>20390.032559959836</v>
      </c>
      <c r="X39" s="355"/>
      <c r="Y39" s="356"/>
      <c r="Z39" s="356"/>
      <c r="AO39">
        <f t="shared" si="2"/>
        <v>1</v>
      </c>
    </row>
    <row r="40" spans="2:41">
      <c r="B40" s="351">
        <v>28</v>
      </c>
      <c r="C40" s="353">
        <f>(Q40+DER)*(1+COTIZACION!$D$24)</f>
        <v>20553.056448026091</v>
      </c>
      <c r="D40" s="353">
        <f>(R40+DER)*(1+COTIZACION!$D$24)</f>
        <v>25551.364682381361</v>
      </c>
      <c r="F40" s="351">
        <v>28</v>
      </c>
      <c r="G40" s="353">
        <f>U40*(1+COTIZACION!$D$24)</f>
        <v>19567.056448026091</v>
      </c>
      <c r="H40" s="353">
        <f>V40*(1+COTIZACION!$D$24)</f>
        <v>24565.364682381361</v>
      </c>
      <c r="J40" s="355"/>
      <c r="K40" s="356"/>
      <c r="L40" s="356"/>
      <c r="M40" s="356"/>
      <c r="P40" s="351">
        <v>28</v>
      </c>
      <c r="Q40" s="353">
        <f>IF($K$10="INCLUIDO",FACTORES!$C31*FACTORES!$AC$9+CDENT+CEE+VIS+ASIS+EDXA20100+(FACTORES!$C31*FACTORES!$AC$9*CTE)+ENFGR,FACTORES!$C31*FACTORES!$AC$9+CDENT+CEE+VIS+ASIS+EDXA20100+ENFGR)</f>
        <v>16868.152110367322</v>
      </c>
      <c r="R40" s="353">
        <f>IF($K$10="INCLUIDO",FACTORES!$D31*FACTORES!$AC$9+CDENT+CEE+VIS+ASIS+EDXA20100+(FACTORES!$D31*FACTORES!$AC$9*CTE)+ENFGR+VLOOKUP(COTIZACION!$D$18,FACTORES!$J$21:$K$24,2,0),FACTORES!$D31*FACTORES!$AC$9+CDENT+CEE+VIS+ASIS+EDXA20100+ENFGR+VLOOKUP(COTIZACION!$D$18,FACTORES!$J$21:$K$24,2,0))</f>
        <v>21177.038519294278</v>
      </c>
      <c r="T40" s="351">
        <v>28</v>
      </c>
      <c r="U40" s="353">
        <f>IF($K$10="INCLUIDO",FACTORES!$C31*FACTORES!$AC$9+CDENT+CEE+VIS+ASIS+EDXA20100+(FACTORES!$C31*FACTORES!$AC$9*CTE)+ENFGR,FACTORES!$C31*FACTORES!$AC$9+CDENT+CEE+VIS+ASIS+EDXA20100+ENFGR)</f>
        <v>16868.152110367322</v>
      </c>
      <c r="V40" s="353">
        <f>IF($K$10="INCLUIDO",FACTORES!$D31*FACTORES!$AC$9+CDENT+CEE+VIS+ASIS+EDXA20100+(FACTORES!$D31*FACTORES!$AC$9*CTE)+ENFGR+VLOOKUP(COTIZACION!$D$18,FACTORES!$J$21:$K$24,2,0),FACTORES!$D31*FACTORES!$AC$9+CDENT+CEE+VIS+ASIS+EDXA20100+ENFGR+VLOOKUP(COTIZACION!$D$18,FACTORES!$J$21:$K$24,2,0))</f>
        <v>21177.038519294278</v>
      </c>
      <c r="X40" s="355"/>
      <c r="Y40" s="356"/>
      <c r="Z40" s="356"/>
      <c r="AO40">
        <f t="shared" si="2"/>
        <v>1</v>
      </c>
    </row>
    <row r="41" spans="2:41">
      <c r="B41" s="352">
        <v>29</v>
      </c>
      <c r="C41" s="354">
        <f>(Q41+DER)*(1+COTIZACION!$D$24)</f>
        <v>21384.054468832397</v>
      </c>
      <c r="D41" s="354">
        <f>(R41+DER)*(1+COTIZACION!$D$24)</f>
        <v>26509.937940850712</v>
      </c>
      <c r="F41" s="352">
        <v>29</v>
      </c>
      <c r="G41" s="354">
        <f>U41*(1+COTIZACION!$D$24)</f>
        <v>20398.054468832397</v>
      </c>
      <c r="H41" s="354">
        <f>V41*(1+COTIZACION!$D$24)</f>
        <v>25523.937940850712</v>
      </c>
      <c r="J41" s="355"/>
      <c r="K41" s="356"/>
      <c r="L41" s="356"/>
      <c r="M41" s="356"/>
      <c r="P41" s="352">
        <v>29</v>
      </c>
      <c r="Q41" s="354">
        <f>IF($K$10="INCLUIDO",FACTORES!$C32*FACTORES!$AC$9+CDENT+CEE+VIS+ASIS+EDXA20100+(FACTORES!$C32*FACTORES!$AC$9*CTE)+ENFGR,FACTORES!$C32*FACTORES!$AC$9+CDENT+CEE+VIS+ASIS+EDXA20100+ENFGR)</f>
        <v>17584.529714510689</v>
      </c>
      <c r="R41" s="354">
        <f>IF($K$10="INCLUIDO",FACTORES!$D32*FACTORES!$AC$9+CDENT+CEE+VIS+ASIS+EDXA20100+(FACTORES!$D32*FACTORES!$AC$9*CTE)+ENFGR+VLOOKUP(COTIZACION!$D$18,FACTORES!$J$21:$K$24,2,0),FACTORES!$D32*FACTORES!$AC$9+CDENT+CEE+VIS+ASIS+EDXA20100+ENFGR+VLOOKUP(COTIZACION!$D$18,FACTORES!$J$21:$K$24,2,0))</f>
        <v>22003.394776595444</v>
      </c>
      <c r="T41" s="352">
        <v>29</v>
      </c>
      <c r="U41" s="354">
        <f>IF($K$10="INCLUIDO",FACTORES!$C32*FACTORES!$AC$9+CDENT+CEE+VIS+ASIS+EDXA20100+(FACTORES!$C32*FACTORES!$AC$9*CTE)+ENFGR,FACTORES!$C32*FACTORES!$AC$9+CDENT+CEE+VIS+ASIS+EDXA20100+ENFGR)</f>
        <v>17584.529714510689</v>
      </c>
      <c r="V41" s="354">
        <f>IF($K$10="INCLUIDO",FACTORES!$D32*FACTORES!$AC$9+CDENT+CEE+VIS+ASIS+EDXA20100+(FACTORES!$D32*FACTORES!$AC$9*CTE)+ENFGR+VLOOKUP(COTIZACION!$D$18,FACTORES!$J$21:$K$24,2,0),FACTORES!$D32*FACTORES!$AC$9+CDENT+CEE+VIS+ASIS+EDXA20100+ENFGR+VLOOKUP(COTIZACION!$D$18,FACTORES!$J$21:$K$24,2,0))</f>
        <v>22003.394776595444</v>
      </c>
      <c r="X41" s="355"/>
      <c r="Y41" s="356"/>
      <c r="Z41" s="356"/>
      <c r="AO41">
        <f t="shared" si="2"/>
        <v>1</v>
      </c>
    </row>
    <row r="42" spans="2:41">
      <c r="B42" s="351">
        <v>30</v>
      </c>
      <c r="C42" s="353">
        <f>(Q42+DER)*(1+COTIZACION!$D$24)</f>
        <v>22086.778477297841</v>
      </c>
      <c r="D42" s="353">
        <f>(R42+DER)*(1+COTIZACION!$D$24)</f>
        <v>27607.940036915614</v>
      </c>
      <c r="F42" s="351">
        <v>30</v>
      </c>
      <c r="G42" s="353">
        <f>U42*(1+COTIZACION!$D$24)</f>
        <v>21100.778477297841</v>
      </c>
      <c r="H42" s="353">
        <f>V42*(1+COTIZACION!$D$24)</f>
        <v>26621.940036915614</v>
      </c>
      <c r="I42" s="353"/>
      <c r="J42" s="355"/>
      <c r="K42" s="356"/>
      <c r="L42" s="356"/>
      <c r="M42" s="423"/>
      <c r="N42" s="424"/>
      <c r="P42" s="351">
        <v>30</v>
      </c>
      <c r="Q42" s="353">
        <f>IF($K$10="INCLUIDO",FACTORES!$C33*FACTORES!$AC$9+CDENT+CEE+VIS+ASIS+EDXA20100+(FACTORES!$C33*FACTORES!$AC$9*CTE)+ENFGR,FACTORES!$C33*FACTORES!$AC$9+CDENT+CEE+VIS+ASIS+EDXA20100+ENFGR)</f>
        <v>18190.326273532624</v>
      </c>
      <c r="R42" s="353">
        <f>IF($K$10="INCLUIDO",FACTORES!$D33*FACTORES!$AC$9+CDENT+CEE+VIS+ASIS+EDXA20100+(FACTORES!$D33*FACTORES!$AC$9*CTE)+ENFGR+VLOOKUP(COTIZACION!$D$18,FACTORES!$J$21:$K$24,2,0),FACTORES!$D33*FACTORES!$AC$9+CDENT+CEE+VIS+ASIS+EDXA20100+ENFGR+VLOOKUP(COTIZACION!$D$18,FACTORES!$J$21:$K$24,2,0))</f>
        <v>22949.948307685874</v>
      </c>
      <c r="T42" s="351">
        <v>30</v>
      </c>
      <c r="U42" s="353">
        <f>IF($K$10="INCLUIDO",FACTORES!$C33*FACTORES!$AC$9+CDENT+CEE+VIS+ASIS+EDXA20100+(FACTORES!$C33*FACTORES!$AC$9*CTE)+ENFGR,FACTORES!$C33*FACTORES!$AC$9+CDENT+CEE+VIS+ASIS+EDXA20100+ENFGR)</f>
        <v>18190.326273532624</v>
      </c>
      <c r="V42" s="353">
        <f>IF($K$10="INCLUIDO",FACTORES!$D33*FACTORES!$AC$9+CDENT+CEE+VIS+ASIS+EDXA20100+(FACTORES!$D33*FACTORES!$AC$9*CTE)+ENFGR+VLOOKUP(COTIZACION!$D$18,FACTORES!$J$21:$K$24,2,0),FACTORES!$D33*FACTORES!$AC$9+CDENT+CEE+VIS+ASIS+EDXA20100+ENFGR+VLOOKUP(COTIZACION!$D$18,FACTORES!$J$21:$K$24,2,0))</f>
        <v>22949.948307685874</v>
      </c>
      <c r="X42" s="355"/>
      <c r="Y42" s="356"/>
      <c r="Z42" s="356"/>
      <c r="AO42">
        <f t="shared" si="2"/>
        <v>1</v>
      </c>
    </row>
    <row r="43" spans="2:41">
      <c r="B43" s="352">
        <v>31</v>
      </c>
      <c r="C43" s="354">
        <f>(Q43+DER)*(1+COTIZACION!$D$24)</f>
        <v>22994.462599567727</v>
      </c>
      <c r="D43" s="354">
        <f>(R43+DER)*(1+COTIZACION!$D$24)</f>
        <v>28669.342063111675</v>
      </c>
      <c r="F43" s="352">
        <v>31</v>
      </c>
      <c r="G43" s="354">
        <f>U43*(1+COTIZACION!$D$24)</f>
        <v>22008.462599567727</v>
      </c>
      <c r="H43" s="354">
        <f>V43*(1+COTIZACION!$D$24)</f>
        <v>27683.342063111675</v>
      </c>
      <c r="J43" s="355"/>
      <c r="K43" s="356"/>
      <c r="L43" s="356"/>
      <c r="M43" s="422"/>
      <c r="N43" s="421"/>
      <c r="P43" s="352">
        <v>31</v>
      </c>
      <c r="Q43" s="354">
        <f>IF($K$10="INCLUIDO",FACTORES!$C34*FACTORES!$AC$9+CDENT+CEE+VIS+ASIS+EDXA20100+(FACTORES!$C34*FACTORES!$AC$9*CTE)+ENFGR,FACTORES!$C34*FACTORES!$AC$9+CDENT+CEE+VIS+ASIS+EDXA20100+ENFGR)</f>
        <v>18972.81258583425</v>
      </c>
      <c r="R43" s="354">
        <f>IF($K$10="INCLUIDO",FACTORES!$D34*FACTORES!$AC$9+CDENT+CEE+VIS+ASIS+EDXA20100+(FACTORES!$D34*FACTORES!$AC$9*CTE)+ENFGR+VLOOKUP(COTIZACION!$D$18,FACTORES!$J$21:$K$24,2,0),FACTORES!$D34*FACTORES!$AC$9+CDENT+CEE+VIS+ASIS+EDXA20100+ENFGR+VLOOKUP(COTIZACION!$D$18,FACTORES!$J$21:$K$24,2,0))</f>
        <v>23864.950054406618</v>
      </c>
      <c r="T43" s="352">
        <v>31</v>
      </c>
      <c r="U43" s="354">
        <f>IF($K$10="INCLUIDO",FACTORES!$C34*FACTORES!$AC$9+CDENT+CEE+VIS+ASIS+EDXA20100+(FACTORES!$C34*FACTORES!$AC$9*CTE)+ENFGR,FACTORES!$C34*FACTORES!$AC$9+CDENT+CEE+VIS+ASIS+EDXA20100+ENFGR)</f>
        <v>18972.81258583425</v>
      </c>
      <c r="V43" s="354">
        <f>IF($K$10="INCLUIDO",FACTORES!$D34*FACTORES!$AC$9+CDENT+CEE+VIS+ASIS+EDXA20100+(FACTORES!$D34*FACTORES!$AC$9*CTE)+ENFGR+VLOOKUP(COTIZACION!$D$18,FACTORES!$J$21:$K$24,2,0),FACTORES!$D34*FACTORES!$AC$9+CDENT+CEE+VIS+ASIS+EDXA20100+ENFGR+VLOOKUP(COTIZACION!$D$18,FACTORES!$J$21:$K$24,2,0))</f>
        <v>23864.950054406618</v>
      </c>
      <c r="X43" s="355"/>
      <c r="Y43" s="356"/>
      <c r="Z43" s="356"/>
      <c r="AO43">
        <f t="shared" si="2"/>
        <v>1</v>
      </c>
    </row>
    <row r="44" spans="2:41">
      <c r="B44" s="351">
        <v>32</v>
      </c>
      <c r="C44" s="353">
        <f>(Q44+DER)*(1+COTIZACION!$D$24)</f>
        <v>24042.837760789454</v>
      </c>
      <c r="D44" s="353">
        <f>(R44+DER)*(1+COTIZACION!$D$24)</f>
        <v>29783.814190617537</v>
      </c>
      <c r="F44" s="351">
        <v>32</v>
      </c>
      <c r="G44" s="353">
        <f>U44*(1+COTIZACION!$D$24)</f>
        <v>23056.837760789454</v>
      </c>
      <c r="H44" s="353">
        <f>V44*(1+COTIZACION!$D$24)</f>
        <v>28797.814190617537</v>
      </c>
      <c r="J44" s="355"/>
      <c r="K44" s="356"/>
      <c r="L44" s="356"/>
      <c r="M44" s="422"/>
      <c r="N44" s="421"/>
      <c r="P44" s="351">
        <v>32</v>
      </c>
      <c r="Q44" s="353">
        <f>IF($K$10="INCLUIDO",FACTORES!$C35*FACTORES!$AC$9+CDENT+CEE+VIS+ASIS+EDXA20100+(FACTORES!$C35*FACTORES!$AC$9*CTE)+ENFGR,FACTORES!$C35*FACTORES!$AC$9+CDENT+CEE+VIS+ASIS+EDXA20100+ENFGR)</f>
        <v>19876.584276542635</v>
      </c>
      <c r="R44" s="353">
        <f>IF($K$10="INCLUIDO",FACTORES!$D35*FACTORES!$AC$9+CDENT+CEE+VIS+ASIS+EDXA20100+(FACTORES!$D35*FACTORES!$AC$9*CTE)+ENFGR+VLOOKUP(COTIZACION!$D$18,FACTORES!$J$21:$K$24,2,0),FACTORES!$D35*FACTORES!$AC$9+CDENT+CEE+VIS+ASIS+EDXA20100+ENFGR+VLOOKUP(COTIZACION!$D$18,FACTORES!$J$21:$K$24,2,0))</f>
        <v>24825.701888463394</v>
      </c>
      <c r="T44" s="351">
        <v>32</v>
      </c>
      <c r="U44" s="353">
        <f>IF($K$10="INCLUIDO",FACTORES!$C35*FACTORES!$AC$9+CDENT+CEE+VIS+ASIS+EDXA20100+(FACTORES!$C35*FACTORES!$AC$9*CTE)+ENFGR,FACTORES!$C35*FACTORES!$AC$9+CDENT+CEE+VIS+ASIS+EDXA20100+ENFGR)</f>
        <v>19876.584276542635</v>
      </c>
      <c r="V44" s="353">
        <f>IF($K$10="INCLUIDO",FACTORES!$D35*FACTORES!$AC$9+CDENT+CEE+VIS+ASIS+EDXA20100+(FACTORES!$D35*FACTORES!$AC$9*CTE)+ENFGR+VLOOKUP(COTIZACION!$D$18,FACTORES!$J$21:$K$24,2,0),FACTORES!$D35*FACTORES!$AC$9+CDENT+CEE+VIS+ASIS+EDXA20100+ENFGR+VLOOKUP(COTIZACION!$D$18,FACTORES!$J$21:$K$24,2,0))</f>
        <v>24825.701888463394</v>
      </c>
      <c r="X44" s="355"/>
      <c r="Y44" s="356"/>
      <c r="Z44" s="356"/>
      <c r="AO44">
        <f t="shared" si="2"/>
        <v>1</v>
      </c>
    </row>
    <row r="45" spans="2:41">
      <c r="B45" s="352">
        <v>33</v>
      </c>
      <c r="C45" s="354">
        <f>(Q45+DER)*(1+COTIZACION!$D$24)</f>
        <v>25048.324847233929</v>
      </c>
      <c r="D45" s="354">
        <f>(R45+DER)*(1+COTIZACION!$D$24)</f>
        <v>30954.009924498703</v>
      </c>
      <c r="F45" s="352">
        <v>33</v>
      </c>
      <c r="G45" s="354">
        <f>U45*(1+COTIZACION!$D$24)</f>
        <v>24062.324847233929</v>
      </c>
      <c r="H45" s="354">
        <f>V45*(1+COTIZACION!$D$24)</f>
        <v>29968.009924498703</v>
      </c>
      <c r="J45" s="355"/>
      <c r="K45" s="356"/>
      <c r="L45" s="356"/>
      <c r="M45" s="422"/>
      <c r="N45" s="421"/>
      <c r="P45" s="352">
        <v>33</v>
      </c>
      <c r="Q45" s="354">
        <f>IF($K$10="INCLUIDO",FACTORES!$C36*FACTORES!$AC$9+CDENT+CEE+VIS+ASIS+EDXA20100+(FACTORES!$C36*FACTORES!$AC$9*CTE)+ENFGR,FACTORES!$C36*FACTORES!$AC$9+CDENT+CEE+VIS+ASIS+EDXA20100+ENFGR)</f>
        <v>20743.383488994768</v>
      </c>
      <c r="R45" s="354">
        <f>IF($K$10="INCLUIDO",FACTORES!$D36*FACTORES!$AC$9+CDENT+CEE+VIS+ASIS+EDXA20100+(FACTORES!$D36*FACTORES!$AC$9*CTE)+ENFGR+VLOOKUP(COTIZACION!$D$18,FACTORES!$J$21:$K$24,2,0),FACTORES!$D36*FACTORES!$AC$9+CDENT+CEE+VIS+ASIS+EDXA20100+ENFGR+VLOOKUP(COTIZACION!$D$18,FACTORES!$J$21:$K$24,2,0))</f>
        <v>25834.491314223022</v>
      </c>
      <c r="T45" s="352">
        <v>33</v>
      </c>
      <c r="U45" s="354">
        <f>IF($K$10="INCLUIDO",FACTORES!$C36*FACTORES!$AC$9+CDENT+CEE+VIS+ASIS+EDXA20100+(FACTORES!$C36*FACTORES!$AC$9*CTE)+ENFGR,FACTORES!$C36*FACTORES!$AC$9+CDENT+CEE+VIS+ASIS+EDXA20100+ENFGR)</f>
        <v>20743.383488994768</v>
      </c>
      <c r="V45" s="354">
        <f>IF($K$10="INCLUIDO",FACTORES!$D36*FACTORES!$AC$9+CDENT+CEE+VIS+ASIS+EDXA20100+(FACTORES!$D36*FACTORES!$AC$9*CTE)+ENFGR+VLOOKUP(COTIZACION!$D$18,FACTORES!$J$21:$K$24,2,0),FACTORES!$D36*FACTORES!$AC$9+CDENT+CEE+VIS+ASIS+EDXA20100+ENFGR+VLOOKUP(COTIZACION!$D$18,FACTORES!$J$21:$K$24,2,0))</f>
        <v>25834.491314223022</v>
      </c>
      <c r="X45" s="355"/>
      <c r="Y45" s="356"/>
      <c r="Z45" s="356"/>
      <c r="AO45">
        <f t="shared" si="2"/>
        <v>1</v>
      </c>
    </row>
    <row r="46" spans="2:41">
      <c r="B46" s="351">
        <v>34</v>
      </c>
      <c r="C46" s="353">
        <f>(Q46+DER)*(1+COTIZACION!$D$24)</f>
        <v>26104.086288000632</v>
      </c>
      <c r="D46" s="353">
        <f>(R46+DER)*(1+COTIZACION!$D$24)</f>
        <v>32182.715445073911</v>
      </c>
      <c r="F46" s="351">
        <v>34</v>
      </c>
      <c r="G46" s="353">
        <f>U46*(1+COTIZACION!$D$24)</f>
        <v>25118.086288000632</v>
      </c>
      <c r="H46" s="353">
        <f>V46*(1+COTIZACION!$D$24)</f>
        <v>31196.715445073911</v>
      </c>
      <c r="J46" s="355"/>
      <c r="K46" s="356"/>
      <c r="L46" s="356"/>
      <c r="M46" s="356"/>
      <c r="P46" s="351">
        <v>34</v>
      </c>
      <c r="Q46" s="353">
        <f>IF($K$10="INCLUIDO",FACTORES!$C37*FACTORES!$AC$9+CDENT+CEE+VIS+ASIS+EDXA20100+(FACTORES!$C37*FACTORES!$AC$9*CTE)+ENFGR,FACTORES!$C37*FACTORES!$AC$9+CDENT+CEE+VIS+ASIS+EDXA20100+ENFGR)</f>
        <v>21653.52266206951</v>
      </c>
      <c r="R46" s="353">
        <f>IF($K$10="INCLUIDO",FACTORES!$D37*FACTORES!$AC$9+CDENT+CEE+VIS+ASIS+EDXA20100+(FACTORES!$D37*FACTORES!$AC$9*CTE)+ENFGR+VLOOKUP(COTIZACION!$D$18,FACTORES!$J$21:$K$24,2,0),FACTORES!$D37*FACTORES!$AC$9+CDENT+CEE+VIS+ASIS+EDXA20100+ENFGR+VLOOKUP(COTIZACION!$D$18,FACTORES!$J$21:$K$24,2,0))</f>
        <v>26893.720211270615</v>
      </c>
      <c r="T46" s="351">
        <v>34</v>
      </c>
      <c r="U46" s="353">
        <f>IF($K$10="INCLUIDO",FACTORES!$C37*FACTORES!$AC$9+CDENT+CEE+VIS+ASIS+EDXA20100+(FACTORES!$C37*FACTORES!$AC$9*CTE)+ENFGR,FACTORES!$C37*FACTORES!$AC$9+CDENT+CEE+VIS+ASIS+EDXA20100+ENFGR)</f>
        <v>21653.52266206951</v>
      </c>
      <c r="V46" s="353">
        <f>IF($K$10="INCLUIDO",FACTORES!$D37*FACTORES!$AC$9+CDENT+CEE+VIS+ASIS+EDXA20100+(FACTORES!$D37*FACTORES!$AC$9*CTE)+ENFGR+VLOOKUP(COTIZACION!$D$18,FACTORES!$J$21:$K$24,2,0),FACTORES!$D37*FACTORES!$AC$9+CDENT+CEE+VIS+ASIS+EDXA20100+ENFGR+VLOOKUP(COTIZACION!$D$18,FACTORES!$J$21:$K$24,2,0))</f>
        <v>26893.720211270615</v>
      </c>
      <c r="X46" s="355"/>
      <c r="Y46" s="356"/>
      <c r="Z46" s="356"/>
      <c r="AO46">
        <f t="shared" si="2"/>
        <v>1</v>
      </c>
    </row>
    <row r="47" spans="2:41">
      <c r="B47" s="352">
        <v>35</v>
      </c>
      <c r="C47" s="354">
        <f>(Q47+DER)*(1+COTIZACION!$D$24)</f>
        <v>27212.63580080566</v>
      </c>
      <c r="D47" s="354">
        <f>(R47+DER)*(1+COTIZACION!$D$24)</f>
        <v>33343.8421620175</v>
      </c>
      <c r="F47" s="352">
        <v>35</v>
      </c>
      <c r="G47" s="354">
        <f>U47*(1+COTIZACION!$D$24)</f>
        <v>26226.63580080566</v>
      </c>
      <c r="H47" s="354">
        <f>V47*(1+COTIZACION!$D$24)</f>
        <v>32357.842162017496</v>
      </c>
      <c r="J47" s="355"/>
      <c r="K47" s="356"/>
      <c r="L47" s="356"/>
      <c r="M47" s="422"/>
      <c r="P47" s="352">
        <v>35</v>
      </c>
      <c r="Q47" s="354">
        <f>IF($K$10="INCLUIDO",FACTORES!$C38*FACTORES!$AC$9+CDENT+CEE+VIS+ASIS+EDXA20100+(FACTORES!$C38*FACTORES!$AC$9*CTE)+ENFGR,FACTORES!$C38*FACTORES!$AC$9+CDENT+CEE+VIS+ASIS+EDXA20100+ENFGR)</f>
        <v>22609.168793797984</v>
      </c>
      <c r="R47" s="354">
        <f>IF($K$10="INCLUIDO",FACTORES!$D38*FACTORES!$AC$9+CDENT+CEE+VIS+ASIS+EDXA20100+(FACTORES!$D38*FACTORES!$AC$9*CTE)+ENFGR+VLOOKUP(COTIZACION!$D$18,FACTORES!$J$21:$K$24,2,0),FACTORES!$D38*FACTORES!$AC$9+CDENT+CEE+VIS+ASIS+EDXA20100+ENFGR+VLOOKUP(COTIZACION!$D$18,FACTORES!$J$21:$K$24,2,0))</f>
        <v>27894.691518980602</v>
      </c>
      <c r="T47" s="352">
        <v>35</v>
      </c>
      <c r="U47" s="354">
        <f>IF($K$10="INCLUIDO",FACTORES!$C38*FACTORES!$AC$9+CDENT+CEE+VIS+ASIS+EDXA20100+(FACTORES!$C38*FACTORES!$AC$9*CTE)+ENFGR,FACTORES!$C38*FACTORES!$AC$9+CDENT+CEE+VIS+ASIS+EDXA20100+ENFGR)</f>
        <v>22609.168793797984</v>
      </c>
      <c r="V47" s="354">
        <f>IF($K$10="INCLUIDO",FACTORES!$D38*FACTORES!$AC$9+CDENT+CEE+VIS+ASIS+EDXA20100+(FACTORES!$D38*FACTORES!$AC$9*CTE)+ENFGR+VLOOKUP(COTIZACION!$D$18,FACTORES!$J$21:$K$24,2,0),FACTORES!$D38*FACTORES!$AC$9+CDENT+CEE+VIS+ASIS+EDXA20100+ENFGR+VLOOKUP(COTIZACION!$D$18,FACTORES!$J$21:$K$24,2,0))</f>
        <v>27894.691518980602</v>
      </c>
      <c r="X47" s="355"/>
      <c r="Y47" s="356"/>
      <c r="Z47" s="356"/>
      <c r="AO47">
        <f t="shared" si="2"/>
        <v>1</v>
      </c>
    </row>
    <row r="48" spans="2:41">
      <c r="B48" s="351">
        <v>36</v>
      </c>
      <c r="C48" s="353">
        <f>(Q48+DER)*(1+COTIZACION!$D$24)</f>
        <v>28376.612789250943</v>
      </c>
      <c r="D48" s="353">
        <f>(R48+DER)*(1+COTIZACION!$D$24)</f>
        <v>34557.219581223537</v>
      </c>
      <c r="F48" s="351">
        <v>36</v>
      </c>
      <c r="G48" s="353">
        <f>U48*(1+COTIZACION!$D$24)</f>
        <v>27390.612789250943</v>
      </c>
      <c r="H48" s="353">
        <f>V48*(1+COTIZACION!$D$24)</f>
        <v>33571.219581223537</v>
      </c>
      <c r="J48" s="355"/>
      <c r="K48" s="356"/>
      <c r="L48" s="356"/>
      <c r="M48" s="356"/>
      <c r="P48" s="351">
        <v>36</v>
      </c>
      <c r="Q48" s="353">
        <f>IF($K$10="INCLUIDO",FACTORES!$C39*FACTORES!$AC$9+CDENT+CEE+VIS+ASIS+EDXA20100+(FACTORES!$C39*FACTORES!$AC$9*CTE)+ENFGR,FACTORES!$C39*FACTORES!$AC$9+CDENT+CEE+VIS+ASIS+EDXA20100+ENFGR)</f>
        <v>23612.597232112883</v>
      </c>
      <c r="R48" s="353">
        <f>IF($K$10="INCLUIDO",FACTORES!$D39*FACTORES!$AC$9+CDENT+CEE+VIS+ASIS+EDXA20100+(FACTORES!$D39*FACTORES!$AC$9*CTE)+ENFGR+VLOOKUP(COTIZACION!$D$18,FACTORES!$J$21:$K$24,2,0),FACTORES!$D39*FACTORES!$AC$9+CDENT+CEE+VIS+ASIS+EDXA20100+ENFGR+VLOOKUP(COTIZACION!$D$18,FACTORES!$J$21:$K$24,2,0))</f>
        <v>28940.706535537531</v>
      </c>
      <c r="T48" s="351">
        <v>36</v>
      </c>
      <c r="U48" s="353">
        <f>IF($K$10="INCLUIDO",FACTORES!$C39*FACTORES!$AC$9+CDENT+CEE+VIS+ASIS+EDXA20100+(FACTORES!$C39*FACTORES!$AC$9*CTE)+ENFGR,FACTORES!$C39*FACTORES!$AC$9+CDENT+CEE+VIS+ASIS+EDXA20100+ENFGR)</f>
        <v>23612.597232112883</v>
      </c>
      <c r="V48" s="353">
        <f>IF($K$10="INCLUIDO",FACTORES!$D39*FACTORES!$AC$9+CDENT+CEE+VIS+ASIS+EDXA20100+(FACTORES!$D39*FACTORES!$AC$9*CTE)+ENFGR+VLOOKUP(COTIZACION!$D$18,FACTORES!$J$21:$K$24,2,0),FACTORES!$D39*FACTORES!$AC$9+CDENT+CEE+VIS+ASIS+EDXA20100+ENFGR+VLOOKUP(COTIZACION!$D$18,FACTORES!$J$21:$K$24,2,0))</f>
        <v>28940.706535537531</v>
      </c>
      <c r="X48" s="355"/>
      <c r="Y48" s="356"/>
      <c r="Z48" s="356"/>
      <c r="AO48">
        <f t="shared" si="2"/>
        <v>1</v>
      </c>
    </row>
    <row r="49" spans="2:41">
      <c r="B49" s="352">
        <v>37</v>
      </c>
      <c r="C49" s="354">
        <f>(Q49+DER)*(1+COTIZACION!$D$24)</f>
        <v>29598.788627118494</v>
      </c>
      <c r="D49" s="354">
        <f>(R49+DER)*(1+COTIZACION!$D$24)</f>
        <v>35825.198984293842</v>
      </c>
      <c r="F49" s="352">
        <v>37</v>
      </c>
      <c r="G49" s="354">
        <f>U49*(1+COTIZACION!$D$24)</f>
        <v>28612.788627118494</v>
      </c>
      <c r="H49" s="354">
        <f>V49*(1+COTIZACION!$D$24)</f>
        <v>34839.198984293842</v>
      </c>
      <c r="J49" s="355"/>
      <c r="K49" s="356"/>
      <c r="L49" s="356"/>
      <c r="M49" s="356"/>
      <c r="P49" s="352">
        <v>37</v>
      </c>
      <c r="Q49" s="354">
        <f>IF($K$10="INCLUIDO",FACTORES!$C40*FACTORES!$AC$9+CDENT+CEE+VIS+ASIS+EDXA20100+(FACTORES!$C40*FACTORES!$AC$9*CTE)+ENFGR,FACTORES!$C40*FACTORES!$AC$9+CDENT+CEE+VIS+ASIS+EDXA20100+ENFGR)</f>
        <v>24666.197092343533</v>
      </c>
      <c r="R49" s="354">
        <f>IF($K$10="INCLUIDO",FACTORES!$D40*FACTORES!$AC$9+CDENT+CEE+VIS+ASIS+EDXA20100+(FACTORES!$D40*FACTORES!$AC$9*CTE)+ENFGR+VLOOKUP(COTIZACION!$D$18,FACTORES!$J$21:$K$24,2,0),FACTORES!$D40*FACTORES!$AC$9+CDENT+CEE+VIS+ASIS+EDXA20100+ENFGR+VLOOKUP(COTIZACION!$D$18,FACTORES!$J$21:$K$24,2,0))</f>
        <v>30033.79222783952</v>
      </c>
      <c r="T49" s="352">
        <v>37</v>
      </c>
      <c r="U49" s="354">
        <f>IF($K$10="INCLUIDO",FACTORES!$C40*FACTORES!$AC$9+CDENT+CEE+VIS+ASIS+EDXA20100+(FACTORES!$C40*FACTORES!$AC$9*CTE)+ENFGR,FACTORES!$C40*FACTORES!$AC$9+CDENT+CEE+VIS+ASIS+EDXA20100+ENFGR)</f>
        <v>24666.197092343533</v>
      </c>
      <c r="V49" s="354">
        <f>IF($K$10="INCLUIDO",FACTORES!$D40*FACTORES!$AC$9+CDENT+CEE+VIS+ASIS+EDXA20100+(FACTORES!$D40*FACTORES!$AC$9*CTE)+ENFGR+VLOOKUP(COTIZACION!$D$18,FACTORES!$J$21:$K$24,2,0),FACTORES!$D40*FACTORES!$AC$9+CDENT+CEE+VIS+ASIS+EDXA20100+ENFGR+VLOOKUP(COTIZACION!$D$18,FACTORES!$J$21:$K$24,2,0))</f>
        <v>30033.79222783952</v>
      </c>
      <c r="X49" s="355"/>
      <c r="Y49" s="356"/>
      <c r="Z49" s="356"/>
      <c r="AO49">
        <f t="shared" si="2"/>
        <v>1</v>
      </c>
    </row>
    <row r="50" spans="2:41">
      <c r="B50" s="351">
        <v>38</v>
      </c>
      <c r="C50" s="353">
        <f>(Q50+DER)*(1+COTIZACION!$D$24)</f>
        <v>30882.073256879416</v>
      </c>
      <c r="D50" s="353">
        <f>(R50+DER)*(1+COTIZACION!$D$24)</f>
        <v>37150.237460502321</v>
      </c>
      <c r="F50" s="351">
        <v>38</v>
      </c>
      <c r="G50" s="353">
        <f>U50*(1+COTIZACION!$D$24)</f>
        <v>29896.073256879416</v>
      </c>
      <c r="H50" s="353">
        <f>V50*(1+COTIZACION!$D$24)</f>
        <v>36164.237460502321</v>
      </c>
      <c r="J50" s="355"/>
      <c r="K50" s="356"/>
      <c r="L50" s="356"/>
      <c r="M50" s="356"/>
      <c r="P50" s="351">
        <v>38</v>
      </c>
      <c r="Q50" s="353">
        <f>IF($K$10="INCLUIDO",FACTORES!$C41*FACTORES!$AC$9+CDENT+CEE+VIS+ASIS+EDXA20100+(FACTORES!$C41*FACTORES!$AC$9*CTE)+ENFGR,FACTORES!$C41*FACTORES!$AC$9+CDENT+CEE+VIS+ASIS+EDXA20100+ENFGR)</f>
        <v>25772.476945585706</v>
      </c>
      <c r="R50" s="353">
        <f>IF($K$10="INCLUIDO",FACTORES!$D41*FACTORES!$AC$9+CDENT+CEE+VIS+ASIS+EDXA20100+(FACTORES!$D41*FACTORES!$AC$9*CTE)+ENFGR+VLOOKUP(COTIZACION!$D$18,FACTORES!$J$21:$K$24,2,0),FACTORES!$D41*FACTORES!$AC$9+CDENT+CEE+VIS+ASIS+EDXA20100+ENFGR+VLOOKUP(COTIZACION!$D$18,FACTORES!$J$21:$K$24,2,0))</f>
        <v>31176.066776295105</v>
      </c>
      <c r="T50" s="351">
        <v>38</v>
      </c>
      <c r="U50" s="353">
        <f>IF($K$10="INCLUIDO",FACTORES!$C41*FACTORES!$AC$9+CDENT+CEE+VIS+ASIS+EDXA20100+(FACTORES!$C41*FACTORES!$AC$9*CTE)+ENFGR,FACTORES!$C41*FACTORES!$AC$9+CDENT+CEE+VIS+ASIS+EDXA20100+ENFGR)</f>
        <v>25772.476945585706</v>
      </c>
      <c r="V50" s="353">
        <f>IF($K$10="INCLUIDO",FACTORES!$D41*FACTORES!$AC$9+CDENT+CEE+VIS+ASIS+EDXA20100+(FACTORES!$D41*FACTORES!$AC$9*CTE)+ENFGR+VLOOKUP(COTIZACION!$D$18,FACTORES!$J$21:$K$24,2,0),FACTORES!$D41*FACTORES!$AC$9+CDENT+CEE+VIS+ASIS+EDXA20100+ENFGR+VLOOKUP(COTIZACION!$D$18,FACTORES!$J$21:$K$24,2,0))</f>
        <v>31176.066776295105</v>
      </c>
      <c r="X50" s="355"/>
      <c r="Y50" s="356"/>
      <c r="Z50" s="356"/>
      <c r="AO50">
        <f t="shared" si="2"/>
        <v>1</v>
      </c>
    </row>
    <row r="51" spans="2:41">
      <c r="B51" s="352">
        <v>39</v>
      </c>
      <c r="C51" s="354">
        <f>(Q51+DER)*(1+COTIZACION!$D$24)</f>
        <v>32229.522118128385</v>
      </c>
      <c r="D51" s="354">
        <f>(R51+DER)*(1+COTIZACION!$D$24)</f>
        <v>38534.902668140174</v>
      </c>
      <c r="F51" s="352">
        <v>39</v>
      </c>
      <c r="G51" s="354">
        <f>U51*(1+COTIZACION!$D$24)</f>
        <v>31243.522118128385</v>
      </c>
      <c r="H51" s="354">
        <f>V51*(1+COTIZACION!$D$24)</f>
        <v>37548.902668140174</v>
      </c>
      <c r="J51" s="355"/>
      <c r="K51" s="356"/>
      <c r="L51" s="356"/>
      <c r="M51" s="356"/>
      <c r="P51" s="352">
        <v>39</v>
      </c>
      <c r="Q51" s="354">
        <f>IF($K$10="INCLUIDO",FACTORES!$C42*FACTORES!$AC$9+CDENT+CEE+VIS+ASIS+EDXA20100+(FACTORES!$C42*FACTORES!$AC$9*CTE)+ENFGR,FACTORES!$C42*FACTORES!$AC$9+CDENT+CEE+VIS+ASIS+EDXA20100+ENFGR)</f>
        <v>26934.07079148999</v>
      </c>
      <c r="R51" s="354">
        <f>IF($K$10="INCLUIDO",FACTORES!$D42*FACTORES!$AC$9+CDENT+CEE+VIS+ASIS+EDXA20100+(FACTORES!$D42*FACTORES!$AC$9*CTE)+ENFGR+VLOOKUP(COTIZACION!$D$18,FACTORES!$J$21:$K$24,2,0),FACTORES!$D42*FACTORES!$AC$9+CDENT+CEE+VIS+ASIS+EDXA20100+ENFGR+VLOOKUP(COTIZACION!$D$18,FACTORES!$J$21:$K$24,2,0))</f>
        <v>32369.743679431187</v>
      </c>
      <c r="T51" s="352">
        <v>39</v>
      </c>
      <c r="U51" s="354">
        <f>IF($K$10="INCLUIDO",FACTORES!$C42*FACTORES!$AC$9+CDENT+CEE+VIS+ASIS+EDXA20100+(FACTORES!$C42*FACTORES!$AC$9*CTE)+ENFGR,FACTORES!$C42*FACTORES!$AC$9+CDENT+CEE+VIS+ASIS+EDXA20100+ENFGR)</f>
        <v>26934.07079148999</v>
      </c>
      <c r="V51" s="354">
        <f>IF($K$10="INCLUIDO",FACTORES!$D42*FACTORES!$AC$9+CDENT+CEE+VIS+ASIS+EDXA20100+(FACTORES!$D42*FACTORES!$AC$9*CTE)+ENFGR+VLOOKUP(COTIZACION!$D$18,FACTORES!$J$21:$K$24,2,0),FACTORES!$D42*FACTORES!$AC$9+CDENT+CEE+VIS+ASIS+EDXA20100+ENFGR+VLOOKUP(COTIZACION!$D$18,FACTORES!$J$21:$K$24,2,0))</f>
        <v>32369.743679431187</v>
      </c>
      <c r="X51" s="355"/>
      <c r="Y51" s="356"/>
      <c r="Z51" s="356"/>
      <c r="AO51">
        <f t="shared" si="2"/>
        <v>1</v>
      </c>
    </row>
    <row r="52" spans="2:41">
      <c r="B52" s="351">
        <v>40</v>
      </c>
      <c r="C52" s="353">
        <f>(Q52+DER)*(1+COTIZACION!$D$24)</f>
        <v>33413.009596094576</v>
      </c>
      <c r="D52" s="353">
        <f>(R52+DER)*(1+COTIZACION!$D$24)</f>
        <v>40129.166605281163</v>
      </c>
      <c r="F52" s="351">
        <v>40</v>
      </c>
      <c r="G52" s="353">
        <f>U52*(1+COTIZACION!$D$24)</f>
        <v>32427.009596094576</v>
      </c>
      <c r="H52" s="353">
        <f>V52*(1+COTIZACION!$D$24)</f>
        <v>39143.166605281163</v>
      </c>
      <c r="J52" s="355"/>
      <c r="K52" s="356"/>
      <c r="L52" s="356"/>
      <c r="M52" s="356"/>
      <c r="P52" s="351">
        <v>40</v>
      </c>
      <c r="Q52" s="353">
        <f>IF($K$10="INCLUIDO",FACTORES!$C43*FACTORES!$AC$9+CDENT+CEE+VIS+ASIS+EDXA20100+(FACTORES!$C43*FACTORES!$AC$9*CTE)+ENFGR,FACTORES!$C43*FACTORES!$AC$9+CDENT+CEE+VIS+ASIS+EDXA20100+ENFGR)</f>
        <v>27954.318617322911</v>
      </c>
      <c r="R52" s="353">
        <f>IF($K$10="INCLUIDO",FACTORES!$D43*FACTORES!$AC$9+CDENT+CEE+VIS+ASIS+EDXA20100+(FACTORES!$D43*FACTORES!$AC$9*CTE)+ENFGR+VLOOKUP(COTIZACION!$D$18,FACTORES!$J$21:$K$24,2,0),FACTORES!$D43*FACTORES!$AC$9+CDENT+CEE+VIS+ASIS+EDXA20100+ENFGR+VLOOKUP(COTIZACION!$D$18,FACTORES!$J$21:$K$24,2,0))</f>
        <v>33744.109142483765</v>
      </c>
      <c r="T52" s="351">
        <v>40</v>
      </c>
      <c r="U52" s="353">
        <f>IF($K$10="INCLUIDO",FACTORES!$C43*FACTORES!$AC$9+CDENT+CEE+VIS+ASIS+EDXA20100+(FACTORES!$C43*FACTORES!$AC$9*CTE)+ENFGR,FACTORES!$C43*FACTORES!$AC$9+CDENT+CEE+VIS+ASIS+EDXA20100+ENFGR)</f>
        <v>27954.318617322911</v>
      </c>
      <c r="V52" s="353">
        <f>IF($K$10="INCLUIDO",FACTORES!$D43*FACTORES!$AC$9+CDENT+CEE+VIS+ASIS+EDXA20100+(FACTORES!$D43*FACTORES!$AC$9*CTE)+ENFGR+VLOOKUP(COTIZACION!$D$18,FACTORES!$J$21:$K$24,2,0),FACTORES!$D43*FACTORES!$AC$9+CDENT+CEE+VIS+ASIS+EDXA20100+ENFGR+VLOOKUP(COTIZACION!$D$18,FACTORES!$J$21:$K$24,2,0))</f>
        <v>33744.109142483765</v>
      </c>
      <c r="X52" s="355"/>
      <c r="Y52" s="356"/>
      <c r="Z52" s="356"/>
      <c r="AO52">
        <f t="shared" si="2"/>
        <v>1</v>
      </c>
    </row>
    <row r="53" spans="2:41">
      <c r="B53" s="352">
        <v>41</v>
      </c>
      <c r="C53" s="354">
        <f>(Q53+DER)*(1+COTIZACION!$D$24)</f>
        <v>34887.005274304305</v>
      </c>
      <c r="D53" s="354">
        <f>(R53+DER)*(1+COTIZACION!$D$24)</f>
        <v>41816.629959895508</v>
      </c>
      <c r="F53" s="352">
        <v>41</v>
      </c>
      <c r="G53" s="354">
        <f>U53*(1+COTIZACION!$D$24)</f>
        <v>33901.005274304305</v>
      </c>
      <c r="H53" s="354">
        <f>V53*(1+COTIZACION!$D$24)</f>
        <v>40830.629959895508</v>
      </c>
      <c r="J53" s="355"/>
      <c r="K53" s="356"/>
      <c r="L53" s="356"/>
      <c r="M53" s="356"/>
      <c r="P53" s="352">
        <v>41</v>
      </c>
      <c r="Q53" s="354">
        <f>IF($K$10="INCLUIDO",FACTORES!$C44*FACTORES!$AC$9+CDENT+CEE+VIS+ASIS+EDXA20100+(FACTORES!$C44*FACTORES!$AC$9*CTE)+ENFGR,FACTORES!$C44*FACTORES!$AC$9+CDENT+CEE+VIS+ASIS+EDXA20100+ENFGR)</f>
        <v>29225.004546814056</v>
      </c>
      <c r="R53" s="354">
        <f>IF($K$10="INCLUIDO",FACTORES!$D44*FACTORES!$AC$9+CDENT+CEE+VIS+ASIS+EDXA20100+(FACTORES!$D44*FACTORES!$AC$9*CTE)+ENFGR+VLOOKUP(COTIZACION!$D$18,FACTORES!$J$21:$K$24,2,0),FACTORES!$D44*FACTORES!$AC$9+CDENT+CEE+VIS+ASIS+EDXA20100+ENFGR+VLOOKUP(COTIZACION!$D$18,FACTORES!$J$21:$K$24,2,0))</f>
        <v>35198.818930944406</v>
      </c>
      <c r="T53" s="352">
        <v>41</v>
      </c>
      <c r="U53" s="354">
        <f>IF($K$10="INCLUIDO",FACTORES!$C44*FACTORES!$AC$9+CDENT+CEE+VIS+ASIS+EDXA20100+(FACTORES!$C44*FACTORES!$AC$9*CTE)+ENFGR,FACTORES!$C44*FACTORES!$AC$9+CDENT+CEE+VIS+ASIS+EDXA20100+ENFGR)</f>
        <v>29225.004546814056</v>
      </c>
      <c r="V53" s="354">
        <f>IF($K$10="INCLUIDO",FACTORES!$D44*FACTORES!$AC$9+CDENT+CEE+VIS+ASIS+EDXA20100+(FACTORES!$D44*FACTORES!$AC$9*CTE)+ENFGR+VLOOKUP(COTIZACION!$D$18,FACTORES!$J$21:$K$24,2,0),FACTORES!$D44*FACTORES!$AC$9+CDENT+CEE+VIS+ASIS+EDXA20100+ENFGR+VLOOKUP(COTIZACION!$D$18,FACTORES!$J$21:$K$24,2,0))</f>
        <v>35198.818930944406</v>
      </c>
      <c r="X53" s="355"/>
      <c r="Y53" s="356"/>
      <c r="Z53" s="356"/>
      <c r="AO53">
        <f t="shared" si="2"/>
        <v>1</v>
      </c>
    </row>
    <row r="54" spans="2:41">
      <c r="B54" s="351">
        <v>42</v>
      </c>
      <c r="C54" s="353">
        <f>(Q54+DER)*(1+COTIZACION!$D$24)</f>
        <v>36434.700736424515</v>
      </c>
      <c r="D54" s="353">
        <f>(R54+DER)*(1+COTIZACION!$D$24)</f>
        <v>43588.466482240568</v>
      </c>
      <c r="F54" s="351">
        <v>42</v>
      </c>
      <c r="G54" s="353">
        <f>U54*(1+COTIZACION!$D$24)</f>
        <v>35448.700736424515</v>
      </c>
      <c r="H54" s="353">
        <f>V54*(1+COTIZACION!$D$24)</f>
        <v>42602.466482240568</v>
      </c>
      <c r="J54" s="355"/>
      <c r="K54" s="356"/>
      <c r="L54" s="356"/>
      <c r="M54" s="356"/>
      <c r="P54" s="351">
        <v>42</v>
      </c>
      <c r="Q54" s="353">
        <f>IF($K$10="INCLUIDO",FACTORES!$C45*FACTORES!$AC$9+CDENT+CEE+VIS+ASIS+EDXA20100+(FACTORES!$C45*FACTORES!$AC$9*CTE)+ENFGR,FACTORES!$C45*FACTORES!$AC$9+CDENT+CEE+VIS+ASIS+EDXA20100+ENFGR)</f>
        <v>30559.224772779758</v>
      </c>
      <c r="R54" s="353">
        <f>IF($K$10="INCLUIDO",FACTORES!$D45*FACTORES!$AC$9+CDENT+CEE+VIS+ASIS+EDXA20100+(FACTORES!$D45*FACTORES!$AC$9*CTE)+ENFGR+VLOOKUP(COTIZACION!$D$18,FACTORES!$J$21:$K$24,2,0),FACTORES!$D45*FACTORES!$AC$9+CDENT+CEE+VIS+ASIS+EDXA20100+ENFGR+VLOOKUP(COTIZACION!$D$18,FACTORES!$J$21:$K$24,2,0))</f>
        <v>36726.264208828077</v>
      </c>
      <c r="T54" s="351">
        <v>42</v>
      </c>
      <c r="U54" s="353">
        <f>IF($K$10="INCLUIDO",FACTORES!$C45*FACTORES!$AC$9+CDENT+CEE+VIS+ASIS+EDXA20100+(FACTORES!$C45*FACTORES!$AC$9*CTE)+ENFGR,FACTORES!$C45*FACTORES!$AC$9+CDENT+CEE+VIS+ASIS+EDXA20100+ENFGR)</f>
        <v>30559.224772779758</v>
      </c>
      <c r="V54" s="353">
        <f>IF($K$10="INCLUIDO",FACTORES!$D45*FACTORES!$AC$9+CDENT+CEE+VIS+ASIS+EDXA20100+(FACTORES!$D45*FACTORES!$AC$9*CTE)+ENFGR+VLOOKUP(COTIZACION!$D$18,FACTORES!$J$21:$K$24,2,0),FACTORES!$D45*FACTORES!$AC$9+CDENT+CEE+VIS+ASIS+EDXA20100+ENFGR+VLOOKUP(COTIZACION!$D$18,FACTORES!$J$21:$K$24,2,0))</f>
        <v>36726.264208828077</v>
      </c>
      <c r="X54" s="355"/>
      <c r="Y54" s="356"/>
      <c r="Z54" s="356"/>
      <c r="AO54">
        <f t="shared" si="2"/>
        <v>1</v>
      </c>
    </row>
    <row r="55" spans="2:41">
      <c r="B55" s="352">
        <v>43</v>
      </c>
      <c r="C55" s="354">
        <f>(Q55+DER)*(1+COTIZACION!$D$24)</f>
        <v>38059.780971650747</v>
      </c>
      <c r="D55" s="354">
        <f>(R55+DER)*(1+COTIZACION!$D$24)</f>
        <v>45448.894830702877</v>
      </c>
      <c r="F55" s="352">
        <v>43</v>
      </c>
      <c r="G55" s="354">
        <f>U55*(1+COTIZACION!$D$24)</f>
        <v>37073.78097165074</v>
      </c>
      <c r="H55" s="354">
        <f>V55*(1+COTIZACION!$D$24)</f>
        <v>44462.894830702877</v>
      </c>
      <c r="J55" s="355"/>
      <c r="K55" s="356"/>
      <c r="L55" s="356"/>
      <c r="M55" s="356"/>
      <c r="P55" s="352">
        <v>43</v>
      </c>
      <c r="Q55" s="354">
        <f>IF($K$10="INCLUIDO",FACTORES!$C46*FACTORES!$AC$9+CDENT+CEE+VIS+ASIS+EDXA20100+(FACTORES!$C46*FACTORES!$AC$9*CTE)+ENFGR,FACTORES!$C46*FACTORES!$AC$9+CDENT+CEE+VIS+ASIS+EDXA20100+ENFGR)</f>
        <v>31960.156010043745</v>
      </c>
      <c r="R55" s="354">
        <f>IF($K$10="INCLUIDO",FACTORES!$D46*FACTORES!$AC$9+CDENT+CEE+VIS+ASIS+EDXA20100+(FACTORES!$D46*FACTORES!$AC$9*CTE)+ENFGR+VLOOKUP(COTIZACION!$D$18,FACTORES!$J$21:$K$24,2,0),FACTORES!$D46*FACTORES!$AC$9+CDENT+CEE+VIS+ASIS+EDXA20100+ENFGR+VLOOKUP(COTIZACION!$D$18,FACTORES!$J$21:$K$24,2,0))</f>
        <v>38330.081750605932</v>
      </c>
      <c r="T55" s="352">
        <v>43</v>
      </c>
      <c r="U55" s="354">
        <f>IF($K$10="INCLUIDO",FACTORES!$C46*FACTORES!$AC$9+CDENT+CEE+VIS+ASIS+EDXA20100+(FACTORES!$C46*FACTORES!$AC$9*CTE)+ENFGR,FACTORES!$C46*FACTORES!$AC$9+CDENT+CEE+VIS+ASIS+EDXA20100+ENFGR)</f>
        <v>31960.156010043745</v>
      </c>
      <c r="V55" s="354">
        <f>IF($K$10="INCLUIDO",FACTORES!$D46*FACTORES!$AC$9+CDENT+CEE+VIS+ASIS+EDXA20100+(FACTORES!$D46*FACTORES!$AC$9*CTE)+ENFGR+VLOOKUP(COTIZACION!$D$18,FACTORES!$J$21:$K$24,2,0),FACTORES!$D46*FACTORES!$AC$9+CDENT+CEE+VIS+ASIS+EDXA20100+ENFGR+VLOOKUP(COTIZACION!$D$18,FACTORES!$J$21:$K$24,2,0))</f>
        <v>38330.081750605932</v>
      </c>
      <c r="X55" s="355"/>
      <c r="Y55" s="356"/>
      <c r="Z55" s="356"/>
      <c r="AO55">
        <f t="shared" si="2"/>
        <v>1</v>
      </c>
    </row>
    <row r="56" spans="2:41">
      <c r="B56" s="351">
        <v>44</v>
      </c>
      <c r="C56" s="353">
        <f>(Q56+DER)*(1+COTIZACION!$D$24)</f>
        <v>39766.115218638282</v>
      </c>
      <c r="D56" s="353">
        <f>(R56+DER)*(1+COTIZACION!$D$24)</f>
        <v>47402.3445965883</v>
      </c>
      <c r="F56" s="351">
        <v>44</v>
      </c>
      <c r="G56" s="353">
        <f>U56*(1+COTIZACION!$D$24)</f>
        <v>38780.115218638282</v>
      </c>
      <c r="H56" s="353">
        <f>V56*(1+COTIZACION!$D$24)</f>
        <v>46416.3445965883</v>
      </c>
      <c r="J56" s="355"/>
      <c r="K56" s="356"/>
      <c r="L56" s="356"/>
      <c r="M56" s="356"/>
      <c r="P56" s="351">
        <v>44</v>
      </c>
      <c r="Q56" s="353">
        <f>IF($K$10="INCLUIDO",FACTORES!$C47*FACTORES!$AC$9+CDENT+CEE+VIS+ASIS+EDXA20100+(FACTORES!$C47*FACTORES!$AC$9*CTE)+ENFGR,FACTORES!$C47*FACTORES!$AC$9+CDENT+CEE+VIS+ASIS+EDXA20100+ENFGR)</f>
        <v>33431.133809170933</v>
      </c>
      <c r="R56" s="353">
        <f>IF($K$10="INCLUIDO",FACTORES!$D47*FACTORES!$AC$9+CDENT+CEE+VIS+ASIS+EDXA20100+(FACTORES!$D47*FACTORES!$AC$9*CTE)+ENFGR+VLOOKUP(COTIZACION!$D$18,FACTORES!$J$21:$K$24,2,0),FACTORES!$D47*FACTORES!$AC$9+CDENT+CEE+VIS+ASIS+EDXA20100+ENFGR+VLOOKUP(COTIZACION!$D$18,FACTORES!$J$21:$K$24,2,0))</f>
        <v>40014.090169472678</v>
      </c>
      <c r="T56" s="351">
        <v>44</v>
      </c>
      <c r="U56" s="353">
        <f>IF($K$10="INCLUIDO",FACTORES!$C47*FACTORES!$AC$9+CDENT+CEE+VIS+ASIS+EDXA20100+(FACTORES!$C47*FACTORES!$AC$9*CTE)+ENFGR,FACTORES!$C47*FACTORES!$AC$9+CDENT+CEE+VIS+ASIS+EDXA20100+ENFGR)</f>
        <v>33431.133809170933</v>
      </c>
      <c r="V56" s="353">
        <f>IF($K$10="INCLUIDO",FACTORES!$D47*FACTORES!$AC$9+CDENT+CEE+VIS+ASIS+EDXA20100+(FACTORES!$D47*FACTORES!$AC$9*CTE)+ENFGR+VLOOKUP(COTIZACION!$D$18,FACTORES!$J$21:$K$24,2,0),FACTORES!$D47*FACTORES!$AC$9+CDENT+CEE+VIS+ASIS+EDXA20100+ENFGR+VLOOKUP(COTIZACION!$D$18,FACTORES!$J$21:$K$24,2,0))</f>
        <v>40014.090169472678</v>
      </c>
      <c r="X56" s="355"/>
      <c r="Y56" s="356"/>
      <c r="Z56" s="356"/>
      <c r="AO56">
        <f t="shared" si="2"/>
        <v>1</v>
      </c>
    </row>
    <row r="57" spans="2:41">
      <c r="B57" s="352">
        <v>45</v>
      </c>
      <c r="C57" s="354">
        <f>(Q57+DER)*(1+COTIZACION!$D$24)</f>
        <v>41557.766177975194</v>
      </c>
      <c r="D57" s="354">
        <f>(R57+DER)*(1+COTIZACION!$D$24)</f>
        <v>49863.69130160394</v>
      </c>
      <c r="F57" s="352">
        <v>45</v>
      </c>
      <c r="G57" s="354">
        <f>U57*(1+COTIZACION!$D$24)</f>
        <v>40571.766177975194</v>
      </c>
      <c r="H57" s="354">
        <f>V57*(1+COTIZACION!$D$24)</f>
        <v>48877.69130160394</v>
      </c>
      <c r="J57" s="355"/>
      <c r="K57" s="356"/>
      <c r="L57" s="356"/>
      <c r="M57" s="356"/>
      <c r="P57" s="352">
        <v>45</v>
      </c>
      <c r="Q57" s="354">
        <f>IF($K$10="INCLUIDO",FACTORES!$C48*FACTORES!$AC$9+CDENT+CEE+VIS+ASIS+EDXA20100+(FACTORES!$C48*FACTORES!$AC$9*CTE)+ENFGR,FACTORES!$C48*FACTORES!$AC$9+CDENT+CEE+VIS+ASIS+EDXA20100+ENFGR)</f>
        <v>34975.660498254481</v>
      </c>
      <c r="R57" s="354">
        <f>IF($K$10="INCLUIDO",FACTORES!$D48*FACTORES!$AC$9+CDENT+CEE+VIS+ASIS+EDXA20100+(FACTORES!$D48*FACTORES!$AC$9*CTE)+ENFGR+VLOOKUP(COTIZACION!$D$18,FACTORES!$J$21:$K$24,2,0),FACTORES!$D48*FACTORES!$AC$9+CDENT+CEE+VIS+ASIS+EDXA20100+ENFGR+VLOOKUP(COTIZACION!$D$18,FACTORES!$J$21:$K$24,2,0))</f>
        <v>42135.940777244781</v>
      </c>
      <c r="T57" s="352">
        <v>45</v>
      </c>
      <c r="U57" s="354">
        <f>IF($K$10="INCLUIDO",FACTORES!$C48*FACTORES!$AC$9+CDENT+CEE+VIS+ASIS+EDXA20100+(FACTORES!$C48*FACTORES!$AC$9*CTE)+ENFGR,FACTORES!$C48*FACTORES!$AC$9+CDENT+CEE+VIS+ASIS+EDXA20100+ENFGR)</f>
        <v>34975.660498254481</v>
      </c>
      <c r="V57" s="354">
        <f>IF($K$10="INCLUIDO",FACTORES!$D48*FACTORES!$AC$9+CDENT+CEE+VIS+ASIS+EDXA20100+(FACTORES!$D48*FACTORES!$AC$9*CTE)+ENFGR+VLOOKUP(COTIZACION!$D$18,FACTORES!$J$21:$K$24,2,0),FACTORES!$D48*FACTORES!$AC$9+CDENT+CEE+VIS+ASIS+EDXA20100+ENFGR+VLOOKUP(COTIZACION!$D$18,FACTORES!$J$21:$K$24,2,0))</f>
        <v>42135.940777244781</v>
      </c>
      <c r="X57" s="355"/>
      <c r="Y57" s="356"/>
      <c r="Z57" s="356"/>
      <c r="AO57">
        <f t="shared" si="2"/>
        <v>1</v>
      </c>
    </row>
    <row r="58" spans="2:41">
      <c r="B58" s="351">
        <v>46</v>
      </c>
      <c r="C58" s="353">
        <f>(Q58+DER)*(1+COTIZACION!$D$24)</f>
        <v>43438.999685278948</v>
      </c>
      <c r="D58" s="353">
        <f>(R58+DER)*(1+COTIZACION!$D$24)</f>
        <v>52037.880891034416</v>
      </c>
      <c r="F58" s="351">
        <v>46</v>
      </c>
      <c r="G58" s="353">
        <f>U58*(1+COTIZACION!$D$24)</f>
        <v>42452.999685278948</v>
      </c>
      <c r="H58" s="353">
        <f>V58*(1+COTIZACION!$D$24)</f>
        <v>51051.880891034416</v>
      </c>
      <c r="J58" s="355"/>
      <c r="K58" s="356"/>
      <c r="L58" s="356"/>
      <c r="M58" s="356"/>
      <c r="P58" s="351">
        <v>46</v>
      </c>
      <c r="Q58" s="353">
        <f>IF($K$10="INCLUIDO",FACTORES!$C49*FACTORES!$AC$9+CDENT+CEE+VIS+ASIS+EDXA20100+(FACTORES!$C49*FACTORES!$AC$9*CTE)+ENFGR,FACTORES!$C49*FACTORES!$AC$9+CDENT+CEE+VIS+ASIS+EDXA20100+ENFGR)</f>
        <v>36597.413521792201</v>
      </c>
      <c r="R58" s="353">
        <f>IF($K$10="INCLUIDO",FACTORES!$D49*FACTORES!$AC$9+CDENT+CEE+VIS+ASIS+EDXA20100+(FACTORES!$D49*FACTORES!$AC$9*CTE)+ENFGR+VLOOKUP(COTIZACION!$D$18,FACTORES!$J$21:$K$24,2,0),FACTORES!$D49*FACTORES!$AC$9+CDENT+CEE+VIS+ASIS+EDXA20100+ENFGR+VLOOKUP(COTIZACION!$D$18,FACTORES!$J$21:$K$24,2,0))</f>
        <v>44010.242147443467</v>
      </c>
      <c r="T58" s="351">
        <v>46</v>
      </c>
      <c r="U58" s="353">
        <f>IF($K$10="INCLUIDO",FACTORES!$C49*FACTORES!$AC$9+CDENT+CEE+VIS+ASIS+EDXA20100+(FACTORES!$C49*FACTORES!$AC$9*CTE)+ENFGR,FACTORES!$C49*FACTORES!$AC$9+CDENT+CEE+VIS+ASIS+EDXA20100+ENFGR)</f>
        <v>36597.413521792201</v>
      </c>
      <c r="V58" s="353">
        <f>IF($K$10="INCLUIDO",FACTORES!$D49*FACTORES!$AC$9+CDENT+CEE+VIS+ASIS+EDXA20100+(FACTORES!$D49*FACTORES!$AC$9*CTE)+ENFGR+VLOOKUP(COTIZACION!$D$18,FACTORES!$J$21:$K$24,2,0),FACTORES!$D49*FACTORES!$AC$9+CDENT+CEE+VIS+ASIS+EDXA20100+ENFGR+VLOOKUP(COTIZACION!$D$18,FACTORES!$J$21:$K$24,2,0))</f>
        <v>44010.242147443467</v>
      </c>
      <c r="X58" s="355"/>
      <c r="Y58" s="356"/>
      <c r="Z58" s="356"/>
      <c r="AO58">
        <f t="shared" si="2"/>
        <v>1</v>
      </c>
    </row>
    <row r="59" spans="2:41">
      <c r="B59" s="352">
        <v>47</v>
      </c>
      <c r="C59" s="354">
        <f>(Q59+DER)*(1+COTIZACION!$D$24)</f>
        <v>45414.294867947894</v>
      </c>
      <c r="D59" s="354">
        <f>(R59+DER)*(1+COTIZACION!$D$24)</f>
        <v>54320.779959936423</v>
      </c>
      <c r="F59" s="352">
        <v>47</v>
      </c>
      <c r="G59" s="354">
        <f>U59*(1+COTIZACION!$D$24)</f>
        <v>44428.294867947894</v>
      </c>
      <c r="H59" s="354">
        <f>V59*(1+COTIZACION!$D$24)</f>
        <v>53334.779959936423</v>
      </c>
      <c r="J59" s="355"/>
      <c r="K59" s="356"/>
      <c r="L59" s="356"/>
      <c r="M59" s="356"/>
      <c r="P59" s="352">
        <v>47</v>
      </c>
      <c r="Q59" s="354">
        <f>IF($K$10="INCLUIDO",FACTORES!$C50*FACTORES!$AC$9+CDENT+CEE+VIS+ASIS+EDXA20100+(FACTORES!$C50*FACTORES!$AC$9*CTE)+ENFGR,FACTORES!$C50*FACTORES!$AC$9+CDENT+CEE+VIS+ASIS+EDXA20100+ENFGR)</f>
        <v>38300.254196506809</v>
      </c>
      <c r="R59" s="354">
        <f>IF($K$10="INCLUIDO",FACTORES!$D50*FACTORES!$AC$9+CDENT+CEE+VIS+ASIS+EDXA20100+(FACTORES!$D50*FACTORES!$AC$9*CTE)+ENFGR+VLOOKUP(COTIZACION!$D$18,FACTORES!$J$21:$K$24,2,0),FACTORES!$D50*FACTORES!$AC$9+CDENT+CEE+VIS+ASIS+EDXA20100+ENFGR+VLOOKUP(COTIZACION!$D$18,FACTORES!$J$21:$K$24,2,0))</f>
        <v>45978.258586152093</v>
      </c>
      <c r="T59" s="352">
        <v>47</v>
      </c>
      <c r="U59" s="354">
        <f>IF($K$10="INCLUIDO",FACTORES!$C50*FACTORES!$AC$9+CDENT+CEE+VIS+ASIS+EDXA20100+(FACTORES!$C50*FACTORES!$AC$9*CTE)+ENFGR,FACTORES!$C50*FACTORES!$AC$9+CDENT+CEE+VIS+ASIS+EDXA20100+ENFGR)</f>
        <v>38300.254196506809</v>
      </c>
      <c r="V59" s="354">
        <f>IF($K$10="INCLUIDO",FACTORES!$D50*FACTORES!$AC$9+CDENT+CEE+VIS+ASIS+EDXA20100+(FACTORES!$D50*FACTORES!$AC$9*CTE)+ENFGR+VLOOKUP(COTIZACION!$D$18,FACTORES!$J$21:$K$24,2,0),FACTORES!$D50*FACTORES!$AC$9+CDENT+CEE+VIS+ASIS+EDXA20100+ENFGR+VLOOKUP(COTIZACION!$D$18,FACTORES!$J$21:$K$24,2,0))</f>
        <v>45978.258586152093</v>
      </c>
      <c r="X59" s="355"/>
      <c r="Y59" s="356"/>
      <c r="Z59" s="356"/>
      <c r="AO59">
        <f t="shared" si="2"/>
        <v>1</v>
      </c>
    </row>
    <row r="60" spans="2:41">
      <c r="B60" s="351">
        <v>48</v>
      </c>
      <c r="C60" s="353">
        <f>(Q60+DER)*(1+COTIZACION!$D$24)</f>
        <v>47488.354809750293</v>
      </c>
      <c r="D60" s="353">
        <f>(R60+DER)*(1+COTIZACION!$D$24)</f>
        <v>56717.823982283531</v>
      </c>
      <c r="F60" s="351">
        <v>48</v>
      </c>
      <c r="G60" s="353">
        <f>U60*(1+COTIZACION!$D$24)</f>
        <v>46502.354809750293</v>
      </c>
      <c r="H60" s="353">
        <f>V60*(1+COTIZACION!$D$24)</f>
        <v>55731.823982283531</v>
      </c>
      <c r="J60" s="355"/>
      <c r="K60" s="356"/>
      <c r="L60" s="356"/>
      <c r="M60" s="356"/>
      <c r="P60" s="351">
        <v>48</v>
      </c>
      <c r="Q60" s="353">
        <f>IF($K$10="INCLUIDO",FACTORES!$C51*FACTORES!$AC$9+CDENT+CEE+VIS+ASIS+EDXA20100+(FACTORES!$C51*FACTORES!$AC$9*CTE)+ENFGR,FACTORES!$C51*FACTORES!$AC$9+CDENT+CEE+VIS+ASIS+EDXA20100+ENFGR)</f>
        <v>40088.23690495715</v>
      </c>
      <c r="R60" s="353">
        <f>IF($K$10="INCLUIDO",FACTORES!$D51*FACTORES!$AC$9+CDENT+CEE+VIS+ASIS+EDXA20100+(FACTORES!$D51*FACTORES!$AC$9*CTE)+ENFGR+VLOOKUP(COTIZACION!$D$18,FACTORES!$J$21:$K$24,2,0),FACTORES!$D51*FACTORES!$AC$9+CDENT+CEE+VIS+ASIS+EDXA20100+ENFGR+VLOOKUP(COTIZACION!$D$18,FACTORES!$J$21:$K$24,2,0))</f>
        <v>48044.675846796148</v>
      </c>
      <c r="T60" s="351">
        <v>48</v>
      </c>
      <c r="U60" s="353">
        <f>IF($K$10="INCLUIDO",FACTORES!$C51*FACTORES!$AC$9+CDENT+CEE+VIS+ASIS+EDXA20100+(FACTORES!$C51*FACTORES!$AC$9*CTE)+ENFGR,FACTORES!$C51*FACTORES!$AC$9+CDENT+CEE+VIS+ASIS+EDXA20100+ENFGR)</f>
        <v>40088.23690495715</v>
      </c>
      <c r="V60" s="353">
        <f>IF($K$10="INCLUIDO",FACTORES!$D51*FACTORES!$AC$9+CDENT+CEE+VIS+ASIS+EDXA20100+(FACTORES!$D51*FACTORES!$AC$9*CTE)+ENFGR+VLOOKUP(COTIZACION!$D$18,FACTORES!$J$21:$K$24,2,0),FACTORES!$D51*FACTORES!$AC$9+CDENT+CEE+VIS+ASIS+EDXA20100+ENFGR+VLOOKUP(COTIZACION!$D$18,FACTORES!$J$21:$K$24,2,0))</f>
        <v>48044.675846796148</v>
      </c>
      <c r="X60" s="355"/>
      <c r="Y60" s="356"/>
      <c r="Z60" s="356"/>
      <c r="AO60">
        <f t="shared" si="2"/>
        <v>1</v>
      </c>
    </row>
    <row r="61" spans="2:41">
      <c r="B61" s="352">
        <v>49</v>
      </c>
      <c r="C61" s="354">
        <f>(Q61+DER)*(1+COTIZACION!$D$24)</f>
        <v>49666.117748642813</v>
      </c>
      <c r="D61" s="354">
        <f>(R61+DER)*(1+COTIZACION!$D$24)</f>
        <v>58983.030583401538</v>
      </c>
      <c r="F61" s="352">
        <v>49</v>
      </c>
      <c r="G61" s="354">
        <f>U61*(1+COTIZACION!$D$24)</f>
        <v>48680.117748642813</v>
      </c>
      <c r="H61" s="354">
        <f>V61*(1+COTIZACION!$D$24)</f>
        <v>57997.030583401538</v>
      </c>
      <c r="J61" s="355"/>
      <c r="K61" s="356"/>
      <c r="L61" s="356"/>
      <c r="M61" s="356"/>
      <c r="P61" s="352">
        <v>49</v>
      </c>
      <c r="Q61" s="354">
        <f>IF($K$10="INCLUIDO",FACTORES!$C52*FACTORES!$AC$9+CDENT+CEE+VIS+ASIS+EDXA20100+(FACTORES!$C52*FACTORES!$AC$9*CTE)+ENFGR,FACTORES!$C52*FACTORES!$AC$9+CDENT+CEE+VIS+ASIS+EDXA20100+ENFGR)</f>
        <v>41965.618748830013</v>
      </c>
      <c r="R61" s="354">
        <f>IF($K$10="INCLUIDO",FACTORES!$D52*FACTORES!$AC$9+CDENT+CEE+VIS+ASIS+EDXA20100+(FACTORES!$D52*FACTORES!$AC$9*CTE)+ENFGR+VLOOKUP(COTIZACION!$D$18,FACTORES!$J$21:$K$24,2,0),FACTORES!$D52*FACTORES!$AC$9+CDENT+CEE+VIS+ASIS+EDXA20100+ENFGR+VLOOKUP(COTIZACION!$D$18,FACTORES!$J$21:$K$24,2,0))</f>
        <v>49997.440158104779</v>
      </c>
      <c r="T61" s="352">
        <v>49</v>
      </c>
      <c r="U61" s="354">
        <f>IF($K$10="INCLUIDO",FACTORES!$C52*FACTORES!$AC$9+CDENT+CEE+VIS+ASIS+EDXA20100+(FACTORES!$C52*FACTORES!$AC$9*CTE)+ENFGR,FACTORES!$C52*FACTORES!$AC$9+CDENT+CEE+VIS+ASIS+EDXA20100+ENFGR)</f>
        <v>41965.618748830013</v>
      </c>
      <c r="V61" s="354">
        <f>IF($K$10="INCLUIDO",FACTORES!$D52*FACTORES!$AC$9+CDENT+CEE+VIS+ASIS+EDXA20100+(FACTORES!$D52*FACTORES!$AC$9*CTE)+ENFGR+VLOOKUP(COTIZACION!$D$18,FACTORES!$J$21:$K$24,2,0),FACTORES!$D52*FACTORES!$AC$9+CDENT+CEE+VIS+ASIS+EDXA20100+ENFGR+VLOOKUP(COTIZACION!$D$18,FACTORES!$J$21:$K$24,2,0))</f>
        <v>49997.440158104779</v>
      </c>
      <c r="X61" s="355"/>
      <c r="Y61" s="356"/>
      <c r="Z61" s="356"/>
      <c r="AO61">
        <f t="shared" si="2"/>
        <v>1</v>
      </c>
    </row>
    <row r="62" spans="2:41">
      <c r="B62" s="351">
        <v>50</v>
      </c>
      <c r="C62" s="353">
        <f>(Q62+DER)*(1+COTIZACION!$D$24)</f>
        <v>53222.338104549075</v>
      </c>
      <c r="D62" s="353">
        <f>(R62+DER)*(1+COTIZACION!$D$24)</f>
        <v>60147.614103519445</v>
      </c>
      <c r="F62" s="351">
        <v>50</v>
      </c>
      <c r="G62" s="353">
        <f>U62*(1+COTIZACION!$D$24)</f>
        <v>52236.338104549075</v>
      </c>
      <c r="H62" s="353">
        <f>V62*(1+COTIZACION!$D$24)</f>
        <v>59161.614103519445</v>
      </c>
      <c r="J62" s="355"/>
      <c r="K62" s="356"/>
      <c r="L62" s="356"/>
      <c r="M62" s="356"/>
      <c r="P62" s="351">
        <v>50</v>
      </c>
      <c r="Q62" s="353">
        <f>IF($K$10="INCLUIDO",FACTORES!$C53*FACTORES!$AC$9+CDENT+CEE+VIS+ASIS+EDXA20100+(FACTORES!$C53*FACTORES!$AC$9*CTE)+ENFGR,FACTORES!$C53*FACTORES!$AC$9+CDENT+CEE+VIS+ASIS+EDXA20100+ENFGR)</f>
        <v>45031.325952197483</v>
      </c>
      <c r="R62" s="353">
        <f>IF($K$10="INCLUIDO",FACTORES!$D53*FACTORES!$AC$9+CDENT+CEE+VIS+ASIS+EDXA20100+(FACTORES!$D53*FACTORES!$AC$9*CTE)+ENFGR+VLOOKUP(COTIZACION!$D$18,FACTORES!$J$21:$K$24,2,0),FACTORES!$D53*FACTORES!$AC$9+CDENT+CEE+VIS+ASIS+EDXA20100+ENFGR+VLOOKUP(COTIZACION!$D$18,FACTORES!$J$21:$K$24,2,0))</f>
        <v>51001.39146855125</v>
      </c>
      <c r="T62" s="351">
        <v>50</v>
      </c>
      <c r="U62" s="353">
        <f>IF($K$10="INCLUIDO",FACTORES!$C53*FACTORES!$AC$9+CDENT+CEE+VIS+ASIS+EDXA20100+(FACTORES!$C53*FACTORES!$AC$9*CTE)+ENFGR,FACTORES!$C53*FACTORES!$AC$9+CDENT+CEE+VIS+ASIS+EDXA20100+ENFGR)</f>
        <v>45031.325952197483</v>
      </c>
      <c r="V62" s="353">
        <f>IF($K$10="INCLUIDO",FACTORES!$D53*FACTORES!$AC$9+CDENT+CEE+VIS+ASIS+EDXA20100+(FACTORES!$D53*FACTORES!$AC$9*CTE)+ENFGR+VLOOKUP(COTIZACION!$D$18,FACTORES!$J$21:$K$24,2,0),FACTORES!$D53*FACTORES!$AC$9+CDENT+CEE+VIS+ASIS+EDXA20100+ENFGR+VLOOKUP(COTIZACION!$D$18,FACTORES!$J$21:$K$24,2,0))</f>
        <v>51001.39146855125</v>
      </c>
      <c r="X62" s="355"/>
      <c r="Y62" s="356"/>
      <c r="Z62" s="356"/>
      <c r="AO62">
        <f t="shared" si="2"/>
        <v>1</v>
      </c>
    </row>
    <row r="63" spans="2:41">
      <c r="B63" s="352">
        <v>51</v>
      </c>
      <c r="C63" s="354">
        <f>(Q63+DER)*(1+COTIZACION!$D$24)</f>
        <v>56672.585049634508</v>
      </c>
      <c r="D63" s="354">
        <f>(R63+DER)*(1+COTIZACION!$D$24)</f>
        <v>62002.227789667093</v>
      </c>
      <c r="F63" s="352">
        <v>51</v>
      </c>
      <c r="G63" s="354">
        <f>U63*(1+COTIZACION!$D$24)</f>
        <v>55686.585049634508</v>
      </c>
      <c r="H63" s="354">
        <f>V63*(1+COTIZACION!$D$24)</f>
        <v>61016.227789667093</v>
      </c>
      <c r="J63" s="355"/>
      <c r="K63" s="356"/>
      <c r="L63" s="356"/>
      <c r="M63" s="356"/>
      <c r="P63" s="352">
        <v>51</v>
      </c>
      <c r="Q63" s="354">
        <f>IF($K$10="INCLUIDO",FACTORES!$C54*FACTORES!$AC$9+CDENT+CEE+VIS+ASIS+EDXA20100+(FACTORES!$C54*FACTORES!$AC$9*CTE)+ENFGR,FACTORES!$C54*FACTORES!$AC$9+CDENT+CEE+VIS+ASIS+EDXA20100+ENFGR)</f>
        <v>48005.676766926306</v>
      </c>
      <c r="R63" s="354">
        <f>IF($K$10="INCLUIDO",FACTORES!$D54*FACTORES!$AC$9+CDENT+CEE+VIS+ASIS+EDXA20100+(FACTORES!$D54*FACTORES!$AC$9*CTE)+ENFGR,FACTORES!$D54*FACTORES!$AC$9+CDENT+CEE+VIS+ASIS+EDXA20100+ENFGR)</f>
        <v>52600.196370402671</v>
      </c>
      <c r="T63" s="352">
        <v>51</v>
      </c>
      <c r="U63" s="354">
        <f>IF($K$10="INCLUIDO",FACTORES!$C54*FACTORES!$AC$9+CDENT+CEE+VIS+ASIS+EDXA20100+(FACTORES!$C54*FACTORES!$AC$9*CTE)+ENFGR,FACTORES!$C54*FACTORES!$AC$9+CDENT+CEE+VIS+ASIS+EDXA20100+ENFGR)</f>
        <v>48005.676766926306</v>
      </c>
      <c r="V63" s="354">
        <f>IF($K$10="INCLUIDO",FACTORES!$D54*FACTORES!$AC$9+CDENT+CEE+VIS+ASIS+EDXA20100+(FACTORES!$D54*FACTORES!$AC$9*CTE)+ENFGR,FACTORES!$D54*FACTORES!$AC$9+CDENT+CEE+VIS+ASIS+EDXA20100+ENFGR)</f>
        <v>52600.196370402671</v>
      </c>
      <c r="X63" s="355"/>
      <c r="Y63" s="356"/>
      <c r="Z63" s="356"/>
      <c r="AO63">
        <f t="shared" si="2"/>
        <v>1</v>
      </c>
    </row>
    <row r="64" spans="2:41">
      <c r="B64" s="351">
        <v>52</v>
      </c>
      <c r="C64" s="353">
        <f>(Q64+DER)*(1+COTIZACION!$D$24)</f>
        <v>59836.954390698585</v>
      </c>
      <c r="D64" s="353">
        <f>(R64+DER)*(1+COTIZACION!$D$24)</f>
        <v>64324.99305997778</v>
      </c>
      <c r="F64" s="351">
        <v>52</v>
      </c>
      <c r="G64" s="353">
        <f>U64*(1+COTIZACION!$D$24)</f>
        <v>58850.954390698585</v>
      </c>
      <c r="H64" s="353">
        <f>V64*(1+COTIZACION!$D$24)</f>
        <v>63338.99305997778</v>
      </c>
      <c r="J64" s="355"/>
      <c r="K64" s="356"/>
      <c r="L64" s="356"/>
      <c r="M64" s="356"/>
      <c r="P64" s="351">
        <v>52</v>
      </c>
      <c r="Q64" s="353">
        <f>IF($K$10="INCLUIDO",FACTORES!$C55*FACTORES!$AC$9+CDENT+CEE+VIS+ASIS+EDXA20100+(FACTORES!$C55*FACTORES!$AC$9*CTE)+ENFGR,FACTORES!$C55*FACTORES!$AC$9+CDENT+CEE+VIS+ASIS+EDXA20100+ENFGR)</f>
        <v>50733.58137129189</v>
      </c>
      <c r="R64" s="353">
        <f>IF($K$10="INCLUIDO",FACTORES!$D55*FACTORES!$AC$9+CDENT+CEE+VIS+ASIS+EDXA20100+(FACTORES!$D55*FACTORES!$AC$9*CTE)+ENFGR,FACTORES!$D55*FACTORES!$AC$9+CDENT+CEE+VIS+ASIS+EDXA20100+ENFGR)</f>
        <v>54602.580224118778</v>
      </c>
      <c r="T64" s="351">
        <v>52</v>
      </c>
      <c r="U64" s="353">
        <f>IF($K$10="INCLUIDO",FACTORES!$C55*FACTORES!$AC$9+CDENT+CEE+VIS+ASIS+EDXA20100+(FACTORES!$C55*FACTORES!$AC$9*CTE)+ENFGR,FACTORES!$C55*FACTORES!$AC$9+CDENT+CEE+VIS+ASIS+EDXA20100+ENFGR)</f>
        <v>50733.58137129189</v>
      </c>
      <c r="V64" s="353">
        <f>IF($K$10="INCLUIDO",FACTORES!$D55*FACTORES!$AC$9+CDENT+CEE+VIS+ASIS+EDXA20100+(FACTORES!$D55*FACTORES!$AC$9*CTE)+ENFGR,FACTORES!$D55*FACTORES!$AC$9+CDENT+CEE+VIS+ASIS+EDXA20100+ENFGR)</f>
        <v>54602.580224118778</v>
      </c>
      <c r="X64" s="355"/>
      <c r="Y64" s="356"/>
      <c r="Z64" s="356"/>
      <c r="AO64">
        <f t="shared" si="2"/>
        <v>1</v>
      </c>
    </row>
    <row r="65" spans="2:41">
      <c r="B65" s="352">
        <v>53</v>
      </c>
      <c r="C65" s="354">
        <f>(Q65+DER)*(1+COTIZACION!$D$24)</f>
        <v>63191.185892226509</v>
      </c>
      <c r="D65" s="354">
        <f>(R65+DER)*(1+COTIZACION!$D$24)</f>
        <v>67344.587911381663</v>
      </c>
      <c r="F65" s="352">
        <v>53</v>
      </c>
      <c r="G65" s="354">
        <f>U65*(1+COTIZACION!$D$24)</f>
        <v>62205.185892226509</v>
      </c>
      <c r="H65" s="354">
        <f>V65*(1+COTIZACION!$D$24)</f>
        <v>66358.587911381663</v>
      </c>
      <c r="J65" s="355"/>
      <c r="K65" s="356"/>
      <c r="L65" s="356"/>
      <c r="M65" s="356"/>
      <c r="P65" s="352">
        <v>53</v>
      </c>
      <c r="Q65" s="354">
        <f>IF($K$10="INCLUIDO",FACTORES!$C56*FACTORES!$AC$9+CDENT+CEE+VIS+ASIS+EDXA20100+(FACTORES!$C56*FACTORES!$AC$9*CTE)+ENFGR,FACTORES!$C56*FACTORES!$AC$9+CDENT+CEE+VIS+ASIS+EDXA20100+ENFGR)</f>
        <v>53625.160251919406</v>
      </c>
      <c r="R65" s="354">
        <f>IF($K$10="INCLUIDO",FACTORES!$D56*FACTORES!$AC$9+CDENT+CEE+VIS+ASIS+EDXA20100+(FACTORES!$D56*FACTORES!$AC$9*CTE)+ENFGR,FACTORES!$D56*FACTORES!$AC$9+CDENT+CEE+VIS+ASIS+EDXA20100+ENFGR)</f>
        <v>57205.679233949719</v>
      </c>
      <c r="T65" s="352">
        <v>53</v>
      </c>
      <c r="U65" s="354">
        <f>IF($K$10="INCLUIDO",FACTORES!$C56*FACTORES!$AC$9+CDENT+CEE+VIS+ASIS+EDXA20100+(FACTORES!$C56*FACTORES!$AC$9*CTE)+ENFGR,FACTORES!$C56*FACTORES!$AC$9+CDENT+CEE+VIS+ASIS+EDXA20100+ENFGR)</f>
        <v>53625.160251919406</v>
      </c>
      <c r="V65" s="354">
        <f>IF($K$10="INCLUIDO",FACTORES!$D56*FACTORES!$AC$9+CDENT+CEE+VIS+ASIS+EDXA20100+(FACTORES!$D56*FACTORES!$AC$9*CTE)+ENFGR,FACTORES!$D56*FACTORES!$AC$9+CDENT+CEE+VIS+ASIS+EDXA20100+ENFGR)</f>
        <v>57205.679233949719</v>
      </c>
      <c r="X65" s="355"/>
      <c r="Y65" s="356"/>
      <c r="Z65" s="356"/>
      <c r="AO65">
        <f t="shared" si="2"/>
        <v>1</v>
      </c>
    </row>
    <row r="66" spans="2:41">
      <c r="B66" s="351">
        <v>54</v>
      </c>
      <c r="C66" s="353">
        <f>(Q66+DER)*(1+COTIZACION!$D$24)</f>
        <v>66746.67128384611</v>
      </c>
      <c r="D66" s="353">
        <f>(R66+DER)*(1+COTIZACION!$D$24)</f>
        <v>70515.162505355751</v>
      </c>
      <c r="F66" s="351">
        <v>54</v>
      </c>
      <c r="G66" s="353">
        <f>U66*(1+COTIZACION!$D$24)</f>
        <v>65760.67128384611</v>
      </c>
      <c r="H66" s="353">
        <f>V66*(1+COTIZACION!$D$24)</f>
        <v>69529.162505355751</v>
      </c>
      <c r="J66" s="355"/>
      <c r="K66" s="356"/>
      <c r="L66" s="356"/>
      <c r="M66" s="356"/>
      <c r="P66" s="351">
        <v>54</v>
      </c>
      <c r="Q66" s="353">
        <f>IF($K$10="INCLUIDO",FACTORES!$C57*FACTORES!$AC$9+CDENT+CEE+VIS+ASIS+EDXA20100+(FACTORES!$C57*FACTORES!$AC$9*CTE)+ENFGR,FACTORES!$C57*FACTORES!$AC$9+CDENT+CEE+VIS+ASIS+EDXA20100+ENFGR)</f>
        <v>56690.23386538458</v>
      </c>
      <c r="R66" s="353">
        <f>IF($K$10="INCLUIDO",FACTORES!$D57*FACTORES!$AC$9+CDENT+CEE+VIS+ASIS+EDXA20100+(FACTORES!$D57*FACTORES!$AC$9*CTE)+ENFGR,FACTORES!$D57*FACTORES!$AC$9+CDENT+CEE+VIS+ASIS+EDXA20100+ENFGR)</f>
        <v>59938.933194272206</v>
      </c>
      <c r="T66" s="351">
        <v>54</v>
      </c>
      <c r="U66" s="353">
        <f>IF($K$10="INCLUIDO",FACTORES!$C57*FACTORES!$AC$9+CDENT+CEE+VIS+ASIS+EDXA20100+(FACTORES!$C57*FACTORES!$AC$9*CTE)+ENFGR,FACTORES!$C57*FACTORES!$AC$9+CDENT+CEE+VIS+ASIS+EDXA20100+ENFGR)</f>
        <v>56690.23386538458</v>
      </c>
      <c r="V66" s="353">
        <f>IF($K$10="INCLUIDO",FACTORES!$D57*FACTORES!$AC$9+CDENT+CEE+VIS+ASIS+EDXA20100+(FACTORES!$D57*FACTORES!$AC$9*CTE)+ENFGR,FACTORES!$D57*FACTORES!$AC$9+CDENT+CEE+VIS+ASIS+EDXA20100+ENFGR)</f>
        <v>59938.933194272206</v>
      </c>
      <c r="X66" s="355"/>
      <c r="Y66" s="356"/>
      <c r="Z66" s="356"/>
      <c r="AO66">
        <f t="shared" si="2"/>
        <v>1</v>
      </c>
    </row>
    <row r="67" spans="2:41">
      <c r="B67" s="352">
        <v>55</v>
      </c>
      <c r="C67" s="354">
        <f>(Q67+DER)*(1+COTIZACION!$D$24)</f>
        <v>70515.485798962865</v>
      </c>
      <c r="D67" s="354">
        <f>(R67+DER)*(1+COTIZACION!$D$24)</f>
        <v>73844.265829028547</v>
      </c>
      <c r="F67" s="352">
        <v>55</v>
      </c>
      <c r="G67" s="354">
        <f>U67*(1+COTIZACION!$D$24)</f>
        <v>69529.485798962865</v>
      </c>
      <c r="H67" s="354">
        <f>V67*(1+COTIZACION!$D$24)</f>
        <v>72858.265829028547</v>
      </c>
      <c r="J67" s="355"/>
      <c r="K67" s="356"/>
      <c r="L67" s="356"/>
      <c r="M67" s="356"/>
      <c r="P67" s="352">
        <v>55</v>
      </c>
      <c r="Q67" s="354">
        <f>IF($K$10="INCLUIDO",FACTORES!$C58*FACTORES!$AC$9+CDENT+CEE+VIS+ASIS+EDXA20100+(FACTORES!$C58*FACTORES!$AC$9*CTE)+ENFGR,FACTORES!$C58*FACTORES!$AC$9+CDENT+CEE+VIS+ASIS+EDXA20100+ENFGR)</f>
        <v>59939.211895657652</v>
      </c>
      <c r="R67" s="354">
        <f>IF($K$10="INCLUIDO",FACTORES!$D58*FACTORES!$AC$9+CDENT+CEE+VIS+ASIS+EDXA20100+(FACTORES!$D58*FACTORES!$AC$9*CTE)+ENFGR,FACTORES!$D58*FACTORES!$AC$9+CDENT+CEE+VIS+ASIS+EDXA20100+ENFGR)</f>
        <v>62808.849852610823</v>
      </c>
      <c r="T67" s="352">
        <v>55</v>
      </c>
      <c r="U67" s="354">
        <f>IF($K$10="INCLUIDO",FACTORES!$C58*FACTORES!$AC$9+CDENT+CEE+VIS+ASIS+EDXA20100+(FACTORES!$C58*FACTORES!$AC$9*CTE)+ENFGR,FACTORES!$C58*FACTORES!$AC$9+CDENT+CEE+VIS+ASIS+EDXA20100+ENFGR)</f>
        <v>59939.211895657652</v>
      </c>
      <c r="V67" s="354">
        <f>IF($K$10="INCLUIDO",FACTORES!$D58*FACTORES!$AC$9+CDENT+CEE+VIS+ASIS+EDXA20100+(FACTORES!$D58*FACTORES!$AC$9*CTE)+ENFGR,FACTORES!$D58*FACTORES!$AC$9+CDENT+CEE+VIS+ASIS+EDXA20100+ENFGR)</f>
        <v>62808.849852610823</v>
      </c>
      <c r="X67" s="355"/>
      <c r="Y67" s="356"/>
      <c r="Z67" s="356"/>
      <c r="AO67">
        <f t="shared" si="2"/>
        <v>1</v>
      </c>
    </row>
    <row r="68" spans="2:41">
      <c r="B68" s="351">
        <v>56</v>
      </c>
      <c r="C68" s="353">
        <f>(Q68+DER)*(1+COTIZACION!$D$24)</f>
        <v>74510.429184986642</v>
      </c>
      <c r="D68" s="353">
        <f>(R68+DER)*(1+COTIZACION!$D$24)</f>
        <v>77339.824318884988</v>
      </c>
      <c r="F68" s="351">
        <v>56</v>
      </c>
      <c r="G68" s="353">
        <f>U68*(1+COTIZACION!$D$24)</f>
        <v>73524.429184986642</v>
      </c>
      <c r="H68" s="353">
        <f>V68*(1+COTIZACION!$D$24)</f>
        <v>76353.824318884988</v>
      </c>
      <c r="J68" s="355"/>
      <c r="K68" s="356"/>
      <c r="L68" s="356"/>
      <c r="M68" s="356"/>
      <c r="P68" s="351">
        <v>56</v>
      </c>
      <c r="Q68" s="353">
        <f>IF($K$10="INCLUIDO",FACTORES!$C59*FACTORES!$AC$9+CDENT+CEE+VIS+ASIS+EDXA20100+(FACTORES!$C59*FACTORES!$AC$9*CTE)+ENFGR,FACTORES!$C59*FACTORES!$AC$9+CDENT+CEE+VIS+ASIS+EDXA20100+ENFGR)</f>
        <v>63383.128607747116</v>
      </c>
      <c r="R68" s="353">
        <f>IF($K$10="INCLUIDO",FACTORES!$D59*FACTORES!$AC$9+CDENT+CEE+VIS+ASIS+EDXA20100+(FACTORES!$D59*FACTORES!$AC$9*CTE)+ENFGR,FACTORES!$D59*FACTORES!$AC$9+CDENT+CEE+VIS+ASIS+EDXA20100+ENFGR)</f>
        <v>65822.262343866372</v>
      </c>
      <c r="T68" s="351">
        <v>56</v>
      </c>
      <c r="U68" s="353">
        <f>IF($K$10="INCLUIDO",FACTORES!$C59*FACTORES!$AC$9+CDENT+CEE+VIS+ASIS+EDXA20100+(FACTORES!$C59*FACTORES!$AC$9*CTE)+ENFGR,FACTORES!$C59*FACTORES!$AC$9+CDENT+CEE+VIS+ASIS+EDXA20100+ENFGR)</f>
        <v>63383.128607747116</v>
      </c>
      <c r="V68" s="353">
        <f>IF($K$10="INCLUIDO",FACTORES!$D59*FACTORES!$AC$9+CDENT+CEE+VIS+ASIS+EDXA20100+(FACTORES!$D59*FACTORES!$AC$9*CTE)+ENFGR,FACTORES!$D59*FACTORES!$AC$9+CDENT+CEE+VIS+ASIS+EDXA20100+ENFGR)</f>
        <v>65822.262343866372</v>
      </c>
      <c r="X68" s="355"/>
      <c r="Y68" s="356"/>
      <c r="Z68" s="356"/>
      <c r="AO68">
        <f t="shared" si="2"/>
        <v>1</v>
      </c>
    </row>
    <row r="69" spans="2:41">
      <c r="B69" s="352">
        <v>57</v>
      </c>
      <c r="C69" s="354">
        <f>(Q69+DER)*(1+COTIZACION!$D$24)</f>
        <v>78745.069174171862</v>
      </c>
      <c r="D69" s="354">
        <f>(R69+DER)*(1+COTIZACION!$D$24)</f>
        <v>81010.160733234254</v>
      </c>
      <c r="F69" s="352">
        <v>57</v>
      </c>
      <c r="G69" s="354">
        <f>U69*(1+COTIZACION!$D$24)</f>
        <v>77759.069174171862</v>
      </c>
      <c r="H69" s="354">
        <f>V69*(1+COTIZACION!$D$24)</f>
        <v>80024.160733234254</v>
      </c>
      <c r="J69" s="355"/>
      <c r="K69" s="356"/>
      <c r="L69" s="356"/>
      <c r="M69" s="356"/>
      <c r="P69" s="352">
        <v>57</v>
      </c>
      <c r="Q69" s="354">
        <f>IF($K$10="INCLUIDO",FACTORES!$C60*FACTORES!$AC$9+CDENT+CEE+VIS+ASIS+EDXA20100+(FACTORES!$C60*FACTORES!$AC$9*CTE)+ENFGR,FACTORES!$C60*FACTORES!$AC$9+CDENT+CEE+VIS+ASIS+EDXA20100+ENFGR)</f>
        <v>67033.680322561951</v>
      </c>
      <c r="R69" s="354">
        <f>IF($K$10="INCLUIDO",FACTORES!$D60*FACTORES!$AC$9+CDENT+CEE+VIS+ASIS+EDXA20100+(FACTORES!$D60*FACTORES!$AC$9*CTE)+ENFGR,FACTORES!$D60*FACTORES!$AC$9+CDENT+CEE+VIS+ASIS+EDXA20100+ENFGR)</f>
        <v>68986.3454596847</v>
      </c>
      <c r="T69" s="352">
        <v>57</v>
      </c>
      <c r="U69" s="354">
        <f>IF($K$10="INCLUIDO",FACTORES!$C60*FACTORES!$AC$9+CDENT+CEE+VIS+ASIS+EDXA20100+(FACTORES!$C60*FACTORES!$AC$9*CTE)+ENFGR,FACTORES!$C60*FACTORES!$AC$9+CDENT+CEE+VIS+ASIS+EDXA20100+ENFGR)</f>
        <v>67033.680322561951</v>
      </c>
      <c r="V69" s="354">
        <f>IF($K$10="INCLUIDO",FACTORES!$D60*FACTORES!$AC$9+CDENT+CEE+VIS+ASIS+EDXA20100+(FACTORES!$D60*FACTORES!$AC$9*CTE)+ENFGR,FACTORES!$D60*FACTORES!$AC$9+CDENT+CEE+VIS+ASIS+EDXA20100+ENFGR)</f>
        <v>68986.3454596847</v>
      </c>
      <c r="X69" s="355"/>
      <c r="Y69" s="356"/>
      <c r="Z69" s="356"/>
      <c r="AO69">
        <f t="shared" si="2"/>
        <v>1</v>
      </c>
    </row>
    <row r="70" spans="2:41">
      <c r="B70" s="351">
        <v>58</v>
      </c>
      <c r="C70" s="353">
        <f>(Q70+DER)*(1+COTIZACION!$D$24)</f>
        <v>82485.667831285464</v>
      </c>
      <c r="D70" s="353">
        <f>(R70+DER)*(1+COTIZACION!$D$24)</f>
        <v>84864.013968300962</v>
      </c>
      <c r="F70" s="351">
        <v>58</v>
      </c>
      <c r="G70" s="353">
        <f>U70*(1+COTIZACION!$D$24)</f>
        <v>81499.667831285464</v>
      </c>
      <c r="H70" s="353">
        <f>V70*(1+COTIZACION!$D$24)</f>
        <v>83878.013968300962</v>
      </c>
      <c r="J70" s="355"/>
      <c r="K70" s="356"/>
      <c r="L70" s="356"/>
      <c r="M70" s="356"/>
      <c r="P70" s="351">
        <v>58</v>
      </c>
      <c r="Q70" s="353">
        <f>IF($K$10="INCLUIDO",FACTORES!$C61*FACTORES!$AC$9+CDENT+CEE+VIS+ASIS+EDXA20100+(FACTORES!$C61*FACTORES!$AC$9*CTE)+ENFGR,FACTORES!$C61*FACTORES!$AC$9+CDENT+CEE+VIS+ASIS+EDXA20100+ENFGR)</f>
        <v>70258.334337315056</v>
      </c>
      <c r="R70" s="353">
        <f>IF($K$10="INCLUIDO",FACTORES!$D61*FACTORES!$AC$9+CDENT+CEE+VIS+ASIS+EDXA20100+(FACTORES!$D61*FACTORES!$AC$9*CTE)+ENFGR,FACTORES!$D61*FACTORES!$AC$9+CDENT+CEE+VIS+ASIS+EDXA20100+ENFGR)</f>
        <v>72308.632731293939</v>
      </c>
      <c r="T70" s="351">
        <v>58</v>
      </c>
      <c r="U70" s="353">
        <f>IF($K$10="INCLUIDO",FACTORES!$C61*FACTORES!$AC$9+CDENT+CEE+VIS+ASIS+EDXA20100+(FACTORES!$C61*FACTORES!$AC$9*CTE)+ENFGR,FACTORES!$C61*FACTORES!$AC$9+CDENT+CEE+VIS+ASIS+EDXA20100+ENFGR)</f>
        <v>70258.334337315056</v>
      </c>
      <c r="V70" s="353">
        <f>IF($K$10="INCLUIDO",FACTORES!$D61*FACTORES!$AC$9+CDENT+CEE+VIS+ASIS+EDXA20100+(FACTORES!$D61*FACTORES!$AC$9*CTE)+ENFGR,FACTORES!$D61*FACTORES!$AC$9+CDENT+CEE+VIS+ASIS+EDXA20100+ENFGR)</f>
        <v>72308.632731293939</v>
      </c>
      <c r="X70" s="355"/>
      <c r="Y70" s="356"/>
      <c r="Z70" s="356"/>
      <c r="AO70">
        <f t="shared" si="2"/>
        <v>1</v>
      </c>
    </row>
    <row r="71" spans="2:41">
      <c r="B71" s="352">
        <v>59</v>
      </c>
      <c r="C71" s="354">
        <f>(Q71+DER)*(1+COTIZACION!$D$24)</f>
        <v>87198.822139248572</v>
      </c>
      <c r="D71" s="354">
        <f>(R71+DER)*(1+COTIZACION!$D$24)</f>
        <v>88910.559865121017</v>
      </c>
      <c r="F71" s="352">
        <v>59</v>
      </c>
      <c r="G71" s="354">
        <f>U71*(1+COTIZACION!$D$24)</f>
        <v>86212.822139248572</v>
      </c>
      <c r="H71" s="354">
        <f>V71*(1+COTIZACION!$D$24)</f>
        <v>87924.559865121017</v>
      </c>
      <c r="J71" s="355"/>
      <c r="K71" s="356"/>
      <c r="L71" s="356"/>
      <c r="M71" s="356"/>
      <c r="P71" s="352">
        <v>59</v>
      </c>
      <c r="Q71" s="354">
        <f>IF($K$10="INCLUIDO",FACTORES!$C62*FACTORES!$AC$9+CDENT+CEE+VIS+ASIS+EDXA20100+(FACTORES!$C62*FACTORES!$AC$9*CTE)+ENFGR,FACTORES!$C62*FACTORES!$AC$9+CDENT+CEE+VIS+ASIS+EDXA20100+ENFGR)</f>
        <v>74321.398395903947</v>
      </c>
      <c r="R71" s="354">
        <f>IF($K$10="INCLUIDO",FACTORES!$D62*FACTORES!$AC$9+CDENT+CEE+VIS+ASIS+EDXA20100+(FACTORES!$D62*FACTORES!$AC$9*CTE)+ENFGR,FACTORES!$D62*FACTORES!$AC$9+CDENT+CEE+VIS+ASIS+EDXA20100+ENFGR)</f>
        <v>75797.03436648364</v>
      </c>
      <c r="T71" s="352">
        <v>59</v>
      </c>
      <c r="U71" s="354">
        <f>IF($K$10="INCLUIDO",FACTORES!$C62*FACTORES!$AC$9+CDENT+CEE+VIS+ASIS+EDXA20100+(FACTORES!$C62*FACTORES!$AC$9*CTE)+ENFGR,FACTORES!$C62*FACTORES!$AC$9+CDENT+CEE+VIS+ASIS+EDXA20100+ENFGR)</f>
        <v>74321.398395903947</v>
      </c>
      <c r="V71" s="354">
        <f>IF($K$10="INCLUIDO",FACTORES!$D62*FACTORES!$AC$9+CDENT+CEE+VIS+ASIS+EDXA20100+(FACTORES!$D62*FACTORES!$AC$9*CTE)+ENFGR,FACTORES!$D62*FACTORES!$AC$9+CDENT+CEE+VIS+ASIS+EDXA20100+ENFGR)</f>
        <v>75797.03436648364</v>
      </c>
      <c r="X71" s="355"/>
      <c r="Y71" s="356"/>
      <c r="Z71" s="356"/>
      <c r="AO71">
        <f t="shared" si="2"/>
        <v>1</v>
      </c>
    </row>
    <row r="72" spans="2:41">
      <c r="B72" s="351">
        <v>60</v>
      </c>
      <c r="C72" s="353">
        <f>(Q72+DER)*(1+COTIZACION!$D$24)</f>
        <v>93986.156452058887</v>
      </c>
      <c r="D72" s="353">
        <f>(R72+DER)*(1+COTIZACION!$D$24)</f>
        <v>95572.553173900858</v>
      </c>
      <c r="F72" s="351">
        <v>60</v>
      </c>
      <c r="G72" s="353">
        <f>U72*(1+COTIZACION!$D$24)</f>
        <v>93000.156452058887</v>
      </c>
      <c r="H72" s="353">
        <f>V72*(1+COTIZACION!$D$24)</f>
        <v>94586.553173900858</v>
      </c>
      <c r="J72" s="355"/>
      <c r="K72" s="356"/>
      <c r="L72" s="356"/>
      <c r="M72" s="356"/>
      <c r="P72" s="351">
        <v>60</v>
      </c>
      <c r="Q72" s="353">
        <f>IF($K$10="INCLUIDO",FACTORES!$C63*FACTORES!$AC$9+CDENT+CEE+VIS+ASIS+EDXA20100+(FACTORES!$C63*FACTORES!$AC$9*CTE),FACTORES!$C63*FACTORES!$AC$9+CDENT+CEE+VIS+ASIS+EDXA20100)</f>
        <v>80172.548665568014</v>
      </c>
      <c r="R72" s="353">
        <f>IF($K$10="INCLUIDO",FACTORES!$D63*FACTORES!$AC$9+CDENT+CEE+VIS+ASIS+EDXA20100+(FACTORES!$D63*FACTORES!$AC$9*CTE),FACTORES!$D63*FACTORES!$AC$9+CDENT+CEE+VIS+ASIS+EDXA20100)</f>
        <v>81540.132046466257</v>
      </c>
      <c r="T72" s="351">
        <v>60</v>
      </c>
      <c r="U72" s="353">
        <f>IF($K$10="INCLUIDO",FACTORES!$C63*FACTORES!$AC$9+CDENT+CEE+VIS+ASIS+EDXA20100+(FACTORES!$C63*FACTORES!$AC$9*CTE),FACTORES!$C63*FACTORES!$AC$9+CDENT+CEE+VIS+ASIS+EDXA20100)</f>
        <v>80172.548665568014</v>
      </c>
      <c r="V72" s="353">
        <f>IF($K$10="INCLUIDO",FACTORES!$D63*FACTORES!$AC$9+CDENT+CEE+VIS+ASIS+EDXA20100+(FACTORES!$D63*FACTORES!$AC$9*CTE),FACTORES!$D63*FACTORES!$AC$9+CDENT+CEE+VIS+ASIS+EDXA20100)</f>
        <v>81540.132046466257</v>
      </c>
      <c r="X72" s="355"/>
      <c r="Y72" s="356"/>
      <c r="Z72" s="356"/>
      <c r="AO72">
        <f t="shared" si="2"/>
        <v>1</v>
      </c>
    </row>
    <row r="73" spans="2:41">
      <c r="B73" s="352">
        <v>61</v>
      </c>
      <c r="C73" s="354">
        <f>(Q73+DER)*(1+COTIZACION!$D$24)</f>
        <v>99389.34007726844</v>
      </c>
      <c r="D73" s="354">
        <f>(R73+DER)*(1+COTIZACION!$D$24)</f>
        <v>102445.5124595509</v>
      </c>
      <c r="F73" s="352">
        <v>61</v>
      </c>
      <c r="G73" s="354">
        <f>U73*(1+COTIZACION!$D$24)</f>
        <v>98403.34007726844</v>
      </c>
      <c r="H73" s="354">
        <f>V73*(1+COTIZACION!$D$24)</f>
        <v>101459.5124595509</v>
      </c>
      <c r="J73" s="355"/>
      <c r="K73" s="356"/>
      <c r="L73" s="356"/>
      <c r="M73" s="356"/>
      <c r="P73" s="352">
        <v>61</v>
      </c>
      <c r="Q73" s="354">
        <f>IF($K$10="INCLUIDO",FACTORES!$C64*FACTORES!$AC$9+CDENT+CEE+VIS+ASIS+EDXA20100+(FACTORES!$C64*FACTORES!$AC$9*CTE),FACTORES!$C64*FACTORES!$AC$9+CDENT+CEE+VIS+ASIS+EDXA20100)</f>
        <v>84830.465583852114</v>
      </c>
      <c r="R73" s="354">
        <f>IF($K$10="INCLUIDO",FACTORES!$D64*FACTORES!$AC$9+CDENT+CEE+VIS+ASIS+EDXA20100+(FACTORES!$D64*FACTORES!$AC$9*CTE),FACTORES!$D64*FACTORES!$AC$9+CDENT+CEE+VIS+ASIS+EDXA20100)</f>
        <v>87465.096947888713</v>
      </c>
      <c r="T73" s="352">
        <v>61</v>
      </c>
      <c r="U73" s="354">
        <f>IF($K$10="INCLUIDO",FACTORES!$C64*FACTORES!$AC$9+CDENT+CEE+VIS+ASIS+EDXA20100+(FACTORES!$C64*FACTORES!$AC$9*CTE),FACTORES!$C64*FACTORES!$AC$9+CDENT+CEE+VIS+ASIS+EDXA20100)</f>
        <v>84830.465583852114</v>
      </c>
      <c r="V73" s="354">
        <f>IF($K$10="INCLUIDO",FACTORES!$D64*FACTORES!$AC$9+CDENT+CEE+VIS+ASIS+EDXA20100+(FACTORES!$D64*FACTORES!$AC$9*CTE),FACTORES!$D64*FACTORES!$AC$9+CDENT+CEE+VIS+ASIS+EDXA20100)</f>
        <v>87465.096947888713</v>
      </c>
      <c r="X73" s="355"/>
      <c r="Y73" s="356"/>
      <c r="Z73" s="356"/>
      <c r="AO73">
        <f t="shared" si="2"/>
        <v>1</v>
      </c>
    </row>
    <row r="74" spans="2:41">
      <c r="B74" s="351">
        <v>62</v>
      </c>
      <c r="C74" s="353">
        <f>(Q74+DER)*(1+COTIZACION!$D$24)</f>
        <v>105116.71471999054</v>
      </c>
      <c r="D74" s="353">
        <f>(R74+DER)*(1+COTIZACION!$D$24)</f>
        <v>109833.94369162472</v>
      </c>
      <c r="F74" s="351">
        <v>62</v>
      </c>
      <c r="G74" s="353">
        <f>U74*(1+COTIZACION!$D$24)</f>
        <v>104130.71471999054</v>
      </c>
      <c r="H74" s="353">
        <f>V74*(1+COTIZACION!$D$24)</f>
        <v>108847.94369162472</v>
      </c>
      <c r="J74" s="355"/>
      <c r="K74" s="356"/>
      <c r="L74" s="356"/>
      <c r="M74" s="356"/>
      <c r="P74" s="351">
        <v>62</v>
      </c>
      <c r="Q74" s="353">
        <f>IF($K$10="INCLUIDO",FACTORES!$C65*FACTORES!$AC$9+CDENT+CEE+VIS+ASIS+EDXA20100+(FACTORES!$C65*FACTORES!$AC$9*CTE),FACTORES!$C65*FACTORES!$AC$9+CDENT+CEE+VIS+ASIS+EDXA20100)</f>
        <v>89767.857517233235</v>
      </c>
      <c r="R74" s="353">
        <f>IF($K$10="INCLUIDO",FACTORES!$D65*FACTORES!$AC$9+CDENT+CEE+VIS+ASIS+EDXA20100+(FACTORES!$D65*FACTORES!$AC$9*CTE),FACTORES!$D65*FACTORES!$AC$9+CDENT+CEE+VIS+ASIS+EDXA20100)</f>
        <v>93834.434216917871</v>
      </c>
      <c r="T74" s="351">
        <v>62</v>
      </c>
      <c r="U74" s="353">
        <f>IF($K$10="INCLUIDO",FACTORES!$C65*FACTORES!$AC$9+CDENT+CEE+VIS+ASIS+EDXA20100+(FACTORES!$C65*FACTORES!$AC$9*CTE),FACTORES!$C65*FACTORES!$AC$9+CDENT+CEE+VIS+ASIS+EDXA20100)</f>
        <v>89767.857517233235</v>
      </c>
      <c r="V74" s="353">
        <f>IF($K$10="INCLUIDO",FACTORES!$D65*FACTORES!$AC$9+CDENT+CEE+VIS+ASIS+EDXA20100+(FACTORES!$D65*FACTORES!$AC$9*CTE),FACTORES!$D65*FACTORES!$AC$9+CDENT+CEE+VIS+ASIS+EDXA20100)</f>
        <v>93834.434216917871</v>
      </c>
      <c r="X74" s="355"/>
      <c r="Y74" s="356"/>
      <c r="Z74" s="356"/>
      <c r="AO74">
        <f t="shared" si="2"/>
        <v>1</v>
      </c>
    </row>
    <row r="75" spans="2:41">
      <c r="B75" s="352">
        <v>63</v>
      </c>
      <c r="C75" s="354">
        <f>(Q75+DER)*(1+COTIZACION!$D$24)</f>
        <v>111187.73184127599</v>
      </c>
      <c r="D75" s="354">
        <f>(R75+DER)*(1+COTIZACION!$D$24)</f>
        <v>117776.50726610408</v>
      </c>
      <c r="F75" s="352">
        <v>63</v>
      </c>
      <c r="G75" s="354">
        <f>U75*(1+COTIZACION!$D$24)</f>
        <v>110201.73184127599</v>
      </c>
      <c r="H75" s="354">
        <f>V75*(1+COTIZACION!$D$24)</f>
        <v>116790.50726610408</v>
      </c>
      <c r="J75" s="355"/>
      <c r="K75" s="356"/>
      <c r="L75" s="356"/>
      <c r="M75" s="356"/>
      <c r="P75" s="352">
        <v>63</v>
      </c>
      <c r="Q75" s="354">
        <f>IF($K$10="INCLUIDO",FACTORES!$C66*FACTORES!$AC$9+CDENT+CEE+VIS+ASIS+EDXA20100+(FACTORES!$C66*FACTORES!$AC$9*CTE),FACTORES!$C66*FACTORES!$AC$9+CDENT+CEE+VIS+ASIS+EDXA20100)</f>
        <v>95001.492966617239</v>
      </c>
      <c r="R75" s="354">
        <f>IF($K$10="INCLUIDO",FACTORES!$D66*FACTORES!$AC$9+CDENT+CEE+VIS+ASIS+EDXA20100+(FACTORES!$D66*FACTORES!$AC$9*CTE),FACTORES!$D66*FACTORES!$AC$9+CDENT+CEE+VIS+ASIS+EDXA20100)</f>
        <v>100681.47178112422</v>
      </c>
      <c r="T75" s="352">
        <v>63</v>
      </c>
      <c r="U75" s="354">
        <f>IF($K$10="INCLUIDO",FACTORES!$C66*FACTORES!$AC$9+CDENT+CEE+VIS+ASIS+EDXA20100+(FACTORES!$C66*FACTORES!$AC$9*CTE),FACTORES!$C66*FACTORES!$AC$9+CDENT+CEE+VIS+ASIS+EDXA20100)</f>
        <v>95001.492966617239</v>
      </c>
      <c r="V75" s="354">
        <f>IF($K$10="INCLUIDO",FACTORES!$D66*FACTORES!$AC$9+CDENT+CEE+VIS+ASIS+EDXA20100+(FACTORES!$D66*FACTORES!$AC$9*CTE),FACTORES!$D66*FACTORES!$AC$9+CDENT+CEE+VIS+ASIS+EDXA20100)</f>
        <v>100681.47178112422</v>
      </c>
      <c r="X75" s="355"/>
      <c r="Y75" s="356"/>
      <c r="Z75" s="356"/>
      <c r="AO75">
        <f t="shared" si="2"/>
        <v>1</v>
      </c>
    </row>
    <row r="76" spans="2:41">
      <c r="B76" s="351">
        <v>64</v>
      </c>
      <c r="C76" s="353">
        <f>(Q76+DER)*(1+COTIZACION!$D$24)</f>
        <v>117623.00998983857</v>
      </c>
      <c r="D76" s="353">
        <f>(R76+DER)*(1+COTIZACION!$D$24)</f>
        <v>126314.76310866939</v>
      </c>
      <c r="F76" s="351">
        <v>64</v>
      </c>
      <c r="G76" s="353">
        <f>U76*(1+COTIZACION!$D$24)</f>
        <v>116637.00998983857</v>
      </c>
      <c r="H76" s="353">
        <f>V76*(1+COTIZACION!$D$24)</f>
        <v>125328.76310866939</v>
      </c>
      <c r="J76" s="355"/>
      <c r="K76" s="356"/>
      <c r="L76" s="356"/>
      <c r="M76" s="356"/>
      <c r="P76" s="351">
        <v>64</v>
      </c>
      <c r="Q76" s="353">
        <f>IF($K$10="INCLUIDO",FACTORES!$C67*FACTORES!$AC$9+CDENT+CEE+VIS+ASIS+EDXA20100+(FACTORES!$C67*FACTORES!$AC$9*CTE),FACTORES!$C67*FACTORES!$AC$9+CDENT+CEE+VIS+ASIS+EDXA20100)</f>
        <v>100549.14654296428</v>
      </c>
      <c r="R76" s="353">
        <f>IF($K$10="INCLUIDO",FACTORES!$D67*FACTORES!$AC$9+CDENT+CEE+VIS+ASIS+EDXA20100+(FACTORES!$D67*FACTORES!$AC$9*CTE),FACTORES!$D67*FACTORES!$AC$9+CDENT+CEE+VIS+ASIS+EDXA20100)</f>
        <v>108042.03716264603</v>
      </c>
      <c r="T76" s="351">
        <v>64</v>
      </c>
      <c r="U76" s="353">
        <f>IF($K$10="INCLUIDO",FACTORES!$C67*FACTORES!$AC$9+CDENT+CEE+VIS+ASIS+EDXA20100+(FACTORES!$C67*FACTORES!$AC$9*CTE),FACTORES!$C67*FACTORES!$AC$9+CDENT+CEE+VIS+ASIS+EDXA20100)</f>
        <v>100549.14654296428</v>
      </c>
      <c r="V76" s="353">
        <f>IF($K$10="INCLUIDO",FACTORES!$D67*FACTORES!$AC$9+CDENT+CEE+VIS+ASIS+EDXA20100+(FACTORES!$D67*FACTORES!$AC$9*CTE),FACTORES!$D67*FACTORES!$AC$9+CDENT+CEE+VIS+ASIS+EDXA20100)</f>
        <v>108042.03716264603</v>
      </c>
      <c r="X76" s="355"/>
      <c r="Y76" s="356"/>
      <c r="Z76" s="356"/>
      <c r="AO76">
        <f t="shared" si="2"/>
        <v>1</v>
      </c>
    </row>
    <row r="77" spans="2:41">
      <c r="B77" s="351">
        <v>65</v>
      </c>
      <c r="C77" s="353">
        <f>(Q77+DER)*(1+COTIZACION!$D$24)</f>
        <v>124444.40482731489</v>
      </c>
      <c r="D77" s="353">
        <f>(R77+DER)*(1+COTIZACION!$D$24)</f>
        <v>135493.38813942709</v>
      </c>
      <c r="F77" s="351">
        <v>65</v>
      </c>
      <c r="G77" s="353">
        <f>U77*(1+COTIZACION!$D$24)</f>
        <v>123458.40482731489</v>
      </c>
      <c r="H77" s="353">
        <f>V77*(1+COTIZACION!$D$24)</f>
        <v>134507.38813942709</v>
      </c>
      <c r="J77" s="355"/>
      <c r="K77" s="356"/>
      <c r="L77" s="356"/>
      <c r="M77" s="356"/>
      <c r="P77" s="351">
        <v>65</v>
      </c>
      <c r="Q77" s="353">
        <f>IF($K$10="INCLUIDO",FACTORES!$C68*FACTORES!$AC$9+CDENT+CEE+VIS+ASIS+EDXA20100+(FACTORES!$C68*FACTORES!$AC$9*CTE),FACTORES!$C68*FACTORES!$AC$9+CDENT+CEE+VIS+ASIS+EDXA20100)</f>
        <v>106429.65933389215</v>
      </c>
      <c r="R77" s="353">
        <f>IF($K$10="INCLUIDO",FACTORES!$D68*FACTORES!$AC$9+CDENT+CEE+VIS+ASIS+EDXA20100+(FACTORES!$D68*FACTORES!$AC$9*CTE),FACTORES!$D68*FACTORES!$AC$9+CDENT+CEE+VIS+ASIS+EDXA20100)</f>
        <v>115954.64494778197</v>
      </c>
      <c r="T77" s="351">
        <v>65</v>
      </c>
      <c r="U77" s="353">
        <f>IF($K$10="INCLUIDO",FACTORES!$C68*FACTORES!$AC$9+CDENT+CEE+VIS+ASIS+EDXA20100+(FACTORES!$C68*FACTORES!$AC$9*CTE),FACTORES!$C68*FACTORES!$AC$9+CDENT+CEE+VIS+ASIS+EDXA20100)</f>
        <v>106429.65933389215</v>
      </c>
      <c r="V77" s="353">
        <f>IF($K$10="INCLUIDO",FACTORES!$D68*FACTORES!$AC$9+CDENT+CEE+VIS+ASIS+EDXA20100+(FACTORES!$D68*FACTORES!$AC$9*CTE),FACTORES!$D68*FACTORES!$AC$9+CDENT+CEE+VIS+ASIS+EDXA20100)</f>
        <v>115954.64494778197</v>
      </c>
    </row>
    <row r="78" spans="2:41" hidden="1">
      <c r="B78" s="352">
        <v>66</v>
      </c>
      <c r="C78" s="354">
        <f>(Q78+DER)*(1+COTIZACION!$D$24)</f>
        <v>131675.08335503979</v>
      </c>
      <c r="D78" s="354">
        <f>(R78+DER)*(1+COTIZACION!$D$24)</f>
        <v>143387.00566587871</v>
      </c>
      <c r="F78" s="352">
        <v>66</v>
      </c>
      <c r="G78" s="354">
        <f>U78*(1+COTIZACION!$D$24)</f>
        <v>130689.08335503979</v>
      </c>
      <c r="H78" s="354">
        <f>V78*(1+COTIZACION!$D$24)</f>
        <v>142401.00566587871</v>
      </c>
      <c r="J78" s="355"/>
      <c r="K78" s="356"/>
      <c r="L78" s="356"/>
      <c r="M78" s="356"/>
      <c r="P78" s="352">
        <v>66</v>
      </c>
      <c r="Q78" s="354">
        <f>IF($K$10="INCLUIDO",FACTORES!$C69*FACTORES!$AC$9+CDENT+CEE+VIS+ASIS+EDXA20100+(FACTORES!$C69*FACTORES!$AC$9*CTE),FACTORES!$C69*FACTORES!$AC$9+CDENT+CEE+VIS+ASIS+EDXA20100)</f>
        <v>112663.00289227569</v>
      </c>
      <c r="R78" s="354">
        <f>IF($K$10="INCLUIDO",FACTORES!$D69*FACTORES!$AC$9+CDENT+CEE+VIS+ASIS+EDXA20100+(FACTORES!$D69*FACTORES!$AC$9*CTE),FACTORES!$D69*FACTORES!$AC$9+CDENT+CEE+VIS+ASIS+EDXA20100)</f>
        <v>122759.48764299889</v>
      </c>
      <c r="T78" s="352">
        <v>66</v>
      </c>
      <c r="U78" s="354">
        <f>IF($K$10="INCLUIDO",FACTORES!$C69*FACTORES!$AC$9+CDENT+CEE+VIS+ASIS+EDXA20100+(FACTORES!$C69*FACTORES!$AC$9*CTE),FACTORES!$C69*FACTORES!$AC$9+CDENT+CEE+VIS+ASIS+EDXA20100)</f>
        <v>112663.00289227569</v>
      </c>
      <c r="V78" s="354">
        <f>IF($K$10="INCLUIDO",FACTORES!$D69*FACTORES!$AC$9+CDENT+CEE+VIS+ASIS+EDXA20100+(FACTORES!$D69*FACTORES!$AC$9*CTE),FACTORES!$D69*FACTORES!$AC$9+CDENT+CEE+VIS+ASIS+EDXA20100)</f>
        <v>122759.48764299889</v>
      </c>
    </row>
    <row r="79" spans="2:41" hidden="1">
      <c r="B79" s="351">
        <v>67</v>
      </c>
      <c r="C79" s="353">
        <f>(Q79+DER)*(1+COTIZACION!$D$24)</f>
        <v>139339.6025944282</v>
      </c>
      <c r="D79" s="353">
        <f>(R79+DER)*(1+COTIZACION!$D$24)</f>
        <v>151754.24024391745</v>
      </c>
      <c r="F79" s="351">
        <v>67</v>
      </c>
      <c r="G79" s="353">
        <f>U79*(1+COTIZACION!$D$24)</f>
        <v>138353.6025944282</v>
      </c>
      <c r="H79" s="353">
        <f>V79*(1+COTIZACION!$D$24)</f>
        <v>150768.24024391745</v>
      </c>
      <c r="J79" s="355"/>
      <c r="K79" s="356"/>
      <c r="L79" s="356"/>
      <c r="M79" s="356"/>
      <c r="P79" s="351">
        <v>67</v>
      </c>
      <c r="Q79" s="353">
        <f>IF($K$10="INCLUIDO",FACTORES!$C70*FACTORES!$AC$9+CDENT+CEE+VIS+ASIS+EDXA20100+(FACTORES!$C70*FACTORES!$AC$9*CTE),FACTORES!$C70*FACTORES!$AC$9+CDENT+CEE+VIS+ASIS+EDXA20100)</f>
        <v>119270.34706416224</v>
      </c>
      <c r="R79" s="353">
        <f>IF($K$10="INCLUIDO",FACTORES!$D70*FACTORES!$AC$9+CDENT+CEE+VIS+ASIS+EDXA20100+(FACTORES!$D70*FACTORES!$AC$9*CTE),FACTORES!$D70*FACTORES!$AC$9+CDENT+CEE+VIS+ASIS+EDXA20100)</f>
        <v>129972.62089992884</v>
      </c>
      <c r="T79" s="351">
        <v>67</v>
      </c>
      <c r="U79" s="353">
        <f>IF($K$10="INCLUIDO",FACTORES!$C70*FACTORES!$AC$9+CDENT+CEE+VIS+ASIS+EDXA20100+(FACTORES!$C70*FACTORES!$AC$9*CTE),FACTORES!$C70*FACTORES!$AC$9+CDENT+CEE+VIS+ASIS+EDXA20100)</f>
        <v>119270.34706416224</v>
      </c>
      <c r="V79" s="353">
        <f>IF($K$10="INCLUIDO",FACTORES!$D70*FACTORES!$AC$9+CDENT+CEE+VIS+ASIS+EDXA20100+(FACTORES!$D70*FACTORES!$AC$9*CTE),FACTORES!$D70*FACTORES!$AC$9+CDENT+CEE+VIS+ASIS+EDXA20100)</f>
        <v>129972.62089992884</v>
      </c>
    </row>
    <row r="80" spans="2:41" hidden="1">
      <c r="B80" s="351">
        <v>68</v>
      </c>
      <c r="C80" s="353">
        <f>(Q80+DER)*(1+COTIZACION!$D$24)</f>
        <v>147463.99298817987</v>
      </c>
      <c r="D80" s="353">
        <f>(R80+DER)*(1+COTIZACION!$D$24)</f>
        <v>160623.50889663849</v>
      </c>
      <c r="F80" s="351">
        <v>68</v>
      </c>
      <c r="G80" s="353">
        <f>U80*(1+COTIZACION!$D$24)</f>
        <v>146477.99298817987</v>
      </c>
      <c r="H80" s="353">
        <f>V80*(1+COTIZACION!$D$24)</f>
        <v>159637.50889663849</v>
      </c>
      <c r="J80" s="355"/>
      <c r="K80" s="356"/>
      <c r="L80" s="356"/>
      <c r="M80" s="356"/>
      <c r="P80" s="351">
        <v>68</v>
      </c>
      <c r="Q80" s="353">
        <f>IF($K$10="INCLUIDO",FACTORES!$C71*FACTORES!$AC$9+CDENT+CEE+VIS+ASIS+EDXA20100+(FACTORES!$C71*FACTORES!$AC$9*CTE),FACTORES!$C71*FACTORES!$AC$9+CDENT+CEE+VIS+ASIS+EDXA20100)</f>
        <v>126274.13188636197</v>
      </c>
      <c r="R80" s="353">
        <f>IF($K$10="INCLUIDO",FACTORES!$D71*FACTORES!$AC$9+CDENT+CEE+VIS+ASIS+EDXA20100+(FACTORES!$D71*FACTORES!$AC$9*CTE),FACTORES!$D71*FACTORES!$AC$9+CDENT+CEE+VIS+ASIS+EDXA20100)</f>
        <v>137618.54215227457</v>
      </c>
      <c r="T80" s="351">
        <v>68</v>
      </c>
      <c r="U80" s="353">
        <f>IF($K$10="INCLUIDO",FACTORES!$C71*FACTORES!$AC$9+CDENT+CEE+VIS+ASIS+EDXA20100+(FACTORES!$C71*FACTORES!$AC$9*CTE),FACTORES!$C71*FACTORES!$AC$9+CDENT+CEE+VIS+ASIS+EDXA20100)</f>
        <v>126274.13188636197</v>
      </c>
      <c r="V80" s="353">
        <f>IF($K$10="INCLUIDO",FACTORES!$D71*FACTORES!$AC$9+CDENT+CEE+VIS+ASIS+EDXA20100+(FACTORES!$D71*FACTORES!$AC$9*CTE),FACTORES!$D71*FACTORES!$AC$9+CDENT+CEE+VIS+ASIS+EDXA20100)</f>
        <v>137618.54215227457</v>
      </c>
    </row>
    <row r="81" spans="2:22" hidden="1">
      <c r="B81" s="352">
        <v>69</v>
      </c>
      <c r="C81" s="354">
        <f>(Q81+DER)*(1+COTIZACION!$D$24)</f>
        <v>156075.84680555668</v>
      </c>
      <c r="D81" s="354">
        <f>(R81+DER)*(1+COTIZACION!$D$24)</f>
        <v>170024.93366852283</v>
      </c>
      <c r="F81" s="352">
        <v>69</v>
      </c>
      <c r="G81" s="354">
        <f>U81*(1+COTIZACION!$D$24)</f>
        <v>155089.84680555668</v>
      </c>
      <c r="H81" s="354">
        <f>V81*(1+COTIZACION!$D$24)</f>
        <v>169038.93366852283</v>
      </c>
      <c r="J81" s="355"/>
      <c r="K81" s="356"/>
      <c r="L81" s="356"/>
      <c r="M81" s="356"/>
      <c r="P81" s="352">
        <v>69</v>
      </c>
      <c r="Q81" s="354">
        <f>IF($K$10="INCLUIDO",FACTORES!$C72*FACTORES!$AC$9+CDENT+CEE+VIS+ASIS+EDXA20100+(FACTORES!$C72*FACTORES!$AC$9*CTE),FACTORES!$C72*FACTORES!$AC$9+CDENT+CEE+VIS+ASIS+EDXA20100)</f>
        <v>133698.14379789369</v>
      </c>
      <c r="R81" s="354">
        <f>IF($K$10="INCLUIDO",FACTORES!$D72*FACTORES!$AC$9+CDENT+CEE+VIS+ASIS+EDXA20100+(FACTORES!$D72*FACTORES!$AC$9*CTE),FACTORES!$D72*FACTORES!$AC$9+CDENT+CEE+VIS+ASIS+EDXA20100)</f>
        <v>145723.21867976108</v>
      </c>
      <c r="T81" s="352">
        <v>69</v>
      </c>
      <c r="U81" s="354">
        <f>IF($K$10="INCLUIDO",FACTORES!$C72*FACTORES!$AC$9+CDENT+CEE+VIS+ASIS+EDXA20100+(FACTORES!$C72*FACTORES!$AC$9*CTE),FACTORES!$C72*FACTORES!$AC$9+CDENT+CEE+VIS+ASIS+EDXA20100)</f>
        <v>133698.14379789369</v>
      </c>
      <c r="V81" s="354">
        <f>IF($K$10="INCLUIDO",FACTORES!$D72*FACTORES!$AC$9+CDENT+CEE+VIS+ASIS+EDXA20100+(FACTORES!$D72*FACTORES!$AC$9*CTE),FACTORES!$D72*FACTORES!$AC$9+CDENT+CEE+VIS+ASIS+EDXA20100)</f>
        <v>145723.21867976108</v>
      </c>
    </row>
    <row r="82" spans="2:22" hidden="1">
      <c r="B82" s="351">
        <v>70</v>
      </c>
      <c r="C82" s="353">
        <f>(Q82+DER)*(1+COTIZACION!$D$24)</f>
        <v>165204.41185197607</v>
      </c>
      <c r="D82" s="353">
        <f>(R82+DER)*(1+COTIZACION!$D$24)</f>
        <v>179990.44392672018</v>
      </c>
      <c r="F82" s="351">
        <v>70</v>
      </c>
      <c r="G82" s="353">
        <f>U82*(1+COTIZACION!$D$24)</f>
        <v>164218.41185197607</v>
      </c>
      <c r="H82" s="353">
        <f>V82*(1+COTIZACION!$D$24)</f>
        <v>179004.44392672018</v>
      </c>
      <c r="J82" s="355"/>
      <c r="K82" s="356"/>
      <c r="L82" s="356"/>
      <c r="M82" s="356"/>
      <c r="P82" s="351">
        <v>70</v>
      </c>
      <c r="Q82" s="353">
        <f>IF($K$10="INCLUIDO",FACTORES!$C73*FACTORES!$AC$9+CDENT+CEE+VIS+ASIS+EDXA20100+(FACTORES!$C73*FACTORES!$AC$9*CTE),FACTORES!$C73*FACTORES!$AC$9+CDENT+CEE+VIS+ASIS+EDXA20100)</f>
        <v>141567.59642411731</v>
      </c>
      <c r="R82" s="353">
        <f>IF($K$10="INCLUIDO",FACTORES!$D73*FACTORES!$AC$9+CDENT+CEE+VIS+ASIS+EDXA20100+(FACTORES!$D73*FACTORES!$AC$9*CTE),FACTORES!$D73*FACTORES!$AC$9+CDENT+CEE+VIS+ASIS+EDXA20100)</f>
        <v>154314.17579889673</v>
      </c>
      <c r="T82" s="351">
        <v>70</v>
      </c>
      <c r="U82" s="353">
        <f>IF($K$10="INCLUIDO",FACTORES!$C73*FACTORES!$AC$9+CDENT+CEE+VIS+ASIS+EDXA20100+(FACTORES!$C73*FACTORES!$AC$9*CTE),FACTORES!$C73*FACTORES!$AC$9+CDENT+CEE+VIS+ASIS+EDXA20100)</f>
        <v>141567.59642411731</v>
      </c>
      <c r="V82" s="353">
        <f>IF($K$10="INCLUIDO",FACTORES!$D73*FACTORES!$AC$9+CDENT+CEE+VIS+ASIS+EDXA20100+(FACTORES!$D73*FACTORES!$AC$9*CTE),FACTORES!$D73*FACTORES!$AC$9+CDENT+CEE+VIS+ASIS+EDXA20100)</f>
        <v>154314.17579889673</v>
      </c>
    </row>
    <row r="83" spans="2:22" hidden="1">
      <c r="B83" s="351">
        <v>71</v>
      </c>
      <c r="C83" s="353">
        <f>(Q83+DER)*(1+COTIZACION!$D$24)</f>
        <v>174880.69080118064</v>
      </c>
      <c r="D83" s="353">
        <f>(R83+DER)*(1+COTIZACION!$D$24)</f>
        <v>190553.8848004094</v>
      </c>
      <c r="F83" s="351">
        <v>71</v>
      </c>
      <c r="G83" s="353">
        <f>U83*(1+COTIZACION!$D$24)</f>
        <v>173894.69080118064</v>
      </c>
      <c r="H83" s="353">
        <f>V83*(1+COTIZACION!$D$24)</f>
        <v>189567.8848004094</v>
      </c>
      <c r="J83" s="355"/>
      <c r="K83" s="356"/>
      <c r="L83" s="356"/>
      <c r="M83" s="356"/>
      <c r="P83" s="351">
        <v>71</v>
      </c>
      <c r="Q83" s="353">
        <f>IF($K$10="INCLUIDO",FACTORES!$C74*FACTORES!$AC$9+CDENT+CEE+VIS+ASIS+EDXA20100+(FACTORES!$C74*FACTORES!$AC$9*CTE),FACTORES!$C74*FACTORES!$AC$9+CDENT+CEE+VIS+ASIS+EDXA20100)</f>
        <v>149909.21620791435</v>
      </c>
      <c r="R83" s="353">
        <f>IF($K$10="INCLUIDO",FACTORES!$D74*FACTORES!$AC$9+CDENT+CEE+VIS+ASIS+EDXA20100+(FACTORES!$D74*FACTORES!$AC$9*CTE),FACTORES!$D74*FACTORES!$AC$9+CDENT+CEE+VIS+ASIS+EDXA20100)</f>
        <v>163420.59034518054</v>
      </c>
      <c r="T83" s="351">
        <v>71</v>
      </c>
      <c r="U83" s="353">
        <f>IF($K$10="INCLUIDO",FACTORES!$C74*FACTORES!$AC$9+CDENT+CEE+VIS+ASIS+EDXA20100+(FACTORES!$C74*FACTORES!$AC$9*CTE),FACTORES!$C74*FACTORES!$AC$9+CDENT+CEE+VIS+ASIS+EDXA20100)</f>
        <v>149909.21620791435</v>
      </c>
      <c r="V83" s="353">
        <f>IF($K$10="INCLUIDO",FACTORES!$D74*FACTORES!$AC$9+CDENT+CEE+VIS+ASIS+EDXA20100+(FACTORES!$D74*FACTORES!$AC$9*CTE),FACTORES!$D74*FACTORES!$AC$9+CDENT+CEE+VIS+ASIS+EDXA20100)</f>
        <v>163420.59034518054</v>
      </c>
    </row>
    <row r="84" spans="2:22" hidden="1">
      <c r="B84" s="352">
        <v>72</v>
      </c>
      <c r="C84" s="354">
        <f>(Q84+DER)*(1+COTIZACION!$D$24)</f>
        <v>185137.5464873375</v>
      </c>
      <c r="D84" s="354">
        <f>(R84+DER)*(1+COTIZACION!$D$24)</f>
        <v>201751.13212651995</v>
      </c>
      <c r="F84" s="352">
        <v>72</v>
      </c>
      <c r="G84" s="354">
        <f>U84*(1+COTIZACION!$D$24)</f>
        <v>184151.5464873375</v>
      </c>
      <c r="H84" s="354">
        <f>V84*(1+COTIZACION!$D$24)</f>
        <v>200765.13212651995</v>
      </c>
      <c r="J84" s="355"/>
      <c r="K84" s="356"/>
      <c r="L84" s="356"/>
      <c r="M84" s="356"/>
      <c r="P84" s="352">
        <v>72</v>
      </c>
      <c r="Q84" s="354">
        <f>IF($K$10="INCLUIDO",FACTORES!$C75*FACTORES!$AC$9+CDENT+CEE+VIS+ASIS+EDXA20100+(FACTORES!$C75*FACTORES!$AC$9*CTE),FACTORES!$C75*FACTORES!$AC$9+CDENT+CEE+VIS+ASIS+EDXA20100)</f>
        <v>158751.33317873924</v>
      </c>
      <c r="R84" s="354">
        <f>IF($K$10="INCLUIDO",FACTORES!$D75*FACTORES!$AC$9+CDENT+CEE+VIS+ASIS+EDXA20100+(FACTORES!$D75*FACTORES!$AC$9*CTE),FACTORES!$D75*FACTORES!$AC$9+CDENT+CEE+VIS+ASIS+EDXA20100)</f>
        <v>173073.38976424135</v>
      </c>
      <c r="T84" s="352">
        <v>72</v>
      </c>
      <c r="U84" s="354">
        <f>IF($K$10="INCLUIDO",FACTORES!$C75*FACTORES!$AC$9+CDENT+CEE+VIS+ASIS+EDXA20100+(FACTORES!$C75*FACTORES!$AC$9*CTE),FACTORES!$C75*FACTORES!$AC$9+CDENT+CEE+VIS+ASIS+EDXA20100)</f>
        <v>158751.33317873924</v>
      </c>
      <c r="V84" s="354">
        <f>IF($K$10="INCLUIDO",FACTORES!$D75*FACTORES!$AC$9+CDENT+CEE+VIS+ASIS+EDXA20100+(FACTORES!$D75*FACTORES!$AC$9*CTE),FACTORES!$D75*FACTORES!$AC$9+CDENT+CEE+VIS+ASIS+EDXA20100)</f>
        <v>173073.38976424135</v>
      </c>
    </row>
    <row r="85" spans="2:22" hidden="1">
      <c r="B85" s="351">
        <v>73</v>
      </c>
      <c r="C85" s="353">
        <f>(Q85+DER)*(1+COTIZACION!$D$24)</f>
        <v>196009.81351466375</v>
      </c>
      <c r="D85" s="353">
        <f>(R85+DER)*(1+COTIZACION!$D$24)</f>
        <v>213620.21429219714</v>
      </c>
      <c r="F85" s="351">
        <v>73</v>
      </c>
      <c r="G85" s="353">
        <f>U85*(1+COTIZACION!$D$24)</f>
        <v>195023.81351466375</v>
      </c>
      <c r="H85" s="353">
        <f>V85*(1+COTIZACION!$D$24)</f>
        <v>212634.21429219714</v>
      </c>
      <c r="J85" s="355"/>
      <c r="K85" s="356"/>
      <c r="L85" s="356"/>
      <c r="M85" s="356"/>
      <c r="P85" s="351">
        <v>73</v>
      </c>
      <c r="Q85" s="353">
        <f>IF($K$10="INCLUIDO",FACTORES!$C76*FACTORES!$AC$9+CDENT+CEE+VIS+ASIS+EDXA20100+(FACTORES!$C76*FACTORES!$AC$9*CTE),FACTORES!$C76*FACTORES!$AC$9+CDENT+CEE+VIS+ASIS+EDXA20100)</f>
        <v>168123.9771678136</v>
      </c>
      <c r="R85" s="353">
        <f>IF($K$10="INCLUIDO",FACTORES!$D76*FACTORES!$AC$9+CDENT+CEE+VIS+ASIS+EDXA20100+(FACTORES!$D76*FACTORES!$AC$9*CTE),FACTORES!$D76*FACTORES!$AC$9+CDENT+CEE+VIS+ASIS+EDXA20100)</f>
        <v>183305.35714844582</v>
      </c>
      <c r="T85" s="351">
        <v>73</v>
      </c>
      <c r="U85" s="353">
        <f>IF($K$10="INCLUIDO",FACTORES!$C76*FACTORES!$AC$9+CDENT+CEE+VIS+ASIS+EDXA20100+(FACTORES!$C76*FACTORES!$AC$9*CTE),FACTORES!$C76*FACTORES!$AC$9+CDENT+CEE+VIS+ASIS+EDXA20100)</f>
        <v>168123.9771678136</v>
      </c>
      <c r="V85" s="353">
        <f>IF($K$10="INCLUIDO",FACTORES!$D76*FACTORES!$AC$9+CDENT+CEE+VIS+ASIS+EDXA20100+(FACTORES!$D76*FACTORES!$AC$9*CTE),FACTORES!$D76*FACTORES!$AC$9+CDENT+CEE+VIS+ASIS+EDXA20100)</f>
        <v>183305.35714844582</v>
      </c>
    </row>
    <row r="86" spans="2:22" hidden="1">
      <c r="B86" s="351">
        <v>74</v>
      </c>
      <c r="C86" s="353">
        <f>(Q86+DER)*(1+COTIZACION!$D$24)</f>
        <v>207534.41656362961</v>
      </c>
      <c r="D86" s="353">
        <f>(R86+DER)*(1+COTIZACION!$D$24)</f>
        <v>226201.44138781505</v>
      </c>
      <c r="F86" s="351">
        <v>74</v>
      </c>
      <c r="G86" s="353">
        <f>U86*(1+COTIZACION!$D$24)</f>
        <v>206548.41656362961</v>
      </c>
      <c r="H86" s="353">
        <f>V86*(1+COTIZACION!$D$24)</f>
        <v>225215.44138781505</v>
      </c>
      <c r="J86" s="355"/>
      <c r="K86" s="356"/>
      <c r="L86" s="356"/>
      <c r="M86" s="356"/>
      <c r="P86" s="351">
        <v>74</v>
      </c>
      <c r="Q86" s="353">
        <f>IF($K$10="INCLUIDO",FACTORES!$C77*FACTORES!$AC$9+CDENT+CEE+VIS+ASIS+EDXA20100+(FACTORES!$C77*FACTORES!$AC$9*CTE),FACTORES!$C77*FACTORES!$AC$9+CDENT+CEE+VIS+ASIS+EDXA20100)</f>
        <v>178058.97979623242</v>
      </c>
      <c r="R86" s="353">
        <f>IF($K$10="INCLUIDO",FACTORES!$D77*FACTORES!$AC$9+CDENT+CEE+VIS+ASIS+EDXA20100+(FACTORES!$D77*FACTORES!$AC$9*CTE),FACTORES!$D77*FACTORES!$AC$9+CDENT+CEE+VIS+ASIS+EDXA20100)</f>
        <v>194151.24257570264</v>
      </c>
      <c r="T86" s="351">
        <v>74</v>
      </c>
      <c r="U86" s="353">
        <f>IF($K$10="INCLUIDO",FACTORES!$C77*FACTORES!$AC$9+CDENT+CEE+VIS+ASIS+EDXA20100+(FACTORES!$C77*FACTORES!$AC$9*CTE),FACTORES!$C77*FACTORES!$AC$9+CDENT+CEE+VIS+ASIS+EDXA20100)</f>
        <v>178058.97979623242</v>
      </c>
      <c r="V86" s="353">
        <f>IF($K$10="INCLUIDO",FACTORES!$D77*FACTORES!$AC$9+CDENT+CEE+VIS+ASIS+EDXA20100+(FACTORES!$D77*FACTORES!$AC$9*CTE),FACTORES!$D77*FACTORES!$AC$9+CDENT+CEE+VIS+ASIS+EDXA20100)</f>
        <v>194151.24257570264</v>
      </c>
    </row>
    <row r="87" spans="2:22" hidden="1">
      <c r="B87" s="352">
        <v>75</v>
      </c>
      <c r="C87" s="354">
        <f>(Q87+DER)*(1+COTIZACION!$D$24)</f>
        <v>219750.49579553338</v>
      </c>
      <c r="D87" s="354">
        <f>(R87+DER)*(1+COTIZACION!$D$24)</f>
        <v>239537.54210916991</v>
      </c>
      <c r="F87" s="352">
        <v>75</v>
      </c>
      <c r="G87" s="354">
        <f>U87*(1+COTIZACION!$D$24)</f>
        <v>218764.49579553338</v>
      </c>
      <c r="H87" s="354">
        <f>V87*(1+COTIZACION!$D$24)</f>
        <v>238551.54210916991</v>
      </c>
      <c r="J87" s="355"/>
      <c r="K87" s="356"/>
      <c r="L87" s="356"/>
      <c r="M87" s="356"/>
      <c r="P87" s="352">
        <v>75</v>
      </c>
      <c r="Q87" s="354">
        <f>IF($K$10="INCLUIDO",FACTORES!$C78*FACTORES!$AC$9+CDENT+CEE+VIS+ASIS+EDXA20100+(FACTORES!$C78*FACTORES!$AC$9*CTE),FACTORES!$C78*FACTORES!$AC$9+CDENT+CEE+VIS+ASIS+EDXA20100)</f>
        <v>188590.08258235638</v>
      </c>
      <c r="R87" s="354">
        <f>IF($K$10="INCLUIDO",FACTORES!$D78*FACTORES!$AC$9+CDENT+CEE+VIS+ASIS+EDXA20100+(FACTORES!$D78*FACTORES!$AC$9*CTE),FACTORES!$D78*FACTORES!$AC$9+CDENT+CEE+VIS+ASIS+EDXA20100)</f>
        <v>205647.88112859477</v>
      </c>
      <c r="T87" s="352">
        <v>75</v>
      </c>
      <c r="U87" s="354">
        <f>IF($K$10="INCLUIDO",FACTORES!$C78*FACTORES!$AC$9+CDENT+CEE+VIS+ASIS+EDXA20100+(FACTORES!$C78*FACTORES!$AC$9*CTE),FACTORES!$C78*FACTORES!$AC$9+CDENT+CEE+VIS+ASIS+EDXA20100)</f>
        <v>188590.08258235638</v>
      </c>
      <c r="V87" s="354">
        <f>IF($K$10="INCLUIDO",FACTORES!$D78*FACTORES!$AC$9+CDENT+CEE+VIS+ASIS+EDXA20100+(FACTORES!$D78*FACTORES!$AC$9*CTE),FACTORES!$D78*FACTORES!$AC$9+CDENT+CEE+VIS+ASIS+EDXA20100)</f>
        <v>205647.88112859477</v>
      </c>
    </row>
    <row r="88" spans="2:22" hidden="1">
      <c r="B88" s="351">
        <v>76</v>
      </c>
      <c r="C88" s="353">
        <f>(Q88+DER)*(1+COTIZACION!$D$24)</f>
        <v>232699.53978135143</v>
      </c>
      <c r="D88" s="353">
        <f>(R88+DER)*(1+COTIZACION!$D$24)</f>
        <v>253673.80887380615</v>
      </c>
      <c r="F88" s="351">
        <v>76</v>
      </c>
      <c r="G88" s="353">
        <f>U88*(1+COTIZACION!$D$24)</f>
        <v>231713.53978135143</v>
      </c>
      <c r="H88" s="353">
        <f>V88*(1+COTIZACION!$D$24)</f>
        <v>252687.80887380615</v>
      </c>
      <c r="J88" s="355"/>
      <c r="K88" s="356"/>
      <c r="L88" s="356"/>
      <c r="M88" s="356"/>
      <c r="P88" s="351">
        <v>76</v>
      </c>
      <c r="Q88" s="353">
        <f>IF($K$10="INCLUIDO",FACTORES!$C79*FACTORES!$AC$9+CDENT+CEE+VIS+ASIS+EDXA20100+(FACTORES!$C79*FACTORES!$AC$9*CTE),FACTORES!$C79*FACTORES!$AC$9+CDENT+CEE+VIS+ASIS+EDXA20100)</f>
        <v>199753.0515356478</v>
      </c>
      <c r="R88" s="353">
        <f>IF($K$10="INCLUIDO",FACTORES!$D79*FACTORES!$AC$9+CDENT+CEE+VIS+ASIS+EDXA20100+(FACTORES!$D79*FACTORES!$AC$9*CTE),FACTORES!$D79*FACTORES!$AC$9+CDENT+CEE+VIS+ASIS+EDXA20100)</f>
        <v>217834.31799466049</v>
      </c>
      <c r="T88" s="351">
        <v>76</v>
      </c>
      <c r="U88" s="353">
        <f>IF($K$10="INCLUIDO",FACTORES!$C79*FACTORES!$AC$9+CDENT+CEE+VIS+ASIS+EDXA20100+(FACTORES!$C79*FACTORES!$AC$9*CTE),FACTORES!$C79*FACTORES!$AC$9+CDENT+CEE+VIS+ASIS+EDXA20100)</f>
        <v>199753.0515356478</v>
      </c>
      <c r="V88" s="353">
        <f>IF($K$10="INCLUIDO",FACTORES!$D79*FACTORES!$AC$9+CDENT+CEE+VIS+ASIS+EDXA20100+(FACTORES!$D79*FACTORES!$AC$9*CTE),FACTORES!$D79*FACTORES!$AC$9+CDENT+CEE+VIS+ASIS+EDXA20100)</f>
        <v>217834.31799466049</v>
      </c>
    </row>
    <row r="89" spans="2:22" hidden="1">
      <c r="B89" s="351">
        <v>77</v>
      </c>
      <c r="C89" s="353">
        <f>(Q89+DER)*(1+COTIZACION!$D$24)</f>
        <v>246425.52640631856</v>
      </c>
      <c r="D89" s="353">
        <f>(R89+DER)*(1+COTIZACION!$D$24)</f>
        <v>268658.25164432055</v>
      </c>
      <c r="F89" s="351">
        <v>77</v>
      </c>
      <c r="G89" s="353">
        <f>U89*(1+COTIZACION!$D$24)</f>
        <v>245439.52640631856</v>
      </c>
      <c r="H89" s="353">
        <f>V89*(1+COTIZACION!$D$24)</f>
        <v>267672.25164432055</v>
      </c>
      <c r="J89" s="355"/>
      <c r="K89" s="356"/>
      <c r="L89" s="356"/>
      <c r="M89" s="356"/>
      <c r="P89" s="351">
        <v>77</v>
      </c>
      <c r="Q89" s="353">
        <f>IF($K$10="INCLUIDO",FACTORES!$C80*FACTORES!$AC$9+CDENT+CEE+VIS+ASIS+EDXA20100+(FACTORES!$C80*FACTORES!$AC$9*CTE),FACTORES!$C80*FACTORES!$AC$9+CDENT+CEE+VIS+ASIS+EDXA20100)</f>
        <v>211585.7986261367</v>
      </c>
      <c r="R89" s="353">
        <f>IF($K$10="INCLUIDO",FACTORES!$D80*FACTORES!$AC$9+CDENT+CEE+VIS+ASIS+EDXA20100+(FACTORES!$D80*FACTORES!$AC$9*CTE),FACTORES!$D80*FACTORES!$AC$9+CDENT+CEE+VIS+ASIS+EDXA20100)</f>
        <v>230751.94107269016</v>
      </c>
      <c r="T89" s="351">
        <v>77</v>
      </c>
      <c r="U89" s="353">
        <f>IF($K$10="INCLUIDO",FACTORES!$C80*FACTORES!$AC$9+CDENT+CEE+VIS+ASIS+EDXA20100+(FACTORES!$C80*FACTORES!$AC$9*CTE),FACTORES!$C80*FACTORES!$AC$9+CDENT+CEE+VIS+ASIS+EDXA20100)</f>
        <v>211585.7986261367</v>
      </c>
      <c r="V89" s="353">
        <f>IF($K$10="INCLUIDO",FACTORES!$D80*FACTORES!$AC$9+CDENT+CEE+VIS+ASIS+EDXA20100+(FACTORES!$D80*FACTORES!$AC$9*CTE),FACTORES!$D80*FACTORES!$AC$9+CDENT+CEE+VIS+ASIS+EDXA20100)</f>
        <v>230751.94107269016</v>
      </c>
    </row>
    <row r="90" spans="2:22" hidden="1">
      <c r="B90" s="352">
        <v>78</v>
      </c>
      <c r="C90" s="354">
        <f>(Q90+DER)*(1+COTIZACION!$D$24)</f>
        <v>260975.07222878363</v>
      </c>
      <c r="D90" s="354">
        <f>(R90+DER)*(1+COTIZACION!$D$24)</f>
        <v>284541.7609810658</v>
      </c>
      <c r="F90" s="352">
        <v>78</v>
      </c>
      <c r="G90" s="354">
        <f>U90*(1+COTIZACION!$D$24)</f>
        <v>259989.07222878363</v>
      </c>
      <c r="H90" s="354">
        <f>V90*(1+COTIZACION!$D$24)</f>
        <v>283555.7609810658</v>
      </c>
      <c r="J90" s="355"/>
      <c r="K90" s="356"/>
      <c r="L90" s="356"/>
      <c r="M90" s="356"/>
      <c r="P90" s="352">
        <v>78</v>
      </c>
      <c r="Q90" s="354">
        <f>IF($K$10="INCLUIDO",FACTORES!$C81*FACTORES!$AC$9+CDENT+CEE+VIS+ASIS+EDXA20100+(FACTORES!$C81*FACTORES!$AC$9*CTE),FACTORES!$C81*FACTORES!$AC$9+CDENT+CEE+VIS+ASIS+EDXA20100)</f>
        <v>224128.51054205486</v>
      </c>
      <c r="R90" s="354">
        <f>IF($K$10="INCLUIDO",FACTORES!$D81*FACTORES!$AC$9+CDENT+CEE+VIS+ASIS+EDXA20100+(FACTORES!$D81*FACTORES!$AC$9*CTE),FACTORES!$D81*FACTORES!$AC$9+CDENT+CEE+VIS+ASIS+EDXA20100)</f>
        <v>244444.62153540159</v>
      </c>
      <c r="T90" s="352">
        <v>78</v>
      </c>
      <c r="U90" s="354">
        <f>IF($K$10="INCLUIDO",FACTORES!$C81*FACTORES!$AC$9+CDENT+CEE+VIS+ASIS+EDXA20100+(FACTORES!$C81*FACTORES!$AC$9*CTE),FACTORES!$C81*FACTORES!$AC$9+CDENT+CEE+VIS+ASIS+EDXA20100)</f>
        <v>224128.51054205486</v>
      </c>
      <c r="V90" s="354">
        <f>IF($K$10="INCLUIDO",FACTORES!$D81*FACTORES!$AC$9+CDENT+CEE+VIS+ASIS+EDXA20100+(FACTORES!$D81*FACTORES!$AC$9*CTE),FACTORES!$D81*FACTORES!$AC$9+CDENT+CEE+VIS+ASIS+EDXA20100)</f>
        <v>244444.62153540159</v>
      </c>
    </row>
    <row r="91" spans="2:22" hidden="1">
      <c r="B91" s="351">
        <v>79</v>
      </c>
      <c r="C91" s="353">
        <f>(Q91+DER)*(1+COTIZACION!$D$24)</f>
        <v>276397.59080059669</v>
      </c>
      <c r="D91" s="353">
        <f>(R91+DER)*(1+COTIZACION!$D$24)</f>
        <v>301378.28087801574</v>
      </c>
      <c r="F91" s="351">
        <v>79</v>
      </c>
      <c r="G91" s="353">
        <f>U91*(1+COTIZACION!$D$24)</f>
        <v>275411.59080059669</v>
      </c>
      <c r="H91" s="353">
        <f>V91*(1+COTIZACION!$D$24)</f>
        <v>300392.28087801574</v>
      </c>
      <c r="J91" s="355"/>
      <c r="K91" s="356"/>
      <c r="L91" s="356"/>
      <c r="M91" s="356"/>
      <c r="P91" s="351">
        <v>79</v>
      </c>
      <c r="Q91" s="353">
        <f>IF($K$10="INCLUIDO",FACTORES!$C82*FACTORES!$AC$9+CDENT+CEE+VIS+ASIS+EDXA20100+(FACTORES!$C82*FACTORES!$AC$9*CTE),FACTORES!$C82*FACTORES!$AC$9+CDENT+CEE+VIS+ASIS+EDXA20100)</f>
        <v>237423.78517292821</v>
      </c>
      <c r="R91" s="353">
        <f>IF($K$10="INCLUIDO",FACTORES!$D82*FACTORES!$AC$9+CDENT+CEE+VIS+ASIS+EDXA20100+(FACTORES!$D82*FACTORES!$AC$9*CTE),FACTORES!$D82*FACTORES!$AC$9+CDENT+CEE+VIS+ASIS+EDXA20100)</f>
        <v>258958.86282587567</v>
      </c>
      <c r="T91" s="351">
        <v>79</v>
      </c>
      <c r="U91" s="353">
        <f>IF($K$10="INCLUIDO",FACTORES!$C82*FACTORES!$AC$9+CDENT+CEE+VIS+ASIS+EDXA20100+(FACTORES!$C82*FACTORES!$AC$9*CTE),FACTORES!$C82*FACTORES!$AC$9+CDENT+CEE+VIS+ASIS+EDXA20100)</f>
        <v>237423.78517292821</v>
      </c>
      <c r="V91" s="353">
        <f>IF($K$10="INCLUIDO",FACTORES!$D82*FACTORES!$AC$9+CDENT+CEE+VIS+ASIS+EDXA20100+(FACTORES!$D82*FACTORES!$AC$9*CTE),FACTORES!$D82*FACTORES!$AC$9+CDENT+CEE+VIS+ASIS+EDXA20100)</f>
        <v>258958.86282587567</v>
      </c>
    </row>
    <row r="92" spans="2:22" hidden="1">
      <c r="B92" s="351">
        <v>80</v>
      </c>
      <c r="C92" s="353">
        <f>(Q92+DER)*(1+COTIZACION!$D$24)</f>
        <v>292745.46048671851</v>
      </c>
      <c r="D92" s="353">
        <f>(R92+DER)*(1+COTIZACION!$D$24)</f>
        <v>319224.99196878274</v>
      </c>
      <c r="F92" s="351">
        <v>80</v>
      </c>
      <c r="G92" s="353">
        <f>U92*(1+COTIZACION!$D$24)</f>
        <v>291759.46048671851</v>
      </c>
      <c r="H92" s="353">
        <f>V92*(1+COTIZACION!$D$24)</f>
        <v>318238.99196878274</v>
      </c>
      <c r="J92" s="355"/>
      <c r="K92" s="356"/>
      <c r="L92" s="356"/>
      <c r="M92" s="356"/>
      <c r="P92" s="351">
        <v>80</v>
      </c>
      <c r="Q92" s="353">
        <f>IF($K$10="INCLUIDO",FACTORES!$C83*FACTORES!$AC$9+CDENT+CEE+VIS+ASIS+EDXA20100+(FACTORES!$C83*FACTORES!$AC$9*CTE),FACTORES!$C83*FACTORES!$AC$9+CDENT+CEE+VIS+ASIS+EDXA20100)</f>
        <v>251516.7762816539</v>
      </c>
      <c r="R92" s="353">
        <f>IF($K$10="INCLUIDO",FACTORES!$D83*FACTORES!$AC$9+CDENT+CEE+VIS+ASIS+EDXA20100+(FACTORES!$D83*FACTORES!$AC$9*CTE),FACTORES!$D83*FACTORES!$AC$9+CDENT+CEE+VIS+ASIS+EDXA20100)</f>
        <v>274343.95859377825</v>
      </c>
      <c r="T92" s="351">
        <v>80</v>
      </c>
      <c r="U92" s="353">
        <f>IF($K$10="INCLUIDO",FACTORES!$C83*FACTORES!$AC$9+CDENT+CEE+VIS+ASIS+EDXA20100+(FACTORES!$C83*FACTORES!$AC$9*CTE),FACTORES!$C83*FACTORES!$AC$9+CDENT+CEE+VIS+ASIS+EDXA20100)</f>
        <v>251516.7762816539</v>
      </c>
      <c r="V92" s="353">
        <f>IF($K$10="INCLUIDO",FACTORES!$D83*FACTORES!$AC$9+CDENT+CEE+VIS+ASIS+EDXA20100+(FACTORES!$D83*FACTORES!$AC$9*CTE),FACTORES!$D83*FACTORES!$AC$9+CDENT+CEE+VIS+ASIS+EDXA20100)</f>
        <v>274343.95859377825</v>
      </c>
    </row>
    <row r="93" spans="2:22" hidden="1">
      <c r="B93" s="352">
        <v>81</v>
      </c>
      <c r="C93" s="354">
        <f>(Q93+DER)*(1+COTIZACION!$D$24)</f>
        <v>310074.20235400763</v>
      </c>
      <c r="D93" s="354">
        <f>(R93+DER)*(1+COTIZACION!$D$24)</f>
        <v>338142.50572499569</v>
      </c>
      <c r="F93" s="352">
        <v>81</v>
      </c>
      <c r="G93" s="354">
        <f>U93*(1+COTIZACION!$D$24)</f>
        <v>309088.20235400763</v>
      </c>
      <c r="H93" s="354">
        <f>V93*(1+COTIZACION!$D$24)</f>
        <v>337156.50572499569</v>
      </c>
      <c r="J93" s="355"/>
      <c r="K93" s="356"/>
      <c r="L93" s="356"/>
      <c r="M93" s="356"/>
      <c r="P93" s="352">
        <v>81</v>
      </c>
      <c r="Q93" s="354">
        <f>IF($K$10="INCLUIDO",FACTORES!$C84*FACTORES!$AC$9+CDENT+CEE+VIS+ASIS+EDXA20100+(FACTORES!$C84*FACTORES!$AC$9*CTE),FACTORES!$C84*FACTORES!$AC$9+CDENT+CEE+VIS+ASIS+EDXA20100)</f>
        <v>266455.34685690317</v>
      </c>
      <c r="R93" s="354">
        <f>IF($K$10="INCLUIDO",FACTORES!$D84*FACTORES!$AC$9+CDENT+CEE+VIS+ASIS+EDXA20100+(FACTORES!$D84*FACTORES!$AC$9*CTE),FACTORES!$D84*FACTORES!$AC$9+CDENT+CEE+VIS+ASIS+EDXA20100)</f>
        <v>290652.16010775493</v>
      </c>
      <c r="T93" s="352">
        <v>81</v>
      </c>
      <c r="U93" s="354">
        <f>IF($K$10="INCLUIDO",FACTORES!$C84*FACTORES!$AC$9+CDENT+CEE+VIS+ASIS+EDXA20100+(FACTORES!$C84*FACTORES!$AC$9*CTE),FACTORES!$C84*FACTORES!$AC$9+CDENT+CEE+VIS+ASIS+EDXA20100)</f>
        <v>266455.34685690317</v>
      </c>
      <c r="V93" s="354">
        <f>IF($K$10="INCLUIDO",FACTORES!$D84*FACTORES!$AC$9+CDENT+CEE+VIS+ASIS+EDXA20100+(FACTORES!$D84*FACTORES!$AC$9*CTE),FACTORES!$D84*FACTORES!$AC$9+CDENT+CEE+VIS+ASIS+EDXA20100)</f>
        <v>290652.16010775493</v>
      </c>
    </row>
    <row r="94" spans="2:22" hidden="1">
      <c r="B94" s="351">
        <v>82</v>
      </c>
      <c r="C94" s="353">
        <f>(Q94+DER)*(1+COTIZACION!$D$24)</f>
        <v>328442.66873333417</v>
      </c>
      <c r="D94" s="353">
        <f>(R94+DER)*(1+COTIZACION!$D$24)</f>
        <v>358195.0703065815</v>
      </c>
      <c r="F94" s="351">
        <v>82</v>
      </c>
      <c r="G94" s="353">
        <f>U94*(1+COTIZACION!$D$24)</f>
        <v>327456.66873333417</v>
      </c>
      <c r="H94" s="353">
        <f>V94*(1+COTIZACION!$D$24)</f>
        <v>357209.0703065815</v>
      </c>
      <c r="J94" s="355"/>
      <c r="K94" s="356"/>
      <c r="L94" s="356"/>
      <c r="M94" s="356"/>
      <c r="P94" s="351">
        <v>82</v>
      </c>
      <c r="Q94" s="353">
        <f>IF($K$10="INCLUIDO",FACTORES!$C85*FACTORES!$AC$9+CDENT+CEE+VIS+ASIS+EDXA20100+(FACTORES!$C85*FACTORES!$AC$9*CTE),FACTORES!$C85*FACTORES!$AC$9+CDENT+CEE+VIS+ASIS+EDXA20100)</f>
        <v>282290.23166666739</v>
      </c>
      <c r="R94" s="353">
        <f>IF($K$10="INCLUIDO",FACTORES!$D85*FACTORES!$AC$9+CDENT+CEE+VIS+ASIS+EDXA20100+(FACTORES!$D85*FACTORES!$AC$9*CTE),FACTORES!$D85*FACTORES!$AC$9+CDENT+CEE+VIS+ASIS+EDXA20100)</f>
        <v>307938.85371257027</v>
      </c>
      <c r="T94" s="351">
        <v>82</v>
      </c>
      <c r="U94" s="353">
        <f>IF($K$10="INCLUIDO",FACTORES!$C85*FACTORES!$AC$9+CDENT+CEE+VIS+ASIS+EDXA20100+(FACTORES!$C85*FACTORES!$AC$9*CTE),FACTORES!$C85*FACTORES!$AC$9+CDENT+CEE+VIS+ASIS+EDXA20100)</f>
        <v>282290.23166666739</v>
      </c>
      <c r="V94" s="353">
        <f>IF($K$10="INCLUIDO",FACTORES!$D85*FACTORES!$AC$9+CDENT+CEE+VIS+ASIS+EDXA20100+(FACTORES!$D85*FACTORES!$AC$9*CTE),FACTORES!$D85*FACTORES!$AC$9+CDENT+CEE+VIS+ASIS+EDXA20100)</f>
        <v>307938.85371257027</v>
      </c>
    </row>
    <row r="95" spans="2:22" hidden="1">
      <c r="B95" s="351">
        <v>83</v>
      </c>
      <c r="C95" s="353">
        <f>(Q95+DER)*(1+COTIZACION!$D$24)</f>
        <v>347913.24309542024</v>
      </c>
      <c r="D95" s="353">
        <f>(R95+DER)*(1+COTIZACION!$D$24)</f>
        <v>379450.78876306239</v>
      </c>
      <c r="F95" s="351">
        <v>83</v>
      </c>
      <c r="G95" s="353">
        <f>U95*(1+COTIZACION!$D$24)</f>
        <v>346927.24309542024</v>
      </c>
      <c r="H95" s="353">
        <f>V95*(1+COTIZACION!$D$24)</f>
        <v>378464.78876306239</v>
      </c>
      <c r="J95" s="355"/>
      <c r="K95" s="356"/>
      <c r="L95" s="356"/>
      <c r="M95" s="356"/>
      <c r="P95" s="351">
        <v>83</v>
      </c>
      <c r="Q95" s="353">
        <f>IF($K$10="INCLUIDO",FACTORES!$C86*FACTORES!$AC$9+CDENT+CEE+VIS+ASIS+EDXA20100+(FACTORES!$C86*FACTORES!$AC$9*CTE),FACTORES!$C86*FACTORES!$AC$9+CDENT+CEE+VIS+ASIS+EDXA20100)</f>
        <v>299075.20956501749</v>
      </c>
      <c r="R95" s="353">
        <f>IF($K$10="INCLUIDO",FACTORES!$D86*FACTORES!$AC$9+CDENT+CEE+VIS+ASIS+EDXA20100+(FACTORES!$D86*FACTORES!$AC$9*CTE),FACTORES!$D86*FACTORES!$AC$9+CDENT+CEE+VIS+ASIS+EDXA20100)</f>
        <v>326262.74893367448</v>
      </c>
      <c r="T95" s="351">
        <v>83</v>
      </c>
      <c r="U95" s="353">
        <f>IF($K$10="INCLUIDO",FACTORES!$C86*FACTORES!$AC$9+CDENT+CEE+VIS+ASIS+EDXA20100+(FACTORES!$C86*FACTORES!$AC$9*CTE),FACTORES!$C86*FACTORES!$AC$9+CDENT+CEE+VIS+ASIS+EDXA20100)</f>
        <v>299075.20956501749</v>
      </c>
      <c r="V95" s="353">
        <f>IF($K$10="INCLUIDO",FACTORES!$D86*FACTORES!$AC$9+CDENT+CEE+VIS+ASIS+EDXA20100+(FACTORES!$D86*FACTORES!$AC$9*CTE),FACTORES!$D86*FACTORES!$AC$9+CDENT+CEE+VIS+ASIS+EDXA20100)</f>
        <v>326262.74893367448</v>
      </c>
    </row>
    <row r="96" spans="2:22" hidden="1">
      <c r="B96" s="352">
        <v>84</v>
      </c>
      <c r="C96" s="354">
        <f>(Q96+DER)*(1+COTIZACION!$D$24)</f>
        <v>368552.05191923148</v>
      </c>
      <c r="D96" s="354">
        <f>(R96+DER)*(1+COTIZACION!$D$24)</f>
        <v>401981.85032693221</v>
      </c>
      <c r="F96" s="352">
        <v>84</v>
      </c>
      <c r="G96" s="354">
        <f>U96*(1+COTIZACION!$D$24)</f>
        <v>367566.05191923148</v>
      </c>
      <c r="H96" s="354">
        <f>V96*(1+COTIZACION!$D$24)</f>
        <v>400995.85032693221</v>
      </c>
      <c r="J96" s="355"/>
      <c r="K96" s="356"/>
      <c r="L96" s="356"/>
      <c r="M96" s="356"/>
      <c r="P96" s="352">
        <v>84</v>
      </c>
      <c r="Q96" s="354">
        <f>IF($K$10="INCLUIDO",FACTORES!$C87*FACTORES!$AC$9+CDENT+CEE+VIS+ASIS+EDXA20100+(FACTORES!$C87*FACTORES!$AC$9*CTE),FACTORES!$C87*FACTORES!$AC$9+CDENT+CEE+VIS+ASIS+EDXA20100)</f>
        <v>316867.28613726853</v>
      </c>
      <c r="R96" s="354">
        <f>IF($K$10="INCLUIDO",FACTORES!$D87*FACTORES!$AC$9+CDENT+CEE+VIS+ASIS+EDXA20100+(FACTORES!$D87*FACTORES!$AC$9*CTE),FACTORES!$D87*FACTORES!$AC$9+CDENT+CEE+VIS+ASIS+EDXA20100)</f>
        <v>345686.07786804502</v>
      </c>
      <c r="T96" s="352">
        <v>84</v>
      </c>
      <c r="U96" s="354">
        <f>IF($K$10="INCLUIDO",FACTORES!$C87*FACTORES!$AC$9+CDENT+CEE+VIS+ASIS+EDXA20100+(FACTORES!$C87*FACTORES!$AC$9*CTE),FACTORES!$C87*FACTORES!$AC$9+CDENT+CEE+VIS+ASIS+EDXA20100)</f>
        <v>316867.28613726853</v>
      </c>
      <c r="V96" s="354">
        <f>IF($K$10="INCLUIDO",FACTORES!$D87*FACTORES!$AC$9+CDENT+CEE+VIS+ASIS+EDXA20100+(FACTORES!$D87*FACTORES!$AC$9*CTE),FACTORES!$D87*FACTORES!$AC$9+CDENT+CEE+VIS+ASIS+EDXA20100)</f>
        <v>345686.07786804502</v>
      </c>
    </row>
    <row r="97" spans="1:22" hidden="1">
      <c r="B97" s="351">
        <v>85</v>
      </c>
      <c r="C97" s="353">
        <f>(Q97+DER)*(1+COTIZACION!$D$24)</f>
        <v>390429.18927247141</v>
      </c>
      <c r="D97" s="353">
        <f>(R97+DER)*(1+COTIZACION!$D$24)</f>
        <v>425864.7755846341</v>
      </c>
      <c r="F97" s="351">
        <v>85</v>
      </c>
      <c r="G97" s="353">
        <f>U97*(1+COTIZACION!$D$24)</f>
        <v>389443.18927247141</v>
      </c>
      <c r="H97" s="353">
        <f>V97*(1+COTIZACION!$D$24)</f>
        <v>424878.7755846341</v>
      </c>
      <c r="J97" s="355"/>
      <c r="K97" s="356"/>
      <c r="L97" s="356"/>
      <c r="M97" s="356"/>
      <c r="P97" s="351">
        <v>85</v>
      </c>
      <c r="Q97" s="353">
        <f>IF($K$10="INCLUIDO",FACTORES!$C88*FACTORES!$AC$9+CDENT+CEE+VIS+ASIS+EDXA20100+(FACTORES!$C88*FACTORES!$AC$9*CTE),FACTORES!$C88*FACTORES!$AC$9+CDENT+CEE+VIS+ASIS+EDXA20100)</f>
        <v>335726.88730385469</v>
      </c>
      <c r="R97" s="353">
        <f>IF($K$10="INCLUIDO",FACTORES!$D88*FACTORES!$AC$9+CDENT+CEE+VIS+ASIS+EDXA20100+(FACTORES!$D88*FACTORES!$AC$9*CTE),FACTORES!$D88*FACTORES!$AC$9+CDENT+CEE+VIS+ASIS+EDXA20100)</f>
        <v>366274.80653847771</v>
      </c>
      <c r="T97" s="351">
        <v>85</v>
      </c>
      <c r="U97" s="353">
        <f>IF($K$10="INCLUIDO",FACTORES!$C88*FACTORES!$AC$9+CDENT+CEE+VIS+ASIS+EDXA20100+(FACTORES!$C88*FACTORES!$AC$9*CTE),FACTORES!$C88*FACTORES!$AC$9+CDENT+CEE+VIS+ASIS+EDXA20100)</f>
        <v>335726.88730385469</v>
      </c>
      <c r="V97" s="353">
        <f>IF($K$10="INCLUIDO",FACTORES!$D88*FACTORES!$AC$9+CDENT+CEE+VIS+ASIS+EDXA20100+(FACTORES!$D88*FACTORES!$AC$9*CTE),FACTORES!$D88*FACTORES!$AC$9+CDENT+CEE+VIS+ASIS+EDXA20100)</f>
        <v>366274.80653847771</v>
      </c>
    </row>
    <row r="98" spans="1:22">
      <c r="B98" s="351"/>
      <c r="J98" s="356"/>
      <c r="K98" s="356"/>
      <c r="L98" s="356"/>
      <c r="M98" s="356"/>
    </row>
    <row r="99" spans="1:22" ht="12.75" customHeight="1">
      <c r="B99" s="554" t="s">
        <v>364</v>
      </c>
      <c r="C99" s="554"/>
      <c r="D99" s="554"/>
      <c r="E99" s="554"/>
      <c r="F99" s="554"/>
      <c r="G99" s="554"/>
      <c r="H99" s="554"/>
      <c r="I99" s="554"/>
      <c r="J99" s="554"/>
      <c r="K99" s="554"/>
      <c r="L99" s="554"/>
      <c r="M99" s="356"/>
    </row>
    <row r="100" spans="1:22">
      <c r="B100" s="554"/>
      <c r="C100" s="554"/>
      <c r="D100" s="554"/>
      <c r="E100" s="554"/>
      <c r="F100" s="554"/>
      <c r="G100" s="554"/>
      <c r="H100" s="554"/>
      <c r="I100" s="554"/>
      <c r="J100" s="554"/>
      <c r="K100" s="554"/>
      <c r="L100" s="554"/>
      <c r="M100" s="356"/>
    </row>
    <row r="101" spans="1:22">
      <c r="B101" s="351"/>
      <c r="J101" s="356"/>
      <c r="K101" s="356"/>
      <c r="L101" s="356"/>
      <c r="M101" s="356"/>
    </row>
    <row r="102" spans="1:22">
      <c r="A102" s="348"/>
      <c r="B102" s="101" t="str">
        <f>+IMPRESION!B98</f>
        <v>Tarifa Vig: 01 de Marzo 2022</v>
      </c>
      <c r="C102" s="360"/>
      <c r="D102" s="361"/>
      <c r="E102" s="348"/>
      <c r="F102" s="348"/>
      <c r="G102" s="360"/>
      <c r="H102" s="361"/>
      <c r="I102" s="348"/>
      <c r="J102" s="348"/>
      <c r="K102" s="360"/>
      <c r="L102" s="361"/>
      <c r="M102" s="348"/>
    </row>
    <row r="103" spans="1:22">
      <c r="A103" s="348"/>
      <c r="B103" s="348"/>
      <c r="C103" s="360"/>
      <c r="D103" s="361"/>
      <c r="E103" s="348"/>
      <c r="F103" s="348"/>
      <c r="G103" s="360"/>
      <c r="H103" s="361"/>
      <c r="I103" s="348"/>
      <c r="J103" s="348"/>
      <c r="K103" s="360"/>
      <c r="L103" s="361"/>
      <c r="M103" s="348"/>
    </row>
    <row r="104" spans="1:22">
      <c r="A104" s="348"/>
      <c r="B104" s="348"/>
      <c r="C104" s="360"/>
      <c r="D104" s="361"/>
      <c r="E104" s="348"/>
      <c r="F104" s="348"/>
      <c r="G104" s="360"/>
      <c r="H104" s="361"/>
      <c r="I104" s="348"/>
      <c r="J104" s="348"/>
      <c r="K104" s="360"/>
      <c r="L104" s="361"/>
      <c r="M104" s="348"/>
    </row>
    <row r="105" spans="1:22">
      <c r="A105" s="348"/>
      <c r="B105" s="348"/>
      <c r="C105" s="348"/>
      <c r="D105" s="348"/>
      <c r="E105" s="348"/>
      <c r="F105" s="348"/>
      <c r="G105" s="348"/>
      <c r="H105" s="348"/>
      <c r="I105" s="348"/>
      <c r="J105" s="348"/>
      <c r="K105" s="348"/>
      <c r="L105" s="348"/>
      <c r="M105" s="348"/>
    </row>
    <row r="106" spans="1:22">
      <c r="A106" s="348"/>
      <c r="B106" s="348"/>
      <c r="C106" s="348"/>
      <c r="D106" s="348"/>
      <c r="E106" s="348"/>
      <c r="F106" s="348"/>
      <c r="G106" s="348"/>
      <c r="H106" s="348"/>
      <c r="I106" s="348"/>
      <c r="J106" s="348"/>
      <c r="K106" s="348"/>
      <c r="L106" s="348"/>
      <c r="M106" s="348"/>
    </row>
    <row r="107" spans="1:22">
      <c r="A107" s="348"/>
      <c r="B107" s="348"/>
      <c r="C107" s="348"/>
      <c r="D107" s="348"/>
      <c r="E107" s="348"/>
      <c r="F107" s="348"/>
      <c r="G107" s="348"/>
      <c r="H107" s="348"/>
      <c r="I107" s="348"/>
      <c r="J107" s="348"/>
      <c r="K107" s="348"/>
      <c r="L107" s="348"/>
      <c r="M107" s="348"/>
    </row>
    <row r="108" spans="1:22">
      <c r="B108" s="351"/>
    </row>
    <row r="109" spans="1:22">
      <c r="B109" s="351"/>
    </row>
    <row r="110" spans="1:22">
      <c r="B110" s="351"/>
    </row>
    <row r="111" spans="1:22"/>
    <row r="112" spans="1:22"/>
  </sheetData>
  <sheetProtection algorithmName="SHA-512" hashValue="AnADGOBmMbh3Q0iDw2BhBanAbfoplHjyJReRYeiLt5zq3hcrJp+mBy5zb/YBAKm7DW1mvyl+7xFSFFb3zZTLFA==" saltValue="N7steRpTCvKZJ77X1IBq+w==" spinCount="100000" sheet="1" objects="1" scenarios="1"/>
  <mergeCells count="6">
    <mergeCell ref="C11:E12"/>
    <mergeCell ref="C19:D20"/>
    <mergeCell ref="G19:H20"/>
    <mergeCell ref="K19:L20"/>
    <mergeCell ref="B99:L100"/>
    <mergeCell ref="F11:F12"/>
  </mergeCells>
  <pageMargins left="0.7" right="0.7" top="0.75" bottom="0.75" header="0.3" footer="0.3"/>
  <pageSetup scale="6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7"/>
    <pageSetUpPr fitToPage="1"/>
  </sheetPr>
  <dimension ref="A1:N321"/>
  <sheetViews>
    <sheetView windowProtection="1" showGridLines="0" showRowColHeaders="0" zoomScaleNormal="100" workbookViewId="0">
      <selection activeCell="D13" sqref="D13"/>
    </sheetView>
  </sheetViews>
  <sheetFormatPr baseColWidth="10" defaultColWidth="0" defaultRowHeight="10" zeroHeight="1"/>
  <cols>
    <col min="1" max="1" width="3.453125" style="13" customWidth="1"/>
    <col min="2" max="2" width="3" style="14" customWidth="1"/>
    <col min="3" max="3" width="2.81640625" style="13" customWidth="1"/>
    <col min="4" max="4" width="24.26953125" style="13" customWidth="1"/>
    <col min="5" max="5" width="14.54296875" style="13" customWidth="1"/>
    <col min="6" max="6" width="19.26953125" style="13" customWidth="1"/>
    <col min="7" max="7" width="14.1796875" style="13" customWidth="1"/>
    <col min="8" max="8" width="18.81640625" style="13" customWidth="1"/>
    <col min="9" max="9" width="15.453125" style="13" customWidth="1"/>
    <col min="10" max="10" width="12.26953125" style="13" customWidth="1"/>
    <col min="11" max="11" width="17.453125" style="13" customWidth="1"/>
    <col min="12" max="12" width="13.5429687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44991</v>
      </c>
    </row>
    <row r="7" spans="1:11" s="21" customFormat="1" ht="15">
      <c r="B7" s="92" t="str">
        <f>"Apreciable  "&amp;COTIZACION!C29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64" t="str">
        <f>+"Agradecemos de antemano su preferencia y esperamos que la presente propuesta de Gastos Médicos "&amp;COTIZACION!D9&amp;" cumpla sus expectativas."</f>
        <v>Agradecemos de antemano su preferencia y esperamos que la presente propuesta de Gastos Médicos FAMILIAR cumpla sus expectativas.</v>
      </c>
      <c r="C9" s="564"/>
      <c r="D9" s="564"/>
      <c r="E9" s="564"/>
      <c r="F9" s="564"/>
      <c r="G9" s="564"/>
      <c r="H9" s="564"/>
      <c r="I9" s="564"/>
      <c r="J9" s="564"/>
      <c r="K9" s="564"/>
    </row>
    <row r="10" spans="1:11" s="21" customFormat="1" ht="4.5" customHeight="1">
      <c r="B10" s="564"/>
      <c r="C10" s="564"/>
      <c r="D10" s="564"/>
      <c r="E10" s="564"/>
      <c r="F10" s="564"/>
      <c r="G10" s="564"/>
      <c r="H10" s="564"/>
      <c r="I10" s="564"/>
      <c r="J10" s="564"/>
      <c r="K10" s="564"/>
    </row>
    <row r="11" spans="1:11" s="21" customFormat="1" ht="9">
      <c r="B11" s="433"/>
      <c r="C11" s="434"/>
      <c r="D11" s="434"/>
      <c r="E11" s="435"/>
      <c r="F11" s="435"/>
      <c r="G11" s="435"/>
      <c r="H11" s="433"/>
      <c r="I11" s="433"/>
      <c r="J11" s="433"/>
      <c r="K11" s="433"/>
    </row>
    <row r="12" spans="1:11" s="21" customFormat="1" ht="15.75" customHeight="1">
      <c r="A12" s="13"/>
      <c r="B12" s="367"/>
      <c r="C12" s="537" t="s">
        <v>15</v>
      </c>
      <c r="D12" s="537"/>
      <c r="E12" s="537"/>
      <c r="F12" s="537"/>
      <c r="G12" s="537"/>
      <c r="H12" s="537"/>
      <c r="I12" s="537"/>
      <c r="J12" s="537"/>
      <c r="K12" s="537"/>
    </row>
    <row r="13" spans="1:11" ht="12.75" customHeight="1">
      <c r="A13" s="21"/>
      <c r="B13" s="436"/>
      <c r="C13" s="437" t="s">
        <v>16</v>
      </c>
      <c r="D13" s="438" t="s">
        <v>17</v>
      </c>
      <c r="E13" s="439"/>
      <c r="F13" s="439"/>
      <c r="G13" s="439"/>
      <c r="H13" s="440"/>
      <c r="I13" s="441">
        <f>COTIZACION!D10</f>
        <v>100000000</v>
      </c>
      <c r="J13" s="440" t="str">
        <f>IF(I13&lt;&gt;"SIN LÍMITE","M.N.","")</f>
        <v>M.N.</v>
      </c>
      <c r="K13" s="440"/>
    </row>
    <row r="14" spans="1:11" ht="12.75" customHeight="1">
      <c r="A14" s="21"/>
      <c r="B14" s="436"/>
      <c r="C14" s="437" t="s">
        <v>16</v>
      </c>
      <c r="D14" s="442" t="s">
        <v>260</v>
      </c>
      <c r="E14" s="439"/>
      <c r="F14" s="439"/>
      <c r="G14" s="439"/>
      <c r="H14" s="440"/>
      <c r="I14" s="441" t="str">
        <f>COTIZACION!D11</f>
        <v>POR PADECIMIENTO</v>
      </c>
      <c r="J14" s="440"/>
      <c r="K14" s="440"/>
    </row>
    <row r="15" spans="1:11" ht="12.75" customHeight="1">
      <c r="A15" s="21"/>
      <c r="B15" s="436"/>
      <c r="C15" s="437" t="s">
        <v>16</v>
      </c>
      <c r="D15" s="438" t="s">
        <v>70</v>
      </c>
      <c r="E15" s="439"/>
      <c r="F15" s="439"/>
      <c r="G15" s="443"/>
      <c r="H15" s="440"/>
      <c r="I15" s="441">
        <f>COTIZACION!D12</f>
        <v>12000</v>
      </c>
      <c r="J15" s="440" t="s">
        <v>18</v>
      </c>
      <c r="K15" s="440"/>
    </row>
    <row r="16" spans="1:11" s="21" customFormat="1" ht="12.5">
      <c r="B16" s="436"/>
      <c r="C16" s="437" t="s">
        <v>16</v>
      </c>
      <c r="D16" s="442" t="s">
        <v>180</v>
      </c>
      <c r="E16" s="439"/>
      <c r="F16" s="439"/>
      <c r="G16" s="443"/>
      <c r="H16" s="440"/>
      <c r="I16" s="444" t="str">
        <f>COTIZACION!D13</f>
        <v>10% CON TOPE DE $35,000</v>
      </c>
      <c r="J16" s="440"/>
      <c r="K16" s="440"/>
    </row>
    <row r="17" spans="2:11" s="21" customFormat="1" ht="12.5">
      <c r="B17" s="436"/>
      <c r="C17" s="437" t="s">
        <v>16</v>
      </c>
      <c r="D17" s="438" t="s">
        <v>50</v>
      </c>
      <c r="E17" s="439"/>
      <c r="F17" s="439"/>
      <c r="G17" s="439"/>
      <c r="H17" s="440"/>
      <c r="I17" s="445" t="str">
        <f>+COTIZACION!D8</f>
        <v>T+</v>
      </c>
      <c r="J17" s="367"/>
      <c r="K17" s="440"/>
    </row>
    <row r="18" spans="2:11" s="21" customFormat="1" ht="10.5" customHeight="1">
      <c r="B18" s="436"/>
      <c r="C18" s="437" t="s">
        <v>16</v>
      </c>
      <c r="D18" s="446" t="s">
        <v>51</v>
      </c>
      <c r="E18" s="447"/>
      <c r="F18" s="447"/>
      <c r="G18" s="443"/>
      <c r="H18" s="440"/>
      <c r="I18" s="448">
        <f>COTIZACION!D23</f>
        <v>0</v>
      </c>
      <c r="J18" s="440"/>
      <c r="K18" s="449"/>
    </row>
    <row r="19" spans="2:11" s="21" customFormat="1" ht="13.5" customHeight="1">
      <c r="B19" s="436"/>
      <c r="C19" s="437" t="s">
        <v>16</v>
      </c>
      <c r="D19" s="450" t="s">
        <v>225</v>
      </c>
      <c r="E19" s="451"/>
      <c r="F19" s="452"/>
      <c r="G19" s="438"/>
      <c r="H19" s="440"/>
      <c r="I19" s="453">
        <f>IF(COTIZACION!D23=0,VLOOKUP(VLOOKUP(COTIZACION!D14,FACTORES!$M$2:$N$34,2,0),FACTORES!$W$22:$Y$32,3,0),(VLOOKUP(VLOOKUP(COTIZACION!D14,FACTORES!$M$2:$N$34,2,0),FACTORES!$W$22:$Y$32,3,0)*(1+COTIZACION!D23)))</f>
        <v>66000</v>
      </c>
      <c r="J19" s="440"/>
      <c r="K19" s="440"/>
    </row>
    <row r="20" spans="2:11" s="21" customFormat="1" ht="13.5" customHeight="1">
      <c r="B20" s="436"/>
      <c r="C20" s="437" t="s">
        <v>16</v>
      </c>
      <c r="D20" s="446" t="s">
        <v>21</v>
      </c>
      <c r="E20" s="454"/>
      <c r="F20" s="454"/>
      <c r="G20" s="438"/>
      <c r="H20" s="440"/>
      <c r="I20" s="442" t="s">
        <v>45</v>
      </c>
      <c r="J20" s="449"/>
      <c r="K20" s="449"/>
    </row>
    <row r="21" spans="2:11" s="21" customFormat="1" ht="13.5" customHeight="1">
      <c r="B21" s="436"/>
      <c r="C21" s="437" t="s">
        <v>16</v>
      </c>
      <c r="D21" s="446" t="s">
        <v>22</v>
      </c>
      <c r="E21" s="440"/>
      <c r="F21" s="438"/>
      <c r="G21" s="438"/>
      <c r="H21" s="440"/>
      <c r="I21" s="442" t="s">
        <v>45</v>
      </c>
      <c r="J21" s="449"/>
      <c r="K21" s="449"/>
    </row>
    <row r="22" spans="2:11" s="21" customFormat="1" ht="13.5" customHeight="1">
      <c r="B22" s="436"/>
      <c r="C22" s="437" t="s">
        <v>16</v>
      </c>
      <c r="D22" s="450" t="s">
        <v>264</v>
      </c>
      <c r="E22" s="440"/>
      <c r="F22" s="438"/>
      <c r="G22" s="438"/>
      <c r="H22" s="440"/>
      <c r="I22" s="442" t="s">
        <v>45</v>
      </c>
      <c r="J22" s="449"/>
      <c r="K22" s="449"/>
    </row>
    <row r="23" spans="2:11" s="21" customFormat="1" ht="13.5" customHeight="1">
      <c r="B23" s="436"/>
      <c r="C23" s="437" t="s">
        <v>16</v>
      </c>
      <c r="D23" s="446" t="s">
        <v>23</v>
      </c>
      <c r="E23" s="440"/>
      <c r="F23" s="438"/>
      <c r="G23" s="438"/>
      <c r="H23" s="440"/>
      <c r="I23" s="442" t="s">
        <v>24</v>
      </c>
      <c r="J23" s="449"/>
      <c r="K23" s="449"/>
    </row>
    <row r="24" spans="2:11" s="21" customFormat="1" ht="13.5" customHeight="1">
      <c r="B24" s="436"/>
      <c r="C24" s="437" t="s">
        <v>16</v>
      </c>
      <c r="D24" s="446" t="s">
        <v>54</v>
      </c>
      <c r="E24" s="440"/>
      <c r="F24" s="438"/>
      <c r="G24" s="438"/>
      <c r="H24" s="440"/>
      <c r="I24" s="438"/>
      <c r="J24" s="449"/>
      <c r="K24" s="449"/>
    </row>
    <row r="25" spans="2:11" s="21" customFormat="1" ht="13.5" customHeight="1">
      <c r="B25" s="436"/>
      <c r="C25" s="437"/>
      <c r="D25" s="446" t="s">
        <v>55</v>
      </c>
      <c r="E25" s="440"/>
      <c r="F25" s="438"/>
      <c r="G25" s="438"/>
      <c r="H25" s="440"/>
      <c r="I25" s="455" t="s">
        <v>30</v>
      </c>
      <c r="J25" s="449"/>
      <c r="K25" s="449"/>
    </row>
    <row r="26" spans="2:11" s="21" customFormat="1" ht="13.5" customHeight="1">
      <c r="B26" s="436"/>
      <c r="C26" s="437" t="s">
        <v>16</v>
      </c>
      <c r="D26" s="446" t="s">
        <v>56</v>
      </c>
      <c r="E26" s="440"/>
      <c r="F26" s="438"/>
      <c r="G26" s="438"/>
      <c r="H26" s="440"/>
      <c r="I26" s="455" t="s">
        <v>30</v>
      </c>
      <c r="J26" s="449"/>
      <c r="K26" s="449"/>
    </row>
    <row r="27" spans="2:11" s="21" customFormat="1" ht="13.5" customHeight="1">
      <c r="B27" s="436"/>
      <c r="C27" s="437" t="s">
        <v>16</v>
      </c>
      <c r="D27" s="446" t="s">
        <v>26</v>
      </c>
      <c r="E27" s="440"/>
      <c r="F27" s="438"/>
      <c r="G27" s="438"/>
      <c r="H27" s="440"/>
      <c r="I27" s="442" t="s">
        <v>27</v>
      </c>
      <c r="J27" s="440"/>
      <c r="K27" s="449"/>
    </row>
    <row r="28" spans="2:11" s="21" customFormat="1" ht="13.5" customHeight="1">
      <c r="B28" s="436"/>
      <c r="C28" s="437" t="s">
        <v>16</v>
      </c>
      <c r="D28" s="446" t="s">
        <v>25</v>
      </c>
      <c r="E28" s="440"/>
      <c r="F28" s="438"/>
      <c r="G28" s="438"/>
      <c r="H28" s="440"/>
      <c r="I28" s="442" t="s">
        <v>27</v>
      </c>
      <c r="J28" s="449"/>
      <c r="K28" s="449"/>
    </row>
    <row r="29" spans="2:11" s="21" customFormat="1" ht="13.5" customHeight="1">
      <c r="B29" s="436"/>
      <c r="C29" s="437" t="s">
        <v>16</v>
      </c>
      <c r="D29" s="450" t="s">
        <v>265</v>
      </c>
      <c r="E29" s="440"/>
      <c r="F29" s="438"/>
      <c r="G29" s="438"/>
      <c r="H29" s="440"/>
      <c r="I29" s="456">
        <v>100000</v>
      </c>
      <c r="J29" s="457" t="s">
        <v>18</v>
      </c>
      <c r="K29" s="449"/>
    </row>
    <row r="30" spans="2:11" s="21" customFormat="1" ht="13.5" customHeight="1">
      <c r="B30" s="436"/>
      <c r="C30" s="437" t="s">
        <v>16</v>
      </c>
      <c r="D30" s="458" t="s">
        <v>266</v>
      </c>
      <c r="E30" s="440"/>
      <c r="F30" s="438"/>
      <c r="G30" s="438"/>
      <c r="H30" s="440"/>
      <c r="I30" s="459">
        <f>IF(I12&lt;0,"Excluido",300)</f>
        <v>300</v>
      </c>
      <c r="J30" s="457" t="s">
        <v>18</v>
      </c>
      <c r="K30" s="449"/>
    </row>
    <row r="31" spans="2:11" s="21" customFormat="1" ht="13.5" customHeight="1">
      <c r="B31" s="436"/>
      <c r="C31" s="437" t="s">
        <v>16</v>
      </c>
      <c r="D31" s="446" t="s">
        <v>63</v>
      </c>
      <c r="E31" s="440"/>
      <c r="F31" s="440"/>
      <c r="G31" s="440"/>
      <c r="H31" s="440"/>
      <c r="I31" s="454"/>
      <c r="J31" s="440"/>
      <c r="K31" s="449"/>
    </row>
    <row r="32" spans="2:11" s="21" customFormat="1" ht="13.5" customHeight="1">
      <c r="B32" s="436"/>
      <c r="C32" s="437"/>
      <c r="D32" s="446" t="s">
        <v>64</v>
      </c>
      <c r="E32" s="440"/>
      <c r="F32" s="440"/>
      <c r="G32" s="440"/>
      <c r="H32" s="440"/>
      <c r="I32" s="441" t="str">
        <f>IF(COTIZACION!D12&gt;45000,"$20,000",IF(COTIZACION!$D$18="NO","$20,000",COTIZACION!$D$18))</f>
        <v>$20,000</v>
      </c>
      <c r="J32" s="440" t="str">
        <f>IF(I32="Excluido","","M.N.")</f>
        <v>M.N.</v>
      </c>
      <c r="K32" s="449"/>
    </row>
    <row r="33" spans="2:11" s="21" customFormat="1" ht="13.5" customHeight="1">
      <c r="B33" s="436"/>
      <c r="C33" s="437" t="s">
        <v>16</v>
      </c>
      <c r="D33" s="446" t="s">
        <v>66</v>
      </c>
      <c r="E33" s="440"/>
      <c r="F33" s="438"/>
      <c r="G33" s="438"/>
      <c r="H33" s="440"/>
      <c r="I33" s="438"/>
      <c r="J33" s="440"/>
      <c r="K33" s="449"/>
    </row>
    <row r="34" spans="2:11" s="21" customFormat="1" ht="13.5" customHeight="1">
      <c r="B34" s="436"/>
      <c r="C34" s="437"/>
      <c r="D34" s="446" t="s">
        <v>65</v>
      </c>
      <c r="E34" s="440"/>
      <c r="F34" s="440"/>
      <c r="G34" s="440"/>
      <c r="H34" s="440"/>
      <c r="I34" s="442" t="s">
        <v>30</v>
      </c>
      <c r="J34" s="440"/>
      <c r="K34" s="440"/>
    </row>
    <row r="35" spans="2:11" s="21" customFormat="1" ht="13.5" customHeight="1">
      <c r="B35" s="436"/>
      <c r="C35" s="437" t="s">
        <v>16</v>
      </c>
      <c r="D35" s="446" t="s">
        <v>59</v>
      </c>
      <c r="E35" s="440"/>
      <c r="F35" s="438"/>
      <c r="G35" s="438"/>
      <c r="H35" s="440"/>
      <c r="I35" s="442"/>
      <c r="J35" s="440"/>
      <c r="K35" s="440"/>
    </row>
    <row r="36" spans="2:11" s="21" customFormat="1" ht="13.5" customHeight="1">
      <c r="B36" s="436"/>
      <c r="C36" s="437"/>
      <c r="D36" s="446" t="s">
        <v>28</v>
      </c>
      <c r="E36" s="440"/>
      <c r="F36" s="438"/>
      <c r="G36" s="438"/>
      <c r="H36" s="440"/>
      <c r="I36" s="456" t="s">
        <v>226</v>
      </c>
      <c r="J36" s="440"/>
      <c r="K36" s="440"/>
    </row>
    <row r="37" spans="2:11" s="21" customFormat="1" ht="13.5" customHeight="1">
      <c r="B37" s="436"/>
      <c r="C37" s="437" t="s">
        <v>16</v>
      </c>
      <c r="D37" s="450" t="s">
        <v>267</v>
      </c>
      <c r="E37" s="440"/>
      <c r="F37" s="438"/>
      <c r="G37" s="438"/>
      <c r="H37" s="440"/>
      <c r="I37" s="367"/>
      <c r="J37" s="440"/>
      <c r="K37" s="440"/>
    </row>
    <row r="38" spans="2:11" s="21" customFormat="1" ht="13.5" customHeight="1">
      <c r="B38" s="436"/>
      <c r="C38" s="437"/>
      <c r="D38" s="443" t="s">
        <v>67</v>
      </c>
      <c r="E38" s="440"/>
      <c r="F38" s="438"/>
      <c r="G38" s="438"/>
      <c r="H38" s="440"/>
      <c r="I38" s="442" t="s">
        <v>227</v>
      </c>
      <c r="J38" s="440"/>
      <c r="K38" s="440"/>
    </row>
    <row r="39" spans="2:11" s="21" customFormat="1" ht="13.5" customHeight="1">
      <c r="B39" s="436"/>
      <c r="C39" s="437" t="s">
        <v>16</v>
      </c>
      <c r="D39" s="450" t="s">
        <v>268</v>
      </c>
      <c r="E39" s="440"/>
      <c r="F39" s="438"/>
      <c r="G39" s="438"/>
      <c r="H39" s="440"/>
      <c r="I39" s="438" t="s">
        <v>27</v>
      </c>
      <c r="J39" s="440"/>
      <c r="K39" s="440"/>
    </row>
    <row r="40" spans="2:11" s="21" customFormat="1" ht="13.5" customHeight="1">
      <c r="B40" s="436"/>
      <c r="C40" s="437" t="s">
        <v>16</v>
      </c>
      <c r="D40" s="460" t="s">
        <v>174</v>
      </c>
      <c r="E40" s="440"/>
      <c r="F40" s="438"/>
      <c r="G40" s="438"/>
      <c r="H40" s="440"/>
      <c r="I40" s="438"/>
      <c r="J40" s="440"/>
      <c r="K40" s="440"/>
    </row>
    <row r="41" spans="2:11" s="21" customFormat="1" ht="13.5" customHeight="1">
      <c r="B41" s="436"/>
      <c r="C41" s="437"/>
      <c r="D41" s="460" t="s">
        <v>175</v>
      </c>
      <c r="E41" s="440"/>
      <c r="F41" s="438"/>
      <c r="G41" s="438"/>
      <c r="H41" s="440"/>
      <c r="I41" s="438"/>
      <c r="J41" s="440"/>
      <c r="K41" s="440"/>
    </row>
    <row r="42" spans="2:11" s="21" customFormat="1" ht="13.5" customHeight="1">
      <c r="B42" s="436"/>
      <c r="C42" s="437"/>
      <c r="D42" s="460" t="s">
        <v>176</v>
      </c>
      <c r="E42" s="440"/>
      <c r="F42" s="438"/>
      <c r="G42" s="438"/>
      <c r="H42" s="440"/>
      <c r="I42" s="438"/>
      <c r="J42" s="440"/>
      <c r="K42" s="440"/>
    </row>
    <row r="43" spans="2:11" s="21" customFormat="1" ht="13.5" customHeight="1">
      <c r="B43" s="436"/>
      <c r="C43" s="437"/>
      <c r="D43" s="461" t="s">
        <v>177</v>
      </c>
      <c r="E43" s="440"/>
      <c r="F43" s="438"/>
      <c r="G43" s="438"/>
      <c r="H43" s="440"/>
      <c r="I43" s="442" t="s">
        <v>30</v>
      </c>
      <c r="J43" s="440"/>
      <c r="K43" s="440"/>
    </row>
    <row r="44" spans="2:11" s="21" customFormat="1" ht="13.5" customHeight="1">
      <c r="B44" s="436"/>
      <c r="C44" s="437" t="s">
        <v>16</v>
      </c>
      <c r="D44" s="458" t="s">
        <v>269</v>
      </c>
      <c r="E44" s="440"/>
      <c r="F44" s="438"/>
      <c r="G44" s="438"/>
      <c r="H44" s="440"/>
      <c r="I44" s="456">
        <v>10000</v>
      </c>
      <c r="J44" s="457" t="s">
        <v>18</v>
      </c>
      <c r="K44" s="440"/>
    </row>
    <row r="45" spans="2:11" s="21" customFormat="1" ht="13.5" customHeight="1">
      <c r="B45" s="436"/>
      <c r="C45" s="437" t="s">
        <v>16</v>
      </c>
      <c r="D45" s="450" t="s">
        <v>116</v>
      </c>
      <c r="E45" s="440"/>
      <c r="F45" s="438"/>
      <c r="G45" s="438"/>
      <c r="H45" s="440"/>
      <c r="I45" s="438"/>
      <c r="J45" s="440"/>
      <c r="K45" s="449"/>
    </row>
    <row r="46" spans="2:11" s="21" customFormat="1" ht="13.5" customHeight="1">
      <c r="B46" s="436"/>
      <c r="C46" s="437"/>
      <c r="D46" s="446" t="s">
        <v>29</v>
      </c>
      <c r="E46" s="440"/>
      <c r="F46" s="438"/>
      <c r="G46" s="438"/>
      <c r="H46" s="440"/>
      <c r="I46" s="438" t="s">
        <v>30</v>
      </c>
      <c r="J46" s="440"/>
      <c r="K46" s="440"/>
    </row>
    <row r="47" spans="2:11" s="21" customFormat="1" ht="13.5" customHeight="1">
      <c r="B47" s="436"/>
      <c r="C47" s="437" t="s">
        <v>16</v>
      </c>
      <c r="D47" s="446" t="s">
        <v>60</v>
      </c>
      <c r="E47" s="440"/>
      <c r="F47" s="438"/>
      <c r="G47" s="438"/>
      <c r="H47" s="440"/>
      <c r="I47" s="438" t="s">
        <v>30</v>
      </c>
      <c r="J47" s="440"/>
      <c r="K47" s="440"/>
    </row>
    <row r="48" spans="2:11" s="21" customFormat="1" ht="13.5" customHeight="1">
      <c r="B48" s="436"/>
      <c r="C48" s="437" t="s">
        <v>16</v>
      </c>
      <c r="D48" s="462" t="s">
        <v>270</v>
      </c>
      <c r="E48" s="440"/>
      <c r="F48" s="438"/>
      <c r="G48" s="438"/>
      <c r="H48" s="440"/>
      <c r="I48" s="438"/>
      <c r="J48" s="440"/>
      <c r="K48" s="440"/>
    </row>
    <row r="49" spans="2:11" s="21" customFormat="1" ht="13.5" customHeight="1">
      <c r="B49" s="436"/>
      <c r="C49" s="437"/>
      <c r="D49" s="462" t="s">
        <v>271</v>
      </c>
      <c r="E49" s="440"/>
      <c r="F49" s="438"/>
      <c r="G49" s="438"/>
      <c r="H49" s="440"/>
      <c r="I49" s="438" t="s">
        <v>30</v>
      </c>
      <c r="J49" s="440"/>
      <c r="K49" s="440"/>
    </row>
    <row r="50" spans="2:11" s="21" customFormat="1" ht="13.5" customHeight="1">
      <c r="B50" s="436"/>
      <c r="C50" s="437" t="s">
        <v>16</v>
      </c>
      <c r="D50" s="446" t="s">
        <v>46</v>
      </c>
      <c r="E50" s="440"/>
      <c r="F50" s="440"/>
      <c r="G50" s="440"/>
      <c r="H50" s="440"/>
      <c r="I50" s="438" t="s">
        <v>30</v>
      </c>
      <c r="J50" s="440"/>
      <c r="K50" s="440"/>
    </row>
    <row r="51" spans="2:11" s="21" customFormat="1" ht="13.5" customHeight="1">
      <c r="B51" s="436"/>
      <c r="C51" s="463" t="s">
        <v>16</v>
      </c>
      <c r="D51" s="450" t="s">
        <v>272</v>
      </c>
      <c r="E51" s="450"/>
      <c r="F51" s="457"/>
      <c r="G51" s="457"/>
      <c r="H51" s="442"/>
      <c r="I51" s="438" t="s">
        <v>30</v>
      </c>
      <c r="J51" s="442"/>
      <c r="K51" s="464"/>
    </row>
    <row r="52" spans="2:11" s="21" customFormat="1" ht="13.5" customHeight="1">
      <c r="B52" s="436"/>
      <c r="C52" s="463" t="s">
        <v>16</v>
      </c>
      <c r="D52" s="458" t="s">
        <v>273</v>
      </c>
      <c r="E52" s="458"/>
      <c r="F52" s="465"/>
      <c r="G52" s="465"/>
      <c r="H52" s="466"/>
      <c r="I52" s="456">
        <v>12000</v>
      </c>
      <c r="J52" s="457" t="s">
        <v>18</v>
      </c>
      <c r="K52" s="465"/>
    </row>
    <row r="53" spans="2:11" s="21" customFormat="1" ht="13.5" customHeight="1">
      <c r="B53" s="436"/>
      <c r="C53" s="463" t="s">
        <v>16</v>
      </c>
      <c r="D53" s="458" t="s">
        <v>274</v>
      </c>
      <c r="E53" s="458"/>
      <c r="F53" s="465"/>
      <c r="G53" s="466"/>
      <c r="H53" s="466"/>
      <c r="I53" s="456">
        <v>5000</v>
      </c>
      <c r="J53" s="457" t="s">
        <v>18</v>
      </c>
      <c r="K53" s="465"/>
    </row>
    <row r="54" spans="2:11" s="21" customFormat="1" ht="13.5" customHeight="1">
      <c r="B54" s="436"/>
      <c r="C54" s="467" t="s">
        <v>16</v>
      </c>
      <c r="D54" s="450" t="s">
        <v>376</v>
      </c>
      <c r="E54" s="440"/>
      <c r="F54" s="438"/>
      <c r="G54" s="438"/>
      <c r="H54" s="440"/>
      <c r="I54" s="438" t="s">
        <v>30</v>
      </c>
      <c r="J54" s="440"/>
      <c r="K54" s="440"/>
    </row>
    <row r="55" spans="2:11" s="21" customFormat="1" ht="13.5" customHeight="1">
      <c r="B55" s="436"/>
      <c r="C55" s="437" t="s">
        <v>16</v>
      </c>
      <c r="D55" s="468" t="s">
        <v>234</v>
      </c>
      <c r="E55" s="440"/>
      <c r="F55" s="438"/>
      <c r="G55" s="438"/>
      <c r="H55" s="440"/>
      <c r="I55" s="438" t="s">
        <v>30</v>
      </c>
      <c r="J55" s="440"/>
      <c r="K55" s="440"/>
    </row>
    <row r="56" spans="2:11" s="21" customFormat="1" ht="13.5" customHeight="1">
      <c r="B56" s="436"/>
      <c r="C56" s="467" t="s">
        <v>16</v>
      </c>
      <c r="D56" s="458" t="s">
        <v>352</v>
      </c>
      <c r="E56" s="469"/>
      <c r="F56" s="469"/>
      <c r="G56" s="470"/>
      <c r="H56" s="471"/>
      <c r="I56" s="466" t="s">
        <v>30</v>
      </c>
      <c r="J56" s="440"/>
      <c r="K56" s="440"/>
    </row>
    <row r="57" spans="2:11" s="21" customFormat="1" ht="13.5" customHeight="1">
      <c r="B57" s="436"/>
      <c r="C57" s="437" t="s">
        <v>16</v>
      </c>
      <c r="D57" s="468" t="s">
        <v>353</v>
      </c>
      <c r="E57" s="440"/>
      <c r="F57" s="438"/>
      <c r="G57" s="438"/>
      <c r="H57" s="440"/>
      <c r="I57" s="438" t="s">
        <v>30</v>
      </c>
      <c r="J57" s="440"/>
      <c r="K57" s="440"/>
    </row>
    <row r="58" spans="2:11" s="21" customFormat="1" ht="13.5" customHeight="1">
      <c r="B58" s="436"/>
      <c r="C58" s="468"/>
      <c r="D58" s="446"/>
      <c r="E58" s="440"/>
      <c r="F58" s="438"/>
      <c r="G58" s="438"/>
      <c r="H58" s="440"/>
      <c r="I58" s="438"/>
      <c r="J58" s="440"/>
      <c r="K58" s="440"/>
    </row>
    <row r="59" spans="2:11" s="21" customFormat="1" ht="18" customHeight="1">
      <c r="B59" s="436"/>
      <c r="C59" s="468"/>
      <c r="D59" s="446"/>
      <c r="E59" s="440"/>
      <c r="F59" s="438"/>
      <c r="G59" s="438"/>
      <c r="H59" s="440"/>
      <c r="I59" s="438"/>
      <c r="J59" s="440"/>
      <c r="K59" s="440"/>
    </row>
    <row r="60" spans="2:11" s="21" customFormat="1" ht="13.5" customHeight="1">
      <c r="B60" s="367"/>
      <c r="C60" s="577" t="s">
        <v>192</v>
      </c>
      <c r="D60" s="577"/>
      <c r="E60" s="577"/>
      <c r="F60" s="577"/>
      <c r="G60" s="577"/>
      <c r="H60" s="577"/>
      <c r="I60" s="577"/>
      <c r="J60" s="577"/>
      <c r="K60" s="577"/>
    </row>
    <row r="61" spans="2:11" s="21" customFormat="1" ht="13.5" customHeight="1">
      <c r="B61" s="472"/>
      <c r="C61" s="458" t="s">
        <v>262</v>
      </c>
      <c r="D61" s="473"/>
      <c r="E61" s="469"/>
      <c r="F61" s="469"/>
      <c r="G61" s="470"/>
      <c r="H61" s="474"/>
      <c r="I61" s="470" t="str">
        <f>IF(FACTORES!AM3&lt;&gt;0,"Incluido","Excluido")</f>
        <v>Excluido</v>
      </c>
      <c r="J61" s="475"/>
      <c r="K61" s="476"/>
    </row>
    <row r="62" spans="2:11" s="21" customFormat="1" ht="13.5" customHeight="1">
      <c r="B62" s="477"/>
      <c r="C62" s="458" t="s">
        <v>244</v>
      </c>
      <c r="D62" s="473"/>
      <c r="E62" s="469"/>
      <c r="F62" s="469"/>
      <c r="G62" s="470"/>
      <c r="H62" s="474"/>
      <c r="I62" s="478" t="str">
        <f>IF(OR(COTIZACION!D20="NO",SUM(COTIZACION!A29:A36)&lt;=0),"Excluido",COTIZACION!D20)</f>
        <v>Excluido</v>
      </c>
      <c r="J62" s="462" t="str">
        <f>IF(I62="EXCLUIDO","","M.N.")</f>
        <v/>
      </c>
      <c r="K62" s="476"/>
    </row>
    <row r="63" spans="2:11" s="21" customFormat="1" ht="13.5" customHeight="1">
      <c r="B63" s="477"/>
      <c r="C63" s="450" t="s">
        <v>243</v>
      </c>
      <c r="D63" s="446"/>
      <c r="E63" s="440"/>
      <c r="F63" s="440"/>
      <c r="G63" s="438"/>
      <c r="H63" s="479"/>
      <c r="I63" s="480" t="str">
        <f>IF(COTIZACION!D19="SI","Incluido","Excluido")</f>
        <v>Excluido</v>
      </c>
      <c r="J63" s="481"/>
      <c r="K63" s="476"/>
    </row>
    <row r="64" spans="2:11" s="21" customFormat="1" ht="3" customHeight="1">
      <c r="B64" s="477"/>
      <c r="C64" s="476"/>
      <c r="D64" s="473"/>
      <c r="E64" s="469"/>
      <c r="F64" s="469"/>
      <c r="G64" s="470"/>
      <c r="H64" s="474"/>
      <c r="I64" s="478"/>
      <c r="J64" s="481"/>
      <c r="K64" s="476"/>
    </row>
    <row r="65" spans="1:14" ht="12.75" customHeight="1">
      <c r="A65" s="21"/>
      <c r="B65" s="560" t="s">
        <v>196</v>
      </c>
      <c r="C65" s="560"/>
      <c r="D65" s="560"/>
      <c r="E65" s="560"/>
      <c r="F65" s="560"/>
      <c r="G65" s="560"/>
      <c r="H65" s="560"/>
      <c r="I65" s="560"/>
      <c r="J65" s="560"/>
      <c r="K65" s="560"/>
    </row>
    <row r="66" spans="1:14" ht="12.75" customHeight="1">
      <c r="A66" s="21"/>
      <c r="B66" s="468"/>
      <c r="C66" s="482"/>
      <c r="D66" s="468"/>
      <c r="E66" s="483"/>
      <c r="F66" s="483"/>
      <c r="G66" s="483"/>
      <c r="H66" s="483"/>
      <c r="I66" s="442"/>
      <c r="J66" s="483"/>
      <c r="K66" s="483"/>
    </row>
    <row r="67" spans="1:14" ht="18" customHeight="1">
      <c r="C67" s="562" t="s">
        <v>32</v>
      </c>
      <c r="D67" s="562"/>
      <c r="E67" s="562"/>
      <c r="F67" s="562"/>
      <c r="G67" s="562"/>
      <c r="H67" s="562"/>
      <c r="I67" s="562"/>
      <c r="J67" s="562"/>
      <c r="K67" s="562"/>
      <c r="L67" s="366"/>
    </row>
    <row r="68" spans="1:14" s="107" customFormat="1" ht="12.75" customHeight="1">
      <c r="B68" s="168"/>
      <c r="C68" s="484"/>
      <c r="D68" s="484"/>
      <c r="E68" s="484"/>
      <c r="F68" s="484"/>
      <c r="G68" s="484"/>
      <c r="H68" s="484"/>
      <c r="I68" s="484"/>
      <c r="J68" s="484"/>
      <c r="K68" s="484"/>
      <c r="L68" s="482"/>
    </row>
    <row r="69" spans="1:14" s="21" customFormat="1" ht="11.25" customHeight="1">
      <c r="A69" s="13"/>
      <c r="B69" s="167"/>
      <c r="C69" s="572" t="s">
        <v>33</v>
      </c>
      <c r="D69" s="572"/>
      <c r="E69" s="572"/>
      <c r="F69" s="572"/>
      <c r="G69" s="572"/>
      <c r="H69" s="572" t="s">
        <v>31</v>
      </c>
      <c r="I69" s="572" t="s">
        <v>34</v>
      </c>
      <c r="J69" s="572" t="s">
        <v>35</v>
      </c>
      <c r="K69" s="573" t="s">
        <v>193</v>
      </c>
      <c r="L69" s="367"/>
    </row>
    <row r="70" spans="1:14" s="21" customFormat="1" ht="11.25" customHeight="1">
      <c r="B70" s="167"/>
      <c r="C70" s="572"/>
      <c r="D70" s="572"/>
      <c r="E70" s="572"/>
      <c r="F70" s="572"/>
      <c r="G70" s="572"/>
      <c r="H70" s="572"/>
      <c r="I70" s="572"/>
      <c r="J70" s="572"/>
      <c r="K70" s="574"/>
      <c r="L70" s="399"/>
    </row>
    <row r="71" spans="1:14" s="21" customFormat="1" ht="11.5">
      <c r="A71" s="90">
        <f t="shared" ref="A71:A78" si="0">IF(AND(H71&lt;&gt;"",H71&gt;69),1,0)</f>
        <v>0</v>
      </c>
      <c r="B71" s="15"/>
      <c r="C71" s="561" t="str">
        <f>IF(COTIZACION!C29="","",COTIZACION!C29)</f>
        <v/>
      </c>
      <c r="D71" s="561"/>
      <c r="E71" s="561"/>
      <c r="F71" s="561"/>
      <c r="G71" s="561"/>
      <c r="H71" s="485">
        <f>IF(OR(COTIZACION!E29="",COTIZACION!D29=""),"",COTIZACION!E29)</f>
        <v>26</v>
      </c>
      <c r="I71" s="485" t="str">
        <f>IF(OR(COTIZACION!D29="",COTIZACION!E29=""),"",COTIZACION!D29)</f>
        <v>HOMBRE</v>
      </c>
      <c r="J71" s="485" t="str">
        <f>IF(I71="","",COTIZACION!B29)</f>
        <v>Titular</v>
      </c>
      <c r="K71" s="486">
        <f>IF(COTIZACION!E7="ok",IF(COTIZACION!$F$29&lt;&gt;"",0,FACTORES!AN3),"COTIZACION NO VALIDA")</f>
        <v>15413.512950112145</v>
      </c>
      <c r="L71" s="486"/>
      <c r="M71" s="48"/>
    </row>
    <row r="72" spans="1:14" s="21" customFormat="1" ht="11.5">
      <c r="A72" s="90">
        <f t="shared" si="0"/>
        <v>0</v>
      </c>
      <c r="B72" s="15"/>
      <c r="C72" s="557" t="str">
        <f>IF(OR(COTIZACION!C30="",COTIZACION!$D$9="INDIVIDUAL"),"",COTIZACION!C30)</f>
        <v/>
      </c>
      <c r="D72" s="557"/>
      <c r="E72" s="557"/>
      <c r="F72" s="557"/>
      <c r="G72" s="557"/>
      <c r="H72" s="487" t="str">
        <f>IF(OR(COTIZACION!E30="",COTIZACION!D30="",COTIZACION!$D$9="INDIVIDUAL"),"",COTIZACION!E30)</f>
        <v/>
      </c>
      <c r="I72" s="487" t="str">
        <f>IF(OR(COTIZACION!D30="",COTIZACION!E30="",COTIZACION!$D$9="INDIVIDUAL"),"",COTIZACION!D30)</f>
        <v/>
      </c>
      <c r="J72" s="487" t="str">
        <f>IF(I72="","",COTIZACION!B30)</f>
        <v/>
      </c>
      <c r="K72" s="488" t="str">
        <f>IF(COTIZACION!E7="ok",IF(COTIZACION!$F$29&lt;&gt;"",0,FACTORES!AN4),"COTIZACION NO VALIDA")</f>
        <v/>
      </c>
      <c r="L72" s="486"/>
      <c r="M72" s="48"/>
    </row>
    <row r="73" spans="1:14" s="21" customFormat="1" ht="11.5">
      <c r="A73" s="90">
        <f t="shared" si="0"/>
        <v>0</v>
      </c>
      <c r="B73" s="15"/>
      <c r="C73" s="558" t="str">
        <f>IF(OR(COTIZACION!C31="",COTIZACION!$D$9="INDIVIDUAL"),"",COTIZACION!C31)</f>
        <v/>
      </c>
      <c r="D73" s="558"/>
      <c r="E73" s="558"/>
      <c r="F73" s="558"/>
      <c r="G73" s="558"/>
      <c r="H73" s="485" t="str">
        <f>IF(OR(COTIZACION!E31="",COTIZACION!D31="",COTIZACION!$D$9="INDIVIDUAL"),"",COTIZACION!E31)</f>
        <v/>
      </c>
      <c r="I73" s="485" t="str">
        <f>IF(OR(COTIZACION!D31="",COTIZACION!E31="",COTIZACION!$D$9="INDIVIDUAL"),"",COTIZACION!D31)</f>
        <v/>
      </c>
      <c r="J73" s="485" t="str">
        <f>IF(I73="","",COTIZACION!B31)</f>
        <v/>
      </c>
      <c r="K73" s="486" t="str">
        <f>IF(COTIZACION!$F$29&lt;&gt;"",0,FACTORES!AN5)</f>
        <v/>
      </c>
      <c r="L73" s="486"/>
      <c r="M73" s="48"/>
    </row>
    <row r="74" spans="1:14" s="21" customFormat="1" ht="11.5">
      <c r="A74" s="90">
        <f t="shared" si="0"/>
        <v>0</v>
      </c>
      <c r="B74" s="15"/>
      <c r="C74" s="557" t="str">
        <f>IF(OR(COTIZACION!C32="",COTIZACION!$D$9="INDIVIDUAL"),"",COTIZACION!C32)</f>
        <v/>
      </c>
      <c r="D74" s="557"/>
      <c r="E74" s="557"/>
      <c r="F74" s="557"/>
      <c r="G74" s="557"/>
      <c r="H74" s="487" t="str">
        <f>IF(OR(COTIZACION!E32="",COTIZACION!D32="",COTIZACION!$D$9="INDIVIDUAL"),"",COTIZACION!E32)</f>
        <v/>
      </c>
      <c r="I74" s="487" t="str">
        <f>IF(OR(COTIZACION!D32="",COTIZACION!E32="",COTIZACION!$D$9="INDIVIDUAL"),"",COTIZACION!D32)</f>
        <v/>
      </c>
      <c r="J74" s="487" t="str">
        <f>IF(I74="","",COTIZACION!B32)</f>
        <v/>
      </c>
      <c r="K74" s="489" t="str">
        <f>IF(COTIZACION!$F$29&lt;&gt;"",0,FACTORES!AN6)</f>
        <v/>
      </c>
      <c r="L74" s="486"/>
      <c r="M74" s="48"/>
    </row>
    <row r="75" spans="1:14" s="21" customFormat="1" ht="11.5">
      <c r="A75" s="90">
        <f t="shared" si="0"/>
        <v>0</v>
      </c>
      <c r="B75" s="15"/>
      <c r="C75" s="558" t="str">
        <f>IF(OR(COTIZACION!C33="",COTIZACION!$D$9="INDIVIDUAL"),"",COTIZACION!C33)</f>
        <v/>
      </c>
      <c r="D75" s="558"/>
      <c r="E75" s="558"/>
      <c r="F75" s="558"/>
      <c r="G75" s="558"/>
      <c r="H75" s="485" t="str">
        <f>IF(OR(COTIZACION!E33="",COTIZACION!D33="",COTIZACION!$D$9="INDIVIDUAL"),"",COTIZACION!E33)</f>
        <v/>
      </c>
      <c r="I75" s="485" t="str">
        <f>IF(OR(COTIZACION!D33="",COTIZACION!E33="",COTIZACION!$D$9="INDIVIDUAL"),"",COTIZACION!D33)</f>
        <v/>
      </c>
      <c r="J75" s="485" t="str">
        <f>IF(I75="","",COTIZACION!B33)</f>
        <v/>
      </c>
      <c r="K75" s="490" t="str">
        <f>IF(COTIZACION!$F$29&lt;&gt;"",0,FACTORES!AN7)</f>
        <v/>
      </c>
      <c r="L75" s="486"/>
      <c r="M75" s="48"/>
      <c r="N75" s="49"/>
    </row>
    <row r="76" spans="1:14" s="21" customFormat="1" ht="11.5">
      <c r="A76" s="90">
        <f t="shared" si="0"/>
        <v>0</v>
      </c>
      <c r="B76" s="15"/>
      <c r="C76" s="557" t="str">
        <f>IF(OR(COTIZACION!C34="",COTIZACION!$D$9="INDIVIDUAL"),"",COTIZACION!C34)</f>
        <v/>
      </c>
      <c r="D76" s="557"/>
      <c r="E76" s="557"/>
      <c r="F76" s="557"/>
      <c r="G76" s="557"/>
      <c r="H76" s="487" t="str">
        <f>IF(OR(COTIZACION!E34="",COTIZACION!D34="",COTIZACION!$D$9="INDIVIDUAL"),"",COTIZACION!E34)</f>
        <v/>
      </c>
      <c r="I76" s="487" t="str">
        <f>IF(OR(COTIZACION!D34="",COTIZACION!E34="",COTIZACION!$D$9="INDIVIDUAL"),"",COTIZACION!D34)</f>
        <v/>
      </c>
      <c r="J76" s="487" t="str">
        <f>IF(I76="","",COTIZACION!B34)</f>
        <v/>
      </c>
      <c r="K76" s="489" t="str">
        <f>IF(COTIZACION!$F$29&lt;&gt;"",0,FACTORES!AN8)</f>
        <v/>
      </c>
      <c r="L76" s="486"/>
      <c r="M76" s="48"/>
      <c r="N76" s="59"/>
    </row>
    <row r="77" spans="1:14" s="21" customFormat="1" ht="11.5">
      <c r="A77" s="90">
        <f t="shared" si="0"/>
        <v>0</v>
      </c>
      <c r="B77" s="15"/>
      <c r="C77" s="558" t="str">
        <f>IF(OR(COTIZACION!C35="",COTIZACION!$D$9="INDIVIDUAL"),"",COTIZACION!C35)</f>
        <v/>
      </c>
      <c r="D77" s="558"/>
      <c r="E77" s="558"/>
      <c r="F77" s="558"/>
      <c r="G77" s="558"/>
      <c r="H77" s="485" t="str">
        <f>IF(OR(COTIZACION!E35="",COTIZACION!D35="",COTIZACION!$D$9="INDIVIDUAL"),"",COTIZACION!E35)</f>
        <v/>
      </c>
      <c r="I77" s="485" t="str">
        <f>IF(OR(COTIZACION!D35="",COTIZACION!E35="",COTIZACION!$D$9="INDIVIDUAL"),"",COTIZACION!D35)</f>
        <v/>
      </c>
      <c r="J77" s="485" t="str">
        <f>IF(I77="","",COTIZACION!B35)</f>
        <v/>
      </c>
      <c r="K77" s="490" t="str">
        <f>IF(COTIZACION!$F$29&lt;&gt;"",0,FACTORES!AN9)</f>
        <v/>
      </c>
      <c r="L77" s="486"/>
      <c r="M77" s="48"/>
    </row>
    <row r="78" spans="1:14" s="21" customFormat="1" ht="11.5">
      <c r="A78" s="90">
        <f t="shared" si="0"/>
        <v>0</v>
      </c>
      <c r="B78" s="15"/>
      <c r="C78" s="559" t="str">
        <f>IF(OR(COTIZACION!C36="",COTIZACION!$D$9="INDIVIDUAL"),"",COTIZACION!C36)</f>
        <v/>
      </c>
      <c r="D78" s="559"/>
      <c r="E78" s="559"/>
      <c r="F78" s="559"/>
      <c r="G78" s="559"/>
      <c r="H78" s="491" t="str">
        <f>IF(OR(COTIZACION!E36="",COTIZACION!D36="",COTIZACION!$D$9="INDIVIDUAL"),"",COTIZACION!E36)</f>
        <v/>
      </c>
      <c r="I78" s="491" t="str">
        <f>IF(OR(COTIZACION!D36="",COTIZACION!E36="",COTIZACION!$D$9="INDIVIDUAL"),"",COTIZACION!D36)</f>
        <v/>
      </c>
      <c r="J78" s="491" t="str">
        <f>IF(I78="","",COTIZACION!B36)</f>
        <v/>
      </c>
      <c r="K78" s="492" t="str">
        <f>IF(COTIZACION!$F$29&lt;&gt;"",0,FACTORES!AN10)</f>
        <v/>
      </c>
      <c r="L78" s="486"/>
      <c r="M78" s="48"/>
    </row>
    <row r="79" spans="1:14" s="21" customFormat="1" ht="11.5">
      <c r="B79" s="15"/>
      <c r="C79" s="366"/>
      <c r="D79" s="366"/>
      <c r="E79" s="366"/>
      <c r="F79" s="366"/>
      <c r="G79" s="366"/>
      <c r="H79" s="366"/>
      <c r="I79" s="493" t="s">
        <v>370</v>
      </c>
      <c r="J79" s="431"/>
      <c r="K79" s="494">
        <f>IF(OR(K71="Edad no Permitida",K72="Edad no Permitida",K73="Edad no Permitida",K74="Edad no Permitida",K75="Edad no Permitida",K76="Edad no Permitida",K77="Edad no Permitida",K78="Edad no Permitida"),0,IF(IMPRESION!A97=0,SUM(K71:K78),0))</f>
        <v>15413.512950112145</v>
      </c>
      <c r="L79" s="399"/>
      <c r="M79" s="48"/>
    </row>
    <row r="80" spans="1:14" s="21" customFormat="1" ht="11.5">
      <c r="B80" s="15"/>
      <c r="C80" s="366"/>
      <c r="D80" s="366"/>
      <c r="E80" s="366"/>
      <c r="F80" s="366"/>
      <c r="G80" s="366"/>
      <c r="H80" s="495"/>
      <c r="I80" s="496" t="s">
        <v>36</v>
      </c>
      <c r="J80" s="496"/>
      <c r="K80" s="497">
        <f>IF(K79=0,0,FACTORES!$R$34)</f>
        <v>850</v>
      </c>
      <c r="L80" s="498"/>
      <c r="M80" s="67"/>
    </row>
    <row r="81" spans="1:13" s="21" customFormat="1" ht="11.5">
      <c r="B81" s="15"/>
      <c r="C81" s="366"/>
      <c r="D81" s="366"/>
      <c r="E81" s="366"/>
      <c r="F81" s="366"/>
      <c r="G81" s="366"/>
      <c r="H81" s="495"/>
      <c r="I81" s="496" t="s">
        <v>37</v>
      </c>
      <c r="J81" s="496"/>
      <c r="K81" s="494">
        <f>+K79+K80</f>
        <v>16263.512950112145</v>
      </c>
      <c r="L81" s="367"/>
      <c r="M81" s="48"/>
    </row>
    <row r="82" spans="1:13" s="21" customFormat="1" ht="15.75" customHeight="1">
      <c r="B82" s="15"/>
      <c r="C82" s="575" t="s">
        <v>194</v>
      </c>
      <c r="D82" s="576"/>
      <c r="E82" s="499" t="str">
        <f>COTIZACION!D14</f>
        <v>CIUDAD DE MÉXICO</v>
      </c>
      <c r="F82" s="500"/>
      <c r="G82" s="514" t="s">
        <v>374</v>
      </c>
      <c r="H82" s="499">
        <f>COTIZACION!D16</f>
        <v>5</v>
      </c>
      <c r="I82" s="496" t="s">
        <v>38</v>
      </c>
      <c r="J82" s="496"/>
      <c r="K82" s="497">
        <f>+K81*COTIZACION!$D$25</f>
        <v>2602.162072017943</v>
      </c>
      <c r="L82" s="367"/>
      <c r="M82" s="67"/>
    </row>
    <row r="83" spans="1:13" ht="12.75" customHeight="1">
      <c r="A83" s="21"/>
      <c r="B83" s="15"/>
      <c r="C83" s="366"/>
      <c r="D83" s="366"/>
      <c r="E83" s="366"/>
      <c r="F83" s="366"/>
      <c r="G83" s="366"/>
      <c r="H83" s="495"/>
      <c r="I83" s="501" t="s">
        <v>39</v>
      </c>
      <c r="J83" s="501"/>
      <c r="K83" s="502">
        <f>SUM(K81:K82)</f>
        <v>18865.675022130086</v>
      </c>
      <c r="L83" s="366"/>
      <c r="M83" s="70"/>
    </row>
    <row r="84" spans="1:13" ht="14">
      <c r="B84" s="15"/>
      <c r="C84" s="575" t="s">
        <v>195</v>
      </c>
      <c r="D84" s="576"/>
      <c r="E84" s="569" t="str">
        <f>IF(COTIZACION!C41="","",COTIZACION!C41)</f>
        <v/>
      </c>
      <c r="F84" s="570"/>
      <c r="G84" s="571"/>
      <c r="H84" s="366"/>
      <c r="I84" s="366"/>
      <c r="J84" s="366"/>
      <c r="K84" s="366"/>
      <c r="L84" s="366"/>
    </row>
    <row r="85" spans="1:13" ht="16.5" customHeight="1">
      <c r="B85" s="15"/>
      <c r="C85" s="218"/>
      <c r="D85" s="218"/>
      <c r="E85" s="219"/>
      <c r="F85" s="219"/>
      <c r="G85" s="219"/>
    </row>
    <row r="86" spans="1:13" ht="11.5">
      <c r="B86" s="15"/>
      <c r="C86" s="567" t="s">
        <v>201</v>
      </c>
      <c r="D86" s="568"/>
      <c r="E86" s="226" t="s">
        <v>202</v>
      </c>
      <c r="F86" s="226" t="s">
        <v>203</v>
      </c>
      <c r="G86" s="226" t="s">
        <v>204</v>
      </c>
      <c r="H86" s="16"/>
      <c r="K86" s="20"/>
    </row>
    <row r="87" spans="1:13" ht="13" customHeight="1">
      <c r="B87" s="15"/>
      <c r="C87" s="244" t="str">
        <f>+COTIZACION!G29</f>
        <v>ANUAL</v>
      </c>
      <c r="D87" s="244"/>
      <c r="E87" s="245">
        <f>IF(COTIZACION!F29&lt;&gt;"",0,K83)</f>
        <v>18865.675022130086</v>
      </c>
      <c r="F87" s="246">
        <v>0</v>
      </c>
      <c r="G87" s="246">
        <f>+F87+E87</f>
        <v>18865.675022130086</v>
      </c>
      <c r="H87" s="16"/>
      <c r="K87" s="20"/>
    </row>
    <row r="88" spans="1:13" ht="13" customHeight="1">
      <c r="B88" s="15"/>
      <c r="C88" s="244" t="str">
        <f>"SEMESTRAL    (Recargo "&amp;COTIZACION!H38*100&amp;"%)"</f>
        <v>SEMESTRAL    (Recargo 4.73%)</v>
      </c>
      <c r="D88" s="244"/>
      <c r="E88" s="245">
        <f>IF(COTIZACION!F29&lt;&gt;"",0,IF((IMPRESION!K79*RSEM/2+DER)*(1+COTIZACION!$D$25)&lt;1000,0,(IMPRESION!K79*RSEM/2+DER)*(1+COTIZACION!$D$25)))</f>
        <v>10348.691825338419</v>
      </c>
      <c r="F88" s="247">
        <f>IF(E88=0,0,(IMPRESION!K79*RSEM/2)*(1+COTIZACION!$D$25))</f>
        <v>9362.6918253384192</v>
      </c>
      <c r="G88" s="246">
        <f>F88+E88</f>
        <v>19711.383650676838</v>
      </c>
      <c r="H88" s="224"/>
    </row>
    <row r="89" spans="1:13" ht="13" customHeight="1">
      <c r="B89" s="15"/>
      <c r="C89" s="244" t="str">
        <f>"TRIMESTRAL  (Recargo "&amp;COTIZACION!H39*100&amp;"%)"</f>
        <v>TRIMESTRAL  (Recargo 6.99%)</v>
      </c>
      <c r="D89" s="248"/>
      <c r="E89" s="245">
        <f>IF(COTIZACION!F29&lt;&gt;"",0,IF((IMPRESION!K79*RTRIM/4+DER)*(1+COTIZACION!$D$25)&lt;1000,0,(IMPRESION!K79*RTRIM/4+DER)*(1+COTIZACION!$D$25)))</f>
        <v>5768.3660765442455</v>
      </c>
      <c r="F89" s="247">
        <f>(IF(E89=0,0,(IMPRESION!K79*RTRIM/4)*(1+COTIZACION!$D$25)))</f>
        <v>4782.3660765442455</v>
      </c>
      <c r="G89" s="246">
        <f>+E89+F89*3</f>
        <v>20115.464306176982</v>
      </c>
      <c r="H89" s="16"/>
    </row>
    <row r="90" spans="1:13" ht="13" customHeight="1">
      <c r="B90" s="15"/>
      <c r="C90" s="244" t="str">
        <f>"MENSUAL        (Recargo "&amp;COTIZACION!H40*100&amp;"%)"</f>
        <v>MENSUAL        (Recargo 9.99%)</v>
      </c>
      <c r="D90" s="248"/>
      <c r="E90" s="245">
        <f>IF(COTIZACION!F29&lt;&gt;"",0,IF((IMPRESION!K79*RMES/12+DER)*(1+COTIZACION!$D$25)&lt;1000,0,(IMPRESION!K79*RMES/12+DER)*(1+COTIZACION!$D$25)))</f>
        <v>2624.821213070074</v>
      </c>
      <c r="F90" s="247">
        <f>(IF(E90=0,0,(IMPRESION!K79*RMES/12)*(1+COTIZACION!$D$25)))</f>
        <v>1638.8212130700738</v>
      </c>
      <c r="G90" s="246">
        <f>+E90+F90*11</f>
        <v>20651.854556840884</v>
      </c>
      <c r="H90" s="89"/>
    </row>
    <row r="91" spans="1:13"/>
    <row r="92" spans="1:13" ht="12.75" customHeight="1">
      <c r="C92" s="565" t="s">
        <v>52</v>
      </c>
      <c r="D92" s="565"/>
      <c r="E92" s="565"/>
      <c r="F92" s="565"/>
      <c r="G92" s="565"/>
      <c r="H92" s="565"/>
      <c r="I92" s="565"/>
      <c r="J92" s="565"/>
      <c r="K92" s="565"/>
    </row>
    <row r="93" spans="1:13" ht="12.75" customHeight="1">
      <c r="C93" s="109" t="s">
        <v>155</v>
      </c>
      <c r="D93" s="110"/>
      <c r="E93" s="110"/>
      <c r="F93" s="110"/>
      <c r="G93" s="110"/>
      <c r="H93" s="110"/>
      <c r="I93" s="110"/>
      <c r="J93" s="110"/>
      <c r="K93" s="110"/>
    </row>
    <row r="94" spans="1:13" ht="12.75" customHeight="1">
      <c r="C94" s="109" t="s">
        <v>156</v>
      </c>
      <c r="D94" s="110"/>
      <c r="E94" s="110"/>
      <c r="F94" s="110"/>
      <c r="G94" s="110"/>
      <c r="H94" s="110"/>
      <c r="I94" s="110"/>
      <c r="J94" s="110"/>
      <c r="K94" s="110"/>
    </row>
    <row r="95" spans="1:13">
      <c r="C95" s="566" t="s">
        <v>236</v>
      </c>
      <c r="D95" s="566"/>
      <c r="E95" s="566"/>
      <c r="F95" s="566"/>
      <c r="G95" s="566"/>
      <c r="H95" s="566"/>
      <c r="I95" s="566"/>
      <c r="J95" s="566"/>
      <c r="K95" s="566"/>
    </row>
    <row r="96" spans="1:13" ht="10.5" customHeight="1">
      <c r="C96" s="566"/>
      <c r="D96" s="566"/>
      <c r="E96" s="566"/>
      <c r="F96" s="566"/>
      <c r="G96" s="566"/>
      <c r="H96" s="566"/>
      <c r="I96" s="566"/>
      <c r="J96" s="566"/>
      <c r="K96" s="566"/>
    </row>
    <row r="97" spans="1:11" ht="25" customHeight="1">
      <c r="A97" s="100"/>
      <c r="C97" s="563" t="s">
        <v>275</v>
      </c>
      <c r="D97" s="563"/>
      <c r="E97" s="563"/>
      <c r="F97" s="563"/>
      <c r="G97" s="563"/>
      <c r="H97" s="563"/>
      <c r="I97" s="563"/>
      <c r="J97" s="563"/>
    </row>
    <row r="98" spans="1:11" ht="15.75" customHeight="1">
      <c r="B98" s="503" t="s">
        <v>372</v>
      </c>
      <c r="C98" s="21"/>
      <c r="D98" s="21"/>
      <c r="E98" s="21"/>
      <c r="F98" s="556" t="str">
        <f>IF(COTIZACION!D7="RENOVADA","ESTA COTIZACIÓN ES SOLO VALIDA PARA RENOVACIONES"," ")</f>
        <v xml:space="preserve"> </v>
      </c>
      <c r="G98" s="556"/>
      <c r="H98" s="556"/>
      <c r="I98" s="556"/>
      <c r="J98" s="556"/>
      <c r="K98" s="556"/>
    </row>
    <row r="99" spans="1:11" ht="14.25" customHeight="1">
      <c r="B99" s="225" t="s">
        <v>375</v>
      </c>
      <c r="C99" s="21"/>
      <c r="D99" s="21"/>
      <c r="E99" s="21"/>
      <c r="F99" s="556"/>
      <c r="G99" s="556"/>
      <c r="H99" s="556"/>
      <c r="I99" s="556"/>
      <c r="J99" s="556"/>
      <c r="K99" s="556"/>
    </row>
    <row r="100" spans="1:11" ht="15.75" customHeight="1">
      <c r="B100" s="280" t="str">
        <f>VLOOKUP(FACTORES!$AM$14,FACTORES!$AH$14:$AL$37,3,FALSE)&amp;"/"&amp;VLOOKUP(FACTORES!$AM$14,FACTORES!$AH$14:$AL$37,4,FALSE)&amp;"/"&amp;VLOOKUP(FACTORES!$AM$14,FACTORES!$AH$14:$AL$37,5,FALSE)</f>
        <v>1200/95007/1,2,3,5,6,7,8</v>
      </c>
      <c r="C100" s="21"/>
      <c r="D100" s="21"/>
      <c r="E100" s="21"/>
      <c r="F100" s="21"/>
    </row>
    <row r="101" spans="1:11"/>
    <row r="102" spans="1:11"/>
    <row r="198" spans="1:5" ht="12" hidden="1" customHeight="1"/>
    <row r="203" spans="1:5" ht="10.5" hidden="1" thickBot="1"/>
    <row r="204" spans="1:5" s="16" customFormat="1" ht="10.5" hidden="1" thickTop="1">
      <c r="A204" s="74"/>
      <c r="B204" s="75"/>
      <c r="C204" s="219"/>
      <c r="D204" s="219"/>
      <c r="E204" s="219"/>
    </row>
    <row r="205" spans="1:5" s="16" customFormat="1" hidden="1">
      <c r="A205" s="76"/>
      <c r="B205" s="77"/>
      <c r="C205" s="219"/>
      <c r="D205" s="219"/>
      <c r="E205" s="219"/>
    </row>
    <row r="206" spans="1:5" s="16" customFormat="1" hidden="1">
      <c r="A206" s="76"/>
      <c r="B206" s="77"/>
      <c r="C206" s="219"/>
      <c r="D206" s="219"/>
      <c r="E206" s="219"/>
    </row>
    <row r="207" spans="1:5" s="16" customFormat="1" hidden="1">
      <c r="A207" s="76"/>
      <c r="B207" s="77"/>
      <c r="C207" s="219"/>
      <c r="D207" s="219"/>
      <c r="E207" s="219"/>
    </row>
    <row r="208" spans="1:5" s="16" customFormat="1" hidden="1">
      <c r="A208" s="76"/>
      <c r="B208" s="77"/>
      <c r="C208" s="219"/>
      <c r="D208" s="219"/>
      <c r="E208" s="219"/>
    </row>
    <row r="209" spans="1:5" s="16" customFormat="1" hidden="1">
      <c r="A209" s="76"/>
      <c r="B209" s="77"/>
      <c r="C209" s="219"/>
      <c r="D209" s="219"/>
      <c r="E209" s="219"/>
    </row>
    <row r="210" spans="1:5" s="16" customFormat="1" hidden="1">
      <c r="A210" s="76"/>
      <c r="B210" s="77"/>
      <c r="C210" s="219"/>
      <c r="D210" s="219"/>
      <c r="E210" s="219"/>
    </row>
    <row r="211" spans="1:5" s="16" customFormat="1" ht="10.5" hidden="1" thickBot="1">
      <c r="A211" s="78"/>
      <c r="B211" s="79"/>
      <c r="C211" s="219"/>
      <c r="D211" s="219"/>
      <c r="E211" s="219"/>
    </row>
    <row r="212" spans="1:5" s="16" customFormat="1" ht="10.5" hidden="1" thickTop="1">
      <c r="A212" s="80"/>
      <c r="B212" s="80"/>
    </row>
    <row r="213" spans="1:5" s="16" customFormat="1" hidden="1">
      <c r="A213" s="81" t="s">
        <v>47</v>
      </c>
      <c r="B213" s="80"/>
    </row>
    <row r="214" spans="1:5" s="16" customFormat="1" hidden="1">
      <c r="A214" s="81" t="e">
        <f>IF(#REF!="ANUAL",1,IF(#REF!="SEMESTRAL",2,IF(#REF!="TRIMESTRAL",4,IF(#REF!="MENSUAL",12,1))))</f>
        <v>#REF!</v>
      </c>
      <c r="B214" s="80"/>
    </row>
    <row r="215" spans="1:5" s="16" customFormat="1" hidden="1">
      <c r="A215" s="80"/>
      <c r="B215" s="80"/>
    </row>
    <row r="216" spans="1:5" s="16" customFormat="1" hidden="1">
      <c r="A216" s="80" t="s">
        <v>14</v>
      </c>
      <c r="B216" s="80"/>
    </row>
    <row r="217" spans="1:5" s="16" customFormat="1" hidden="1">
      <c r="A217" s="82">
        <v>0.1</v>
      </c>
      <c r="B217" s="80"/>
    </row>
    <row r="218" spans="1:5" s="16" customFormat="1" hidden="1">
      <c r="A218" s="82">
        <v>0.15</v>
      </c>
      <c r="B218" s="80"/>
    </row>
    <row r="219" spans="1:5" s="16" customFormat="1" hidden="1">
      <c r="A219" s="80"/>
      <c r="B219" s="80"/>
    </row>
    <row r="220" spans="1:5" s="16" customFormat="1" hidden="1">
      <c r="A220" s="80"/>
      <c r="B220" s="80"/>
    </row>
    <row r="221" spans="1:5" s="16" customFormat="1" hidden="1">
      <c r="A221" s="80"/>
      <c r="B221" s="80"/>
    </row>
    <row r="222" spans="1:5" s="16" customFormat="1" hidden="1">
      <c r="A222" s="80"/>
      <c r="B222" s="80"/>
    </row>
    <row r="223" spans="1:5" s="16" customFormat="1" hidden="1">
      <c r="A223" s="80"/>
      <c r="B223" s="80"/>
    </row>
    <row r="224" spans="1:5" s="16" customFormat="1" hidden="1">
      <c r="A224" s="80"/>
      <c r="B224" s="80"/>
    </row>
    <row r="225" spans="1:2" s="16" customFormat="1" hidden="1">
      <c r="A225" s="80"/>
      <c r="B225" s="80"/>
    </row>
    <row r="226" spans="1:2" s="16" customFormat="1" hidden="1">
      <c r="A226" s="80"/>
      <c r="B226" s="80"/>
    </row>
    <row r="227" spans="1:2" s="16" customFormat="1" hidden="1">
      <c r="A227" s="80"/>
      <c r="B227" s="80"/>
    </row>
    <row r="228" spans="1:2" s="16" customFormat="1" hidden="1">
      <c r="A228" s="80"/>
      <c r="B228" s="80"/>
    </row>
    <row r="229" spans="1:2" s="16" customFormat="1" hidden="1">
      <c r="A229" s="80"/>
      <c r="B229" s="80"/>
    </row>
    <row r="230" spans="1:2" s="16" customFormat="1" hidden="1">
      <c r="A230" s="80"/>
      <c r="B230" s="80"/>
    </row>
    <row r="231" spans="1:2" s="16" customFormat="1" hidden="1">
      <c r="A231" s="80"/>
      <c r="B231" s="80"/>
    </row>
    <row r="232" spans="1:2" s="16" customFormat="1" hidden="1">
      <c r="A232" s="80"/>
      <c r="B232" s="80"/>
    </row>
    <row r="233" spans="1:2" s="16" customFormat="1" hidden="1">
      <c r="A233" s="80"/>
      <c r="B233" s="80"/>
    </row>
    <row r="234" spans="1:2"/>
    <row r="235" spans="1:2"/>
    <row r="318"/>
    <row r="319"/>
    <row r="320"/>
    <row r="321"/>
  </sheetData>
  <sheetProtection algorithmName="SHA-512" hashValue="H0cd55xQO+hUtpq66LhAZLr8T2mrIWK41Op144LVBf4TNukJNhhCTF7CDL11zYgImG88sj9JubVydcCFK4LOiw==" saltValue="9pAurO1hzK6cKL6fU998DQ==" spinCount="100000" sheet="1" objects="1" scenarios="1"/>
  <mergeCells count="26">
    <mergeCell ref="C12:K12"/>
    <mergeCell ref="C97:J97"/>
    <mergeCell ref="B9:K10"/>
    <mergeCell ref="C92:K92"/>
    <mergeCell ref="C95:K96"/>
    <mergeCell ref="C86:D86"/>
    <mergeCell ref="E84:G84"/>
    <mergeCell ref="C69:G70"/>
    <mergeCell ref="H69:H70"/>
    <mergeCell ref="I69:I70"/>
    <mergeCell ref="J69:J70"/>
    <mergeCell ref="K69:K70"/>
    <mergeCell ref="C82:D82"/>
    <mergeCell ref="C84:D84"/>
    <mergeCell ref="C75:G75"/>
    <mergeCell ref="C60:K60"/>
    <mergeCell ref="F98:K99"/>
    <mergeCell ref="C76:G76"/>
    <mergeCell ref="C77:G77"/>
    <mergeCell ref="C78:G78"/>
    <mergeCell ref="B65:K65"/>
    <mergeCell ref="C71:G71"/>
    <mergeCell ref="C72:G72"/>
    <mergeCell ref="C73:G73"/>
    <mergeCell ref="C74:G74"/>
    <mergeCell ref="C67:K67"/>
  </mergeCells>
  <phoneticPr fontId="0" type="noConversion"/>
  <conditionalFormatting sqref="E84:G84">
    <cfRule type="expression" dxfId="0" priority="1">
      <formula>$E$84="Nombre de agente"</formula>
    </cfRule>
  </conditionalFormatting>
  <printOptions horizontalCentered="1" verticalCentered="1"/>
  <pageMargins left="0.39370078740157483" right="0.39370078740157483" top="0.19685039370078741" bottom="0.35433070866141736" header="0" footer="0.23622047244094491"/>
  <pageSetup paperSize="9" scale="58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7"/>
    <pageSetUpPr fitToPage="1"/>
  </sheetPr>
  <dimension ref="A1:K177"/>
  <sheetViews>
    <sheetView windowProtection="1" showGridLines="0" showRowColHeaders="0" zoomScaleNormal="100" workbookViewId="0">
      <selection activeCell="H81" sqref="H81"/>
    </sheetView>
  </sheetViews>
  <sheetFormatPr baseColWidth="10" defaultColWidth="0" defaultRowHeight="10.5" customHeight="1" zeroHeight="1"/>
  <cols>
    <col min="1" max="1" width="3.453125" style="13" customWidth="1"/>
    <col min="2" max="2" width="3" style="14" customWidth="1"/>
    <col min="3" max="3" width="2.81640625" style="13" customWidth="1"/>
    <col min="4" max="4" width="24.26953125" style="13" customWidth="1"/>
    <col min="5" max="5" width="14.54296875" style="13" customWidth="1"/>
    <col min="6" max="6" width="19.26953125" style="13" customWidth="1"/>
    <col min="7" max="7" width="13.7265625" style="13" customWidth="1"/>
    <col min="8" max="8" width="18.81640625" style="13" customWidth="1"/>
    <col min="9" max="9" width="15.453125" style="13" customWidth="1"/>
    <col min="10" max="10" width="12.26953125" style="13" customWidth="1"/>
    <col min="11" max="11" width="17.453125" style="13" customWidth="1"/>
    <col min="12" max="12" width="13.54296875" style="13" bestFit="1" customWidth="1"/>
    <col min="13" max="16384" width="0" style="13" hidden="1"/>
  </cols>
  <sheetData>
    <row r="1" spans="1:11" s="21" customFormat="1" ht="9" customHeight="1">
      <c r="B1" s="83"/>
      <c r="C1" s="83"/>
      <c r="D1" s="83"/>
      <c r="E1" s="83"/>
      <c r="F1" s="83"/>
      <c r="G1" s="83"/>
      <c r="H1" s="83"/>
      <c r="I1" s="83"/>
      <c r="J1" s="83"/>
      <c r="K1" s="84"/>
    </row>
    <row r="2" spans="1:11" s="21" customFormat="1" ht="9">
      <c r="B2" s="83"/>
      <c r="C2" s="83"/>
      <c r="D2" s="83"/>
      <c r="E2" s="83"/>
      <c r="F2" s="83"/>
      <c r="G2" s="83"/>
      <c r="H2" s="83"/>
      <c r="I2" s="83"/>
      <c r="J2" s="83"/>
      <c r="K2" s="83"/>
    </row>
    <row r="3" spans="1:11" s="21" customFormat="1" ht="9">
      <c r="B3" s="83"/>
      <c r="C3" s="83"/>
      <c r="D3" s="83"/>
      <c r="E3" s="83"/>
      <c r="F3" s="83"/>
      <c r="G3" s="83"/>
      <c r="H3" s="83"/>
      <c r="I3" s="83"/>
      <c r="J3" s="83"/>
      <c r="K3" s="83"/>
    </row>
    <row r="4" spans="1:11" s="21" customFormat="1" ht="9">
      <c r="B4" s="83"/>
      <c r="C4" s="83"/>
      <c r="D4" s="83"/>
      <c r="E4" s="83"/>
      <c r="F4" s="83"/>
      <c r="G4" s="83"/>
      <c r="H4" s="83"/>
      <c r="I4" s="83"/>
      <c r="J4" s="83"/>
      <c r="K4" s="83"/>
    </row>
    <row r="5" spans="1:11" s="24" customFormat="1" ht="15.75" customHeight="1">
      <c r="B5" s="22"/>
      <c r="C5" s="22"/>
      <c r="D5" s="22"/>
      <c r="E5" s="22"/>
      <c r="F5" s="22"/>
      <c r="G5" s="22"/>
      <c r="H5" s="22"/>
      <c r="I5" s="22"/>
      <c r="J5" s="22"/>
      <c r="K5" s="22"/>
    </row>
    <row r="6" spans="1:11" s="21" customFormat="1" ht="11.5">
      <c r="B6" s="83"/>
      <c r="C6" s="85"/>
      <c r="D6" s="85"/>
      <c r="E6" s="85"/>
      <c r="F6" s="86"/>
      <c r="G6" s="86"/>
      <c r="H6" s="83"/>
      <c r="I6" s="83"/>
      <c r="J6" s="83"/>
      <c r="K6" s="99">
        <f ca="1">TODAY()</f>
        <v>44991</v>
      </c>
    </row>
    <row r="7" spans="1:11" s="21" customFormat="1" ht="15">
      <c r="B7" s="92" t="str">
        <f>"Apreciable  "&amp;COTIZACION!C29</f>
        <v xml:space="preserve">Apreciable  </v>
      </c>
      <c r="C7" s="12"/>
      <c r="D7" s="85"/>
      <c r="E7" s="85"/>
      <c r="F7" s="86"/>
      <c r="G7" s="86"/>
      <c r="H7" s="83"/>
      <c r="I7" s="83"/>
      <c r="J7" s="83"/>
      <c r="K7" s="19"/>
    </row>
    <row r="8" spans="1:11" s="21" customFormat="1" ht="3" customHeight="1">
      <c r="B8" s="12"/>
      <c r="C8" s="12"/>
      <c r="D8" s="85"/>
      <c r="E8" s="85"/>
      <c r="F8" s="86"/>
      <c r="G8" s="86"/>
      <c r="H8" s="83"/>
      <c r="I8" s="83"/>
      <c r="J8" s="83"/>
      <c r="K8" s="19"/>
    </row>
    <row r="9" spans="1:11" s="21" customFormat="1" ht="10.5" customHeight="1">
      <c r="B9" s="580" t="s">
        <v>339</v>
      </c>
      <c r="C9" s="581"/>
      <c r="D9" s="581"/>
      <c r="E9" s="581"/>
      <c r="F9" s="581"/>
      <c r="G9" s="581"/>
      <c r="H9" s="581"/>
      <c r="I9" s="581"/>
      <c r="J9" s="581"/>
      <c r="K9" s="581"/>
    </row>
    <row r="10" spans="1:11" s="21" customFormat="1" ht="4.5" customHeight="1">
      <c r="B10" s="581"/>
      <c r="C10" s="581"/>
      <c r="D10" s="581"/>
      <c r="E10" s="581"/>
      <c r="F10" s="581"/>
      <c r="G10" s="581"/>
      <c r="H10" s="581"/>
      <c r="I10" s="581"/>
      <c r="J10" s="581"/>
      <c r="K10" s="581"/>
    </row>
    <row r="11" spans="1:11" s="21" customFormat="1" ht="9">
      <c r="B11" s="83"/>
      <c r="C11" s="87"/>
      <c r="D11" s="87"/>
      <c r="E11" s="88"/>
      <c r="F11" s="88"/>
      <c r="G11" s="88"/>
      <c r="H11" s="83"/>
      <c r="I11" s="83"/>
      <c r="J11" s="83"/>
      <c r="K11" s="83"/>
    </row>
    <row r="12" spans="1:11" s="21" customFormat="1" ht="15.75" customHeight="1">
      <c r="A12" s="13"/>
      <c r="C12" s="582" t="s">
        <v>338</v>
      </c>
      <c r="D12" s="582"/>
      <c r="E12" s="582"/>
      <c r="F12" s="582"/>
      <c r="G12" s="582"/>
      <c r="H12" s="582"/>
      <c r="I12" s="582"/>
      <c r="J12" s="582"/>
      <c r="K12" s="582"/>
    </row>
    <row r="13" spans="1:11" ht="12.5">
      <c r="C13" s="578" t="s">
        <v>340</v>
      </c>
      <c r="D13" s="579"/>
      <c r="E13" s="579"/>
      <c r="F13" s="579"/>
      <c r="G13" s="579"/>
      <c r="H13" s="579"/>
      <c r="I13" s="579"/>
      <c r="J13" s="579"/>
      <c r="K13" s="579"/>
    </row>
    <row r="14" spans="1:11" ht="10.5" customHeight="1"/>
    <row r="15" spans="1:11" ht="12.5">
      <c r="C15" s="243" t="s">
        <v>16</v>
      </c>
      <c r="D15" s="108" t="s">
        <v>312</v>
      </c>
      <c r="E15" s="207"/>
      <c r="F15" s="207"/>
      <c r="G15" s="207"/>
      <c r="H15" s="103"/>
      <c r="I15" s="108" t="s">
        <v>341</v>
      </c>
      <c r="J15" s="103"/>
      <c r="K15" s="103"/>
    </row>
    <row r="16" spans="1:11" ht="12.5">
      <c r="C16" s="243" t="s">
        <v>16</v>
      </c>
      <c r="D16" s="108" t="s">
        <v>313</v>
      </c>
      <c r="E16" s="207"/>
      <c r="F16" s="207"/>
      <c r="G16" s="207"/>
      <c r="H16" s="103"/>
      <c r="I16" s="208">
        <v>5000</v>
      </c>
      <c r="J16" s="103" t="s">
        <v>18</v>
      </c>
    </row>
    <row r="17" spans="1:11" ht="12.5">
      <c r="C17" s="243" t="s">
        <v>16</v>
      </c>
      <c r="D17" s="108" t="s">
        <v>314</v>
      </c>
      <c r="E17" s="207"/>
      <c r="F17" s="207"/>
      <c r="G17" s="207"/>
      <c r="H17" s="103"/>
      <c r="I17" s="208">
        <v>5000</v>
      </c>
      <c r="J17" s="103" t="s">
        <v>18</v>
      </c>
    </row>
    <row r="18" spans="1:11" ht="12.5">
      <c r="C18" s="243" t="s">
        <v>16</v>
      </c>
      <c r="D18" s="108" t="s">
        <v>315</v>
      </c>
      <c r="E18" s="207"/>
      <c r="F18" s="207"/>
      <c r="G18" s="207"/>
      <c r="H18" s="103"/>
      <c r="I18" s="208">
        <v>10000</v>
      </c>
      <c r="J18" s="103" t="s">
        <v>18</v>
      </c>
    </row>
    <row r="19" spans="1:11" ht="12.5">
      <c r="C19" s="243" t="s">
        <v>16</v>
      </c>
      <c r="D19" s="108" t="s">
        <v>316</v>
      </c>
      <c r="E19" s="207"/>
      <c r="F19" s="207"/>
      <c r="G19" s="207"/>
      <c r="H19" s="103"/>
      <c r="I19" s="208">
        <v>5000</v>
      </c>
      <c r="J19" s="103" t="s">
        <v>18</v>
      </c>
    </row>
    <row r="20" spans="1:11" ht="12.5">
      <c r="C20" s="243" t="s">
        <v>16</v>
      </c>
      <c r="D20" s="108" t="s">
        <v>317</v>
      </c>
      <c r="E20" s="207"/>
      <c r="F20" s="207"/>
      <c r="G20" s="207"/>
      <c r="H20" s="103"/>
      <c r="I20" s="208">
        <v>10000</v>
      </c>
      <c r="J20" s="103" t="s">
        <v>18</v>
      </c>
    </row>
    <row r="21" spans="1:11" ht="12.5">
      <c r="C21" s="243" t="s">
        <v>16</v>
      </c>
      <c r="D21" s="108" t="s">
        <v>318</v>
      </c>
      <c r="E21" s="207"/>
      <c r="F21" s="207"/>
      <c r="G21" s="207"/>
      <c r="H21" s="103"/>
      <c r="I21" s="208">
        <v>10000</v>
      </c>
      <c r="J21" s="103" t="s">
        <v>18</v>
      </c>
    </row>
    <row r="22" spans="1:11" ht="12.5">
      <c r="C22" s="243" t="s">
        <v>16</v>
      </c>
      <c r="D22" s="108" t="s">
        <v>319</v>
      </c>
      <c r="E22" s="207"/>
      <c r="F22" s="207"/>
      <c r="G22" s="207"/>
      <c r="H22" s="103"/>
      <c r="I22" s="208">
        <v>20000</v>
      </c>
      <c r="J22" s="103" t="s">
        <v>18</v>
      </c>
    </row>
    <row r="23" spans="1:11" ht="10">
      <c r="C23" s="21"/>
      <c r="D23" s="21"/>
      <c r="E23" s="21"/>
      <c r="F23" s="21"/>
    </row>
    <row r="24" spans="1:11" s="21" customFormat="1" ht="15.75" customHeight="1">
      <c r="A24" s="13"/>
      <c r="C24" s="582" t="s">
        <v>320</v>
      </c>
      <c r="D24" s="582"/>
      <c r="E24" s="582"/>
      <c r="F24" s="582"/>
      <c r="G24" s="582"/>
      <c r="H24" s="582"/>
      <c r="I24" s="582"/>
      <c r="J24" s="582"/>
      <c r="K24" s="582"/>
    </row>
    <row r="25" spans="1:11" ht="12.5">
      <c r="C25" s="578" t="s">
        <v>311</v>
      </c>
      <c r="D25" s="579"/>
      <c r="E25" s="579"/>
      <c r="F25" s="579"/>
      <c r="G25" s="579"/>
      <c r="H25" s="579"/>
      <c r="I25" s="579"/>
      <c r="J25" s="579"/>
      <c r="K25" s="579"/>
    </row>
    <row r="26" spans="1:11" ht="10">
      <c r="C26" s="21"/>
      <c r="D26" s="21"/>
      <c r="E26" s="21"/>
      <c r="F26" s="21"/>
    </row>
    <row r="27" spans="1:11" ht="12.5">
      <c r="C27" s="243" t="s">
        <v>16</v>
      </c>
      <c r="D27" s="108" t="s">
        <v>322</v>
      </c>
      <c r="E27" s="207"/>
      <c r="F27" s="207"/>
      <c r="G27" s="207"/>
      <c r="H27" s="103"/>
      <c r="I27" s="286" t="str">
        <f>COTIZACION!$D$13</f>
        <v>10% CON TOPE DE $35,000</v>
      </c>
      <c r="J27" s="103"/>
      <c r="K27" s="103"/>
    </row>
    <row r="28" spans="1:11" ht="12.5">
      <c r="C28" s="243" t="s">
        <v>16</v>
      </c>
      <c r="D28" s="108" t="s">
        <v>328</v>
      </c>
      <c r="E28" s="207"/>
      <c r="F28" s="207"/>
      <c r="G28" s="207"/>
      <c r="H28" s="103"/>
      <c r="I28" s="286" t="str">
        <f>VLOOKUP($I$27,FACTORES!$AJ$38:$AM$41,2,0)</f>
        <v>15% CON TOPE DE $45,000</v>
      </c>
      <c r="J28" s="103"/>
    </row>
    <row r="29" spans="1:11" ht="12.5">
      <c r="C29" s="243" t="s">
        <v>16</v>
      </c>
      <c r="D29" s="108" t="s">
        <v>329</v>
      </c>
      <c r="E29" s="207"/>
      <c r="F29" s="207"/>
      <c r="G29" s="207"/>
      <c r="H29" s="103"/>
      <c r="I29" s="286" t="str">
        <f>VLOOKUP($I$27,FACTORES!$AJ$38:$AM$41,2,0)</f>
        <v>15% CON TOPE DE $45,000</v>
      </c>
      <c r="J29" s="103"/>
    </row>
    <row r="30" spans="1:11" ht="12.5">
      <c r="C30" s="243" t="s">
        <v>16</v>
      </c>
      <c r="D30" s="108" t="s">
        <v>330</v>
      </c>
      <c r="E30" s="207"/>
      <c r="F30" s="207"/>
      <c r="G30" s="207"/>
      <c r="H30" s="103"/>
      <c r="I30" s="286" t="str">
        <f>VLOOKUP($I$27,FACTORES!$AJ$38:$AM$41,2,0)</f>
        <v>15% CON TOPE DE $45,000</v>
      </c>
      <c r="J30" s="103"/>
    </row>
    <row r="31" spans="1:11" ht="12.5">
      <c r="C31" s="243" t="s">
        <v>16</v>
      </c>
      <c r="D31" s="108" t="s">
        <v>331</v>
      </c>
      <c r="E31" s="207"/>
      <c r="F31" s="207"/>
      <c r="G31" s="207"/>
      <c r="H31" s="103"/>
      <c r="I31" s="286" t="str">
        <f>VLOOKUP($I$27,FACTORES!$AJ$38:$AM$41,3,0)</f>
        <v>20% CON TOPE DE $60,000</v>
      </c>
      <c r="J31" s="103"/>
    </row>
    <row r="32" spans="1:11" ht="12.5">
      <c r="C32" s="243" t="s">
        <v>16</v>
      </c>
      <c r="D32" s="108" t="s">
        <v>332</v>
      </c>
      <c r="E32" s="207"/>
      <c r="F32" s="207"/>
      <c r="G32" s="207"/>
      <c r="H32" s="103"/>
      <c r="I32" s="286" t="str">
        <f>VLOOKUP($I$27,FACTORES!$AJ$38:$AM$41,3,0)</f>
        <v>20% CON TOPE DE $60,000</v>
      </c>
      <c r="J32" s="103"/>
    </row>
    <row r="33" spans="1:10" ht="12.5">
      <c r="C33" s="243" t="s">
        <v>16</v>
      </c>
      <c r="D33" s="108" t="s">
        <v>333</v>
      </c>
      <c r="E33" s="207"/>
      <c r="F33" s="207"/>
      <c r="G33" s="207"/>
      <c r="H33" s="103"/>
      <c r="I33" s="286" t="str">
        <f>VLOOKUP($I$27,FACTORES!$AJ$38:$AM$41,3,0)</f>
        <v>20% CON TOPE DE $60,000</v>
      </c>
      <c r="J33" s="103"/>
    </row>
    <row r="34" spans="1:10" ht="12.5">
      <c r="C34" s="243" t="s">
        <v>16</v>
      </c>
      <c r="D34" s="108" t="s">
        <v>319</v>
      </c>
      <c r="E34" s="207"/>
      <c r="F34" s="207"/>
      <c r="G34" s="207"/>
      <c r="H34" s="103"/>
      <c r="I34" s="286" t="str">
        <f>VLOOKUP($I$27,FACTORES!$AJ$38:$AM$41,4,0)</f>
        <v>25% CON TOPE DE $80,000</v>
      </c>
    </row>
    <row r="35" spans="1:10" ht="10">
      <c r="A35" s="100"/>
      <c r="C35" s="21"/>
      <c r="D35" s="21"/>
      <c r="E35" s="21"/>
      <c r="F35" s="21"/>
    </row>
    <row r="36" spans="1:10" ht="10.5" customHeight="1"/>
    <row r="37" spans="1:10" ht="15.75" customHeight="1">
      <c r="B37" s="280"/>
      <c r="C37" s="21"/>
      <c r="D37" s="21"/>
      <c r="E37" s="21"/>
      <c r="F37" s="21"/>
    </row>
    <row r="38" spans="1:10" ht="10.5" customHeight="1"/>
    <row r="135" spans="1:5" ht="12" hidden="1" customHeight="1"/>
    <row r="139" spans="1:5" ht="12.5" hidden="1">
      <c r="A139"/>
      <c r="B139"/>
      <c r="C139"/>
    </row>
    <row r="140" spans="1:5" ht="12.5" hidden="1">
      <c r="A140"/>
      <c r="B140"/>
      <c r="C140"/>
    </row>
    <row r="141" spans="1:5" s="16" customFormat="1" ht="12.5" hidden="1">
      <c r="A141"/>
      <c r="B141"/>
      <c r="C141"/>
      <c r="D141" s="13"/>
      <c r="E141" s="359"/>
    </row>
    <row r="142" spans="1:5" s="16" customFormat="1" ht="12.5" hidden="1">
      <c r="A142"/>
      <c r="B142"/>
      <c r="C142"/>
      <c r="D142" s="13"/>
      <c r="E142" s="359"/>
    </row>
    <row r="143" spans="1:5" s="16" customFormat="1" ht="12.5" hidden="1">
      <c r="A143"/>
      <c r="B143"/>
      <c r="C143"/>
      <c r="D143" s="13"/>
      <c r="E143" s="359"/>
    </row>
    <row r="144" spans="1:5" s="16" customFormat="1" ht="12.5" hidden="1">
      <c r="A144"/>
      <c r="B144"/>
      <c r="C144"/>
      <c r="D144" s="13"/>
      <c r="E144" s="359"/>
    </row>
    <row r="145" spans="1:5" s="16" customFormat="1" ht="12.5" hidden="1">
      <c r="A145"/>
      <c r="B145"/>
      <c r="C145"/>
      <c r="D145" s="13"/>
      <c r="E145" s="359"/>
    </row>
    <row r="146" spans="1:5" s="16" customFormat="1" ht="12.5" hidden="1">
      <c r="A146"/>
      <c r="B146"/>
      <c r="C146"/>
      <c r="D146" s="13"/>
      <c r="E146" s="359"/>
    </row>
    <row r="147" spans="1:5" s="16" customFormat="1" ht="12.5" hidden="1">
      <c r="A147"/>
      <c r="B147"/>
      <c r="C147"/>
      <c r="D147" s="13"/>
      <c r="E147" s="359"/>
    </row>
    <row r="148" spans="1:5" s="16" customFormat="1" ht="12.5" hidden="1">
      <c r="A148"/>
      <c r="B148"/>
      <c r="C148"/>
      <c r="D148" s="13"/>
      <c r="E148" s="359"/>
    </row>
    <row r="149" spans="1:5" s="16" customFormat="1" ht="12.5" hidden="1">
      <c r="A149"/>
      <c r="B149"/>
      <c r="C149"/>
      <c r="D149" s="13"/>
    </row>
    <row r="150" spans="1:5" s="16" customFormat="1" ht="12.5" hidden="1">
      <c r="A150"/>
      <c r="B150"/>
      <c r="C150"/>
      <c r="D150" s="13"/>
    </row>
    <row r="151" spans="1:5" s="16" customFormat="1" ht="12.5" hidden="1">
      <c r="A151"/>
      <c r="B151"/>
      <c r="C151"/>
      <c r="D151" s="13"/>
    </row>
    <row r="152" spans="1:5" s="16" customFormat="1" ht="12.5" hidden="1">
      <c r="A152"/>
      <c r="B152"/>
      <c r="C152"/>
      <c r="D152" s="13"/>
    </row>
    <row r="153" spans="1:5" s="16" customFormat="1" ht="12.5" hidden="1">
      <c r="A153"/>
      <c r="B153"/>
      <c r="C153"/>
      <c r="D153" s="13"/>
    </row>
    <row r="154" spans="1:5" s="16" customFormat="1" ht="12.5" hidden="1">
      <c r="A154"/>
      <c r="B154"/>
      <c r="C154"/>
      <c r="D154" s="13"/>
    </row>
    <row r="155" spans="1:5" s="16" customFormat="1" ht="12.5" hidden="1">
      <c r="A155"/>
      <c r="B155"/>
      <c r="C155"/>
      <c r="D155" s="13"/>
    </row>
    <row r="156" spans="1:5" s="16" customFormat="1" ht="12.5" hidden="1">
      <c r="A156"/>
      <c r="B156"/>
      <c r="C156"/>
      <c r="D156" s="13"/>
    </row>
    <row r="157" spans="1:5" s="16" customFormat="1" ht="12.5" hidden="1">
      <c r="A157"/>
      <c r="B157"/>
      <c r="C157"/>
      <c r="D157" s="13"/>
    </row>
    <row r="158" spans="1:5" s="16" customFormat="1" ht="10" hidden="1">
      <c r="A158" s="80"/>
      <c r="B158" s="80"/>
      <c r="D158" s="13"/>
    </row>
    <row r="159" spans="1:5" s="16" customFormat="1" ht="10" hidden="1">
      <c r="A159" s="80"/>
      <c r="B159" s="80"/>
      <c r="D159" s="13"/>
    </row>
    <row r="160" spans="1:5" s="16" customFormat="1" ht="10" hidden="1">
      <c r="A160" s="80"/>
      <c r="B160" s="80"/>
      <c r="D160" s="13"/>
    </row>
    <row r="161" spans="1:4" s="16" customFormat="1" ht="10" hidden="1">
      <c r="A161" s="80"/>
      <c r="B161" s="80"/>
      <c r="D161" s="13"/>
    </row>
    <row r="162" spans="1:4" s="16" customFormat="1" ht="10" hidden="1">
      <c r="A162" s="80"/>
      <c r="B162" s="80"/>
      <c r="D162" s="13"/>
    </row>
    <row r="163" spans="1:4" s="16" customFormat="1" ht="10" hidden="1">
      <c r="A163" s="80"/>
      <c r="B163" s="80"/>
      <c r="D163" s="13"/>
    </row>
    <row r="164" spans="1:4" s="16" customFormat="1" ht="10" hidden="1">
      <c r="A164" s="80"/>
      <c r="B164" s="80"/>
      <c r="D164" s="13"/>
    </row>
    <row r="165" spans="1:4" s="16" customFormat="1" ht="10" hidden="1">
      <c r="A165" s="80"/>
      <c r="B165" s="80"/>
      <c r="D165" s="13"/>
    </row>
    <row r="166" spans="1:4" s="16" customFormat="1" ht="10" hidden="1">
      <c r="A166" s="80"/>
      <c r="B166" s="80"/>
      <c r="D166" s="13"/>
    </row>
    <row r="167" spans="1:4" s="16" customFormat="1" ht="10" hidden="1">
      <c r="A167" s="80"/>
      <c r="B167" s="80"/>
      <c r="D167" s="13"/>
    </row>
    <row r="168" spans="1:4" s="16" customFormat="1" ht="10" hidden="1">
      <c r="A168" s="80"/>
      <c r="B168" s="80"/>
      <c r="D168" s="13"/>
    </row>
    <row r="169" spans="1:4" s="16" customFormat="1" ht="10" hidden="1">
      <c r="A169" s="80"/>
      <c r="B169" s="80"/>
      <c r="D169" s="13"/>
    </row>
    <row r="170" spans="1:4" s="16" customFormat="1" ht="10">
      <c r="A170" s="80"/>
      <c r="B170" s="80"/>
      <c r="D170" s="13"/>
    </row>
    <row r="171" spans="1:4" ht="10.5" customHeight="1"/>
    <row r="172" spans="1:4" ht="10.5" customHeight="1"/>
    <row r="173" spans="1:4" ht="10.5" customHeight="1"/>
    <row r="174" spans="1:4" ht="10.5" customHeight="1"/>
    <row r="175" spans="1:4" ht="10.5" customHeight="1"/>
    <row r="176" spans="1:4" ht="10.5" customHeight="1"/>
    <row r="177" ht="10.5" customHeight="1"/>
  </sheetData>
  <sheetProtection password="F6B9" sheet="1" objects="1" scenarios="1"/>
  <mergeCells count="5">
    <mergeCell ref="C25:K25"/>
    <mergeCell ref="B9:K10"/>
    <mergeCell ref="C12:K12"/>
    <mergeCell ref="C13:K13"/>
    <mergeCell ref="C24:K24"/>
  </mergeCells>
  <printOptions horizontalCentered="1" verticalCentered="1"/>
  <pageMargins left="0.39370078740157483" right="0.39370078740157483" top="0.19685039370078741" bottom="0.35433070866141736" header="0" footer="0.23622047244094491"/>
  <pageSetup paperSize="9" scale="62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P104"/>
  <sheetViews>
    <sheetView windowProtection="1" showGridLines="0" zoomScaleNormal="100" workbookViewId="0">
      <selection activeCell="B12" sqref="B12:I12"/>
    </sheetView>
  </sheetViews>
  <sheetFormatPr baseColWidth="10" defaultColWidth="11.453125" defaultRowHeight="12.5" zeroHeight="1"/>
  <cols>
    <col min="1" max="1" width="2.453125" style="115" customWidth="1"/>
    <col min="2" max="2" width="7.453125" style="122" hidden="1" customWidth="1"/>
    <col min="3" max="4" width="11.26953125" style="115" hidden="1" customWidth="1"/>
    <col min="5" max="5" width="1.81640625" style="115" hidden="1" customWidth="1"/>
    <col min="6" max="6" width="7.453125" style="122" hidden="1" customWidth="1"/>
    <col min="7" max="8" width="11.26953125" style="115" hidden="1" customWidth="1"/>
    <col min="9" max="9" width="1.81640625" style="115" hidden="1" customWidth="1"/>
    <col min="10" max="10" width="6.7265625" style="122" hidden="1" customWidth="1"/>
    <col min="11" max="12" width="11.26953125" style="115" hidden="1" customWidth="1"/>
    <col min="13" max="13" width="1.81640625" style="115" hidden="1" customWidth="1"/>
    <col min="14" max="14" width="6.7265625" style="122" hidden="1" customWidth="1"/>
    <col min="15" max="16" width="11.26953125" style="115" hidden="1" customWidth="1"/>
    <col min="17" max="27" width="0" style="115" hidden="1" customWidth="1"/>
    <col min="28" max="16384" width="11.453125" style="115"/>
  </cols>
  <sheetData>
    <row r="1" spans="2:16">
      <c r="J1" s="255" t="s">
        <v>247</v>
      </c>
      <c r="N1" s="255" t="s">
        <v>248</v>
      </c>
    </row>
    <row r="2" spans="2:16" hidden="1">
      <c r="B2" s="253" t="s">
        <v>242</v>
      </c>
      <c r="F2" s="252" t="s">
        <v>246</v>
      </c>
      <c r="G2" s="229"/>
      <c r="H2" s="229"/>
      <c r="J2" s="251" t="s">
        <v>245</v>
      </c>
      <c r="K2" s="249"/>
      <c r="L2" s="249"/>
      <c r="N2" s="251" t="s">
        <v>245</v>
      </c>
      <c r="O2" s="249"/>
      <c r="P2" s="249"/>
    </row>
    <row r="3" spans="2:16" hidden="1">
      <c r="B3" s="230" t="s">
        <v>5</v>
      </c>
      <c r="C3" s="231" t="s">
        <v>3</v>
      </c>
      <c r="D3" s="232" t="s">
        <v>4</v>
      </c>
      <c r="F3" s="230" t="s">
        <v>5</v>
      </c>
      <c r="G3" s="231" t="s">
        <v>3</v>
      </c>
      <c r="H3" s="232" t="s">
        <v>4</v>
      </c>
      <c r="J3" s="230" t="s">
        <v>5</v>
      </c>
      <c r="K3" s="231" t="s">
        <v>3</v>
      </c>
      <c r="L3" s="232" t="s">
        <v>4</v>
      </c>
      <c r="N3" s="230" t="s">
        <v>5</v>
      </c>
      <c r="O3" s="231" t="s">
        <v>3</v>
      </c>
      <c r="P3" s="232" t="s">
        <v>4</v>
      </c>
    </row>
    <row r="4" spans="2:16" hidden="1">
      <c r="B4" s="157">
        <v>0</v>
      </c>
      <c r="C4" s="111">
        <v>3860.33</v>
      </c>
      <c r="D4" s="148">
        <v>3860.33</v>
      </c>
      <c r="F4" s="157">
        <v>0</v>
      </c>
      <c r="G4" s="111">
        <f>+C4*1.12</f>
        <v>4323.5696000000007</v>
      </c>
      <c r="H4" s="148">
        <f>+D4*1.12</f>
        <v>4323.5696000000007</v>
      </c>
      <c r="J4" s="157">
        <v>0</v>
      </c>
      <c r="K4" s="111">
        <f>+G4*1.4</f>
        <v>6052.997440000001</v>
      </c>
      <c r="L4" s="148">
        <f t="shared" ref="L4:L23" si="0">+H4*1.4</f>
        <v>6052.997440000001</v>
      </c>
      <c r="N4" s="157">
        <v>0</v>
      </c>
      <c r="O4" s="111">
        <f>+G4*1.2</f>
        <v>5188.2835200000009</v>
      </c>
      <c r="P4" s="148">
        <f t="shared" ref="P4:P23" si="1">+H4*1.2</f>
        <v>5188.2835200000009</v>
      </c>
    </row>
    <row r="5" spans="2:16" hidden="1">
      <c r="B5" s="158">
        <v>1</v>
      </c>
      <c r="C5" s="147">
        <v>3860.33</v>
      </c>
      <c r="D5" s="150">
        <v>3860.33</v>
      </c>
      <c r="F5" s="158">
        <v>1</v>
      </c>
      <c r="G5" s="147">
        <f t="shared" ref="G5:H20" si="2">+C5*1.12</f>
        <v>4323.5696000000007</v>
      </c>
      <c r="H5" s="150">
        <f t="shared" si="2"/>
        <v>4323.5696000000007</v>
      </c>
      <c r="J5" s="158">
        <v>1</v>
      </c>
      <c r="K5" s="147">
        <f t="shared" ref="K5:K22" si="3">+G5*1.4</f>
        <v>6052.997440000001</v>
      </c>
      <c r="L5" s="150">
        <f t="shared" si="0"/>
        <v>6052.997440000001</v>
      </c>
      <c r="N5" s="158">
        <v>1</v>
      </c>
      <c r="O5" s="147">
        <f t="shared" ref="O5:O22" si="4">+G5*1.2</f>
        <v>5188.2835200000009</v>
      </c>
      <c r="P5" s="150">
        <f t="shared" si="1"/>
        <v>5188.2835200000009</v>
      </c>
    </row>
    <row r="6" spans="2:16" hidden="1">
      <c r="B6" s="157">
        <v>2</v>
      </c>
      <c r="C6" s="111">
        <v>3860.33</v>
      </c>
      <c r="D6" s="148">
        <v>3860.33</v>
      </c>
      <c r="F6" s="157">
        <v>2</v>
      </c>
      <c r="G6" s="111">
        <f t="shared" si="2"/>
        <v>4323.5696000000007</v>
      </c>
      <c r="H6" s="148">
        <f t="shared" si="2"/>
        <v>4323.5696000000007</v>
      </c>
      <c r="J6" s="157">
        <v>2</v>
      </c>
      <c r="K6" s="111">
        <f t="shared" si="3"/>
        <v>6052.997440000001</v>
      </c>
      <c r="L6" s="148">
        <f t="shared" si="0"/>
        <v>6052.997440000001</v>
      </c>
      <c r="N6" s="157">
        <v>2</v>
      </c>
      <c r="O6" s="111">
        <f t="shared" si="4"/>
        <v>5188.2835200000009</v>
      </c>
      <c r="P6" s="148">
        <f t="shared" si="1"/>
        <v>5188.2835200000009</v>
      </c>
    </row>
    <row r="7" spans="2:16" hidden="1">
      <c r="B7" s="158">
        <v>3</v>
      </c>
      <c r="C7" s="147">
        <v>3860.33</v>
      </c>
      <c r="D7" s="150">
        <v>3860.33</v>
      </c>
      <c r="F7" s="158">
        <v>3</v>
      </c>
      <c r="G7" s="147">
        <f t="shared" si="2"/>
        <v>4323.5696000000007</v>
      </c>
      <c r="H7" s="150">
        <f t="shared" si="2"/>
        <v>4323.5696000000007</v>
      </c>
      <c r="J7" s="158">
        <v>3</v>
      </c>
      <c r="K7" s="147">
        <f t="shared" si="3"/>
        <v>6052.997440000001</v>
      </c>
      <c r="L7" s="150">
        <f t="shared" si="0"/>
        <v>6052.997440000001</v>
      </c>
      <c r="N7" s="158">
        <v>3</v>
      </c>
      <c r="O7" s="147">
        <f t="shared" si="4"/>
        <v>5188.2835200000009</v>
      </c>
      <c r="P7" s="150">
        <f t="shared" si="1"/>
        <v>5188.2835200000009</v>
      </c>
    </row>
    <row r="8" spans="2:16" hidden="1">
      <c r="B8" s="157">
        <v>4</v>
      </c>
      <c r="C8" s="111">
        <v>3860.33</v>
      </c>
      <c r="D8" s="148">
        <v>3860.33</v>
      </c>
      <c r="F8" s="157">
        <v>4</v>
      </c>
      <c r="G8" s="111">
        <f t="shared" si="2"/>
        <v>4323.5696000000007</v>
      </c>
      <c r="H8" s="148">
        <f t="shared" si="2"/>
        <v>4323.5696000000007</v>
      </c>
      <c r="J8" s="157">
        <v>4</v>
      </c>
      <c r="K8" s="111">
        <f t="shared" si="3"/>
        <v>6052.997440000001</v>
      </c>
      <c r="L8" s="148">
        <f t="shared" si="0"/>
        <v>6052.997440000001</v>
      </c>
      <c r="N8" s="157">
        <v>4</v>
      </c>
      <c r="O8" s="111">
        <f t="shared" si="4"/>
        <v>5188.2835200000009</v>
      </c>
      <c r="P8" s="148">
        <f t="shared" si="1"/>
        <v>5188.2835200000009</v>
      </c>
    </row>
    <row r="9" spans="2:16" hidden="1">
      <c r="B9" s="158">
        <v>5</v>
      </c>
      <c r="C9" s="147">
        <v>3860.33</v>
      </c>
      <c r="D9" s="150">
        <v>3860.33</v>
      </c>
      <c r="F9" s="158">
        <v>5</v>
      </c>
      <c r="G9" s="147">
        <f t="shared" si="2"/>
        <v>4323.5696000000007</v>
      </c>
      <c r="H9" s="150">
        <f t="shared" si="2"/>
        <v>4323.5696000000007</v>
      </c>
      <c r="J9" s="158">
        <v>5</v>
      </c>
      <c r="K9" s="147">
        <f t="shared" si="3"/>
        <v>6052.997440000001</v>
      </c>
      <c r="L9" s="150">
        <f t="shared" si="0"/>
        <v>6052.997440000001</v>
      </c>
      <c r="N9" s="158">
        <v>5</v>
      </c>
      <c r="O9" s="147">
        <f t="shared" si="4"/>
        <v>5188.2835200000009</v>
      </c>
      <c r="P9" s="150">
        <f t="shared" si="1"/>
        <v>5188.2835200000009</v>
      </c>
    </row>
    <row r="10" spans="2:16" hidden="1">
      <c r="B10" s="157">
        <v>6</v>
      </c>
      <c r="C10" s="111">
        <v>3860.33</v>
      </c>
      <c r="D10" s="148">
        <v>3860.33</v>
      </c>
      <c r="F10" s="157">
        <v>6</v>
      </c>
      <c r="G10" s="111">
        <f t="shared" si="2"/>
        <v>4323.5696000000007</v>
      </c>
      <c r="H10" s="148">
        <f t="shared" si="2"/>
        <v>4323.5696000000007</v>
      </c>
      <c r="J10" s="157">
        <v>6</v>
      </c>
      <c r="K10" s="111">
        <f t="shared" si="3"/>
        <v>6052.997440000001</v>
      </c>
      <c r="L10" s="148">
        <f t="shared" si="0"/>
        <v>6052.997440000001</v>
      </c>
      <c r="N10" s="157">
        <v>6</v>
      </c>
      <c r="O10" s="111">
        <f t="shared" si="4"/>
        <v>5188.2835200000009</v>
      </c>
      <c r="P10" s="148">
        <f t="shared" si="1"/>
        <v>5188.2835200000009</v>
      </c>
    </row>
    <row r="11" spans="2:16" hidden="1">
      <c r="B11" s="158">
        <v>7</v>
      </c>
      <c r="C11" s="147">
        <v>3860.33</v>
      </c>
      <c r="D11" s="150">
        <v>3860.33</v>
      </c>
      <c r="F11" s="158">
        <v>7</v>
      </c>
      <c r="G11" s="147">
        <f t="shared" si="2"/>
        <v>4323.5696000000007</v>
      </c>
      <c r="H11" s="150">
        <f t="shared" si="2"/>
        <v>4323.5696000000007</v>
      </c>
      <c r="J11" s="158">
        <v>7</v>
      </c>
      <c r="K11" s="147">
        <f t="shared" si="3"/>
        <v>6052.997440000001</v>
      </c>
      <c r="L11" s="150">
        <f t="shared" si="0"/>
        <v>6052.997440000001</v>
      </c>
      <c r="N11" s="158">
        <v>7</v>
      </c>
      <c r="O11" s="147">
        <f t="shared" si="4"/>
        <v>5188.2835200000009</v>
      </c>
      <c r="P11" s="150">
        <f t="shared" si="1"/>
        <v>5188.2835200000009</v>
      </c>
    </row>
    <row r="12" spans="2:16" hidden="1">
      <c r="B12" s="157">
        <v>8</v>
      </c>
      <c r="C12" s="111">
        <v>3860.33</v>
      </c>
      <c r="D12" s="148">
        <v>3860.33</v>
      </c>
      <c r="F12" s="157">
        <v>8</v>
      </c>
      <c r="G12" s="111">
        <f t="shared" si="2"/>
        <v>4323.5696000000007</v>
      </c>
      <c r="H12" s="148">
        <f t="shared" si="2"/>
        <v>4323.5696000000007</v>
      </c>
      <c r="J12" s="157">
        <v>8</v>
      </c>
      <c r="K12" s="111">
        <f t="shared" si="3"/>
        <v>6052.997440000001</v>
      </c>
      <c r="L12" s="148">
        <f t="shared" si="0"/>
        <v>6052.997440000001</v>
      </c>
      <c r="N12" s="157">
        <v>8</v>
      </c>
      <c r="O12" s="111">
        <f t="shared" si="4"/>
        <v>5188.2835200000009</v>
      </c>
      <c r="P12" s="148">
        <f t="shared" si="1"/>
        <v>5188.2835200000009</v>
      </c>
    </row>
    <row r="13" spans="2:16" hidden="1">
      <c r="B13" s="158">
        <v>9</v>
      </c>
      <c r="C13" s="147">
        <v>3860.33</v>
      </c>
      <c r="D13" s="150">
        <v>3860.33</v>
      </c>
      <c r="F13" s="158">
        <v>9</v>
      </c>
      <c r="G13" s="147">
        <f t="shared" si="2"/>
        <v>4323.5696000000007</v>
      </c>
      <c r="H13" s="150">
        <f t="shared" si="2"/>
        <v>4323.5696000000007</v>
      </c>
      <c r="J13" s="158">
        <v>9</v>
      </c>
      <c r="K13" s="147">
        <f t="shared" si="3"/>
        <v>6052.997440000001</v>
      </c>
      <c r="L13" s="150">
        <f t="shared" si="0"/>
        <v>6052.997440000001</v>
      </c>
      <c r="N13" s="158">
        <v>9</v>
      </c>
      <c r="O13" s="147">
        <f t="shared" si="4"/>
        <v>5188.2835200000009</v>
      </c>
      <c r="P13" s="150">
        <f t="shared" si="1"/>
        <v>5188.2835200000009</v>
      </c>
    </row>
    <row r="14" spans="2:16" hidden="1">
      <c r="B14" s="157">
        <v>10</v>
      </c>
      <c r="C14" s="111">
        <v>3860.33</v>
      </c>
      <c r="D14" s="148">
        <v>3860.33</v>
      </c>
      <c r="F14" s="157">
        <v>10</v>
      </c>
      <c r="G14" s="111">
        <f t="shared" si="2"/>
        <v>4323.5696000000007</v>
      </c>
      <c r="H14" s="148">
        <f t="shared" si="2"/>
        <v>4323.5696000000007</v>
      </c>
      <c r="J14" s="157">
        <v>10</v>
      </c>
      <c r="K14" s="111">
        <f t="shared" si="3"/>
        <v>6052.997440000001</v>
      </c>
      <c r="L14" s="148">
        <f t="shared" si="0"/>
        <v>6052.997440000001</v>
      </c>
      <c r="N14" s="157">
        <v>10</v>
      </c>
      <c r="O14" s="111">
        <f t="shared" si="4"/>
        <v>5188.2835200000009</v>
      </c>
      <c r="P14" s="148">
        <f t="shared" si="1"/>
        <v>5188.2835200000009</v>
      </c>
    </row>
    <row r="15" spans="2:16" hidden="1">
      <c r="B15" s="158">
        <v>11</v>
      </c>
      <c r="C15" s="147">
        <v>3860.33</v>
      </c>
      <c r="D15" s="150">
        <v>3860.33</v>
      </c>
      <c r="F15" s="158">
        <v>11</v>
      </c>
      <c r="G15" s="147">
        <f t="shared" si="2"/>
        <v>4323.5696000000007</v>
      </c>
      <c r="H15" s="150">
        <f t="shared" si="2"/>
        <v>4323.5696000000007</v>
      </c>
      <c r="J15" s="158">
        <v>11</v>
      </c>
      <c r="K15" s="147">
        <f t="shared" si="3"/>
        <v>6052.997440000001</v>
      </c>
      <c r="L15" s="150">
        <f t="shared" si="0"/>
        <v>6052.997440000001</v>
      </c>
      <c r="N15" s="158">
        <v>11</v>
      </c>
      <c r="O15" s="147">
        <f t="shared" si="4"/>
        <v>5188.2835200000009</v>
      </c>
      <c r="P15" s="150">
        <f t="shared" si="1"/>
        <v>5188.2835200000009</v>
      </c>
    </row>
    <row r="16" spans="2:16" hidden="1">
      <c r="B16" s="157">
        <v>12</v>
      </c>
      <c r="C16" s="111">
        <v>3860.33</v>
      </c>
      <c r="D16" s="148">
        <v>3860.33</v>
      </c>
      <c r="F16" s="157">
        <v>12</v>
      </c>
      <c r="G16" s="111">
        <f t="shared" si="2"/>
        <v>4323.5696000000007</v>
      </c>
      <c r="H16" s="148">
        <f t="shared" si="2"/>
        <v>4323.5696000000007</v>
      </c>
      <c r="J16" s="157">
        <v>12</v>
      </c>
      <c r="K16" s="111">
        <f t="shared" si="3"/>
        <v>6052.997440000001</v>
      </c>
      <c r="L16" s="148">
        <f t="shared" si="0"/>
        <v>6052.997440000001</v>
      </c>
      <c r="N16" s="157">
        <v>12</v>
      </c>
      <c r="O16" s="111">
        <f t="shared" si="4"/>
        <v>5188.2835200000009</v>
      </c>
      <c r="P16" s="148">
        <f t="shared" si="1"/>
        <v>5188.2835200000009</v>
      </c>
    </row>
    <row r="17" spans="2:16" hidden="1">
      <c r="B17" s="158">
        <v>13</v>
      </c>
      <c r="C17" s="147">
        <v>3860.33</v>
      </c>
      <c r="D17" s="150">
        <v>3860.33</v>
      </c>
      <c r="F17" s="158">
        <v>13</v>
      </c>
      <c r="G17" s="147">
        <f t="shared" si="2"/>
        <v>4323.5696000000007</v>
      </c>
      <c r="H17" s="150">
        <f t="shared" si="2"/>
        <v>4323.5696000000007</v>
      </c>
      <c r="J17" s="158">
        <v>13</v>
      </c>
      <c r="K17" s="147">
        <f t="shared" si="3"/>
        <v>6052.997440000001</v>
      </c>
      <c r="L17" s="150">
        <f t="shared" si="0"/>
        <v>6052.997440000001</v>
      </c>
      <c r="N17" s="158">
        <v>13</v>
      </c>
      <c r="O17" s="147">
        <f t="shared" si="4"/>
        <v>5188.2835200000009</v>
      </c>
      <c r="P17" s="150">
        <f t="shared" si="1"/>
        <v>5188.2835200000009</v>
      </c>
    </row>
    <row r="18" spans="2:16" hidden="1">
      <c r="B18" s="157">
        <v>14</v>
      </c>
      <c r="C18" s="111">
        <v>3860.33</v>
      </c>
      <c r="D18" s="148">
        <v>3860.33</v>
      </c>
      <c r="F18" s="157">
        <v>14</v>
      </c>
      <c r="G18" s="111">
        <f t="shared" si="2"/>
        <v>4323.5696000000007</v>
      </c>
      <c r="H18" s="148">
        <f t="shared" si="2"/>
        <v>4323.5696000000007</v>
      </c>
      <c r="J18" s="157">
        <v>14</v>
      </c>
      <c r="K18" s="111">
        <f t="shared" si="3"/>
        <v>6052.997440000001</v>
      </c>
      <c r="L18" s="148">
        <f t="shared" si="0"/>
        <v>6052.997440000001</v>
      </c>
      <c r="N18" s="157">
        <v>14</v>
      </c>
      <c r="O18" s="111">
        <f t="shared" si="4"/>
        <v>5188.2835200000009</v>
      </c>
      <c r="P18" s="148">
        <f t="shared" si="1"/>
        <v>5188.2835200000009</v>
      </c>
    </row>
    <row r="19" spans="2:16" hidden="1">
      <c r="B19" s="158">
        <v>15</v>
      </c>
      <c r="C19" s="147">
        <v>3860.33</v>
      </c>
      <c r="D19" s="150">
        <v>3860.33</v>
      </c>
      <c r="F19" s="158">
        <v>15</v>
      </c>
      <c r="G19" s="147">
        <f t="shared" si="2"/>
        <v>4323.5696000000007</v>
      </c>
      <c r="H19" s="150">
        <f t="shared" si="2"/>
        <v>4323.5696000000007</v>
      </c>
      <c r="J19" s="158">
        <v>15</v>
      </c>
      <c r="K19" s="147">
        <f t="shared" si="3"/>
        <v>6052.997440000001</v>
      </c>
      <c r="L19" s="150">
        <f t="shared" si="0"/>
        <v>6052.997440000001</v>
      </c>
      <c r="N19" s="158">
        <v>15</v>
      </c>
      <c r="O19" s="147">
        <f t="shared" si="4"/>
        <v>5188.2835200000009</v>
      </c>
      <c r="P19" s="150">
        <f t="shared" si="1"/>
        <v>5188.2835200000009</v>
      </c>
    </row>
    <row r="20" spans="2:16" hidden="1">
      <c r="B20" s="157">
        <v>16</v>
      </c>
      <c r="C20" s="111">
        <v>3860.33</v>
      </c>
      <c r="D20" s="148">
        <v>3860.33</v>
      </c>
      <c r="F20" s="157">
        <v>16</v>
      </c>
      <c r="G20" s="111">
        <f t="shared" si="2"/>
        <v>4323.5696000000007</v>
      </c>
      <c r="H20" s="148">
        <f t="shared" si="2"/>
        <v>4323.5696000000007</v>
      </c>
      <c r="J20" s="157">
        <v>16</v>
      </c>
      <c r="K20" s="111">
        <f t="shared" si="3"/>
        <v>6052.997440000001</v>
      </c>
      <c r="L20" s="148">
        <f t="shared" si="0"/>
        <v>6052.997440000001</v>
      </c>
      <c r="N20" s="157">
        <v>16</v>
      </c>
      <c r="O20" s="111">
        <f t="shared" si="4"/>
        <v>5188.2835200000009</v>
      </c>
      <c r="P20" s="148">
        <f t="shared" si="1"/>
        <v>5188.2835200000009</v>
      </c>
    </row>
    <row r="21" spans="2:16" hidden="1">
      <c r="B21" s="158">
        <v>17</v>
      </c>
      <c r="C21" s="147">
        <v>3860.33</v>
      </c>
      <c r="D21" s="150">
        <v>3860.33</v>
      </c>
      <c r="F21" s="158">
        <v>17</v>
      </c>
      <c r="G21" s="147">
        <f t="shared" ref="G21:H72" si="5">+C21*1.12</f>
        <v>4323.5696000000007</v>
      </c>
      <c r="H21" s="150">
        <f t="shared" si="5"/>
        <v>4323.5696000000007</v>
      </c>
      <c r="J21" s="158">
        <v>17</v>
      </c>
      <c r="K21" s="147">
        <f t="shared" si="3"/>
        <v>6052.997440000001</v>
      </c>
      <c r="L21" s="150">
        <f t="shared" si="0"/>
        <v>6052.997440000001</v>
      </c>
      <c r="N21" s="158">
        <v>17</v>
      </c>
      <c r="O21" s="147">
        <f t="shared" si="4"/>
        <v>5188.2835200000009</v>
      </c>
      <c r="P21" s="150">
        <f t="shared" si="1"/>
        <v>5188.2835200000009</v>
      </c>
    </row>
    <row r="22" spans="2:16" hidden="1">
      <c r="B22" s="157">
        <v>18</v>
      </c>
      <c r="C22" s="111">
        <v>3860.33</v>
      </c>
      <c r="D22" s="148">
        <v>3860.33</v>
      </c>
      <c r="F22" s="157">
        <v>18</v>
      </c>
      <c r="G22" s="111">
        <f t="shared" si="5"/>
        <v>4323.5696000000007</v>
      </c>
      <c r="H22" s="148">
        <f t="shared" si="5"/>
        <v>4323.5696000000007</v>
      </c>
      <c r="J22" s="157">
        <v>18</v>
      </c>
      <c r="K22" s="111">
        <f t="shared" si="3"/>
        <v>6052.997440000001</v>
      </c>
      <c r="L22" s="148">
        <f t="shared" si="0"/>
        <v>6052.997440000001</v>
      </c>
      <c r="N22" s="157">
        <v>18</v>
      </c>
      <c r="O22" s="111">
        <f t="shared" si="4"/>
        <v>5188.2835200000009</v>
      </c>
      <c r="P22" s="148">
        <f t="shared" si="1"/>
        <v>5188.2835200000009</v>
      </c>
    </row>
    <row r="23" spans="2:16" hidden="1">
      <c r="B23" s="158">
        <v>19</v>
      </c>
      <c r="C23" s="147">
        <v>3860.33</v>
      </c>
      <c r="D23" s="150">
        <v>3860.33</v>
      </c>
      <c r="F23" s="158">
        <v>19</v>
      </c>
      <c r="G23" s="147">
        <f t="shared" si="5"/>
        <v>4323.5696000000007</v>
      </c>
      <c r="H23" s="150">
        <f t="shared" si="5"/>
        <v>4323.5696000000007</v>
      </c>
      <c r="J23" s="158">
        <v>19</v>
      </c>
      <c r="K23" s="147">
        <f>+G23*1.4</f>
        <v>6052.997440000001</v>
      </c>
      <c r="L23" s="150">
        <f t="shared" si="0"/>
        <v>6052.997440000001</v>
      </c>
      <c r="N23" s="158">
        <v>19</v>
      </c>
      <c r="O23" s="147">
        <f>+G23*1.2</f>
        <v>5188.2835200000009</v>
      </c>
      <c r="P23" s="150">
        <f t="shared" si="1"/>
        <v>5188.2835200000009</v>
      </c>
    </row>
    <row r="24" spans="2:16" hidden="1">
      <c r="B24" s="157">
        <v>20</v>
      </c>
      <c r="C24" s="111">
        <v>5204.2</v>
      </c>
      <c r="D24" s="148">
        <v>6177.15</v>
      </c>
      <c r="F24" s="157">
        <v>20</v>
      </c>
      <c r="G24" s="111">
        <f t="shared" si="5"/>
        <v>5828.7040000000006</v>
      </c>
      <c r="H24" s="148">
        <f t="shared" si="5"/>
        <v>6918.4080000000004</v>
      </c>
      <c r="J24" s="157">
        <v>20</v>
      </c>
      <c r="K24" s="111">
        <f>+G24*1.2</f>
        <v>6994.4448000000002</v>
      </c>
      <c r="L24" s="148">
        <f t="shared" ref="L24:L87" si="6">+H24*1.2</f>
        <v>8302.0895999999993</v>
      </c>
      <c r="N24" s="157">
        <v>20</v>
      </c>
      <c r="O24" s="111">
        <f>+G24*1.15</f>
        <v>6703.0096000000003</v>
      </c>
      <c r="P24" s="148">
        <f t="shared" ref="P24:P87" si="7">+H24*1.15</f>
        <v>7956.1691999999994</v>
      </c>
    </row>
    <row r="25" spans="2:16" hidden="1">
      <c r="B25" s="158">
        <v>21</v>
      </c>
      <c r="C25" s="147">
        <v>5749.06</v>
      </c>
      <c r="D25" s="150">
        <v>7225.07</v>
      </c>
      <c r="F25" s="158">
        <v>21</v>
      </c>
      <c r="G25" s="147">
        <f t="shared" si="5"/>
        <v>6438.9472000000014</v>
      </c>
      <c r="H25" s="150">
        <f t="shared" si="5"/>
        <v>8092.0784000000003</v>
      </c>
      <c r="J25" s="158">
        <v>21</v>
      </c>
      <c r="K25" s="147">
        <f t="shared" ref="K25:L88" si="8">+G25*1.2</f>
        <v>7726.736640000001</v>
      </c>
      <c r="L25" s="150">
        <f t="shared" si="6"/>
        <v>9710.4940800000004</v>
      </c>
      <c r="N25" s="158">
        <v>21</v>
      </c>
      <c r="O25" s="147">
        <f t="shared" ref="O25:P88" si="9">+G25*1.15</f>
        <v>7404.7892800000009</v>
      </c>
      <c r="P25" s="150">
        <f t="shared" si="7"/>
        <v>9305.890159999999</v>
      </c>
    </row>
    <row r="26" spans="2:16" hidden="1">
      <c r="B26" s="157">
        <v>22</v>
      </c>
      <c r="C26" s="111">
        <v>6350.96</v>
      </c>
      <c r="D26" s="148">
        <v>8450.77</v>
      </c>
      <c r="F26" s="157">
        <v>22</v>
      </c>
      <c r="G26" s="111">
        <f t="shared" si="5"/>
        <v>7113.0752000000011</v>
      </c>
      <c r="H26" s="148">
        <f t="shared" si="5"/>
        <v>9464.8624000000018</v>
      </c>
      <c r="J26" s="157">
        <v>22</v>
      </c>
      <c r="K26" s="111">
        <f t="shared" si="8"/>
        <v>8535.6902400000017</v>
      </c>
      <c r="L26" s="148">
        <f t="shared" si="6"/>
        <v>11357.834880000002</v>
      </c>
      <c r="N26" s="157">
        <v>22</v>
      </c>
      <c r="O26" s="111">
        <f t="shared" si="9"/>
        <v>8180.0364800000007</v>
      </c>
      <c r="P26" s="148">
        <f t="shared" si="7"/>
        <v>10884.591760000001</v>
      </c>
    </row>
    <row r="27" spans="2:16" hidden="1">
      <c r="B27" s="158">
        <v>23</v>
      </c>
      <c r="C27" s="147">
        <v>6837.31</v>
      </c>
      <c r="D27" s="150">
        <v>8757.84</v>
      </c>
      <c r="F27" s="158">
        <v>23</v>
      </c>
      <c r="G27" s="147">
        <f t="shared" si="5"/>
        <v>7657.7872000000016</v>
      </c>
      <c r="H27" s="150">
        <f t="shared" si="5"/>
        <v>9808.7808000000005</v>
      </c>
      <c r="J27" s="158">
        <v>23</v>
      </c>
      <c r="K27" s="147">
        <f t="shared" si="8"/>
        <v>9189.3446400000012</v>
      </c>
      <c r="L27" s="150">
        <f t="shared" si="6"/>
        <v>11770.536959999999</v>
      </c>
      <c r="N27" s="158">
        <v>23</v>
      </c>
      <c r="O27" s="147">
        <f t="shared" si="9"/>
        <v>8806.4552800000019</v>
      </c>
      <c r="P27" s="150">
        <f t="shared" si="7"/>
        <v>11280.09792</v>
      </c>
    </row>
    <row r="28" spans="2:16" hidden="1">
      <c r="B28" s="157">
        <v>24</v>
      </c>
      <c r="C28" s="111">
        <v>7360.9</v>
      </c>
      <c r="D28" s="148">
        <v>9076.06</v>
      </c>
      <c r="F28" s="157">
        <v>24</v>
      </c>
      <c r="G28" s="111">
        <f t="shared" si="5"/>
        <v>8244.2080000000005</v>
      </c>
      <c r="H28" s="148">
        <f t="shared" si="5"/>
        <v>10165.1872</v>
      </c>
      <c r="J28" s="157">
        <v>24</v>
      </c>
      <c r="K28" s="111">
        <f t="shared" si="8"/>
        <v>9893.0496000000003</v>
      </c>
      <c r="L28" s="148">
        <f t="shared" si="6"/>
        <v>12198.22464</v>
      </c>
      <c r="N28" s="157">
        <v>24</v>
      </c>
      <c r="O28" s="111">
        <f t="shared" si="9"/>
        <v>9480.8392000000003</v>
      </c>
      <c r="P28" s="148">
        <f t="shared" si="7"/>
        <v>11689.96528</v>
      </c>
    </row>
    <row r="29" spans="2:16" hidden="1">
      <c r="B29" s="158">
        <v>25</v>
      </c>
      <c r="C29" s="147">
        <v>7924.59</v>
      </c>
      <c r="D29" s="150">
        <v>9405.85</v>
      </c>
      <c r="F29" s="158">
        <v>25</v>
      </c>
      <c r="G29" s="147">
        <f t="shared" si="5"/>
        <v>8875.5408000000007</v>
      </c>
      <c r="H29" s="150">
        <f t="shared" si="5"/>
        <v>10534.552000000001</v>
      </c>
      <c r="J29" s="158">
        <v>25</v>
      </c>
      <c r="K29" s="147">
        <f t="shared" si="8"/>
        <v>10650.64896</v>
      </c>
      <c r="L29" s="150">
        <f t="shared" si="6"/>
        <v>12641.462400000002</v>
      </c>
      <c r="N29" s="158">
        <v>25</v>
      </c>
      <c r="O29" s="147">
        <f t="shared" si="9"/>
        <v>10206.87192</v>
      </c>
      <c r="P29" s="150">
        <f t="shared" si="7"/>
        <v>12114.7348</v>
      </c>
    </row>
    <row r="30" spans="2:16" hidden="1">
      <c r="B30" s="157">
        <v>26</v>
      </c>
      <c r="C30" s="111">
        <v>8531.4500000000007</v>
      </c>
      <c r="D30" s="148">
        <v>9747.6200000000008</v>
      </c>
      <c r="F30" s="157">
        <v>26</v>
      </c>
      <c r="G30" s="111">
        <f t="shared" si="5"/>
        <v>9555.224000000002</v>
      </c>
      <c r="H30" s="148">
        <f t="shared" si="5"/>
        <v>10917.334400000002</v>
      </c>
      <c r="J30" s="157">
        <v>26</v>
      </c>
      <c r="K30" s="111">
        <f t="shared" si="8"/>
        <v>11466.268800000002</v>
      </c>
      <c r="L30" s="148">
        <f t="shared" si="6"/>
        <v>13100.801280000001</v>
      </c>
      <c r="N30" s="157">
        <v>26</v>
      </c>
      <c r="O30" s="111">
        <f t="shared" si="9"/>
        <v>10988.507600000001</v>
      </c>
      <c r="P30" s="148">
        <f t="shared" si="7"/>
        <v>12554.934560000002</v>
      </c>
    </row>
    <row r="31" spans="2:16" hidden="1">
      <c r="B31" s="158">
        <v>27</v>
      </c>
      <c r="C31" s="147">
        <v>9184.7800000000007</v>
      </c>
      <c r="D31" s="150">
        <v>10101.81</v>
      </c>
      <c r="F31" s="158">
        <v>27</v>
      </c>
      <c r="G31" s="147">
        <f t="shared" si="5"/>
        <v>10286.953600000003</v>
      </c>
      <c r="H31" s="150">
        <f t="shared" si="5"/>
        <v>11314.0272</v>
      </c>
      <c r="J31" s="158">
        <v>27</v>
      </c>
      <c r="K31" s="147">
        <f t="shared" si="8"/>
        <v>12344.344320000002</v>
      </c>
      <c r="L31" s="150">
        <f t="shared" si="6"/>
        <v>13576.832640000001</v>
      </c>
      <c r="N31" s="158">
        <v>27</v>
      </c>
      <c r="O31" s="147">
        <f t="shared" si="9"/>
        <v>11829.996640000001</v>
      </c>
      <c r="P31" s="150">
        <f t="shared" si="7"/>
        <v>13011.13128</v>
      </c>
    </row>
    <row r="32" spans="2:16" hidden="1">
      <c r="B32" s="157">
        <v>28</v>
      </c>
      <c r="C32" s="111">
        <v>9747.0300000000007</v>
      </c>
      <c r="D32" s="148">
        <v>10600.98</v>
      </c>
      <c r="F32" s="157">
        <v>28</v>
      </c>
      <c r="G32" s="111">
        <f t="shared" si="5"/>
        <v>10916.673600000002</v>
      </c>
      <c r="H32" s="148">
        <f t="shared" si="5"/>
        <v>11873.097600000001</v>
      </c>
      <c r="J32" s="157">
        <v>28</v>
      </c>
      <c r="K32" s="111">
        <f t="shared" si="8"/>
        <v>13100.008320000003</v>
      </c>
      <c r="L32" s="148">
        <f t="shared" si="6"/>
        <v>14247.717120000001</v>
      </c>
      <c r="N32" s="157">
        <v>28</v>
      </c>
      <c r="O32" s="111">
        <f t="shared" si="9"/>
        <v>12554.174640000001</v>
      </c>
      <c r="P32" s="148">
        <f t="shared" si="7"/>
        <v>13654.062239999999</v>
      </c>
    </row>
    <row r="33" spans="2:16" hidden="1">
      <c r="B33" s="158">
        <v>29</v>
      </c>
      <c r="C33" s="147">
        <v>10343.700000000001</v>
      </c>
      <c r="D33" s="150">
        <v>11124.82</v>
      </c>
      <c r="F33" s="158">
        <v>29</v>
      </c>
      <c r="G33" s="147">
        <f t="shared" si="5"/>
        <v>11584.944000000001</v>
      </c>
      <c r="H33" s="150">
        <f t="shared" si="5"/>
        <v>12459.798400000001</v>
      </c>
      <c r="J33" s="158">
        <v>29</v>
      </c>
      <c r="K33" s="147">
        <f t="shared" si="8"/>
        <v>13901.9328</v>
      </c>
      <c r="L33" s="150">
        <f t="shared" si="6"/>
        <v>14951.758080000001</v>
      </c>
      <c r="N33" s="158">
        <v>29</v>
      </c>
      <c r="O33" s="147">
        <f t="shared" si="9"/>
        <v>13322.685600000001</v>
      </c>
      <c r="P33" s="150">
        <f t="shared" si="7"/>
        <v>14328.768160000001</v>
      </c>
    </row>
    <row r="34" spans="2:16" hidden="1">
      <c r="B34" s="157">
        <v>30</v>
      </c>
      <c r="C34" s="111">
        <v>10976.9</v>
      </c>
      <c r="D34" s="148">
        <v>11674.54</v>
      </c>
      <c r="F34" s="157">
        <v>30</v>
      </c>
      <c r="G34" s="111">
        <f t="shared" si="5"/>
        <v>12294.128000000001</v>
      </c>
      <c r="H34" s="148">
        <f t="shared" si="5"/>
        <v>13075.484800000002</v>
      </c>
      <c r="J34" s="157">
        <v>30</v>
      </c>
      <c r="K34" s="111">
        <f t="shared" si="8"/>
        <v>14752.953600000001</v>
      </c>
      <c r="L34" s="148">
        <f t="shared" si="6"/>
        <v>15690.581760000001</v>
      </c>
      <c r="N34" s="157">
        <v>30</v>
      </c>
      <c r="O34" s="111">
        <f t="shared" si="9"/>
        <v>14138.2472</v>
      </c>
      <c r="P34" s="148">
        <f t="shared" si="7"/>
        <v>15036.80752</v>
      </c>
    </row>
    <row r="35" spans="2:16" hidden="1">
      <c r="B35" s="158">
        <v>31</v>
      </c>
      <c r="C35" s="147">
        <v>11648.86</v>
      </c>
      <c r="D35" s="150">
        <v>12251.43</v>
      </c>
      <c r="F35" s="158">
        <v>31</v>
      </c>
      <c r="G35" s="147">
        <f t="shared" si="5"/>
        <v>13046.723200000002</v>
      </c>
      <c r="H35" s="150">
        <f t="shared" si="5"/>
        <v>13721.601600000002</v>
      </c>
      <c r="J35" s="158">
        <v>31</v>
      </c>
      <c r="K35" s="147">
        <f t="shared" si="8"/>
        <v>15656.067840000002</v>
      </c>
      <c r="L35" s="150">
        <f t="shared" si="6"/>
        <v>16465.921920000001</v>
      </c>
      <c r="N35" s="158">
        <v>31</v>
      </c>
      <c r="O35" s="147">
        <f t="shared" si="9"/>
        <v>15003.731680000001</v>
      </c>
      <c r="P35" s="150">
        <f t="shared" si="7"/>
        <v>15779.841840000001</v>
      </c>
    </row>
    <row r="36" spans="2:16" hidden="1">
      <c r="B36" s="157">
        <v>32</v>
      </c>
      <c r="C36" s="111">
        <v>12361.95</v>
      </c>
      <c r="D36" s="148">
        <v>12856.82</v>
      </c>
      <c r="F36" s="157">
        <v>32</v>
      </c>
      <c r="G36" s="111">
        <f t="shared" si="5"/>
        <v>13845.384000000002</v>
      </c>
      <c r="H36" s="148">
        <f t="shared" si="5"/>
        <v>14399.638400000002</v>
      </c>
      <c r="J36" s="157">
        <v>32</v>
      </c>
      <c r="K36" s="111">
        <f t="shared" si="8"/>
        <v>16614.460800000001</v>
      </c>
      <c r="L36" s="148">
        <f t="shared" si="6"/>
        <v>17279.566080000001</v>
      </c>
      <c r="N36" s="157">
        <v>32</v>
      </c>
      <c r="O36" s="111">
        <f t="shared" si="9"/>
        <v>15922.1916</v>
      </c>
      <c r="P36" s="148">
        <f t="shared" si="7"/>
        <v>16559.584160000002</v>
      </c>
    </row>
    <row r="37" spans="2:16" hidden="1">
      <c r="B37" s="158">
        <v>33</v>
      </c>
      <c r="C37" s="147">
        <v>12997.25</v>
      </c>
      <c r="D37" s="150">
        <v>13549.81</v>
      </c>
      <c r="F37" s="158">
        <v>33</v>
      </c>
      <c r="G37" s="147">
        <f t="shared" si="5"/>
        <v>14556.920000000002</v>
      </c>
      <c r="H37" s="150">
        <f t="shared" si="5"/>
        <v>15175.787200000001</v>
      </c>
      <c r="J37" s="158">
        <v>33</v>
      </c>
      <c r="K37" s="147">
        <f t="shared" si="8"/>
        <v>17468.304</v>
      </c>
      <c r="L37" s="150">
        <f t="shared" si="6"/>
        <v>18210.944640000002</v>
      </c>
      <c r="N37" s="158">
        <v>33</v>
      </c>
      <c r="O37" s="147">
        <f t="shared" si="9"/>
        <v>16740.458000000002</v>
      </c>
      <c r="P37" s="150">
        <f t="shared" si="7"/>
        <v>17452.155279999999</v>
      </c>
    </row>
    <row r="38" spans="2:16" hidden="1">
      <c r="B38" s="157">
        <v>34</v>
      </c>
      <c r="C38" s="111">
        <v>13665.2</v>
      </c>
      <c r="D38" s="148">
        <v>14280.15</v>
      </c>
      <c r="F38" s="157">
        <v>34</v>
      </c>
      <c r="G38" s="111">
        <f t="shared" si="5"/>
        <v>15305.024000000003</v>
      </c>
      <c r="H38" s="148">
        <f t="shared" si="5"/>
        <v>15993.768000000002</v>
      </c>
      <c r="J38" s="157">
        <v>34</v>
      </c>
      <c r="K38" s="111">
        <f t="shared" si="8"/>
        <v>18366.028800000004</v>
      </c>
      <c r="L38" s="148">
        <f t="shared" si="6"/>
        <v>19192.5216</v>
      </c>
      <c r="N38" s="157">
        <v>34</v>
      </c>
      <c r="O38" s="111">
        <f t="shared" si="9"/>
        <v>17600.777600000001</v>
      </c>
      <c r="P38" s="148">
        <f t="shared" si="7"/>
        <v>18392.833200000001</v>
      </c>
    </row>
    <row r="39" spans="2:16" hidden="1">
      <c r="B39" s="158">
        <v>35</v>
      </c>
      <c r="C39" s="147">
        <v>14367.47</v>
      </c>
      <c r="D39" s="150">
        <v>15049.86</v>
      </c>
      <c r="F39" s="158">
        <v>35</v>
      </c>
      <c r="G39" s="147">
        <f t="shared" si="5"/>
        <v>16091.566400000002</v>
      </c>
      <c r="H39" s="150">
        <f t="shared" si="5"/>
        <v>16855.843200000003</v>
      </c>
      <c r="J39" s="158">
        <v>35</v>
      </c>
      <c r="K39" s="147">
        <f t="shared" si="8"/>
        <v>19309.879680000002</v>
      </c>
      <c r="L39" s="150">
        <f t="shared" si="6"/>
        <v>20227.011840000003</v>
      </c>
      <c r="N39" s="158">
        <v>35</v>
      </c>
      <c r="O39" s="147">
        <f t="shared" si="9"/>
        <v>18505.301360000001</v>
      </c>
      <c r="P39" s="150">
        <f t="shared" si="7"/>
        <v>19384.219680000002</v>
      </c>
    </row>
    <row r="40" spans="2:16" hidden="1">
      <c r="B40" s="157">
        <v>36</v>
      </c>
      <c r="C40" s="111">
        <v>15105.84</v>
      </c>
      <c r="D40" s="148">
        <v>15861.05</v>
      </c>
      <c r="F40" s="157">
        <v>36</v>
      </c>
      <c r="G40" s="111">
        <f t="shared" si="5"/>
        <v>16918.540800000002</v>
      </c>
      <c r="H40" s="148">
        <f t="shared" si="5"/>
        <v>17764.376</v>
      </c>
      <c r="J40" s="157">
        <v>36</v>
      </c>
      <c r="K40" s="111">
        <f t="shared" si="8"/>
        <v>20302.248960000001</v>
      </c>
      <c r="L40" s="148">
        <f t="shared" si="6"/>
        <v>21317.251199999999</v>
      </c>
      <c r="N40" s="157">
        <v>36</v>
      </c>
      <c r="O40" s="111">
        <f t="shared" si="9"/>
        <v>19456.321920000002</v>
      </c>
      <c r="P40" s="148">
        <f t="shared" si="7"/>
        <v>20429.0324</v>
      </c>
    </row>
    <row r="41" spans="2:16" hidden="1">
      <c r="B41" s="158">
        <v>37</v>
      </c>
      <c r="C41" s="147">
        <v>15882.15</v>
      </c>
      <c r="D41" s="150">
        <v>16715.97</v>
      </c>
      <c r="F41" s="158">
        <v>37</v>
      </c>
      <c r="G41" s="147">
        <f t="shared" si="5"/>
        <v>17788.008000000002</v>
      </c>
      <c r="H41" s="150">
        <f t="shared" si="5"/>
        <v>18721.886400000003</v>
      </c>
      <c r="J41" s="158">
        <v>37</v>
      </c>
      <c r="K41" s="147">
        <f t="shared" si="8"/>
        <v>21345.6096</v>
      </c>
      <c r="L41" s="150">
        <f t="shared" si="6"/>
        <v>22466.263680000004</v>
      </c>
      <c r="N41" s="158">
        <v>37</v>
      </c>
      <c r="O41" s="147">
        <f t="shared" si="9"/>
        <v>20456.209200000001</v>
      </c>
      <c r="P41" s="150">
        <f t="shared" si="7"/>
        <v>21530.169360000004</v>
      </c>
    </row>
    <row r="42" spans="2:16" hidden="1">
      <c r="B42" s="157">
        <v>38</v>
      </c>
      <c r="C42" s="111">
        <v>16763.45</v>
      </c>
      <c r="D42" s="148">
        <v>17616.53</v>
      </c>
      <c r="F42" s="157">
        <v>38</v>
      </c>
      <c r="G42" s="111">
        <f t="shared" si="5"/>
        <v>18775.064000000002</v>
      </c>
      <c r="H42" s="148">
        <f t="shared" si="5"/>
        <v>19730.513600000002</v>
      </c>
      <c r="J42" s="157">
        <v>38</v>
      </c>
      <c r="K42" s="111">
        <f t="shared" si="8"/>
        <v>22530.076800000003</v>
      </c>
      <c r="L42" s="148">
        <f t="shared" si="6"/>
        <v>23676.616320000001</v>
      </c>
      <c r="N42" s="157">
        <v>38</v>
      </c>
      <c r="O42" s="111">
        <f t="shared" si="9"/>
        <v>21591.3236</v>
      </c>
      <c r="P42" s="148">
        <f t="shared" si="7"/>
        <v>22690.090640000002</v>
      </c>
    </row>
    <row r="43" spans="2:16" hidden="1">
      <c r="B43" s="158">
        <v>39</v>
      </c>
      <c r="C43" s="147">
        <v>17693.66</v>
      </c>
      <c r="D43" s="150">
        <v>18565.599999999999</v>
      </c>
      <c r="F43" s="158">
        <v>39</v>
      </c>
      <c r="G43" s="147">
        <f t="shared" si="5"/>
        <v>19816.899200000003</v>
      </c>
      <c r="H43" s="150">
        <f t="shared" si="5"/>
        <v>20793.472000000002</v>
      </c>
      <c r="J43" s="158">
        <v>39</v>
      </c>
      <c r="K43" s="147">
        <f t="shared" si="8"/>
        <v>23780.279040000005</v>
      </c>
      <c r="L43" s="150">
        <f t="shared" si="6"/>
        <v>24952.166400000002</v>
      </c>
      <c r="N43" s="158">
        <v>39</v>
      </c>
      <c r="O43" s="147">
        <f t="shared" si="9"/>
        <v>22789.434080000003</v>
      </c>
      <c r="P43" s="150">
        <f t="shared" si="7"/>
        <v>23912.4928</v>
      </c>
    </row>
    <row r="44" spans="2:16" hidden="1">
      <c r="B44" s="157">
        <v>40</v>
      </c>
      <c r="C44" s="111">
        <v>16807.939999999999</v>
      </c>
      <c r="D44" s="148">
        <v>17609.22</v>
      </c>
      <c r="F44" s="157">
        <v>40</v>
      </c>
      <c r="G44" s="111">
        <f t="shared" si="5"/>
        <v>18824.892800000001</v>
      </c>
      <c r="H44" s="148">
        <f t="shared" si="5"/>
        <v>19722.326400000002</v>
      </c>
      <c r="J44" s="157">
        <v>40</v>
      </c>
      <c r="K44" s="111">
        <f t="shared" si="8"/>
        <v>22589.871360000001</v>
      </c>
      <c r="L44" s="148">
        <f t="shared" si="6"/>
        <v>23666.791680000002</v>
      </c>
      <c r="N44" s="157">
        <v>40</v>
      </c>
      <c r="O44" s="111">
        <f t="shared" si="9"/>
        <v>21648.62672</v>
      </c>
      <c r="P44" s="148">
        <f t="shared" si="7"/>
        <v>22680.675360000001</v>
      </c>
    </row>
    <row r="45" spans="2:16" hidden="1">
      <c r="B45" s="158">
        <v>41</v>
      </c>
      <c r="C45" s="147">
        <v>17740.62</v>
      </c>
      <c r="D45" s="150">
        <v>18557.900000000001</v>
      </c>
      <c r="F45" s="158">
        <v>41</v>
      </c>
      <c r="G45" s="147">
        <f t="shared" si="5"/>
        <v>19869.4944</v>
      </c>
      <c r="H45" s="150">
        <f t="shared" si="5"/>
        <v>20784.848000000005</v>
      </c>
      <c r="J45" s="158">
        <v>41</v>
      </c>
      <c r="K45" s="147">
        <f t="shared" si="8"/>
        <v>23843.39328</v>
      </c>
      <c r="L45" s="150">
        <f t="shared" si="6"/>
        <v>24941.817600000006</v>
      </c>
      <c r="N45" s="158">
        <v>41</v>
      </c>
      <c r="O45" s="147">
        <f t="shared" si="9"/>
        <v>22849.918559999998</v>
      </c>
      <c r="P45" s="150">
        <f t="shared" si="7"/>
        <v>23902.575200000003</v>
      </c>
    </row>
    <row r="46" spans="2:16" hidden="1">
      <c r="B46" s="157">
        <v>42</v>
      </c>
      <c r="C46" s="111">
        <v>18725.05</v>
      </c>
      <c r="D46" s="148">
        <v>19557.68</v>
      </c>
      <c r="F46" s="157">
        <v>42</v>
      </c>
      <c r="G46" s="111">
        <f t="shared" si="5"/>
        <v>20972.056</v>
      </c>
      <c r="H46" s="148">
        <f t="shared" si="5"/>
        <v>21904.601600000002</v>
      </c>
      <c r="J46" s="157">
        <v>42</v>
      </c>
      <c r="K46" s="111">
        <f t="shared" si="8"/>
        <v>25166.467199999999</v>
      </c>
      <c r="L46" s="148">
        <f t="shared" si="6"/>
        <v>26285.521920000003</v>
      </c>
      <c r="N46" s="157">
        <v>42</v>
      </c>
      <c r="O46" s="111">
        <f t="shared" si="9"/>
        <v>24117.864399999999</v>
      </c>
      <c r="P46" s="148">
        <f t="shared" si="7"/>
        <v>25190.291840000002</v>
      </c>
    </row>
    <row r="47" spans="2:16" hidden="1">
      <c r="B47" s="158">
        <v>43</v>
      </c>
      <c r="C47" s="147">
        <v>19794.189999999999</v>
      </c>
      <c r="D47" s="150">
        <v>20611.330000000002</v>
      </c>
      <c r="F47" s="158">
        <v>43</v>
      </c>
      <c r="G47" s="147">
        <f t="shared" si="5"/>
        <v>22169.4928</v>
      </c>
      <c r="H47" s="150">
        <f t="shared" si="5"/>
        <v>23084.689600000005</v>
      </c>
      <c r="J47" s="158">
        <v>43</v>
      </c>
      <c r="K47" s="147">
        <f t="shared" si="8"/>
        <v>26603.391359999998</v>
      </c>
      <c r="L47" s="150">
        <f t="shared" si="6"/>
        <v>27701.627520000005</v>
      </c>
      <c r="N47" s="158">
        <v>43</v>
      </c>
      <c r="O47" s="147">
        <f t="shared" si="9"/>
        <v>25494.916719999997</v>
      </c>
      <c r="P47" s="150">
        <f t="shared" si="7"/>
        <v>26547.393040000003</v>
      </c>
    </row>
    <row r="48" spans="2:16" hidden="1">
      <c r="B48" s="157">
        <v>44</v>
      </c>
      <c r="C48" s="111">
        <v>20924.38</v>
      </c>
      <c r="D48" s="148">
        <v>21721.75</v>
      </c>
      <c r="F48" s="157">
        <v>44</v>
      </c>
      <c r="G48" s="111">
        <f t="shared" si="5"/>
        <v>23435.305600000003</v>
      </c>
      <c r="H48" s="148">
        <f t="shared" si="5"/>
        <v>24328.36</v>
      </c>
      <c r="J48" s="157">
        <v>44</v>
      </c>
      <c r="K48" s="111">
        <f t="shared" si="8"/>
        <v>28122.366720000002</v>
      </c>
      <c r="L48" s="148">
        <f t="shared" si="6"/>
        <v>29194.031999999999</v>
      </c>
      <c r="N48" s="157">
        <v>44</v>
      </c>
      <c r="O48" s="111">
        <f t="shared" si="9"/>
        <v>26950.601440000002</v>
      </c>
      <c r="P48" s="148">
        <f t="shared" si="7"/>
        <v>27977.613999999998</v>
      </c>
    </row>
    <row r="49" spans="2:16" hidden="1">
      <c r="B49" s="158">
        <v>45</v>
      </c>
      <c r="C49" s="147">
        <v>22119.09</v>
      </c>
      <c r="D49" s="150">
        <v>22891.98</v>
      </c>
      <c r="F49" s="158">
        <v>45</v>
      </c>
      <c r="G49" s="147">
        <f t="shared" si="5"/>
        <v>24773.380800000003</v>
      </c>
      <c r="H49" s="150">
        <f t="shared" si="5"/>
        <v>25639.017600000003</v>
      </c>
      <c r="J49" s="158">
        <v>45</v>
      </c>
      <c r="K49" s="147">
        <f t="shared" si="8"/>
        <v>29728.056960000002</v>
      </c>
      <c r="L49" s="150">
        <f t="shared" si="6"/>
        <v>30766.821120000001</v>
      </c>
      <c r="N49" s="158">
        <v>45</v>
      </c>
      <c r="O49" s="147">
        <f t="shared" si="9"/>
        <v>28489.387920000001</v>
      </c>
      <c r="P49" s="150">
        <f t="shared" si="7"/>
        <v>29484.87024</v>
      </c>
    </row>
    <row r="50" spans="2:16" hidden="1">
      <c r="B50" s="157">
        <v>46</v>
      </c>
      <c r="C50" s="111">
        <v>23382.03</v>
      </c>
      <c r="D50" s="148">
        <v>24125.27</v>
      </c>
      <c r="F50" s="157">
        <v>46</v>
      </c>
      <c r="G50" s="111">
        <f t="shared" si="5"/>
        <v>26187.873600000003</v>
      </c>
      <c r="H50" s="148">
        <f t="shared" si="5"/>
        <v>27020.302400000004</v>
      </c>
      <c r="J50" s="157">
        <v>46</v>
      </c>
      <c r="K50" s="111">
        <f t="shared" si="8"/>
        <v>31425.448320000003</v>
      </c>
      <c r="L50" s="148">
        <f t="shared" si="6"/>
        <v>32424.362880000004</v>
      </c>
      <c r="N50" s="157">
        <v>46</v>
      </c>
      <c r="O50" s="111">
        <f t="shared" si="9"/>
        <v>30116.054640000002</v>
      </c>
      <c r="P50" s="148">
        <f t="shared" si="7"/>
        <v>31073.347760000001</v>
      </c>
    </row>
    <row r="51" spans="2:16" hidden="1">
      <c r="B51" s="158">
        <v>47</v>
      </c>
      <c r="C51" s="147">
        <v>24717.07</v>
      </c>
      <c r="D51" s="150">
        <v>25424.99</v>
      </c>
      <c r="F51" s="158">
        <v>47</v>
      </c>
      <c r="G51" s="147">
        <f t="shared" si="5"/>
        <v>27683.118400000003</v>
      </c>
      <c r="H51" s="150">
        <f t="shared" si="5"/>
        <v>28475.988800000003</v>
      </c>
      <c r="J51" s="158">
        <v>47</v>
      </c>
      <c r="K51" s="147">
        <f t="shared" si="8"/>
        <v>33219.742080000004</v>
      </c>
      <c r="L51" s="150">
        <f t="shared" si="6"/>
        <v>34171.186560000002</v>
      </c>
      <c r="N51" s="158">
        <v>47</v>
      </c>
      <c r="O51" s="147">
        <f t="shared" si="9"/>
        <v>31835.586160000003</v>
      </c>
      <c r="P51" s="150">
        <f t="shared" si="7"/>
        <v>32747.387119999999</v>
      </c>
    </row>
    <row r="52" spans="2:16" hidden="1">
      <c r="B52" s="157">
        <v>48</v>
      </c>
      <c r="C52" s="111">
        <v>26128.33</v>
      </c>
      <c r="D52" s="148">
        <v>26794.73</v>
      </c>
      <c r="F52" s="157">
        <v>48</v>
      </c>
      <c r="G52" s="111">
        <f t="shared" si="5"/>
        <v>29263.729600000006</v>
      </c>
      <c r="H52" s="148">
        <f t="shared" si="5"/>
        <v>30010.097600000001</v>
      </c>
      <c r="J52" s="157">
        <v>48</v>
      </c>
      <c r="K52" s="111">
        <f t="shared" si="8"/>
        <v>35116.475520000007</v>
      </c>
      <c r="L52" s="148">
        <f t="shared" si="6"/>
        <v>36012.117120000003</v>
      </c>
      <c r="N52" s="157">
        <v>48</v>
      </c>
      <c r="O52" s="111">
        <f t="shared" si="9"/>
        <v>33653.289040000003</v>
      </c>
      <c r="P52" s="148">
        <f t="shared" si="7"/>
        <v>34511.612239999995</v>
      </c>
    </row>
    <row r="53" spans="2:16" hidden="1">
      <c r="B53" s="158">
        <v>49</v>
      </c>
      <c r="C53" s="147">
        <v>27620.18</v>
      </c>
      <c r="D53" s="150">
        <v>28238.27</v>
      </c>
      <c r="F53" s="158">
        <v>49</v>
      </c>
      <c r="G53" s="147">
        <f t="shared" si="5"/>
        <v>30934.601600000002</v>
      </c>
      <c r="H53" s="150">
        <f t="shared" si="5"/>
        <v>31626.862400000002</v>
      </c>
      <c r="J53" s="158">
        <v>49</v>
      </c>
      <c r="K53" s="147">
        <f t="shared" si="8"/>
        <v>37121.521919999999</v>
      </c>
      <c r="L53" s="150">
        <f t="shared" si="6"/>
        <v>37952.234880000004</v>
      </c>
      <c r="N53" s="158">
        <v>49</v>
      </c>
      <c r="O53" s="147">
        <f t="shared" si="9"/>
        <v>35574.791839999998</v>
      </c>
      <c r="P53" s="150">
        <f t="shared" si="7"/>
        <v>36370.891759999999</v>
      </c>
    </row>
    <row r="54" spans="2:16" hidden="1">
      <c r="B54" s="157">
        <v>50</v>
      </c>
      <c r="C54" s="111">
        <v>29197.200000000001</v>
      </c>
      <c r="D54" s="148">
        <v>29759.58</v>
      </c>
      <c r="F54" s="157">
        <v>50</v>
      </c>
      <c r="G54" s="111">
        <f t="shared" si="5"/>
        <v>32700.864000000005</v>
      </c>
      <c r="H54" s="148">
        <f t="shared" si="5"/>
        <v>33330.729600000006</v>
      </c>
      <c r="J54" s="157">
        <v>50</v>
      </c>
      <c r="K54" s="111">
        <f t="shared" si="8"/>
        <v>39241.036800000002</v>
      </c>
      <c r="L54" s="148">
        <f t="shared" si="6"/>
        <v>39996.875520000009</v>
      </c>
      <c r="N54" s="157">
        <v>50</v>
      </c>
      <c r="O54" s="111">
        <f t="shared" si="9"/>
        <v>37605.993600000002</v>
      </c>
      <c r="P54" s="148">
        <f>+H54*1.15</f>
        <v>38330.339040000006</v>
      </c>
    </row>
    <row r="55" spans="2:16" hidden="1">
      <c r="B55" s="158">
        <v>51</v>
      </c>
      <c r="C55" s="147">
        <v>30864.27</v>
      </c>
      <c r="D55" s="150">
        <v>31362.85</v>
      </c>
      <c r="F55" s="158">
        <v>51</v>
      </c>
      <c r="G55" s="147">
        <f t="shared" si="5"/>
        <v>34567.982400000001</v>
      </c>
      <c r="H55" s="150">
        <f t="shared" si="5"/>
        <v>35126.392</v>
      </c>
      <c r="J55" s="158">
        <v>51</v>
      </c>
      <c r="K55" s="147">
        <f t="shared" si="8"/>
        <v>41481.578880000001</v>
      </c>
      <c r="L55" s="150">
        <f t="shared" si="6"/>
        <v>42151.670399999995</v>
      </c>
      <c r="N55" s="158">
        <v>51</v>
      </c>
      <c r="O55" s="147">
        <f t="shared" si="9"/>
        <v>39753.179759999999</v>
      </c>
      <c r="P55" s="150">
        <f t="shared" si="7"/>
        <v>40395.3508</v>
      </c>
    </row>
    <row r="56" spans="2:16" hidden="1">
      <c r="B56" s="157">
        <v>52</v>
      </c>
      <c r="C56" s="111">
        <v>32626.53</v>
      </c>
      <c r="D56" s="148">
        <v>33052.49</v>
      </c>
      <c r="F56" s="157">
        <v>52</v>
      </c>
      <c r="G56" s="111">
        <f t="shared" si="5"/>
        <v>36541.713600000003</v>
      </c>
      <c r="H56" s="148">
        <f t="shared" si="5"/>
        <v>37018.788800000002</v>
      </c>
      <c r="J56" s="157">
        <v>52</v>
      </c>
      <c r="K56" s="111">
        <f t="shared" si="8"/>
        <v>43850.056320000003</v>
      </c>
      <c r="L56" s="148">
        <f t="shared" si="6"/>
        <v>44422.546560000003</v>
      </c>
      <c r="N56" s="157">
        <v>52</v>
      </c>
      <c r="O56" s="111">
        <f t="shared" si="9"/>
        <v>42022.97064</v>
      </c>
      <c r="P56" s="148">
        <f t="shared" si="7"/>
        <v>42571.607120000001</v>
      </c>
    </row>
    <row r="57" spans="2:16" hidden="1">
      <c r="B57" s="158">
        <v>53</v>
      </c>
      <c r="C57" s="147">
        <v>34489.4</v>
      </c>
      <c r="D57" s="150">
        <v>34833.160000000003</v>
      </c>
      <c r="F57" s="158">
        <v>53</v>
      </c>
      <c r="G57" s="147">
        <f t="shared" si="5"/>
        <v>38628.128000000004</v>
      </c>
      <c r="H57" s="150">
        <f t="shared" si="5"/>
        <v>39013.139200000005</v>
      </c>
      <c r="J57" s="158">
        <v>53</v>
      </c>
      <c r="K57" s="147">
        <f t="shared" si="8"/>
        <v>46353.753600000004</v>
      </c>
      <c r="L57" s="150">
        <f t="shared" si="6"/>
        <v>46815.767040000006</v>
      </c>
      <c r="N57" s="158">
        <v>53</v>
      </c>
      <c r="O57" s="147">
        <f t="shared" si="9"/>
        <v>44422.347200000004</v>
      </c>
      <c r="P57" s="150">
        <f t="shared" si="7"/>
        <v>44865.110080000006</v>
      </c>
    </row>
    <row r="58" spans="2:16" hidden="1">
      <c r="B58" s="157">
        <v>54</v>
      </c>
      <c r="C58" s="111">
        <v>36458.639999999999</v>
      </c>
      <c r="D58" s="148">
        <v>36709.75</v>
      </c>
      <c r="F58" s="157">
        <v>54</v>
      </c>
      <c r="G58" s="111">
        <f t="shared" si="5"/>
        <v>40833.676800000001</v>
      </c>
      <c r="H58" s="148">
        <f t="shared" si="5"/>
        <v>41114.920000000006</v>
      </c>
      <c r="J58" s="157">
        <v>54</v>
      </c>
      <c r="K58" s="111">
        <f t="shared" si="8"/>
        <v>49000.41216</v>
      </c>
      <c r="L58" s="148">
        <f t="shared" si="6"/>
        <v>49337.904000000002</v>
      </c>
      <c r="N58" s="157">
        <v>54</v>
      </c>
      <c r="O58" s="111">
        <f t="shared" si="9"/>
        <v>46958.728319999995</v>
      </c>
      <c r="P58" s="148">
        <f t="shared" si="7"/>
        <v>47282.158000000003</v>
      </c>
    </row>
    <row r="59" spans="2:16" hidden="1">
      <c r="B59" s="158">
        <v>55</v>
      </c>
      <c r="C59" s="147">
        <v>38540.31</v>
      </c>
      <c r="D59" s="150">
        <v>38687.449999999997</v>
      </c>
      <c r="F59" s="158">
        <v>55</v>
      </c>
      <c r="G59" s="147">
        <f t="shared" si="5"/>
        <v>43165.147199999999</v>
      </c>
      <c r="H59" s="150">
        <f t="shared" si="5"/>
        <v>43329.944000000003</v>
      </c>
      <c r="J59" s="158">
        <v>55</v>
      </c>
      <c r="K59" s="147">
        <f t="shared" si="8"/>
        <v>51798.176639999998</v>
      </c>
      <c r="L59" s="150">
        <f t="shared" si="6"/>
        <v>51995.932800000002</v>
      </c>
      <c r="N59" s="158">
        <v>55</v>
      </c>
      <c r="O59" s="147">
        <f t="shared" si="9"/>
        <v>49639.919279999995</v>
      </c>
      <c r="P59" s="150">
        <f t="shared" si="7"/>
        <v>49829.435599999997</v>
      </c>
    </row>
    <row r="60" spans="2:16" hidden="1">
      <c r="B60" s="157">
        <v>56</v>
      </c>
      <c r="C60" s="111">
        <v>45267.6</v>
      </c>
      <c r="D60" s="148">
        <v>45301.89</v>
      </c>
      <c r="F60" s="157">
        <v>56</v>
      </c>
      <c r="G60" s="111">
        <f t="shared" si="5"/>
        <v>50699.712000000007</v>
      </c>
      <c r="H60" s="148">
        <f t="shared" si="5"/>
        <v>50738.116800000003</v>
      </c>
      <c r="J60" s="157">
        <v>56</v>
      </c>
      <c r="K60" s="111">
        <f t="shared" si="8"/>
        <v>60839.654400000007</v>
      </c>
      <c r="L60" s="148">
        <f t="shared" si="6"/>
        <v>60885.740160000001</v>
      </c>
      <c r="N60" s="157">
        <v>56</v>
      </c>
      <c r="O60" s="111">
        <f t="shared" si="9"/>
        <v>58304.668800000007</v>
      </c>
      <c r="P60" s="148">
        <f t="shared" si="7"/>
        <v>58348.834320000002</v>
      </c>
    </row>
    <row r="61" spans="2:16" hidden="1">
      <c r="B61" s="158">
        <v>57</v>
      </c>
      <c r="C61" s="147">
        <v>47852.24</v>
      </c>
      <c r="D61" s="150">
        <v>47742.48</v>
      </c>
      <c r="F61" s="158">
        <v>57</v>
      </c>
      <c r="G61" s="147">
        <f t="shared" si="5"/>
        <v>53594.508800000003</v>
      </c>
      <c r="H61" s="150">
        <f t="shared" si="5"/>
        <v>53471.577600000011</v>
      </c>
      <c r="J61" s="158">
        <v>57</v>
      </c>
      <c r="K61" s="147">
        <f t="shared" si="8"/>
        <v>64313.410560000004</v>
      </c>
      <c r="L61" s="150">
        <f t="shared" si="6"/>
        <v>64165.893120000008</v>
      </c>
      <c r="N61" s="158">
        <v>57</v>
      </c>
      <c r="O61" s="147">
        <f t="shared" si="9"/>
        <v>61633.685120000002</v>
      </c>
      <c r="P61" s="150">
        <f t="shared" si="7"/>
        <v>61492.314240000007</v>
      </c>
    </row>
    <row r="62" spans="2:16" hidden="1">
      <c r="B62" s="157">
        <v>58</v>
      </c>
      <c r="C62" s="111">
        <v>50584.45</v>
      </c>
      <c r="D62" s="148">
        <v>50314.559999999998</v>
      </c>
      <c r="F62" s="157">
        <v>58</v>
      </c>
      <c r="G62" s="111">
        <f t="shared" si="5"/>
        <v>56654.584000000003</v>
      </c>
      <c r="H62" s="148">
        <f t="shared" si="5"/>
        <v>56352.307200000003</v>
      </c>
      <c r="J62" s="157">
        <v>58</v>
      </c>
      <c r="K62" s="111">
        <f t="shared" si="8"/>
        <v>67985.500799999994</v>
      </c>
      <c r="L62" s="148">
        <f t="shared" si="6"/>
        <v>67622.768639999995</v>
      </c>
      <c r="N62" s="157">
        <v>58</v>
      </c>
      <c r="O62" s="111">
        <f t="shared" si="9"/>
        <v>65152.7716</v>
      </c>
      <c r="P62" s="148">
        <f t="shared" si="7"/>
        <v>64805.153279999999</v>
      </c>
    </row>
    <row r="63" spans="2:16" hidden="1">
      <c r="B63" s="158">
        <v>59</v>
      </c>
      <c r="C63" s="147">
        <v>53472.67</v>
      </c>
      <c r="D63" s="150">
        <v>53025.2</v>
      </c>
      <c r="F63" s="158">
        <v>59</v>
      </c>
      <c r="G63" s="147">
        <f t="shared" si="5"/>
        <v>59889.390400000004</v>
      </c>
      <c r="H63" s="150">
        <f t="shared" si="5"/>
        <v>59388.224000000002</v>
      </c>
      <c r="J63" s="158">
        <v>59</v>
      </c>
      <c r="K63" s="147">
        <f t="shared" si="8"/>
        <v>71867.268479999999</v>
      </c>
      <c r="L63" s="150">
        <f t="shared" si="6"/>
        <v>71265.868799999997</v>
      </c>
      <c r="N63" s="158">
        <v>59</v>
      </c>
      <c r="O63" s="147">
        <f t="shared" si="9"/>
        <v>68872.79896</v>
      </c>
      <c r="P63" s="150">
        <f t="shared" si="7"/>
        <v>68296.457599999994</v>
      </c>
    </row>
    <row r="64" spans="2:16" hidden="1">
      <c r="B64" s="157">
        <v>60</v>
      </c>
      <c r="C64" s="111">
        <v>56525.79</v>
      </c>
      <c r="D64" s="148">
        <v>55881.88</v>
      </c>
      <c r="F64" s="157">
        <v>60</v>
      </c>
      <c r="G64" s="111">
        <f t="shared" si="5"/>
        <v>63308.884800000007</v>
      </c>
      <c r="H64" s="148">
        <f t="shared" si="5"/>
        <v>62587.705600000001</v>
      </c>
      <c r="J64" s="157">
        <v>60</v>
      </c>
      <c r="K64" s="111">
        <f t="shared" si="8"/>
        <v>75970.661760000003</v>
      </c>
      <c r="L64" s="148">
        <f t="shared" si="6"/>
        <v>75105.246719999996</v>
      </c>
      <c r="N64" s="157">
        <v>60</v>
      </c>
      <c r="O64" s="111">
        <f t="shared" si="9"/>
        <v>72805.217520000006</v>
      </c>
      <c r="P64" s="148">
        <f t="shared" si="7"/>
        <v>71975.861439999993</v>
      </c>
    </row>
    <row r="65" spans="2:16" hidden="1">
      <c r="B65" s="158">
        <v>61</v>
      </c>
      <c r="C65" s="147">
        <v>59753.23</v>
      </c>
      <c r="D65" s="150">
        <v>58892.46</v>
      </c>
      <c r="F65" s="158">
        <v>61</v>
      </c>
      <c r="G65" s="147">
        <f t="shared" si="5"/>
        <v>66923.617600000012</v>
      </c>
      <c r="H65" s="150">
        <f t="shared" si="5"/>
        <v>65959.555200000003</v>
      </c>
      <c r="J65" s="158">
        <v>61</v>
      </c>
      <c r="K65" s="147">
        <f t="shared" si="8"/>
        <v>80308.341120000012</v>
      </c>
      <c r="L65" s="150">
        <f t="shared" si="6"/>
        <v>79151.466239999994</v>
      </c>
      <c r="N65" s="158">
        <v>61</v>
      </c>
      <c r="O65" s="147">
        <f t="shared" si="9"/>
        <v>76962.160240000012</v>
      </c>
      <c r="P65" s="150">
        <f t="shared" si="7"/>
        <v>75853.48848</v>
      </c>
    </row>
    <row r="66" spans="2:16" hidden="1">
      <c r="B66" s="157">
        <v>62</v>
      </c>
      <c r="C66" s="111">
        <v>63164.959999999999</v>
      </c>
      <c r="D66" s="148">
        <v>62065.23</v>
      </c>
      <c r="F66" s="157">
        <v>62</v>
      </c>
      <c r="G66" s="111">
        <f t="shared" si="5"/>
        <v>70744.7552</v>
      </c>
      <c r="H66" s="148">
        <f t="shared" si="5"/>
        <v>69513.057600000015</v>
      </c>
      <c r="J66" s="157">
        <v>62</v>
      </c>
      <c r="K66" s="111">
        <f t="shared" si="8"/>
        <v>84893.70624</v>
      </c>
      <c r="L66" s="148">
        <f t="shared" si="6"/>
        <v>83415.66912000002</v>
      </c>
      <c r="N66" s="157">
        <v>62</v>
      </c>
      <c r="O66" s="111">
        <f t="shared" si="9"/>
        <v>81356.468479999996</v>
      </c>
      <c r="P66" s="148">
        <f t="shared" si="7"/>
        <v>79940.016240000012</v>
      </c>
    </row>
    <row r="67" spans="2:16" hidden="1">
      <c r="B67" s="158">
        <v>63</v>
      </c>
      <c r="C67" s="147">
        <v>66771.48</v>
      </c>
      <c r="D67" s="150">
        <v>65408.92</v>
      </c>
      <c r="F67" s="158">
        <v>63</v>
      </c>
      <c r="G67" s="147">
        <f t="shared" si="5"/>
        <v>74784.0576</v>
      </c>
      <c r="H67" s="150">
        <f t="shared" si="5"/>
        <v>73257.99040000001</v>
      </c>
      <c r="J67" s="158">
        <v>63</v>
      </c>
      <c r="K67" s="147">
        <f t="shared" si="8"/>
        <v>89740.869120000003</v>
      </c>
      <c r="L67" s="150">
        <f t="shared" si="6"/>
        <v>87909.588480000006</v>
      </c>
      <c r="N67" s="158">
        <v>63</v>
      </c>
      <c r="O67" s="147">
        <f t="shared" si="9"/>
        <v>86001.666239999991</v>
      </c>
      <c r="P67" s="150">
        <f t="shared" si="7"/>
        <v>84246.688959999999</v>
      </c>
    </row>
    <row r="68" spans="2:16" hidden="1">
      <c r="B68" s="157">
        <v>64</v>
      </c>
      <c r="C68" s="111">
        <v>70583.92</v>
      </c>
      <c r="D68" s="148">
        <v>68932.759999999995</v>
      </c>
      <c r="F68" s="157">
        <v>64</v>
      </c>
      <c r="G68" s="111">
        <f t="shared" si="5"/>
        <v>79053.99040000001</v>
      </c>
      <c r="H68" s="148">
        <f t="shared" si="5"/>
        <v>77204.691200000001</v>
      </c>
      <c r="J68" s="157">
        <v>64</v>
      </c>
      <c r="K68" s="111">
        <f t="shared" si="8"/>
        <v>94864.788480000003</v>
      </c>
      <c r="L68" s="148">
        <f t="shared" si="6"/>
        <v>92645.629440000004</v>
      </c>
      <c r="N68" s="157">
        <v>64</v>
      </c>
      <c r="O68" s="111">
        <f t="shared" si="9"/>
        <v>90912.088960000008</v>
      </c>
      <c r="P68" s="148">
        <f t="shared" si="7"/>
        <v>88785.394879999993</v>
      </c>
    </row>
    <row r="69" spans="2:16" hidden="1">
      <c r="B69" s="158">
        <v>65</v>
      </c>
      <c r="C69" s="147">
        <v>74614.039999999994</v>
      </c>
      <c r="D69" s="150">
        <v>72646.44</v>
      </c>
      <c r="F69" s="158">
        <v>65</v>
      </c>
      <c r="G69" s="147">
        <f t="shared" si="5"/>
        <v>83567.724799999996</v>
      </c>
      <c r="H69" s="150">
        <f t="shared" si="5"/>
        <v>81364.012800000011</v>
      </c>
      <c r="J69" s="158">
        <v>65</v>
      </c>
      <c r="K69" s="147">
        <f t="shared" si="8"/>
        <v>100281.26976</v>
      </c>
      <c r="L69" s="150">
        <f t="shared" si="6"/>
        <v>97636.815360000008</v>
      </c>
      <c r="N69" s="158">
        <v>65</v>
      </c>
      <c r="O69" s="147">
        <f t="shared" si="9"/>
        <v>96102.883519999988</v>
      </c>
      <c r="P69" s="150">
        <f t="shared" si="7"/>
        <v>93568.614720000012</v>
      </c>
    </row>
    <row r="70" spans="2:16" hidden="1">
      <c r="B70" s="157">
        <v>66</v>
      </c>
      <c r="C70" s="111">
        <v>78874.27</v>
      </c>
      <c r="D70" s="148">
        <v>76560.19</v>
      </c>
      <c r="F70" s="157">
        <v>66</v>
      </c>
      <c r="G70" s="111">
        <f t="shared" si="5"/>
        <v>88339.18240000002</v>
      </c>
      <c r="H70" s="148">
        <f t="shared" si="5"/>
        <v>85747.412800000006</v>
      </c>
      <c r="J70" s="157">
        <v>66</v>
      </c>
      <c r="K70" s="111">
        <f t="shared" si="8"/>
        <v>106007.01888000002</v>
      </c>
      <c r="L70" s="148">
        <f t="shared" si="6"/>
        <v>102896.89536000001</v>
      </c>
      <c r="N70" s="157">
        <v>66</v>
      </c>
      <c r="O70" s="111">
        <f t="shared" si="9"/>
        <v>101590.05976000002</v>
      </c>
      <c r="P70" s="148">
        <f t="shared" si="7"/>
        <v>98609.524720000001</v>
      </c>
    </row>
    <row r="71" spans="2:16" hidden="1">
      <c r="B71" s="158">
        <v>67</v>
      </c>
      <c r="C71" s="147">
        <v>83377.740000000005</v>
      </c>
      <c r="D71" s="150">
        <v>80684.789999999994</v>
      </c>
      <c r="F71" s="158">
        <v>67</v>
      </c>
      <c r="G71" s="147">
        <f t="shared" si="5"/>
        <v>93383.068800000008</v>
      </c>
      <c r="H71" s="150">
        <f t="shared" si="5"/>
        <v>90366.964800000002</v>
      </c>
      <c r="J71" s="158">
        <v>67</v>
      </c>
      <c r="K71" s="147">
        <f t="shared" si="8"/>
        <v>112059.68256</v>
      </c>
      <c r="L71" s="150">
        <f t="shared" si="6"/>
        <v>108440.35776</v>
      </c>
      <c r="N71" s="158">
        <v>67</v>
      </c>
      <c r="O71" s="147">
        <f t="shared" si="9"/>
        <v>107390.52912000001</v>
      </c>
      <c r="P71" s="150">
        <f t="shared" si="7"/>
        <v>103922.00951999999</v>
      </c>
    </row>
    <row r="72" spans="2:16" hidden="1">
      <c r="B72" s="157">
        <v>68</v>
      </c>
      <c r="C72" s="111">
        <v>88138.35</v>
      </c>
      <c r="D72" s="148">
        <v>85031.6</v>
      </c>
      <c r="F72" s="157">
        <v>68</v>
      </c>
      <c r="G72" s="111">
        <f t="shared" si="5"/>
        <v>98714.952000000019</v>
      </c>
      <c r="H72" s="148">
        <f t="shared" si="5"/>
        <v>95235.392000000022</v>
      </c>
      <c r="J72" s="157">
        <v>68</v>
      </c>
      <c r="K72" s="111">
        <f t="shared" si="8"/>
        <v>118457.94240000001</v>
      </c>
      <c r="L72" s="148">
        <f t="shared" si="6"/>
        <v>114282.47040000002</v>
      </c>
      <c r="N72" s="157">
        <v>68</v>
      </c>
      <c r="O72" s="111">
        <f t="shared" si="9"/>
        <v>113522.19480000001</v>
      </c>
      <c r="P72" s="148">
        <f t="shared" si="7"/>
        <v>109520.70080000002</v>
      </c>
    </row>
    <row r="73" spans="2:16" hidden="1">
      <c r="B73" s="158">
        <v>69</v>
      </c>
      <c r="C73" s="147">
        <v>93170.77</v>
      </c>
      <c r="D73" s="150">
        <v>89612.59</v>
      </c>
      <c r="F73" s="158">
        <v>69</v>
      </c>
      <c r="G73" s="147">
        <f t="shared" ref="G73:H104" si="10">+C73*1.12</f>
        <v>104351.26240000002</v>
      </c>
      <c r="H73" s="150">
        <f t="shared" si="10"/>
        <v>100366.1008</v>
      </c>
      <c r="J73" s="158">
        <v>69</v>
      </c>
      <c r="K73" s="147">
        <f t="shared" si="8"/>
        <v>125221.51488000002</v>
      </c>
      <c r="L73" s="150">
        <f t="shared" si="6"/>
        <v>120439.32096</v>
      </c>
      <c r="N73" s="158">
        <v>69</v>
      </c>
      <c r="O73" s="147">
        <f t="shared" si="9"/>
        <v>120003.95176000001</v>
      </c>
      <c r="P73" s="150">
        <f t="shared" si="7"/>
        <v>115421.01591999999</v>
      </c>
    </row>
    <row r="74" spans="2:16" hidden="1">
      <c r="B74" s="157">
        <v>70</v>
      </c>
      <c r="C74" s="111">
        <v>98490.53</v>
      </c>
      <c r="D74" s="148">
        <v>94440.37</v>
      </c>
      <c r="F74" s="157">
        <v>70</v>
      </c>
      <c r="G74" s="111">
        <f t="shared" si="10"/>
        <v>110309.39360000001</v>
      </c>
      <c r="H74" s="148">
        <f t="shared" si="10"/>
        <v>105773.21440000001</v>
      </c>
      <c r="J74" s="157">
        <v>70</v>
      </c>
      <c r="K74" s="111">
        <f t="shared" si="8"/>
        <v>132371.27232000002</v>
      </c>
      <c r="L74" s="148">
        <f t="shared" si="6"/>
        <v>126927.85728000001</v>
      </c>
      <c r="N74" s="157">
        <v>70</v>
      </c>
      <c r="O74" s="111">
        <f t="shared" si="9"/>
        <v>126855.80264000001</v>
      </c>
      <c r="P74" s="148">
        <f t="shared" si="7"/>
        <v>121639.19656000001</v>
      </c>
    </row>
    <row r="75" spans="2:16" hidden="1">
      <c r="B75" s="158">
        <v>71</v>
      </c>
      <c r="C75" s="147">
        <v>104114.03</v>
      </c>
      <c r="D75" s="150">
        <v>99528.25</v>
      </c>
      <c r="F75" s="158">
        <v>71</v>
      </c>
      <c r="G75" s="147">
        <f t="shared" si="10"/>
        <v>116607.7136</v>
      </c>
      <c r="H75" s="150">
        <f t="shared" si="10"/>
        <v>111471.64000000001</v>
      </c>
      <c r="J75" s="158">
        <v>71</v>
      </c>
      <c r="K75" s="147">
        <f t="shared" si="8"/>
        <v>139929.25631999999</v>
      </c>
      <c r="L75" s="150">
        <f t="shared" si="6"/>
        <v>133765.96800000002</v>
      </c>
      <c r="N75" s="158">
        <v>71</v>
      </c>
      <c r="O75" s="147">
        <f t="shared" si="9"/>
        <v>134098.87063999998</v>
      </c>
      <c r="P75" s="150">
        <f t="shared" si="7"/>
        <v>128192.38600000001</v>
      </c>
    </row>
    <row r="76" spans="2:16" hidden="1">
      <c r="B76" s="157">
        <v>72</v>
      </c>
      <c r="C76" s="111">
        <v>110058.62</v>
      </c>
      <c r="D76" s="148">
        <v>104890.23</v>
      </c>
      <c r="F76" s="157">
        <v>72</v>
      </c>
      <c r="G76" s="111">
        <f t="shared" si="10"/>
        <v>123265.6544</v>
      </c>
      <c r="H76" s="148">
        <f t="shared" si="10"/>
        <v>117477.0576</v>
      </c>
      <c r="J76" s="157">
        <v>72</v>
      </c>
      <c r="K76" s="111">
        <f t="shared" si="8"/>
        <v>147918.78527999998</v>
      </c>
      <c r="L76" s="148">
        <f t="shared" si="6"/>
        <v>140972.46911999999</v>
      </c>
      <c r="N76" s="157">
        <v>72</v>
      </c>
      <c r="O76" s="111">
        <f t="shared" si="9"/>
        <v>141755.50255999999</v>
      </c>
      <c r="P76" s="148">
        <f t="shared" si="7"/>
        <v>135098.61624</v>
      </c>
    </row>
    <row r="77" spans="2:16" hidden="1">
      <c r="B77" s="158">
        <v>73</v>
      </c>
      <c r="C77" s="147">
        <v>116342.62</v>
      </c>
      <c r="D77" s="150">
        <v>110541.08</v>
      </c>
      <c r="F77" s="158">
        <v>73</v>
      </c>
      <c r="G77" s="147">
        <f t="shared" si="10"/>
        <v>130303.7344</v>
      </c>
      <c r="H77" s="150">
        <f t="shared" si="10"/>
        <v>123806.00960000002</v>
      </c>
      <c r="J77" s="158">
        <v>73</v>
      </c>
      <c r="K77" s="147">
        <f t="shared" si="8"/>
        <v>156364.48128000001</v>
      </c>
      <c r="L77" s="150">
        <f t="shared" si="6"/>
        <v>148567.21152000001</v>
      </c>
      <c r="N77" s="158">
        <v>73</v>
      </c>
      <c r="O77" s="147">
        <f t="shared" si="9"/>
        <v>149849.29455999998</v>
      </c>
      <c r="P77" s="150">
        <f t="shared" si="7"/>
        <v>142376.91104000001</v>
      </c>
    </row>
    <row r="78" spans="2:16" hidden="1">
      <c r="B78" s="157">
        <v>74</v>
      </c>
      <c r="C78" s="111">
        <v>122985.42</v>
      </c>
      <c r="D78" s="148">
        <v>116496.37</v>
      </c>
      <c r="F78" s="157">
        <v>74</v>
      </c>
      <c r="G78" s="111">
        <f t="shared" si="10"/>
        <v>137743.6704</v>
      </c>
      <c r="H78" s="148">
        <f t="shared" si="10"/>
        <v>130475.93440000001</v>
      </c>
      <c r="J78" s="157">
        <v>74</v>
      </c>
      <c r="K78" s="111">
        <f t="shared" si="8"/>
        <v>165292.40448</v>
      </c>
      <c r="L78" s="148">
        <f t="shared" si="6"/>
        <v>156571.12128000002</v>
      </c>
      <c r="N78" s="157">
        <v>74</v>
      </c>
      <c r="O78" s="111">
        <f t="shared" si="9"/>
        <v>158405.22095999998</v>
      </c>
      <c r="P78" s="148">
        <f t="shared" si="7"/>
        <v>150047.32456000001</v>
      </c>
    </row>
    <row r="79" spans="2:16" hidden="1">
      <c r="B79" s="158">
        <v>75</v>
      </c>
      <c r="C79" s="147">
        <v>130007.5</v>
      </c>
      <c r="D79" s="150">
        <v>122772.49</v>
      </c>
      <c r="F79" s="158">
        <v>75</v>
      </c>
      <c r="G79" s="147">
        <f t="shared" si="10"/>
        <v>145608.40000000002</v>
      </c>
      <c r="H79" s="150">
        <f t="shared" si="10"/>
        <v>137505.18880000003</v>
      </c>
      <c r="J79" s="158">
        <v>75</v>
      </c>
      <c r="K79" s="147">
        <f t="shared" si="8"/>
        <v>174730.08000000002</v>
      </c>
      <c r="L79" s="150">
        <f t="shared" si="6"/>
        <v>165006.22656000004</v>
      </c>
      <c r="N79" s="158">
        <v>75</v>
      </c>
      <c r="O79" s="147">
        <f t="shared" si="9"/>
        <v>167449.66</v>
      </c>
      <c r="P79" s="150">
        <f t="shared" si="7"/>
        <v>158130.96712000002</v>
      </c>
    </row>
    <row r="80" spans="2:16" hidden="1">
      <c r="B80" s="157">
        <v>76</v>
      </c>
      <c r="C80" s="111">
        <v>137430.51999999999</v>
      </c>
      <c r="D80" s="148">
        <v>129386.73</v>
      </c>
      <c r="F80" s="157">
        <v>76</v>
      </c>
      <c r="G80" s="111">
        <f t="shared" si="10"/>
        <v>153922.18239999999</v>
      </c>
      <c r="H80" s="148">
        <f t="shared" si="10"/>
        <v>144913.13760000002</v>
      </c>
      <c r="J80" s="157">
        <v>76</v>
      </c>
      <c r="K80" s="111">
        <f t="shared" si="8"/>
        <v>184706.61887999999</v>
      </c>
      <c r="L80" s="148">
        <f t="shared" si="6"/>
        <v>173895.76512000003</v>
      </c>
      <c r="N80" s="157">
        <v>76</v>
      </c>
      <c r="O80" s="111">
        <f t="shared" si="9"/>
        <v>177010.50975999999</v>
      </c>
      <c r="P80" s="148">
        <f t="shared" si="7"/>
        <v>166650.10824</v>
      </c>
    </row>
    <row r="81" spans="2:16" hidden="1">
      <c r="B81" s="158">
        <v>77</v>
      </c>
      <c r="C81" s="147">
        <v>145277.38</v>
      </c>
      <c r="D81" s="150">
        <v>136357.29999999999</v>
      </c>
      <c r="F81" s="158">
        <v>77</v>
      </c>
      <c r="G81" s="147">
        <f t="shared" si="10"/>
        <v>162710.66560000001</v>
      </c>
      <c r="H81" s="150">
        <f t="shared" si="10"/>
        <v>152720.17600000001</v>
      </c>
      <c r="J81" s="158">
        <v>77</v>
      </c>
      <c r="K81" s="147">
        <f t="shared" si="8"/>
        <v>195252.79871999999</v>
      </c>
      <c r="L81" s="150">
        <f t="shared" si="6"/>
        <v>183264.21119999999</v>
      </c>
      <c r="N81" s="158">
        <v>77</v>
      </c>
      <c r="O81" s="147">
        <f t="shared" si="9"/>
        <v>187117.26543999999</v>
      </c>
      <c r="P81" s="150">
        <f t="shared" si="7"/>
        <v>175628.20239999998</v>
      </c>
    </row>
    <row r="82" spans="2:16" hidden="1">
      <c r="B82" s="157">
        <v>78</v>
      </c>
      <c r="C82" s="111">
        <v>153572.26</v>
      </c>
      <c r="D82" s="148">
        <v>143703.41</v>
      </c>
      <c r="F82" s="157">
        <v>78</v>
      </c>
      <c r="G82" s="111">
        <f t="shared" si="10"/>
        <v>172000.93120000002</v>
      </c>
      <c r="H82" s="148">
        <f t="shared" si="10"/>
        <v>160947.81920000003</v>
      </c>
      <c r="J82" s="157">
        <v>78</v>
      </c>
      <c r="K82" s="111">
        <f t="shared" si="8"/>
        <v>206401.11744000003</v>
      </c>
      <c r="L82" s="148">
        <f t="shared" si="6"/>
        <v>193137.38304000002</v>
      </c>
      <c r="N82" s="157">
        <v>78</v>
      </c>
      <c r="O82" s="111">
        <f t="shared" si="9"/>
        <v>197801.07088000001</v>
      </c>
      <c r="P82" s="148">
        <f t="shared" si="7"/>
        <v>185089.99208000003</v>
      </c>
    </row>
    <row r="83" spans="2:16" hidden="1">
      <c r="B83" s="158">
        <v>79</v>
      </c>
      <c r="C83" s="147">
        <v>162340.75</v>
      </c>
      <c r="D83" s="150">
        <v>151445.28</v>
      </c>
      <c r="F83" s="158">
        <v>79</v>
      </c>
      <c r="G83" s="147">
        <f t="shared" si="10"/>
        <v>181821.64</v>
      </c>
      <c r="H83" s="150">
        <f t="shared" si="10"/>
        <v>169618.71360000002</v>
      </c>
      <c r="J83" s="158">
        <v>79</v>
      </c>
      <c r="K83" s="147">
        <f t="shared" si="8"/>
        <v>218185.96800000002</v>
      </c>
      <c r="L83" s="150">
        <f t="shared" si="6"/>
        <v>203542.45632000003</v>
      </c>
      <c r="N83" s="158">
        <v>79</v>
      </c>
      <c r="O83" s="147">
        <f t="shared" si="9"/>
        <v>209094.886</v>
      </c>
      <c r="P83" s="150">
        <f t="shared" si="7"/>
        <v>195061.52064</v>
      </c>
    </row>
    <row r="84" spans="2:16" hidden="1">
      <c r="B84" s="157">
        <v>80</v>
      </c>
      <c r="C84" s="111">
        <v>171609.9</v>
      </c>
      <c r="D84" s="148">
        <v>159604.23000000001</v>
      </c>
      <c r="F84" s="157">
        <v>80</v>
      </c>
      <c r="G84" s="111">
        <f t="shared" si="10"/>
        <v>192203.08800000002</v>
      </c>
      <c r="H84" s="148">
        <f t="shared" si="10"/>
        <v>178756.73760000002</v>
      </c>
      <c r="J84" s="157">
        <v>80</v>
      </c>
      <c r="K84" s="111">
        <f t="shared" si="8"/>
        <v>230643.70560000002</v>
      </c>
      <c r="L84" s="148">
        <f t="shared" si="6"/>
        <v>214508.08512000003</v>
      </c>
      <c r="N84" s="157">
        <v>80</v>
      </c>
      <c r="O84" s="111">
        <f t="shared" si="9"/>
        <v>221033.55120000002</v>
      </c>
      <c r="P84" s="148">
        <f t="shared" si="7"/>
        <v>205570.24824000002</v>
      </c>
    </row>
    <row r="85" spans="2:16" hidden="1">
      <c r="B85" s="158">
        <v>81</v>
      </c>
      <c r="C85" s="147">
        <v>181408.29</v>
      </c>
      <c r="D85" s="150">
        <v>168202.74</v>
      </c>
      <c r="F85" s="158">
        <v>81</v>
      </c>
      <c r="G85" s="147">
        <f t="shared" si="10"/>
        <v>203177.28480000002</v>
      </c>
      <c r="H85" s="150">
        <f t="shared" si="10"/>
        <v>188387.06880000001</v>
      </c>
      <c r="J85" s="158">
        <v>81</v>
      </c>
      <c r="K85" s="147">
        <f t="shared" si="8"/>
        <v>243812.74176</v>
      </c>
      <c r="L85" s="150">
        <f t="shared" si="6"/>
        <v>226064.48256</v>
      </c>
      <c r="N85" s="158">
        <v>81</v>
      </c>
      <c r="O85" s="147">
        <f t="shared" si="9"/>
        <v>233653.87752000001</v>
      </c>
      <c r="P85" s="150">
        <f t="shared" si="7"/>
        <v>216645.12912</v>
      </c>
    </row>
    <row r="86" spans="2:16" hidden="1">
      <c r="B86" s="157">
        <v>82</v>
      </c>
      <c r="C86" s="111">
        <v>191766.14</v>
      </c>
      <c r="D86" s="148">
        <v>177264.49</v>
      </c>
      <c r="F86" s="157">
        <v>82</v>
      </c>
      <c r="G86" s="111">
        <f t="shared" si="10"/>
        <v>214778.07680000004</v>
      </c>
      <c r="H86" s="148">
        <f t="shared" si="10"/>
        <v>198536.22880000001</v>
      </c>
      <c r="J86" s="157">
        <v>82</v>
      </c>
      <c r="K86" s="111">
        <f t="shared" si="8"/>
        <v>257733.69216000004</v>
      </c>
      <c r="L86" s="148">
        <f t="shared" si="6"/>
        <v>238243.47456</v>
      </c>
      <c r="N86" s="157">
        <v>82</v>
      </c>
      <c r="O86" s="111">
        <f t="shared" si="9"/>
        <v>246994.78832000002</v>
      </c>
      <c r="P86" s="148">
        <f t="shared" si="7"/>
        <v>228316.66311999998</v>
      </c>
    </row>
    <row r="87" spans="2:16" hidden="1">
      <c r="B87" s="158">
        <v>83</v>
      </c>
      <c r="C87" s="147">
        <v>202715.38</v>
      </c>
      <c r="D87" s="150">
        <v>186814.43</v>
      </c>
      <c r="F87" s="158">
        <v>83</v>
      </c>
      <c r="G87" s="147">
        <f t="shared" si="10"/>
        <v>227041.22560000003</v>
      </c>
      <c r="H87" s="150">
        <f t="shared" si="10"/>
        <v>209232.16160000002</v>
      </c>
      <c r="J87" s="158">
        <v>83</v>
      </c>
      <c r="K87" s="147">
        <f t="shared" si="8"/>
        <v>272449.47072000004</v>
      </c>
      <c r="L87" s="150">
        <f t="shared" si="6"/>
        <v>251078.59392000001</v>
      </c>
      <c r="N87" s="158">
        <v>83</v>
      </c>
      <c r="O87" s="147">
        <f t="shared" si="9"/>
        <v>261097.40944000002</v>
      </c>
      <c r="P87" s="150">
        <f t="shared" si="7"/>
        <v>240616.98584000001</v>
      </c>
    </row>
    <row r="88" spans="2:16" hidden="1">
      <c r="B88" s="157">
        <v>84</v>
      </c>
      <c r="C88" s="111">
        <v>214289.8</v>
      </c>
      <c r="D88" s="148">
        <v>196878.86</v>
      </c>
      <c r="F88" s="157">
        <v>84</v>
      </c>
      <c r="G88" s="111">
        <f t="shared" si="10"/>
        <v>240004.576</v>
      </c>
      <c r="H88" s="148">
        <f t="shared" si="10"/>
        <v>220504.32320000001</v>
      </c>
      <c r="J88" s="157">
        <v>84</v>
      </c>
      <c r="K88" s="111">
        <f t="shared" si="8"/>
        <v>288005.49119999999</v>
      </c>
      <c r="L88" s="148">
        <f t="shared" si="8"/>
        <v>264605.18784000003</v>
      </c>
      <c r="N88" s="157">
        <v>84</v>
      </c>
      <c r="O88" s="111">
        <f t="shared" si="9"/>
        <v>276005.26240000001</v>
      </c>
      <c r="P88" s="148">
        <f t="shared" si="9"/>
        <v>253579.97167999999</v>
      </c>
    </row>
    <row r="89" spans="2:16" hidden="1">
      <c r="B89" s="158">
        <v>85</v>
      </c>
      <c r="C89" s="147">
        <v>226525.07</v>
      </c>
      <c r="D89" s="150">
        <v>207485.5</v>
      </c>
      <c r="F89" s="158">
        <v>85</v>
      </c>
      <c r="G89" s="147">
        <f t="shared" si="10"/>
        <v>253708.07840000003</v>
      </c>
      <c r="H89" s="150">
        <f t="shared" si="10"/>
        <v>232383.76</v>
      </c>
      <c r="J89" s="158">
        <v>85</v>
      </c>
      <c r="K89" s="147">
        <f t="shared" ref="K89:L104" si="11">+G89*1.2</f>
        <v>304449.69408000004</v>
      </c>
      <c r="L89" s="150">
        <f t="shared" si="11"/>
        <v>278860.51199999999</v>
      </c>
      <c r="N89" s="158">
        <v>85</v>
      </c>
      <c r="O89" s="147">
        <f t="shared" ref="O89:P104" si="12">+G89*1.15</f>
        <v>291764.29016000003</v>
      </c>
      <c r="P89" s="150">
        <f t="shared" si="12"/>
        <v>267241.32399999996</v>
      </c>
    </row>
    <row r="90" spans="2:16" hidden="1">
      <c r="B90" s="157">
        <v>86</v>
      </c>
      <c r="C90" s="111">
        <v>239458.94</v>
      </c>
      <c r="D90" s="148">
        <v>218663.57</v>
      </c>
      <c r="F90" s="157">
        <v>86</v>
      </c>
      <c r="G90" s="111">
        <f t="shared" si="10"/>
        <v>268194.01280000003</v>
      </c>
      <c r="H90" s="148">
        <f t="shared" si="10"/>
        <v>244903.19840000002</v>
      </c>
      <c r="J90" s="157">
        <v>86</v>
      </c>
      <c r="K90" s="111">
        <f t="shared" si="11"/>
        <v>321832.81536000001</v>
      </c>
      <c r="L90" s="148">
        <f t="shared" si="11"/>
        <v>293883.83808000002</v>
      </c>
      <c r="N90" s="157">
        <v>86</v>
      </c>
      <c r="O90" s="111">
        <f t="shared" si="12"/>
        <v>308423.11472000001</v>
      </c>
      <c r="P90" s="148">
        <f t="shared" si="12"/>
        <v>281638.67816000001</v>
      </c>
    </row>
    <row r="91" spans="2:16" hidden="1">
      <c r="B91" s="158">
        <v>87</v>
      </c>
      <c r="C91" s="147">
        <v>253131.3</v>
      </c>
      <c r="D91" s="150">
        <v>230443.84</v>
      </c>
      <c r="F91" s="158">
        <v>87</v>
      </c>
      <c r="G91" s="147">
        <f t="shared" si="10"/>
        <v>283507.05600000004</v>
      </c>
      <c r="H91" s="150">
        <f t="shared" si="10"/>
        <v>258097.10080000001</v>
      </c>
      <c r="J91" s="158">
        <v>87</v>
      </c>
      <c r="K91" s="147">
        <f t="shared" si="11"/>
        <v>340208.46720000001</v>
      </c>
      <c r="L91" s="150">
        <f t="shared" si="11"/>
        <v>309716.52095999999</v>
      </c>
      <c r="N91" s="158">
        <v>87</v>
      </c>
      <c r="O91" s="147">
        <f t="shared" si="12"/>
        <v>326033.11440000002</v>
      </c>
      <c r="P91" s="150">
        <f t="shared" si="12"/>
        <v>296811.66592</v>
      </c>
    </row>
    <row r="92" spans="2:16" hidden="1">
      <c r="B92" s="157">
        <v>88</v>
      </c>
      <c r="C92" s="111">
        <v>267584.31</v>
      </c>
      <c r="D92" s="148">
        <v>242858.76</v>
      </c>
      <c r="F92" s="157">
        <v>88</v>
      </c>
      <c r="G92" s="111">
        <f t="shared" si="10"/>
        <v>299694.42720000003</v>
      </c>
      <c r="H92" s="148">
        <f t="shared" si="10"/>
        <v>272001.81120000005</v>
      </c>
      <c r="J92" s="157">
        <v>88</v>
      </c>
      <c r="K92" s="111">
        <f t="shared" si="11"/>
        <v>359633.31264000002</v>
      </c>
      <c r="L92" s="148">
        <f t="shared" si="11"/>
        <v>326402.17344000004</v>
      </c>
      <c r="N92" s="157">
        <v>88</v>
      </c>
      <c r="O92" s="111">
        <f t="shared" si="12"/>
        <v>344648.59127999999</v>
      </c>
      <c r="P92" s="148">
        <f t="shared" si="12"/>
        <v>312802.08288000006</v>
      </c>
    </row>
    <row r="93" spans="2:16" hidden="1">
      <c r="B93" s="158">
        <v>89</v>
      </c>
      <c r="C93" s="147">
        <v>282862.53000000003</v>
      </c>
      <c r="D93" s="150">
        <v>255942.52</v>
      </c>
      <c r="F93" s="158">
        <v>89</v>
      </c>
      <c r="G93" s="147">
        <f t="shared" si="10"/>
        <v>316806.03360000008</v>
      </c>
      <c r="H93" s="150">
        <f t="shared" si="10"/>
        <v>286655.62239999999</v>
      </c>
      <c r="J93" s="158">
        <v>89</v>
      </c>
      <c r="K93" s="147">
        <f t="shared" si="11"/>
        <v>380167.2403200001</v>
      </c>
      <c r="L93" s="150">
        <f t="shared" si="11"/>
        <v>343986.74687999999</v>
      </c>
      <c r="N93" s="158">
        <v>89</v>
      </c>
      <c r="O93" s="147">
        <f t="shared" si="12"/>
        <v>364326.93864000007</v>
      </c>
      <c r="P93" s="150">
        <f t="shared" si="12"/>
        <v>329653.96575999999</v>
      </c>
    </row>
    <row r="94" spans="2:16" hidden="1">
      <c r="B94" s="157">
        <v>90</v>
      </c>
      <c r="C94" s="111">
        <v>299013.09999999998</v>
      </c>
      <c r="D94" s="148">
        <v>269731.15000000002</v>
      </c>
      <c r="F94" s="157">
        <v>90</v>
      </c>
      <c r="G94" s="111">
        <f t="shared" si="10"/>
        <v>334894.67200000002</v>
      </c>
      <c r="H94" s="148">
        <f t="shared" si="10"/>
        <v>302098.88800000004</v>
      </c>
      <c r="J94" s="157">
        <v>90</v>
      </c>
      <c r="K94" s="111">
        <f t="shared" si="11"/>
        <v>401873.60639999999</v>
      </c>
      <c r="L94" s="148">
        <f t="shared" si="11"/>
        <v>362518.66560000001</v>
      </c>
      <c r="N94" s="157">
        <v>90</v>
      </c>
      <c r="O94" s="111">
        <f t="shared" si="12"/>
        <v>385128.87280000001</v>
      </c>
      <c r="P94" s="148">
        <f t="shared" si="12"/>
        <v>347413.72120000003</v>
      </c>
    </row>
    <row r="95" spans="2:16" hidden="1">
      <c r="B95" s="158">
        <v>91</v>
      </c>
      <c r="C95" s="147">
        <v>316085.81</v>
      </c>
      <c r="D95" s="150">
        <v>284262.64</v>
      </c>
      <c r="F95" s="158">
        <v>91</v>
      </c>
      <c r="G95" s="147">
        <f t="shared" si="10"/>
        <v>354016.10720000003</v>
      </c>
      <c r="H95" s="150">
        <f t="shared" si="10"/>
        <v>318374.15680000006</v>
      </c>
      <c r="J95" s="158">
        <v>91</v>
      </c>
      <c r="K95" s="147">
        <f t="shared" si="11"/>
        <v>424819.32864000002</v>
      </c>
      <c r="L95" s="150">
        <f t="shared" si="11"/>
        <v>382048.98816000007</v>
      </c>
      <c r="N95" s="158">
        <v>91</v>
      </c>
      <c r="O95" s="147">
        <f t="shared" si="12"/>
        <v>407118.52328000002</v>
      </c>
      <c r="P95" s="150">
        <f t="shared" si="12"/>
        <v>366130.28032000002</v>
      </c>
    </row>
    <row r="96" spans="2:16" hidden="1">
      <c r="B96" s="157">
        <v>92</v>
      </c>
      <c r="C96" s="111">
        <v>334133.32</v>
      </c>
      <c r="D96" s="148">
        <v>299576.99</v>
      </c>
      <c r="F96" s="157">
        <v>92</v>
      </c>
      <c r="G96" s="111">
        <f t="shared" si="10"/>
        <v>374229.31840000005</v>
      </c>
      <c r="H96" s="148">
        <f t="shared" si="10"/>
        <v>335526.22880000004</v>
      </c>
      <c r="J96" s="157">
        <v>92</v>
      </c>
      <c r="K96" s="111">
        <f t="shared" si="11"/>
        <v>449075.18208000006</v>
      </c>
      <c r="L96" s="148">
        <f t="shared" si="11"/>
        <v>402631.47456000006</v>
      </c>
      <c r="N96" s="157">
        <v>92</v>
      </c>
      <c r="O96" s="111">
        <f t="shared" si="12"/>
        <v>430363.71616000001</v>
      </c>
      <c r="P96" s="148">
        <f t="shared" si="12"/>
        <v>385855.16312000004</v>
      </c>
    </row>
    <row r="97" spans="2:16" hidden="1">
      <c r="B97" s="158">
        <v>93</v>
      </c>
      <c r="C97" s="147">
        <v>353211.28</v>
      </c>
      <c r="D97" s="150">
        <v>315716.38</v>
      </c>
      <c r="F97" s="158">
        <v>93</v>
      </c>
      <c r="G97" s="147">
        <f t="shared" si="10"/>
        <v>395596.63360000006</v>
      </c>
      <c r="H97" s="150">
        <f t="shared" si="10"/>
        <v>353602.34560000006</v>
      </c>
      <c r="J97" s="158">
        <v>93</v>
      </c>
      <c r="K97" s="147">
        <f t="shared" si="11"/>
        <v>474715.96032000007</v>
      </c>
      <c r="L97" s="150">
        <f t="shared" si="11"/>
        <v>424322.81472000008</v>
      </c>
      <c r="N97" s="158">
        <v>93</v>
      </c>
      <c r="O97" s="147">
        <f t="shared" si="12"/>
        <v>454936.12864000001</v>
      </c>
      <c r="P97" s="150">
        <f t="shared" si="12"/>
        <v>406642.69744000002</v>
      </c>
    </row>
    <row r="98" spans="2:16" hidden="1">
      <c r="B98" s="157">
        <v>94</v>
      </c>
      <c r="C98" s="111">
        <v>373378.54</v>
      </c>
      <c r="D98" s="148">
        <v>332725.27</v>
      </c>
      <c r="F98" s="157">
        <v>94</v>
      </c>
      <c r="G98" s="111">
        <f t="shared" si="10"/>
        <v>418183.96480000002</v>
      </c>
      <c r="H98" s="148">
        <f t="shared" si="10"/>
        <v>372652.30240000004</v>
      </c>
      <c r="J98" s="157">
        <v>94</v>
      </c>
      <c r="K98" s="111">
        <f t="shared" si="11"/>
        <v>501820.75776000001</v>
      </c>
      <c r="L98" s="148">
        <f t="shared" si="11"/>
        <v>447182.76288000005</v>
      </c>
      <c r="N98" s="157">
        <v>94</v>
      </c>
      <c r="O98" s="111">
        <f t="shared" si="12"/>
        <v>480911.55952000001</v>
      </c>
      <c r="P98" s="148">
        <f t="shared" si="12"/>
        <v>428550.14776000002</v>
      </c>
    </row>
    <row r="99" spans="2:16" hidden="1">
      <c r="B99" s="158">
        <v>95</v>
      </c>
      <c r="C99" s="147">
        <v>394697.29</v>
      </c>
      <c r="D99" s="150">
        <v>350650.5</v>
      </c>
      <c r="F99" s="158">
        <v>95</v>
      </c>
      <c r="G99" s="147">
        <f t="shared" si="10"/>
        <v>442060.96480000002</v>
      </c>
      <c r="H99" s="150">
        <f t="shared" si="10"/>
        <v>392728.56000000006</v>
      </c>
      <c r="J99" s="158">
        <v>95</v>
      </c>
      <c r="K99" s="147">
        <f t="shared" si="11"/>
        <v>530473.15775999997</v>
      </c>
      <c r="L99" s="150">
        <f t="shared" si="11"/>
        <v>471274.27200000006</v>
      </c>
      <c r="N99" s="158">
        <v>95</v>
      </c>
      <c r="O99" s="147">
        <f t="shared" si="12"/>
        <v>508370.10952</v>
      </c>
      <c r="P99" s="150">
        <f t="shared" si="12"/>
        <v>451637.84400000004</v>
      </c>
    </row>
    <row r="100" spans="2:16" hidden="1">
      <c r="B100" s="157">
        <v>96</v>
      </c>
      <c r="C100" s="111">
        <v>417233.27</v>
      </c>
      <c r="D100" s="148">
        <v>369541.43</v>
      </c>
      <c r="F100" s="157">
        <v>96</v>
      </c>
      <c r="G100" s="111">
        <f t="shared" si="10"/>
        <v>467301.26240000007</v>
      </c>
      <c r="H100" s="148">
        <f t="shared" si="10"/>
        <v>413886.40160000004</v>
      </c>
      <c r="J100" s="157">
        <v>96</v>
      </c>
      <c r="K100" s="111">
        <f t="shared" si="11"/>
        <v>560761.51488000003</v>
      </c>
      <c r="L100" s="148">
        <f t="shared" si="11"/>
        <v>496663.68192</v>
      </c>
      <c r="N100" s="157">
        <v>96</v>
      </c>
      <c r="O100" s="111">
        <f t="shared" si="12"/>
        <v>537396.45176000008</v>
      </c>
      <c r="P100" s="148">
        <f t="shared" si="12"/>
        <v>475969.36184000003</v>
      </c>
    </row>
    <row r="101" spans="2:16" hidden="1">
      <c r="B101" s="158">
        <v>97</v>
      </c>
      <c r="C101" s="147">
        <v>441055.98</v>
      </c>
      <c r="D101" s="150">
        <v>389450.09</v>
      </c>
      <c r="F101" s="158">
        <v>97</v>
      </c>
      <c r="G101" s="147">
        <f t="shared" si="10"/>
        <v>493982.69760000001</v>
      </c>
      <c r="H101" s="150">
        <f t="shared" si="10"/>
        <v>436184.10080000007</v>
      </c>
      <c r="J101" s="158">
        <v>97</v>
      </c>
      <c r="K101" s="147">
        <f t="shared" si="11"/>
        <v>592779.23711999995</v>
      </c>
      <c r="L101" s="150">
        <f t="shared" si="11"/>
        <v>523420.92096000008</v>
      </c>
      <c r="N101" s="158">
        <v>97</v>
      </c>
      <c r="O101" s="147">
        <f t="shared" si="12"/>
        <v>568080.10223999992</v>
      </c>
      <c r="P101" s="150">
        <f t="shared" si="12"/>
        <v>501611.71592000005</v>
      </c>
    </row>
    <row r="102" spans="2:16" hidden="1">
      <c r="B102" s="157">
        <v>98</v>
      </c>
      <c r="C102" s="111">
        <v>466238.89</v>
      </c>
      <c r="D102" s="148">
        <v>410431.3</v>
      </c>
      <c r="F102" s="157">
        <v>98</v>
      </c>
      <c r="G102" s="111">
        <f t="shared" si="10"/>
        <v>522187.55680000008</v>
      </c>
      <c r="H102" s="148">
        <f t="shared" si="10"/>
        <v>459683.05600000004</v>
      </c>
      <c r="J102" s="157">
        <v>98</v>
      </c>
      <c r="K102" s="111">
        <f t="shared" si="11"/>
        <v>626625.06816000002</v>
      </c>
      <c r="L102" s="148">
        <f t="shared" si="11"/>
        <v>551619.66720000003</v>
      </c>
      <c r="N102" s="157">
        <v>98</v>
      </c>
      <c r="O102" s="111">
        <f t="shared" si="12"/>
        <v>600515.69032000005</v>
      </c>
      <c r="P102" s="148">
        <f t="shared" si="12"/>
        <v>528635.51439999999</v>
      </c>
    </row>
    <row r="103" spans="2:16" hidden="1">
      <c r="B103" s="158">
        <v>99</v>
      </c>
      <c r="C103" s="147">
        <v>492859.67</v>
      </c>
      <c r="D103" s="150">
        <v>432542.86</v>
      </c>
      <c r="F103" s="158">
        <v>99</v>
      </c>
      <c r="G103" s="147">
        <f t="shared" si="10"/>
        <v>552002.83039999998</v>
      </c>
      <c r="H103" s="150">
        <f t="shared" si="10"/>
        <v>484448.00320000004</v>
      </c>
      <c r="J103" s="158">
        <v>99</v>
      </c>
      <c r="K103" s="147">
        <f t="shared" si="11"/>
        <v>662403.39648</v>
      </c>
      <c r="L103" s="150">
        <f t="shared" si="11"/>
        <v>581337.60384</v>
      </c>
      <c r="N103" s="158">
        <v>99</v>
      </c>
      <c r="O103" s="147">
        <f t="shared" si="12"/>
        <v>634803.25495999993</v>
      </c>
      <c r="P103" s="150">
        <f t="shared" si="12"/>
        <v>557115.20368000004</v>
      </c>
    </row>
    <row r="104" spans="2:16" hidden="1">
      <c r="B104" s="250">
        <v>100</v>
      </c>
      <c r="C104" s="166">
        <v>492859.67</v>
      </c>
      <c r="D104" s="161">
        <v>432542.86</v>
      </c>
      <c r="F104" s="250">
        <v>100</v>
      </c>
      <c r="G104" s="166">
        <f t="shared" si="10"/>
        <v>552002.83039999998</v>
      </c>
      <c r="H104" s="161">
        <f t="shared" si="10"/>
        <v>484448.00320000004</v>
      </c>
      <c r="J104" s="250">
        <v>100</v>
      </c>
      <c r="K104" s="166">
        <f t="shared" si="11"/>
        <v>662403.39648</v>
      </c>
      <c r="L104" s="161">
        <f t="shared" si="11"/>
        <v>581337.60384</v>
      </c>
      <c r="N104" s="250">
        <v>100</v>
      </c>
      <c r="O104" s="166">
        <f t="shared" si="12"/>
        <v>634803.25495999993</v>
      </c>
      <c r="P104" s="161">
        <f t="shared" si="12"/>
        <v>557115.20368000004</v>
      </c>
    </row>
  </sheetData>
  <sheetProtection selectLockedCells="1"/>
  <pageMargins left="0.75" right="0.75" top="1" bottom="1" header="0" footer="0"/>
  <pageSetup scale="90" orientation="landscape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54"/>
  <sheetViews>
    <sheetView windowProtection="1" showGridLines="0" topLeftCell="AA1" workbookViewId="0">
      <selection activeCell="B12" sqref="B12:I12"/>
    </sheetView>
  </sheetViews>
  <sheetFormatPr baseColWidth="10" defaultColWidth="11.453125" defaultRowHeight="12.5" zeroHeight="1"/>
  <cols>
    <col min="1" max="1" width="1.1796875" hidden="1" customWidth="1"/>
    <col min="2" max="26" width="0" hidden="1" customWidth="1"/>
  </cols>
  <sheetData>
    <row r="1" spans="1:1">
      <c r="A1" s="105" t="s">
        <v>144</v>
      </c>
    </row>
    <row r="3" spans="1:1" hidden="1">
      <c r="A3" s="104" t="s">
        <v>153</v>
      </c>
    </row>
    <row r="4" spans="1:1" hidden="1">
      <c r="A4" s="104" t="s">
        <v>117</v>
      </c>
    </row>
    <row r="5" spans="1:1" hidden="1">
      <c r="A5" s="104" t="s">
        <v>118</v>
      </c>
    </row>
    <row r="6" spans="1:1" hidden="1">
      <c r="A6" s="104" t="s">
        <v>119</v>
      </c>
    </row>
    <row r="7" spans="1:1" hidden="1">
      <c r="A7" s="104" t="s">
        <v>120</v>
      </c>
    </row>
    <row r="8" spans="1:1" hidden="1">
      <c r="A8" s="104" t="s">
        <v>121</v>
      </c>
    </row>
    <row r="9" spans="1:1" hidden="1">
      <c r="A9" s="105" t="s">
        <v>168</v>
      </c>
    </row>
    <row r="10" spans="1:1" hidden="1">
      <c r="A10" s="105" t="s">
        <v>169</v>
      </c>
    </row>
    <row r="12" spans="1:1" hidden="1">
      <c r="A12" s="104" t="s">
        <v>154</v>
      </c>
    </row>
    <row r="13" spans="1:1" hidden="1">
      <c r="A13" s="104" t="s">
        <v>160</v>
      </c>
    </row>
    <row r="14" spans="1:1" hidden="1">
      <c r="A14" s="104" t="s">
        <v>122</v>
      </c>
    </row>
    <row r="15" spans="1:1" hidden="1">
      <c r="A15" s="104" t="s">
        <v>123</v>
      </c>
    </row>
    <row r="16" spans="1:1" hidden="1">
      <c r="A16" s="104" t="s">
        <v>124</v>
      </c>
    </row>
    <row r="18" spans="1:8" hidden="1">
      <c r="A18" s="104" t="s">
        <v>125</v>
      </c>
    </row>
    <row r="19" spans="1:8" hidden="1">
      <c r="A19" s="104" t="s">
        <v>158</v>
      </c>
    </row>
    <row r="20" spans="1:8" hidden="1">
      <c r="A20" s="104" t="s">
        <v>159</v>
      </c>
    </row>
    <row r="21" spans="1:8" hidden="1">
      <c r="A21" s="105" t="s">
        <v>170</v>
      </c>
    </row>
    <row r="23" spans="1:8" hidden="1">
      <c r="A23" s="104" t="s">
        <v>127</v>
      </c>
      <c r="H23" s="104" t="s">
        <v>146</v>
      </c>
    </row>
    <row r="24" spans="1:8" hidden="1">
      <c r="A24" s="104" t="s">
        <v>166</v>
      </c>
      <c r="H24" s="106" t="s">
        <v>147</v>
      </c>
    </row>
    <row r="25" spans="1:8" hidden="1">
      <c r="A25" s="104" t="s">
        <v>126</v>
      </c>
      <c r="H25" s="106" t="s">
        <v>148</v>
      </c>
    </row>
    <row r="26" spans="1:8" hidden="1">
      <c r="A26" s="104" t="s">
        <v>161</v>
      </c>
      <c r="H26" s="106" t="s">
        <v>149</v>
      </c>
    </row>
    <row r="27" spans="1:8" hidden="1">
      <c r="A27" s="105" t="s">
        <v>171</v>
      </c>
      <c r="H27" s="106" t="s">
        <v>150</v>
      </c>
    </row>
    <row r="28" spans="1:8" hidden="1">
      <c r="A28" s="104" t="s">
        <v>157</v>
      </c>
      <c r="H28" s="106" t="s">
        <v>151</v>
      </c>
    </row>
    <row r="29" spans="1:8" hidden="1">
      <c r="H29" s="106" t="s">
        <v>152</v>
      </c>
    </row>
    <row r="30" spans="1:8" hidden="1">
      <c r="A30" s="104" t="s">
        <v>128</v>
      </c>
    </row>
    <row r="31" spans="1:8" hidden="1">
      <c r="A31" s="104" t="s">
        <v>130</v>
      </c>
    </row>
    <row r="32" spans="1:8" hidden="1">
      <c r="A32" s="104" t="s">
        <v>131</v>
      </c>
    </row>
    <row r="33" spans="1:1" hidden="1">
      <c r="A33" s="104" t="s">
        <v>129</v>
      </c>
    </row>
    <row r="34" spans="1:1" hidden="1">
      <c r="A34" s="104" t="s">
        <v>132</v>
      </c>
    </row>
    <row r="36" spans="1:1" hidden="1">
      <c r="A36" s="104" t="s">
        <v>133</v>
      </c>
    </row>
    <row r="37" spans="1:1" hidden="1">
      <c r="A37" s="104" t="s">
        <v>134</v>
      </c>
    </row>
    <row r="38" spans="1:1" hidden="1">
      <c r="A38" s="104" t="s">
        <v>135</v>
      </c>
    </row>
    <row r="39" spans="1:1" hidden="1">
      <c r="A39" s="104" t="s">
        <v>136</v>
      </c>
    </row>
    <row r="41" spans="1:1" hidden="1">
      <c r="A41" s="104" t="s">
        <v>137</v>
      </c>
    </row>
    <row r="42" spans="1:1" hidden="1">
      <c r="A42" s="104" t="s">
        <v>138</v>
      </c>
    </row>
    <row r="43" spans="1:1" hidden="1">
      <c r="A43" s="104" t="s">
        <v>145</v>
      </c>
    </row>
    <row r="44" spans="1:1" hidden="1">
      <c r="A44" s="104" t="s">
        <v>139</v>
      </c>
    </row>
    <row r="45" spans="1:1" hidden="1">
      <c r="A45" s="104"/>
    </row>
    <row r="46" spans="1:1" hidden="1">
      <c r="A46" s="104" t="s">
        <v>140</v>
      </c>
    </row>
    <row r="47" spans="1:1" hidden="1">
      <c r="A47" s="104" t="s">
        <v>141</v>
      </c>
    </row>
    <row r="48" spans="1:1" hidden="1">
      <c r="A48" s="104" t="s">
        <v>142</v>
      </c>
    </row>
    <row r="49" spans="1:1" hidden="1">
      <c r="A49" s="104" t="s">
        <v>143</v>
      </c>
    </row>
    <row r="51" spans="1:1" hidden="1">
      <c r="A51" s="104" t="s">
        <v>162</v>
      </c>
    </row>
    <row r="52" spans="1:1" hidden="1">
      <c r="A52" s="104" t="s">
        <v>163</v>
      </c>
    </row>
    <row r="53" spans="1:1" hidden="1">
      <c r="A53" s="104" t="s">
        <v>164</v>
      </c>
    </row>
    <row r="54" spans="1:1" hidden="1">
      <c r="A54" s="104" t="s">
        <v>165</v>
      </c>
    </row>
  </sheetData>
  <sheetProtection password="D97F" sheet="1" objects="1" scenarios="1" selectLockedCells="1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5d638bf1-7afd-4f6e-a308-2245d53ac2db}" enabled="0" method="" siteId="{5d638bf1-7afd-4f6e-a308-2245d53ac2db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22</vt:i4>
      </vt:variant>
    </vt:vector>
  </HeadingPairs>
  <TitlesOfParts>
    <vt:vector size="31" baseType="lpstr">
      <vt:lpstr>Cotizador</vt:lpstr>
      <vt:lpstr>Instrucciones</vt:lpstr>
      <vt:lpstr>COTIZACION</vt:lpstr>
      <vt:lpstr>FACTORES</vt:lpstr>
      <vt:lpstr>TARIFARIO</vt:lpstr>
      <vt:lpstr>IMPRESION</vt:lpstr>
      <vt:lpstr>IMPRESION_2</vt:lpstr>
      <vt:lpstr>HISTORICO DE TARIFAS</vt:lpstr>
      <vt:lpstr>CAMBIOS</vt:lpstr>
      <vt:lpstr>IMPRESION_2!Área_de_impresión</vt:lpstr>
      <vt:lpstr>TARIFARIO!Área_de_impresión</vt:lpstr>
      <vt:lpstr>ASIS</vt:lpstr>
      <vt:lpstr>BÁSICAS</vt:lpstr>
      <vt:lpstr>CDENT</vt:lpstr>
      <vt:lpstr>CEE</vt:lpstr>
      <vt:lpstr>CTE</vt:lpstr>
      <vt:lpstr>DER</vt:lpstr>
      <vt:lpstr>EDXA019</vt:lpstr>
      <vt:lpstr>EDXA20100</vt:lpstr>
      <vt:lpstr>ENFGR</vt:lpstr>
      <vt:lpstr>IVA</vt:lpstr>
      <vt:lpstr>COTIZACION!Print_Area</vt:lpstr>
      <vt:lpstr>Cotizador!Print_Area</vt:lpstr>
      <vt:lpstr>FACTORES!Print_Area</vt:lpstr>
      <vt:lpstr>IMPRESION!Print_Area</vt:lpstr>
      <vt:lpstr>IMPRESION_2!Print_Area</vt:lpstr>
      <vt:lpstr>Instrucciones!Print_Area</vt:lpstr>
      <vt:lpstr>RMES</vt:lpstr>
      <vt:lpstr>RSEM</vt:lpstr>
      <vt:lpstr>RTRIM</vt:lpstr>
      <vt:lpstr>VIS</vt:lpstr>
    </vt:vector>
  </TitlesOfParts>
  <Company>GENERALI MEXICO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GENERALI MEXICO</dc:creator>
  <cp:lastModifiedBy>JESSICA FARIAS</cp:lastModifiedBy>
  <cp:lastPrinted>2020-11-23T18:20:38Z</cp:lastPrinted>
  <dcterms:created xsi:type="dcterms:W3CDTF">2002-01-09T15:02:34Z</dcterms:created>
  <dcterms:modified xsi:type="dcterms:W3CDTF">2023-03-06T16:49:25Z</dcterms:modified>
</cp:coreProperties>
</file>