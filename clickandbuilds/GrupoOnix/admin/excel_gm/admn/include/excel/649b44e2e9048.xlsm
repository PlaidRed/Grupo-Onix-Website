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022B3EB-BCE5-7840-4BB8-8062D341818C}"/>
  <workbookPr showInkAnnotation="0" codeName="ThisWorkbook"/>
  <mc:AlternateContent xmlns:mc="http://schemas.openxmlformats.org/markup-compatibility/2006">
    <mc:Choice Requires="x15">
      <x15ac:absPath xmlns:x15ac="http://schemas.microsoft.com/office/spreadsheetml/2010/11/ac" url="C:\Users\Camelia\Desktop\GONIX\2020\GASTOS MEDICOS\"/>
    </mc:Choice>
  </mc:AlternateContent>
  <workbookProtection workbookAlgorithmName="SHA-512" workbookHashValue="8vwXhRasIGPqCBBaG217+bmF2zbb9oRHxKkXv4qvpXayLWCPNb2muTBV9WJXdH0KPyKThT12rLw2YURzwi0SUQ==" workbookSaltValue="FGxTS148rvZjT4m8Bn8pKw==" workbookSpinCount="100000" lockStructure="1"/>
  <bookViews>
    <workbookView xWindow="0" yWindow="0" windowWidth="19200" windowHeight="6470" tabRatio="551"/>
  </bookViews>
  <sheets>
    <sheet name="DATOS GENERALES" sheetId="2" r:id="rId1"/>
    <sheet name="CAPTURA DP" sheetId="3" state="hidden" r:id="rId2"/>
    <sheet name="CAPTURA LISTADO" sheetId="5" r:id="rId3"/>
    <sheet name="CARTA-COTIZACION" sheetId="4" r:id="rId4"/>
    <sheet name="DATOS" sheetId="6" state="hidden" r:id="rId5"/>
    <sheet name="RESUMEN" sheetId="8" state="hidden" r:id="rId6"/>
    <sheet name="POLIZAS" sheetId="9" state="hidden" r:id="rId7"/>
  </sheets>
  <definedNames>
    <definedName name="_xlnm._FilterDatabase" localSheetId="4" hidden="1">DATOS!$E$3:$L$143</definedName>
    <definedName name="_xlnm._FilterDatabase" localSheetId="0" hidden="1">'DATOS GENERALES'!$A$24:$I$27</definedName>
    <definedName name="_xlnm._FilterDatabase" localSheetId="6" hidden="1">POLIZAS!$A$2:$A$613</definedName>
    <definedName name="_xlnm._FilterDatabase" localSheetId="5" hidden="1">RESUMEN!$W$106:$Z$433</definedName>
    <definedName name="_Key1" hidden="1">#REF!</definedName>
    <definedName name="_Key2" hidden="1">#REF!</definedName>
    <definedName name="_Order1" hidden="1">255</definedName>
    <definedName name="_Order2" hidden="1">255</definedName>
    <definedName name="_Sort" hidden="1">#REF!</definedName>
    <definedName name="a">'DATOS GENERALES'!$C$12</definedName>
    <definedName name="_xlnm.Print_Area" localSheetId="3">'CARTA-COTIZACION'!$B$1:$P$119</definedName>
    <definedName name="b">'CAPTURA DP'!$B$3</definedName>
    <definedName name="IVA">DATOS!$AQ$10</definedName>
    <definedName name="MATERNIDAD">'CAPTURA DP'!$W$105:$AE$110</definedName>
    <definedName name="Nueva" comment="a">'CAPTURA DP'!$D$3</definedName>
    <definedName name="p">'CAPTURA DP'!$B$4</definedName>
    <definedName name="pcosto">DATOS!$A$14:$C$20</definedName>
    <definedName name="polizas">POLIZAS!$A$2:$A$613</definedName>
    <definedName name="PRIMA_N">'CAPTURA DP'!$AQ$1:$CM$104</definedName>
    <definedName name="suma">DATOS!$AC$3:$AF$100</definedName>
    <definedName name="_xlnm.Print_Titles" localSheetId="3">'CARTA-COTIZACION'!$2:$6</definedName>
    <definedName name="ve">DATOS!$BF$11</definedName>
    <definedName name="vo">DATOS!$BD$11</definedName>
    <definedName name="vp">DATOS!$BE$11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5" i="2" l="1"/>
  <c r="B7" i="4" l="1"/>
  <c r="B3" i="4" l="1"/>
  <c r="A23" i="2" l="1"/>
  <c r="E7" i="3"/>
  <c r="C7" i="3" l="1"/>
  <c r="Q5" i="6" l="1"/>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Q106" i="6"/>
  <c r="Q107" i="6"/>
  <c r="Q108" i="6"/>
  <c r="Q109" i="6"/>
  <c r="Q110" i="6"/>
  <c r="Q111" i="6"/>
  <c r="Q112" i="6"/>
  <c r="Q113" i="6"/>
  <c r="Q114" i="6"/>
  <c r="Q115" i="6"/>
  <c r="Q116" i="6"/>
  <c r="Q117" i="6"/>
  <c r="Q118" i="6"/>
  <c r="Q119" i="6"/>
  <c r="Q120" i="6"/>
  <c r="Q121" i="6"/>
  <c r="Q122" i="6"/>
  <c r="Q123" i="6"/>
  <c r="Q124" i="6"/>
  <c r="Q125" i="6"/>
  <c r="Q126" i="6"/>
  <c r="Q127" i="6"/>
  <c r="Q128" i="6"/>
  <c r="Q129" i="6"/>
  <c r="Q130" i="6"/>
  <c r="Q131" i="6"/>
  <c r="Q132" i="6"/>
  <c r="Q133" i="6"/>
  <c r="Q134" i="6"/>
  <c r="Q135" i="6"/>
  <c r="Q136" i="6"/>
  <c r="Q137" i="6"/>
  <c r="Q138" i="6"/>
  <c r="Q139" i="6"/>
  <c r="Q140" i="6"/>
  <c r="Q141" i="6"/>
  <c r="Q142" i="6"/>
  <c r="Q143" i="6"/>
  <c r="Q144" i="6"/>
  <c r="Q145" i="6"/>
  <c r="Q146" i="6"/>
  <c r="Q147" i="6"/>
  <c r="Q148" i="6"/>
  <c r="Q149" i="6"/>
  <c r="Q150" i="6"/>
  <c r="Q151" i="6"/>
  <c r="Q152" i="6"/>
  <c r="Q153" i="6"/>
  <c r="Q154" i="6"/>
  <c r="Q155" i="6"/>
  <c r="Q156" i="6"/>
  <c r="Q157" i="6"/>
  <c r="Q158" i="6"/>
  <c r="Q159" i="6"/>
  <c r="Q160" i="6"/>
  <c r="Q161" i="6"/>
  <c r="Q162" i="6"/>
  <c r="Q163" i="6"/>
  <c r="Q164" i="6"/>
  <c r="Q165" i="6"/>
  <c r="Q166" i="6"/>
  <c r="Q167" i="6"/>
  <c r="Q168" i="6"/>
  <c r="Q169" i="6"/>
  <c r="Q170" i="6"/>
  <c r="Q171" i="6"/>
  <c r="Q172" i="6"/>
  <c r="Q173" i="6"/>
  <c r="Q174" i="6"/>
  <c r="Q175" i="6"/>
  <c r="Q176" i="6"/>
  <c r="Q177" i="6"/>
  <c r="Q178" i="6"/>
  <c r="Q179" i="6"/>
  <c r="Q180" i="6"/>
  <c r="Q181" i="6"/>
  <c r="Q182" i="6"/>
  <c r="Q183" i="6"/>
  <c r="Q184" i="6"/>
  <c r="Q185" i="6"/>
  <c r="Q186" i="6"/>
  <c r="Q187" i="6"/>
  <c r="Q188" i="6"/>
  <c r="Q189" i="6"/>
  <c r="Q190" i="6"/>
  <c r="Q191" i="6"/>
  <c r="Q192" i="6"/>
  <c r="Q193" i="6"/>
  <c r="Q194" i="6"/>
  <c r="Q195" i="6"/>
  <c r="Q196" i="6"/>
  <c r="Q197" i="6"/>
  <c r="Q198" i="6"/>
  <c r="Q199" i="6"/>
  <c r="Q200" i="6"/>
  <c r="Q201" i="6"/>
  <c r="Q202" i="6"/>
  <c r="Q203" i="6"/>
  <c r="Q204" i="6"/>
  <c r="Q205" i="6"/>
  <c r="Q206" i="6"/>
  <c r="Q207" i="6"/>
  <c r="Q208" i="6"/>
  <c r="Q209" i="6"/>
  <c r="Q210" i="6"/>
  <c r="Q211" i="6"/>
  <c r="Q212" i="6"/>
  <c r="Q213" i="6"/>
  <c r="Q214" i="6"/>
  <c r="Q215" i="6"/>
  <c r="Q216" i="6"/>
  <c r="Q217" i="6"/>
  <c r="Q218" i="6"/>
  <c r="Q219" i="6"/>
  <c r="Q220" i="6"/>
  <c r="Q221" i="6"/>
  <c r="Q222" i="6"/>
  <c r="Q223" i="6"/>
  <c r="Q224" i="6"/>
  <c r="Q225" i="6"/>
  <c r="Q226" i="6"/>
  <c r="Q227" i="6"/>
  <c r="Q228" i="6"/>
  <c r="Q229" i="6"/>
  <c r="Q230" i="6"/>
  <c r="Q231" i="6"/>
  <c r="Q232" i="6"/>
  <c r="Q233" i="6"/>
  <c r="Q234" i="6"/>
  <c r="Q235" i="6"/>
  <c r="Q236" i="6"/>
  <c r="Q237" i="6"/>
  <c r="Q238" i="6"/>
  <c r="Q239" i="6"/>
  <c r="Q240" i="6"/>
  <c r="Q241" i="6"/>
  <c r="Q242" i="6"/>
  <c r="Q243" i="6"/>
  <c r="Q244" i="6"/>
  <c r="Q245" i="6"/>
  <c r="Q246" i="6"/>
  <c r="Q247" i="6"/>
  <c r="Q248" i="6"/>
  <c r="Q249" i="6"/>
  <c r="Q250" i="6"/>
  <c r="Q251" i="6"/>
  <c r="Q252" i="6"/>
  <c r="Q253" i="6"/>
  <c r="Q254" i="6"/>
  <c r="Q255" i="6"/>
  <c r="Q256" i="6"/>
  <c r="Q257" i="6"/>
  <c r="Q258" i="6"/>
  <c r="Q259" i="6"/>
  <c r="Q260" i="6"/>
  <c r="Q261" i="6"/>
  <c r="Q262" i="6"/>
  <c r="Q263" i="6"/>
  <c r="Q264" i="6"/>
  <c r="Q265" i="6"/>
  <c r="Q266" i="6"/>
  <c r="Q267" i="6"/>
  <c r="Q268" i="6"/>
  <c r="Q269" i="6"/>
  <c r="Q270" i="6"/>
  <c r="Q271" i="6"/>
  <c r="Q272" i="6"/>
  <c r="Q273" i="6"/>
  <c r="Q274" i="6"/>
  <c r="Q275" i="6"/>
  <c r="Q276" i="6"/>
  <c r="Q277" i="6"/>
  <c r="Q278" i="6"/>
  <c r="Q279" i="6"/>
  <c r="Q280" i="6"/>
  <c r="Q281" i="6"/>
  <c r="Q282" i="6"/>
  <c r="Q283" i="6"/>
  <c r="Q284" i="6"/>
  <c r="Q285" i="6"/>
  <c r="Q286" i="6"/>
  <c r="Q287" i="6"/>
  <c r="Q288" i="6"/>
  <c r="Q289" i="6"/>
  <c r="Q290" i="6"/>
  <c r="Q291" i="6"/>
  <c r="Q292" i="6"/>
  <c r="Q293" i="6"/>
  <c r="Q294" i="6"/>
  <c r="Q295" i="6"/>
  <c r="Q296" i="6"/>
  <c r="Q297" i="6"/>
  <c r="Q298" i="6"/>
  <c r="Q299" i="6"/>
  <c r="Q300" i="6"/>
  <c r="Q301" i="6"/>
  <c r="Q302" i="6"/>
  <c r="Q303" i="6"/>
  <c r="Q304" i="6"/>
  <c r="Q305" i="6"/>
  <c r="Q306" i="6"/>
  <c r="Q307" i="6"/>
  <c r="Q308" i="6"/>
  <c r="Q309" i="6"/>
  <c r="Q310" i="6"/>
  <c r="Q311" i="6"/>
  <c r="Q312" i="6"/>
  <c r="Q313" i="6"/>
  <c r="Q314" i="6"/>
  <c r="Q315" i="6"/>
  <c r="Q316" i="6"/>
  <c r="Q317" i="6"/>
  <c r="Q318" i="6"/>
  <c r="Q319" i="6"/>
  <c r="Q320" i="6"/>
  <c r="Q321" i="6"/>
  <c r="Q322" i="6"/>
  <c r="Q323" i="6"/>
  <c r="Q324" i="6"/>
  <c r="Q325" i="6"/>
  <c r="Q326" i="6"/>
  <c r="Q327" i="6"/>
  <c r="Q328" i="6"/>
  <c r="Q329" i="6"/>
  <c r="Q330" i="6"/>
  <c r="Q331" i="6"/>
  <c r="Q332" i="6"/>
  <c r="Q333" i="6"/>
  <c r="Q334" i="6"/>
  <c r="Q335" i="6"/>
  <c r="Q336" i="6"/>
  <c r="Q337" i="6"/>
  <c r="Q338" i="6"/>
  <c r="Q339" i="6"/>
  <c r="Q340" i="6"/>
  <c r="Q341" i="6"/>
  <c r="Q342" i="6"/>
  <c r="Q343" i="6"/>
  <c r="Q344" i="6"/>
  <c r="Q345" i="6"/>
  <c r="Q346" i="6"/>
  <c r="Q347" i="6"/>
  <c r="Q348" i="6"/>
  <c r="Q349" i="6"/>
  <c r="Q350" i="6"/>
  <c r="Q351" i="6"/>
  <c r="Q352" i="6"/>
  <c r="Q353" i="6"/>
  <c r="Q354" i="6"/>
  <c r="Q355" i="6"/>
  <c r="Q356" i="6"/>
  <c r="Q357" i="6"/>
  <c r="Q358" i="6"/>
  <c r="Q359" i="6"/>
  <c r="Q360" i="6"/>
  <c r="Q361" i="6"/>
  <c r="Q362" i="6"/>
  <c r="Q363" i="6"/>
  <c r="Q364" i="6"/>
  <c r="Q365" i="6"/>
  <c r="Q366" i="6"/>
  <c r="Q367" i="6"/>
  <c r="Q368" i="6"/>
  <c r="Q369" i="6"/>
  <c r="Q370" i="6"/>
  <c r="Q371" i="6"/>
  <c r="Q372" i="6"/>
  <c r="Q373" i="6"/>
  <c r="Q374" i="6"/>
  <c r="Q375" i="6"/>
  <c r="Q376" i="6"/>
  <c r="Q377" i="6"/>
  <c r="Q378" i="6"/>
  <c r="Q379" i="6"/>
  <c r="Q380" i="6"/>
  <c r="Q381" i="6"/>
  <c r="Q382" i="6"/>
  <c r="Q383" i="6"/>
  <c r="Q384" i="6"/>
  <c r="Q385" i="6"/>
  <c r="Q386" i="6"/>
  <c r="Q387" i="6"/>
  <c r="Q388" i="6"/>
  <c r="Q389" i="6"/>
  <c r="Q390" i="6"/>
  <c r="Q391" i="6"/>
  <c r="Q392" i="6"/>
  <c r="Q393" i="6"/>
  <c r="Q394" i="6"/>
  <c r="Q395" i="6"/>
  <c r="Q396" i="6"/>
  <c r="Q397" i="6"/>
  <c r="Q398" i="6"/>
  <c r="Q399" i="6"/>
  <c r="Q400" i="6"/>
  <c r="Q401" i="6"/>
  <c r="Q402" i="6"/>
  <c r="Q403" i="6"/>
  <c r="Q404" i="6"/>
  <c r="Q405" i="6"/>
  <c r="Q406" i="6"/>
  <c r="Q407" i="6"/>
  <c r="Q408" i="6"/>
  <c r="Q409" i="6"/>
  <c r="Q410" i="6"/>
  <c r="Q411" i="6"/>
  <c r="Q412" i="6"/>
  <c r="Q413" i="6"/>
  <c r="Q414" i="6"/>
  <c r="Q415" i="6"/>
  <c r="Q416" i="6"/>
  <c r="Q417" i="6"/>
  <c r="Q418" i="6"/>
  <c r="Q419" i="6"/>
  <c r="Q420" i="6"/>
  <c r="Q421" i="6"/>
  <c r="Q422" i="6"/>
  <c r="Q423" i="6"/>
  <c r="Q424" i="6"/>
  <c r="Q425" i="6"/>
  <c r="Q426" i="6"/>
  <c r="Q427" i="6"/>
  <c r="Q428" i="6"/>
  <c r="Q429" i="6"/>
  <c r="Q430" i="6"/>
  <c r="Q431" i="6"/>
  <c r="Q432" i="6"/>
  <c r="Q433" i="6"/>
  <c r="Q434" i="6"/>
  <c r="Q435" i="6"/>
  <c r="Q436" i="6"/>
  <c r="Q437" i="6"/>
  <c r="Q438" i="6"/>
  <c r="Q439" i="6"/>
  <c r="Q440" i="6"/>
  <c r="Q441" i="6"/>
  <c r="Q442" i="6"/>
  <c r="Q443" i="6"/>
  <c r="Q444" i="6"/>
  <c r="Q445" i="6"/>
  <c r="Q446" i="6"/>
  <c r="Q447" i="6"/>
  <c r="Q448" i="6"/>
  <c r="Q449" i="6"/>
  <c r="Q450" i="6"/>
  <c r="Q451" i="6"/>
  <c r="Q452" i="6"/>
  <c r="Q453" i="6"/>
  <c r="Q454" i="6"/>
  <c r="Q455" i="6"/>
  <c r="Q456" i="6"/>
  <c r="Q457" i="6"/>
  <c r="Q458" i="6"/>
  <c r="Q459" i="6"/>
  <c r="Q460" i="6"/>
  <c r="Q461" i="6"/>
  <c r="Q462" i="6"/>
  <c r="Q463" i="6"/>
  <c r="Q464" i="6"/>
  <c r="Q465" i="6"/>
  <c r="Q466" i="6"/>
  <c r="Q467" i="6"/>
  <c r="Q468" i="6"/>
  <c r="Q469" i="6"/>
  <c r="Q470" i="6"/>
  <c r="Q471" i="6"/>
  <c r="Q472" i="6"/>
  <c r="Q473" i="6"/>
  <c r="Q474" i="6"/>
  <c r="Q475" i="6"/>
  <c r="Q476" i="6"/>
  <c r="Q477" i="6"/>
  <c r="Q478" i="6"/>
  <c r="Q479" i="6"/>
  <c r="Q480" i="6"/>
  <c r="Q481" i="6"/>
  <c r="Q482" i="6"/>
  <c r="Q483" i="6"/>
  <c r="Q484" i="6"/>
  <c r="Q485" i="6"/>
  <c r="Q486" i="6"/>
  <c r="Q487" i="6"/>
  <c r="Q488" i="6"/>
  <c r="Q489" i="6"/>
  <c r="Q490" i="6"/>
  <c r="Q491" i="6"/>
  <c r="Q492" i="6"/>
  <c r="Q493" i="6"/>
  <c r="Q494" i="6"/>
  <c r="Q495" i="6"/>
  <c r="Q496" i="6"/>
  <c r="Q497" i="6"/>
  <c r="Q498" i="6"/>
  <c r="Q499" i="6"/>
  <c r="Q500" i="6"/>
  <c r="Q501" i="6"/>
  <c r="Q502" i="6"/>
  <c r="Q503" i="6"/>
  <c r="Q504" i="6"/>
  <c r="Q505" i="6"/>
  <c r="Q506" i="6"/>
  <c r="Q507" i="6"/>
  <c r="Q508" i="6"/>
  <c r="Q509" i="6"/>
  <c r="Q510" i="6"/>
  <c r="Q511" i="6"/>
  <c r="Q512" i="6"/>
  <c r="Q513" i="6"/>
  <c r="Q514" i="6"/>
  <c r="Q515" i="6"/>
  <c r="Q516" i="6"/>
  <c r="Q517" i="6"/>
  <c r="Q518" i="6"/>
  <c r="Q519" i="6"/>
  <c r="Q520" i="6"/>
  <c r="Q521" i="6"/>
  <c r="Q522" i="6"/>
  <c r="Q523" i="6"/>
  <c r="Q524" i="6"/>
  <c r="Q525" i="6"/>
  <c r="Q526" i="6"/>
  <c r="Q527" i="6"/>
  <c r="Q528" i="6"/>
  <c r="Q529" i="6"/>
  <c r="Q530" i="6"/>
  <c r="Q531" i="6"/>
  <c r="Q532" i="6"/>
  <c r="Q533" i="6"/>
  <c r="Q534" i="6"/>
  <c r="Q535" i="6"/>
  <c r="Q536" i="6"/>
  <c r="Q537" i="6"/>
  <c r="Q538" i="6"/>
  <c r="Q539" i="6"/>
  <c r="Q540" i="6"/>
  <c r="Q541" i="6"/>
  <c r="Q542" i="6"/>
  <c r="Q543" i="6"/>
  <c r="Q544" i="6"/>
  <c r="Q545" i="6"/>
  <c r="Q546" i="6"/>
  <c r="Q547" i="6"/>
  <c r="Q548" i="6"/>
  <c r="Q549" i="6"/>
  <c r="Q550" i="6"/>
  <c r="Q551" i="6"/>
  <c r="Q552" i="6"/>
  <c r="Q553" i="6"/>
  <c r="Q554" i="6"/>
  <c r="Q555" i="6"/>
  <c r="Q556" i="6"/>
  <c r="Q557" i="6"/>
  <c r="Q558" i="6"/>
  <c r="Q559" i="6"/>
  <c r="Q560" i="6"/>
  <c r="Q561" i="6"/>
  <c r="Q562" i="6"/>
  <c r="Q563" i="6"/>
  <c r="Q564" i="6"/>
  <c r="Q565" i="6"/>
  <c r="Q566" i="6"/>
  <c r="Q567" i="6"/>
  <c r="Q568" i="6"/>
  <c r="Q569" i="6"/>
  <c r="Q570" i="6"/>
  <c r="Q571" i="6"/>
  <c r="Q572" i="6"/>
  <c r="Q573" i="6"/>
  <c r="Q574" i="6"/>
  <c r="Q575" i="6"/>
  <c r="Q576" i="6"/>
  <c r="Q577" i="6"/>
  <c r="Q578" i="6"/>
  <c r="Q579" i="6"/>
  <c r="Q580" i="6"/>
  <c r="Q581" i="6"/>
  <c r="Q582" i="6"/>
  <c r="Q583" i="6"/>
  <c r="Q584" i="6"/>
  <c r="Q585" i="6"/>
  <c r="Q586" i="6"/>
  <c r="Q587" i="6"/>
  <c r="Q588" i="6"/>
  <c r="Q589" i="6"/>
  <c r="Q590" i="6"/>
  <c r="Q591" i="6"/>
  <c r="Q592" i="6"/>
  <c r="Q593" i="6"/>
  <c r="Q594" i="6"/>
  <c r="Q595" i="6"/>
  <c r="Q596" i="6"/>
  <c r="Q597" i="6"/>
  <c r="Q598" i="6"/>
  <c r="Q599" i="6"/>
  <c r="Q600" i="6"/>
  <c r="Q601" i="6"/>
  <c r="Q602" i="6"/>
  <c r="Q603" i="6"/>
  <c r="Q604" i="6"/>
  <c r="Q605" i="6"/>
  <c r="Q606" i="6"/>
  <c r="Q607" i="6"/>
  <c r="Q608" i="6"/>
  <c r="Q609" i="6"/>
  <c r="Q610" i="6"/>
  <c r="Q611" i="6"/>
  <c r="Q612" i="6"/>
  <c r="Q613" i="6"/>
  <c r="Q614" i="6"/>
  <c r="Q615" i="6"/>
  <c r="Q616" i="6"/>
  <c r="Q617" i="6"/>
  <c r="Q618" i="6"/>
  <c r="Q619" i="6"/>
  <c r="Q620" i="6"/>
  <c r="Q621" i="6"/>
  <c r="Q622" i="6"/>
  <c r="Q623" i="6"/>
  <c r="Q624" i="6"/>
  <c r="Q625" i="6"/>
  <c r="Q626" i="6"/>
  <c r="Q627" i="6"/>
  <c r="Q628" i="6"/>
  <c r="Q629" i="6"/>
  <c r="Q630" i="6"/>
  <c r="Q631" i="6"/>
  <c r="Q632" i="6"/>
  <c r="Q633" i="6"/>
  <c r="Q634" i="6"/>
  <c r="Q635" i="6"/>
  <c r="Q636" i="6"/>
  <c r="Q637" i="6"/>
  <c r="Q638" i="6"/>
  <c r="Q639" i="6"/>
  <c r="Q640" i="6"/>
  <c r="Q641" i="6"/>
  <c r="Q642" i="6"/>
  <c r="Q643" i="6"/>
  <c r="Q644" i="6"/>
  <c r="Q645" i="6"/>
  <c r="Q646" i="6"/>
  <c r="Q647" i="6"/>
  <c r="Q648" i="6"/>
  <c r="Q649" i="6"/>
  <c r="Q650" i="6"/>
  <c r="Q651" i="6"/>
  <c r="B20" i="3" s="1"/>
  <c r="Q652" i="6"/>
  <c r="Q653" i="6"/>
  <c r="Q654" i="6"/>
  <c r="Q655" i="6"/>
  <c r="Q656" i="6"/>
  <c r="Q4" i="6"/>
  <c r="BF6" i="6" l="1"/>
  <c r="BE6" i="6"/>
  <c r="BD6" i="6"/>
  <c r="C4" i="2" l="1"/>
  <c r="C30" i="3" l="1"/>
  <c r="F20" i="2" s="1"/>
  <c r="AQ10" i="6" l="1"/>
  <c r="B102" i="4"/>
  <c r="BF4" i="6" l="1"/>
  <c r="BD4" i="6"/>
  <c r="L5" i="6" l="1"/>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BD2" i="6"/>
  <c r="BD1" i="6"/>
  <c r="A17" i="2"/>
  <c r="D3" i="3" l="1"/>
  <c r="A13" i="2" s="1"/>
  <c r="A12" i="2"/>
  <c r="AE99" i="6" l="1"/>
  <c r="AE98" i="6"/>
  <c r="AE97" i="6"/>
  <c r="B21" i="3"/>
  <c r="L5" i="4" l="1"/>
  <c r="G7" i="3" l="1"/>
  <c r="AI111" i="3" l="1"/>
  <c r="AJ111" i="3" s="1"/>
  <c r="AI112" i="3"/>
  <c r="B104" i="4" l="1"/>
  <c r="C14" i="3"/>
  <c r="C36" i="6" s="1"/>
  <c r="B106" i="4" s="1"/>
  <c r="A27" i="6" l="1"/>
  <c r="B27" i="6" s="1"/>
  <c r="E10" i="4" l="1"/>
  <c r="L4" i="6" l="1"/>
  <c r="A25" i="6" l="1"/>
  <c r="B74" i="4"/>
  <c r="B75" i="4"/>
  <c r="B76" i="4"/>
  <c r="B77" i="4"/>
  <c r="B78" i="4"/>
  <c r="B79" i="4"/>
  <c r="B80" i="4"/>
  <c r="B73" i="4"/>
  <c r="H8" i="5"/>
  <c r="J8" i="5" s="1"/>
  <c r="H9" i="5"/>
  <c r="J9" i="5" s="1"/>
  <c r="H10" i="5"/>
  <c r="J10" i="5" s="1"/>
  <c r="H11" i="5"/>
  <c r="J11" i="5" s="1"/>
  <c r="H12" i="5"/>
  <c r="J12" i="5" s="1"/>
  <c r="H13" i="5"/>
  <c r="J13" i="5" s="1"/>
  <c r="H14" i="5"/>
  <c r="J14" i="5" s="1"/>
  <c r="H7" i="5"/>
  <c r="J7" i="5" s="1"/>
  <c r="C13" i="3" l="1"/>
  <c r="D7" i="3" l="1"/>
  <c r="D6" i="3"/>
  <c r="J108" i="4" l="1"/>
  <c r="G16" i="3" l="1"/>
  <c r="CQ4" i="3" l="1"/>
  <c r="CQ5" i="3"/>
  <c r="CQ6" i="3"/>
  <c r="CQ7" i="3"/>
  <c r="CQ8" i="3"/>
  <c r="CQ9" i="3"/>
  <c r="CQ10" i="3"/>
  <c r="CQ11" i="3"/>
  <c r="CQ12" i="3"/>
  <c r="CQ13" i="3"/>
  <c r="CQ14" i="3"/>
  <c r="CQ15" i="3"/>
  <c r="CQ16" i="3"/>
  <c r="CQ17" i="3"/>
  <c r="CQ18" i="3"/>
  <c r="CQ19" i="3"/>
  <c r="CQ20" i="3"/>
  <c r="CQ21" i="3"/>
  <c r="CQ22" i="3"/>
  <c r="CQ23" i="3"/>
  <c r="CQ24" i="3"/>
  <c r="CQ25" i="3"/>
  <c r="CQ26" i="3"/>
  <c r="CQ27" i="3"/>
  <c r="CQ28" i="3"/>
  <c r="CQ29" i="3"/>
  <c r="CQ30" i="3"/>
  <c r="CQ31" i="3"/>
  <c r="CQ32" i="3"/>
  <c r="CQ33" i="3"/>
  <c r="CQ34" i="3"/>
  <c r="CQ35" i="3"/>
  <c r="CQ36" i="3"/>
  <c r="CQ37" i="3"/>
  <c r="CQ38" i="3"/>
  <c r="CQ39" i="3"/>
  <c r="CQ40" i="3"/>
  <c r="CQ41" i="3"/>
  <c r="CQ42" i="3"/>
  <c r="CQ43" i="3"/>
  <c r="CQ44" i="3"/>
  <c r="CQ45" i="3"/>
  <c r="CQ46" i="3"/>
  <c r="CQ47" i="3"/>
  <c r="CQ48" i="3"/>
  <c r="CQ49" i="3"/>
  <c r="CQ50" i="3"/>
  <c r="CQ51" i="3"/>
  <c r="CQ52" i="3"/>
  <c r="CQ53" i="3"/>
  <c r="CQ54" i="3"/>
  <c r="CQ55" i="3"/>
  <c r="CQ56" i="3"/>
  <c r="CQ57" i="3"/>
  <c r="CQ58" i="3"/>
  <c r="CQ59" i="3"/>
  <c r="CQ60" i="3"/>
  <c r="CQ61" i="3"/>
  <c r="CQ62" i="3"/>
  <c r="CQ63" i="3"/>
  <c r="CQ64" i="3"/>
  <c r="CQ65" i="3"/>
  <c r="CQ66" i="3"/>
  <c r="CQ67" i="3"/>
  <c r="CQ68" i="3"/>
  <c r="CQ69" i="3"/>
  <c r="CQ70" i="3"/>
  <c r="CQ71" i="3"/>
  <c r="CQ72" i="3"/>
  <c r="CQ73" i="3"/>
  <c r="CS73" i="3" s="1"/>
  <c r="CQ74" i="3"/>
  <c r="CS74" i="3" s="1"/>
  <c r="CQ75" i="3"/>
  <c r="CS75" i="3" s="1"/>
  <c r="CQ76" i="3"/>
  <c r="CS76" i="3" s="1"/>
  <c r="CQ77" i="3"/>
  <c r="CS77" i="3" s="1"/>
  <c r="CQ78" i="3"/>
  <c r="CS78" i="3" s="1"/>
  <c r="CQ79" i="3"/>
  <c r="CS79" i="3" s="1"/>
  <c r="CQ80" i="3"/>
  <c r="CS80" i="3" s="1"/>
  <c r="CQ81" i="3"/>
  <c r="CS81" i="3" s="1"/>
  <c r="CQ82" i="3"/>
  <c r="CS82" i="3" s="1"/>
  <c r="CQ83" i="3"/>
  <c r="CS83" i="3" s="1"/>
  <c r="CQ84" i="3"/>
  <c r="CS84" i="3" s="1"/>
  <c r="CQ85" i="3"/>
  <c r="CS85" i="3" s="1"/>
  <c r="CQ86" i="3"/>
  <c r="CS86" i="3" s="1"/>
  <c r="CQ87" i="3"/>
  <c r="CS87" i="3" s="1"/>
  <c r="CQ88" i="3"/>
  <c r="CS88" i="3" s="1"/>
  <c r="CQ89" i="3"/>
  <c r="CS89" i="3" s="1"/>
  <c r="CQ90" i="3"/>
  <c r="CS90" i="3" s="1"/>
  <c r="CQ91" i="3"/>
  <c r="CS91" i="3" s="1"/>
  <c r="CQ92" i="3"/>
  <c r="CS92" i="3" s="1"/>
  <c r="CQ93" i="3"/>
  <c r="CS93" i="3" s="1"/>
  <c r="CQ94" i="3"/>
  <c r="CS94" i="3" s="1"/>
  <c r="CQ95" i="3"/>
  <c r="CS95" i="3" s="1"/>
  <c r="CQ96" i="3"/>
  <c r="CS96" i="3" s="1"/>
  <c r="CQ97" i="3"/>
  <c r="CS97" i="3" s="1"/>
  <c r="CQ98" i="3"/>
  <c r="CS98" i="3" s="1"/>
  <c r="CQ99" i="3"/>
  <c r="CS99" i="3" s="1"/>
  <c r="CQ100" i="3"/>
  <c r="CS100" i="3" s="1"/>
  <c r="CQ101" i="3"/>
  <c r="CS101" i="3" s="1"/>
  <c r="CQ102" i="3"/>
  <c r="CS102" i="3" s="1"/>
  <c r="CQ103" i="3"/>
  <c r="CS103" i="3" s="1"/>
  <c r="CQ3" i="3"/>
  <c r="CS3" i="3" s="1"/>
  <c r="G12" i="3"/>
  <c r="G9" i="3"/>
  <c r="CR71" i="3" l="1"/>
  <c r="CS71" i="3"/>
  <c r="CR69" i="3"/>
  <c r="CS69" i="3"/>
  <c r="CR67" i="3"/>
  <c r="CS67" i="3"/>
  <c r="CR65" i="3"/>
  <c r="CS65" i="3"/>
  <c r="CR63" i="3"/>
  <c r="C38" i="6" s="1"/>
  <c r="CS63" i="3"/>
  <c r="CR61" i="3"/>
  <c r="CS61" i="3"/>
  <c r="CR59" i="3"/>
  <c r="CS59" i="3"/>
  <c r="CR57" i="3"/>
  <c r="CS57" i="3"/>
  <c r="CR55" i="3"/>
  <c r="CS55" i="3"/>
  <c r="CR53" i="3"/>
  <c r="C37" i="6" s="1"/>
  <c r="CS53" i="3"/>
  <c r="CR51" i="3"/>
  <c r="CS51" i="3"/>
  <c r="CR49" i="3"/>
  <c r="CS49" i="3"/>
  <c r="CR47" i="3"/>
  <c r="CS47" i="3"/>
  <c r="CR45" i="3"/>
  <c r="CS45" i="3"/>
  <c r="CR43" i="3"/>
  <c r="CS43" i="3"/>
  <c r="CR41" i="3"/>
  <c r="CS41" i="3"/>
  <c r="CR39" i="3"/>
  <c r="CS39" i="3"/>
  <c r="CR37" i="3"/>
  <c r="CS37" i="3"/>
  <c r="CR35" i="3"/>
  <c r="CS35" i="3"/>
  <c r="CR33" i="3"/>
  <c r="CS33" i="3"/>
  <c r="CR31" i="3"/>
  <c r="CS31" i="3"/>
  <c r="CR29" i="3"/>
  <c r="CS29" i="3"/>
  <c r="CR27" i="3"/>
  <c r="CS27" i="3"/>
  <c r="CR25" i="3"/>
  <c r="CS25" i="3"/>
  <c r="CR23" i="3"/>
  <c r="CS23" i="3"/>
  <c r="CR21" i="3"/>
  <c r="CS21" i="3"/>
  <c r="CR19" i="3"/>
  <c r="CS19" i="3"/>
  <c r="CR17" i="3"/>
  <c r="CS17" i="3"/>
  <c r="CR15" i="3"/>
  <c r="CS15" i="3"/>
  <c r="CR13" i="3"/>
  <c r="CS13" i="3"/>
  <c r="CR11" i="3"/>
  <c r="CS11" i="3"/>
  <c r="CR9" i="3"/>
  <c r="CS9" i="3"/>
  <c r="CR7" i="3"/>
  <c r="CS7" i="3"/>
  <c r="CR5" i="3"/>
  <c r="CS5" i="3"/>
  <c r="CR3" i="3"/>
  <c r="CR102" i="3"/>
  <c r="CR100" i="3"/>
  <c r="CR98" i="3"/>
  <c r="CR96" i="3"/>
  <c r="CR94" i="3"/>
  <c r="CR92" i="3"/>
  <c r="CR90" i="3"/>
  <c r="CR88" i="3"/>
  <c r="CR86" i="3"/>
  <c r="CR84" i="3"/>
  <c r="CR82" i="3"/>
  <c r="CR80" i="3"/>
  <c r="CR78" i="3"/>
  <c r="CR76" i="3"/>
  <c r="CR74" i="3"/>
  <c r="CS72" i="3"/>
  <c r="CR72" i="3"/>
  <c r="CS70" i="3"/>
  <c r="CR70" i="3"/>
  <c r="CS68" i="3"/>
  <c r="CR68" i="3"/>
  <c r="CS66" i="3"/>
  <c r="CR66" i="3"/>
  <c r="CS64" i="3"/>
  <c r="CR64" i="3"/>
  <c r="CS62" i="3"/>
  <c r="CR62" i="3"/>
  <c r="CS60" i="3"/>
  <c r="CR60" i="3"/>
  <c r="CS58" i="3"/>
  <c r="CR58" i="3"/>
  <c r="CS56" i="3"/>
  <c r="CR56" i="3"/>
  <c r="CS54" i="3"/>
  <c r="CR54" i="3"/>
  <c r="CS52" i="3"/>
  <c r="CR52" i="3"/>
  <c r="CS50" i="3"/>
  <c r="CR50" i="3"/>
  <c r="CS48" i="3"/>
  <c r="CR48" i="3"/>
  <c r="CS46" i="3"/>
  <c r="CR46" i="3"/>
  <c r="CS44" i="3"/>
  <c r="CR44" i="3"/>
  <c r="CS42" i="3"/>
  <c r="CR42" i="3"/>
  <c r="CS40" i="3"/>
  <c r="CR40" i="3"/>
  <c r="CS38" i="3"/>
  <c r="CR38" i="3"/>
  <c r="CS36" i="3"/>
  <c r="CR36" i="3"/>
  <c r="CS34" i="3"/>
  <c r="CR34" i="3"/>
  <c r="CS32" i="3"/>
  <c r="CR32" i="3"/>
  <c r="CS30" i="3"/>
  <c r="CR30" i="3"/>
  <c r="CS28" i="3"/>
  <c r="CR28" i="3"/>
  <c r="CS26" i="3"/>
  <c r="CR26" i="3"/>
  <c r="CS24" i="3"/>
  <c r="CR24" i="3"/>
  <c r="CS22" i="3"/>
  <c r="CR22" i="3"/>
  <c r="CS20" i="3"/>
  <c r="CR20" i="3"/>
  <c r="CS18" i="3"/>
  <c r="CR18" i="3"/>
  <c r="CS16" i="3"/>
  <c r="CR16" i="3"/>
  <c r="CS14" i="3"/>
  <c r="CR14" i="3"/>
  <c r="CS12" i="3"/>
  <c r="CR12" i="3"/>
  <c r="CS10" i="3"/>
  <c r="CR10" i="3"/>
  <c r="CS8" i="3"/>
  <c r="CR8" i="3"/>
  <c r="CS6" i="3"/>
  <c r="CR6" i="3"/>
  <c r="CS4" i="3"/>
  <c r="CR4" i="3"/>
  <c r="CR103" i="3"/>
  <c r="CR101" i="3"/>
  <c r="CR99" i="3"/>
  <c r="CR97" i="3"/>
  <c r="CR95" i="3"/>
  <c r="CR93" i="3"/>
  <c r="CR91" i="3"/>
  <c r="CR89" i="3"/>
  <c r="CR87" i="3"/>
  <c r="CR85" i="3"/>
  <c r="CR83" i="3"/>
  <c r="CR81" i="3"/>
  <c r="CR79" i="3"/>
  <c r="CR77" i="3"/>
  <c r="CR75" i="3"/>
  <c r="CR73" i="3"/>
  <c r="C79" i="4" l="1"/>
  <c r="D79" i="4"/>
  <c r="C80" i="4"/>
  <c r="D80" i="4"/>
  <c r="C78" i="4"/>
  <c r="D78" i="4"/>
  <c r="C77" i="4"/>
  <c r="D77" i="4"/>
  <c r="C76" i="4"/>
  <c r="D76" i="4"/>
  <c r="C75" i="4"/>
  <c r="D75" i="4"/>
  <c r="C74" i="4"/>
  <c r="D74" i="4"/>
  <c r="C9" i="3" l="1"/>
  <c r="AX2" i="6" l="1"/>
  <c r="AJ5" i="6" l="1"/>
  <c r="AJ6" i="6"/>
  <c r="AJ7" i="6"/>
  <c r="AJ8" i="6"/>
  <c r="AJ9" i="6"/>
  <c r="AJ10" i="6"/>
  <c r="AJ11" i="6"/>
  <c r="AJ12" i="6"/>
  <c r="AJ4" i="6"/>
  <c r="AF7" i="6" l="1"/>
  <c r="AF6" i="6"/>
  <c r="AF5" i="6"/>
  <c r="AE7" i="6"/>
  <c r="AE6" i="6"/>
  <c r="AE5" i="6"/>
  <c r="CJ1" i="3" l="1"/>
  <c r="CC1" i="3"/>
  <c r="BV1" i="3"/>
  <c r="BO1" i="3"/>
  <c r="BH1" i="3"/>
  <c r="BA1" i="3"/>
  <c r="C15" i="3" l="1"/>
  <c r="I4" i="6" l="1"/>
  <c r="B22" i="3" s="1"/>
  <c r="F18" i="3"/>
  <c r="G13" i="3"/>
  <c r="G10" i="3"/>
  <c r="C11" i="3"/>
  <c r="C5" i="3"/>
  <c r="D5" i="3"/>
  <c r="E12" i="4" s="1"/>
  <c r="C4" i="3"/>
  <c r="C3" i="3"/>
  <c r="D7" i="6"/>
  <c r="D8" i="6"/>
  <c r="D9" i="6"/>
  <c r="D4" i="3"/>
  <c r="C8" i="3" l="1"/>
  <c r="E24" i="4" s="1"/>
  <c r="AX7" i="6"/>
  <c r="AY7" i="6"/>
  <c r="A15" i="2"/>
  <c r="C12" i="3"/>
  <c r="B18" i="3"/>
  <c r="C10" i="3"/>
  <c r="B17" i="3"/>
  <c r="D9" i="2" s="1"/>
  <c r="V103" i="3"/>
  <c r="T103" i="3"/>
  <c r="R103" i="3"/>
  <c r="V102" i="3"/>
  <c r="T102" i="3"/>
  <c r="R102" i="3"/>
  <c r="V101" i="3"/>
  <c r="T101" i="3"/>
  <c r="R101" i="3"/>
  <c r="V100" i="3"/>
  <c r="T100" i="3"/>
  <c r="R100" i="3"/>
  <c r="V99" i="3"/>
  <c r="T99" i="3"/>
  <c r="R99" i="3"/>
  <c r="V98" i="3"/>
  <c r="T98" i="3"/>
  <c r="R98" i="3"/>
  <c r="V97" i="3"/>
  <c r="T97" i="3"/>
  <c r="R97" i="3"/>
  <c r="V96" i="3"/>
  <c r="T96" i="3"/>
  <c r="R96" i="3"/>
  <c r="V95" i="3"/>
  <c r="T95" i="3"/>
  <c r="R95" i="3"/>
  <c r="V94" i="3"/>
  <c r="T94" i="3"/>
  <c r="R94" i="3"/>
  <c r="V93" i="3"/>
  <c r="T93" i="3"/>
  <c r="R93" i="3"/>
  <c r="V92" i="3"/>
  <c r="T92" i="3"/>
  <c r="R92" i="3"/>
  <c r="V91" i="3"/>
  <c r="T91" i="3"/>
  <c r="R91" i="3"/>
  <c r="V90" i="3"/>
  <c r="T90" i="3"/>
  <c r="R90" i="3"/>
  <c r="V89" i="3"/>
  <c r="T89" i="3"/>
  <c r="R89" i="3"/>
  <c r="V88" i="3"/>
  <c r="T88" i="3"/>
  <c r="R88" i="3"/>
  <c r="V87" i="3"/>
  <c r="T87" i="3"/>
  <c r="R87" i="3"/>
  <c r="V86" i="3"/>
  <c r="T86" i="3"/>
  <c r="R86" i="3"/>
  <c r="V85" i="3"/>
  <c r="T85" i="3"/>
  <c r="R85" i="3"/>
  <c r="V84" i="3"/>
  <c r="T84" i="3"/>
  <c r="R84" i="3"/>
  <c r="V83" i="3"/>
  <c r="T83" i="3"/>
  <c r="R83" i="3"/>
  <c r="V82" i="3"/>
  <c r="T82" i="3"/>
  <c r="R82" i="3"/>
  <c r="V81" i="3"/>
  <c r="T81" i="3"/>
  <c r="R81" i="3"/>
  <c r="V80" i="3"/>
  <c r="T80" i="3"/>
  <c r="R80" i="3"/>
  <c r="V79" i="3"/>
  <c r="T79" i="3"/>
  <c r="R79" i="3"/>
  <c r="V78" i="3"/>
  <c r="T78" i="3"/>
  <c r="R78" i="3"/>
  <c r="V77" i="3"/>
  <c r="T77" i="3"/>
  <c r="R77" i="3"/>
  <c r="V76" i="3"/>
  <c r="T76" i="3"/>
  <c r="R76" i="3"/>
  <c r="V75" i="3"/>
  <c r="U103" i="3"/>
  <c r="S103" i="3"/>
  <c r="Q103" i="3"/>
  <c r="U102" i="3"/>
  <c r="S102" i="3"/>
  <c r="Q102" i="3"/>
  <c r="U101" i="3"/>
  <c r="S101" i="3"/>
  <c r="Q101" i="3"/>
  <c r="U100" i="3"/>
  <c r="S100" i="3"/>
  <c r="Q100" i="3"/>
  <c r="U99" i="3"/>
  <c r="S99" i="3"/>
  <c r="Q99" i="3"/>
  <c r="U98" i="3"/>
  <c r="S98" i="3"/>
  <c r="Q98" i="3"/>
  <c r="U97" i="3"/>
  <c r="S97" i="3"/>
  <c r="Q97" i="3"/>
  <c r="U96" i="3"/>
  <c r="S96" i="3"/>
  <c r="Q96" i="3"/>
  <c r="U95" i="3"/>
  <c r="S95" i="3"/>
  <c r="Q95" i="3"/>
  <c r="U94" i="3"/>
  <c r="S94" i="3"/>
  <c r="Q94" i="3"/>
  <c r="U93" i="3"/>
  <c r="S93" i="3"/>
  <c r="Q93" i="3"/>
  <c r="U92" i="3"/>
  <c r="S92" i="3"/>
  <c r="Q92" i="3"/>
  <c r="U91" i="3"/>
  <c r="S91" i="3"/>
  <c r="Q91" i="3"/>
  <c r="U90" i="3"/>
  <c r="S90" i="3"/>
  <c r="Q90" i="3"/>
  <c r="U89" i="3"/>
  <c r="S89" i="3"/>
  <c r="Q89" i="3"/>
  <c r="U88" i="3"/>
  <c r="S88" i="3"/>
  <c r="Q88" i="3"/>
  <c r="U87" i="3"/>
  <c r="S87" i="3"/>
  <c r="Q87" i="3"/>
  <c r="U86" i="3"/>
  <c r="S86" i="3"/>
  <c r="Q86" i="3"/>
  <c r="U85" i="3"/>
  <c r="S85" i="3"/>
  <c r="Q85" i="3"/>
  <c r="U84" i="3"/>
  <c r="S84" i="3"/>
  <c r="Q84" i="3"/>
  <c r="U83" i="3"/>
  <c r="S83" i="3"/>
  <c r="Q83" i="3"/>
  <c r="U82" i="3"/>
  <c r="S82" i="3"/>
  <c r="Q82" i="3"/>
  <c r="U81" i="3"/>
  <c r="S81" i="3"/>
  <c r="Q81" i="3"/>
  <c r="U80" i="3"/>
  <c r="S80" i="3"/>
  <c r="Q80" i="3"/>
  <c r="U79" i="3"/>
  <c r="S79" i="3"/>
  <c r="Q79" i="3"/>
  <c r="U78" i="3"/>
  <c r="S78" i="3"/>
  <c r="Q78" i="3"/>
  <c r="U77" i="3"/>
  <c r="S77" i="3"/>
  <c r="Q77" i="3"/>
  <c r="U76" i="3"/>
  <c r="S76" i="3"/>
  <c r="Q76" i="3"/>
  <c r="U75" i="3"/>
  <c r="T75" i="3"/>
  <c r="R75" i="3"/>
  <c r="V74" i="3"/>
  <c r="T74" i="3"/>
  <c r="R74" i="3"/>
  <c r="V73" i="3"/>
  <c r="T73" i="3"/>
  <c r="R73" i="3"/>
  <c r="V72" i="3"/>
  <c r="T72" i="3"/>
  <c r="R72" i="3"/>
  <c r="V71" i="3"/>
  <c r="T71" i="3"/>
  <c r="R71" i="3"/>
  <c r="V70" i="3"/>
  <c r="T70" i="3"/>
  <c r="R70" i="3"/>
  <c r="V69" i="3"/>
  <c r="T69" i="3"/>
  <c r="R69" i="3"/>
  <c r="V68" i="3"/>
  <c r="T68" i="3"/>
  <c r="R68" i="3"/>
  <c r="V67" i="3"/>
  <c r="T67" i="3"/>
  <c r="R67" i="3"/>
  <c r="V66" i="3"/>
  <c r="T66" i="3"/>
  <c r="R66" i="3"/>
  <c r="V65" i="3"/>
  <c r="T65" i="3"/>
  <c r="R65" i="3"/>
  <c r="V64" i="3"/>
  <c r="T64" i="3"/>
  <c r="R64" i="3"/>
  <c r="V63" i="3"/>
  <c r="T63" i="3"/>
  <c r="R63" i="3"/>
  <c r="V62" i="3"/>
  <c r="T62" i="3"/>
  <c r="R62" i="3"/>
  <c r="V61" i="3"/>
  <c r="T61" i="3"/>
  <c r="R61" i="3"/>
  <c r="V60" i="3"/>
  <c r="T60" i="3"/>
  <c r="R60" i="3"/>
  <c r="V59" i="3"/>
  <c r="T59" i="3"/>
  <c r="R59" i="3"/>
  <c r="V58" i="3"/>
  <c r="T58" i="3"/>
  <c r="R58" i="3"/>
  <c r="V57" i="3"/>
  <c r="T57" i="3"/>
  <c r="R57" i="3"/>
  <c r="V56" i="3"/>
  <c r="T56" i="3"/>
  <c r="R56" i="3"/>
  <c r="V55" i="3"/>
  <c r="T55" i="3"/>
  <c r="R55" i="3"/>
  <c r="V54" i="3"/>
  <c r="T54" i="3"/>
  <c r="R54" i="3"/>
  <c r="V53" i="3"/>
  <c r="T53" i="3"/>
  <c r="R53" i="3"/>
  <c r="V52" i="3"/>
  <c r="T52" i="3"/>
  <c r="R52" i="3"/>
  <c r="V51" i="3"/>
  <c r="T51" i="3"/>
  <c r="R51" i="3"/>
  <c r="V50" i="3"/>
  <c r="T50" i="3"/>
  <c r="R50" i="3"/>
  <c r="V49" i="3"/>
  <c r="T49" i="3"/>
  <c r="R49" i="3"/>
  <c r="V48" i="3"/>
  <c r="T48" i="3"/>
  <c r="R48" i="3"/>
  <c r="V47" i="3"/>
  <c r="T47" i="3"/>
  <c r="S75" i="3"/>
  <c r="Q75" i="3"/>
  <c r="U74" i="3"/>
  <c r="S74" i="3"/>
  <c r="Q74" i="3"/>
  <c r="U73" i="3"/>
  <c r="S73" i="3"/>
  <c r="Q73" i="3"/>
  <c r="U72" i="3"/>
  <c r="S72" i="3"/>
  <c r="Q72" i="3"/>
  <c r="U71" i="3"/>
  <c r="S71" i="3"/>
  <c r="Q71" i="3"/>
  <c r="U70" i="3"/>
  <c r="S70" i="3"/>
  <c r="Q70" i="3"/>
  <c r="U69" i="3"/>
  <c r="S69" i="3"/>
  <c r="Q69" i="3"/>
  <c r="U68" i="3"/>
  <c r="S68" i="3"/>
  <c r="Q68" i="3"/>
  <c r="U67" i="3"/>
  <c r="S67" i="3"/>
  <c r="Q67" i="3"/>
  <c r="U66" i="3"/>
  <c r="S66" i="3"/>
  <c r="Q66" i="3"/>
  <c r="U65" i="3"/>
  <c r="S65" i="3"/>
  <c r="Q65" i="3"/>
  <c r="U64" i="3"/>
  <c r="S64" i="3"/>
  <c r="Q64" i="3"/>
  <c r="U63" i="3"/>
  <c r="S63" i="3"/>
  <c r="Q63" i="3"/>
  <c r="U62" i="3"/>
  <c r="S62" i="3"/>
  <c r="Q62" i="3"/>
  <c r="U61" i="3"/>
  <c r="S61" i="3"/>
  <c r="Q61" i="3"/>
  <c r="U60" i="3"/>
  <c r="S60" i="3"/>
  <c r="Q60" i="3"/>
  <c r="U59" i="3"/>
  <c r="S59" i="3"/>
  <c r="Q59" i="3"/>
  <c r="U58" i="3"/>
  <c r="S58" i="3"/>
  <c r="Q58" i="3"/>
  <c r="U57" i="3"/>
  <c r="S57" i="3"/>
  <c r="Q57" i="3"/>
  <c r="U56" i="3"/>
  <c r="S56" i="3"/>
  <c r="Q56" i="3"/>
  <c r="U55" i="3"/>
  <c r="S55" i="3"/>
  <c r="Q55" i="3"/>
  <c r="U54" i="3"/>
  <c r="S54" i="3"/>
  <c r="Q54" i="3"/>
  <c r="U53" i="3"/>
  <c r="S53" i="3"/>
  <c r="Q53" i="3"/>
  <c r="U52" i="3"/>
  <c r="S52" i="3"/>
  <c r="Q52" i="3"/>
  <c r="U51" i="3"/>
  <c r="S51" i="3"/>
  <c r="Q51" i="3"/>
  <c r="U50" i="3"/>
  <c r="S50" i="3"/>
  <c r="Q50" i="3"/>
  <c r="U49" i="3"/>
  <c r="S49" i="3"/>
  <c r="Q49" i="3"/>
  <c r="U48" i="3"/>
  <c r="S48" i="3"/>
  <c r="Q48" i="3"/>
  <c r="U47" i="3"/>
  <c r="S47" i="3"/>
  <c r="Q47" i="3"/>
  <c r="U46" i="3"/>
  <c r="R47" i="3"/>
  <c r="T46" i="3"/>
  <c r="R46" i="3"/>
  <c r="V45" i="3"/>
  <c r="T45" i="3"/>
  <c r="R45" i="3"/>
  <c r="V44" i="3"/>
  <c r="T44" i="3"/>
  <c r="R44" i="3"/>
  <c r="V43" i="3"/>
  <c r="T43" i="3"/>
  <c r="R43" i="3"/>
  <c r="V42" i="3"/>
  <c r="T42" i="3"/>
  <c r="R42" i="3"/>
  <c r="V41" i="3"/>
  <c r="T41" i="3"/>
  <c r="R41" i="3"/>
  <c r="V40" i="3"/>
  <c r="T40" i="3"/>
  <c r="R40" i="3"/>
  <c r="V39" i="3"/>
  <c r="T39" i="3"/>
  <c r="R39" i="3"/>
  <c r="V38" i="3"/>
  <c r="T38" i="3"/>
  <c r="R38" i="3"/>
  <c r="V37" i="3"/>
  <c r="T37" i="3"/>
  <c r="R37" i="3"/>
  <c r="V36" i="3"/>
  <c r="T36" i="3"/>
  <c r="R36" i="3"/>
  <c r="V35" i="3"/>
  <c r="T35" i="3"/>
  <c r="R35" i="3"/>
  <c r="V34" i="3"/>
  <c r="T34" i="3"/>
  <c r="R34" i="3"/>
  <c r="V33" i="3"/>
  <c r="T33" i="3"/>
  <c r="R33" i="3"/>
  <c r="V32" i="3"/>
  <c r="T32" i="3"/>
  <c r="R32" i="3"/>
  <c r="V31" i="3"/>
  <c r="T31" i="3"/>
  <c r="R31" i="3"/>
  <c r="V30" i="3"/>
  <c r="T30" i="3"/>
  <c r="R30" i="3"/>
  <c r="V29" i="3"/>
  <c r="T29" i="3"/>
  <c r="R29" i="3"/>
  <c r="V28" i="3"/>
  <c r="T28" i="3"/>
  <c r="R28" i="3"/>
  <c r="V27" i="3"/>
  <c r="T27" i="3"/>
  <c r="R27" i="3"/>
  <c r="V26" i="3"/>
  <c r="T26" i="3"/>
  <c r="R26" i="3"/>
  <c r="V25" i="3"/>
  <c r="T25" i="3"/>
  <c r="R25" i="3"/>
  <c r="V24" i="3"/>
  <c r="T24" i="3"/>
  <c r="R24" i="3"/>
  <c r="V23" i="3"/>
  <c r="T23" i="3"/>
  <c r="R23" i="3"/>
  <c r="V22" i="3"/>
  <c r="T22" i="3"/>
  <c r="R22" i="3"/>
  <c r="V21" i="3"/>
  <c r="T21" i="3"/>
  <c r="R21" i="3"/>
  <c r="V20" i="3"/>
  <c r="T20" i="3"/>
  <c r="R20" i="3"/>
  <c r="V19" i="3"/>
  <c r="T19" i="3"/>
  <c r="R19" i="3"/>
  <c r="V18" i="3"/>
  <c r="T18" i="3"/>
  <c r="R18" i="3"/>
  <c r="V17" i="3"/>
  <c r="T17" i="3"/>
  <c r="R17" i="3"/>
  <c r="V16" i="3"/>
  <c r="T16" i="3"/>
  <c r="R16" i="3"/>
  <c r="V15" i="3"/>
  <c r="T15" i="3"/>
  <c r="R15" i="3"/>
  <c r="V14" i="3"/>
  <c r="T14" i="3"/>
  <c r="R14" i="3"/>
  <c r="V13" i="3"/>
  <c r="T13" i="3"/>
  <c r="R13" i="3"/>
  <c r="V12" i="3"/>
  <c r="T12" i="3"/>
  <c r="R12" i="3"/>
  <c r="V11" i="3"/>
  <c r="T11" i="3"/>
  <c r="R11" i="3"/>
  <c r="V10" i="3"/>
  <c r="T10" i="3"/>
  <c r="R10" i="3"/>
  <c r="V9" i="3"/>
  <c r="T9" i="3"/>
  <c r="R9" i="3"/>
  <c r="V8" i="3"/>
  <c r="T8" i="3"/>
  <c r="R8" i="3"/>
  <c r="V7" i="3"/>
  <c r="T7" i="3"/>
  <c r="R7" i="3"/>
  <c r="V6" i="3"/>
  <c r="T6" i="3"/>
  <c r="R6" i="3"/>
  <c r="V5" i="3"/>
  <c r="T5" i="3"/>
  <c r="R5" i="3"/>
  <c r="V4" i="3"/>
  <c r="T4" i="3"/>
  <c r="R4" i="3"/>
  <c r="V3" i="3"/>
  <c r="T3" i="3"/>
  <c r="R3" i="3"/>
  <c r="V46" i="3"/>
  <c r="S46" i="3"/>
  <c r="Q46" i="3"/>
  <c r="U45" i="3"/>
  <c r="S45" i="3"/>
  <c r="Q45" i="3"/>
  <c r="U44" i="3"/>
  <c r="S44" i="3"/>
  <c r="Q44" i="3"/>
  <c r="U43" i="3"/>
  <c r="S43" i="3"/>
  <c r="Q43" i="3"/>
  <c r="U42" i="3"/>
  <c r="S42" i="3"/>
  <c r="Q42" i="3"/>
  <c r="U41" i="3"/>
  <c r="S41" i="3"/>
  <c r="Q41" i="3"/>
  <c r="U40" i="3"/>
  <c r="S40" i="3"/>
  <c r="Q40" i="3"/>
  <c r="U39" i="3"/>
  <c r="S39" i="3"/>
  <c r="Q39" i="3"/>
  <c r="U38" i="3"/>
  <c r="S38" i="3"/>
  <c r="Q38" i="3"/>
  <c r="U37" i="3"/>
  <c r="S37" i="3"/>
  <c r="Q37" i="3"/>
  <c r="U36" i="3"/>
  <c r="S36" i="3"/>
  <c r="Q36" i="3"/>
  <c r="U35" i="3"/>
  <c r="S35" i="3"/>
  <c r="Q35" i="3"/>
  <c r="U34" i="3"/>
  <c r="S34" i="3"/>
  <c r="Q34" i="3"/>
  <c r="U33" i="3"/>
  <c r="S33" i="3"/>
  <c r="Q33" i="3"/>
  <c r="U32" i="3"/>
  <c r="S32" i="3"/>
  <c r="Q32" i="3"/>
  <c r="U31" i="3"/>
  <c r="S31" i="3"/>
  <c r="Q31" i="3"/>
  <c r="U30" i="3"/>
  <c r="S30" i="3"/>
  <c r="Q30" i="3"/>
  <c r="U29" i="3"/>
  <c r="S29" i="3"/>
  <c r="Q29" i="3"/>
  <c r="U28" i="3"/>
  <c r="S28" i="3"/>
  <c r="Q28" i="3"/>
  <c r="U27" i="3"/>
  <c r="S27" i="3"/>
  <c r="Q27" i="3"/>
  <c r="U26" i="3"/>
  <c r="S26" i="3"/>
  <c r="Q26" i="3"/>
  <c r="U25" i="3"/>
  <c r="S25" i="3"/>
  <c r="Q25" i="3"/>
  <c r="U24" i="3"/>
  <c r="S24" i="3"/>
  <c r="Q24" i="3"/>
  <c r="U23" i="3"/>
  <c r="S23" i="3"/>
  <c r="Q23" i="3"/>
  <c r="U22" i="3"/>
  <c r="S22" i="3"/>
  <c r="Q22" i="3"/>
  <c r="U21" i="3"/>
  <c r="S21" i="3"/>
  <c r="Q21" i="3"/>
  <c r="U20" i="3"/>
  <c r="S20" i="3"/>
  <c r="Q20" i="3"/>
  <c r="U19" i="3"/>
  <c r="S19" i="3"/>
  <c r="Q19" i="3"/>
  <c r="U18" i="3"/>
  <c r="S18" i="3"/>
  <c r="Q18" i="3"/>
  <c r="U17" i="3"/>
  <c r="S17" i="3"/>
  <c r="Q17" i="3"/>
  <c r="U16" i="3"/>
  <c r="S16" i="3"/>
  <c r="Q16" i="3"/>
  <c r="U15" i="3"/>
  <c r="S15" i="3"/>
  <c r="Q15" i="3"/>
  <c r="U14" i="3"/>
  <c r="S14" i="3"/>
  <c r="Q14" i="3"/>
  <c r="U13" i="3"/>
  <c r="S13" i="3"/>
  <c r="Q13" i="3"/>
  <c r="U12" i="3"/>
  <c r="S12" i="3"/>
  <c r="Q12" i="3"/>
  <c r="U11" i="3"/>
  <c r="S11" i="3"/>
  <c r="Q11" i="3"/>
  <c r="U10" i="3"/>
  <c r="S10" i="3"/>
  <c r="Q10" i="3"/>
  <c r="U9" i="3"/>
  <c r="S9" i="3"/>
  <c r="Q9" i="3"/>
  <c r="U8" i="3"/>
  <c r="S8" i="3"/>
  <c r="Q8" i="3"/>
  <c r="U7" i="3"/>
  <c r="S7" i="3"/>
  <c r="Q7" i="3"/>
  <c r="U6" i="3"/>
  <c r="S6" i="3"/>
  <c r="Q6" i="3"/>
  <c r="U5" i="3"/>
  <c r="S5" i="3"/>
  <c r="Q5" i="3"/>
  <c r="U4" i="3"/>
  <c r="S4" i="3"/>
  <c r="Q4" i="3"/>
  <c r="U3" i="3"/>
  <c r="S3" i="3"/>
  <c r="Q3" i="3"/>
  <c r="C34" i="2"/>
  <c r="A33" i="2" l="1"/>
  <c r="A60" i="2"/>
  <c r="A58" i="2"/>
  <c r="A56" i="2"/>
  <c r="A54" i="2"/>
  <c r="A52" i="2"/>
  <c r="A50" i="2"/>
  <c r="A48" i="2"/>
  <c r="A46" i="2"/>
  <c r="A44" i="2"/>
  <c r="A42" i="2"/>
  <c r="A40" i="2"/>
  <c r="A38" i="2"/>
  <c r="A36" i="2"/>
  <c r="A34" i="2"/>
  <c r="A59" i="2"/>
  <c r="A57" i="2"/>
  <c r="A55" i="2"/>
  <c r="A53" i="2"/>
  <c r="A51" i="2"/>
  <c r="A49" i="2"/>
  <c r="A47" i="2"/>
  <c r="A45" i="2"/>
  <c r="A43" i="2"/>
  <c r="A41" i="2"/>
  <c r="A39" i="2"/>
  <c r="A37" i="2"/>
  <c r="A35" i="2"/>
  <c r="D34" i="2" l="1"/>
  <c r="C6" i="3" l="1"/>
  <c r="E6" i="3"/>
  <c r="G6" i="3" s="1"/>
  <c r="B19" i="3"/>
  <c r="F7" i="3" l="1"/>
  <c r="H7" i="3"/>
  <c r="BD5" i="6" s="1"/>
  <c r="B25" i="6"/>
  <c r="A19" i="2" l="1"/>
  <c r="D38" i="2" s="1"/>
  <c r="E11" i="4"/>
  <c r="E13" i="5" l="1"/>
  <c r="E12" i="5"/>
  <c r="E11" i="5"/>
  <c r="E10" i="5"/>
  <c r="E9" i="5"/>
  <c r="E8" i="4" l="1"/>
  <c r="AV1" i="3" l="1"/>
  <c r="E8" i="5" l="1"/>
  <c r="D3" i="5"/>
  <c r="C3" i="5"/>
  <c r="E7" i="5"/>
  <c r="AS14" i="6"/>
  <c r="AS13" i="6"/>
  <c r="AS12" i="6"/>
  <c r="AS11" i="6"/>
  <c r="AS10" i="6"/>
  <c r="AS9" i="6"/>
  <c r="AS8" i="6"/>
  <c r="AS7" i="6"/>
  <c r="E14" i="5" l="1"/>
  <c r="AL4" i="3"/>
  <c r="AM4" i="3"/>
  <c r="AN4" i="3"/>
  <c r="AO4" i="3"/>
  <c r="AL5" i="3"/>
  <c r="AM5" i="3"/>
  <c r="AN5" i="3"/>
  <c r="AO5" i="3"/>
  <c r="AL6" i="3"/>
  <c r="AM6" i="3"/>
  <c r="AN6" i="3"/>
  <c r="AO6" i="3"/>
  <c r="AL7" i="3"/>
  <c r="AM7" i="3"/>
  <c r="AN7" i="3"/>
  <c r="AO7" i="3"/>
  <c r="AL8" i="3"/>
  <c r="AM8" i="3"/>
  <c r="AN8" i="3"/>
  <c r="AO8" i="3"/>
  <c r="AL9" i="3"/>
  <c r="AM9" i="3"/>
  <c r="AN9" i="3"/>
  <c r="AO9" i="3"/>
  <c r="AL10" i="3"/>
  <c r="AM10" i="3"/>
  <c r="AN10" i="3"/>
  <c r="AO10" i="3"/>
  <c r="AL11" i="3"/>
  <c r="AM11" i="3"/>
  <c r="AN11" i="3"/>
  <c r="AO11" i="3"/>
  <c r="AL12" i="3"/>
  <c r="AM12" i="3"/>
  <c r="AN12" i="3"/>
  <c r="AO12" i="3"/>
  <c r="AL13" i="3"/>
  <c r="AM13" i="3"/>
  <c r="AN13" i="3"/>
  <c r="AO13" i="3"/>
  <c r="AL14" i="3"/>
  <c r="AM14" i="3"/>
  <c r="AN14" i="3"/>
  <c r="AO14" i="3"/>
  <c r="AL15" i="3"/>
  <c r="AM15" i="3"/>
  <c r="AN15" i="3"/>
  <c r="AO15" i="3"/>
  <c r="AL16" i="3"/>
  <c r="AM16" i="3"/>
  <c r="AN16" i="3"/>
  <c r="AO16" i="3"/>
  <c r="AL17" i="3"/>
  <c r="AM17" i="3"/>
  <c r="AN17" i="3"/>
  <c r="AO17" i="3"/>
  <c r="AL18" i="3"/>
  <c r="AM18" i="3"/>
  <c r="AN18" i="3"/>
  <c r="AO18" i="3"/>
  <c r="AL19" i="3"/>
  <c r="AM19" i="3"/>
  <c r="AN19" i="3"/>
  <c r="AO19" i="3"/>
  <c r="AL20" i="3"/>
  <c r="AM20" i="3"/>
  <c r="AN20" i="3"/>
  <c r="AO20" i="3"/>
  <c r="AL21" i="3"/>
  <c r="AM21" i="3"/>
  <c r="AN21" i="3"/>
  <c r="AO21" i="3"/>
  <c r="AL22" i="3"/>
  <c r="AM22" i="3"/>
  <c r="AN22" i="3"/>
  <c r="AO22" i="3"/>
  <c r="AL23" i="3"/>
  <c r="AM23" i="3"/>
  <c r="AN23" i="3"/>
  <c r="AO23" i="3"/>
  <c r="AL24" i="3"/>
  <c r="AM24" i="3"/>
  <c r="AN24" i="3"/>
  <c r="AO24" i="3"/>
  <c r="AL25" i="3"/>
  <c r="AM25" i="3"/>
  <c r="AN25" i="3"/>
  <c r="AO25" i="3"/>
  <c r="AL26" i="3"/>
  <c r="AM26" i="3"/>
  <c r="AN26" i="3"/>
  <c r="AO26" i="3"/>
  <c r="AL27" i="3"/>
  <c r="AM27" i="3"/>
  <c r="AN27" i="3"/>
  <c r="AO27" i="3"/>
  <c r="AL28" i="3"/>
  <c r="AM28" i="3"/>
  <c r="AN28" i="3"/>
  <c r="AO28" i="3"/>
  <c r="AL29" i="3"/>
  <c r="AM29" i="3"/>
  <c r="AN29" i="3"/>
  <c r="AO29" i="3"/>
  <c r="AL30" i="3"/>
  <c r="AM30" i="3"/>
  <c r="AN30" i="3"/>
  <c r="AO30" i="3"/>
  <c r="AL31" i="3"/>
  <c r="AM31" i="3"/>
  <c r="AN31" i="3"/>
  <c r="AO31" i="3"/>
  <c r="AL32" i="3"/>
  <c r="AM32" i="3"/>
  <c r="AN32" i="3"/>
  <c r="AO32" i="3"/>
  <c r="AL33" i="3"/>
  <c r="AM33" i="3"/>
  <c r="AN33" i="3"/>
  <c r="AO33" i="3"/>
  <c r="AL34" i="3"/>
  <c r="AM34" i="3"/>
  <c r="AN34" i="3"/>
  <c r="AO34" i="3"/>
  <c r="AL35" i="3"/>
  <c r="AM35" i="3"/>
  <c r="AN35" i="3"/>
  <c r="AO35" i="3"/>
  <c r="AL36" i="3"/>
  <c r="AM36" i="3"/>
  <c r="AN36" i="3"/>
  <c r="AO36" i="3"/>
  <c r="AL37" i="3"/>
  <c r="AM37" i="3"/>
  <c r="AN37" i="3"/>
  <c r="AO37" i="3"/>
  <c r="AL38" i="3"/>
  <c r="AM38" i="3"/>
  <c r="AN38" i="3"/>
  <c r="AO38" i="3"/>
  <c r="AL39" i="3"/>
  <c r="AM39" i="3"/>
  <c r="AN39" i="3"/>
  <c r="AO39" i="3"/>
  <c r="AL40" i="3"/>
  <c r="AM40" i="3"/>
  <c r="AN40" i="3"/>
  <c r="AO40" i="3"/>
  <c r="AL41" i="3"/>
  <c r="AM41" i="3"/>
  <c r="AN41" i="3"/>
  <c r="AO41" i="3"/>
  <c r="AL42" i="3"/>
  <c r="AM42" i="3"/>
  <c r="AN42" i="3"/>
  <c r="AO42" i="3"/>
  <c r="AL43" i="3"/>
  <c r="AM43" i="3"/>
  <c r="AN43" i="3"/>
  <c r="AO43" i="3"/>
  <c r="AL44" i="3"/>
  <c r="AM44" i="3"/>
  <c r="AN44" i="3"/>
  <c r="AO44" i="3"/>
  <c r="AL45" i="3"/>
  <c r="AM45" i="3"/>
  <c r="AN45" i="3"/>
  <c r="AO45" i="3"/>
  <c r="AL46" i="3"/>
  <c r="AM46" i="3"/>
  <c r="AN46" i="3"/>
  <c r="AO46" i="3"/>
  <c r="AL47" i="3"/>
  <c r="AM47" i="3"/>
  <c r="AN47" i="3"/>
  <c r="AO47" i="3"/>
  <c r="AL48" i="3"/>
  <c r="AM48" i="3"/>
  <c r="AN48" i="3"/>
  <c r="AO48" i="3"/>
  <c r="AL49" i="3"/>
  <c r="AM49" i="3"/>
  <c r="AN49" i="3"/>
  <c r="AO49" i="3"/>
  <c r="AL50" i="3"/>
  <c r="AM50" i="3"/>
  <c r="AN50" i="3"/>
  <c r="AO50" i="3"/>
  <c r="AL51" i="3"/>
  <c r="AM51" i="3"/>
  <c r="AN51" i="3"/>
  <c r="AO51" i="3"/>
  <c r="AL52" i="3"/>
  <c r="AM52" i="3"/>
  <c r="AN52" i="3"/>
  <c r="AO52" i="3"/>
  <c r="AL53" i="3"/>
  <c r="AM53" i="3"/>
  <c r="AN53" i="3"/>
  <c r="AO53" i="3"/>
  <c r="AL54" i="3"/>
  <c r="AM54" i="3"/>
  <c r="AN54" i="3"/>
  <c r="AO54" i="3"/>
  <c r="AL55" i="3"/>
  <c r="AM55" i="3"/>
  <c r="AN55" i="3"/>
  <c r="AO55" i="3"/>
  <c r="AL56" i="3"/>
  <c r="AM56" i="3"/>
  <c r="AN56" i="3"/>
  <c r="AO56" i="3"/>
  <c r="AL57" i="3"/>
  <c r="AM57" i="3"/>
  <c r="AN57" i="3"/>
  <c r="AO57" i="3"/>
  <c r="AL58" i="3"/>
  <c r="AM58" i="3"/>
  <c r="AN58" i="3"/>
  <c r="AO58" i="3"/>
  <c r="AL59" i="3"/>
  <c r="AM59" i="3"/>
  <c r="AN59" i="3"/>
  <c r="AO59" i="3"/>
  <c r="AL60" i="3"/>
  <c r="AM60" i="3"/>
  <c r="AN60" i="3"/>
  <c r="AO60" i="3"/>
  <c r="AL61" i="3"/>
  <c r="AM61" i="3"/>
  <c r="AN61" i="3"/>
  <c r="AO61" i="3"/>
  <c r="AL62" i="3"/>
  <c r="AM62" i="3"/>
  <c r="AN62" i="3"/>
  <c r="AO62" i="3"/>
  <c r="AL63" i="3"/>
  <c r="AM63" i="3"/>
  <c r="AN63" i="3"/>
  <c r="AO63" i="3"/>
  <c r="AL64" i="3"/>
  <c r="AM64" i="3"/>
  <c r="AN64" i="3"/>
  <c r="AO64" i="3"/>
  <c r="AL65" i="3"/>
  <c r="AM65" i="3"/>
  <c r="AN65" i="3"/>
  <c r="AO65" i="3"/>
  <c r="AL66" i="3"/>
  <c r="AM66" i="3"/>
  <c r="AN66" i="3"/>
  <c r="AO66" i="3"/>
  <c r="AL67" i="3"/>
  <c r="AM67" i="3"/>
  <c r="AN67" i="3"/>
  <c r="AO67" i="3"/>
  <c r="AL68" i="3"/>
  <c r="AM68" i="3"/>
  <c r="AN68" i="3"/>
  <c r="AO68" i="3"/>
  <c r="AL69" i="3"/>
  <c r="AM69" i="3"/>
  <c r="AN69" i="3"/>
  <c r="AO69" i="3"/>
  <c r="AL70" i="3"/>
  <c r="AM70" i="3"/>
  <c r="AN70" i="3"/>
  <c r="AO70" i="3"/>
  <c r="AL71" i="3"/>
  <c r="AM71" i="3"/>
  <c r="AN71" i="3"/>
  <c r="AO71" i="3"/>
  <c r="AL72" i="3"/>
  <c r="AM72" i="3"/>
  <c r="AN72" i="3"/>
  <c r="AO72" i="3"/>
  <c r="AL73" i="3"/>
  <c r="AM73" i="3"/>
  <c r="AN73" i="3"/>
  <c r="AO73" i="3"/>
  <c r="AL74" i="3"/>
  <c r="AM74" i="3"/>
  <c r="AN74" i="3"/>
  <c r="AO74" i="3"/>
  <c r="AL75" i="3"/>
  <c r="AM75" i="3"/>
  <c r="AN75" i="3"/>
  <c r="AO75" i="3"/>
  <c r="AL76" i="3"/>
  <c r="AM76" i="3"/>
  <c r="AN76" i="3"/>
  <c r="AO76" i="3"/>
  <c r="AL77" i="3"/>
  <c r="AM77" i="3"/>
  <c r="AN77" i="3"/>
  <c r="AO77" i="3"/>
  <c r="AL78" i="3"/>
  <c r="AM78" i="3"/>
  <c r="AN78" i="3"/>
  <c r="AO78" i="3"/>
  <c r="AL79" i="3"/>
  <c r="AM79" i="3"/>
  <c r="AN79" i="3"/>
  <c r="AO79" i="3"/>
  <c r="AL80" i="3"/>
  <c r="AM80" i="3"/>
  <c r="AN80" i="3"/>
  <c r="AO80" i="3"/>
  <c r="AL81" i="3"/>
  <c r="AM81" i="3"/>
  <c r="AN81" i="3"/>
  <c r="AO81" i="3"/>
  <c r="AL82" i="3"/>
  <c r="AM82" i="3"/>
  <c r="AN82" i="3"/>
  <c r="AO82" i="3"/>
  <c r="AL83" i="3"/>
  <c r="AM83" i="3"/>
  <c r="AN83" i="3"/>
  <c r="AO83" i="3"/>
  <c r="AL84" i="3"/>
  <c r="AM84" i="3"/>
  <c r="AN84" i="3"/>
  <c r="AO84" i="3"/>
  <c r="AL85" i="3"/>
  <c r="AM85" i="3"/>
  <c r="AN85" i="3"/>
  <c r="AO85" i="3"/>
  <c r="AL86" i="3"/>
  <c r="AM86" i="3"/>
  <c r="AN86" i="3"/>
  <c r="AO86" i="3"/>
  <c r="AL87" i="3"/>
  <c r="AM87" i="3"/>
  <c r="AN87" i="3"/>
  <c r="AO87" i="3"/>
  <c r="AL88" i="3"/>
  <c r="AM88" i="3"/>
  <c r="AN88" i="3"/>
  <c r="AO88" i="3"/>
  <c r="AL89" i="3"/>
  <c r="AM89" i="3"/>
  <c r="AN89" i="3"/>
  <c r="AO89" i="3"/>
  <c r="AL90" i="3"/>
  <c r="AM90" i="3"/>
  <c r="AN90" i="3"/>
  <c r="AO90" i="3"/>
  <c r="AL91" i="3"/>
  <c r="AM91" i="3"/>
  <c r="AN91" i="3"/>
  <c r="AO91" i="3"/>
  <c r="AL92" i="3"/>
  <c r="AM92" i="3"/>
  <c r="AN92" i="3"/>
  <c r="AO92" i="3"/>
  <c r="AL93" i="3"/>
  <c r="AM93" i="3"/>
  <c r="AN93" i="3"/>
  <c r="AO93" i="3"/>
  <c r="AL94" i="3"/>
  <c r="AM94" i="3"/>
  <c r="AN94" i="3"/>
  <c r="AO94" i="3"/>
  <c r="AL95" i="3"/>
  <c r="AM95" i="3"/>
  <c r="AN95" i="3"/>
  <c r="AO95" i="3"/>
  <c r="AL96" i="3"/>
  <c r="AM96" i="3"/>
  <c r="AN96" i="3"/>
  <c r="AO96" i="3"/>
  <c r="AL97" i="3"/>
  <c r="AM97" i="3"/>
  <c r="AN97" i="3"/>
  <c r="AO97" i="3"/>
  <c r="AL98" i="3"/>
  <c r="AM98" i="3"/>
  <c r="AN98" i="3"/>
  <c r="AO98" i="3"/>
  <c r="AL99" i="3"/>
  <c r="AM99" i="3"/>
  <c r="AN99" i="3"/>
  <c r="AO99" i="3"/>
  <c r="AL100" i="3"/>
  <c r="AM100" i="3"/>
  <c r="AN100" i="3"/>
  <c r="AO100" i="3"/>
  <c r="AL101" i="3"/>
  <c r="AM101" i="3"/>
  <c r="AN101" i="3"/>
  <c r="AO101" i="3"/>
  <c r="AL102" i="3"/>
  <c r="AM102" i="3"/>
  <c r="AN102" i="3"/>
  <c r="AO102" i="3"/>
  <c r="AL103" i="3"/>
  <c r="AM103" i="3"/>
  <c r="AN103" i="3"/>
  <c r="AO103" i="3"/>
  <c r="AF4" i="3"/>
  <c r="AG4" i="3"/>
  <c r="AH4" i="3"/>
  <c r="AI4" i="3"/>
  <c r="AF5" i="3"/>
  <c r="AG5" i="3"/>
  <c r="AH5" i="3"/>
  <c r="AI5" i="3"/>
  <c r="AF6" i="3"/>
  <c r="AG6" i="3"/>
  <c r="AH6" i="3"/>
  <c r="AI6" i="3"/>
  <c r="AF7" i="3"/>
  <c r="AG7" i="3"/>
  <c r="AH7" i="3"/>
  <c r="AI7" i="3"/>
  <c r="AF8" i="3"/>
  <c r="AG8" i="3"/>
  <c r="AH8" i="3"/>
  <c r="AI8" i="3"/>
  <c r="AF9" i="3"/>
  <c r="AG9" i="3"/>
  <c r="AH9" i="3"/>
  <c r="AI9" i="3"/>
  <c r="AF10" i="3"/>
  <c r="AG10" i="3"/>
  <c r="AH10" i="3"/>
  <c r="AI10" i="3"/>
  <c r="AF11" i="3"/>
  <c r="AG11" i="3"/>
  <c r="AH11" i="3"/>
  <c r="AI11" i="3"/>
  <c r="AF12" i="3"/>
  <c r="AG12" i="3"/>
  <c r="AH12" i="3"/>
  <c r="AI12" i="3"/>
  <c r="AF13" i="3"/>
  <c r="AG13" i="3"/>
  <c r="AH13" i="3"/>
  <c r="AI13" i="3"/>
  <c r="AF14" i="3"/>
  <c r="AG14" i="3"/>
  <c r="AH14" i="3"/>
  <c r="AI14" i="3"/>
  <c r="AF15" i="3"/>
  <c r="AG15" i="3"/>
  <c r="AH15" i="3"/>
  <c r="AI15" i="3"/>
  <c r="AF16" i="3"/>
  <c r="AG16" i="3"/>
  <c r="AH16" i="3"/>
  <c r="AI16" i="3"/>
  <c r="AF17" i="3"/>
  <c r="AG17" i="3"/>
  <c r="AH17" i="3"/>
  <c r="AI17" i="3"/>
  <c r="AF18" i="3"/>
  <c r="AG18" i="3"/>
  <c r="AH18" i="3"/>
  <c r="AI18" i="3"/>
  <c r="AF19" i="3"/>
  <c r="AG19" i="3"/>
  <c r="AH19" i="3"/>
  <c r="AI19" i="3"/>
  <c r="AF20" i="3"/>
  <c r="AG20" i="3"/>
  <c r="AH20" i="3"/>
  <c r="AI20" i="3"/>
  <c r="AF21" i="3"/>
  <c r="AG21" i="3"/>
  <c r="AH21" i="3"/>
  <c r="AI21" i="3"/>
  <c r="AF22" i="3"/>
  <c r="AG22" i="3"/>
  <c r="AH22" i="3"/>
  <c r="AI22" i="3"/>
  <c r="AF23" i="3"/>
  <c r="AG23" i="3"/>
  <c r="AH23" i="3"/>
  <c r="AI23" i="3"/>
  <c r="AF24" i="3"/>
  <c r="AG24" i="3"/>
  <c r="AH24" i="3"/>
  <c r="AI24" i="3"/>
  <c r="AF25" i="3"/>
  <c r="AG25" i="3"/>
  <c r="AH25" i="3"/>
  <c r="AI25" i="3"/>
  <c r="AF26" i="3"/>
  <c r="AG26" i="3"/>
  <c r="AH26" i="3"/>
  <c r="AI26" i="3"/>
  <c r="AF27" i="3"/>
  <c r="AG27" i="3"/>
  <c r="AH27" i="3"/>
  <c r="AI27" i="3"/>
  <c r="AF28" i="3"/>
  <c r="AG28" i="3"/>
  <c r="AH28" i="3"/>
  <c r="AI28" i="3"/>
  <c r="AF29" i="3"/>
  <c r="AG29" i="3"/>
  <c r="AH29" i="3"/>
  <c r="AI29" i="3"/>
  <c r="AF30" i="3"/>
  <c r="AG30" i="3"/>
  <c r="AH30" i="3"/>
  <c r="AI30" i="3"/>
  <c r="AF31" i="3"/>
  <c r="AG31" i="3"/>
  <c r="AH31" i="3"/>
  <c r="AI31" i="3"/>
  <c r="AF32" i="3"/>
  <c r="AG32" i="3"/>
  <c r="AH32" i="3"/>
  <c r="AI32" i="3"/>
  <c r="AF33" i="3"/>
  <c r="AG33" i="3"/>
  <c r="AH33" i="3"/>
  <c r="AI33" i="3"/>
  <c r="AF34" i="3"/>
  <c r="AG34" i="3"/>
  <c r="AH34" i="3"/>
  <c r="AI34" i="3"/>
  <c r="AF35" i="3"/>
  <c r="AG35" i="3"/>
  <c r="AH35" i="3"/>
  <c r="AI35" i="3"/>
  <c r="AF36" i="3"/>
  <c r="AG36" i="3"/>
  <c r="AH36" i="3"/>
  <c r="AI36" i="3"/>
  <c r="AF37" i="3"/>
  <c r="AG37" i="3"/>
  <c r="AH37" i="3"/>
  <c r="AI37" i="3"/>
  <c r="AF38" i="3"/>
  <c r="AG38" i="3"/>
  <c r="AH38" i="3"/>
  <c r="AI38" i="3"/>
  <c r="AF39" i="3"/>
  <c r="AG39" i="3"/>
  <c r="AH39" i="3"/>
  <c r="AI39" i="3"/>
  <c r="AF40" i="3"/>
  <c r="AG40" i="3"/>
  <c r="AH40" i="3"/>
  <c r="AI40" i="3"/>
  <c r="AF41" i="3"/>
  <c r="AG41" i="3"/>
  <c r="AH41" i="3"/>
  <c r="AI41" i="3"/>
  <c r="AF42" i="3"/>
  <c r="AG42" i="3"/>
  <c r="AH42" i="3"/>
  <c r="AI42" i="3"/>
  <c r="AF43" i="3"/>
  <c r="AG43" i="3"/>
  <c r="AH43" i="3"/>
  <c r="AI43" i="3"/>
  <c r="AF44" i="3"/>
  <c r="AG44" i="3"/>
  <c r="AH44" i="3"/>
  <c r="AI44" i="3"/>
  <c r="AF45" i="3"/>
  <c r="AG45" i="3"/>
  <c r="AH45" i="3"/>
  <c r="AI45" i="3"/>
  <c r="AF46" i="3"/>
  <c r="AG46" i="3"/>
  <c r="AH46" i="3"/>
  <c r="AI46" i="3"/>
  <c r="AF47" i="3"/>
  <c r="AG47" i="3"/>
  <c r="AH47" i="3"/>
  <c r="AI47" i="3"/>
  <c r="AF48" i="3"/>
  <c r="AG48" i="3"/>
  <c r="AH48" i="3"/>
  <c r="AI48" i="3"/>
  <c r="AF49" i="3"/>
  <c r="AG49" i="3"/>
  <c r="AH49" i="3"/>
  <c r="AI49" i="3"/>
  <c r="AF50" i="3"/>
  <c r="AG50" i="3"/>
  <c r="AH50" i="3"/>
  <c r="AI50" i="3"/>
  <c r="AF51" i="3"/>
  <c r="AG51" i="3"/>
  <c r="AH51" i="3"/>
  <c r="AI51" i="3"/>
  <c r="AF52" i="3"/>
  <c r="AG52" i="3"/>
  <c r="AH52" i="3"/>
  <c r="AI52" i="3"/>
  <c r="AF53" i="3"/>
  <c r="AG53" i="3"/>
  <c r="AH53" i="3"/>
  <c r="AI53" i="3"/>
  <c r="AF54" i="3"/>
  <c r="AG54" i="3"/>
  <c r="AH54" i="3"/>
  <c r="AI54" i="3"/>
  <c r="AF55" i="3"/>
  <c r="AG55" i="3"/>
  <c r="AH55" i="3"/>
  <c r="AI55" i="3"/>
  <c r="AF56" i="3"/>
  <c r="AG56" i="3"/>
  <c r="AH56" i="3"/>
  <c r="AI56" i="3"/>
  <c r="AF57" i="3"/>
  <c r="AG57" i="3"/>
  <c r="AH57" i="3"/>
  <c r="AI57" i="3"/>
  <c r="AF58" i="3"/>
  <c r="AG58" i="3"/>
  <c r="AH58" i="3"/>
  <c r="AI58" i="3"/>
  <c r="AF59" i="3"/>
  <c r="AG59" i="3"/>
  <c r="AH59" i="3"/>
  <c r="AI59" i="3"/>
  <c r="AF60" i="3"/>
  <c r="AG60" i="3"/>
  <c r="AH60" i="3"/>
  <c r="AI60" i="3"/>
  <c r="AF61" i="3"/>
  <c r="AG61" i="3"/>
  <c r="AH61" i="3"/>
  <c r="AI61" i="3"/>
  <c r="AF62" i="3"/>
  <c r="AG62" i="3"/>
  <c r="AH62" i="3"/>
  <c r="AI62" i="3"/>
  <c r="AF63" i="3"/>
  <c r="AG63" i="3"/>
  <c r="AH63" i="3"/>
  <c r="AI63" i="3"/>
  <c r="AF64" i="3"/>
  <c r="AG64" i="3"/>
  <c r="AH64" i="3"/>
  <c r="AI64" i="3"/>
  <c r="AF65" i="3"/>
  <c r="AG65" i="3"/>
  <c r="AH65" i="3"/>
  <c r="AI65" i="3"/>
  <c r="AF66" i="3"/>
  <c r="AG66" i="3"/>
  <c r="AH66" i="3"/>
  <c r="AI66" i="3"/>
  <c r="AF67" i="3"/>
  <c r="AG67" i="3"/>
  <c r="AH67" i="3"/>
  <c r="AI67" i="3"/>
  <c r="AF68" i="3"/>
  <c r="AG68" i="3"/>
  <c r="AH68" i="3"/>
  <c r="AI68" i="3"/>
  <c r="AF69" i="3"/>
  <c r="AG69" i="3"/>
  <c r="AH69" i="3"/>
  <c r="AI69" i="3"/>
  <c r="AF70" i="3"/>
  <c r="AG70" i="3"/>
  <c r="AH70" i="3"/>
  <c r="AI70" i="3"/>
  <c r="AF71" i="3"/>
  <c r="AG71" i="3"/>
  <c r="AH71" i="3"/>
  <c r="AI71" i="3"/>
  <c r="AF72" i="3"/>
  <c r="AG72" i="3"/>
  <c r="AH72" i="3"/>
  <c r="AI72" i="3"/>
  <c r="AF73" i="3"/>
  <c r="AG73" i="3"/>
  <c r="AH73" i="3"/>
  <c r="AI73" i="3"/>
  <c r="AF74" i="3"/>
  <c r="AG74" i="3"/>
  <c r="AH74" i="3"/>
  <c r="AI74" i="3"/>
  <c r="AF75" i="3"/>
  <c r="AG75" i="3"/>
  <c r="AH75" i="3"/>
  <c r="AI75" i="3"/>
  <c r="AF76" i="3"/>
  <c r="AG76" i="3"/>
  <c r="AH76" i="3"/>
  <c r="AI76" i="3"/>
  <c r="AF77" i="3"/>
  <c r="AG77" i="3"/>
  <c r="AH77" i="3"/>
  <c r="AI77" i="3"/>
  <c r="AF78" i="3"/>
  <c r="AG78" i="3"/>
  <c r="AH78" i="3"/>
  <c r="AI78" i="3"/>
  <c r="AF79" i="3"/>
  <c r="AG79" i="3"/>
  <c r="AH79" i="3"/>
  <c r="AI79" i="3"/>
  <c r="AF80" i="3"/>
  <c r="AG80" i="3"/>
  <c r="AH80" i="3"/>
  <c r="AI80" i="3"/>
  <c r="AF81" i="3"/>
  <c r="AG81" i="3"/>
  <c r="AH81" i="3"/>
  <c r="AI81" i="3"/>
  <c r="AF82" i="3"/>
  <c r="AG82" i="3"/>
  <c r="AH82" i="3"/>
  <c r="AI82" i="3"/>
  <c r="AF83" i="3"/>
  <c r="AG83" i="3"/>
  <c r="AH83" i="3"/>
  <c r="AI83" i="3"/>
  <c r="AF84" i="3"/>
  <c r="AG84" i="3"/>
  <c r="AH84" i="3"/>
  <c r="AI84" i="3"/>
  <c r="AF85" i="3"/>
  <c r="AG85" i="3"/>
  <c r="AH85" i="3"/>
  <c r="AI85" i="3"/>
  <c r="AF86" i="3"/>
  <c r="AG86" i="3"/>
  <c r="AH86" i="3"/>
  <c r="AI86" i="3"/>
  <c r="AF87" i="3"/>
  <c r="AG87" i="3"/>
  <c r="AH87" i="3"/>
  <c r="AI87" i="3"/>
  <c r="AF88" i="3"/>
  <c r="AG88" i="3"/>
  <c r="AH88" i="3"/>
  <c r="AI88" i="3"/>
  <c r="AF89" i="3"/>
  <c r="AG89" i="3"/>
  <c r="AH89" i="3"/>
  <c r="AI89" i="3"/>
  <c r="AF90" i="3"/>
  <c r="AG90" i="3"/>
  <c r="AH90" i="3"/>
  <c r="AI90" i="3"/>
  <c r="AF91" i="3"/>
  <c r="AG91" i="3"/>
  <c r="AH91" i="3"/>
  <c r="AI91" i="3"/>
  <c r="AF92" i="3"/>
  <c r="AG92" i="3"/>
  <c r="AH92" i="3"/>
  <c r="AI92" i="3"/>
  <c r="AF93" i="3"/>
  <c r="AG93" i="3"/>
  <c r="AH93" i="3"/>
  <c r="AI93" i="3"/>
  <c r="AF94" i="3"/>
  <c r="AG94" i="3"/>
  <c r="AH94" i="3"/>
  <c r="AI94" i="3"/>
  <c r="AF95" i="3"/>
  <c r="AG95" i="3"/>
  <c r="AH95" i="3"/>
  <c r="AI95" i="3"/>
  <c r="AF96" i="3"/>
  <c r="AG96" i="3"/>
  <c r="AH96" i="3"/>
  <c r="AI96" i="3"/>
  <c r="AF97" i="3"/>
  <c r="AG97" i="3"/>
  <c r="AH97" i="3"/>
  <c r="AI97" i="3"/>
  <c r="AF98" i="3"/>
  <c r="AG98" i="3"/>
  <c r="AH98" i="3"/>
  <c r="AI98" i="3"/>
  <c r="AF99" i="3"/>
  <c r="AG99" i="3"/>
  <c r="AH99" i="3"/>
  <c r="AI99" i="3"/>
  <c r="AF100" i="3"/>
  <c r="AG100" i="3"/>
  <c r="AH100" i="3"/>
  <c r="AI100" i="3"/>
  <c r="AF101" i="3"/>
  <c r="AG101" i="3"/>
  <c r="AH101" i="3"/>
  <c r="AI101" i="3"/>
  <c r="AF102" i="3"/>
  <c r="AG102" i="3"/>
  <c r="AH102" i="3"/>
  <c r="AI102" i="3"/>
  <c r="AF103" i="3"/>
  <c r="AG103" i="3"/>
  <c r="AH103" i="3"/>
  <c r="AI103" i="3"/>
  <c r="AB4" i="3"/>
  <c r="AC4" i="3"/>
  <c r="AB5" i="3"/>
  <c r="AC5" i="3"/>
  <c r="AB6" i="3"/>
  <c r="AC6" i="3"/>
  <c r="AB7" i="3"/>
  <c r="AC7" i="3"/>
  <c r="AB8" i="3"/>
  <c r="AC8" i="3"/>
  <c r="AB9" i="3"/>
  <c r="AC9" i="3"/>
  <c r="AB10" i="3"/>
  <c r="AC10" i="3"/>
  <c r="AB11" i="3"/>
  <c r="AC11" i="3"/>
  <c r="AB12" i="3"/>
  <c r="AC12" i="3"/>
  <c r="AB13" i="3"/>
  <c r="AC13" i="3"/>
  <c r="AB14" i="3"/>
  <c r="AC14" i="3"/>
  <c r="AB15" i="3"/>
  <c r="AC15" i="3"/>
  <c r="AB16" i="3"/>
  <c r="AC16" i="3"/>
  <c r="AB17" i="3"/>
  <c r="AC17" i="3"/>
  <c r="AB18" i="3"/>
  <c r="AC18" i="3"/>
  <c r="AB19" i="3"/>
  <c r="AC19" i="3"/>
  <c r="AB20" i="3"/>
  <c r="AC20" i="3"/>
  <c r="AB21" i="3"/>
  <c r="AC21" i="3"/>
  <c r="AB22" i="3"/>
  <c r="AC22" i="3"/>
  <c r="AB23" i="3"/>
  <c r="AC23" i="3"/>
  <c r="AB24" i="3"/>
  <c r="AC24" i="3"/>
  <c r="AB25" i="3"/>
  <c r="AC25" i="3"/>
  <c r="AB26" i="3"/>
  <c r="AC26" i="3"/>
  <c r="AB27" i="3"/>
  <c r="AC27" i="3"/>
  <c r="AB28" i="3"/>
  <c r="AC28" i="3"/>
  <c r="AB29" i="3"/>
  <c r="AC29" i="3"/>
  <c r="AB30" i="3"/>
  <c r="AC30" i="3"/>
  <c r="AB31" i="3"/>
  <c r="AC31" i="3"/>
  <c r="AB32" i="3"/>
  <c r="AC32" i="3"/>
  <c r="AB33" i="3"/>
  <c r="AC33" i="3"/>
  <c r="AB34" i="3"/>
  <c r="AC34" i="3"/>
  <c r="AB35" i="3"/>
  <c r="AC35" i="3"/>
  <c r="AB36" i="3"/>
  <c r="AC36" i="3"/>
  <c r="AB37" i="3"/>
  <c r="AC37" i="3"/>
  <c r="AB38" i="3"/>
  <c r="AC38" i="3"/>
  <c r="AB39" i="3"/>
  <c r="AC39" i="3"/>
  <c r="AB40" i="3"/>
  <c r="AC40" i="3"/>
  <c r="AB41" i="3"/>
  <c r="AC41" i="3"/>
  <c r="AB42" i="3"/>
  <c r="AC42" i="3"/>
  <c r="AB43" i="3"/>
  <c r="AC43" i="3"/>
  <c r="AB44" i="3"/>
  <c r="AC44" i="3"/>
  <c r="AB45" i="3"/>
  <c r="AC45" i="3"/>
  <c r="AB46" i="3"/>
  <c r="AC46" i="3"/>
  <c r="AB47" i="3"/>
  <c r="AC47" i="3"/>
  <c r="AB48" i="3"/>
  <c r="AC48" i="3"/>
  <c r="AB49" i="3"/>
  <c r="AC49" i="3"/>
  <c r="AB50" i="3"/>
  <c r="AC50" i="3"/>
  <c r="AB51" i="3"/>
  <c r="AC51" i="3"/>
  <c r="AB52" i="3"/>
  <c r="AC52" i="3"/>
  <c r="AB53" i="3"/>
  <c r="AC53" i="3"/>
  <c r="AB54" i="3"/>
  <c r="AC54" i="3"/>
  <c r="AB55" i="3"/>
  <c r="AC55" i="3"/>
  <c r="AB56" i="3"/>
  <c r="AC56" i="3"/>
  <c r="AB57" i="3"/>
  <c r="AC57" i="3"/>
  <c r="AB58" i="3"/>
  <c r="AC58" i="3"/>
  <c r="AB59" i="3"/>
  <c r="AC59" i="3"/>
  <c r="AB60" i="3"/>
  <c r="AC60" i="3"/>
  <c r="AB61" i="3"/>
  <c r="AC61" i="3"/>
  <c r="AB62" i="3"/>
  <c r="AC62" i="3"/>
  <c r="AB63" i="3"/>
  <c r="AC63" i="3"/>
  <c r="AB64" i="3"/>
  <c r="AC64" i="3"/>
  <c r="AB65" i="3"/>
  <c r="AC65" i="3"/>
  <c r="AB66" i="3"/>
  <c r="AC66" i="3"/>
  <c r="AB67" i="3"/>
  <c r="AC67" i="3"/>
  <c r="AB68" i="3"/>
  <c r="AC68" i="3"/>
  <c r="AB69" i="3"/>
  <c r="AC69" i="3"/>
  <c r="AB70" i="3"/>
  <c r="AC70" i="3"/>
  <c r="AB71" i="3"/>
  <c r="AC71" i="3"/>
  <c r="AB72" i="3"/>
  <c r="AC72" i="3"/>
  <c r="AB73" i="3"/>
  <c r="AC73" i="3"/>
  <c r="AB74" i="3"/>
  <c r="AC74" i="3"/>
  <c r="AB75" i="3"/>
  <c r="AC75" i="3"/>
  <c r="AB76" i="3"/>
  <c r="AC76" i="3"/>
  <c r="AB77" i="3"/>
  <c r="AC77" i="3"/>
  <c r="AB78" i="3"/>
  <c r="AC78" i="3"/>
  <c r="AB79" i="3"/>
  <c r="AC79" i="3"/>
  <c r="AB80" i="3"/>
  <c r="AC80" i="3"/>
  <c r="AB81" i="3"/>
  <c r="AC81" i="3"/>
  <c r="AB82" i="3"/>
  <c r="AC82" i="3"/>
  <c r="AB83" i="3"/>
  <c r="AC83" i="3"/>
  <c r="AB84" i="3"/>
  <c r="AC84" i="3"/>
  <c r="AB85" i="3"/>
  <c r="AC85" i="3"/>
  <c r="AB86" i="3"/>
  <c r="AC86" i="3"/>
  <c r="AB87" i="3"/>
  <c r="AC87" i="3"/>
  <c r="AB88" i="3"/>
  <c r="AC88" i="3"/>
  <c r="AB89" i="3"/>
  <c r="AC89" i="3"/>
  <c r="AB90" i="3"/>
  <c r="AC90" i="3"/>
  <c r="AB91" i="3"/>
  <c r="AC91" i="3"/>
  <c r="AB92" i="3"/>
  <c r="AC92" i="3"/>
  <c r="AB93" i="3"/>
  <c r="AC93" i="3"/>
  <c r="AB94" i="3"/>
  <c r="AC94" i="3"/>
  <c r="AB95" i="3"/>
  <c r="AC95" i="3"/>
  <c r="AB96" i="3"/>
  <c r="AC96" i="3"/>
  <c r="AB97" i="3"/>
  <c r="AC97" i="3"/>
  <c r="AB98" i="3"/>
  <c r="AC98" i="3"/>
  <c r="AB99" i="3"/>
  <c r="AC99" i="3"/>
  <c r="AB100" i="3"/>
  <c r="AC100" i="3"/>
  <c r="AB101" i="3"/>
  <c r="AC101" i="3"/>
  <c r="AB102" i="3"/>
  <c r="AC102" i="3"/>
  <c r="AB103" i="3"/>
  <c r="AC103" i="3"/>
  <c r="Z4" i="3"/>
  <c r="AA4" i="3"/>
  <c r="Z5" i="3"/>
  <c r="AA5" i="3"/>
  <c r="Z6" i="3"/>
  <c r="AA6" i="3"/>
  <c r="Z7" i="3"/>
  <c r="AA7" i="3"/>
  <c r="Z8" i="3"/>
  <c r="AA8" i="3"/>
  <c r="Z9" i="3"/>
  <c r="AA9" i="3"/>
  <c r="Z10" i="3"/>
  <c r="AA10" i="3"/>
  <c r="Z11" i="3"/>
  <c r="AA11" i="3"/>
  <c r="Z12" i="3"/>
  <c r="AA12" i="3"/>
  <c r="Z13" i="3"/>
  <c r="AA13" i="3"/>
  <c r="Z14" i="3"/>
  <c r="AA14" i="3"/>
  <c r="Z15" i="3"/>
  <c r="AA15" i="3"/>
  <c r="Z16" i="3"/>
  <c r="AA16" i="3"/>
  <c r="Z17" i="3"/>
  <c r="AA17" i="3"/>
  <c r="Z18" i="3"/>
  <c r="AA18" i="3"/>
  <c r="Z19" i="3"/>
  <c r="AA19" i="3"/>
  <c r="Z20" i="3"/>
  <c r="AA20" i="3"/>
  <c r="Z21" i="3"/>
  <c r="AA21" i="3"/>
  <c r="Z22" i="3"/>
  <c r="AA22" i="3"/>
  <c r="Z23" i="3"/>
  <c r="AA23" i="3"/>
  <c r="Z24" i="3"/>
  <c r="AA24" i="3"/>
  <c r="Z25" i="3"/>
  <c r="AA25" i="3"/>
  <c r="Z26" i="3"/>
  <c r="AA26" i="3"/>
  <c r="Z27" i="3"/>
  <c r="AA27" i="3"/>
  <c r="Z28" i="3"/>
  <c r="AA28" i="3"/>
  <c r="Z29" i="3"/>
  <c r="AA29" i="3"/>
  <c r="Z30" i="3"/>
  <c r="AA30" i="3"/>
  <c r="Z31" i="3"/>
  <c r="AA31" i="3"/>
  <c r="Z32" i="3"/>
  <c r="AA32" i="3"/>
  <c r="Z33" i="3"/>
  <c r="AA33" i="3"/>
  <c r="Z34" i="3"/>
  <c r="AA34" i="3"/>
  <c r="Z35" i="3"/>
  <c r="AA35" i="3"/>
  <c r="Z36" i="3"/>
  <c r="AA36" i="3"/>
  <c r="Z37" i="3"/>
  <c r="AA37" i="3"/>
  <c r="Z38" i="3"/>
  <c r="AA38" i="3"/>
  <c r="Z39" i="3"/>
  <c r="AA39" i="3"/>
  <c r="Z40" i="3"/>
  <c r="AA40" i="3"/>
  <c r="Z41" i="3"/>
  <c r="AA41" i="3"/>
  <c r="Z42" i="3"/>
  <c r="AA42" i="3"/>
  <c r="Z43" i="3"/>
  <c r="AA43" i="3"/>
  <c r="Z44" i="3"/>
  <c r="AA44" i="3"/>
  <c r="Z45" i="3"/>
  <c r="AA45" i="3"/>
  <c r="Z46" i="3"/>
  <c r="AA46" i="3"/>
  <c r="Z47" i="3"/>
  <c r="AA47" i="3"/>
  <c r="Z48" i="3"/>
  <c r="AA48" i="3"/>
  <c r="Z49" i="3"/>
  <c r="AA49" i="3"/>
  <c r="Z50" i="3"/>
  <c r="AA50" i="3"/>
  <c r="Z51" i="3"/>
  <c r="AA51" i="3"/>
  <c r="Z52" i="3"/>
  <c r="AA52" i="3"/>
  <c r="Z53" i="3"/>
  <c r="AA53" i="3"/>
  <c r="Z54" i="3"/>
  <c r="AA54" i="3"/>
  <c r="Z55" i="3"/>
  <c r="AA55" i="3"/>
  <c r="Z56" i="3"/>
  <c r="AA56" i="3"/>
  <c r="Z57" i="3"/>
  <c r="AA57" i="3"/>
  <c r="Z58" i="3"/>
  <c r="AA58" i="3"/>
  <c r="Z59" i="3"/>
  <c r="AA59" i="3"/>
  <c r="Z60" i="3"/>
  <c r="AA60" i="3"/>
  <c r="Z61" i="3"/>
  <c r="AA61" i="3"/>
  <c r="Z62" i="3"/>
  <c r="AA62" i="3"/>
  <c r="Z63" i="3"/>
  <c r="AA63" i="3"/>
  <c r="Z64" i="3"/>
  <c r="AA64" i="3"/>
  <c r="Z65" i="3"/>
  <c r="AA65" i="3"/>
  <c r="Z66" i="3"/>
  <c r="AA66" i="3"/>
  <c r="Z67" i="3"/>
  <c r="AA67" i="3"/>
  <c r="Z68" i="3"/>
  <c r="AA68" i="3"/>
  <c r="Z69" i="3"/>
  <c r="AA69" i="3"/>
  <c r="Z70" i="3"/>
  <c r="AA70" i="3"/>
  <c r="Z71" i="3"/>
  <c r="AA71" i="3"/>
  <c r="Z72" i="3"/>
  <c r="AA72" i="3"/>
  <c r="Z73" i="3"/>
  <c r="AA73" i="3"/>
  <c r="Z74" i="3"/>
  <c r="AA74" i="3"/>
  <c r="Z75" i="3"/>
  <c r="AA75" i="3"/>
  <c r="Z76" i="3"/>
  <c r="AA76" i="3"/>
  <c r="Z77" i="3"/>
  <c r="AA77" i="3"/>
  <c r="Z78" i="3"/>
  <c r="AA78" i="3"/>
  <c r="Z79" i="3"/>
  <c r="AA79" i="3"/>
  <c r="Z80" i="3"/>
  <c r="AA80" i="3"/>
  <c r="Z81" i="3"/>
  <c r="AA81" i="3"/>
  <c r="Z82" i="3"/>
  <c r="AA82" i="3"/>
  <c r="Z83" i="3"/>
  <c r="AA83" i="3"/>
  <c r="Z84" i="3"/>
  <c r="AA84" i="3"/>
  <c r="Z85" i="3"/>
  <c r="AA85" i="3"/>
  <c r="Z86" i="3"/>
  <c r="AA86" i="3"/>
  <c r="Z87" i="3"/>
  <c r="AA87" i="3"/>
  <c r="Z88" i="3"/>
  <c r="AA88" i="3"/>
  <c r="Z89" i="3"/>
  <c r="AA89" i="3"/>
  <c r="Z90" i="3"/>
  <c r="AA90" i="3"/>
  <c r="Z91" i="3"/>
  <c r="AA91" i="3"/>
  <c r="Z92" i="3"/>
  <c r="AA92" i="3"/>
  <c r="Z93" i="3"/>
  <c r="AA93" i="3"/>
  <c r="Z94" i="3"/>
  <c r="AA94" i="3"/>
  <c r="Z95" i="3"/>
  <c r="AA95" i="3"/>
  <c r="Z96" i="3"/>
  <c r="AA96" i="3"/>
  <c r="Z97" i="3"/>
  <c r="AA97" i="3"/>
  <c r="Z98" i="3"/>
  <c r="AA98" i="3"/>
  <c r="Z99" i="3"/>
  <c r="AA99" i="3"/>
  <c r="Z100" i="3"/>
  <c r="AA100" i="3"/>
  <c r="Z101" i="3"/>
  <c r="AA101" i="3"/>
  <c r="Z102" i="3"/>
  <c r="AA102" i="3"/>
  <c r="Z103" i="3"/>
  <c r="AA103" i="3"/>
  <c r="D3" i="8"/>
  <c r="A4" i="8"/>
  <c r="C4" i="8" s="1"/>
  <c r="A5" i="8"/>
  <c r="C5" i="8" s="1"/>
  <c r="B116" i="4"/>
  <c r="B24" i="3"/>
  <c r="M108" i="4" s="1"/>
  <c r="A2" i="8"/>
  <c r="C2" i="8" s="1"/>
  <c r="A3" i="8"/>
  <c r="C3" i="8" s="1"/>
  <c r="A6" i="8"/>
  <c r="C6" i="8" s="1"/>
  <c r="A7" i="8"/>
  <c r="C7" i="8" s="1"/>
  <c r="A8" i="8"/>
  <c r="C8" i="8" s="1"/>
  <c r="A9" i="8"/>
  <c r="C9" i="8" s="1"/>
  <c r="B2" i="8"/>
  <c r="B3" i="8"/>
  <c r="AB3" i="3"/>
  <c r="AC3" i="3"/>
  <c r="AH3" i="3"/>
  <c r="AN3" i="3"/>
  <c r="AO3" i="3"/>
  <c r="AI3" i="3"/>
  <c r="B5" i="8"/>
  <c r="B4" i="8"/>
  <c r="D4" i="8"/>
  <c r="D5" i="8"/>
  <c r="D2" i="8"/>
  <c r="B6" i="8"/>
  <c r="B7" i="8"/>
  <c r="D6" i="8"/>
  <c r="D7" i="8"/>
  <c r="AM3" i="3"/>
  <c r="AL3" i="3"/>
  <c r="AG3" i="3"/>
  <c r="AF3" i="3"/>
  <c r="AA3" i="3"/>
  <c r="Z3" i="3"/>
  <c r="G107" i="8"/>
  <c r="B9" i="8"/>
  <c r="D9" i="8"/>
  <c r="B8" i="8"/>
  <c r="D8" i="8"/>
  <c r="H16" i="5" l="1"/>
  <c r="E3" i="5"/>
  <c r="Z94" i="8"/>
  <c r="C233" i="3" s="1"/>
  <c r="Z62" i="8"/>
  <c r="C201" i="3" s="1"/>
  <c r="Z30" i="8"/>
  <c r="C169" i="3" s="1"/>
  <c r="Y95" i="8"/>
  <c r="B234" i="3" s="1"/>
  <c r="Y75" i="8"/>
  <c r="B214" i="3" s="1"/>
  <c r="Y51" i="8"/>
  <c r="B190" i="3" s="1"/>
  <c r="Y31" i="8"/>
  <c r="B170" i="3" s="1"/>
  <c r="Y9" i="8"/>
  <c r="B148" i="3" s="1"/>
  <c r="Z3" i="8"/>
  <c r="C142" i="3" s="1"/>
  <c r="K67" i="8"/>
  <c r="C100" i="3" s="1"/>
  <c r="K61" i="8"/>
  <c r="C94" i="3" s="1"/>
  <c r="K57" i="8"/>
  <c r="C90" i="3" s="1"/>
  <c r="K53" i="8"/>
  <c r="C86" i="3" s="1"/>
  <c r="K49" i="8"/>
  <c r="C82" i="3" s="1"/>
  <c r="K44" i="8"/>
  <c r="C77" i="3" s="1"/>
  <c r="K36" i="8"/>
  <c r="C69" i="3" s="1"/>
  <c r="K30" i="8"/>
  <c r="C63" i="3" s="1"/>
  <c r="K22" i="8"/>
  <c r="C55" i="3" s="1"/>
  <c r="K13" i="8"/>
  <c r="C46" i="3" s="1"/>
  <c r="K9" i="8"/>
  <c r="C42" i="3" s="1"/>
  <c r="K5" i="8"/>
  <c r="C38" i="3" s="1"/>
  <c r="J100" i="8"/>
  <c r="B133" i="3" s="1"/>
  <c r="J95" i="8"/>
  <c r="B128" i="3" s="1"/>
  <c r="J92" i="8"/>
  <c r="B125" i="3" s="1"/>
  <c r="J87" i="8"/>
  <c r="B120" i="3" s="1"/>
  <c r="J82" i="8"/>
  <c r="B115" i="3" s="1"/>
  <c r="J74" i="8"/>
  <c r="B107" i="3" s="1"/>
  <c r="J69" i="8"/>
  <c r="B102" i="3" s="1"/>
  <c r="J64" i="8"/>
  <c r="B97" i="3" s="1"/>
  <c r="J56" i="8"/>
  <c r="B89" i="3" s="1"/>
  <c r="J52" i="8"/>
  <c r="B85" i="3" s="1"/>
  <c r="J47" i="8"/>
  <c r="B80" i="3" s="1"/>
  <c r="J44" i="8"/>
  <c r="B77" i="3" s="1"/>
  <c r="J39" i="8"/>
  <c r="B72" i="3" s="1"/>
  <c r="J33" i="8"/>
  <c r="B66" i="3" s="1"/>
  <c r="J29" i="8"/>
  <c r="B62" i="3" s="1"/>
  <c r="J25" i="8"/>
  <c r="B58" i="3" s="1"/>
  <c r="J21" i="8"/>
  <c r="B54" i="3" s="1"/>
  <c r="J15" i="8"/>
  <c r="B48" i="3" s="1"/>
  <c r="J4" i="8"/>
  <c r="B37" i="3" s="1"/>
  <c r="G90" i="8"/>
  <c r="AS90" i="3" s="1"/>
  <c r="G74" i="8"/>
  <c r="AS74" i="3" s="1"/>
  <c r="G58" i="8"/>
  <c r="AS58" i="3" s="1"/>
  <c r="G42" i="8"/>
  <c r="AS42" i="3" s="1"/>
  <c r="G26" i="8"/>
  <c r="AS26" i="3" s="1"/>
  <c r="G10" i="8"/>
  <c r="AS10" i="3" s="1"/>
  <c r="F95" i="8"/>
  <c r="AR95" i="3" s="1"/>
  <c r="F79" i="8"/>
  <c r="AR79" i="3" s="1"/>
  <c r="F63" i="8"/>
  <c r="AR63" i="3" s="1"/>
  <c r="F47" i="8"/>
  <c r="AR47" i="3" s="1"/>
  <c r="F31" i="8"/>
  <c r="AR31" i="3" s="1"/>
  <c r="F23" i="8"/>
  <c r="AR23" i="3" s="1"/>
  <c r="F20" i="8"/>
  <c r="AR20" i="3" s="1"/>
  <c r="F17" i="8"/>
  <c r="AR17" i="3" s="1"/>
  <c r="F10" i="8"/>
  <c r="AR10" i="3" s="1"/>
  <c r="F7" i="8"/>
  <c r="AR7" i="3" s="1"/>
  <c r="F4" i="8"/>
  <c r="AR4" i="3" s="1"/>
  <c r="N25" i="8"/>
  <c r="N26" i="8"/>
  <c r="T18" i="8"/>
  <c r="E69" i="3" s="1"/>
  <c r="N24" i="8"/>
  <c r="T28" i="8"/>
  <c r="E79" i="3" s="1"/>
  <c r="N11" i="8"/>
  <c r="T23" i="8"/>
  <c r="E74" i="3" s="1"/>
  <c r="T13" i="8"/>
  <c r="E64" i="3" s="1"/>
  <c r="Z102" i="8"/>
  <c r="C241" i="3" s="1"/>
  <c r="Z70" i="8"/>
  <c r="C209" i="3" s="1"/>
  <c r="Z38" i="8"/>
  <c r="C177" i="3" s="1"/>
  <c r="Y99" i="8"/>
  <c r="B238" i="3" s="1"/>
  <c r="Y79" i="8"/>
  <c r="B218" i="3" s="1"/>
  <c r="Y59" i="8"/>
  <c r="B198" i="3" s="1"/>
  <c r="Y35" i="8"/>
  <c r="B174" i="3" s="1"/>
  <c r="Y13" i="8"/>
  <c r="B152" i="3" s="1"/>
  <c r="Z11" i="8"/>
  <c r="C150" i="3" s="1"/>
  <c r="K68" i="8"/>
  <c r="C101" i="3" s="1"/>
  <c r="K62" i="8"/>
  <c r="C95" i="3" s="1"/>
  <c r="K54" i="8"/>
  <c r="C87" i="3" s="1"/>
  <c r="K45" i="8"/>
  <c r="C78" i="3" s="1"/>
  <c r="K41" i="8"/>
  <c r="C74" i="3" s="1"/>
  <c r="K37" i="8"/>
  <c r="C70" i="3" s="1"/>
  <c r="K32" i="8"/>
  <c r="C65" i="3" s="1"/>
  <c r="K27" i="8"/>
  <c r="C60" i="3" s="1"/>
  <c r="K24" i="8"/>
  <c r="C57" i="3" s="1"/>
  <c r="K19" i="8"/>
  <c r="C52" i="3" s="1"/>
  <c r="K14" i="8"/>
  <c r="C47" i="3" s="1"/>
  <c r="K6" i="8"/>
  <c r="C39" i="3" s="1"/>
  <c r="J101" i="8"/>
  <c r="B134" i="3" s="1"/>
  <c r="J96" i="8"/>
  <c r="B129" i="3" s="1"/>
  <c r="J88" i="8"/>
  <c r="B121" i="3" s="1"/>
  <c r="J84" i="8"/>
  <c r="B117" i="3" s="1"/>
  <c r="J79" i="8"/>
  <c r="B112" i="3" s="1"/>
  <c r="J76" i="8"/>
  <c r="B109" i="3" s="1"/>
  <c r="J71" i="8"/>
  <c r="B104" i="3" s="1"/>
  <c r="J65" i="8"/>
  <c r="B98" i="3" s="1"/>
  <c r="J61" i="8"/>
  <c r="B94" i="3" s="1"/>
  <c r="J57" i="8"/>
  <c r="B90" i="3" s="1"/>
  <c r="J53" i="8"/>
  <c r="B86" i="3" s="1"/>
  <c r="J48" i="8"/>
  <c r="B81" i="3" s="1"/>
  <c r="J40" i="8"/>
  <c r="B73" i="3" s="1"/>
  <c r="J34" i="8"/>
  <c r="B67" i="3" s="1"/>
  <c r="J26" i="8"/>
  <c r="B59" i="3" s="1"/>
  <c r="J17" i="8"/>
  <c r="B50" i="3" s="1"/>
  <c r="J10" i="8"/>
  <c r="B43" i="3" s="1"/>
  <c r="G98" i="8"/>
  <c r="AS98" i="3" s="1"/>
  <c r="G92" i="8"/>
  <c r="AS92" i="3" s="1"/>
  <c r="G82" i="8"/>
  <c r="AS82" i="3" s="1"/>
  <c r="G76" i="8"/>
  <c r="AS76" i="3" s="1"/>
  <c r="G66" i="8"/>
  <c r="AS66" i="3" s="1"/>
  <c r="G60" i="8"/>
  <c r="AS60" i="3" s="1"/>
  <c r="G50" i="8"/>
  <c r="AS50" i="3" s="1"/>
  <c r="G44" i="8"/>
  <c r="AS44" i="3" s="1"/>
  <c r="G34" i="8"/>
  <c r="AS34" i="3" s="1"/>
  <c r="G28" i="8"/>
  <c r="AS28" i="3" s="1"/>
  <c r="G18" i="8"/>
  <c r="AS18" i="3" s="1"/>
  <c r="G12" i="8"/>
  <c r="AS12" i="3" s="1"/>
  <c r="F103" i="8"/>
  <c r="AR103" i="3" s="1"/>
  <c r="F97" i="8"/>
  <c r="AR97" i="3" s="1"/>
  <c r="F87" i="8"/>
  <c r="AR87" i="3" s="1"/>
  <c r="F81" i="8"/>
  <c r="AR81" i="3" s="1"/>
  <c r="F71" i="8"/>
  <c r="AR71" i="3" s="1"/>
  <c r="F65" i="8"/>
  <c r="AR65" i="3" s="1"/>
  <c r="F55" i="8"/>
  <c r="AR55" i="3" s="1"/>
  <c r="F49" i="8"/>
  <c r="AR49" i="3" s="1"/>
  <c r="F39" i="8"/>
  <c r="AR39" i="3" s="1"/>
  <c r="F33" i="8"/>
  <c r="AR33" i="3" s="1"/>
  <c r="F24" i="8"/>
  <c r="AR24" i="3" s="1"/>
  <c r="F21" i="8"/>
  <c r="AR21" i="3" s="1"/>
  <c r="F14" i="8"/>
  <c r="AR14" i="3" s="1"/>
  <c r="F11" i="8"/>
  <c r="AR11" i="3" s="1"/>
  <c r="F8" i="8"/>
  <c r="AR8" i="3" s="1"/>
  <c r="F5" i="8"/>
  <c r="AR5" i="3" s="1"/>
  <c r="T19" i="8"/>
  <c r="E70" i="3" s="1"/>
  <c r="T5" i="8"/>
  <c r="E56" i="3" s="1"/>
  <c r="T14" i="8"/>
  <c r="E65" i="3" s="1"/>
  <c r="T10" i="8"/>
  <c r="E61" i="3" s="1"/>
  <c r="T21" i="8"/>
  <c r="E72" i="3" s="1"/>
  <c r="T29" i="8"/>
  <c r="E80" i="3" s="1"/>
  <c r="N23" i="8"/>
  <c r="N5" i="8"/>
  <c r="N6" i="8"/>
  <c r="O9" i="8"/>
  <c r="Z78" i="8"/>
  <c r="C217" i="3" s="1"/>
  <c r="Z46" i="8"/>
  <c r="C185" i="3" s="1"/>
  <c r="Z22" i="8"/>
  <c r="C161" i="3" s="1"/>
  <c r="Y83" i="8"/>
  <c r="B222" i="3" s="1"/>
  <c r="Y63" i="8"/>
  <c r="B202" i="3" s="1"/>
  <c r="Y43" i="8"/>
  <c r="B182" i="3" s="1"/>
  <c r="Y17" i="8"/>
  <c r="B156" i="3" s="1"/>
  <c r="Z15" i="8"/>
  <c r="C154" i="3" s="1"/>
  <c r="K69" i="8"/>
  <c r="C102" i="3" s="1"/>
  <c r="K64" i="8"/>
  <c r="C97" i="3" s="1"/>
  <c r="K59" i="8"/>
  <c r="C92" i="3" s="1"/>
  <c r="K56" i="8"/>
  <c r="C89" i="3" s="1"/>
  <c r="K51" i="8"/>
  <c r="C84" i="3" s="1"/>
  <c r="K46" i="8"/>
  <c r="C79" i="3" s="1"/>
  <c r="K38" i="8"/>
  <c r="C71" i="3" s="1"/>
  <c r="K33" i="8"/>
  <c r="C66" i="3" s="1"/>
  <c r="K28" i="8"/>
  <c r="C61" i="3" s="1"/>
  <c r="K20" i="8"/>
  <c r="C53" i="3" s="1"/>
  <c r="K16" i="8"/>
  <c r="C49" i="3" s="1"/>
  <c r="K11" i="8"/>
  <c r="C44" i="3" s="1"/>
  <c r="K8" i="8"/>
  <c r="C41" i="3" s="1"/>
  <c r="J103" i="8"/>
  <c r="B136" i="3" s="1"/>
  <c r="J97" i="8"/>
  <c r="B130" i="3" s="1"/>
  <c r="J93" i="8"/>
  <c r="B126" i="3" s="1"/>
  <c r="J89" i="8"/>
  <c r="B122" i="3" s="1"/>
  <c r="J85" i="8"/>
  <c r="B118" i="3" s="1"/>
  <c r="J80" i="8"/>
  <c r="B113" i="3" s="1"/>
  <c r="J72" i="8"/>
  <c r="B105" i="3" s="1"/>
  <c r="J66" i="8"/>
  <c r="B99" i="3" s="1"/>
  <c r="J58" i="8"/>
  <c r="B91" i="3" s="1"/>
  <c r="J49" i="8"/>
  <c r="B82" i="3" s="1"/>
  <c r="J45" i="8"/>
  <c r="B78" i="3" s="1"/>
  <c r="J41" i="8"/>
  <c r="B74" i="3" s="1"/>
  <c r="J36" i="8"/>
  <c r="B69" i="3" s="1"/>
  <c r="J31" i="8"/>
  <c r="B64" i="3" s="1"/>
  <c r="J28" i="8"/>
  <c r="B61" i="3" s="1"/>
  <c r="J23" i="8"/>
  <c r="B56" i="3" s="1"/>
  <c r="J18" i="8"/>
  <c r="B51" i="3" s="1"/>
  <c r="J13" i="8"/>
  <c r="B46" i="3" s="1"/>
  <c r="J6" i="8"/>
  <c r="B39" i="3" s="1"/>
  <c r="G100" i="8"/>
  <c r="AS100" i="3" s="1"/>
  <c r="G84" i="8"/>
  <c r="AS84" i="3" s="1"/>
  <c r="G68" i="8"/>
  <c r="AS68" i="3" s="1"/>
  <c r="G52" i="8"/>
  <c r="AS52" i="3" s="1"/>
  <c r="G36" i="8"/>
  <c r="AS36" i="3" s="1"/>
  <c r="G20" i="8"/>
  <c r="AS20" i="3" s="1"/>
  <c r="G4" i="8"/>
  <c r="AS4" i="3" s="1"/>
  <c r="F89" i="8"/>
  <c r="AR89" i="3" s="1"/>
  <c r="F73" i="8"/>
  <c r="AR73" i="3" s="1"/>
  <c r="F57" i="8"/>
  <c r="AR57" i="3" s="1"/>
  <c r="F41" i="8"/>
  <c r="AR41" i="3" s="1"/>
  <c r="F25" i="8"/>
  <c r="AR25" i="3" s="1"/>
  <c r="F18" i="8"/>
  <c r="AR18" i="3" s="1"/>
  <c r="F15" i="8"/>
  <c r="AR15" i="3" s="1"/>
  <c r="F12" i="8"/>
  <c r="AR12" i="3" s="1"/>
  <c r="F9" i="8"/>
  <c r="AR9" i="3" s="1"/>
  <c r="N22" i="8"/>
  <c r="T16" i="8"/>
  <c r="E67" i="3" s="1"/>
  <c r="T24" i="8"/>
  <c r="E75" i="3" s="1"/>
  <c r="N12" i="8"/>
  <c r="T12" i="8"/>
  <c r="E63" i="3" s="1"/>
  <c r="N16" i="8"/>
  <c r="T9" i="8"/>
  <c r="E60" i="3" s="1"/>
  <c r="N21" i="8"/>
  <c r="O17" i="8"/>
  <c r="Z86" i="8"/>
  <c r="C225" i="3" s="1"/>
  <c r="Z54" i="8"/>
  <c r="C193" i="3" s="1"/>
  <c r="Z26" i="8"/>
  <c r="C165" i="3" s="1"/>
  <c r="Y91" i="8"/>
  <c r="B230" i="3" s="1"/>
  <c r="Y67" i="8"/>
  <c r="B206" i="3" s="1"/>
  <c r="Y47" i="8"/>
  <c r="B186" i="3" s="1"/>
  <c r="Y27" i="8"/>
  <c r="B166" i="3" s="1"/>
  <c r="Y20" i="8"/>
  <c r="B159" i="3" s="1"/>
  <c r="K70" i="8"/>
  <c r="C103" i="3" s="1"/>
  <c r="K65" i="8"/>
  <c r="C98" i="3" s="1"/>
  <c r="K60" i="8"/>
  <c r="C93" i="3" s="1"/>
  <c r="K52" i="8"/>
  <c r="C85" i="3" s="1"/>
  <c r="K48" i="8"/>
  <c r="C81" i="3" s="1"/>
  <c r="K43" i="8"/>
  <c r="C76" i="3" s="1"/>
  <c r="K40" i="8"/>
  <c r="C73" i="3" s="1"/>
  <c r="K35" i="8"/>
  <c r="C68" i="3" s="1"/>
  <c r="K29" i="8"/>
  <c r="C62" i="3" s="1"/>
  <c r="K25" i="8"/>
  <c r="C58" i="3" s="1"/>
  <c r="K21" i="8"/>
  <c r="C54" i="3" s="1"/>
  <c r="K17" i="8"/>
  <c r="C50" i="3" s="1"/>
  <c r="K12" i="8"/>
  <c r="C45" i="3" s="1"/>
  <c r="K4" i="8"/>
  <c r="C37" i="3" s="1"/>
  <c r="J98" i="8"/>
  <c r="B131" i="3" s="1"/>
  <c r="J90" i="8"/>
  <c r="B123" i="3" s="1"/>
  <c r="J81" i="8"/>
  <c r="B114" i="3" s="1"/>
  <c r="J77" i="8"/>
  <c r="B110" i="3" s="1"/>
  <c r="J73" i="8"/>
  <c r="B106" i="3" s="1"/>
  <c r="J68" i="8"/>
  <c r="B101" i="3" s="1"/>
  <c r="J63" i="8"/>
  <c r="B96" i="3" s="1"/>
  <c r="J60" i="8"/>
  <c r="B93" i="3" s="1"/>
  <c r="J55" i="8"/>
  <c r="B88" i="3" s="1"/>
  <c r="J50" i="8"/>
  <c r="B83" i="3" s="1"/>
  <c r="J42" i="8"/>
  <c r="B75" i="3" s="1"/>
  <c r="J37" i="8"/>
  <c r="B70" i="3" s="1"/>
  <c r="J32" i="8"/>
  <c r="B65" i="3" s="1"/>
  <c r="J24" i="8"/>
  <c r="B57" i="3" s="1"/>
  <c r="J14" i="8"/>
  <c r="B47" i="3" s="1"/>
  <c r="J8" i="8"/>
  <c r="B41" i="3" s="1"/>
  <c r="J3" i="8"/>
  <c r="B36" i="3" s="1"/>
  <c r="G96" i="8"/>
  <c r="AS96" i="3" s="1"/>
  <c r="G88" i="8"/>
  <c r="AS88" i="3" s="1"/>
  <c r="G80" i="8"/>
  <c r="AS80" i="3" s="1"/>
  <c r="G72" i="8"/>
  <c r="AS72" i="3" s="1"/>
  <c r="G64" i="8"/>
  <c r="AS64" i="3" s="1"/>
  <c r="G56" i="8"/>
  <c r="AS56" i="3" s="1"/>
  <c r="G48" i="8"/>
  <c r="AS48" i="3" s="1"/>
  <c r="G40" i="8"/>
  <c r="AS40" i="3" s="1"/>
  <c r="G32" i="8"/>
  <c r="AS32" i="3" s="1"/>
  <c r="G24" i="8"/>
  <c r="AS24" i="3" s="1"/>
  <c r="G16" i="8"/>
  <c r="AS16" i="3" s="1"/>
  <c r="G8" i="8"/>
  <c r="AS8" i="3" s="1"/>
  <c r="F101" i="8"/>
  <c r="AR101" i="3" s="1"/>
  <c r="F93" i="8"/>
  <c r="AR93" i="3" s="1"/>
  <c r="F85" i="8"/>
  <c r="AR85" i="3" s="1"/>
  <c r="F77" i="8"/>
  <c r="AR77" i="3" s="1"/>
  <c r="F69" i="8"/>
  <c r="AR69" i="3" s="1"/>
  <c r="F61" i="8"/>
  <c r="AR61" i="3" s="1"/>
  <c r="F53" i="8"/>
  <c r="AR53" i="3" s="1"/>
  <c r="F45" i="8"/>
  <c r="AR45" i="3" s="1"/>
  <c r="F37" i="8"/>
  <c r="AR37" i="3" s="1"/>
  <c r="F29" i="8"/>
  <c r="AR29" i="3" s="1"/>
  <c r="F22" i="8"/>
  <c r="AR22" i="3" s="1"/>
  <c r="F19" i="8"/>
  <c r="AR19" i="3" s="1"/>
  <c r="F16" i="8"/>
  <c r="AR16" i="3" s="1"/>
  <c r="F13" i="8"/>
  <c r="AR13" i="3" s="1"/>
  <c r="F6" i="8"/>
  <c r="AR6" i="3" s="1"/>
  <c r="F3" i="8"/>
  <c r="AR3" i="3" s="1"/>
  <c r="T7" i="8"/>
  <c r="E58" i="3" s="1"/>
  <c r="N27" i="8"/>
  <c r="T11" i="8"/>
  <c r="E62" i="3" s="1"/>
  <c r="N10" i="8"/>
  <c r="T26" i="8"/>
  <c r="E77" i="3" s="1"/>
  <c r="N13" i="8"/>
  <c r="N28" i="8"/>
  <c r="N20" i="8"/>
  <c r="T27" i="8"/>
  <c r="E78" i="3" s="1"/>
  <c r="O21" i="8"/>
  <c r="O5" i="8"/>
  <c r="Z90" i="8"/>
  <c r="C229" i="3" s="1"/>
  <c r="Z74" i="8"/>
  <c r="C213" i="3" s="1"/>
  <c r="Z58" i="8"/>
  <c r="C197" i="3" s="1"/>
  <c r="Z42" i="8"/>
  <c r="C181" i="3" s="1"/>
  <c r="O25" i="8"/>
  <c r="O29" i="8"/>
  <c r="O13" i="8"/>
  <c r="Z98" i="8"/>
  <c r="C237" i="3" s="1"/>
  <c r="Z82" i="8"/>
  <c r="C221" i="3" s="1"/>
  <c r="Z66" i="8"/>
  <c r="C205" i="3" s="1"/>
  <c r="Z50" i="8"/>
  <c r="C189" i="3" s="1"/>
  <c r="Z34" i="8"/>
  <c r="C173" i="3" s="1"/>
  <c r="Y103" i="8"/>
  <c r="B242" i="3" s="1"/>
  <c r="Y87" i="8"/>
  <c r="B226" i="3" s="1"/>
  <c r="Y71" i="8"/>
  <c r="B210" i="3" s="1"/>
  <c r="Y55" i="8"/>
  <c r="B194" i="3" s="1"/>
  <c r="Y39" i="8"/>
  <c r="B178" i="3" s="1"/>
  <c r="Y23" i="8"/>
  <c r="B162" i="3" s="1"/>
  <c r="Y5" i="8"/>
  <c r="B144" i="3" s="1"/>
  <c r="Z7" i="8"/>
  <c r="C146" i="3" s="1"/>
  <c r="N3" i="8"/>
  <c r="K66" i="8"/>
  <c r="C99" i="3" s="1"/>
  <c r="K63" i="8"/>
  <c r="C96" i="3" s="1"/>
  <c r="K58" i="8"/>
  <c r="C91" i="3" s="1"/>
  <c r="K55" i="8"/>
  <c r="C88" i="3" s="1"/>
  <c r="K50" i="8"/>
  <c r="C83" i="3" s="1"/>
  <c r="K47" i="8"/>
  <c r="C80" i="3" s="1"/>
  <c r="K42" i="8"/>
  <c r="C75" i="3" s="1"/>
  <c r="K39" i="8"/>
  <c r="C72" i="3" s="1"/>
  <c r="K34" i="8"/>
  <c r="C67" i="3" s="1"/>
  <c r="K31" i="8"/>
  <c r="C64" i="3" s="1"/>
  <c r="K26" i="8"/>
  <c r="C59" i="3" s="1"/>
  <c r="K23" i="8"/>
  <c r="C56" i="3" s="1"/>
  <c r="K18" i="8"/>
  <c r="C51" i="3" s="1"/>
  <c r="K15" i="8"/>
  <c r="C48" i="3" s="1"/>
  <c r="K10" i="8"/>
  <c r="C43" i="3" s="1"/>
  <c r="K7" i="8"/>
  <c r="C40" i="3" s="1"/>
  <c r="J102" i="8"/>
  <c r="B135" i="3" s="1"/>
  <c r="J99" i="8"/>
  <c r="B132" i="3" s="1"/>
  <c r="J94" i="8"/>
  <c r="B127" i="3" s="1"/>
  <c r="J91" i="8"/>
  <c r="B124" i="3" s="1"/>
  <c r="J86" i="8"/>
  <c r="B119" i="3" s="1"/>
  <c r="J83" i="8"/>
  <c r="B116" i="3" s="1"/>
  <c r="J78" i="8"/>
  <c r="B111" i="3" s="1"/>
  <c r="J75" i="8"/>
  <c r="B108" i="3" s="1"/>
  <c r="J70" i="8"/>
  <c r="B103" i="3" s="1"/>
  <c r="J67" i="8"/>
  <c r="B100" i="3" s="1"/>
  <c r="J62" i="8"/>
  <c r="B95" i="3" s="1"/>
  <c r="J59" i="8"/>
  <c r="B92" i="3" s="1"/>
  <c r="J54" i="8"/>
  <c r="B87" i="3" s="1"/>
  <c r="J51" i="8"/>
  <c r="B84" i="3" s="1"/>
  <c r="J46" i="8"/>
  <c r="B79" i="3" s="1"/>
  <c r="J43" i="8"/>
  <c r="B76" i="3" s="1"/>
  <c r="J38" i="8"/>
  <c r="B71" i="3" s="1"/>
  <c r="J35" i="8"/>
  <c r="B68" i="3" s="1"/>
  <c r="J30" i="8"/>
  <c r="B63" i="3" s="1"/>
  <c r="J27" i="8"/>
  <c r="B60" i="3" s="1"/>
  <c r="J22" i="8"/>
  <c r="B55" i="3" s="1"/>
  <c r="J20" i="8"/>
  <c r="B53" i="3" s="1"/>
  <c r="J11" i="8"/>
  <c r="B44" i="3" s="1"/>
  <c r="J9" i="8"/>
  <c r="B42" i="3" s="1"/>
  <c r="J7" i="8"/>
  <c r="B40" i="3" s="1"/>
  <c r="G102" i="8"/>
  <c r="AS102" i="3" s="1"/>
  <c r="G94" i="8"/>
  <c r="AS94" i="3" s="1"/>
  <c r="G86" i="8"/>
  <c r="AS86" i="3" s="1"/>
  <c r="G78" i="8"/>
  <c r="AS78" i="3" s="1"/>
  <c r="G70" i="8"/>
  <c r="AS70" i="3" s="1"/>
  <c r="G62" i="8"/>
  <c r="AS62" i="3" s="1"/>
  <c r="G54" i="8"/>
  <c r="AS54" i="3" s="1"/>
  <c r="G46" i="8"/>
  <c r="AS46" i="3" s="1"/>
  <c r="G38" i="8"/>
  <c r="AS38" i="3" s="1"/>
  <c r="G30" i="8"/>
  <c r="AS30" i="3" s="1"/>
  <c r="G22" i="8"/>
  <c r="AS22" i="3" s="1"/>
  <c r="G14" i="8"/>
  <c r="AS14" i="3" s="1"/>
  <c r="G6" i="8"/>
  <c r="AS6" i="3" s="1"/>
  <c r="F99" i="8"/>
  <c r="AR99" i="3" s="1"/>
  <c r="F91" i="8"/>
  <c r="AR91" i="3" s="1"/>
  <c r="F83" i="8"/>
  <c r="AR83" i="3" s="1"/>
  <c r="F75" i="8"/>
  <c r="AR75" i="3" s="1"/>
  <c r="F67" i="8"/>
  <c r="AR67" i="3" s="1"/>
  <c r="F59" i="8"/>
  <c r="AR59" i="3" s="1"/>
  <c r="F51" i="8"/>
  <c r="AR51" i="3" s="1"/>
  <c r="F43" i="8"/>
  <c r="AR43" i="3" s="1"/>
  <c r="F35" i="8"/>
  <c r="AR35" i="3" s="1"/>
  <c r="F27" i="8"/>
  <c r="AR27" i="3" s="1"/>
  <c r="N17" i="8"/>
  <c r="T17" i="8"/>
  <c r="E68" i="3" s="1"/>
  <c r="T6" i="8"/>
  <c r="E57" i="3" s="1"/>
  <c r="N7" i="8"/>
  <c r="N18" i="8"/>
  <c r="N14" i="8"/>
  <c r="N9" i="8"/>
  <c r="T20" i="8"/>
  <c r="E71" i="3" s="1"/>
  <c r="T22" i="8"/>
  <c r="E73" i="3" s="1"/>
  <c r="N29" i="8"/>
  <c r="T25" i="8"/>
  <c r="E76" i="3" s="1"/>
  <c r="N19" i="8"/>
  <c r="D41" i="2"/>
  <c r="G41" i="2" s="1"/>
  <c r="O26" i="8"/>
  <c r="O22" i="8"/>
  <c r="O18" i="8"/>
  <c r="O14" i="8"/>
  <c r="O10" i="8"/>
  <c r="O6" i="8"/>
  <c r="Z103" i="8"/>
  <c r="C242" i="3" s="1"/>
  <c r="Z99" i="8"/>
  <c r="C238" i="3" s="1"/>
  <c r="Z95" i="8"/>
  <c r="C234" i="3" s="1"/>
  <c r="Z91" i="8"/>
  <c r="C230" i="3" s="1"/>
  <c r="Z87" i="8"/>
  <c r="C226" i="3" s="1"/>
  <c r="Z83" i="8"/>
  <c r="C222" i="3" s="1"/>
  <c r="Z79" i="8"/>
  <c r="C218" i="3" s="1"/>
  <c r="Z75" i="8"/>
  <c r="C214" i="3" s="1"/>
  <c r="Z71" i="8"/>
  <c r="C210" i="3" s="1"/>
  <c r="Z67" i="8"/>
  <c r="C206" i="3" s="1"/>
  <c r="Z63" i="8"/>
  <c r="C202" i="3" s="1"/>
  <c r="Z59" i="8"/>
  <c r="C198" i="3" s="1"/>
  <c r="Z55" i="8"/>
  <c r="C194" i="3" s="1"/>
  <c r="Z51" i="8"/>
  <c r="C190" i="3" s="1"/>
  <c r="Z47" i="8"/>
  <c r="C186" i="3" s="1"/>
  <c r="Z43" i="8"/>
  <c r="C182" i="3" s="1"/>
  <c r="Z39" i="8"/>
  <c r="C178" i="3" s="1"/>
  <c r="Z35" i="8"/>
  <c r="C174" i="3" s="1"/>
  <c r="Z31" i="8"/>
  <c r="C170" i="3" s="1"/>
  <c r="Z27" i="8"/>
  <c r="C166" i="3" s="1"/>
  <c r="Z23" i="8"/>
  <c r="C162" i="3" s="1"/>
  <c r="Z19" i="8"/>
  <c r="C158" i="3" s="1"/>
  <c r="Y100" i="8"/>
  <c r="B239" i="3" s="1"/>
  <c r="Y96" i="8"/>
  <c r="B235" i="3" s="1"/>
  <c r="Y92" i="8"/>
  <c r="B231" i="3" s="1"/>
  <c r="Y88" i="8"/>
  <c r="B227" i="3" s="1"/>
  <c r="Y84" i="8"/>
  <c r="B223" i="3" s="1"/>
  <c r="Y80" i="8"/>
  <c r="B219" i="3" s="1"/>
  <c r="Y76" i="8"/>
  <c r="B215" i="3" s="1"/>
  <c r="Y72" i="8"/>
  <c r="B211" i="3" s="1"/>
  <c r="Y68" i="8"/>
  <c r="B207" i="3" s="1"/>
  <c r="Y64" i="8"/>
  <c r="B203" i="3" s="1"/>
  <c r="Y60" i="8"/>
  <c r="B199" i="3" s="1"/>
  <c r="Y56" i="8"/>
  <c r="B195" i="3" s="1"/>
  <c r="Y52" i="8"/>
  <c r="B191" i="3" s="1"/>
  <c r="Y48" i="8"/>
  <c r="B187" i="3" s="1"/>
  <c r="Y44" i="8"/>
  <c r="B183" i="3" s="1"/>
  <c r="Y40" i="8"/>
  <c r="B179" i="3" s="1"/>
  <c r="Y36" i="8"/>
  <c r="B175" i="3" s="1"/>
  <c r="Y32" i="8"/>
  <c r="B171" i="3" s="1"/>
  <c r="Y28" i="8"/>
  <c r="B167" i="3" s="1"/>
  <c r="Y24" i="8"/>
  <c r="B163" i="3" s="1"/>
  <c r="Y18" i="8"/>
  <c r="B157" i="3" s="1"/>
  <c r="Y14" i="8"/>
  <c r="B153" i="3" s="1"/>
  <c r="Y10" i="8"/>
  <c r="B149" i="3" s="1"/>
  <c r="Y6" i="8"/>
  <c r="B145" i="3" s="1"/>
  <c r="Y22" i="8"/>
  <c r="B161" i="3" s="1"/>
  <c r="Z16" i="8"/>
  <c r="C155" i="3" s="1"/>
  <c r="Z12" i="8"/>
  <c r="C151" i="3" s="1"/>
  <c r="Z8" i="8"/>
  <c r="C147" i="3" s="1"/>
  <c r="Z4" i="8"/>
  <c r="C143" i="3" s="1"/>
  <c r="T15" i="8"/>
  <c r="E66" i="3" s="1"/>
  <c r="T4" i="8"/>
  <c r="E55" i="3" s="1"/>
  <c r="N4" i="8"/>
  <c r="K103" i="8"/>
  <c r="C136" i="3" s="1"/>
  <c r="K101" i="8"/>
  <c r="C134" i="3" s="1"/>
  <c r="K99" i="8"/>
  <c r="C132" i="3" s="1"/>
  <c r="K97" i="8"/>
  <c r="C130" i="3" s="1"/>
  <c r="K95" i="8"/>
  <c r="C128" i="3" s="1"/>
  <c r="K93" i="8"/>
  <c r="C126" i="3" s="1"/>
  <c r="K91" i="8"/>
  <c r="C124" i="3" s="1"/>
  <c r="K89" i="8"/>
  <c r="C122" i="3" s="1"/>
  <c r="K87" i="8"/>
  <c r="C120" i="3" s="1"/>
  <c r="K85" i="8"/>
  <c r="C118" i="3" s="1"/>
  <c r="K83" i="8"/>
  <c r="C116" i="3" s="1"/>
  <c r="K81" i="8"/>
  <c r="C114" i="3" s="1"/>
  <c r="K79" i="8"/>
  <c r="C112" i="3" s="1"/>
  <c r="K77" i="8"/>
  <c r="C110" i="3" s="1"/>
  <c r="K75" i="8"/>
  <c r="C108" i="3" s="1"/>
  <c r="K73" i="8"/>
  <c r="C106" i="3" s="1"/>
  <c r="K71" i="8"/>
  <c r="C104" i="3" s="1"/>
  <c r="O27" i="8"/>
  <c r="O23" i="8"/>
  <c r="O19" i="8"/>
  <c r="O15" i="8"/>
  <c r="O11" i="8"/>
  <c r="O7" i="8"/>
  <c r="O3" i="8"/>
  <c r="Z100" i="8"/>
  <c r="C239" i="3" s="1"/>
  <c r="Z96" i="8"/>
  <c r="C235" i="3" s="1"/>
  <c r="Z92" i="8"/>
  <c r="C231" i="3" s="1"/>
  <c r="Z88" i="8"/>
  <c r="C227" i="3" s="1"/>
  <c r="Z84" i="8"/>
  <c r="C223" i="3" s="1"/>
  <c r="Z80" i="8"/>
  <c r="C219" i="3" s="1"/>
  <c r="Z76" i="8"/>
  <c r="C215" i="3" s="1"/>
  <c r="Z72" i="8"/>
  <c r="C211" i="3" s="1"/>
  <c r="Z68" i="8"/>
  <c r="C207" i="3" s="1"/>
  <c r="Z64" i="8"/>
  <c r="C203" i="3" s="1"/>
  <c r="Z60" i="8"/>
  <c r="C199" i="3" s="1"/>
  <c r="Z56" i="8"/>
  <c r="C195" i="3" s="1"/>
  <c r="Z52" i="8"/>
  <c r="C191" i="3" s="1"/>
  <c r="Z48" i="8"/>
  <c r="C187" i="3" s="1"/>
  <c r="Z44" i="8"/>
  <c r="C183" i="3" s="1"/>
  <c r="Z40" i="8"/>
  <c r="C179" i="3" s="1"/>
  <c r="Z36" i="8"/>
  <c r="C175" i="3" s="1"/>
  <c r="Z32" i="8"/>
  <c r="C171" i="3" s="1"/>
  <c r="Z28" i="8"/>
  <c r="C167" i="3" s="1"/>
  <c r="Z24" i="8"/>
  <c r="C163" i="3" s="1"/>
  <c r="Z20" i="8"/>
  <c r="C159" i="3" s="1"/>
  <c r="Y101" i="8"/>
  <c r="B240" i="3" s="1"/>
  <c r="Y97" i="8"/>
  <c r="B236" i="3" s="1"/>
  <c r="Y93" i="8"/>
  <c r="B232" i="3" s="1"/>
  <c r="Y89" i="8"/>
  <c r="B228" i="3" s="1"/>
  <c r="Y85" i="8"/>
  <c r="B224" i="3" s="1"/>
  <c r="Y81" i="8"/>
  <c r="B220" i="3" s="1"/>
  <c r="Y77" i="8"/>
  <c r="B216" i="3" s="1"/>
  <c r="Y73" i="8"/>
  <c r="B212" i="3" s="1"/>
  <c r="Y69" i="8"/>
  <c r="B208" i="3" s="1"/>
  <c r="Y65" i="8"/>
  <c r="B204" i="3" s="1"/>
  <c r="Y61" i="8"/>
  <c r="B200" i="3" s="1"/>
  <c r="Y57" i="8"/>
  <c r="B196" i="3" s="1"/>
  <c r="Y53" i="8"/>
  <c r="B192" i="3" s="1"/>
  <c r="Y49" i="8"/>
  <c r="B188" i="3" s="1"/>
  <c r="Y45" i="8"/>
  <c r="B184" i="3" s="1"/>
  <c r="Y41" i="8"/>
  <c r="B180" i="3" s="1"/>
  <c r="Y37" i="8"/>
  <c r="B176" i="3" s="1"/>
  <c r="Y33" i="8"/>
  <c r="B172" i="3" s="1"/>
  <c r="Y29" i="8"/>
  <c r="B168" i="3" s="1"/>
  <c r="Y25" i="8"/>
  <c r="B164" i="3" s="1"/>
  <c r="Y19" i="8"/>
  <c r="B158" i="3" s="1"/>
  <c r="Y15" i="8"/>
  <c r="B154" i="3" s="1"/>
  <c r="Y11" i="8"/>
  <c r="B150" i="3" s="1"/>
  <c r="Y7" i="8"/>
  <c r="B146" i="3" s="1"/>
  <c r="Y3" i="8"/>
  <c r="B142" i="3" s="1"/>
  <c r="Z17" i="8"/>
  <c r="C156" i="3" s="1"/>
  <c r="Z13" i="8"/>
  <c r="C152" i="3" s="1"/>
  <c r="Z9" i="8"/>
  <c r="C148" i="3" s="1"/>
  <c r="Z5" i="8"/>
  <c r="C144" i="3" s="1"/>
  <c r="N8" i="8"/>
  <c r="J19" i="8"/>
  <c r="B52" i="3" s="1"/>
  <c r="J16" i="8"/>
  <c r="B49" i="3" s="1"/>
  <c r="J12" i="8"/>
  <c r="B45" i="3" s="1"/>
  <c r="J5" i="8"/>
  <c r="B38" i="3" s="1"/>
  <c r="G103" i="8"/>
  <c r="AS103" i="3" s="1"/>
  <c r="G101" i="8"/>
  <c r="AS101" i="3" s="1"/>
  <c r="G99" i="8"/>
  <c r="AS99" i="3" s="1"/>
  <c r="G97" i="8"/>
  <c r="AS97" i="3" s="1"/>
  <c r="G95" i="8"/>
  <c r="AS95" i="3" s="1"/>
  <c r="G93" i="8"/>
  <c r="AS93" i="3" s="1"/>
  <c r="G91" i="8"/>
  <c r="AS91" i="3" s="1"/>
  <c r="G89" i="8"/>
  <c r="AS89" i="3" s="1"/>
  <c r="G87" i="8"/>
  <c r="AS87" i="3" s="1"/>
  <c r="G85" i="8"/>
  <c r="AS85" i="3" s="1"/>
  <c r="G83" i="8"/>
  <c r="AS83" i="3" s="1"/>
  <c r="G81" i="8"/>
  <c r="AS81" i="3" s="1"/>
  <c r="G79" i="8"/>
  <c r="AS79" i="3" s="1"/>
  <c r="G77" i="8"/>
  <c r="AS77" i="3" s="1"/>
  <c r="G75" i="8"/>
  <c r="AS75" i="3" s="1"/>
  <c r="G73" i="8"/>
  <c r="AS73" i="3" s="1"/>
  <c r="G71" i="8"/>
  <c r="AS71" i="3" s="1"/>
  <c r="G69" i="8"/>
  <c r="AS69" i="3" s="1"/>
  <c r="G67" i="8"/>
  <c r="AS67" i="3" s="1"/>
  <c r="G65" i="8"/>
  <c r="AS65" i="3" s="1"/>
  <c r="G63" i="8"/>
  <c r="AS63" i="3" s="1"/>
  <c r="G61" i="8"/>
  <c r="AS61" i="3" s="1"/>
  <c r="G59" i="8"/>
  <c r="AS59" i="3" s="1"/>
  <c r="G57" i="8"/>
  <c r="AS57" i="3" s="1"/>
  <c r="G55" i="8"/>
  <c r="AS55" i="3" s="1"/>
  <c r="G53" i="8"/>
  <c r="AS53" i="3" s="1"/>
  <c r="G51" i="8"/>
  <c r="AS51" i="3" s="1"/>
  <c r="G49" i="8"/>
  <c r="AS49" i="3" s="1"/>
  <c r="G47" i="8"/>
  <c r="AS47" i="3" s="1"/>
  <c r="G45" i="8"/>
  <c r="AS45" i="3" s="1"/>
  <c r="G43" i="8"/>
  <c r="AS43" i="3" s="1"/>
  <c r="G41" i="8"/>
  <c r="AS41" i="3" s="1"/>
  <c r="G39" i="8"/>
  <c r="AS39" i="3" s="1"/>
  <c r="G37" i="8"/>
  <c r="AS37" i="3" s="1"/>
  <c r="G35" i="8"/>
  <c r="AS35" i="3" s="1"/>
  <c r="G33" i="8"/>
  <c r="AS33" i="3" s="1"/>
  <c r="G31" i="8"/>
  <c r="AS31" i="3" s="1"/>
  <c r="G29" i="8"/>
  <c r="AS29" i="3" s="1"/>
  <c r="G27" i="8"/>
  <c r="AS27" i="3" s="1"/>
  <c r="G25" i="8"/>
  <c r="AS25" i="3" s="1"/>
  <c r="G23" i="8"/>
  <c r="AS23" i="3" s="1"/>
  <c r="G21" i="8"/>
  <c r="AS21" i="3" s="1"/>
  <c r="G19" i="8"/>
  <c r="AS19" i="3" s="1"/>
  <c r="G17" i="8"/>
  <c r="AS17" i="3" s="1"/>
  <c r="G15" i="8"/>
  <c r="AS15" i="3" s="1"/>
  <c r="G13" i="8"/>
  <c r="AS13" i="3" s="1"/>
  <c r="G11" i="8"/>
  <c r="AS11" i="3" s="1"/>
  <c r="G9" i="8"/>
  <c r="AS9" i="3" s="1"/>
  <c r="G7" i="8"/>
  <c r="AS7" i="3" s="1"/>
  <c r="G5" i="8"/>
  <c r="AS5" i="3" s="1"/>
  <c r="G3" i="8"/>
  <c r="AS3" i="3" s="1"/>
  <c r="F102" i="8"/>
  <c r="AR102" i="3" s="1"/>
  <c r="F100" i="8"/>
  <c r="AR100" i="3" s="1"/>
  <c r="F98" i="8"/>
  <c r="AR98" i="3" s="1"/>
  <c r="F96" i="8"/>
  <c r="AR96" i="3" s="1"/>
  <c r="F94" i="8"/>
  <c r="AR94" i="3" s="1"/>
  <c r="F92" i="8"/>
  <c r="AR92" i="3" s="1"/>
  <c r="F90" i="8"/>
  <c r="AR90" i="3" s="1"/>
  <c r="F88" i="8"/>
  <c r="AR88" i="3" s="1"/>
  <c r="F86" i="8"/>
  <c r="AR86" i="3" s="1"/>
  <c r="F84" i="8"/>
  <c r="AR84" i="3" s="1"/>
  <c r="F82" i="8"/>
  <c r="AR82" i="3" s="1"/>
  <c r="F80" i="8"/>
  <c r="AR80" i="3" s="1"/>
  <c r="F78" i="8"/>
  <c r="AR78" i="3" s="1"/>
  <c r="F76" i="8"/>
  <c r="AR76" i="3" s="1"/>
  <c r="F74" i="8"/>
  <c r="AR74" i="3" s="1"/>
  <c r="F72" i="8"/>
  <c r="AR72" i="3" s="1"/>
  <c r="F70" i="8"/>
  <c r="AR70" i="3" s="1"/>
  <c r="F68" i="8"/>
  <c r="AR68" i="3" s="1"/>
  <c r="F66" i="8"/>
  <c r="AR66" i="3" s="1"/>
  <c r="F64" i="8"/>
  <c r="AR64" i="3" s="1"/>
  <c r="F62" i="8"/>
  <c r="AR62" i="3" s="1"/>
  <c r="F60" i="8"/>
  <c r="AR60" i="3" s="1"/>
  <c r="F58" i="8"/>
  <c r="AR58" i="3" s="1"/>
  <c r="F56" i="8"/>
  <c r="AR56" i="3" s="1"/>
  <c r="F54" i="8"/>
  <c r="AR54" i="3" s="1"/>
  <c r="F52" i="8"/>
  <c r="AR52" i="3" s="1"/>
  <c r="F50" i="8"/>
  <c r="AR50" i="3" s="1"/>
  <c r="F48" i="8"/>
  <c r="AR48" i="3" s="1"/>
  <c r="F46" i="8"/>
  <c r="AR46" i="3" s="1"/>
  <c r="F44" i="8"/>
  <c r="AR44" i="3" s="1"/>
  <c r="F42" i="8"/>
  <c r="AR42" i="3" s="1"/>
  <c r="F40" i="8"/>
  <c r="AR40" i="3" s="1"/>
  <c r="F38" i="8"/>
  <c r="AR38" i="3" s="1"/>
  <c r="F36" i="8"/>
  <c r="AR36" i="3" s="1"/>
  <c r="F34" i="8"/>
  <c r="AR34" i="3" s="1"/>
  <c r="F32" i="8"/>
  <c r="AR32" i="3" s="1"/>
  <c r="F30" i="8"/>
  <c r="AR30" i="3" s="1"/>
  <c r="F28" i="8"/>
  <c r="AR28" i="3" s="1"/>
  <c r="F26" i="8"/>
  <c r="AR26" i="3" s="1"/>
  <c r="O28" i="8"/>
  <c r="O24" i="8"/>
  <c r="O20" i="8"/>
  <c r="O16" i="8"/>
  <c r="O12" i="8"/>
  <c r="O8" i="8"/>
  <c r="O4" i="8"/>
  <c r="Z101" i="8"/>
  <c r="C240" i="3" s="1"/>
  <c r="Z97" i="8"/>
  <c r="C236" i="3" s="1"/>
  <c r="Z93" i="8"/>
  <c r="C232" i="3" s="1"/>
  <c r="Z89" i="8"/>
  <c r="C228" i="3" s="1"/>
  <c r="Z85" i="8"/>
  <c r="C224" i="3" s="1"/>
  <c r="Z81" i="8"/>
  <c r="C220" i="3" s="1"/>
  <c r="Z77" i="8"/>
  <c r="C216" i="3" s="1"/>
  <c r="Z73" i="8"/>
  <c r="C212" i="3" s="1"/>
  <c r="Z69" i="8"/>
  <c r="C208" i="3" s="1"/>
  <c r="Z65" i="8"/>
  <c r="C204" i="3" s="1"/>
  <c r="Z61" i="8"/>
  <c r="C200" i="3" s="1"/>
  <c r="Z57" i="8"/>
  <c r="C196" i="3" s="1"/>
  <c r="Z53" i="8"/>
  <c r="C192" i="3" s="1"/>
  <c r="Z49" i="8"/>
  <c r="C188" i="3" s="1"/>
  <c r="Z45" i="8"/>
  <c r="C184" i="3" s="1"/>
  <c r="Z41" i="8"/>
  <c r="C180" i="3" s="1"/>
  <c r="Z37" i="8"/>
  <c r="C176" i="3" s="1"/>
  <c r="Z33" i="8"/>
  <c r="C172" i="3" s="1"/>
  <c r="Z29" i="8"/>
  <c r="C168" i="3" s="1"/>
  <c r="Z25" i="8"/>
  <c r="C164" i="3" s="1"/>
  <c r="Z21" i="8"/>
  <c r="C160" i="3" s="1"/>
  <c r="Y102" i="8"/>
  <c r="B241" i="3" s="1"/>
  <c r="D241" i="3" s="1"/>
  <c r="Y98" i="8"/>
  <c r="B237" i="3" s="1"/>
  <c r="Y94" i="8"/>
  <c r="B233" i="3" s="1"/>
  <c r="Y90" i="8"/>
  <c r="B229" i="3" s="1"/>
  <c r="Y86" i="8"/>
  <c r="B225" i="3" s="1"/>
  <c r="Y82" i="8"/>
  <c r="B221" i="3" s="1"/>
  <c r="D221" i="3" s="1"/>
  <c r="Y78" i="8"/>
  <c r="B217" i="3" s="1"/>
  <c r="Y74" i="8"/>
  <c r="B213" i="3" s="1"/>
  <c r="Y70" i="8"/>
  <c r="B209" i="3" s="1"/>
  <c r="Y66" i="8"/>
  <c r="B205" i="3" s="1"/>
  <c r="Y62" i="8"/>
  <c r="B201" i="3" s="1"/>
  <c r="D201" i="3" s="1"/>
  <c r="Y58" i="8"/>
  <c r="B197" i="3" s="1"/>
  <c r="Y54" i="8"/>
  <c r="B193" i="3" s="1"/>
  <c r="Y50" i="8"/>
  <c r="B189" i="3" s="1"/>
  <c r="Y46" i="8"/>
  <c r="B185" i="3" s="1"/>
  <c r="Y42" i="8"/>
  <c r="B181" i="3" s="1"/>
  <c r="Y38" i="8"/>
  <c r="B177" i="3" s="1"/>
  <c r="Y34" i="8"/>
  <c r="B173" i="3" s="1"/>
  <c r="Y30" i="8"/>
  <c r="B169" i="3" s="1"/>
  <c r="Y26" i="8"/>
  <c r="B165" i="3" s="1"/>
  <c r="Y21" i="8"/>
  <c r="B160" i="3" s="1"/>
  <c r="Y16" i="8"/>
  <c r="B155" i="3" s="1"/>
  <c r="Y12" i="8"/>
  <c r="B151" i="3" s="1"/>
  <c r="Y8" i="8"/>
  <c r="B147" i="3" s="1"/>
  <c r="Y4" i="8"/>
  <c r="B143" i="3" s="1"/>
  <c r="Z18" i="8"/>
  <c r="C157" i="3" s="1"/>
  <c r="Z14" i="8"/>
  <c r="C153" i="3" s="1"/>
  <c r="Z10" i="8"/>
  <c r="C149" i="3" s="1"/>
  <c r="Z6" i="8"/>
  <c r="C145" i="3" s="1"/>
  <c r="T3" i="8"/>
  <c r="E54" i="3" s="1"/>
  <c r="T8" i="8"/>
  <c r="E59" i="3" s="1"/>
  <c r="N15" i="8"/>
  <c r="K3" i="8"/>
  <c r="C36" i="3" s="1"/>
  <c r="K102" i="8"/>
  <c r="C135" i="3" s="1"/>
  <c r="K100" i="8"/>
  <c r="C133" i="3" s="1"/>
  <c r="K98" i="8"/>
  <c r="C131" i="3" s="1"/>
  <c r="K96" i="8"/>
  <c r="C129" i="3" s="1"/>
  <c r="K94" i="8"/>
  <c r="C127" i="3" s="1"/>
  <c r="K92" i="8"/>
  <c r="C125" i="3" s="1"/>
  <c r="K90" i="8"/>
  <c r="C123" i="3" s="1"/>
  <c r="K88" i="8"/>
  <c r="C121" i="3" s="1"/>
  <c r="K86" i="8"/>
  <c r="C119" i="3" s="1"/>
  <c r="K84" i="8"/>
  <c r="C117" i="3" s="1"/>
  <c r="K82" i="8"/>
  <c r="C115" i="3" s="1"/>
  <c r="K80" i="8"/>
  <c r="C113" i="3" s="1"/>
  <c r="K78" i="8"/>
  <c r="C111" i="3" s="1"/>
  <c r="K76" i="8"/>
  <c r="C109" i="3" s="1"/>
  <c r="K74" i="8"/>
  <c r="C107" i="3" s="1"/>
  <c r="K72" i="8"/>
  <c r="C105" i="3" s="1"/>
  <c r="D150" i="3" l="1"/>
  <c r="D154" i="3"/>
  <c r="D197" i="3"/>
  <c r="D189" i="3"/>
  <c r="D158" i="3"/>
  <c r="D177" i="3"/>
  <c r="D193" i="3"/>
  <c r="D229" i="3"/>
  <c r="D165" i="3"/>
  <c r="D217" i="3"/>
  <c r="D108" i="3"/>
  <c r="D116" i="3"/>
  <c r="D132" i="3"/>
  <c r="D76" i="3"/>
  <c r="D92" i="3"/>
  <c r="D52" i="3"/>
  <c r="D60" i="3"/>
  <c r="D100" i="3"/>
  <c r="D53" i="3"/>
  <c r="D55" i="3"/>
  <c r="D40" i="3"/>
  <c r="D44" i="3"/>
  <c r="D63" i="3"/>
  <c r="D71" i="3"/>
  <c r="D79" i="3"/>
  <c r="D95" i="3"/>
  <c r="D103" i="3"/>
  <c r="D119" i="3"/>
  <c r="D127" i="3"/>
  <c r="D41" i="3"/>
  <c r="D93" i="3"/>
  <c r="D110" i="3"/>
  <c r="D123" i="3"/>
  <c r="D82" i="3"/>
  <c r="D99" i="3"/>
  <c r="D113" i="3"/>
  <c r="D122" i="3"/>
  <c r="D67" i="3"/>
  <c r="D81" i="3"/>
  <c r="D98" i="3"/>
  <c r="D109" i="3"/>
  <c r="D117" i="3"/>
  <c r="D129" i="3"/>
  <c r="D37" i="3"/>
  <c r="D62" i="3"/>
  <c r="D102" i="3"/>
  <c r="D115" i="3"/>
  <c r="D49" i="3"/>
  <c r="D65" i="3"/>
  <c r="D75" i="3"/>
  <c r="D88" i="3"/>
  <c r="D114" i="3"/>
  <c r="D131" i="3"/>
  <c r="D51" i="3"/>
  <c r="D105" i="3"/>
  <c r="D118" i="3"/>
  <c r="D136" i="3"/>
  <c r="D43" i="3"/>
  <c r="D86" i="3"/>
  <c r="D94" i="3"/>
  <c r="D104" i="3"/>
  <c r="D112" i="3"/>
  <c r="D121" i="3"/>
  <c r="D48" i="3"/>
  <c r="D58" i="3"/>
  <c r="D66" i="3"/>
  <c r="D77" i="3"/>
  <c r="D85" i="3"/>
  <c r="D107" i="3"/>
  <c r="D120" i="3"/>
  <c r="D128" i="3"/>
  <c r="D169" i="3"/>
  <c r="D185" i="3"/>
  <c r="D209" i="3"/>
  <c r="D233" i="3"/>
  <c r="D143" i="3"/>
  <c r="D151" i="3"/>
  <c r="D225" i="3"/>
  <c r="D147" i="3"/>
  <c r="D155" i="3"/>
  <c r="D173" i="3"/>
  <c r="D181" i="3"/>
  <c r="D205" i="3"/>
  <c r="D213" i="3"/>
  <c r="D237" i="3"/>
  <c r="D146" i="3"/>
  <c r="D161" i="3"/>
  <c r="D160" i="3"/>
  <c r="D168" i="3"/>
  <c r="D176" i="3"/>
  <c r="D184" i="3"/>
  <c r="D192" i="3"/>
  <c r="D200" i="3"/>
  <c r="D208" i="3"/>
  <c r="D216" i="3"/>
  <c r="D224" i="3"/>
  <c r="D232" i="3"/>
  <c r="D240" i="3"/>
  <c r="D145" i="3"/>
  <c r="D153" i="3"/>
  <c r="D163" i="3"/>
  <c r="D171" i="3"/>
  <c r="D179" i="3"/>
  <c r="D187" i="3"/>
  <c r="D195" i="3"/>
  <c r="D203" i="3"/>
  <c r="D211" i="3"/>
  <c r="D219" i="3"/>
  <c r="D227" i="3"/>
  <c r="D235" i="3"/>
  <c r="D162" i="3"/>
  <c r="D194" i="3"/>
  <c r="D226" i="3"/>
  <c r="D159" i="3"/>
  <c r="D186" i="3"/>
  <c r="D230" i="3"/>
  <c r="D156" i="3"/>
  <c r="D202" i="3"/>
  <c r="D174" i="3"/>
  <c r="D218" i="3"/>
  <c r="D148" i="3"/>
  <c r="D190" i="3"/>
  <c r="D234" i="3"/>
  <c r="D164" i="3"/>
  <c r="D172" i="3"/>
  <c r="D180" i="3"/>
  <c r="D188" i="3"/>
  <c r="D196" i="3"/>
  <c r="D204" i="3"/>
  <c r="D212" i="3"/>
  <c r="D220" i="3"/>
  <c r="D228" i="3"/>
  <c r="D236" i="3"/>
  <c r="D149" i="3"/>
  <c r="D157" i="3"/>
  <c r="D167" i="3"/>
  <c r="D175" i="3"/>
  <c r="D183" i="3"/>
  <c r="D191" i="3"/>
  <c r="D199" i="3"/>
  <c r="D207" i="3"/>
  <c r="D215" i="3"/>
  <c r="D223" i="3"/>
  <c r="D231" i="3"/>
  <c r="D239" i="3"/>
  <c r="D144" i="3"/>
  <c r="D178" i="3"/>
  <c r="D210" i="3"/>
  <c r="D242" i="3"/>
  <c r="D166" i="3"/>
  <c r="D206" i="3"/>
  <c r="D182" i="3"/>
  <c r="D222" i="3"/>
  <c r="D152" i="3"/>
  <c r="D198" i="3"/>
  <c r="D238" i="3"/>
  <c r="C243" i="3"/>
  <c r="D170" i="3"/>
  <c r="D214" i="3"/>
  <c r="B243" i="3"/>
  <c r="D142" i="3"/>
  <c r="AT16" i="3"/>
  <c r="AT18" i="3"/>
  <c r="AT30" i="3"/>
  <c r="AT34" i="3"/>
  <c r="AT42" i="3"/>
  <c r="AT46" i="3"/>
  <c r="AT50" i="3"/>
  <c r="AT62" i="3"/>
  <c r="AT66" i="3"/>
  <c r="AT74" i="3"/>
  <c r="AT78" i="3"/>
  <c r="AT82" i="3"/>
  <c r="AT94" i="3"/>
  <c r="AT98" i="3"/>
  <c r="A2" i="5"/>
  <c r="AT28" i="3"/>
  <c r="AT40" i="3"/>
  <c r="AT44" i="3"/>
  <c r="AT52" i="3"/>
  <c r="AT56" i="3"/>
  <c r="AT60" i="3"/>
  <c r="AT72" i="3"/>
  <c r="AT76" i="3"/>
  <c r="AT84" i="3"/>
  <c r="AT88" i="3"/>
  <c r="AT92" i="3"/>
  <c r="AT36" i="3"/>
  <c r="AT68" i="3"/>
  <c r="AT100" i="3"/>
  <c r="AT26" i="3"/>
  <c r="AT38" i="3"/>
  <c r="AT54" i="3"/>
  <c r="AT58" i="3"/>
  <c r="AT70" i="3"/>
  <c r="AT86" i="3"/>
  <c r="AT90" i="3"/>
  <c r="AT102" i="3"/>
  <c r="AT32" i="3"/>
  <c r="AT48" i="3"/>
  <c r="AT64" i="3"/>
  <c r="AT80" i="3"/>
  <c r="AT96" i="3"/>
  <c r="AT12" i="3"/>
  <c r="AT10" i="3"/>
  <c r="AT35" i="3"/>
  <c r="AT51" i="3"/>
  <c r="AT67" i="3"/>
  <c r="AT83" i="3"/>
  <c r="AT99" i="3"/>
  <c r="AT6" i="3"/>
  <c r="AT22" i="3"/>
  <c r="AT37" i="3"/>
  <c r="AT53" i="3"/>
  <c r="AT69" i="3"/>
  <c r="AT85" i="3"/>
  <c r="AT101" i="3"/>
  <c r="AT41" i="3"/>
  <c r="AT73" i="3"/>
  <c r="AT8" i="3"/>
  <c r="AT14" i="3"/>
  <c r="AT24" i="3"/>
  <c r="AT39" i="3"/>
  <c r="AT55" i="3"/>
  <c r="AT71" i="3"/>
  <c r="AT87" i="3"/>
  <c r="AT103" i="3"/>
  <c r="AT7" i="3"/>
  <c r="AT17" i="3"/>
  <c r="AT23" i="3"/>
  <c r="AT47" i="3"/>
  <c r="AT79" i="3"/>
  <c r="AT27" i="3"/>
  <c r="AT43" i="3"/>
  <c r="AT59" i="3"/>
  <c r="AT75" i="3"/>
  <c r="AT91" i="3"/>
  <c r="AT13" i="3"/>
  <c r="AT19" i="3"/>
  <c r="AT29" i="3"/>
  <c r="AT45" i="3"/>
  <c r="AT61" i="3"/>
  <c r="AT77" i="3"/>
  <c r="AT93" i="3"/>
  <c r="AT9" i="3"/>
  <c r="AT15" i="3"/>
  <c r="AT25" i="3"/>
  <c r="AT57" i="3"/>
  <c r="AT89" i="3"/>
  <c r="AT5" i="3"/>
  <c r="AT11" i="3"/>
  <c r="AT21" i="3"/>
  <c r="AT33" i="3"/>
  <c r="AT49" i="3"/>
  <c r="AT65" i="3"/>
  <c r="AT81" i="3"/>
  <c r="AT97" i="3"/>
  <c r="AT4" i="3"/>
  <c r="AT20" i="3"/>
  <c r="AT31" i="3"/>
  <c r="AT63" i="3"/>
  <c r="AT95" i="3"/>
  <c r="P15" i="8"/>
  <c r="P10" i="8"/>
  <c r="P16" i="8"/>
  <c r="P26" i="8"/>
  <c r="P29" i="8"/>
  <c r="P11" i="8"/>
  <c r="P27" i="8"/>
  <c r="P13" i="8"/>
  <c r="P5" i="8"/>
  <c r="P20" i="8"/>
  <c r="P12" i="8"/>
  <c r="P24" i="8"/>
  <c r="P28" i="8"/>
  <c r="P6" i="8"/>
  <c r="P9" i="8"/>
  <c r="P21" i="8"/>
  <c r="P23" i="8"/>
  <c r="P22" i="8"/>
  <c r="AB67" i="8"/>
  <c r="P25" i="8"/>
  <c r="P17" i="8"/>
  <c r="O30" i="8"/>
  <c r="P4" i="8"/>
  <c r="P14" i="8"/>
  <c r="Z104" i="8"/>
  <c r="AB62" i="8"/>
  <c r="K104" i="8"/>
  <c r="G104" i="8"/>
  <c r="AA62" i="8"/>
  <c r="AA67" i="8"/>
  <c r="Y104" i="8"/>
  <c r="P3" i="8"/>
  <c r="F54" i="3" s="1"/>
  <c r="N30" i="8"/>
  <c r="F104" i="8"/>
  <c r="P19" i="8"/>
  <c r="P7" i="8"/>
  <c r="T30" i="8"/>
  <c r="J104" i="8"/>
  <c r="P8" i="8"/>
  <c r="P18" i="8"/>
  <c r="D64" i="3" l="1"/>
  <c r="D54" i="3"/>
  <c r="D87" i="3"/>
  <c r="D135" i="3"/>
  <c r="D45" i="3"/>
  <c r="D68" i="3"/>
  <c r="D42" i="3"/>
  <c r="D84" i="3"/>
  <c r="D96" i="3"/>
  <c r="D111" i="3"/>
  <c r="D124" i="3"/>
  <c r="D125" i="3"/>
  <c r="D133" i="3"/>
  <c r="D46" i="3"/>
  <c r="D83" i="3"/>
  <c r="D59" i="3"/>
  <c r="D74" i="3"/>
  <c r="D91" i="3"/>
  <c r="D69" i="3"/>
  <c r="D106" i="3"/>
  <c r="D47" i="3"/>
  <c r="D89" i="3"/>
  <c r="D72" i="3"/>
  <c r="D90" i="3"/>
  <c r="D130" i="3"/>
  <c r="D56" i="3"/>
  <c r="D70" i="3"/>
  <c r="D101" i="3"/>
  <c r="D57" i="3"/>
  <c r="D80" i="3"/>
  <c r="D61" i="3"/>
  <c r="D50" i="3"/>
  <c r="D97" i="3"/>
  <c r="D134" i="3"/>
  <c r="D73" i="3"/>
  <c r="D126" i="3"/>
  <c r="D78" i="3"/>
  <c r="D39" i="3"/>
  <c r="D243" i="3"/>
  <c r="AA104" i="8"/>
  <c r="F69" i="3"/>
  <c r="G69" i="3" s="1"/>
  <c r="F70" i="3"/>
  <c r="G70" i="3" s="1"/>
  <c r="F65" i="3"/>
  <c r="G65" i="3" s="1"/>
  <c r="F55" i="3"/>
  <c r="G55" i="3" s="1"/>
  <c r="F59" i="3"/>
  <c r="G59" i="3" s="1"/>
  <c r="F58" i="3"/>
  <c r="G58" i="3" s="1"/>
  <c r="F68" i="3"/>
  <c r="G68" i="3" s="1"/>
  <c r="F76" i="3"/>
  <c r="G76" i="3" s="1"/>
  <c r="F74" i="3"/>
  <c r="G74" i="3" s="1"/>
  <c r="F72" i="3"/>
  <c r="G72" i="3" s="1"/>
  <c r="F57" i="3"/>
  <c r="G57" i="3" s="1"/>
  <c r="F79" i="3"/>
  <c r="G79" i="3" s="1"/>
  <c r="F71" i="3"/>
  <c r="G71" i="3" s="1"/>
  <c r="F56" i="3"/>
  <c r="G56" i="3" s="1"/>
  <c r="F62" i="3"/>
  <c r="G62" i="3" s="1"/>
  <c r="F80" i="3"/>
  <c r="G80" i="3" s="1"/>
  <c r="F61" i="3"/>
  <c r="G61" i="3" s="1"/>
  <c r="F73" i="3"/>
  <c r="G73" i="3" s="1"/>
  <c r="F60" i="3"/>
  <c r="G60" i="3" s="1"/>
  <c r="F75" i="3"/>
  <c r="G75" i="3" s="1"/>
  <c r="F63" i="3"/>
  <c r="G63" i="3" s="1"/>
  <c r="F64" i="3"/>
  <c r="G64" i="3" s="1"/>
  <c r="F78" i="3"/>
  <c r="G78" i="3" s="1"/>
  <c r="F77" i="3"/>
  <c r="G77" i="3" s="1"/>
  <c r="F67" i="3"/>
  <c r="G67" i="3" s="1"/>
  <c r="F66" i="3"/>
  <c r="G66" i="3" s="1"/>
  <c r="AR104" i="3"/>
  <c r="AT3" i="3"/>
  <c r="D38" i="3"/>
  <c r="B137" i="3"/>
  <c r="E81" i="3"/>
  <c r="P30" i="8"/>
  <c r="C137" i="3"/>
  <c r="D36" i="3"/>
  <c r="F81" i="3" l="1"/>
  <c r="D137" i="3"/>
  <c r="G54" i="3"/>
  <c r="G81" i="3" l="1"/>
  <c r="AS104" i="3" l="1"/>
  <c r="AT104" i="3" l="1"/>
  <c r="E14" i="4" s="1"/>
  <c r="B4" i="4" l="1"/>
  <c r="D44" i="2"/>
  <c r="G44" i="2" s="1"/>
  <c r="B23" i="3" l="1"/>
  <c r="AE95" i="6"/>
  <c r="AE93" i="6"/>
  <c r="AE91" i="6"/>
  <c r="AE89" i="6"/>
  <c r="AE87" i="6"/>
  <c r="AE85" i="6"/>
  <c r="AE83" i="6"/>
  <c r="AE81" i="6"/>
  <c r="AE79" i="6"/>
  <c r="AE77" i="6"/>
  <c r="AE75" i="6"/>
  <c r="AE73" i="6"/>
  <c r="AE71" i="6"/>
  <c r="AE69" i="6"/>
  <c r="AE67" i="6"/>
  <c r="AE65" i="6"/>
  <c r="AE63" i="6"/>
  <c r="AE61" i="6"/>
  <c r="AE59" i="6"/>
  <c r="AE57" i="6"/>
  <c r="AE55" i="6"/>
  <c r="AE53" i="6"/>
  <c r="AE51" i="6"/>
  <c r="AE49" i="6"/>
  <c r="AE47" i="6"/>
  <c r="AE45" i="6"/>
  <c r="AE43" i="6"/>
  <c r="AE41" i="6"/>
  <c r="AE39" i="6"/>
  <c r="AE37" i="6"/>
  <c r="AE35" i="6"/>
  <c r="AE33" i="6"/>
  <c r="AE31" i="6"/>
  <c r="AE29" i="6"/>
  <c r="AE27" i="6"/>
  <c r="AE25" i="6"/>
  <c r="AE23" i="6"/>
  <c r="AE21" i="6"/>
  <c r="AE19" i="6"/>
  <c r="AE17" i="6"/>
  <c r="AE15" i="6"/>
  <c r="AE13" i="6"/>
  <c r="AE11" i="6"/>
  <c r="AE9" i="6"/>
  <c r="AE100" i="6"/>
  <c r="AE96" i="6"/>
  <c r="AE94" i="6"/>
  <c r="AE92" i="6"/>
  <c r="AE90" i="6"/>
  <c r="AE88" i="6"/>
  <c r="AE86" i="6"/>
  <c r="AE84" i="6"/>
  <c r="AE82" i="6"/>
  <c r="AE80" i="6"/>
  <c r="AE78" i="6"/>
  <c r="AE76" i="6"/>
  <c r="AE74" i="6"/>
  <c r="AE72"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4" i="6"/>
  <c r="I7" i="5"/>
  <c r="I12" i="5"/>
  <c r="I8" i="5"/>
  <c r="I11" i="5"/>
  <c r="I14" i="5"/>
  <c r="I10" i="5"/>
  <c r="I13" i="5"/>
  <c r="I9" i="5"/>
  <c r="B26" i="3"/>
  <c r="D7" i="2"/>
  <c r="D22" i="2" l="1"/>
  <c r="I16" i="5"/>
  <c r="G43" i="2"/>
  <c r="D14" i="2"/>
  <c r="D18" i="2" l="1"/>
  <c r="D20" i="2"/>
  <c r="K14" i="5"/>
  <c r="K12" i="5"/>
  <c r="K10" i="5"/>
  <c r="K8" i="5"/>
  <c r="K13" i="5"/>
  <c r="K11" i="5"/>
  <c r="K9" i="5"/>
  <c r="D16" i="2"/>
  <c r="G39" i="2"/>
  <c r="D37" i="2"/>
  <c r="G37" i="2" s="1"/>
  <c r="E26" i="4"/>
  <c r="D36" i="2" l="1"/>
  <c r="G36" i="2" s="1"/>
  <c r="J16" i="5"/>
  <c r="K7" i="5"/>
  <c r="K16" i="5" s="1"/>
  <c r="B81" i="4" s="1"/>
  <c r="D73" i="4"/>
  <c r="C73" i="4"/>
  <c r="G38" i="2"/>
  <c r="E22" i="4" s="1"/>
  <c r="D42" i="2" l="1"/>
  <c r="G42" i="2" s="1"/>
  <c r="G45" i="2" s="1"/>
  <c r="BF9" i="6" s="1"/>
  <c r="BF11" i="6" s="1"/>
  <c r="L20" i="4" l="1"/>
  <c r="L19" i="4"/>
  <c r="M72" i="4"/>
  <c r="L18" i="4"/>
  <c r="BD9" i="6"/>
  <c r="BD11" i="6" s="1"/>
  <c r="E19" i="4" s="1"/>
  <c r="BE9" i="6"/>
  <c r="BE11" i="6" s="1"/>
  <c r="I20" i="4" s="1"/>
  <c r="B25" i="3"/>
  <c r="AI107" i="3" s="1"/>
  <c r="I19" i="4" l="1"/>
  <c r="E20" i="4"/>
  <c r="E18" i="4"/>
  <c r="J72" i="4"/>
  <c r="D25" i="2" s="1"/>
  <c r="I18" i="4"/>
  <c r="G72" i="4"/>
  <c r="C25" i="2" s="1"/>
  <c r="E25" i="2"/>
  <c r="CJ21" i="3"/>
  <c r="CJ22" i="3"/>
  <c r="CJ24" i="3"/>
  <c r="CJ26" i="3"/>
  <c r="CJ28" i="3"/>
  <c r="CJ30" i="3"/>
  <c r="CJ32" i="3"/>
  <c r="CJ34" i="3"/>
  <c r="CJ36" i="3"/>
  <c r="CJ38" i="3"/>
  <c r="CJ40" i="3"/>
  <c r="CJ42" i="3"/>
  <c r="CJ44" i="3"/>
  <c r="CJ46" i="3"/>
  <c r="CJ23" i="3"/>
  <c r="CJ25" i="3"/>
  <c r="CJ27" i="3"/>
  <c r="CJ29" i="3"/>
  <c r="CJ31" i="3"/>
  <c r="CJ33" i="3"/>
  <c r="CJ35" i="3"/>
  <c r="CJ37" i="3"/>
  <c r="CJ39" i="3"/>
  <c r="CJ41" i="3"/>
  <c r="CJ43" i="3"/>
  <c r="CJ45" i="3"/>
  <c r="CJ47" i="3"/>
  <c r="CC21" i="3"/>
  <c r="CC22" i="3"/>
  <c r="CC24" i="3"/>
  <c r="CC26" i="3"/>
  <c r="CC28" i="3"/>
  <c r="CC30" i="3"/>
  <c r="CC32" i="3"/>
  <c r="CC34" i="3"/>
  <c r="CC36" i="3"/>
  <c r="CC38" i="3"/>
  <c r="CC40" i="3"/>
  <c r="CC42" i="3"/>
  <c r="CC44" i="3"/>
  <c r="CC46" i="3"/>
  <c r="CC23" i="3"/>
  <c r="CC25" i="3"/>
  <c r="CC27" i="3"/>
  <c r="CC29" i="3"/>
  <c r="CC31" i="3"/>
  <c r="CC33" i="3"/>
  <c r="CC35" i="3"/>
  <c r="CC37" i="3"/>
  <c r="CC39" i="3"/>
  <c r="CC41" i="3"/>
  <c r="CC43" i="3"/>
  <c r="CC45" i="3"/>
  <c r="CC47" i="3"/>
  <c r="BV21" i="3"/>
  <c r="BV22" i="3"/>
  <c r="BV24" i="3"/>
  <c r="BV26" i="3"/>
  <c r="BV28" i="3"/>
  <c r="BV30" i="3"/>
  <c r="BV32" i="3"/>
  <c r="BV34" i="3"/>
  <c r="BV36" i="3"/>
  <c r="BV38" i="3"/>
  <c r="BV40" i="3"/>
  <c r="BV42" i="3"/>
  <c r="BV44" i="3"/>
  <c r="BV46" i="3"/>
  <c r="BV23" i="3"/>
  <c r="BV25" i="3"/>
  <c r="BV27" i="3"/>
  <c r="BV29" i="3"/>
  <c r="BV31" i="3"/>
  <c r="BV33" i="3"/>
  <c r="BV35" i="3"/>
  <c r="BV37" i="3"/>
  <c r="BV39" i="3"/>
  <c r="BV41" i="3"/>
  <c r="BV43" i="3"/>
  <c r="BV45" i="3"/>
  <c r="BV47" i="3"/>
  <c r="BO21" i="3"/>
  <c r="BO22" i="3"/>
  <c r="BO24" i="3"/>
  <c r="BO26" i="3"/>
  <c r="BO28" i="3"/>
  <c r="BO30" i="3"/>
  <c r="BO32" i="3"/>
  <c r="BO34" i="3"/>
  <c r="BO36" i="3"/>
  <c r="BO38" i="3"/>
  <c r="BO40" i="3"/>
  <c r="BO42" i="3"/>
  <c r="BO44" i="3"/>
  <c r="BO46" i="3"/>
  <c r="BO23" i="3"/>
  <c r="BO25" i="3"/>
  <c r="BO27" i="3"/>
  <c r="BO29" i="3"/>
  <c r="BO31" i="3"/>
  <c r="BO33" i="3"/>
  <c r="BO35" i="3"/>
  <c r="BO37" i="3"/>
  <c r="BO39" i="3"/>
  <c r="BO41" i="3"/>
  <c r="BO43" i="3"/>
  <c r="BO45" i="3"/>
  <c r="BO47" i="3"/>
  <c r="BH22" i="3"/>
  <c r="BH24" i="3"/>
  <c r="BH26" i="3"/>
  <c r="BH28" i="3"/>
  <c r="BH30" i="3"/>
  <c r="BH32" i="3"/>
  <c r="BH34" i="3"/>
  <c r="BH36" i="3"/>
  <c r="BH38" i="3"/>
  <c r="BH40" i="3"/>
  <c r="BH42" i="3"/>
  <c r="BH44" i="3"/>
  <c r="BH46" i="3"/>
  <c r="BH23" i="3"/>
  <c r="BH25" i="3"/>
  <c r="BH27" i="3"/>
  <c r="BH29" i="3"/>
  <c r="BH31" i="3"/>
  <c r="BH33" i="3"/>
  <c r="BH35" i="3"/>
  <c r="BH37" i="3"/>
  <c r="BH39" i="3"/>
  <c r="BH41" i="3"/>
  <c r="BH43" i="3"/>
  <c r="BH45" i="3"/>
  <c r="BH47" i="3"/>
  <c r="BA21" i="3"/>
  <c r="BH21" i="3"/>
  <c r="BA22" i="3"/>
  <c r="BA24" i="3"/>
  <c r="BA26" i="3"/>
  <c r="BA28" i="3"/>
  <c r="BA30" i="3"/>
  <c r="BA32" i="3"/>
  <c r="BA34" i="3"/>
  <c r="BA36" i="3"/>
  <c r="BA38" i="3"/>
  <c r="BA40" i="3"/>
  <c r="BA42" i="3"/>
  <c r="BA44" i="3"/>
  <c r="BA46" i="3"/>
  <c r="BA23" i="3"/>
  <c r="BA25" i="3"/>
  <c r="BA27" i="3"/>
  <c r="BA29" i="3"/>
  <c r="BA31" i="3"/>
  <c r="BA33" i="3"/>
  <c r="BA35" i="3"/>
  <c r="BA37" i="3"/>
  <c r="BA39" i="3"/>
  <c r="BA41" i="3"/>
  <c r="BA43" i="3"/>
  <c r="BA45" i="3"/>
  <c r="BA47" i="3"/>
  <c r="AV3" i="3"/>
  <c r="AV4" i="3"/>
  <c r="AV6" i="3"/>
  <c r="AV8" i="3"/>
  <c r="AV10" i="3"/>
  <c r="AV12" i="3"/>
  <c r="AV14" i="3"/>
  <c r="AV16" i="3"/>
  <c r="AV18" i="3"/>
  <c r="AV20" i="3"/>
  <c r="AV22" i="3"/>
  <c r="AV24" i="3"/>
  <c r="AV26" i="3"/>
  <c r="AV28" i="3"/>
  <c r="AV30" i="3"/>
  <c r="AV32" i="3"/>
  <c r="AV34" i="3"/>
  <c r="AV36" i="3"/>
  <c r="AV38" i="3"/>
  <c r="AV40" i="3"/>
  <c r="AV42" i="3"/>
  <c r="AV44" i="3"/>
  <c r="AV46" i="3"/>
  <c r="AV48" i="3"/>
  <c r="AV50" i="3"/>
  <c r="AV52" i="3"/>
  <c r="AV54" i="3"/>
  <c r="AV56" i="3"/>
  <c r="AV58" i="3"/>
  <c r="AV60" i="3"/>
  <c r="AV62" i="3"/>
  <c r="AV64" i="3"/>
  <c r="AV66" i="3"/>
  <c r="AV68" i="3"/>
  <c r="AV70" i="3"/>
  <c r="AV72" i="3"/>
  <c r="AV74" i="3"/>
  <c r="AV76" i="3"/>
  <c r="AV78" i="3"/>
  <c r="AV80" i="3"/>
  <c r="AV82" i="3"/>
  <c r="AV84" i="3"/>
  <c r="AV86" i="3"/>
  <c r="AV88" i="3"/>
  <c r="AV90" i="3"/>
  <c r="AV92" i="3"/>
  <c r="AV94" i="3"/>
  <c r="AV96" i="3"/>
  <c r="AV98" i="3"/>
  <c r="AV100" i="3"/>
  <c r="AV102" i="3"/>
  <c r="AV5" i="3"/>
  <c r="AV7" i="3"/>
  <c r="AV9" i="3"/>
  <c r="AV11" i="3"/>
  <c r="AV13" i="3"/>
  <c r="AV15" i="3"/>
  <c r="AV17" i="3"/>
  <c r="AV19" i="3"/>
  <c r="AV21" i="3"/>
  <c r="AV23" i="3"/>
  <c r="AV25" i="3"/>
  <c r="AV27" i="3"/>
  <c r="AV29" i="3"/>
  <c r="AV31" i="3"/>
  <c r="AV33" i="3"/>
  <c r="AV35" i="3"/>
  <c r="AV37" i="3"/>
  <c r="AV39" i="3"/>
  <c r="AV41" i="3"/>
  <c r="AV43" i="3"/>
  <c r="AV45" i="3"/>
  <c r="AV47" i="3"/>
  <c r="AV49" i="3"/>
  <c r="AV51" i="3"/>
  <c r="AV53" i="3"/>
  <c r="AV55" i="3"/>
  <c r="AV57" i="3"/>
  <c r="AV59" i="3"/>
  <c r="AV61" i="3"/>
  <c r="AV63" i="3"/>
  <c r="AV65" i="3"/>
  <c r="AV67" i="3"/>
  <c r="AV69" i="3"/>
  <c r="AV71" i="3"/>
  <c r="AV73" i="3"/>
  <c r="AV75" i="3"/>
  <c r="AV77" i="3"/>
  <c r="AV79" i="3"/>
  <c r="AV81" i="3"/>
  <c r="AV83" i="3"/>
  <c r="AV85" i="3"/>
  <c r="AV87" i="3"/>
  <c r="AV89" i="3"/>
  <c r="AV91" i="3"/>
  <c r="AV93" i="3"/>
  <c r="AV95" i="3"/>
  <c r="AV97" i="3"/>
  <c r="AV99" i="3"/>
  <c r="AV101" i="3"/>
  <c r="AV103" i="3"/>
  <c r="AU3" i="3"/>
  <c r="AU4" i="3"/>
  <c r="AU6" i="3"/>
  <c r="AU8" i="3"/>
  <c r="AU10" i="3"/>
  <c r="AU12" i="3"/>
  <c r="AU14" i="3"/>
  <c r="AU16" i="3"/>
  <c r="AU18" i="3"/>
  <c r="AU20" i="3"/>
  <c r="AU22" i="3"/>
  <c r="AU24" i="3"/>
  <c r="AU26" i="3"/>
  <c r="AU28" i="3"/>
  <c r="AU30" i="3"/>
  <c r="AU32" i="3"/>
  <c r="AU34" i="3"/>
  <c r="AU36" i="3"/>
  <c r="AU38" i="3"/>
  <c r="AU40" i="3"/>
  <c r="AU42" i="3"/>
  <c r="AU44" i="3"/>
  <c r="AU46" i="3"/>
  <c r="AU48" i="3"/>
  <c r="AU50" i="3"/>
  <c r="AU52" i="3"/>
  <c r="AU54" i="3"/>
  <c r="AU56" i="3"/>
  <c r="AU58" i="3"/>
  <c r="AU60" i="3"/>
  <c r="AU62" i="3"/>
  <c r="AU64" i="3"/>
  <c r="AU66" i="3"/>
  <c r="AU68" i="3"/>
  <c r="AU70" i="3"/>
  <c r="AU72" i="3"/>
  <c r="AU74" i="3"/>
  <c r="AU76" i="3"/>
  <c r="AU78" i="3"/>
  <c r="AU80" i="3"/>
  <c r="AU82" i="3"/>
  <c r="AU84" i="3"/>
  <c r="AU86" i="3"/>
  <c r="AU88" i="3"/>
  <c r="AU90" i="3"/>
  <c r="AU92" i="3"/>
  <c r="AU94" i="3"/>
  <c r="AU96" i="3"/>
  <c r="AU98" i="3"/>
  <c r="AU100" i="3"/>
  <c r="AU102" i="3"/>
  <c r="AU5" i="3"/>
  <c r="AU7" i="3"/>
  <c r="AU9" i="3"/>
  <c r="AU11" i="3"/>
  <c r="AU13" i="3"/>
  <c r="AU15" i="3"/>
  <c r="AU17" i="3"/>
  <c r="AU19" i="3"/>
  <c r="AU21" i="3"/>
  <c r="AU23" i="3"/>
  <c r="AU25" i="3"/>
  <c r="AU27" i="3"/>
  <c r="AU29" i="3"/>
  <c r="AU31" i="3"/>
  <c r="AU33" i="3"/>
  <c r="AU35" i="3"/>
  <c r="AU37" i="3"/>
  <c r="AU39" i="3"/>
  <c r="AU41" i="3"/>
  <c r="AU43" i="3"/>
  <c r="AU45" i="3"/>
  <c r="AU47" i="3"/>
  <c r="AU49" i="3"/>
  <c r="AU51" i="3"/>
  <c r="AU53" i="3"/>
  <c r="AU55" i="3"/>
  <c r="AU57" i="3"/>
  <c r="AU59" i="3"/>
  <c r="AU61" i="3"/>
  <c r="AU63" i="3"/>
  <c r="AU65" i="3"/>
  <c r="AU67" i="3"/>
  <c r="AU69" i="3"/>
  <c r="AU71" i="3"/>
  <c r="AU73" i="3"/>
  <c r="AU75" i="3"/>
  <c r="AU77" i="3"/>
  <c r="AU79" i="3"/>
  <c r="AU81" i="3"/>
  <c r="AU83" i="3"/>
  <c r="AU85" i="3"/>
  <c r="AU87" i="3"/>
  <c r="AU89" i="3"/>
  <c r="AU91" i="3"/>
  <c r="AU93" i="3"/>
  <c r="AU95" i="3"/>
  <c r="AU97" i="3"/>
  <c r="AU99" i="3"/>
  <c r="AU101" i="3"/>
  <c r="AU103" i="3"/>
  <c r="AW82" i="3"/>
  <c r="B27" i="3"/>
  <c r="AW3" i="3" l="1"/>
  <c r="AW4" i="3"/>
  <c r="AW13" i="3"/>
  <c r="AW78" i="3"/>
  <c r="AW101" i="3"/>
  <c r="AW30" i="3"/>
  <c r="AW42" i="3"/>
  <c r="AW59" i="3"/>
  <c r="AW70" i="3"/>
  <c r="AW49" i="3"/>
  <c r="AW98" i="3"/>
  <c r="AW84" i="3"/>
  <c r="AW16" i="3"/>
  <c r="AW10" i="3"/>
  <c r="AW51" i="3"/>
  <c r="AW53" i="3"/>
  <c r="AW15" i="3"/>
  <c r="AW56" i="3"/>
  <c r="AW97" i="3"/>
  <c r="AW68" i="3"/>
  <c r="AW28" i="3"/>
  <c r="AW100" i="3"/>
  <c r="AW66" i="3"/>
  <c r="AW48" i="3"/>
  <c r="AW58" i="3"/>
  <c r="AW26" i="3"/>
  <c r="AW103" i="3"/>
  <c r="AW79" i="3"/>
  <c r="AW77" i="3"/>
  <c r="AW55" i="3"/>
  <c r="AW33" i="3"/>
  <c r="AW31" i="3"/>
  <c r="AW60" i="3"/>
  <c r="AW80" i="3"/>
  <c r="AW62" i="3"/>
  <c r="AW75" i="3"/>
  <c r="AW89" i="3"/>
  <c r="AW11" i="3"/>
  <c r="AW87" i="3"/>
  <c r="AW19" i="3"/>
  <c r="AW95" i="3"/>
  <c r="AW43" i="3"/>
  <c r="AW5" i="3"/>
  <c r="AW12" i="3"/>
  <c r="AW38" i="3"/>
  <c r="AW17" i="3"/>
  <c r="AW20" i="3"/>
  <c r="AW22" i="3"/>
  <c r="AW21" i="3"/>
  <c r="AW40" i="3"/>
  <c r="AW81" i="3"/>
  <c r="AW90" i="3"/>
  <c r="AW94" i="3"/>
  <c r="AW44" i="3"/>
  <c r="AW92" i="3"/>
  <c r="AW76" i="3"/>
  <c r="AW36" i="3"/>
  <c r="AW64" i="3"/>
  <c r="AW32" i="3"/>
  <c r="AW91" i="3"/>
  <c r="AW50" i="3"/>
  <c r="AW34" i="3"/>
  <c r="AW18" i="3"/>
  <c r="AW99" i="3"/>
  <c r="AW83" i="3"/>
  <c r="AW93" i="3"/>
  <c r="AW63" i="3"/>
  <c r="AW85" i="3"/>
  <c r="AW69" i="3"/>
  <c r="AW29" i="3"/>
  <c r="AW37" i="3"/>
  <c r="AW45" i="3"/>
  <c r="AW9" i="3"/>
  <c r="AW39" i="3"/>
  <c r="AW23" i="3"/>
  <c r="AW7" i="3"/>
  <c r="AW102" i="3"/>
  <c r="AW96" i="3"/>
  <c r="AW52" i="3"/>
  <c r="AW24" i="3"/>
  <c r="AW46" i="3"/>
  <c r="AW14" i="3"/>
  <c r="AW67" i="3"/>
  <c r="AW71" i="3"/>
  <c r="AW73" i="3"/>
  <c r="AW47" i="3"/>
  <c r="AW25" i="3"/>
  <c r="AW27" i="3"/>
  <c r="AW74" i="3"/>
  <c r="AW72" i="3"/>
  <c r="AW8" i="3"/>
  <c r="AW6" i="3"/>
  <c r="AW65" i="3"/>
  <c r="AW41" i="3"/>
  <c r="AW86" i="3"/>
  <c r="AW54" i="3"/>
  <c r="AW61" i="3"/>
  <c r="AW88" i="3"/>
  <c r="AW57" i="3"/>
  <c r="AW35" i="3"/>
  <c r="BF4" i="3"/>
  <c r="BM63" i="3"/>
  <c r="CI4" i="3"/>
  <c r="AY88" i="3"/>
  <c r="AY95" i="3"/>
  <c r="AY96" i="3"/>
  <c r="AY80" i="3"/>
  <c r="AY64" i="3"/>
  <c r="AY3" i="3"/>
  <c r="AY92" i="3"/>
  <c r="AY84" i="3"/>
  <c r="AY102" i="3"/>
  <c r="AY79" i="3"/>
  <c r="AY48" i="3"/>
  <c r="AY76" i="3"/>
  <c r="AY103" i="3"/>
  <c r="AY87" i="3"/>
  <c r="AY72" i="3"/>
  <c r="AY56" i="3"/>
  <c r="AY28" i="3"/>
  <c r="AY99" i="3"/>
  <c r="AY91" i="3"/>
  <c r="AY83" i="3"/>
  <c r="AY75" i="3"/>
  <c r="AY68" i="3"/>
  <c r="AY60" i="3"/>
  <c r="AY52" i="3"/>
  <c r="AY40" i="3"/>
  <c r="AY8" i="3"/>
  <c r="AY44" i="3"/>
  <c r="AY36" i="3"/>
  <c r="AY20" i="3"/>
  <c r="AZ88" i="3"/>
  <c r="AY32" i="3"/>
  <c r="AY24" i="3"/>
  <c r="AY16" i="3"/>
  <c r="AZ100" i="3"/>
  <c r="AZ62" i="3"/>
  <c r="AY12" i="3"/>
  <c r="AY4" i="3"/>
  <c r="AZ96" i="3"/>
  <c r="AZ80" i="3"/>
  <c r="AZ6" i="3"/>
  <c r="AZ92" i="3"/>
  <c r="AZ84" i="3"/>
  <c r="AZ76" i="3"/>
  <c r="AZ38" i="3"/>
  <c r="AY43" i="3"/>
  <c r="AZ70" i="3"/>
  <c r="AZ54" i="3"/>
  <c r="AZ22" i="3"/>
  <c r="AY59" i="3"/>
  <c r="AZ95" i="3"/>
  <c r="AZ46" i="3"/>
  <c r="AZ30" i="3"/>
  <c r="AZ14" i="3"/>
  <c r="AY67" i="3"/>
  <c r="AY51" i="3"/>
  <c r="AY27" i="3"/>
  <c r="AZ63" i="3"/>
  <c r="AY35" i="3"/>
  <c r="AY11" i="3"/>
  <c r="AZ79" i="3"/>
  <c r="AZ23" i="3"/>
  <c r="AY19" i="3"/>
  <c r="AZ103" i="3"/>
  <c r="AZ87" i="3"/>
  <c r="AZ71" i="3"/>
  <c r="AZ47" i="3"/>
  <c r="BF70" i="3"/>
  <c r="AZ55" i="3"/>
  <c r="AZ39" i="3"/>
  <c r="BF102" i="3"/>
  <c r="BF38" i="3"/>
  <c r="AZ31" i="3"/>
  <c r="AZ15" i="3"/>
  <c r="BF86" i="3"/>
  <c r="BF54" i="3"/>
  <c r="BF22" i="3"/>
  <c r="AZ7" i="3"/>
  <c r="BF94" i="3"/>
  <c r="BF78" i="3"/>
  <c r="BF62" i="3"/>
  <c r="BF46" i="3"/>
  <c r="BF30" i="3"/>
  <c r="CI6" i="3"/>
  <c r="BM95" i="3"/>
  <c r="BF10" i="3"/>
  <c r="BF18" i="3"/>
  <c r="BF24" i="3"/>
  <c r="BF28" i="3"/>
  <c r="BF32" i="3"/>
  <c r="BF36" i="3"/>
  <c r="BF40" i="3"/>
  <c r="BF44" i="3"/>
  <c r="BF48" i="3"/>
  <c r="BF52" i="3"/>
  <c r="BF56" i="3"/>
  <c r="BF60" i="3"/>
  <c r="BF64" i="3"/>
  <c r="BF68" i="3"/>
  <c r="BF72" i="3"/>
  <c r="BF76" i="3"/>
  <c r="BF80" i="3"/>
  <c r="BF84" i="3"/>
  <c r="BF88" i="3"/>
  <c r="BF92" i="3"/>
  <c r="BF96" i="3"/>
  <c r="BF100" i="3"/>
  <c r="BG3" i="3"/>
  <c r="AZ5" i="3"/>
  <c r="AZ9" i="3"/>
  <c r="AZ13" i="3"/>
  <c r="AZ17" i="3"/>
  <c r="AZ21" i="3"/>
  <c r="AZ25" i="3"/>
  <c r="AZ29" i="3"/>
  <c r="AZ33" i="3"/>
  <c r="AZ37" i="3"/>
  <c r="AZ41" i="3"/>
  <c r="AZ45" i="3"/>
  <c r="AZ49" i="3"/>
  <c r="AZ53" i="3"/>
  <c r="AZ57" i="3"/>
  <c r="AZ61" i="3"/>
  <c r="BC61" i="3" s="1"/>
  <c r="AZ65" i="3"/>
  <c r="AZ69" i="3"/>
  <c r="AZ73" i="3"/>
  <c r="AZ77" i="3"/>
  <c r="AZ81" i="3"/>
  <c r="AZ85" i="3"/>
  <c r="AZ89" i="3"/>
  <c r="AZ93" i="3"/>
  <c r="AZ97" i="3"/>
  <c r="AZ101" i="3"/>
  <c r="AY5" i="3"/>
  <c r="AY9" i="3"/>
  <c r="AY13" i="3"/>
  <c r="AY17" i="3"/>
  <c r="AY21" i="3"/>
  <c r="AY25" i="3"/>
  <c r="AY29" i="3"/>
  <c r="AY33" i="3"/>
  <c r="AY37" i="3"/>
  <c r="AY41" i="3"/>
  <c r="AY45" i="3"/>
  <c r="AY49" i="3"/>
  <c r="AY53" i="3"/>
  <c r="AY57" i="3"/>
  <c r="AY61" i="3"/>
  <c r="AY65" i="3"/>
  <c r="AY69" i="3"/>
  <c r="AZ4" i="3"/>
  <c r="AZ8" i="3"/>
  <c r="AZ12" i="3"/>
  <c r="AZ16" i="3"/>
  <c r="AZ20" i="3"/>
  <c r="AZ24" i="3"/>
  <c r="AZ28" i="3"/>
  <c r="AZ32" i="3"/>
  <c r="AZ36" i="3"/>
  <c r="AZ40" i="3"/>
  <c r="AZ44" i="3"/>
  <c r="AZ48" i="3"/>
  <c r="AZ52" i="3"/>
  <c r="AZ56" i="3"/>
  <c r="AZ60" i="3"/>
  <c r="AZ64" i="3"/>
  <c r="AZ68" i="3"/>
  <c r="AZ72" i="3"/>
  <c r="AY100" i="3"/>
  <c r="AY94" i="3"/>
  <c r="AY90" i="3"/>
  <c r="AY86" i="3"/>
  <c r="AY82" i="3"/>
  <c r="BB82" i="3" s="1"/>
  <c r="AY78" i="3"/>
  <c r="BB78" i="3" s="1"/>
  <c r="AY74" i="3"/>
  <c r="AY98" i="3"/>
  <c r="AY101" i="3"/>
  <c r="AY97" i="3"/>
  <c r="AY93" i="3"/>
  <c r="AY89" i="3"/>
  <c r="AY85" i="3"/>
  <c r="AY81" i="3"/>
  <c r="AY77" i="3"/>
  <c r="AY73" i="3"/>
  <c r="AY70" i="3"/>
  <c r="AY66" i="3"/>
  <c r="AY62" i="3"/>
  <c r="AY58" i="3"/>
  <c r="AY54" i="3"/>
  <c r="AY50" i="3"/>
  <c r="AY46" i="3"/>
  <c r="AY42" i="3"/>
  <c r="AY38" i="3"/>
  <c r="AY34" i="3"/>
  <c r="AY30" i="3"/>
  <c r="AY26" i="3"/>
  <c r="AY22" i="3"/>
  <c r="AY18" i="3"/>
  <c r="AY14" i="3"/>
  <c r="AY10" i="3"/>
  <c r="AY6" i="3"/>
  <c r="AZ102" i="3"/>
  <c r="AZ98" i="3"/>
  <c r="AZ94" i="3"/>
  <c r="AZ90" i="3"/>
  <c r="AZ86" i="3"/>
  <c r="AZ82" i="3"/>
  <c r="BC82" i="3" s="1"/>
  <c r="AZ78" i="3"/>
  <c r="AZ74" i="3"/>
  <c r="AZ66" i="3"/>
  <c r="AZ58" i="3"/>
  <c r="BC58" i="3" s="1"/>
  <c r="AZ50" i="3"/>
  <c r="AZ42" i="3"/>
  <c r="AZ34" i="3"/>
  <c r="AZ26" i="3"/>
  <c r="AZ18" i="3"/>
  <c r="AZ10" i="3"/>
  <c r="AY71" i="3"/>
  <c r="AY63" i="3"/>
  <c r="AY55" i="3"/>
  <c r="AY47" i="3"/>
  <c r="AY39" i="3"/>
  <c r="AY31" i="3"/>
  <c r="AY23" i="3"/>
  <c r="AY15" i="3"/>
  <c r="AY7" i="3"/>
  <c r="AZ99" i="3"/>
  <c r="AZ91" i="3"/>
  <c r="AZ83" i="3"/>
  <c r="AZ75" i="3"/>
  <c r="AZ67" i="3"/>
  <c r="AZ59" i="3"/>
  <c r="AZ51" i="3"/>
  <c r="AZ43" i="3"/>
  <c r="AZ35" i="3"/>
  <c r="AZ27" i="3"/>
  <c r="AZ19" i="3"/>
  <c r="AZ11" i="3"/>
  <c r="AZ3" i="3"/>
  <c r="BF98" i="3"/>
  <c r="BF90" i="3"/>
  <c r="BF82" i="3"/>
  <c r="BI82" i="3" s="1"/>
  <c r="BF74" i="3"/>
  <c r="BI74" i="3" s="1"/>
  <c r="BF66" i="3"/>
  <c r="BF58" i="3"/>
  <c r="BF50" i="3"/>
  <c r="BF42" i="3"/>
  <c r="BF34" i="3"/>
  <c r="BF26" i="3"/>
  <c r="BF14" i="3"/>
  <c r="BM79" i="3"/>
  <c r="BF20" i="3"/>
  <c r="BF16" i="3"/>
  <c r="BF12" i="3"/>
  <c r="BF8" i="3"/>
  <c r="BM101" i="3"/>
  <c r="BM87" i="3"/>
  <c r="BM71" i="3"/>
  <c r="BM49" i="3"/>
  <c r="BF6" i="3"/>
  <c r="BM103" i="3"/>
  <c r="BP103" i="3" s="1"/>
  <c r="BM99" i="3"/>
  <c r="BM91" i="3"/>
  <c r="BM83" i="3"/>
  <c r="BM75" i="3"/>
  <c r="BM67" i="3"/>
  <c r="BM57" i="3"/>
  <c r="BM33" i="3"/>
  <c r="BM97" i="3"/>
  <c r="BP97" i="3" s="1"/>
  <c r="BM93" i="3"/>
  <c r="BM89" i="3"/>
  <c r="BM85" i="3"/>
  <c r="BM81" i="3"/>
  <c r="BM77" i="3"/>
  <c r="BM73" i="3"/>
  <c r="BM69" i="3"/>
  <c r="BM65" i="3"/>
  <c r="BM61" i="3"/>
  <c r="BM53" i="3"/>
  <c r="BM45" i="3"/>
  <c r="BM13" i="3"/>
  <c r="BM59" i="3"/>
  <c r="BM55" i="3"/>
  <c r="BM51" i="3"/>
  <c r="BM47" i="3"/>
  <c r="BM41" i="3"/>
  <c r="BM25" i="3"/>
  <c r="BT83" i="3"/>
  <c r="BM43" i="3"/>
  <c r="BM37" i="3"/>
  <c r="BM29" i="3"/>
  <c r="BM21" i="3"/>
  <c r="BM5" i="3"/>
  <c r="BP5" i="3" s="1"/>
  <c r="BT47" i="3"/>
  <c r="BM39" i="3"/>
  <c r="BM35" i="3"/>
  <c r="BM31" i="3"/>
  <c r="BM27" i="3"/>
  <c r="BM23" i="3"/>
  <c r="BM17" i="3"/>
  <c r="BM9" i="3"/>
  <c r="BT99" i="3"/>
  <c r="BT67" i="3"/>
  <c r="BT11" i="3"/>
  <c r="BM19" i="3"/>
  <c r="BM15" i="3"/>
  <c r="BM11" i="3"/>
  <c r="BM7" i="3"/>
  <c r="BT103" i="3"/>
  <c r="BW103" i="3" s="1"/>
  <c r="BT91" i="3"/>
  <c r="BT75" i="3"/>
  <c r="BT59" i="3"/>
  <c r="BT31" i="3"/>
  <c r="BU80" i="3"/>
  <c r="BT95" i="3"/>
  <c r="BT87" i="3"/>
  <c r="BT79" i="3"/>
  <c r="BT71" i="3"/>
  <c r="BW71" i="3" s="1"/>
  <c r="BT63" i="3"/>
  <c r="BT55" i="3"/>
  <c r="BT39" i="3"/>
  <c r="BT23" i="3"/>
  <c r="BU96" i="3"/>
  <c r="BF87" i="3"/>
  <c r="BT51" i="3"/>
  <c r="BT43" i="3"/>
  <c r="BT35" i="3"/>
  <c r="BT27" i="3"/>
  <c r="BT19" i="3"/>
  <c r="BU3" i="3"/>
  <c r="BU88" i="3"/>
  <c r="BF99" i="3"/>
  <c r="BF71" i="3"/>
  <c r="BT15" i="3"/>
  <c r="BT7" i="3"/>
  <c r="BU100" i="3"/>
  <c r="BU92" i="3"/>
  <c r="BU84" i="3"/>
  <c r="BF103" i="3"/>
  <c r="BF95" i="3"/>
  <c r="BF79" i="3"/>
  <c r="BF57" i="3"/>
  <c r="BF101" i="3"/>
  <c r="BF97" i="3"/>
  <c r="BF91" i="3"/>
  <c r="BF83" i="3"/>
  <c r="BF75" i="3"/>
  <c r="BF65" i="3"/>
  <c r="BF37" i="3"/>
  <c r="BF93" i="3"/>
  <c r="BF89" i="3"/>
  <c r="BI89" i="3" s="1"/>
  <c r="BF85" i="3"/>
  <c r="BF81" i="3"/>
  <c r="BF77" i="3"/>
  <c r="BF73" i="3"/>
  <c r="BF69" i="3"/>
  <c r="BF61" i="3"/>
  <c r="BF51" i="3"/>
  <c r="BF21" i="3"/>
  <c r="BF67" i="3"/>
  <c r="BF63" i="3"/>
  <c r="BF59" i="3"/>
  <c r="BF55" i="3"/>
  <c r="BF45" i="3"/>
  <c r="BF29" i="3"/>
  <c r="BF11" i="3"/>
  <c r="BF53" i="3"/>
  <c r="BF49" i="3"/>
  <c r="BF41" i="3"/>
  <c r="BF33" i="3"/>
  <c r="BF25" i="3"/>
  <c r="BF17" i="3"/>
  <c r="BM96" i="3"/>
  <c r="BF47" i="3"/>
  <c r="BF43" i="3"/>
  <c r="BF39" i="3"/>
  <c r="BF35" i="3"/>
  <c r="BF31" i="3"/>
  <c r="BF27" i="3"/>
  <c r="BF23" i="3"/>
  <c r="BF19" i="3"/>
  <c r="BF15" i="3"/>
  <c r="BF7" i="3"/>
  <c r="BM78" i="3"/>
  <c r="BF13" i="3"/>
  <c r="BF9" i="3"/>
  <c r="BN3" i="3"/>
  <c r="BM88" i="3"/>
  <c r="BM62" i="3"/>
  <c r="BF5" i="3"/>
  <c r="BM100" i="3"/>
  <c r="BM92" i="3"/>
  <c r="BM84" i="3"/>
  <c r="BM70" i="3"/>
  <c r="BM48" i="3"/>
  <c r="BM102" i="3"/>
  <c r="BM98" i="3"/>
  <c r="BM94" i="3"/>
  <c r="BM90" i="3"/>
  <c r="BM86" i="3"/>
  <c r="BM82" i="3"/>
  <c r="BP82" i="3" s="1"/>
  <c r="BM74" i="3"/>
  <c r="BM66" i="3"/>
  <c r="BM56" i="3"/>
  <c r="BM40" i="3"/>
  <c r="BM80" i="3"/>
  <c r="BM76" i="3"/>
  <c r="BM72" i="3"/>
  <c r="BM68" i="3"/>
  <c r="BM64" i="3"/>
  <c r="BM60" i="3"/>
  <c r="BP60" i="3" s="1"/>
  <c r="BM52" i="3"/>
  <c r="BM44" i="3"/>
  <c r="BM22" i="3"/>
  <c r="BM58" i="3"/>
  <c r="BM54" i="3"/>
  <c r="BM50" i="3"/>
  <c r="BM46" i="3"/>
  <c r="BM42" i="3"/>
  <c r="BM36" i="3"/>
  <c r="BT85" i="3"/>
  <c r="BM38" i="3"/>
  <c r="BM30" i="3"/>
  <c r="BM10" i="3"/>
  <c r="BT53" i="3"/>
  <c r="BM34" i="3"/>
  <c r="BM26" i="3"/>
  <c r="BM18" i="3"/>
  <c r="BT101" i="3"/>
  <c r="BT69" i="3"/>
  <c r="BT21" i="3"/>
  <c r="BM14" i="3"/>
  <c r="BM6" i="3"/>
  <c r="BT93" i="3"/>
  <c r="BT77" i="3"/>
  <c r="BT61" i="3"/>
  <c r="BT41" i="3"/>
  <c r="BU76" i="3"/>
  <c r="BM32" i="3"/>
  <c r="BM28" i="3"/>
  <c r="BM24" i="3"/>
  <c r="BM20" i="3"/>
  <c r="BM16" i="3"/>
  <c r="BM12" i="3"/>
  <c r="BM8" i="3"/>
  <c r="BM4" i="3"/>
  <c r="BT97" i="3"/>
  <c r="BT89" i="3"/>
  <c r="BT81" i="3"/>
  <c r="BT73" i="3"/>
  <c r="BT65" i="3"/>
  <c r="BT57" i="3"/>
  <c r="BT49" i="3"/>
  <c r="BT33" i="3"/>
  <c r="BT5" i="3"/>
  <c r="BU58" i="3"/>
  <c r="BT45" i="3"/>
  <c r="BT37" i="3"/>
  <c r="BT29" i="3"/>
  <c r="BT13" i="3"/>
  <c r="BU90" i="3"/>
  <c r="BU68" i="3"/>
  <c r="BX68" i="3" s="1"/>
  <c r="BU42" i="3"/>
  <c r="BT25" i="3"/>
  <c r="BT17" i="3"/>
  <c r="BT9" i="3"/>
  <c r="BU98" i="3"/>
  <c r="BU82" i="3"/>
  <c r="BX82" i="3" s="1"/>
  <c r="BU72" i="3"/>
  <c r="BU64" i="3"/>
  <c r="BU50" i="3"/>
  <c r="BU24" i="3"/>
  <c r="BU102" i="3"/>
  <c r="BU94" i="3"/>
  <c r="BU86" i="3"/>
  <c r="BU78" i="3"/>
  <c r="BU74" i="3"/>
  <c r="BU70" i="3"/>
  <c r="BU66" i="3"/>
  <c r="BU62" i="3"/>
  <c r="BU54" i="3"/>
  <c r="BU46" i="3"/>
  <c r="BU34" i="3"/>
  <c r="BU4" i="3"/>
  <c r="BU60" i="3"/>
  <c r="BU56" i="3"/>
  <c r="BU52" i="3"/>
  <c r="BU48" i="3"/>
  <c r="BU44" i="3"/>
  <c r="BU38" i="3"/>
  <c r="BU30" i="3"/>
  <c r="BU16" i="3"/>
  <c r="BG93" i="3"/>
  <c r="BU40" i="3"/>
  <c r="BU36" i="3"/>
  <c r="BU32" i="3"/>
  <c r="BU28" i="3"/>
  <c r="BU20" i="3"/>
  <c r="BU12" i="3"/>
  <c r="BG101" i="3"/>
  <c r="BG82" i="3"/>
  <c r="BJ82" i="3" s="1"/>
  <c r="BU26" i="3"/>
  <c r="BU22" i="3"/>
  <c r="BU18" i="3"/>
  <c r="BU14" i="3"/>
  <c r="BU8" i="3"/>
  <c r="BG103" i="3"/>
  <c r="BG97" i="3"/>
  <c r="BG89" i="3"/>
  <c r="BG69" i="3"/>
  <c r="BU10" i="3"/>
  <c r="BU6" i="3"/>
  <c r="BF3" i="3"/>
  <c r="BG102" i="3"/>
  <c r="BG99" i="3"/>
  <c r="BG95" i="3"/>
  <c r="BG91" i="3"/>
  <c r="BG86" i="3"/>
  <c r="BG77" i="3"/>
  <c r="BG59" i="3"/>
  <c r="BG100" i="3"/>
  <c r="BG98" i="3"/>
  <c r="BG96" i="3"/>
  <c r="BG94" i="3"/>
  <c r="BG92" i="3"/>
  <c r="BG90" i="3"/>
  <c r="BJ90" i="3" s="1"/>
  <c r="BG88" i="3"/>
  <c r="BG84" i="3"/>
  <c r="BG80" i="3"/>
  <c r="BG73" i="3"/>
  <c r="BG65" i="3"/>
  <c r="BG49" i="3"/>
  <c r="BJ49" i="3" s="1"/>
  <c r="BG87" i="3"/>
  <c r="BG85" i="3"/>
  <c r="BG83" i="3"/>
  <c r="BG81" i="3"/>
  <c r="BG79" i="3"/>
  <c r="BG75" i="3"/>
  <c r="BG71" i="3"/>
  <c r="BG67" i="3"/>
  <c r="BG63" i="3"/>
  <c r="BJ63" i="3" s="1"/>
  <c r="BG55" i="3"/>
  <c r="BG41" i="3"/>
  <c r="BG78" i="3"/>
  <c r="BG76" i="3"/>
  <c r="BG74" i="3"/>
  <c r="BG72" i="3"/>
  <c r="BG70" i="3"/>
  <c r="BG68" i="3"/>
  <c r="BG66" i="3"/>
  <c r="BG64" i="3"/>
  <c r="BG61" i="3"/>
  <c r="BG57" i="3"/>
  <c r="BG53" i="3"/>
  <c r="BG45" i="3"/>
  <c r="BG33" i="3"/>
  <c r="BG62" i="3"/>
  <c r="BJ62" i="3" s="1"/>
  <c r="BG60" i="3"/>
  <c r="BG58" i="3"/>
  <c r="BG56" i="3"/>
  <c r="BG54" i="3"/>
  <c r="BG51" i="3"/>
  <c r="BG47" i="3"/>
  <c r="BG43" i="3"/>
  <c r="BG37" i="3"/>
  <c r="BG25" i="3"/>
  <c r="BG52" i="3"/>
  <c r="BG50" i="3"/>
  <c r="BG48" i="3"/>
  <c r="BG46" i="3"/>
  <c r="BG44" i="3"/>
  <c r="BG42" i="3"/>
  <c r="BG39" i="3"/>
  <c r="BG35" i="3"/>
  <c r="BJ35" i="3" s="1"/>
  <c r="BG29" i="3"/>
  <c r="BG17" i="3"/>
  <c r="BG40" i="3"/>
  <c r="BG38" i="3"/>
  <c r="BG36" i="3"/>
  <c r="BJ36" i="3" s="1"/>
  <c r="BG34" i="3"/>
  <c r="BG31" i="3"/>
  <c r="BG27" i="3"/>
  <c r="BG22" i="3"/>
  <c r="BG9" i="3"/>
  <c r="BG32" i="3"/>
  <c r="BG30" i="3"/>
  <c r="BG28" i="3"/>
  <c r="BG26" i="3"/>
  <c r="BG24" i="3"/>
  <c r="BG20" i="3"/>
  <c r="BG13" i="3"/>
  <c r="BN100" i="3"/>
  <c r="BG23" i="3"/>
  <c r="BG21" i="3"/>
  <c r="BG19" i="3"/>
  <c r="BG15" i="3"/>
  <c r="BG11" i="3"/>
  <c r="BG5" i="3"/>
  <c r="BN89" i="3"/>
  <c r="BQ89" i="3" s="1"/>
  <c r="BG18" i="3"/>
  <c r="BG16" i="3"/>
  <c r="BG14" i="3"/>
  <c r="BG12" i="3"/>
  <c r="BG10" i="3"/>
  <c r="BG7" i="3"/>
  <c r="BM3" i="3"/>
  <c r="BN96" i="3"/>
  <c r="BN78" i="3"/>
  <c r="BG8" i="3"/>
  <c r="BG6" i="3"/>
  <c r="BG4" i="3"/>
  <c r="BN102" i="3"/>
  <c r="BN98" i="3"/>
  <c r="BQ98" i="3" s="1"/>
  <c r="BN93" i="3"/>
  <c r="BN85" i="3"/>
  <c r="BN68" i="3"/>
  <c r="BN103" i="3"/>
  <c r="BN101" i="3"/>
  <c r="BN99" i="3"/>
  <c r="BN97" i="3"/>
  <c r="BN95" i="3"/>
  <c r="BN91" i="3"/>
  <c r="BN87" i="3"/>
  <c r="BN82" i="3"/>
  <c r="BQ82" i="3" s="1"/>
  <c r="BN74" i="3"/>
  <c r="BN57" i="3"/>
  <c r="BN94" i="3"/>
  <c r="BN92" i="3"/>
  <c r="BN90" i="3"/>
  <c r="BN88" i="3"/>
  <c r="BN86" i="3"/>
  <c r="BN84" i="3"/>
  <c r="BN80" i="3"/>
  <c r="BN76" i="3"/>
  <c r="BN72" i="3"/>
  <c r="BN64" i="3"/>
  <c r="BN49" i="3"/>
  <c r="BN83" i="3"/>
  <c r="BN81" i="3"/>
  <c r="BN79" i="3"/>
  <c r="BN77" i="3"/>
  <c r="BN75" i="3"/>
  <c r="BN73" i="3"/>
  <c r="BN70" i="3"/>
  <c r="BN66" i="3"/>
  <c r="BN61" i="3"/>
  <c r="BN53" i="3"/>
  <c r="BN41" i="3"/>
  <c r="BQ41" i="3" s="1"/>
  <c r="BN71" i="3"/>
  <c r="BN69" i="3"/>
  <c r="BN67" i="3"/>
  <c r="BN65" i="3"/>
  <c r="BN63" i="3"/>
  <c r="BQ63" i="3" s="1"/>
  <c r="BN59" i="3"/>
  <c r="BN55" i="3"/>
  <c r="BN51" i="3"/>
  <c r="BN45" i="3"/>
  <c r="BN35" i="3"/>
  <c r="BN62" i="3"/>
  <c r="BN60" i="3"/>
  <c r="BN58" i="3"/>
  <c r="BN56" i="3"/>
  <c r="BN54" i="3"/>
  <c r="BN52" i="3"/>
  <c r="BN50" i="3"/>
  <c r="BN47" i="3"/>
  <c r="BN43" i="3"/>
  <c r="BN39" i="3"/>
  <c r="BN30" i="3"/>
  <c r="BN48" i="3"/>
  <c r="BN46" i="3"/>
  <c r="BN44" i="3"/>
  <c r="BN42" i="3"/>
  <c r="BN40" i="3"/>
  <c r="BN37" i="3"/>
  <c r="BN33" i="3"/>
  <c r="BN24" i="3"/>
  <c r="BN38" i="3"/>
  <c r="BN36" i="3"/>
  <c r="BN34" i="3"/>
  <c r="BQ34" i="3" s="1"/>
  <c r="BN32" i="3"/>
  <c r="BN28" i="3"/>
  <c r="BN14" i="3"/>
  <c r="BN31" i="3"/>
  <c r="BN29" i="3"/>
  <c r="BN26" i="3"/>
  <c r="BN21" i="3"/>
  <c r="BN6" i="3"/>
  <c r="BN27" i="3"/>
  <c r="BN25" i="3"/>
  <c r="BN23" i="3"/>
  <c r="BN18" i="3"/>
  <c r="BN10" i="3"/>
  <c r="BT90" i="3"/>
  <c r="BN22" i="3"/>
  <c r="BN20" i="3"/>
  <c r="BN16" i="3"/>
  <c r="BN12" i="3"/>
  <c r="BN8" i="3"/>
  <c r="BT3" i="3"/>
  <c r="BT70" i="3"/>
  <c r="BN19" i="3"/>
  <c r="BN17" i="3"/>
  <c r="BN15" i="3"/>
  <c r="BN13" i="3"/>
  <c r="BN11" i="3"/>
  <c r="BN9" i="3"/>
  <c r="BQ9" i="3" s="1"/>
  <c r="BN7" i="3"/>
  <c r="BN5" i="3"/>
  <c r="BQ5" i="3" s="1"/>
  <c r="BT98" i="3"/>
  <c r="BT82" i="3"/>
  <c r="BW82" i="3" s="1"/>
  <c r="BT52" i="3"/>
  <c r="BN4" i="3"/>
  <c r="BT102" i="3"/>
  <c r="BT94" i="3"/>
  <c r="BT86" i="3"/>
  <c r="BT78" i="3"/>
  <c r="BT62" i="3"/>
  <c r="BT34" i="3"/>
  <c r="BT100" i="3"/>
  <c r="BT96" i="3"/>
  <c r="BT92" i="3"/>
  <c r="BT88" i="3"/>
  <c r="BT84" i="3"/>
  <c r="BT80" i="3"/>
  <c r="BT74" i="3"/>
  <c r="BT66" i="3"/>
  <c r="BT58" i="3"/>
  <c r="BT44" i="3"/>
  <c r="BT10" i="3"/>
  <c r="BT76" i="3"/>
  <c r="BT72" i="3"/>
  <c r="BT68" i="3"/>
  <c r="BT64" i="3"/>
  <c r="BT60" i="3"/>
  <c r="BT56" i="3"/>
  <c r="BT48" i="3"/>
  <c r="BT40" i="3"/>
  <c r="BT26" i="3"/>
  <c r="BU89" i="3"/>
  <c r="BT54" i="3"/>
  <c r="BT50" i="3"/>
  <c r="BT46" i="3"/>
  <c r="BT42" i="3"/>
  <c r="BT38" i="3"/>
  <c r="BT30" i="3"/>
  <c r="BT18" i="3"/>
  <c r="BU103" i="3"/>
  <c r="BU61" i="3"/>
  <c r="BT36" i="3"/>
  <c r="BT32" i="3"/>
  <c r="BT28" i="3"/>
  <c r="BT22" i="3"/>
  <c r="BT14" i="3"/>
  <c r="BT6" i="3"/>
  <c r="BU97" i="3"/>
  <c r="BU77" i="3"/>
  <c r="BU41" i="3"/>
  <c r="BT24" i="3"/>
  <c r="BT20" i="3"/>
  <c r="BT16" i="3"/>
  <c r="BT12" i="3"/>
  <c r="BT8" i="3"/>
  <c r="BT4" i="3"/>
  <c r="BU101" i="3"/>
  <c r="BU93" i="3"/>
  <c r="BU85" i="3"/>
  <c r="BU69" i="3"/>
  <c r="BU53" i="3"/>
  <c r="BU25" i="3"/>
  <c r="BU99" i="3"/>
  <c r="BU95" i="3"/>
  <c r="BU91" i="3"/>
  <c r="BU87" i="3"/>
  <c r="BU81" i="3"/>
  <c r="BU73" i="3"/>
  <c r="BU65" i="3"/>
  <c r="BU57" i="3"/>
  <c r="BU49" i="3"/>
  <c r="BU33" i="3"/>
  <c r="BU11" i="3"/>
  <c r="BU83" i="3"/>
  <c r="BU79" i="3"/>
  <c r="BU75" i="3"/>
  <c r="BU71" i="3"/>
  <c r="BU67" i="3"/>
  <c r="BU63" i="3"/>
  <c r="BU59" i="3"/>
  <c r="BU55" i="3"/>
  <c r="BU51" i="3"/>
  <c r="BU45" i="3"/>
  <c r="BU37" i="3"/>
  <c r="BU29" i="3"/>
  <c r="BU21" i="3"/>
  <c r="CA85" i="3"/>
  <c r="BU47" i="3"/>
  <c r="BU43" i="3"/>
  <c r="BU39" i="3"/>
  <c r="BU35" i="3"/>
  <c r="BU31" i="3"/>
  <c r="BU27" i="3"/>
  <c r="BU23" i="3"/>
  <c r="BU17" i="3"/>
  <c r="CA101" i="3"/>
  <c r="CA57" i="3"/>
  <c r="BU19" i="3"/>
  <c r="BU15" i="3"/>
  <c r="BU7" i="3"/>
  <c r="CA93" i="3"/>
  <c r="CA77" i="3"/>
  <c r="CA21" i="3"/>
  <c r="CD21" i="3" s="1"/>
  <c r="BU13" i="3"/>
  <c r="BU9" i="3"/>
  <c r="BU5" i="3"/>
  <c r="CA97" i="3"/>
  <c r="CA89" i="3"/>
  <c r="CA81" i="3"/>
  <c r="CA69" i="3"/>
  <c r="CA41" i="3"/>
  <c r="CB90" i="3"/>
  <c r="CA73" i="3"/>
  <c r="CA65" i="3"/>
  <c r="CA49" i="3"/>
  <c r="CA33" i="3"/>
  <c r="CA5" i="3"/>
  <c r="CB62" i="3"/>
  <c r="CA61" i="3"/>
  <c r="CD61" i="3" s="1"/>
  <c r="CA53" i="3"/>
  <c r="CA45" i="3"/>
  <c r="CA37" i="3"/>
  <c r="CA29" i="3"/>
  <c r="CA13" i="3"/>
  <c r="CB98" i="3"/>
  <c r="CB78" i="3"/>
  <c r="CB26" i="3"/>
  <c r="CA25" i="3"/>
  <c r="CA17" i="3"/>
  <c r="CA9" i="3"/>
  <c r="CB102" i="3"/>
  <c r="CE102" i="3" s="1"/>
  <c r="CB94" i="3"/>
  <c r="CB86" i="3"/>
  <c r="CB70" i="3"/>
  <c r="CB50" i="3"/>
  <c r="CH87" i="3"/>
  <c r="CB82" i="3"/>
  <c r="CE82" i="3" s="1"/>
  <c r="CB74" i="3"/>
  <c r="CB66" i="3"/>
  <c r="CB58" i="3"/>
  <c r="CB42" i="3"/>
  <c r="CB10" i="3"/>
  <c r="CH38" i="3"/>
  <c r="CB54" i="3"/>
  <c r="CB46" i="3"/>
  <c r="CB34" i="3"/>
  <c r="CB18" i="3"/>
  <c r="CH103" i="3"/>
  <c r="CH70" i="3"/>
  <c r="CA99" i="3"/>
  <c r="CB38" i="3"/>
  <c r="CB30" i="3"/>
  <c r="CB22" i="3"/>
  <c r="CB14" i="3"/>
  <c r="CB6" i="3"/>
  <c r="CH95" i="3"/>
  <c r="CH79" i="3"/>
  <c r="CH54" i="3"/>
  <c r="CI99" i="3"/>
  <c r="CA67" i="3"/>
  <c r="CH99" i="3"/>
  <c r="CH91" i="3"/>
  <c r="CK91" i="3" s="1"/>
  <c r="CH83" i="3"/>
  <c r="CH75" i="3"/>
  <c r="CH62" i="3"/>
  <c r="CH46" i="3"/>
  <c r="CH22" i="3"/>
  <c r="CI67" i="3"/>
  <c r="CA83" i="3"/>
  <c r="CA47" i="3"/>
  <c r="CH30" i="3"/>
  <c r="CH14" i="3"/>
  <c r="CI83" i="3"/>
  <c r="CI51" i="3"/>
  <c r="CA91" i="3"/>
  <c r="CA75" i="3"/>
  <c r="CA59" i="3"/>
  <c r="CA27" i="3"/>
  <c r="CH6" i="3"/>
  <c r="CI91" i="3"/>
  <c r="CI75" i="3"/>
  <c r="CI59" i="3"/>
  <c r="CA103" i="3"/>
  <c r="CA95" i="3"/>
  <c r="CA87" i="3"/>
  <c r="CA79" i="3"/>
  <c r="CA71" i="3"/>
  <c r="CA63" i="3"/>
  <c r="CA55" i="3"/>
  <c r="CA39" i="3"/>
  <c r="CA11" i="3"/>
  <c r="CA51" i="3"/>
  <c r="CA43" i="3"/>
  <c r="CA35" i="3"/>
  <c r="CD35" i="3" s="1"/>
  <c r="CA19" i="3"/>
  <c r="CB96" i="3"/>
  <c r="CE96" i="3" s="1"/>
  <c r="CA31" i="3"/>
  <c r="CA23" i="3"/>
  <c r="CA15" i="3"/>
  <c r="CD15" i="3" s="1"/>
  <c r="CA7" i="3"/>
  <c r="CB68" i="3"/>
  <c r="CB3" i="3"/>
  <c r="CB84" i="3"/>
  <c r="CB44" i="3"/>
  <c r="CB100" i="3"/>
  <c r="CB92" i="3"/>
  <c r="CB76" i="3"/>
  <c r="CB60" i="3"/>
  <c r="CB12" i="3"/>
  <c r="CB52" i="3"/>
  <c r="CB28" i="3"/>
  <c r="CE28" i="3" s="1"/>
  <c r="CH77" i="3"/>
  <c r="CB88" i="3"/>
  <c r="CB80" i="3"/>
  <c r="CB72" i="3"/>
  <c r="CB64" i="3"/>
  <c r="CB56" i="3"/>
  <c r="CB48" i="3"/>
  <c r="CB36" i="3"/>
  <c r="CB20" i="3"/>
  <c r="CH101" i="3"/>
  <c r="CI87" i="3"/>
  <c r="CB40" i="3"/>
  <c r="CB32" i="3"/>
  <c r="CB24" i="3"/>
  <c r="CB16" i="3"/>
  <c r="CB8" i="3"/>
  <c r="CH93" i="3"/>
  <c r="CH50" i="3"/>
  <c r="CI19" i="3"/>
  <c r="CB4" i="3"/>
  <c r="CH97" i="3"/>
  <c r="CH85" i="3"/>
  <c r="CH66" i="3"/>
  <c r="CH18" i="3"/>
  <c r="CI55" i="3"/>
  <c r="CA90" i="3"/>
  <c r="CH89" i="3"/>
  <c r="CH81" i="3"/>
  <c r="CH73" i="3"/>
  <c r="CH58" i="3"/>
  <c r="CH34" i="3"/>
  <c r="CI103" i="3"/>
  <c r="CI71" i="3"/>
  <c r="CI35" i="3"/>
  <c r="CA3" i="3"/>
  <c r="CA62" i="3"/>
  <c r="CH42" i="3"/>
  <c r="CH26" i="3"/>
  <c r="CH10" i="3"/>
  <c r="CI95" i="3"/>
  <c r="CI79" i="3"/>
  <c r="CI63" i="3"/>
  <c r="CI43" i="3"/>
  <c r="CI27" i="3"/>
  <c r="CI11" i="3"/>
  <c r="CA98" i="3"/>
  <c r="CD98" i="3" s="1"/>
  <c r="CA78" i="3"/>
  <c r="CD78" i="3" s="1"/>
  <c r="CA34" i="3"/>
  <c r="CI47" i="3"/>
  <c r="CL47" i="3" s="1"/>
  <c r="CI39" i="3"/>
  <c r="CI31" i="3"/>
  <c r="CI23" i="3"/>
  <c r="CI15" i="3"/>
  <c r="CI7" i="3"/>
  <c r="CA102" i="3"/>
  <c r="CA94" i="3"/>
  <c r="CD94" i="3" s="1"/>
  <c r="CA86" i="3"/>
  <c r="CA70" i="3"/>
  <c r="CA50" i="3"/>
  <c r="CA18" i="3"/>
  <c r="CA100" i="3"/>
  <c r="CA96" i="3"/>
  <c r="CA92" i="3"/>
  <c r="CA88" i="3"/>
  <c r="CA82" i="3"/>
  <c r="CD82" i="3" s="1"/>
  <c r="CA74" i="3"/>
  <c r="CA66" i="3"/>
  <c r="CA58" i="3"/>
  <c r="CD58" i="3" s="1"/>
  <c r="CA42" i="3"/>
  <c r="CA26" i="3"/>
  <c r="CA6" i="3"/>
  <c r="CA84" i="3"/>
  <c r="CA80" i="3"/>
  <c r="CA76" i="3"/>
  <c r="CA72" i="3"/>
  <c r="CA68" i="3"/>
  <c r="CA64" i="3"/>
  <c r="CD64" i="3" s="1"/>
  <c r="CA60" i="3"/>
  <c r="CA54" i="3"/>
  <c r="CA46" i="3"/>
  <c r="CA38" i="3"/>
  <c r="CA30" i="3"/>
  <c r="CA22" i="3"/>
  <c r="CA14" i="3"/>
  <c r="CB91" i="3"/>
  <c r="CA56" i="3"/>
  <c r="CA52" i="3"/>
  <c r="CA48" i="3"/>
  <c r="CA44" i="3"/>
  <c r="CA40" i="3"/>
  <c r="CA36" i="3"/>
  <c r="CA32" i="3"/>
  <c r="CA28" i="3"/>
  <c r="CA24" i="3"/>
  <c r="CA20" i="3"/>
  <c r="CA16" i="3"/>
  <c r="CD16" i="3" s="1"/>
  <c r="CA10" i="3"/>
  <c r="CD10" i="3" s="1"/>
  <c r="CB99" i="3"/>
  <c r="CB69" i="3"/>
  <c r="CA12" i="3"/>
  <c r="CA8" i="3"/>
  <c r="CB103" i="3"/>
  <c r="CE103" i="3" s="1"/>
  <c r="CB95" i="3"/>
  <c r="CB83" i="3"/>
  <c r="CB53" i="3"/>
  <c r="CA4" i="3"/>
  <c r="CB101" i="3"/>
  <c r="CB97" i="3"/>
  <c r="CB93" i="3"/>
  <c r="CE93" i="3" s="1"/>
  <c r="CB87" i="3"/>
  <c r="CB77" i="3"/>
  <c r="CB61" i="3"/>
  <c r="CB37" i="3"/>
  <c r="CB89" i="3"/>
  <c r="CB85" i="3"/>
  <c r="CB81" i="3"/>
  <c r="CB73" i="3"/>
  <c r="CB65" i="3"/>
  <c r="CB57" i="3"/>
  <c r="CB47" i="3"/>
  <c r="CB13" i="3"/>
  <c r="CB79" i="3"/>
  <c r="CB75" i="3"/>
  <c r="CB71" i="3"/>
  <c r="CB67" i="3"/>
  <c r="CB63" i="3"/>
  <c r="CE63" i="3" s="1"/>
  <c r="CB59" i="3"/>
  <c r="CB55" i="3"/>
  <c r="CB51" i="3"/>
  <c r="CB43" i="3"/>
  <c r="CB29" i="3"/>
  <c r="CH94" i="3"/>
  <c r="CB49" i="3"/>
  <c r="CB45" i="3"/>
  <c r="CB41" i="3"/>
  <c r="CB33" i="3"/>
  <c r="CB21" i="3"/>
  <c r="CB5" i="3"/>
  <c r="CH72" i="3"/>
  <c r="CB39" i="3"/>
  <c r="CB35" i="3"/>
  <c r="CB31" i="3"/>
  <c r="CB25" i="3"/>
  <c r="CB17" i="3"/>
  <c r="CB9" i="3"/>
  <c r="CH102" i="3"/>
  <c r="CH86" i="3"/>
  <c r="CH36" i="3"/>
  <c r="CK36" i="3" s="1"/>
  <c r="CB27" i="3"/>
  <c r="CB23" i="3"/>
  <c r="CE23" i="3" s="1"/>
  <c r="CB19" i="3"/>
  <c r="CB15" i="3"/>
  <c r="CB11" i="3"/>
  <c r="CE11" i="3" s="1"/>
  <c r="CB7" i="3"/>
  <c r="CH3" i="3"/>
  <c r="CH98" i="3"/>
  <c r="CH90" i="3"/>
  <c r="CH80" i="3"/>
  <c r="CH56" i="3"/>
  <c r="CI93" i="3"/>
  <c r="CH100" i="3"/>
  <c r="CK100" i="3" s="1"/>
  <c r="CH96" i="3"/>
  <c r="CH92" i="3"/>
  <c r="CH88" i="3"/>
  <c r="CH84" i="3"/>
  <c r="CH76" i="3"/>
  <c r="CH64" i="3"/>
  <c r="CH48" i="3"/>
  <c r="CH20" i="3"/>
  <c r="CI61" i="3"/>
  <c r="CH82" i="3"/>
  <c r="CK82" i="3" s="1"/>
  <c r="CH78" i="3"/>
  <c r="CH74" i="3"/>
  <c r="CH68" i="3"/>
  <c r="CH60" i="3"/>
  <c r="CH52" i="3"/>
  <c r="CH44" i="3"/>
  <c r="CK44" i="3" s="1"/>
  <c r="CH28" i="3"/>
  <c r="CH8" i="3"/>
  <c r="CI77" i="3"/>
  <c r="CI21" i="3"/>
  <c r="CH40" i="3"/>
  <c r="CH32" i="3"/>
  <c r="CH24" i="3"/>
  <c r="CH16" i="3"/>
  <c r="CI101" i="3"/>
  <c r="CI85" i="3"/>
  <c r="CI69" i="3"/>
  <c r="CI49" i="3"/>
  <c r="CL49" i="3" s="1"/>
  <c r="CH59" i="3"/>
  <c r="CH12" i="3"/>
  <c r="CK12" i="3" s="1"/>
  <c r="CH4" i="3"/>
  <c r="CI97" i="3"/>
  <c r="CI89" i="3"/>
  <c r="CI81" i="3"/>
  <c r="CI73" i="3"/>
  <c r="CI65" i="3"/>
  <c r="CI57" i="3"/>
  <c r="CL57" i="3" s="1"/>
  <c r="CI37" i="3"/>
  <c r="CI5" i="3"/>
  <c r="CH43" i="3"/>
  <c r="CI53" i="3"/>
  <c r="CI45" i="3"/>
  <c r="CL45" i="3" s="1"/>
  <c r="CI29" i="3"/>
  <c r="CI13" i="3"/>
  <c r="CH67" i="3"/>
  <c r="CK67" i="3" s="1"/>
  <c r="CH51" i="3"/>
  <c r="CH27" i="3"/>
  <c r="CI41" i="3"/>
  <c r="CL41" i="3" s="1"/>
  <c r="CI33" i="3"/>
  <c r="CI25" i="3"/>
  <c r="CI17" i="3"/>
  <c r="CI9" i="3"/>
  <c r="CH71" i="3"/>
  <c r="CH63" i="3"/>
  <c r="CH55" i="3"/>
  <c r="CH47" i="3"/>
  <c r="CK47" i="3" s="1"/>
  <c r="CH37" i="3"/>
  <c r="CK37" i="3" s="1"/>
  <c r="CH5" i="3"/>
  <c r="CH69" i="3"/>
  <c r="CH65" i="3"/>
  <c r="CH61" i="3"/>
  <c r="CH57" i="3"/>
  <c r="CH53" i="3"/>
  <c r="CH49" i="3"/>
  <c r="CH45" i="3"/>
  <c r="CH41" i="3"/>
  <c r="CH33" i="3"/>
  <c r="CH19" i="3"/>
  <c r="CI80" i="3"/>
  <c r="CH39" i="3"/>
  <c r="CH35" i="3"/>
  <c r="CH31" i="3"/>
  <c r="CH23" i="3"/>
  <c r="CH13" i="3"/>
  <c r="CI96" i="3"/>
  <c r="CI62" i="3"/>
  <c r="CH29" i="3"/>
  <c r="CH25" i="3"/>
  <c r="CH21" i="3"/>
  <c r="CH17" i="3"/>
  <c r="CH9" i="3"/>
  <c r="CI102" i="3"/>
  <c r="CI88" i="3"/>
  <c r="CI72" i="3"/>
  <c r="CI36" i="3"/>
  <c r="CH15" i="3"/>
  <c r="CH11" i="3"/>
  <c r="CH7" i="3"/>
  <c r="CI3" i="3"/>
  <c r="CI100" i="3"/>
  <c r="CI92" i="3"/>
  <c r="CI84" i="3"/>
  <c r="CI76" i="3"/>
  <c r="CI68" i="3"/>
  <c r="CL68" i="3" s="1"/>
  <c r="CI52" i="3"/>
  <c r="CI20" i="3"/>
  <c r="CI98" i="3"/>
  <c r="CI94" i="3"/>
  <c r="CI90" i="3"/>
  <c r="CI86" i="3"/>
  <c r="CI82" i="3"/>
  <c r="CL82" i="3" s="1"/>
  <c r="CI78" i="3"/>
  <c r="CL78" i="3" s="1"/>
  <c r="CI74" i="3"/>
  <c r="CI70" i="3"/>
  <c r="CI66" i="3"/>
  <c r="CL66" i="3" s="1"/>
  <c r="CI58" i="3"/>
  <c r="CI44" i="3"/>
  <c r="CI28" i="3"/>
  <c r="CI12" i="3"/>
  <c r="CI64" i="3"/>
  <c r="CI60" i="3"/>
  <c r="CI56" i="3"/>
  <c r="CI48" i="3"/>
  <c r="CI40" i="3"/>
  <c r="CI32" i="3"/>
  <c r="CI24" i="3"/>
  <c r="CI16" i="3"/>
  <c r="CI8" i="3"/>
  <c r="CI54" i="3"/>
  <c r="CI50" i="3"/>
  <c r="CI46" i="3"/>
  <c r="CI42" i="3"/>
  <c r="CI38" i="3"/>
  <c r="CI34" i="3"/>
  <c r="CI30" i="3"/>
  <c r="CI26" i="3"/>
  <c r="CI22" i="3"/>
  <c r="CI18" i="3"/>
  <c r="CI14" i="3"/>
  <c r="CI10" i="3"/>
  <c r="CD22" i="3" l="1"/>
  <c r="BW90" i="3"/>
  <c r="BJ85" i="3"/>
  <c r="CK17" i="3"/>
  <c r="CD99" i="3"/>
  <c r="BI102" i="3"/>
  <c r="BW91" i="3"/>
  <c r="CD57" i="3"/>
  <c r="BP62" i="3"/>
  <c r="CE86" i="3"/>
  <c r="BP10" i="3"/>
  <c r="BI101" i="3"/>
  <c r="BQ3" i="3"/>
  <c r="BC75" i="3"/>
  <c r="BB75" i="3"/>
  <c r="BP8" i="3"/>
  <c r="BP98" i="3"/>
  <c r="BR98" i="3" s="1"/>
  <c r="BC51" i="3"/>
  <c r="BC5" i="3"/>
  <c r="CD6" i="3"/>
  <c r="CD79" i="3"/>
  <c r="BQ91" i="3"/>
  <c r="CL72" i="3"/>
  <c r="CE49" i="3"/>
  <c r="CE64" i="3"/>
  <c r="BW72" i="3"/>
  <c r="BQ39" i="3"/>
  <c r="BQ64" i="3"/>
  <c r="BJ26" i="3"/>
  <c r="BP56" i="3"/>
  <c r="BP88" i="3"/>
  <c r="BC56" i="3"/>
  <c r="CK54" i="3"/>
  <c r="BJ17" i="3"/>
  <c r="BC7" i="3"/>
  <c r="BI34" i="3"/>
  <c r="BI40" i="3"/>
  <c r="CL55" i="3"/>
  <c r="BI72" i="3"/>
  <c r="BX92" i="3"/>
  <c r="BJ43" i="3"/>
  <c r="BB52" i="3"/>
  <c r="BC95" i="3"/>
  <c r="BW95" i="3"/>
  <c r="BB95" i="3"/>
  <c r="BI36" i="3"/>
  <c r="BK36" i="3" s="1"/>
  <c r="BI92" i="3"/>
  <c r="BQ76" i="3"/>
  <c r="BP89" i="3"/>
  <c r="BR89" i="3" s="1"/>
  <c r="CL19" i="3"/>
  <c r="BJ77" i="3"/>
  <c r="BX100" i="3"/>
  <c r="BW100" i="3"/>
  <c r="BQ100" i="3"/>
  <c r="BI59" i="3"/>
  <c r="CL59" i="3"/>
  <c r="BJ53" i="3"/>
  <c r="BP27" i="3"/>
  <c r="CL33" i="3"/>
  <c r="BI12" i="3"/>
  <c r="BB77" i="3"/>
  <c r="BW55" i="3"/>
  <c r="CL98" i="3"/>
  <c r="CK23" i="3"/>
  <c r="CE5" i="3"/>
  <c r="BP59" i="3"/>
  <c r="CL46" i="3"/>
  <c r="CL3" i="3"/>
  <c r="CK9" i="3"/>
  <c r="CL61" i="3"/>
  <c r="CD74" i="3"/>
  <c r="CD70" i="3"/>
  <c r="CL74" i="3"/>
  <c r="CE61" i="3"/>
  <c r="CD46" i="3"/>
  <c r="CL95" i="3"/>
  <c r="CE36" i="3"/>
  <c r="CK83" i="3"/>
  <c r="BX15" i="3"/>
  <c r="CL60" i="3"/>
  <c r="CK21" i="3"/>
  <c r="CE15" i="3"/>
  <c r="CE83" i="3"/>
  <c r="CL36" i="3"/>
  <c r="CD60" i="3"/>
  <c r="CK58" i="3"/>
  <c r="BI31" i="3"/>
  <c r="CL31" i="3"/>
  <c r="BI94" i="3"/>
  <c r="BB26" i="3"/>
  <c r="BX50" i="3"/>
  <c r="BB10" i="3"/>
  <c r="CL85" i="3"/>
  <c r="CE75" i="3"/>
  <c r="CE85" i="3"/>
  <c r="BW46" i="3"/>
  <c r="BW60" i="3"/>
  <c r="BQ21" i="3"/>
  <c r="BQ36" i="3"/>
  <c r="CL63" i="3"/>
  <c r="CK62" i="3"/>
  <c r="BC77" i="3"/>
  <c r="BC17" i="3"/>
  <c r="BB59" i="3"/>
  <c r="CE78" i="3"/>
  <c r="BW12" i="3"/>
  <c r="BQ12" i="3"/>
  <c r="BQ35" i="3"/>
  <c r="BQ75" i="3"/>
  <c r="BJ6" i="3"/>
  <c r="CE98" i="3"/>
  <c r="CD5" i="3"/>
  <c r="CD81" i="3"/>
  <c r="BQ13" i="3"/>
  <c r="BQ32" i="3"/>
  <c r="BQ103" i="3"/>
  <c r="BR103" i="3" s="1"/>
  <c r="BJ8" i="3"/>
  <c r="BJ23" i="3"/>
  <c r="BJ32" i="3"/>
  <c r="BJ57" i="3"/>
  <c r="BW81" i="3"/>
  <c r="BI13" i="3"/>
  <c r="CL83" i="3"/>
  <c r="CK70" i="3"/>
  <c r="BQ46" i="3"/>
  <c r="CD83" i="3"/>
  <c r="BQ42" i="3"/>
  <c r="CE42" i="3"/>
  <c r="BJ75" i="3"/>
  <c r="BQ74" i="3"/>
  <c r="BJ58" i="3"/>
  <c r="BJ83" i="3"/>
  <c r="BX36" i="3"/>
  <c r="CE46" i="3"/>
  <c r="BX9" i="3"/>
  <c r="BX61" i="3"/>
  <c r="BW70" i="3"/>
  <c r="BQ58" i="3"/>
  <c r="BQ95" i="3"/>
  <c r="BI63" i="3"/>
  <c r="BK63" i="3" s="1"/>
  <c r="BI81" i="3"/>
  <c r="BP13" i="3"/>
  <c r="BP81" i="3"/>
  <c r="BI62" i="3"/>
  <c r="BK62" i="3" s="1"/>
  <c r="BW21" i="3"/>
  <c r="BP58" i="3"/>
  <c r="BI21" i="3"/>
  <c r="BC3" i="3"/>
  <c r="BB46" i="3"/>
  <c r="BI3" i="3"/>
  <c r="BB15" i="3"/>
  <c r="BB53" i="3"/>
  <c r="BX60" i="3"/>
  <c r="BX74" i="3"/>
  <c r="CK7" i="3"/>
  <c r="CL79" i="3"/>
  <c r="CL71" i="3"/>
  <c r="CL91" i="3"/>
  <c r="CK75" i="3"/>
  <c r="BX7" i="3"/>
  <c r="BX75" i="3"/>
  <c r="BQ6" i="3"/>
  <c r="BQ79" i="3"/>
  <c r="BQ84" i="3"/>
  <c r="BQ68" i="3"/>
  <c r="BQ78" i="3"/>
  <c r="BJ78" i="3"/>
  <c r="BJ84" i="3"/>
  <c r="BX6" i="3"/>
  <c r="CL5" i="3"/>
  <c r="CL103" i="3"/>
  <c r="CE8" i="3"/>
  <c r="CD97" i="3"/>
  <c r="BX81" i="3"/>
  <c r="BW32" i="3"/>
  <c r="BQ81" i="3"/>
  <c r="BJ13" i="3"/>
  <c r="CL84" i="3"/>
  <c r="CK84" i="3"/>
  <c r="CE35" i="3"/>
  <c r="CE91" i="3"/>
  <c r="CD7" i="3"/>
  <c r="CD75" i="3"/>
  <c r="CE90" i="3"/>
  <c r="BW84" i="3"/>
  <c r="BQ7" i="3"/>
  <c r="BX78" i="3"/>
  <c r="BP12" i="3"/>
  <c r="BP7" i="3"/>
  <c r="BI6" i="3"/>
  <c r="BC91" i="3"/>
  <c r="CK90" i="3"/>
  <c r="CL32" i="3"/>
  <c r="CK98" i="3"/>
  <c r="CE81" i="3"/>
  <c r="CE97" i="3"/>
  <c r="CD32" i="3"/>
  <c r="CL23" i="3"/>
  <c r="CD62" i="3"/>
  <c r="CK81" i="3"/>
  <c r="CD103" i="3"/>
  <c r="BX63" i="3"/>
  <c r="BW8" i="3"/>
  <c r="BQ8" i="3"/>
  <c r="BQ23" i="3"/>
  <c r="BQ62" i="3"/>
  <c r="BR62" i="3" s="1"/>
  <c r="BQ67" i="3"/>
  <c r="BJ103" i="3"/>
  <c r="CL10" i="3"/>
  <c r="CL100" i="3"/>
  <c r="CK41" i="3"/>
  <c r="CE29" i="3"/>
  <c r="CE10" i="3"/>
  <c r="BW30" i="3"/>
  <c r="BW10" i="3"/>
  <c r="BQ47" i="3"/>
  <c r="BQ44" i="3"/>
  <c r="CL89" i="3"/>
  <c r="CL101" i="3"/>
  <c r="CK28" i="3"/>
  <c r="CK102" i="3"/>
  <c r="CE89" i="3"/>
  <c r="CK50" i="3"/>
  <c r="CK101" i="3"/>
  <c r="BX65" i="3"/>
  <c r="BW16" i="3"/>
  <c r="BW38" i="3"/>
  <c r="BQ16" i="3"/>
  <c r="BQ50" i="3"/>
  <c r="BQ77" i="3"/>
  <c r="BJ16" i="3"/>
  <c r="BX28" i="3"/>
  <c r="BX102" i="3"/>
  <c r="BP50" i="3"/>
  <c r="BB38" i="3"/>
  <c r="BI28" i="3"/>
  <c r="CE44" i="3"/>
  <c r="CL16" i="3"/>
  <c r="CE65" i="3"/>
  <c r="CD73" i="3"/>
  <c r="BX101" i="3"/>
  <c r="BX77" i="3"/>
  <c r="BJ89" i="3"/>
  <c r="BK89" i="3" s="1"/>
  <c r="BW101" i="3"/>
  <c r="CD44" i="3"/>
  <c r="CL38" i="3"/>
  <c r="CK69" i="3"/>
  <c r="CL73" i="3"/>
  <c r="CL69" i="3"/>
  <c r="CL77" i="3"/>
  <c r="CK94" i="3"/>
  <c r="CE38" i="3"/>
  <c r="CK38" i="3"/>
  <c r="CE50" i="3"/>
  <c r="BW94" i="3"/>
  <c r="BQ73" i="3"/>
  <c r="BQ94" i="3"/>
  <c r="BJ28" i="3"/>
  <c r="BJ65" i="3"/>
  <c r="BP16" i="3"/>
  <c r="BR16" i="3" s="1"/>
  <c r="BW77" i="3"/>
  <c r="CL40" i="3"/>
  <c r="CK72" i="3"/>
  <c r="CD72" i="3"/>
  <c r="CL43" i="3"/>
  <c r="CE80" i="3"/>
  <c r="CD39" i="3"/>
  <c r="BW14" i="3"/>
  <c r="BW40" i="3"/>
  <c r="BQ11" i="3"/>
  <c r="BQ40" i="3"/>
  <c r="BJ14" i="3"/>
  <c r="BJ30" i="3"/>
  <c r="BP34" i="3"/>
  <c r="BR34" i="3" s="1"/>
  <c r="BB34" i="3"/>
  <c r="BI96" i="3"/>
  <c r="CL56" i="3"/>
  <c r="CD80" i="3"/>
  <c r="CK14" i="3"/>
  <c r="CK49" i="3"/>
  <c r="BJ56" i="3"/>
  <c r="BW11" i="3"/>
  <c r="CL26" i="3"/>
  <c r="CL64" i="3"/>
  <c r="CK39" i="3"/>
  <c r="CK64" i="3"/>
  <c r="CK56" i="3"/>
  <c r="CE14" i="3"/>
  <c r="BX39" i="3"/>
  <c r="BX93" i="3"/>
  <c r="BW64" i="3"/>
  <c r="BQ26" i="3"/>
  <c r="BQ56" i="3"/>
  <c r="BQ88" i="3"/>
  <c r="BQ93" i="3"/>
  <c r="BX26" i="3"/>
  <c r="BX40" i="3"/>
  <c r="BX56" i="3"/>
  <c r="BX64" i="3"/>
  <c r="BP80" i="3"/>
  <c r="BI93" i="3"/>
  <c r="BW43" i="3"/>
  <c r="BP93" i="3"/>
  <c r="BB39" i="3"/>
  <c r="BC64" i="3"/>
  <c r="BI80" i="3"/>
  <c r="BC39" i="3"/>
  <c r="BC14" i="3"/>
  <c r="BB43" i="3"/>
  <c r="BB64" i="3"/>
  <c r="CK43" i="3"/>
  <c r="CK93" i="3"/>
  <c r="BW56" i="3"/>
  <c r="BW65" i="3"/>
  <c r="BI73" i="3"/>
  <c r="BP73" i="3"/>
  <c r="BI61" i="3"/>
  <c r="BP9" i="3"/>
  <c r="BR9" i="3" s="1"/>
  <c r="BP65" i="3"/>
  <c r="BI16" i="3"/>
  <c r="BC28" i="3"/>
  <c r="BB65" i="3"/>
  <c r="BC69" i="3"/>
  <c r="CK34" i="3"/>
  <c r="CD47" i="3"/>
  <c r="CE34" i="3"/>
  <c r="BX41" i="3"/>
  <c r="BJ55" i="3"/>
  <c r="BI47" i="3"/>
  <c r="BI11" i="3"/>
  <c r="BW47" i="3"/>
  <c r="BP41" i="3"/>
  <c r="BR41" i="3" s="1"/>
  <c r="BC11" i="3"/>
  <c r="BC34" i="3"/>
  <c r="BC41" i="3"/>
  <c r="BI10" i="3"/>
  <c r="CK10" i="3"/>
  <c r="BC38" i="3"/>
  <c r="CE41" i="3"/>
  <c r="CL34" i="3"/>
  <c r="CD100" i="3"/>
  <c r="CL11" i="3"/>
  <c r="CE30" i="3"/>
  <c r="BX47" i="3"/>
  <c r="BJ10" i="3"/>
  <c r="BJ34" i="3"/>
  <c r="BK34" i="3" s="1"/>
  <c r="BI17" i="3"/>
  <c r="BP17" i="3"/>
  <c r="BB55" i="3"/>
  <c r="BB29" i="3"/>
  <c r="CL6" i="3"/>
  <c r="BC74" i="3"/>
  <c r="BB70" i="3"/>
  <c r="BC21" i="3"/>
  <c r="BI60" i="3"/>
  <c r="BB74" i="3"/>
  <c r="BC36" i="3"/>
  <c r="BB9" i="3"/>
  <c r="BC70" i="3"/>
  <c r="BI58" i="3"/>
  <c r="BC83" i="3"/>
  <c r="BC60" i="3"/>
  <c r="BP95" i="3"/>
  <c r="BR95" i="3" s="1"/>
  <c r="BB36" i="3"/>
  <c r="BB83" i="3"/>
  <c r="BC48" i="3"/>
  <c r="BW93" i="3"/>
  <c r="BP64" i="3"/>
  <c r="BX84" i="3"/>
  <c r="BX80" i="3"/>
  <c r="BP71" i="3"/>
  <c r="BI14" i="3"/>
  <c r="BC43" i="3"/>
  <c r="BB7" i="3"/>
  <c r="BB71" i="3"/>
  <c r="BI64" i="3"/>
  <c r="BC71" i="3"/>
  <c r="BB40" i="3"/>
  <c r="BB88" i="3"/>
  <c r="BP14" i="3"/>
  <c r="BP72" i="3"/>
  <c r="BP78" i="3"/>
  <c r="BR78" i="3" s="1"/>
  <c r="BI39" i="3"/>
  <c r="BI49" i="3"/>
  <c r="BK49" i="3" s="1"/>
  <c r="BI85" i="3"/>
  <c r="BK85" i="3" s="1"/>
  <c r="BP35" i="3"/>
  <c r="BP85" i="3"/>
  <c r="BC78" i="3"/>
  <c r="BD78" i="3" s="1"/>
  <c r="BC72" i="3"/>
  <c r="BC40" i="3"/>
  <c r="BC49" i="3"/>
  <c r="BI88" i="3"/>
  <c r="BI56" i="3"/>
  <c r="BK56" i="3" s="1"/>
  <c r="BI78" i="3"/>
  <c r="BC80" i="3"/>
  <c r="BB72" i="3"/>
  <c r="BW5" i="3"/>
  <c r="BW97" i="3"/>
  <c r="BP32" i="3"/>
  <c r="BW63" i="3"/>
  <c r="BW67" i="3"/>
  <c r="BI8" i="3"/>
  <c r="BC67" i="3"/>
  <c r="BC13" i="3"/>
  <c r="BB67" i="3"/>
  <c r="BX98" i="3"/>
  <c r="BI103" i="3"/>
  <c r="BP23" i="3"/>
  <c r="BP57" i="3"/>
  <c r="BB63" i="3"/>
  <c r="BC98" i="3"/>
  <c r="BB62" i="3"/>
  <c r="BB57" i="3"/>
  <c r="BP87" i="3"/>
  <c r="BB91" i="3"/>
  <c r="BD91" i="3" s="1"/>
  <c r="BB8" i="3"/>
  <c r="BX31" i="3"/>
  <c r="BJ59" i="3"/>
  <c r="BX48" i="3"/>
  <c r="BX24" i="3"/>
  <c r="BP54" i="3"/>
  <c r="BW27" i="3"/>
  <c r="BW59" i="3"/>
  <c r="BP45" i="3"/>
  <c r="BC59" i="3"/>
  <c r="BB45" i="3"/>
  <c r="BI24" i="3"/>
  <c r="BC54" i="3"/>
  <c r="BC87" i="3"/>
  <c r="CK52" i="3"/>
  <c r="CE33" i="3"/>
  <c r="CK18" i="3"/>
  <c r="CE18" i="3"/>
  <c r="CE66" i="3"/>
  <c r="BW66" i="3"/>
  <c r="BQ86" i="3"/>
  <c r="BQ87" i="3"/>
  <c r="BJ52" i="3"/>
  <c r="BX52" i="3"/>
  <c r="BX66" i="3"/>
  <c r="BX42" i="3"/>
  <c r="BP25" i="3"/>
  <c r="BI42" i="3"/>
  <c r="BI52" i="3"/>
  <c r="BI18" i="3"/>
  <c r="BB87" i="3"/>
  <c r="CK31" i="3"/>
  <c r="CE19" i="3"/>
  <c r="CE59" i="3"/>
  <c r="CD54" i="3"/>
  <c r="CE48" i="3"/>
  <c r="CD27" i="3"/>
  <c r="BX19" i="3"/>
  <c r="BQ19" i="3"/>
  <c r="BQ48" i="3"/>
  <c r="BQ59" i="3"/>
  <c r="BJ27" i="3"/>
  <c r="BX76" i="3"/>
  <c r="BP22" i="3"/>
  <c r="BW99" i="3"/>
  <c r="BP99" i="3"/>
  <c r="BI48" i="3"/>
  <c r="CE53" i="3"/>
  <c r="CE87" i="3"/>
  <c r="BQ66" i="3"/>
  <c r="BJ37" i="3"/>
  <c r="BJ87" i="3"/>
  <c r="BJ92" i="3"/>
  <c r="BI37" i="3"/>
  <c r="BW51" i="3"/>
  <c r="BC42" i="3"/>
  <c r="BB33" i="3"/>
  <c r="BC37" i="3"/>
  <c r="CD87" i="3"/>
  <c r="CL24" i="3"/>
  <c r="CK19" i="3"/>
  <c r="CE27" i="3"/>
  <c r="CE54" i="3"/>
  <c r="CD53" i="3"/>
  <c r="BX59" i="3"/>
  <c r="BQ31" i="3"/>
  <c r="BI45" i="3"/>
  <c r="BI99" i="3"/>
  <c r="BC27" i="3"/>
  <c r="BC24" i="3"/>
  <c r="BI54" i="3"/>
  <c r="BB11" i="3"/>
  <c r="BC76" i="3"/>
  <c r="BB44" i="3"/>
  <c r="BB48" i="3"/>
  <c r="BB96" i="3"/>
  <c r="CL52" i="3"/>
  <c r="CL92" i="3"/>
  <c r="CK33" i="3"/>
  <c r="CD18" i="3"/>
  <c r="BW18" i="3"/>
  <c r="BQ37" i="3"/>
  <c r="BX86" i="3"/>
  <c r="BP42" i="3"/>
  <c r="BP66" i="3"/>
  <c r="BI25" i="3"/>
  <c r="BC52" i="3"/>
  <c r="BD52" i="3" s="1"/>
  <c r="BC20" i="3"/>
  <c r="BB25" i="3"/>
  <c r="BI86" i="3"/>
  <c r="BB3" i="3"/>
  <c r="BW4" i="3"/>
  <c r="BX4" i="3"/>
  <c r="BP4" i="3"/>
  <c r="BB4" i="3"/>
  <c r="CL14" i="3"/>
  <c r="CM14" i="3" s="1"/>
  <c r="CL22" i="3"/>
  <c r="CL30" i="3"/>
  <c r="CL54" i="3"/>
  <c r="CM54" i="3" s="1"/>
  <c r="CL48" i="3"/>
  <c r="CL12" i="3"/>
  <c r="CM12" i="3" s="1"/>
  <c r="CL44" i="3"/>
  <c r="CM44" i="3" s="1"/>
  <c r="CL90" i="3"/>
  <c r="CM90" i="3" s="1"/>
  <c r="CL76" i="3"/>
  <c r="CK11" i="3"/>
  <c r="CM11" i="3" s="1"/>
  <c r="CL88" i="3"/>
  <c r="CK29" i="3"/>
  <c r="CL96" i="3"/>
  <c r="CK35" i="3"/>
  <c r="CL80" i="3"/>
  <c r="CK45" i="3"/>
  <c r="CM45" i="3" s="1"/>
  <c r="CK53" i="3"/>
  <c r="CK55" i="3"/>
  <c r="CM55" i="3" s="1"/>
  <c r="CK71" i="3"/>
  <c r="CM71" i="3" s="1"/>
  <c r="CL17" i="3"/>
  <c r="CK27" i="3"/>
  <c r="CL29" i="3"/>
  <c r="CL53" i="3"/>
  <c r="CK4" i="3"/>
  <c r="CK59" i="3"/>
  <c r="CM59" i="3" s="1"/>
  <c r="CK24" i="3"/>
  <c r="CM24" i="3" s="1"/>
  <c r="CK40" i="3"/>
  <c r="CM40" i="3" s="1"/>
  <c r="CK68" i="3"/>
  <c r="CM68" i="3" s="1"/>
  <c r="CK78" i="3"/>
  <c r="CM78" i="3" s="1"/>
  <c r="CK48" i="3"/>
  <c r="CK76" i="3"/>
  <c r="CM76" i="3" s="1"/>
  <c r="CK88" i="3"/>
  <c r="CK96" i="3"/>
  <c r="CM96" i="3" s="1"/>
  <c r="CL93" i="3"/>
  <c r="CM93" i="3" s="1"/>
  <c r="CK80" i="3"/>
  <c r="CM80" i="3" s="1"/>
  <c r="CE7" i="3"/>
  <c r="CF7" i="3" s="1"/>
  <c r="CE17" i="3"/>
  <c r="CE31" i="3"/>
  <c r="CE43" i="3"/>
  <c r="CE55" i="3"/>
  <c r="CE79" i="3"/>
  <c r="CD4" i="3"/>
  <c r="CD12" i="3"/>
  <c r="CD40" i="3"/>
  <c r="CD48" i="3"/>
  <c r="CF48" i="3" s="1"/>
  <c r="CD56" i="3"/>
  <c r="CD30" i="3"/>
  <c r="CF30" i="3" s="1"/>
  <c r="CD68" i="3"/>
  <c r="CD84" i="3"/>
  <c r="CD26" i="3"/>
  <c r="CK26" i="3"/>
  <c r="CM26" i="3" s="1"/>
  <c r="CE4" i="3"/>
  <c r="CE40" i="3"/>
  <c r="CE56" i="3"/>
  <c r="CE12" i="3"/>
  <c r="CE100" i="3"/>
  <c r="CF100" i="3" s="1"/>
  <c r="CE84" i="3"/>
  <c r="CE68" i="3"/>
  <c r="CD31" i="3"/>
  <c r="CF31" i="3" s="1"/>
  <c r="CD19" i="3"/>
  <c r="CF19" i="3" s="1"/>
  <c r="CD43" i="3"/>
  <c r="CF43" i="3" s="1"/>
  <c r="CD11" i="3"/>
  <c r="CF11" i="3" s="1"/>
  <c r="CD55" i="3"/>
  <c r="CL75" i="3"/>
  <c r="CM75" i="3" s="1"/>
  <c r="CD59" i="3"/>
  <c r="CF59" i="3" s="1"/>
  <c r="CK30" i="3"/>
  <c r="CK22" i="3"/>
  <c r="CK79" i="3"/>
  <c r="CM79" i="3" s="1"/>
  <c r="CE22" i="3"/>
  <c r="CF22" i="3" s="1"/>
  <c r="CD17" i="3"/>
  <c r="CE26" i="3"/>
  <c r="CF26" i="3" s="1"/>
  <c r="CD49" i="3"/>
  <c r="CF49" i="3" s="1"/>
  <c r="BX17" i="3"/>
  <c r="BX43" i="3"/>
  <c r="BY43" i="3" s="1"/>
  <c r="BX55" i="3"/>
  <c r="BY55" i="3" s="1"/>
  <c r="BX79" i="3"/>
  <c r="BX11" i="3"/>
  <c r="BY11" i="3" s="1"/>
  <c r="BX49" i="3"/>
  <c r="BX53" i="3"/>
  <c r="BW22" i="3"/>
  <c r="BW26" i="3"/>
  <c r="BY26" i="3" s="1"/>
  <c r="BW48" i="3"/>
  <c r="BY48" i="3" s="1"/>
  <c r="BW68" i="3"/>
  <c r="BY68" i="3" s="1"/>
  <c r="BW80" i="3"/>
  <c r="BY80" i="3" s="1"/>
  <c r="BW78" i="3"/>
  <c r="BY78" i="3" s="1"/>
  <c r="BQ4" i="3"/>
  <c r="BQ17" i="3"/>
  <c r="BQ22" i="3"/>
  <c r="BQ10" i="3"/>
  <c r="BQ30" i="3"/>
  <c r="BQ43" i="3"/>
  <c r="BQ55" i="3"/>
  <c r="BQ53" i="3"/>
  <c r="BQ49" i="3"/>
  <c r="BQ80" i="3"/>
  <c r="BJ4" i="3"/>
  <c r="BJ12" i="3"/>
  <c r="BJ11" i="3"/>
  <c r="BJ19" i="3"/>
  <c r="BJ22" i="3"/>
  <c r="BJ31" i="3"/>
  <c r="BJ40" i="3"/>
  <c r="BK40" i="3" s="1"/>
  <c r="BJ48" i="3"/>
  <c r="BJ68" i="3"/>
  <c r="BJ79" i="3"/>
  <c r="BJ80" i="3"/>
  <c r="BJ100" i="3"/>
  <c r="BX10" i="3"/>
  <c r="BY10" i="3" s="1"/>
  <c r="BX22" i="3"/>
  <c r="BX12" i="3"/>
  <c r="BY12" i="3" s="1"/>
  <c r="BX30" i="3"/>
  <c r="BY30" i="3" s="1"/>
  <c r="BW17" i="3"/>
  <c r="BW49" i="3"/>
  <c r="BP26" i="3"/>
  <c r="BW53" i="3"/>
  <c r="BY53" i="3" s="1"/>
  <c r="BP30" i="3"/>
  <c r="BP68" i="3"/>
  <c r="BP40" i="3"/>
  <c r="BP48" i="3"/>
  <c r="BP84" i="3"/>
  <c r="BP100" i="3"/>
  <c r="BI19" i="3"/>
  <c r="BI43" i="3"/>
  <c r="BK43" i="3" s="1"/>
  <c r="BI53" i="3"/>
  <c r="BI55" i="3"/>
  <c r="BI75" i="3"/>
  <c r="BI79" i="3"/>
  <c r="BW19" i="3"/>
  <c r="BY19" i="3" s="1"/>
  <c r="BW79" i="3"/>
  <c r="BW31" i="3"/>
  <c r="BY31" i="3" s="1"/>
  <c r="BW75" i="3"/>
  <c r="BY75" i="3" s="1"/>
  <c r="BP11" i="3"/>
  <c r="BP19" i="3"/>
  <c r="BP31" i="3"/>
  <c r="BP43" i="3"/>
  <c r="BP55" i="3"/>
  <c r="BP53" i="3"/>
  <c r="BP75" i="3"/>
  <c r="BP49" i="3"/>
  <c r="BP79" i="3"/>
  <c r="BI26" i="3"/>
  <c r="BC19" i="3"/>
  <c r="BB31" i="3"/>
  <c r="BC10" i="3"/>
  <c r="BC26" i="3"/>
  <c r="BB22" i="3"/>
  <c r="BB30" i="3"/>
  <c r="BB100" i="3"/>
  <c r="BC68" i="3"/>
  <c r="BC12" i="3"/>
  <c r="BC4" i="3"/>
  <c r="BB49" i="3"/>
  <c r="BB17" i="3"/>
  <c r="BD17" i="3" s="1"/>
  <c r="BC53" i="3"/>
  <c r="BD53" i="3" s="1"/>
  <c r="BI100" i="3"/>
  <c r="BK100" i="3" s="1"/>
  <c r="BI84" i="3"/>
  <c r="BI68" i="3"/>
  <c r="BI30" i="3"/>
  <c r="BI22" i="3"/>
  <c r="BC31" i="3"/>
  <c r="BC55" i="3"/>
  <c r="BB19" i="3"/>
  <c r="BC79" i="3"/>
  <c r="BC30" i="3"/>
  <c r="BC22" i="3"/>
  <c r="BC84" i="3"/>
  <c r="BB12" i="3"/>
  <c r="BC100" i="3"/>
  <c r="BB68" i="3"/>
  <c r="BB56" i="3"/>
  <c r="BB79" i="3"/>
  <c r="BB84" i="3"/>
  <c r="BB80" i="3"/>
  <c r="BD80" i="3" s="1"/>
  <c r="CL4" i="3"/>
  <c r="BI4" i="3"/>
  <c r="CK13" i="3"/>
  <c r="CL13" i="3"/>
  <c r="CK3" i="3"/>
  <c r="CM3" i="3" s="1"/>
  <c r="CE13" i="3"/>
  <c r="CD3" i="3"/>
  <c r="CE3" i="3"/>
  <c r="BW3" i="3"/>
  <c r="BP3" i="3"/>
  <c r="BX3" i="3"/>
  <c r="BJ3" i="3"/>
  <c r="BB101" i="3"/>
  <c r="BC101" i="3"/>
  <c r="CL18" i="3"/>
  <c r="CM18" i="3" s="1"/>
  <c r="CL42" i="3"/>
  <c r="CL50" i="3"/>
  <c r="CM50" i="3" s="1"/>
  <c r="CL8" i="3"/>
  <c r="CL28" i="3"/>
  <c r="CM28" i="3" s="1"/>
  <c r="CL58" i="3"/>
  <c r="CM58" i="3" s="1"/>
  <c r="CL70" i="3"/>
  <c r="CM70" i="3" s="1"/>
  <c r="CL86" i="3"/>
  <c r="CL94" i="3"/>
  <c r="CM94" i="3" s="1"/>
  <c r="CL20" i="3"/>
  <c r="CK15" i="3"/>
  <c r="CL102" i="3"/>
  <c r="CM102" i="3" s="1"/>
  <c r="CK25" i="3"/>
  <c r="CL62" i="3"/>
  <c r="CM62" i="3" s="1"/>
  <c r="CK57" i="3"/>
  <c r="CM57" i="3" s="1"/>
  <c r="CK65" i="3"/>
  <c r="CK5" i="3"/>
  <c r="CM5" i="3" s="1"/>
  <c r="CK63" i="3"/>
  <c r="CM63" i="3" s="1"/>
  <c r="CL9" i="3"/>
  <c r="CM9" i="3" s="1"/>
  <c r="CL25" i="3"/>
  <c r="CK51" i="3"/>
  <c r="CL37" i="3"/>
  <c r="CM37" i="3" s="1"/>
  <c r="CL65" i="3"/>
  <c r="CL81" i="3"/>
  <c r="CM81" i="3" s="1"/>
  <c r="CL97" i="3"/>
  <c r="CK16" i="3"/>
  <c r="CK32" i="3"/>
  <c r="CM32" i="3" s="1"/>
  <c r="CL21" i="3"/>
  <c r="CM21" i="3" s="1"/>
  <c r="CK8" i="3"/>
  <c r="CK60" i="3"/>
  <c r="CM60" i="3" s="1"/>
  <c r="CK74" i="3"/>
  <c r="CM74" i="3" s="1"/>
  <c r="CK20" i="3"/>
  <c r="CM20" i="3" s="1"/>
  <c r="CK92" i="3"/>
  <c r="CM92" i="3" s="1"/>
  <c r="CK86" i="3"/>
  <c r="CM86" i="3" s="1"/>
  <c r="CE9" i="3"/>
  <c r="CE25" i="3"/>
  <c r="CE21" i="3"/>
  <c r="CF21" i="3" s="1"/>
  <c r="CE51" i="3"/>
  <c r="CE67" i="3"/>
  <c r="CE57" i="3"/>
  <c r="CF57" i="3" s="1"/>
  <c r="CE73" i="3"/>
  <c r="CE37" i="3"/>
  <c r="CE77" i="3"/>
  <c r="CE101" i="3"/>
  <c r="CE95" i="3"/>
  <c r="CD8" i="3"/>
  <c r="CF8" i="3" s="1"/>
  <c r="CE69" i="3"/>
  <c r="CD20" i="3"/>
  <c r="CD28" i="3"/>
  <c r="CF28" i="3" s="1"/>
  <c r="CD36" i="3"/>
  <c r="CF36" i="3" s="1"/>
  <c r="CD52" i="3"/>
  <c r="CD38" i="3"/>
  <c r="CF38" i="3" s="1"/>
  <c r="CD42" i="3"/>
  <c r="CF42" i="3" s="1"/>
  <c r="CD66" i="3"/>
  <c r="CF66" i="3" s="1"/>
  <c r="CD92" i="3"/>
  <c r="CD50" i="3"/>
  <c r="CF50" i="3" s="1"/>
  <c r="CD86" i="3"/>
  <c r="CF86" i="3" s="1"/>
  <c r="CD102" i="3"/>
  <c r="CF102" i="3" s="1"/>
  <c r="CL15" i="3"/>
  <c r="CK42" i="3"/>
  <c r="CM42" i="3" s="1"/>
  <c r="CK73" i="3"/>
  <c r="CM73" i="3" s="1"/>
  <c r="CK89" i="3"/>
  <c r="CM89" i="3" s="1"/>
  <c r="CK66" i="3"/>
  <c r="CM66" i="3" s="1"/>
  <c r="CK97" i="3"/>
  <c r="CE16" i="3"/>
  <c r="CF16" i="3" s="1"/>
  <c r="CE32" i="3"/>
  <c r="CF32" i="3" s="1"/>
  <c r="CL87" i="3"/>
  <c r="CE20" i="3"/>
  <c r="CK77" i="3"/>
  <c r="CM77" i="3" s="1"/>
  <c r="CE52" i="3"/>
  <c r="CE60" i="3"/>
  <c r="CF60" i="3" s="1"/>
  <c r="CE92" i="3"/>
  <c r="CD23" i="3"/>
  <c r="CF23" i="3" s="1"/>
  <c r="CD51" i="3"/>
  <c r="CF51" i="3" s="1"/>
  <c r="CD63" i="3"/>
  <c r="CF63" i="3" s="1"/>
  <c r="CD95" i="3"/>
  <c r="CL51" i="3"/>
  <c r="CL67" i="3"/>
  <c r="CM67" i="3" s="1"/>
  <c r="CK46" i="3"/>
  <c r="CM46" i="3" s="1"/>
  <c r="CD67" i="3"/>
  <c r="CK95" i="3"/>
  <c r="CM95" i="3" s="1"/>
  <c r="CK103" i="3"/>
  <c r="CM103" i="3" s="1"/>
  <c r="CE58" i="3"/>
  <c r="CE74" i="3"/>
  <c r="CF74" i="3" s="1"/>
  <c r="CK87" i="3"/>
  <c r="CM87" i="3" s="1"/>
  <c r="CE70" i="3"/>
  <c r="CF70" i="3" s="1"/>
  <c r="CE94" i="3"/>
  <c r="CF94" i="3" s="1"/>
  <c r="CD9" i="3"/>
  <c r="CD25" i="3"/>
  <c r="CD13" i="3"/>
  <c r="CF13" i="3" s="1"/>
  <c r="CD37" i="3"/>
  <c r="CE62" i="3"/>
  <c r="CF62" i="3" s="1"/>
  <c r="CD33" i="3"/>
  <c r="CF33" i="3" s="1"/>
  <c r="CD65" i="3"/>
  <c r="CF65" i="3" s="1"/>
  <c r="CD69" i="3"/>
  <c r="CF69" i="3" s="1"/>
  <c r="CD89" i="3"/>
  <c r="CF89" i="3" s="1"/>
  <c r="BX5" i="3"/>
  <c r="BY5" i="3" s="1"/>
  <c r="BX13" i="3"/>
  <c r="CD77" i="3"/>
  <c r="CF77" i="3" s="1"/>
  <c r="CD101" i="3"/>
  <c r="CF101" i="3" s="1"/>
  <c r="BX23" i="3"/>
  <c r="BX21" i="3"/>
  <c r="BY21" i="3" s="1"/>
  <c r="BX37" i="3"/>
  <c r="BX51" i="3"/>
  <c r="BY51" i="3" s="1"/>
  <c r="BX67" i="3"/>
  <c r="BY67" i="3" s="1"/>
  <c r="BX83" i="3"/>
  <c r="BX33" i="3"/>
  <c r="BX57" i="3"/>
  <c r="BX73" i="3"/>
  <c r="BX87" i="3"/>
  <c r="BX95" i="3"/>
  <c r="BY95" i="3" s="1"/>
  <c r="BX25" i="3"/>
  <c r="BX69" i="3"/>
  <c r="BW20" i="3"/>
  <c r="BX97" i="3"/>
  <c r="BY97" i="3" s="1"/>
  <c r="BW28" i="3"/>
  <c r="BY28" i="3" s="1"/>
  <c r="BW36" i="3"/>
  <c r="BY36" i="3" s="1"/>
  <c r="BX103" i="3"/>
  <c r="BY103" i="3" s="1"/>
  <c r="BW42" i="3"/>
  <c r="BY42" i="3" s="1"/>
  <c r="BW50" i="3"/>
  <c r="BY50" i="3" s="1"/>
  <c r="BX89" i="3"/>
  <c r="BW58" i="3"/>
  <c r="BW74" i="3"/>
  <c r="BY74" i="3" s="1"/>
  <c r="BW92" i="3"/>
  <c r="BY92" i="3" s="1"/>
  <c r="BW62" i="3"/>
  <c r="BW86" i="3"/>
  <c r="BY86" i="3" s="1"/>
  <c r="BW102" i="3"/>
  <c r="BY102" i="3" s="1"/>
  <c r="BW52" i="3"/>
  <c r="BY52" i="3" s="1"/>
  <c r="BW98" i="3"/>
  <c r="BY98" i="3" s="1"/>
  <c r="BQ15" i="3"/>
  <c r="BQ20" i="3"/>
  <c r="BQ18" i="3"/>
  <c r="BQ25" i="3"/>
  <c r="BQ28" i="3"/>
  <c r="BQ38" i="3"/>
  <c r="BQ33" i="3"/>
  <c r="BQ52" i="3"/>
  <c r="BQ60" i="3"/>
  <c r="BR60" i="3" s="1"/>
  <c r="BQ51" i="3"/>
  <c r="BQ65" i="3"/>
  <c r="BQ69" i="3"/>
  <c r="BQ61" i="3"/>
  <c r="BQ70" i="3"/>
  <c r="BQ83" i="3"/>
  <c r="BQ92" i="3"/>
  <c r="BQ57" i="3"/>
  <c r="BQ97" i="3"/>
  <c r="BR97" i="3" s="1"/>
  <c r="BQ101" i="3"/>
  <c r="BQ102" i="3"/>
  <c r="BJ18" i="3"/>
  <c r="BJ5" i="3"/>
  <c r="BJ15" i="3"/>
  <c r="BJ21" i="3"/>
  <c r="BJ20" i="3"/>
  <c r="BJ9" i="3"/>
  <c r="BJ38" i="3"/>
  <c r="BJ42" i="3"/>
  <c r="BJ46" i="3"/>
  <c r="BJ50" i="3"/>
  <c r="BJ25" i="3"/>
  <c r="BJ51" i="3"/>
  <c r="BJ60" i="3"/>
  <c r="BJ33" i="3"/>
  <c r="BJ61" i="3"/>
  <c r="BK61" i="3" s="1"/>
  <c r="BJ66" i="3"/>
  <c r="BJ70" i="3"/>
  <c r="BJ74" i="3"/>
  <c r="BK74" i="3" s="1"/>
  <c r="BJ67" i="3"/>
  <c r="BJ81" i="3"/>
  <c r="BJ73" i="3"/>
  <c r="BJ94" i="3"/>
  <c r="BJ98" i="3"/>
  <c r="BJ86" i="3"/>
  <c r="BJ95" i="3"/>
  <c r="BJ102" i="3"/>
  <c r="BK102" i="3" s="1"/>
  <c r="BJ69" i="3"/>
  <c r="BJ97" i="3"/>
  <c r="BX8" i="3"/>
  <c r="BY8" i="3" s="1"/>
  <c r="BX18" i="3"/>
  <c r="BY18" i="3" s="1"/>
  <c r="BJ101" i="3"/>
  <c r="BX20" i="3"/>
  <c r="BX32" i="3"/>
  <c r="BY32" i="3" s="1"/>
  <c r="BX16" i="3"/>
  <c r="BY16" i="3" s="1"/>
  <c r="BX38" i="3"/>
  <c r="BY38" i="3" s="1"/>
  <c r="BX46" i="3"/>
  <c r="BY46" i="3" s="1"/>
  <c r="BX62" i="3"/>
  <c r="BX70" i="3"/>
  <c r="BY70" i="3" s="1"/>
  <c r="BX94" i="3"/>
  <c r="BY94" i="3" s="1"/>
  <c r="BW9" i="3"/>
  <c r="BY9" i="3" s="1"/>
  <c r="BW25" i="3"/>
  <c r="BY25" i="3" s="1"/>
  <c r="BW13" i="3"/>
  <c r="BW37" i="3"/>
  <c r="BX58" i="3"/>
  <c r="BW33" i="3"/>
  <c r="BW57" i="3"/>
  <c r="BW73" i="3"/>
  <c r="BW89" i="3"/>
  <c r="BY89" i="3" s="1"/>
  <c r="BP20" i="3"/>
  <c r="BP28" i="3"/>
  <c r="BW61" i="3"/>
  <c r="BY61" i="3" s="1"/>
  <c r="BW69" i="3"/>
  <c r="BY69" i="3" s="1"/>
  <c r="BP18" i="3"/>
  <c r="BP38" i="3"/>
  <c r="BP36" i="3"/>
  <c r="BP46" i="3"/>
  <c r="BP52" i="3"/>
  <c r="BP74" i="3"/>
  <c r="BP86" i="3"/>
  <c r="BP94" i="3"/>
  <c r="BP102" i="3"/>
  <c r="BP70" i="3"/>
  <c r="BP92" i="3"/>
  <c r="BI5" i="3"/>
  <c r="BI9" i="3"/>
  <c r="BI15" i="3"/>
  <c r="BI23" i="3"/>
  <c r="BI33" i="3"/>
  <c r="BI67" i="3"/>
  <c r="BI51" i="3"/>
  <c r="BI69" i="3"/>
  <c r="BI77" i="3"/>
  <c r="BI65" i="3"/>
  <c r="BI83" i="3"/>
  <c r="BI97" i="3"/>
  <c r="BI57" i="3"/>
  <c r="BI95" i="3"/>
  <c r="BW15" i="3"/>
  <c r="BY15" i="3" s="1"/>
  <c r="BI87" i="3"/>
  <c r="BW23" i="3"/>
  <c r="BY23" i="3" s="1"/>
  <c r="BW87" i="3"/>
  <c r="BY87" i="3" s="1"/>
  <c r="BP15" i="3"/>
  <c r="BP21" i="3"/>
  <c r="BP37" i="3"/>
  <c r="BW83" i="3"/>
  <c r="BY83" i="3" s="1"/>
  <c r="BP51" i="3"/>
  <c r="BR51" i="3" s="1"/>
  <c r="BP61" i="3"/>
  <c r="BP69" i="3"/>
  <c r="BP77" i="3"/>
  <c r="BP33" i="3"/>
  <c r="BP67" i="3"/>
  <c r="BP83" i="3"/>
  <c r="BP101" i="3"/>
  <c r="BI20" i="3"/>
  <c r="BI50" i="3"/>
  <c r="BI66" i="3"/>
  <c r="BI98" i="3"/>
  <c r="BB23" i="3"/>
  <c r="G78" i="4" s="1"/>
  <c r="BC18" i="3"/>
  <c r="BC50" i="3"/>
  <c r="BC66" i="3"/>
  <c r="BC86" i="3"/>
  <c r="BC94" i="3"/>
  <c r="BC102" i="3"/>
  <c r="BB18" i="3"/>
  <c r="BB42" i="3"/>
  <c r="BB50" i="3"/>
  <c r="BB58" i="3"/>
  <c r="BD58" i="3" s="1"/>
  <c r="BB66" i="3"/>
  <c r="BB73" i="3"/>
  <c r="BB81" i="3"/>
  <c r="BB89" i="3"/>
  <c r="BB97" i="3"/>
  <c r="BB98" i="3"/>
  <c r="BB86" i="3"/>
  <c r="BB94" i="3"/>
  <c r="BC32" i="3"/>
  <c r="BC16" i="3"/>
  <c r="BC8" i="3"/>
  <c r="BB69" i="3"/>
  <c r="BB61" i="3"/>
  <c r="BD61" i="3" s="1"/>
  <c r="BB37" i="3"/>
  <c r="BB21" i="3"/>
  <c r="BB13" i="3"/>
  <c r="BB5" i="3"/>
  <c r="BC97" i="3"/>
  <c r="BC89" i="3"/>
  <c r="BC81" i="3"/>
  <c r="BC73" i="3"/>
  <c r="BC65" i="3"/>
  <c r="BC57" i="3"/>
  <c r="BC33" i="3"/>
  <c r="BC25" i="3"/>
  <c r="BC9" i="3"/>
  <c r="BI32" i="3"/>
  <c r="BI46" i="3"/>
  <c r="BC15" i="3"/>
  <c r="BD15" i="3" s="1"/>
  <c r="BI38" i="3"/>
  <c r="BI70" i="3"/>
  <c r="BC103" i="3"/>
  <c r="BC23" i="3"/>
  <c r="BC63" i="3"/>
  <c r="BB51" i="3"/>
  <c r="BC46" i="3"/>
  <c r="BC62" i="3"/>
  <c r="BB16" i="3"/>
  <c r="BB20" i="3"/>
  <c r="BB60" i="3"/>
  <c r="BD60" i="3" s="1"/>
  <c r="BB28" i="3"/>
  <c r="BB103" i="3"/>
  <c r="BC92" i="3"/>
  <c r="BB32" i="3"/>
  <c r="BB102" i="3"/>
  <c r="BB92" i="3"/>
  <c r="BP63" i="3"/>
  <c r="BR63" i="3" s="1"/>
  <c r="CE39" i="3"/>
  <c r="CF39" i="3" s="1"/>
  <c r="CE45" i="3"/>
  <c r="CE71" i="3"/>
  <c r="CE47" i="3"/>
  <c r="CF47" i="3" s="1"/>
  <c r="CE99" i="3"/>
  <c r="CF99" i="3" s="1"/>
  <c r="CD24" i="3"/>
  <c r="CD14" i="3"/>
  <c r="CF14" i="3" s="1"/>
  <c r="CD76" i="3"/>
  <c r="CD88" i="3"/>
  <c r="CD96" i="3"/>
  <c r="CF96" i="3" s="1"/>
  <c r="CL7" i="3"/>
  <c r="CM7" i="3" s="1"/>
  <c r="CL39" i="3"/>
  <c r="CD34" i="3"/>
  <c r="CF34" i="3" s="1"/>
  <c r="CL27" i="3"/>
  <c r="CM27" i="3" s="1"/>
  <c r="CL35" i="3"/>
  <c r="CD90" i="3"/>
  <c r="CF90" i="3" s="1"/>
  <c r="CK85" i="3"/>
  <c r="CM85" i="3" s="1"/>
  <c r="CE24" i="3"/>
  <c r="CE72" i="3"/>
  <c r="CF72" i="3" s="1"/>
  <c r="CE88" i="3"/>
  <c r="CE76" i="3"/>
  <c r="CD71" i="3"/>
  <c r="CK6" i="3"/>
  <c r="CM6" i="3" s="1"/>
  <c r="CD91" i="3"/>
  <c r="CF91" i="3" s="1"/>
  <c r="CK99" i="3"/>
  <c r="CL99" i="3"/>
  <c r="CE6" i="3"/>
  <c r="CF6" i="3" s="1"/>
  <c r="CD29" i="3"/>
  <c r="CF29" i="3" s="1"/>
  <c r="CD45" i="3"/>
  <c r="CD41" i="3"/>
  <c r="CF41" i="3" s="1"/>
  <c r="CD93" i="3"/>
  <c r="CF93" i="3" s="1"/>
  <c r="BX27" i="3"/>
  <c r="BY27" i="3" s="1"/>
  <c r="BX35" i="3"/>
  <c r="CD85" i="3"/>
  <c r="CF85" i="3" s="1"/>
  <c r="BX29" i="3"/>
  <c r="BX45" i="3"/>
  <c r="BX71" i="3"/>
  <c r="BY71" i="3" s="1"/>
  <c r="BX91" i="3"/>
  <c r="BY91" i="3" s="1"/>
  <c r="BX99" i="3"/>
  <c r="BY99" i="3" s="1"/>
  <c r="BX85" i="3"/>
  <c r="BW24" i="3"/>
  <c r="BY24" i="3" s="1"/>
  <c r="BW6" i="3"/>
  <c r="BY6" i="3" s="1"/>
  <c r="BW54" i="3"/>
  <c r="BW76" i="3"/>
  <c r="BY76" i="3" s="1"/>
  <c r="BW44" i="3"/>
  <c r="BW88" i="3"/>
  <c r="BW96" i="3"/>
  <c r="BW34" i="3"/>
  <c r="BQ27" i="3"/>
  <c r="BR27" i="3" s="1"/>
  <c r="BQ29" i="3"/>
  <c r="BQ14" i="3"/>
  <c r="BR14" i="3" s="1"/>
  <c r="BQ24" i="3"/>
  <c r="BQ54" i="3"/>
  <c r="BQ45" i="3"/>
  <c r="BQ71" i="3"/>
  <c r="BQ72" i="3"/>
  <c r="BQ90" i="3"/>
  <c r="BQ99" i="3"/>
  <c r="BQ85" i="3"/>
  <c r="BQ96" i="3"/>
  <c r="BJ7" i="3"/>
  <c r="BJ24" i="3"/>
  <c r="BJ29" i="3"/>
  <c r="BJ39" i="3"/>
  <c r="BJ44" i="3"/>
  <c r="BJ47" i="3"/>
  <c r="BJ54" i="3"/>
  <c r="BJ45" i="3"/>
  <c r="BJ64" i="3"/>
  <c r="BJ72" i="3"/>
  <c r="BK72" i="3" s="1"/>
  <c r="BJ76" i="3"/>
  <c r="BJ41" i="3"/>
  <c r="BJ71" i="3"/>
  <c r="BJ88" i="3"/>
  <c r="BJ96" i="3"/>
  <c r="BK96" i="3" s="1"/>
  <c r="BJ91" i="3"/>
  <c r="BJ99" i="3"/>
  <c r="BX14" i="3"/>
  <c r="BY14" i="3" s="1"/>
  <c r="BJ93" i="3"/>
  <c r="BX44" i="3"/>
  <c r="BX34" i="3"/>
  <c r="BX54" i="3"/>
  <c r="BX72" i="3"/>
  <c r="BY72" i="3" s="1"/>
  <c r="BX90" i="3"/>
  <c r="BY90" i="3" s="1"/>
  <c r="BW29" i="3"/>
  <c r="BY29" i="3" s="1"/>
  <c r="BW45" i="3"/>
  <c r="BY45" i="3" s="1"/>
  <c r="BP24" i="3"/>
  <c r="BW41" i="3"/>
  <c r="BY41" i="3" s="1"/>
  <c r="BP6" i="3"/>
  <c r="BR6" i="3" s="1"/>
  <c r="BW85" i="3"/>
  <c r="BY85" i="3" s="1"/>
  <c r="BP44" i="3"/>
  <c r="BP76" i="3"/>
  <c r="BP90" i="3"/>
  <c r="BI7" i="3"/>
  <c r="BI27" i="3"/>
  <c r="BI35" i="3"/>
  <c r="BK35" i="3" s="1"/>
  <c r="BP96" i="3"/>
  <c r="BI41" i="3"/>
  <c r="BI29" i="3"/>
  <c r="BI91" i="3"/>
  <c r="BW7" i="3"/>
  <c r="BY7" i="3" s="1"/>
  <c r="BI71" i="3"/>
  <c r="BX88" i="3"/>
  <c r="BW35" i="3"/>
  <c r="BX96" i="3"/>
  <c r="BW39" i="3"/>
  <c r="BY39" i="3" s="1"/>
  <c r="BP39" i="3"/>
  <c r="BP29" i="3"/>
  <c r="BP47" i="3"/>
  <c r="BP91" i="3"/>
  <c r="BR91" i="3" s="1"/>
  <c r="BI90" i="3"/>
  <c r="BK90" i="3" s="1"/>
  <c r="BC35" i="3"/>
  <c r="BC99" i="3"/>
  <c r="BB47" i="3"/>
  <c r="BC90" i="3"/>
  <c r="BB6" i="3"/>
  <c r="BB14" i="3"/>
  <c r="BB54" i="3"/>
  <c r="BB85" i="3"/>
  <c r="BB93" i="3"/>
  <c r="BB90" i="3"/>
  <c r="BC44" i="3"/>
  <c r="BB41" i="3"/>
  <c r="BC93" i="3"/>
  <c r="BC85" i="3"/>
  <c r="BC45" i="3"/>
  <c r="BC29" i="3"/>
  <c r="BI76" i="3"/>
  <c r="BI44" i="3"/>
  <c r="BC47" i="3"/>
  <c r="BB35" i="3"/>
  <c r="BB27" i="3"/>
  <c r="BC6" i="3"/>
  <c r="BC96" i="3"/>
  <c r="BB24" i="3"/>
  <c r="BC88" i="3"/>
  <c r="BB99" i="3"/>
  <c r="BB76" i="3"/>
  <c r="G79" i="4"/>
  <c r="G80" i="4"/>
  <c r="CK61" i="3"/>
  <c r="CM61" i="3" s="1"/>
  <c r="G76" i="4"/>
  <c r="G75" i="4"/>
  <c r="BY82" i="3"/>
  <c r="BE3" i="3"/>
  <c r="BY40" i="3"/>
  <c r="CM82" i="3"/>
  <c r="BY81" i="3"/>
  <c r="CM39" i="3"/>
  <c r="BD82" i="3"/>
  <c r="CF53" i="3"/>
  <c r="CM19" i="3"/>
  <c r="CM52" i="3"/>
  <c r="CM43" i="3"/>
  <c r="BK82" i="3"/>
  <c r="BY63" i="3"/>
  <c r="CF82" i="3"/>
  <c r="CM33" i="3"/>
  <c r="BR82" i="3"/>
  <c r="CM47" i="3"/>
  <c r="CM83" i="3"/>
  <c r="CM36" i="3"/>
  <c r="BY65" i="3"/>
  <c r="BY56" i="3"/>
  <c r="CM34" i="3"/>
  <c r="CF81" i="3"/>
  <c r="CF46" i="3"/>
  <c r="CM31" i="3"/>
  <c r="CM41" i="3"/>
  <c r="CF35" i="3"/>
  <c r="CF54" i="3"/>
  <c r="CM17" i="3"/>
  <c r="CM49" i="3"/>
  <c r="BY66" i="3"/>
  <c r="CF10" i="3"/>
  <c r="CF5" i="3"/>
  <c r="CF27" i="3"/>
  <c r="CF58" i="3"/>
  <c r="BY93" i="3"/>
  <c r="CM38" i="3"/>
  <c r="BY84" i="3"/>
  <c r="CF79" i="3"/>
  <c r="BY64" i="3"/>
  <c r="BY59" i="3"/>
  <c r="CM23" i="3"/>
  <c r="CM69" i="3"/>
  <c r="CF61" i="3"/>
  <c r="CF98" i="3"/>
  <c r="CM16" i="3"/>
  <c r="CM101" i="3"/>
  <c r="BY77" i="3"/>
  <c r="CF87" i="3"/>
  <c r="CM64" i="3"/>
  <c r="CM91" i="3"/>
  <c r="BY101" i="3"/>
  <c r="CM72" i="3"/>
  <c r="CF44" i="3"/>
  <c r="CM56" i="3"/>
  <c r="CF73" i="3"/>
  <c r="CF64" i="3"/>
  <c r="CF83" i="3"/>
  <c r="CF78" i="3"/>
  <c r="CF97" i="3"/>
  <c r="BY60" i="3"/>
  <c r="BR5" i="3"/>
  <c r="BY47" i="3"/>
  <c r="CF75" i="3"/>
  <c r="CF80" i="3"/>
  <c r="CF15" i="3"/>
  <c r="CM100" i="3"/>
  <c r="CF18" i="3"/>
  <c r="CM10" i="3"/>
  <c r="CF103" i="3"/>
  <c r="CM84" i="3"/>
  <c r="BY100" i="3"/>
  <c r="CM98" i="3"/>
  <c r="BR64" i="3" l="1"/>
  <c r="BK101" i="3"/>
  <c r="BR10" i="3"/>
  <c r="BR39" i="3"/>
  <c r="BK73" i="3"/>
  <c r="BK26" i="3"/>
  <c r="BR3" i="3"/>
  <c r="BR8" i="3"/>
  <c r="BK6" i="3"/>
  <c r="BD75" i="3"/>
  <c r="BR56" i="3"/>
  <c r="BD51" i="3"/>
  <c r="BK60" i="3"/>
  <c r="BD5" i="3"/>
  <c r="BD7" i="3"/>
  <c r="BK44" i="3"/>
  <c r="BR88" i="3"/>
  <c r="BD56" i="3"/>
  <c r="BK17" i="3"/>
  <c r="BR93" i="3"/>
  <c r="BK66" i="3"/>
  <c r="BK91" i="3"/>
  <c r="BD95" i="3"/>
  <c r="BR58" i="3"/>
  <c r="BK92" i="3"/>
  <c r="BR76" i="3"/>
  <c r="BK12" i="3"/>
  <c r="BR100" i="3"/>
  <c r="BK77" i="3"/>
  <c r="BK53" i="3"/>
  <c r="BK59" i="3"/>
  <c r="BD77" i="3"/>
  <c r="BD99" i="3"/>
  <c r="BD43" i="3"/>
  <c r="BK81" i="3"/>
  <c r="BR72" i="3"/>
  <c r="BK93" i="3"/>
  <c r="BR54" i="3"/>
  <c r="BD46" i="3"/>
  <c r="BR46" i="3"/>
  <c r="BR36" i="3"/>
  <c r="BK21" i="3"/>
  <c r="BR71" i="3"/>
  <c r="BR75" i="3"/>
  <c r="BK31" i="3"/>
  <c r="BR42" i="3"/>
  <c r="BR59" i="3"/>
  <c r="BD79" i="3"/>
  <c r="BD66" i="3"/>
  <c r="BR67" i="3"/>
  <c r="BD42" i="3"/>
  <c r="BR32" i="3"/>
  <c r="BD67" i="3"/>
  <c r="BR79" i="3"/>
  <c r="BK24" i="3"/>
  <c r="BK65" i="3"/>
  <c r="BK99" i="3"/>
  <c r="BD69" i="3"/>
  <c r="BD96" i="3"/>
  <c r="BR85" i="3"/>
  <c r="BR69" i="3"/>
  <c r="BD26" i="3"/>
  <c r="BK94" i="3"/>
  <c r="BD57" i="3"/>
  <c r="BK42" i="3"/>
  <c r="BD88" i="3"/>
  <c r="BK39" i="3"/>
  <c r="BD98" i="3"/>
  <c r="BR68" i="3"/>
  <c r="BR12" i="3"/>
  <c r="BR99" i="3"/>
  <c r="BD24" i="3"/>
  <c r="BK18" i="3"/>
  <c r="BR77" i="3"/>
  <c r="BK3" i="3"/>
  <c r="BD72" i="3"/>
  <c r="BD36" i="3"/>
  <c r="BD11" i="3"/>
  <c r="BD54" i="3"/>
  <c r="BD14" i="3"/>
  <c r="BD10" i="3"/>
  <c r="BR84" i="3"/>
  <c r="BD87" i="3"/>
  <c r="BD34" i="3"/>
  <c r="BD27" i="3"/>
  <c r="BD13" i="3"/>
  <c r="BR86" i="3"/>
  <c r="BK83" i="3"/>
  <c r="BD62" i="3"/>
  <c r="BK52" i="3"/>
  <c r="BK23" i="3"/>
  <c r="BD29" i="3"/>
  <c r="BR87" i="3"/>
  <c r="BD9" i="3"/>
  <c r="BD83" i="3"/>
  <c r="BD49" i="3"/>
  <c r="BK32" i="3"/>
  <c r="BR65" i="3"/>
  <c r="BD41" i="3"/>
  <c r="BR37" i="3"/>
  <c r="BR94" i="3"/>
  <c r="BK78" i="3"/>
  <c r="BD38" i="3"/>
  <c r="BK54" i="3"/>
  <c r="BR35" i="3"/>
  <c r="BD20" i="3"/>
  <c r="BK58" i="3"/>
  <c r="BD68" i="3"/>
  <c r="BD48" i="3"/>
  <c r="BK37" i="3"/>
  <c r="BK8" i="3"/>
  <c r="BD40" i="3"/>
  <c r="BK28" i="3"/>
  <c r="BR50" i="3"/>
  <c r="BR7" i="3"/>
  <c r="BR13" i="3"/>
  <c r="BR23" i="3"/>
  <c r="BK10" i="3"/>
  <c r="BD55" i="3"/>
  <c r="BD71" i="3"/>
  <c r="BD70" i="3"/>
  <c r="BD64" i="3"/>
  <c r="BD74" i="3"/>
  <c r="BK16" i="3"/>
  <c r="BD39" i="3"/>
  <c r="BR73" i="3"/>
  <c r="BR81" i="3"/>
  <c r="BR80" i="3"/>
  <c r="BR17" i="3"/>
  <c r="BK13" i="3"/>
  <c r="BK14" i="3"/>
  <c r="BK103" i="3"/>
  <c r="BD33" i="3"/>
  <c r="BK57" i="3"/>
  <c r="BK84" i="3"/>
  <c r="BR30" i="3"/>
  <c r="BR66" i="3"/>
  <c r="BD59" i="3"/>
  <c r="BR45" i="3"/>
  <c r="BR47" i="3"/>
  <c r="BK64" i="3"/>
  <c r="BD8" i="3"/>
  <c r="BD76" i="3"/>
  <c r="BK88" i="3"/>
  <c r="BD25" i="3"/>
  <c r="BK55" i="3"/>
  <c r="BR74" i="3"/>
  <c r="BD65" i="3"/>
  <c r="BR21" i="3"/>
  <c r="BK86" i="3"/>
  <c r="BR25" i="3"/>
  <c r="BK69" i="3"/>
  <c r="BR43" i="3"/>
  <c r="BK27" i="3"/>
  <c r="BD37" i="3"/>
  <c r="BD45" i="3"/>
  <c r="BK45" i="3"/>
  <c r="BR44" i="3"/>
  <c r="BD63" i="3"/>
  <c r="BK30" i="3"/>
  <c r="BR31" i="3"/>
  <c r="BK75" i="3"/>
  <c r="BD21" i="3"/>
  <c r="BD44" i="3"/>
  <c r="BK47" i="3"/>
  <c r="BD28" i="3"/>
  <c r="BR57" i="3"/>
  <c r="BD90" i="3"/>
  <c r="BD84" i="3"/>
  <c r="BR11" i="3"/>
  <c r="BD3" i="3"/>
  <c r="BD16" i="3"/>
  <c r="BD19" i="3"/>
  <c r="BR26" i="3"/>
  <c r="BD18" i="3"/>
  <c r="BK98" i="3"/>
  <c r="BK41" i="3"/>
  <c r="BK67" i="3"/>
  <c r="BK80" i="3"/>
  <c r="BR53" i="3"/>
  <c r="BR90" i="3"/>
  <c r="BR55" i="3"/>
  <c r="BR22" i="3"/>
  <c r="BK5" i="3"/>
  <c r="BR29" i="3"/>
  <c r="BR61" i="3"/>
  <c r="BK87" i="3"/>
  <c r="BR48" i="3"/>
  <c r="BK48" i="3"/>
  <c r="BR70" i="3"/>
  <c r="BR38" i="3"/>
  <c r="BR101" i="3"/>
  <c r="BK95" i="3"/>
  <c r="BR18" i="3"/>
  <c r="BR19" i="3"/>
  <c r="BK70" i="3"/>
  <c r="BK25" i="3"/>
  <c r="BK11" i="3"/>
  <c r="BK79" i="3"/>
  <c r="BK29" i="3"/>
  <c r="BD103" i="3"/>
  <c r="BK51" i="3"/>
  <c r="BR40" i="3"/>
  <c r="G73" i="4"/>
  <c r="J74" i="4"/>
  <c r="J78" i="4"/>
  <c r="J75" i="4"/>
  <c r="J79" i="4"/>
  <c r="J73" i="4"/>
  <c r="J76" i="4"/>
  <c r="J80" i="4"/>
  <c r="J77" i="4"/>
  <c r="M73" i="4"/>
  <c r="M74" i="4"/>
  <c r="M78" i="4"/>
  <c r="M75" i="4"/>
  <c r="M79" i="4"/>
  <c r="M76" i="4"/>
  <c r="M80" i="4"/>
  <c r="M77" i="4"/>
  <c r="BK33" i="3"/>
  <c r="BD93" i="3"/>
  <c r="BK68" i="3"/>
  <c r="BD4" i="3"/>
  <c r="CF12" i="3"/>
  <c r="CF20" i="3"/>
  <c r="BD101" i="3"/>
  <c r="CF84" i="3"/>
  <c r="CM53" i="3"/>
  <c r="CF37" i="3"/>
  <c r="CF95" i="3"/>
  <c r="BD30" i="3"/>
  <c r="CF9" i="3"/>
  <c r="BY79" i="3"/>
  <c r="BK4" i="3"/>
  <c r="CF4" i="3"/>
  <c r="BK7" i="3"/>
  <c r="CF24" i="3"/>
  <c r="BD89" i="3"/>
  <c r="BD47" i="3"/>
  <c r="BD6" i="3"/>
  <c r="BY88" i="3"/>
  <c r="BR96" i="3"/>
  <c r="BR24" i="3"/>
  <c r="BY34" i="3"/>
  <c r="BK71" i="3"/>
  <c r="BK76" i="3"/>
  <c r="BY44" i="3"/>
  <c r="BY54" i="3"/>
  <c r="BY35" i="3"/>
  <c r="CF45" i="3"/>
  <c r="CM99" i="3"/>
  <c r="CF76" i="3"/>
  <c r="CF88" i="3"/>
  <c r="CF71" i="3"/>
  <c r="BD92" i="3"/>
  <c r="BD32" i="3"/>
  <c r="BK38" i="3"/>
  <c r="BK46" i="3"/>
  <c r="BD81" i="3"/>
  <c r="BD97" i="3"/>
  <c r="BD94" i="3"/>
  <c r="BD73" i="3"/>
  <c r="BD102" i="3"/>
  <c r="BD86" i="3"/>
  <c r="BD50" i="3"/>
  <c r="BK20" i="3"/>
  <c r="BR83" i="3"/>
  <c r="BR33" i="3"/>
  <c r="BR15" i="3"/>
  <c r="BK15" i="3"/>
  <c r="BR28" i="3"/>
  <c r="BY57" i="3"/>
  <c r="BY58" i="3"/>
  <c r="BY13" i="3"/>
  <c r="BY20" i="3"/>
  <c r="BK97" i="3"/>
  <c r="BY62" i="3"/>
  <c r="CF25" i="3"/>
  <c r="CF92" i="3"/>
  <c r="CF52" i="3"/>
  <c r="CM8" i="3"/>
  <c r="CM65" i="3"/>
  <c r="CM25" i="3"/>
  <c r="CF3" i="3"/>
  <c r="CM13" i="3"/>
  <c r="BD31" i="3"/>
  <c r="BD12" i="3"/>
  <c r="BD22" i="3"/>
  <c r="BK19" i="3"/>
  <c r="BY17" i="3"/>
  <c r="BR4" i="3"/>
  <c r="CF17" i="3"/>
  <c r="CM30" i="3"/>
  <c r="CM88" i="3"/>
  <c r="CM48" i="3"/>
  <c r="BY4" i="3"/>
  <c r="G74" i="4"/>
  <c r="BY73" i="3"/>
  <c r="BR49" i="3"/>
  <c r="BY49" i="3"/>
  <c r="CF56" i="3"/>
  <c r="CF55" i="3"/>
  <c r="CM22" i="3"/>
  <c r="CM51" i="3"/>
  <c r="CF68" i="3"/>
  <c r="CM4" i="3"/>
  <c r="BK50" i="3"/>
  <c r="BY33" i="3"/>
  <c r="BD85" i="3"/>
  <c r="BY96" i="3"/>
  <c r="CF67" i="3"/>
  <c r="CM97" i="3"/>
  <c r="BK9" i="3"/>
  <c r="BR102" i="3"/>
  <c r="BR92" i="3"/>
  <c r="CF40" i="3"/>
  <c r="BR52" i="3"/>
  <c r="BR20" i="3"/>
  <c r="BY37" i="3"/>
  <c r="CM15" i="3"/>
  <c r="BY3" i="3"/>
  <c r="BK22" i="3"/>
  <c r="BY22" i="3"/>
  <c r="BD100" i="3"/>
  <c r="CM35" i="3"/>
  <c r="CM29" i="3"/>
  <c r="BD23" i="3"/>
  <c r="BD35" i="3"/>
  <c r="G77" i="4"/>
  <c r="BC104" i="3"/>
  <c r="BQ104" i="3"/>
  <c r="CL104" i="3"/>
  <c r="BI104" i="3"/>
  <c r="BW104" i="3"/>
  <c r="CE104" i="3"/>
  <c r="CD104" i="3"/>
  <c r="BP104" i="3"/>
  <c r="BX104" i="3"/>
  <c r="BJ104" i="3"/>
  <c r="CK104" i="3"/>
  <c r="BB104" i="3"/>
  <c r="BD104" i="3" l="1"/>
  <c r="B28" i="6" s="1"/>
  <c r="BK104" i="3"/>
  <c r="B29" i="6" s="1"/>
  <c r="CM104" i="3"/>
  <c r="B33" i="6" s="1"/>
  <c r="BR104" i="3"/>
  <c r="B30" i="6" s="1"/>
  <c r="M82" i="4" s="1"/>
  <c r="CF104" i="3"/>
  <c r="B32" i="6" s="1"/>
  <c r="BY104" i="3"/>
  <c r="B31" i="6" s="1"/>
  <c r="E26" i="2" l="1"/>
  <c r="J82" i="4"/>
  <c r="G82" i="4"/>
  <c r="M83" i="4"/>
  <c r="M85" i="4" s="1"/>
  <c r="M94" i="4"/>
  <c r="M98" i="4" s="1"/>
  <c r="M88" i="4"/>
  <c r="M92" i="4" s="1"/>
  <c r="M97" i="4" l="1"/>
  <c r="M91" i="4"/>
  <c r="M95" i="4"/>
  <c r="M96" i="4" s="1"/>
  <c r="M89" i="4"/>
  <c r="M90" i="4" s="1"/>
  <c r="C26" i="2"/>
  <c r="D26" i="2"/>
  <c r="J83" i="4"/>
  <c r="J85" i="4" s="1"/>
  <c r="J94" i="4"/>
  <c r="J98" i="4" s="1"/>
  <c r="J88" i="4"/>
  <c r="J92" i="4" s="1"/>
  <c r="G94" i="4"/>
  <c r="G98" i="4" s="1"/>
  <c r="G88" i="4"/>
  <c r="G92" i="4" s="1"/>
  <c r="G83" i="4"/>
  <c r="G85" i="4" s="1"/>
  <c r="M86" i="4"/>
  <c r="J97" i="4" l="1"/>
  <c r="G97" i="4"/>
  <c r="J91" i="4"/>
  <c r="G91" i="4"/>
  <c r="J95" i="4"/>
  <c r="J96" i="4" s="1"/>
  <c r="G95" i="4"/>
  <c r="G96" i="4" s="1"/>
  <c r="J89" i="4"/>
  <c r="J90" i="4" s="1"/>
  <c r="G89" i="4"/>
  <c r="G90" i="4" s="1"/>
  <c r="G86" i="4"/>
  <c r="J86" i="4"/>
</calcChain>
</file>

<file path=xl/sharedStrings.xml><?xml version="1.0" encoding="utf-8"?>
<sst xmlns="http://schemas.openxmlformats.org/spreadsheetml/2006/main" count="5031" uniqueCount="1779">
  <si>
    <t>SEGUROS  ATLAS,  S.A.</t>
  </si>
  <si>
    <t>MUNDIAL1</t>
  </si>
  <si>
    <t>MUNDIAL2</t>
  </si>
  <si>
    <t>MUNDIAL3</t>
  </si>
  <si>
    <t>Rango</t>
  </si>
  <si>
    <t>Hombres</t>
  </si>
  <si>
    <t>Mujeres</t>
  </si>
  <si>
    <t xml:space="preserve">Suma Asegurada </t>
  </si>
  <si>
    <t>Deducible:</t>
  </si>
  <si>
    <t>Coaseguro:</t>
  </si>
  <si>
    <t>Zona (A/B/C):</t>
  </si>
  <si>
    <t>Gastos funerarios por rango de edad</t>
  </si>
  <si>
    <t>L01</t>
  </si>
  <si>
    <t>C</t>
  </si>
  <si>
    <t>Continuación familiar (SI/NO):</t>
  </si>
  <si>
    <t>A</t>
  </si>
  <si>
    <t>C01</t>
  </si>
  <si>
    <t>Edad</t>
  </si>
  <si>
    <t>B</t>
  </si>
  <si>
    <t>S00</t>
  </si>
  <si>
    <t>C00</t>
  </si>
  <si>
    <t>D00</t>
  </si>
  <si>
    <t>G00</t>
  </si>
  <si>
    <t>Participantes</t>
  </si>
  <si>
    <t>H00</t>
  </si>
  <si>
    <t>de edad</t>
  </si>
  <si>
    <t>L00</t>
  </si>
  <si>
    <t>Y00</t>
  </si>
  <si>
    <t>G05</t>
  </si>
  <si>
    <t>M00</t>
  </si>
  <si>
    <t>P00</t>
  </si>
  <si>
    <t>Q00</t>
  </si>
  <si>
    <t>M05</t>
  </si>
  <si>
    <t>T00</t>
  </si>
  <si>
    <t>P01</t>
  </si>
  <si>
    <t>Comisión</t>
  </si>
  <si>
    <t>Total</t>
  </si>
  <si>
    <t>Titulares</t>
  </si>
  <si>
    <t>Dependientes</t>
  </si>
  <si>
    <t>Participantes Maternidad</t>
  </si>
  <si>
    <t>FECHA DE</t>
  </si>
  <si>
    <t>NACIMIENTO</t>
  </si>
  <si>
    <t>EDAD</t>
  </si>
  <si>
    <t>PARENTESCO</t>
  </si>
  <si>
    <t>SEXO</t>
  </si>
  <si>
    <t>HOMBRES</t>
  </si>
  <si>
    <t>MUJERES</t>
  </si>
  <si>
    <t xml:space="preserve">Descuento Aplicable por Oficina   </t>
  </si>
  <si>
    <t>X</t>
  </si>
  <si>
    <t>RESUMEN TOTAL</t>
  </si>
  <si>
    <t>RESUMEN MATERNIDAD TITULARES</t>
  </si>
  <si>
    <t>RANGO</t>
  </si>
  <si>
    <t>TOTAL</t>
  </si>
  <si>
    <t>M</t>
  </si>
  <si>
    <t>&lt;&gt;T</t>
  </si>
  <si>
    <t>F</t>
  </si>
  <si>
    <t>T</t>
  </si>
  <si>
    <t>C.U.A. MAS 50%</t>
  </si>
  <si>
    <t>C.U.A. MAS 100%</t>
  </si>
  <si>
    <t>M14</t>
  </si>
  <si>
    <t>Enfermedades Catastroficas</t>
  </si>
  <si>
    <t>Coaseguro</t>
  </si>
  <si>
    <t>Mundial</t>
  </si>
  <si>
    <t>Participantes Cont. Familiar y gastos funerarios</t>
  </si>
  <si>
    <t>RESUMEN CONT. FAMILIAR GASTOS FUNERARIOS</t>
  </si>
  <si>
    <t>Plus</t>
  </si>
  <si>
    <t>H</t>
  </si>
  <si>
    <t>M20</t>
  </si>
  <si>
    <t>(DD/MM/AAAA)</t>
  </si>
  <si>
    <t>OBSERVACIONES</t>
  </si>
  <si>
    <t>PARENTESCO
( T / C / H )</t>
  </si>
  <si>
    <t>SEXO
( M / F )</t>
  </si>
  <si>
    <t>Prima</t>
  </si>
  <si>
    <t>Anual</t>
  </si>
  <si>
    <t>Semestral</t>
  </si>
  <si>
    <t>Mensual</t>
  </si>
  <si>
    <t>Recargo por Pago Fraccionado</t>
  </si>
  <si>
    <t>Trimestral</t>
  </si>
  <si>
    <t>Gastos de Expedición</t>
  </si>
  <si>
    <t>Costo x Tarjeta</t>
  </si>
  <si>
    <t>De</t>
  </si>
  <si>
    <t>Hasta</t>
  </si>
  <si>
    <t>RESUMEN TITULARES</t>
  </si>
  <si>
    <t>FACTOR TOTAL:</t>
  </si>
  <si>
    <t>Q02</t>
  </si>
  <si>
    <t>Y02</t>
  </si>
  <si>
    <t>Elaboró</t>
  </si>
  <si>
    <t>Inicio de Vigencia</t>
  </si>
  <si>
    <t>Suma Asegurada</t>
  </si>
  <si>
    <t>Deducible</t>
  </si>
  <si>
    <t>Tope de Coaseguro</t>
  </si>
  <si>
    <t>Maternidad</t>
  </si>
  <si>
    <t xml:space="preserve">Coaseguro </t>
  </si>
  <si>
    <t>Preexistencia</t>
  </si>
  <si>
    <t>Accidentes</t>
  </si>
  <si>
    <t>Plan vitalicio</t>
  </si>
  <si>
    <t>Hallux valgus</t>
  </si>
  <si>
    <t>Cifosis, lordosis y escoliosis</t>
  </si>
  <si>
    <t>Complicaciones del embarazo</t>
  </si>
  <si>
    <t>Deportes peligrosos</t>
  </si>
  <si>
    <t>Notas importantes</t>
  </si>
  <si>
    <t>Capturar Listado de Asegurados</t>
  </si>
  <si>
    <t>Vigencia de tarifa:</t>
  </si>
  <si>
    <t>Vigencia póliza:</t>
  </si>
  <si>
    <t>1ER SUBTOTAL, PARA SUMAS ASEGURADAS MAYORES A 2,000 SMGMDF DONDE NO SE ACEPTAN ASEGURADOS MAYORES DE 59 AÑOS</t>
  </si>
  <si>
    <t>2D0 SUBTOTAL, PARA COTIZACIONES DONDE NO SE ACEPTAN ASEGURADOS MAYORES DE 64 AÑOS</t>
  </si>
  <si>
    <t>Legrado ginecológico</t>
  </si>
  <si>
    <t>Padecimientos congénitos</t>
  </si>
  <si>
    <t>P06</t>
  </si>
  <si>
    <t>Cirugía corrección defectos refracción de vista</t>
  </si>
  <si>
    <t xml:space="preserve">Dirigida a </t>
  </si>
  <si>
    <t>MUNDIAL1, C</t>
  </si>
  <si>
    <t>MUNDIAL1, B</t>
  </si>
  <si>
    <t>MUNDIAL1, A</t>
  </si>
  <si>
    <t>MUNDIAL2, C</t>
  </si>
  <si>
    <t>MUNDIAL2, B</t>
  </si>
  <si>
    <t>MUNDIAL2, A</t>
  </si>
  <si>
    <t>MUNDIAL3, C</t>
  </si>
  <si>
    <t>MUNDIAL3, B</t>
  </si>
  <si>
    <t>MUNDIAL3, A</t>
  </si>
  <si>
    <t>H02</t>
  </si>
  <si>
    <t>T02</t>
  </si>
  <si>
    <t>P07</t>
  </si>
  <si>
    <t>P09</t>
  </si>
  <si>
    <t>I ELITE</t>
  </si>
  <si>
    <t>I PLUS</t>
  </si>
  <si>
    <t>I OPTIMO</t>
  </si>
  <si>
    <t>TOPE</t>
  </si>
  <si>
    <t>Amparados los que se practiquen de forma amateur u ocasional con excepción de box, lucha libre, lucha grecorromana y artes marciales en cualquier modalidad.</t>
  </si>
  <si>
    <t>Plan</t>
  </si>
  <si>
    <t>Errores</t>
  </si>
  <si>
    <t xml:space="preserve">Deducible </t>
  </si>
  <si>
    <t>Tope Coaseguro</t>
  </si>
  <si>
    <t>Prima Neta:</t>
  </si>
  <si>
    <t>Y10</t>
  </si>
  <si>
    <t>Litiasis</t>
  </si>
  <si>
    <t>Honorarios Quirúrgicos</t>
  </si>
  <si>
    <t>F10</t>
  </si>
  <si>
    <t>P08</t>
  </si>
  <si>
    <t>FAM</t>
  </si>
  <si>
    <t>G11</t>
  </si>
  <si>
    <t>RESUMEN MATERNIDAD DEPENDTS MUJERES</t>
  </si>
  <si>
    <t>HIJAS</t>
  </si>
  <si>
    <t>CONYUGES</t>
  </si>
  <si>
    <t>Tarifa</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</si>
  <si>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</si>
  <si>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</si>
  <si>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</si>
  <si>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</si>
  <si>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</si>
  <si>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</si>
  <si>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</si>
  <si>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</si>
  <si>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</si>
  <si>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</si>
  <si>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</si>
  <si>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</si>
  <si>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</si>
  <si>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</si>
  <si>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</si>
  <si>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</si>
  <si>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</si>
  <si>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</si>
  <si>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</si>
  <si>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</si>
  <si>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</si>
  <si>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</si>
  <si>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</si>
  <si>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</si>
  <si>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</si>
  <si>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</si>
  <si>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</si>
  <si>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</si>
  <si>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</si>
  <si>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</si>
  <si>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</si>
  <si>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</si>
  <si>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</si>
  <si>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</si>
  <si>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</si>
  <si>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</si>
  <si>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</si>
  <si>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</si>
  <si>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</si>
  <si>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</si>
  <si>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</si>
  <si>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</si>
  <si>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</si>
  <si>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</si>
  <si>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</si>
  <si>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</si>
  <si>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</si>
  <si>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</si>
  <si>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</si>
  <si>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</si>
  <si>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</si>
  <si>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</si>
  <si>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</si>
  <si>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</si>
  <si>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</si>
  <si>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</si>
  <si>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</si>
  <si>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</si>
  <si>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</si>
  <si>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</si>
  <si>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</si>
  <si>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</si>
  <si>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</si>
  <si>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</si>
  <si>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</si>
  <si>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</si>
  <si>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</si>
  <si>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</si>
  <si>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</si>
  <si>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</si>
  <si>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</si>
  <si>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</si>
  <si>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</si>
  <si>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</si>
  <si>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</si>
  <si>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</si>
  <si>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</si>
  <si>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</si>
  <si>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</si>
  <si>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</si>
  <si>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</si>
  <si>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</si>
  <si>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</si>
  <si>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</si>
  <si>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</si>
  <si>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</si>
  <si>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</si>
  <si>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</si>
  <si>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</si>
  <si>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</si>
  <si>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</si>
  <si>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</si>
  <si>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</si>
  <si>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</si>
  <si>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</si>
  <si>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</si>
  <si>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</si>
  <si>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</si>
  <si>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</si>
  <si>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</si>
  <si>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</si>
  <si>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Elite</t>
  </si>
  <si>
    <t>Óptimo</t>
  </si>
  <si>
    <t xml:space="preserve">Mundial </t>
  </si>
  <si>
    <t>20,000</t>
  </si>
  <si>
    <t>25,000</t>
  </si>
  <si>
    <t>30,000</t>
  </si>
  <si>
    <t>35,000</t>
  </si>
  <si>
    <t>40,000</t>
  </si>
  <si>
    <t>45,000</t>
  </si>
  <si>
    <t>50,000</t>
  </si>
  <si>
    <t>55,000</t>
  </si>
  <si>
    <t>60,000</t>
  </si>
  <si>
    <t>65,000</t>
  </si>
  <si>
    <t>70,000</t>
  </si>
  <si>
    <t>75,000</t>
  </si>
  <si>
    <t>80,000</t>
  </si>
  <si>
    <t>85,000</t>
  </si>
  <si>
    <t>90,000</t>
  </si>
  <si>
    <t>95,000</t>
  </si>
  <si>
    <t>100,000</t>
  </si>
  <si>
    <t>Amparada con periodo de espera de 5 años en  Seguros  Atlas por cada asegurado con deducible de la póliza y coaseguro de 50%.</t>
  </si>
  <si>
    <t>Amparado, siempre y cuando se cuente con los últimos 5 años de cobertura continua con Seguros Atlas.</t>
  </si>
  <si>
    <t>Amparado con periodo de espera de 3 años en Seguros Atlas, con deducible de la póliza y coaseguro del 50%</t>
  </si>
  <si>
    <t>Amparado</t>
  </si>
  <si>
    <t xml:space="preserve">Amparadas con periodo de espera de 3 años </t>
  </si>
  <si>
    <t>Amparados para: 1. Asegurados nacidos durante la vigencia de Seguros Atlas siempre y cuando la madre cuente con al menos 10 meses de cobertura continua en Seguros Atlas; 2. Asegurados mayores de 5 años de edad nacidos fuera de la vigencia de esta póliza cuya 1ra. manifestación se origine en la vigencia de Seguros Atlas  siempre y cuando haya acumulado 2 años de cobertura continua en Seguros Atlas; 3. Asegurados cubiertos continuamente desde su nacimiento cuya antigüedad sea reconocida por Seguros Atlas</t>
  </si>
  <si>
    <t>Amparadas con periodo de espera de 1 año.</t>
  </si>
  <si>
    <t>Sexo</t>
  </si>
  <si>
    <t>Tarifa aplicable PLUS</t>
  </si>
  <si>
    <t>Primas netas anuales PLUS</t>
  </si>
  <si>
    <t>Tarifa aplicable OPTIMO</t>
  </si>
  <si>
    <t>Primas netas anuales OPTIMO</t>
  </si>
  <si>
    <t>Tarifa aplicable ELITE</t>
  </si>
  <si>
    <t>Primas netas anuales ELITE</t>
  </si>
  <si>
    <t>Tarifa aplicable MUNDIAL 500</t>
  </si>
  <si>
    <t>Primas netas anuales MUNDIAL 500</t>
  </si>
  <si>
    <t>Tarifa aplicable MUNDIAL 1000</t>
  </si>
  <si>
    <t>Primas netas anuales MUNDIAL 1000</t>
  </si>
  <si>
    <t>Tarifa aplicable MUNDIAL 2000</t>
  </si>
  <si>
    <t>Primas netas anuales MUNDIAL 2000</t>
  </si>
  <si>
    <t>Aseg mayor con SA &gt;2000</t>
  </si>
  <si>
    <t>TIPO DE PLAN</t>
  </si>
  <si>
    <t>Oficina  Regional</t>
  </si>
  <si>
    <t>Rango de edad</t>
  </si>
  <si>
    <t>Factor</t>
  </si>
  <si>
    <t>CUA</t>
  </si>
  <si>
    <t>Presente.</t>
  </si>
  <si>
    <t>Celaya</t>
  </si>
  <si>
    <t>Chihuahua</t>
  </si>
  <si>
    <t>Cuernavaca</t>
  </si>
  <si>
    <t>Guadalajara</t>
  </si>
  <si>
    <t>Hermosillo</t>
  </si>
  <si>
    <t>Irapuato</t>
  </si>
  <si>
    <t>Monterrey</t>
  </si>
  <si>
    <t>Morelia</t>
  </si>
  <si>
    <t>Puebla</t>
  </si>
  <si>
    <t>Reynosa</t>
  </si>
  <si>
    <t>Saltillo</t>
  </si>
  <si>
    <t>Villahermosa</t>
  </si>
  <si>
    <t>Tampico</t>
  </si>
  <si>
    <t>Tijuana</t>
  </si>
  <si>
    <t>Veracruz</t>
  </si>
  <si>
    <t>Pachuca</t>
  </si>
  <si>
    <t>Nogales</t>
  </si>
  <si>
    <t>La Paz</t>
  </si>
  <si>
    <t>Mexicali</t>
  </si>
  <si>
    <t>Oaxaca</t>
  </si>
  <si>
    <t>Metepec</t>
  </si>
  <si>
    <t>Acapulco</t>
  </si>
  <si>
    <t>Colima</t>
  </si>
  <si>
    <t>Excluida</t>
  </si>
  <si>
    <t>Fecha</t>
  </si>
  <si>
    <t>Primer recibo:</t>
  </si>
  <si>
    <t>Recibos subsecuentes:</t>
  </si>
  <si>
    <t>Gastos de expedición:</t>
  </si>
  <si>
    <t>Impuesto:</t>
  </si>
  <si>
    <t>No Aplica SA</t>
  </si>
  <si>
    <t>No Aplica Deducible</t>
  </si>
  <si>
    <t>Recargo Pag Frac:</t>
  </si>
  <si>
    <t>PRIMA TOTAL:</t>
  </si>
  <si>
    <t>Recibo subsecuente:</t>
  </si>
  <si>
    <t>Opciones de SA</t>
  </si>
  <si>
    <t>Mundial 1</t>
  </si>
  <si>
    <t>Mundial 2</t>
  </si>
  <si>
    <t>Mundial 3</t>
  </si>
  <si>
    <t>El deducible debe ser 500 DLLS</t>
  </si>
  <si>
    <t>El deducible debe ser 1,000 DLLS</t>
  </si>
  <si>
    <t>El deducible debe ser 2,000 DLLS</t>
  </si>
  <si>
    <t>SA FUNERArios</t>
  </si>
  <si>
    <t>Total Prima Neta :</t>
  </si>
  <si>
    <t>El deducible mínimo es 1 SMGM y máximo 25 SMGM</t>
  </si>
  <si>
    <t>Ciudad Obregón</t>
  </si>
  <si>
    <t>H01</t>
  </si>
  <si>
    <t>C16</t>
  </si>
  <si>
    <t>Y01</t>
  </si>
  <si>
    <t>L07</t>
  </si>
  <si>
    <t>T03</t>
  </si>
  <si>
    <t>L06</t>
  </si>
  <si>
    <t>M11</t>
  </si>
  <si>
    <t>Tarifa para la Cobertura de Emergencia en el Extranjero</t>
  </si>
  <si>
    <t>Costo</t>
  </si>
  <si>
    <t>100 US. Dlls.</t>
  </si>
  <si>
    <t>MATERNIDAD</t>
  </si>
  <si>
    <t>Playa Del Carmen</t>
  </si>
  <si>
    <t>Y11</t>
  </si>
  <si>
    <t>mundial</t>
  </si>
  <si>
    <t>nueva y edad</t>
  </si>
  <si>
    <t>nacional</t>
  </si>
  <si>
    <t>Fecha de cálculo</t>
  </si>
  <si>
    <t>Base de catálogo</t>
  </si>
  <si>
    <t>Número de póliza renovación</t>
  </si>
  <si>
    <t>Atentamente:</t>
  </si>
  <si>
    <t>Cirugía de nariz y senos paranasales por enfermedad</t>
  </si>
  <si>
    <t>Primas Netas Anuales</t>
  </si>
  <si>
    <t xml:space="preserve">Primas netas </t>
  </si>
  <si>
    <t>Cancún</t>
  </si>
  <si>
    <t>Ciudad Cuauhtémoc</t>
  </si>
  <si>
    <t>Ciudad Juárez</t>
  </si>
  <si>
    <t>Culiacán</t>
  </si>
  <si>
    <t>León</t>
  </si>
  <si>
    <t>Mérida</t>
  </si>
  <si>
    <t>Querétaro</t>
  </si>
  <si>
    <t>San Luis Potosí</t>
  </si>
  <si>
    <t>Torreón</t>
  </si>
  <si>
    <t>Durango</t>
  </si>
  <si>
    <t>Puerto Vallarta</t>
  </si>
  <si>
    <t>M25</t>
  </si>
  <si>
    <t>G15</t>
  </si>
  <si>
    <t>Tuxtla Gutierrez</t>
  </si>
  <si>
    <t>Aguascalientes</t>
  </si>
  <si>
    <t>UMAM: UNIDAD DE MEDIDA Y ACTUALIZACIÓN MENSUAL</t>
  </si>
  <si>
    <t>Gastos Funerarios Titular</t>
  </si>
  <si>
    <t>Para consultar la Red Médica y Hospitalaria visite la página:</t>
  </si>
  <si>
    <t>http://www.segurosatlas.com.mx/OficinasAtencion.html</t>
  </si>
  <si>
    <t xml:space="preserve">Ciudad Del Carmen </t>
  </si>
  <si>
    <t>Y17</t>
  </si>
  <si>
    <t>Y15</t>
  </si>
  <si>
    <t>Coatzacoalcos</t>
  </si>
  <si>
    <t>%</t>
  </si>
  <si>
    <t>Nacional y Mundial</t>
  </si>
  <si>
    <t>Carta</t>
  </si>
  <si>
    <t>Combo</t>
  </si>
  <si>
    <t xml:space="preserve">Número </t>
  </si>
  <si>
    <t>Clave</t>
  </si>
  <si>
    <t>Zona</t>
  </si>
  <si>
    <t>Descuento Nacional</t>
  </si>
  <si>
    <t>Descuento Mundial</t>
  </si>
  <si>
    <t xml:space="preserve">CUA al 75% ? </t>
  </si>
  <si>
    <t>Factor Coaseguro</t>
  </si>
  <si>
    <t>Tope coaseguro</t>
  </si>
  <si>
    <t>Factor Tope</t>
  </si>
  <si>
    <t>Llave</t>
  </si>
  <si>
    <t>Coaseguro Combo</t>
  </si>
  <si>
    <t>Topes de Coaseguro  Combo</t>
  </si>
  <si>
    <t>Plan:</t>
  </si>
  <si>
    <t>Nueva/Renovación</t>
  </si>
  <si>
    <t>Plan Atlas Med Optimo</t>
  </si>
  <si>
    <t>Plan Atlas Med Plus</t>
  </si>
  <si>
    <t>Plan Atlas Med Plus Elite</t>
  </si>
  <si>
    <t/>
  </si>
  <si>
    <t>Nueva</t>
  </si>
  <si>
    <t>Renovación</t>
  </si>
  <si>
    <t>SA Gastos Funerarios Titular</t>
  </si>
  <si>
    <t>M.N</t>
  </si>
  <si>
    <t>Gastos Funerarios Dependientes</t>
  </si>
  <si>
    <t>SA Gastos Funerarios Dependientes</t>
  </si>
  <si>
    <t>Mundial:</t>
  </si>
  <si>
    <t>Tope de coaseguro</t>
  </si>
  <si>
    <t>Factor de Ajuste</t>
  </si>
  <si>
    <t>Factor de errores</t>
  </si>
  <si>
    <t>Ajuste por Cesión de Comisión</t>
  </si>
  <si>
    <t xml:space="preserve">Cesión de Comisión </t>
  </si>
  <si>
    <t>Aumento SA Maternidad</t>
  </si>
  <si>
    <t>SA Maternidad</t>
  </si>
  <si>
    <t>BUSCA DEDUCIBLES</t>
  </si>
  <si>
    <t>Factor Nacional</t>
  </si>
  <si>
    <t>Factor Mundial</t>
  </si>
  <si>
    <t>C.U.A. Normal</t>
  </si>
  <si>
    <t>Se permite</t>
  </si>
  <si>
    <t>1.SI</t>
  </si>
  <si>
    <t xml:space="preserve">Comision </t>
  </si>
  <si>
    <t>Comisión real</t>
  </si>
  <si>
    <t xml:space="preserve">Cesión del: </t>
  </si>
  <si>
    <t>Comisiones</t>
  </si>
  <si>
    <t>Amparada con periodo de espera de 2 años, será necesario contar con una segunda valoración médica.</t>
  </si>
  <si>
    <t>Amparadas las siguientes complicaciones del embarazo o parto: embarazo extrauterino, fiebre puerperal, preeclampsia, toxicosis gravídica, mola hidatiforme, embarazo anembrionico, eclampsia, placenta previa, placenta acreta, óbito.</t>
  </si>
  <si>
    <t>Límites de edad para pólizas nuevas en Seguros Atlas:</t>
  </si>
  <si>
    <t>0.No</t>
  </si>
  <si>
    <t xml:space="preserve">Vigencia de la cotizacion </t>
  </si>
  <si>
    <t>Vigencia de la póliza</t>
  </si>
  <si>
    <t xml:space="preserve">Vigencia de la cotización </t>
  </si>
  <si>
    <t xml:space="preserve">185 UMAM </t>
  </si>
  <si>
    <t xml:space="preserve">200 UMAM </t>
  </si>
  <si>
    <t xml:space="preserve">250 UMAM </t>
  </si>
  <si>
    <t xml:space="preserve">300 UMAM </t>
  </si>
  <si>
    <t xml:space="preserve">400 UMAM </t>
  </si>
  <si>
    <t xml:space="preserve">500 UMAM </t>
  </si>
  <si>
    <t xml:space="preserve">600 UMAM </t>
  </si>
  <si>
    <t xml:space="preserve">650 UMAM </t>
  </si>
  <si>
    <t xml:space="preserve">700 UMAM </t>
  </si>
  <si>
    <t xml:space="preserve">750 UMAM </t>
  </si>
  <si>
    <t xml:space="preserve">800 UMAM </t>
  </si>
  <si>
    <t xml:space="preserve">850 UMAM </t>
  </si>
  <si>
    <t xml:space="preserve">900 UMAM </t>
  </si>
  <si>
    <t xml:space="preserve">950 UMAM </t>
  </si>
  <si>
    <t xml:space="preserve">1,000 UMAM </t>
  </si>
  <si>
    <t xml:space="preserve">1,050 UMAM </t>
  </si>
  <si>
    <t xml:space="preserve">1,100 UMAM </t>
  </si>
  <si>
    <t xml:space="preserve">1,150 UMAM </t>
  </si>
  <si>
    <t xml:space="preserve">1,200 UMAM </t>
  </si>
  <si>
    <t xml:space="preserve">1,250 UMAM </t>
  </si>
  <si>
    <t xml:space="preserve">1,300 UMAM </t>
  </si>
  <si>
    <t xml:space="preserve">1,350 UMAM </t>
  </si>
  <si>
    <t xml:space="preserve">1,400 UMAM </t>
  </si>
  <si>
    <t xml:space="preserve">1,450 UMAM </t>
  </si>
  <si>
    <t xml:space="preserve">1,500 UMAM </t>
  </si>
  <si>
    <t xml:space="preserve">1,550 UMAM </t>
  </si>
  <si>
    <t xml:space="preserve">1,600 UMAM </t>
  </si>
  <si>
    <t xml:space="preserve">1,650 UMAM </t>
  </si>
  <si>
    <t xml:space="preserve">1,700 UMAM </t>
  </si>
  <si>
    <t xml:space="preserve">1,750 UMAM </t>
  </si>
  <si>
    <t xml:space="preserve">1,800 UMAM </t>
  </si>
  <si>
    <t xml:space="preserve">1,850 UMAM </t>
  </si>
  <si>
    <t xml:space="preserve">1,900 UMAM </t>
  </si>
  <si>
    <t xml:space="preserve">1,950 UMAM </t>
  </si>
  <si>
    <t xml:space="preserve">2,000 UMAM </t>
  </si>
  <si>
    <t xml:space="preserve">2,050 UMAM </t>
  </si>
  <si>
    <t xml:space="preserve">2,100 UMAM </t>
  </si>
  <si>
    <t xml:space="preserve">2,150 UMAM </t>
  </si>
  <si>
    <t xml:space="preserve">2,200 UMAM </t>
  </si>
  <si>
    <t xml:space="preserve">2,250 UMAM </t>
  </si>
  <si>
    <t xml:space="preserve">2,300 UMAM </t>
  </si>
  <si>
    <t xml:space="preserve">2,350 UMAM </t>
  </si>
  <si>
    <t xml:space="preserve">2,400 UMAM </t>
  </si>
  <si>
    <t xml:space="preserve">2,450 UMAM </t>
  </si>
  <si>
    <t xml:space="preserve">2,500 UMAM </t>
  </si>
  <si>
    <t xml:space="preserve">2,550 UMAM </t>
  </si>
  <si>
    <t xml:space="preserve">2,600 UMAM </t>
  </si>
  <si>
    <t xml:space="preserve">2,650 UMAM </t>
  </si>
  <si>
    <t xml:space="preserve">2,700 UMAM </t>
  </si>
  <si>
    <t xml:space="preserve">2,750 UMAM </t>
  </si>
  <si>
    <t xml:space="preserve">2,800 UMAM </t>
  </si>
  <si>
    <t xml:space="preserve">2,850 UMAM </t>
  </si>
  <si>
    <t xml:space="preserve">2,900 UMAM </t>
  </si>
  <si>
    <t xml:space="preserve">2,950 UMAM </t>
  </si>
  <si>
    <t xml:space="preserve">3,000 UMAM </t>
  </si>
  <si>
    <t xml:space="preserve">3,050 UMAM </t>
  </si>
  <si>
    <t xml:space="preserve">3,100 UMAM </t>
  </si>
  <si>
    <t xml:space="preserve">3,150 UMAM </t>
  </si>
  <si>
    <t xml:space="preserve">3,200 UMAM </t>
  </si>
  <si>
    <t xml:space="preserve">3,250 UMAM </t>
  </si>
  <si>
    <t xml:space="preserve">3,300 UMAM </t>
  </si>
  <si>
    <t xml:space="preserve">3,350 UMAM </t>
  </si>
  <si>
    <t xml:space="preserve">3,400 UMAM </t>
  </si>
  <si>
    <t xml:space="preserve">3,450 UMAM </t>
  </si>
  <si>
    <t xml:space="preserve">3,500 UMAM </t>
  </si>
  <si>
    <t xml:space="preserve">3,550 UMAM </t>
  </si>
  <si>
    <t xml:space="preserve">3,600 UMAM </t>
  </si>
  <si>
    <t xml:space="preserve">3,650 UMAM </t>
  </si>
  <si>
    <t xml:space="preserve">3,700 UMAM </t>
  </si>
  <si>
    <t xml:space="preserve">3,750 UMAM </t>
  </si>
  <si>
    <t xml:space="preserve">3,800 UMAM </t>
  </si>
  <si>
    <t xml:space="preserve">3,850 UMAM </t>
  </si>
  <si>
    <t xml:space="preserve">3,900 UMAM </t>
  </si>
  <si>
    <t xml:space="preserve">3,950 UMAM </t>
  </si>
  <si>
    <t xml:space="preserve">4,000 UMAM </t>
  </si>
  <si>
    <t xml:space="preserve">4,050 UMAM </t>
  </si>
  <si>
    <t xml:space="preserve">4,100 UMAM </t>
  </si>
  <si>
    <t xml:space="preserve">4,150 UMAM </t>
  </si>
  <si>
    <t xml:space="preserve">4,200 UMAM </t>
  </si>
  <si>
    <t xml:space="preserve">4,250 UMAM </t>
  </si>
  <si>
    <t xml:space="preserve">4,300 UMAM </t>
  </si>
  <si>
    <t xml:space="preserve">4,350 UMAM </t>
  </si>
  <si>
    <t xml:space="preserve">4,400 UMAM </t>
  </si>
  <si>
    <t xml:space="preserve">4,450 UMAM </t>
  </si>
  <si>
    <t xml:space="preserve">4,500 UMAM </t>
  </si>
  <si>
    <t xml:space="preserve">4,550 UMAM </t>
  </si>
  <si>
    <t xml:space="preserve">4,600 UMAM </t>
  </si>
  <si>
    <t xml:space="preserve">4,650 UMAM </t>
  </si>
  <si>
    <t xml:space="preserve">4,700 UMAM </t>
  </si>
  <si>
    <t xml:space="preserve">4,750 UMAM </t>
  </si>
  <si>
    <t xml:space="preserve">4,800 UMAM </t>
  </si>
  <si>
    <t xml:space="preserve">4,850 UMAM </t>
  </si>
  <si>
    <t xml:space="preserve">4,900 UMAM </t>
  </si>
  <si>
    <t xml:space="preserve">4,950 UMAM </t>
  </si>
  <si>
    <t xml:space="preserve">5,000 UMAM </t>
  </si>
  <si>
    <t xml:space="preserve">5,050 UMAM </t>
  </si>
  <si>
    <t xml:space="preserve">5,100 UMAM </t>
  </si>
  <si>
    <t xml:space="preserve">5,150 UMAM </t>
  </si>
  <si>
    <t xml:space="preserve">5,200 UMAM </t>
  </si>
  <si>
    <t xml:space="preserve">5,250 UMAM </t>
  </si>
  <si>
    <t xml:space="preserve">5,300 UMAM </t>
  </si>
  <si>
    <t xml:space="preserve">5,350 UMAM </t>
  </si>
  <si>
    <t xml:space="preserve">5,400 UMAM </t>
  </si>
  <si>
    <t xml:space="preserve">5,450 UMAM </t>
  </si>
  <si>
    <t xml:space="preserve">5,500 UMAM </t>
  </si>
  <si>
    <t xml:space="preserve">5,550 UMAM </t>
  </si>
  <si>
    <t xml:space="preserve">5,600 UMAM </t>
  </si>
  <si>
    <t xml:space="preserve">5,650 UMAM </t>
  </si>
  <si>
    <t xml:space="preserve">5,700 UMAM </t>
  </si>
  <si>
    <t xml:space="preserve">5,750 UMAM </t>
  </si>
  <si>
    <t xml:space="preserve">5,800 UMAM </t>
  </si>
  <si>
    <t xml:space="preserve">5,850 UMAM </t>
  </si>
  <si>
    <t xml:space="preserve">5,900 UMAM </t>
  </si>
  <si>
    <t xml:space="preserve">5,950 UMAM </t>
  </si>
  <si>
    <t xml:space="preserve">6,000 UMAM </t>
  </si>
  <si>
    <t xml:space="preserve">6,050 UMAM </t>
  </si>
  <si>
    <t xml:space="preserve">6,100 UMAM </t>
  </si>
  <si>
    <t xml:space="preserve">6,150 UMAM </t>
  </si>
  <si>
    <t xml:space="preserve">6,200 UMAM </t>
  </si>
  <si>
    <t xml:space="preserve">6,250 UMAM </t>
  </si>
  <si>
    <t xml:space="preserve">6,300 UMAM </t>
  </si>
  <si>
    <t xml:space="preserve">6,350 UMAM </t>
  </si>
  <si>
    <t xml:space="preserve">6,400 UMAM </t>
  </si>
  <si>
    <t xml:space="preserve">6,450 UMAM </t>
  </si>
  <si>
    <t xml:space="preserve">6,500 UMAM </t>
  </si>
  <si>
    <t xml:space="preserve">6,550 UMAM </t>
  </si>
  <si>
    <t xml:space="preserve">6,600 UMAM </t>
  </si>
  <si>
    <t xml:space="preserve">6,650 UMAM </t>
  </si>
  <si>
    <t xml:space="preserve">6,700 UMAM </t>
  </si>
  <si>
    <t xml:space="preserve">6,750 UMAM </t>
  </si>
  <si>
    <t xml:space="preserve">6,800 UMAM </t>
  </si>
  <si>
    <t xml:space="preserve">6,850 UMAM </t>
  </si>
  <si>
    <t xml:space="preserve">6,900 UMAM </t>
  </si>
  <si>
    <t xml:space="preserve">6,950 UMAM </t>
  </si>
  <si>
    <t xml:space="preserve">7,000 UMAM </t>
  </si>
  <si>
    <t xml:space="preserve">7,050 UMAM </t>
  </si>
  <si>
    <t xml:space="preserve">7,100 UMAM </t>
  </si>
  <si>
    <t xml:space="preserve">7,150 UMAM </t>
  </si>
  <si>
    <t xml:space="preserve">7,200 UMAM </t>
  </si>
  <si>
    <t xml:space="preserve">7,250 UMAM </t>
  </si>
  <si>
    <t xml:space="preserve">7,300 UMAM </t>
  </si>
  <si>
    <t xml:space="preserve">7,350 UMAM </t>
  </si>
  <si>
    <t xml:space="preserve">7,400 UMAM </t>
  </si>
  <si>
    <t xml:space="preserve">7,450 UMAM </t>
  </si>
  <si>
    <t xml:space="preserve">7,500 UMAM </t>
  </si>
  <si>
    <t xml:space="preserve">7,550 UMAM </t>
  </si>
  <si>
    <t xml:space="preserve">7,600 UMAM </t>
  </si>
  <si>
    <t xml:space="preserve">7,650 UMAM </t>
  </si>
  <si>
    <t xml:space="preserve">7,700 UMAM </t>
  </si>
  <si>
    <t xml:space="preserve">7,750 UMAM </t>
  </si>
  <si>
    <t xml:space="preserve">7,800 UMAM </t>
  </si>
  <si>
    <t xml:space="preserve">7,850 UMAM </t>
  </si>
  <si>
    <t xml:space="preserve">7,900 UMAM </t>
  </si>
  <si>
    <t xml:space="preserve">7,950 UMAM </t>
  </si>
  <si>
    <t xml:space="preserve">8,000 UMAM </t>
  </si>
  <si>
    <t xml:space="preserve">8,050 UMAM </t>
  </si>
  <si>
    <t xml:space="preserve">8,100 UMAM </t>
  </si>
  <si>
    <t xml:space="preserve">8,150 UMAM </t>
  </si>
  <si>
    <t xml:space="preserve">8,200 UMAM </t>
  </si>
  <si>
    <t xml:space="preserve">8,250 UMAM </t>
  </si>
  <si>
    <t xml:space="preserve">8,300 UMAM </t>
  </si>
  <si>
    <t xml:space="preserve">8,350 UMAM </t>
  </si>
  <si>
    <t xml:space="preserve">8,400 UMAM </t>
  </si>
  <si>
    <t xml:space="preserve">8,450 UMAM </t>
  </si>
  <si>
    <t xml:space="preserve">8,500 UMAM </t>
  </si>
  <si>
    <t xml:space="preserve">8,550 UMAM </t>
  </si>
  <si>
    <t xml:space="preserve">8,600 UMAM </t>
  </si>
  <si>
    <t xml:space="preserve">8,650 UMAM </t>
  </si>
  <si>
    <t xml:space="preserve">8,700 UMAM </t>
  </si>
  <si>
    <t xml:space="preserve">8,750 UMAM </t>
  </si>
  <si>
    <t xml:space="preserve">8,800 UMAM </t>
  </si>
  <si>
    <t xml:space="preserve">8,850 UMAM </t>
  </si>
  <si>
    <t xml:space="preserve">8,900 UMAM </t>
  </si>
  <si>
    <t xml:space="preserve">8,950 UMAM </t>
  </si>
  <si>
    <t xml:space="preserve">9,000 UMAM </t>
  </si>
  <si>
    <t xml:space="preserve">9,050 UMAM </t>
  </si>
  <si>
    <t xml:space="preserve">9,100 UMAM </t>
  </si>
  <si>
    <t xml:space="preserve">9,150 UMAM </t>
  </si>
  <si>
    <t xml:space="preserve">9,200 UMAM </t>
  </si>
  <si>
    <t xml:space="preserve">9,250 UMAM </t>
  </si>
  <si>
    <t xml:space="preserve">9,300 UMAM </t>
  </si>
  <si>
    <t xml:space="preserve">9,350 UMAM </t>
  </si>
  <si>
    <t xml:space="preserve">9,400 UMAM </t>
  </si>
  <si>
    <t xml:space="preserve">9,450 UMAM </t>
  </si>
  <si>
    <t xml:space="preserve">9,500 UMAM </t>
  </si>
  <si>
    <t xml:space="preserve">9,550 UMAM </t>
  </si>
  <si>
    <t xml:space="preserve">9,600 UMAM </t>
  </si>
  <si>
    <t xml:space="preserve">9,650 UMAM </t>
  </si>
  <si>
    <t xml:space="preserve">9,700 UMAM </t>
  </si>
  <si>
    <t xml:space="preserve">9,750 UMAM </t>
  </si>
  <si>
    <t xml:space="preserve">9,800 UMAM </t>
  </si>
  <si>
    <t xml:space="preserve">9,850 UMAM </t>
  </si>
  <si>
    <t xml:space="preserve">9,900 UMAM </t>
  </si>
  <si>
    <t xml:space="preserve">9,950 UMAM </t>
  </si>
  <si>
    <t xml:space="preserve">10,000 UMAM </t>
  </si>
  <si>
    <t xml:space="preserve">10,100 UMAM </t>
  </si>
  <si>
    <t xml:space="preserve">10,200 UMAM </t>
  </si>
  <si>
    <t xml:space="preserve">10,300 UMAM </t>
  </si>
  <si>
    <t xml:space="preserve">10,400 UMAM </t>
  </si>
  <si>
    <t xml:space="preserve">10,500 UMAM </t>
  </si>
  <si>
    <t xml:space="preserve">10,600 UMAM </t>
  </si>
  <si>
    <t xml:space="preserve">10,700 UMAM </t>
  </si>
  <si>
    <t xml:space="preserve">10,800 UMAM </t>
  </si>
  <si>
    <t xml:space="preserve">10,900 UMAM </t>
  </si>
  <si>
    <t xml:space="preserve">11,000 UMAM </t>
  </si>
  <si>
    <t xml:space="preserve">11,100 UMAM </t>
  </si>
  <si>
    <t xml:space="preserve">11,200 UMAM </t>
  </si>
  <si>
    <t xml:space="preserve">11,300 UMAM </t>
  </si>
  <si>
    <t xml:space="preserve">11,400 UMAM </t>
  </si>
  <si>
    <t xml:space="preserve">11,500 UMAM </t>
  </si>
  <si>
    <t xml:space="preserve">11,600 UMAM </t>
  </si>
  <si>
    <t xml:space="preserve">11,700 UMAM </t>
  </si>
  <si>
    <t xml:space="preserve">11,800 UMAM </t>
  </si>
  <si>
    <t xml:space="preserve">11,900 UMAM </t>
  </si>
  <si>
    <t xml:space="preserve">12,000 UMAM </t>
  </si>
  <si>
    <t xml:space="preserve">12,100 UMAM </t>
  </si>
  <si>
    <t xml:space="preserve">12,200 UMAM </t>
  </si>
  <si>
    <t xml:space="preserve">12,300 UMAM </t>
  </si>
  <si>
    <t xml:space="preserve">12,400 UMAM </t>
  </si>
  <si>
    <t xml:space="preserve">12,500 UMAM </t>
  </si>
  <si>
    <t xml:space="preserve">12,600 UMAM </t>
  </si>
  <si>
    <t xml:space="preserve">12,700 UMAM </t>
  </si>
  <si>
    <t xml:space="preserve">12,800 UMAM </t>
  </si>
  <si>
    <t xml:space="preserve">12,900 UMAM </t>
  </si>
  <si>
    <t xml:space="preserve">13,000 UMAM </t>
  </si>
  <si>
    <t xml:space="preserve">13,100 UMAM </t>
  </si>
  <si>
    <t xml:space="preserve">13,200 UMAM </t>
  </si>
  <si>
    <t xml:space="preserve">13,300 UMAM </t>
  </si>
  <si>
    <t xml:space="preserve">13,400 UMAM </t>
  </si>
  <si>
    <t xml:space="preserve">13,500 UMAM </t>
  </si>
  <si>
    <t xml:space="preserve">13,600 UMAM </t>
  </si>
  <si>
    <t xml:space="preserve">13,700 UMAM </t>
  </si>
  <si>
    <t xml:space="preserve">13,800 UMAM </t>
  </si>
  <si>
    <t xml:space="preserve">13,900 UMAM </t>
  </si>
  <si>
    <t xml:space="preserve">14,000 UMAM </t>
  </si>
  <si>
    <t xml:space="preserve">14,100 UMAM </t>
  </si>
  <si>
    <t xml:space="preserve">14,200 UMAM </t>
  </si>
  <si>
    <t xml:space="preserve">14,300 UMAM </t>
  </si>
  <si>
    <t xml:space="preserve">14,400 UMAM </t>
  </si>
  <si>
    <t xml:space="preserve">14,500 UMAM </t>
  </si>
  <si>
    <t xml:space="preserve">14,600 UMAM </t>
  </si>
  <si>
    <t xml:space="preserve">14,700 UMAM </t>
  </si>
  <si>
    <t xml:space="preserve">14,800 UMAM </t>
  </si>
  <si>
    <t xml:space="preserve">14,900 UMAM </t>
  </si>
  <si>
    <t xml:space="preserve">15,000 UMAM </t>
  </si>
  <si>
    <t xml:space="preserve">15,100 UMAM </t>
  </si>
  <si>
    <t xml:space="preserve">15,200 UMAM </t>
  </si>
  <si>
    <t xml:space="preserve">15,300 UMAM </t>
  </si>
  <si>
    <t xml:space="preserve">15,400 UMAM </t>
  </si>
  <si>
    <t xml:space="preserve">15,500 UMAM </t>
  </si>
  <si>
    <t xml:space="preserve">15,600 UMAM </t>
  </si>
  <si>
    <t xml:space="preserve">15,700 UMAM </t>
  </si>
  <si>
    <t xml:space="preserve">15,800 UMAM </t>
  </si>
  <si>
    <t xml:space="preserve">15,900 UMAM </t>
  </si>
  <si>
    <t xml:space="preserve">16,000 UMAM </t>
  </si>
  <si>
    <t xml:space="preserve">16,100 UMAM </t>
  </si>
  <si>
    <t xml:space="preserve">16,200 UMAM </t>
  </si>
  <si>
    <t xml:space="preserve">16,300 UMAM </t>
  </si>
  <si>
    <t xml:space="preserve">16,400 UMAM </t>
  </si>
  <si>
    <t xml:space="preserve">16,500 UMAM </t>
  </si>
  <si>
    <t xml:space="preserve">16,600 UMAM </t>
  </si>
  <si>
    <t xml:space="preserve">16,700 UMAM </t>
  </si>
  <si>
    <t xml:space="preserve">16,800 UMAM </t>
  </si>
  <si>
    <t xml:space="preserve">16,900 UMAM </t>
  </si>
  <si>
    <t xml:space="preserve">17,000 UMAM </t>
  </si>
  <si>
    <t xml:space="preserve">17,100 UMAM </t>
  </si>
  <si>
    <t xml:space="preserve">17,200 UMAM </t>
  </si>
  <si>
    <t xml:space="preserve">17,300 UMAM </t>
  </si>
  <si>
    <t xml:space="preserve">17,400 UMAM </t>
  </si>
  <si>
    <t xml:space="preserve">17,500 UMAM </t>
  </si>
  <si>
    <t xml:space="preserve">17,600 UMAM </t>
  </si>
  <si>
    <t xml:space="preserve">17,700 UMAM </t>
  </si>
  <si>
    <t xml:space="preserve">17,800 UMAM </t>
  </si>
  <si>
    <t xml:space="preserve">17,900 UMAM </t>
  </si>
  <si>
    <t xml:space="preserve">18,000 UMAM </t>
  </si>
  <si>
    <t xml:space="preserve">18,100 UMAM </t>
  </si>
  <si>
    <t xml:space="preserve">18,200 UMAM </t>
  </si>
  <si>
    <t xml:space="preserve">18,300 UMAM </t>
  </si>
  <si>
    <t xml:space="preserve">18,400 UMAM </t>
  </si>
  <si>
    <t xml:space="preserve">18,500 UMAM </t>
  </si>
  <si>
    <t xml:space="preserve">18,600 UMAM </t>
  </si>
  <si>
    <t xml:space="preserve">18,700 UMAM </t>
  </si>
  <si>
    <t xml:space="preserve">18,800 UMAM </t>
  </si>
  <si>
    <t xml:space="preserve">18,900 UMAM </t>
  </si>
  <si>
    <t xml:space="preserve">19,000 UMAM </t>
  </si>
  <si>
    <t xml:space="preserve">19,100 UMAM </t>
  </si>
  <si>
    <t xml:space="preserve">19,200 UMAM </t>
  </si>
  <si>
    <t xml:space="preserve">19,300 UMAM </t>
  </si>
  <si>
    <t xml:space="preserve">19,400 UMAM </t>
  </si>
  <si>
    <t xml:space="preserve">19,500 UMAM </t>
  </si>
  <si>
    <t xml:space="preserve">19,600 UMAM </t>
  </si>
  <si>
    <t xml:space="preserve">19,700 UMAM </t>
  </si>
  <si>
    <t xml:space="preserve">19,800 UMAM </t>
  </si>
  <si>
    <t xml:space="preserve">19,900 UMAM </t>
  </si>
  <si>
    <t xml:space="preserve">20,000 UMAM </t>
  </si>
  <si>
    <t xml:space="preserve">20,100 UMAM </t>
  </si>
  <si>
    <t xml:space="preserve">20,200 UMAM </t>
  </si>
  <si>
    <t xml:space="preserve">20,300 UMAM </t>
  </si>
  <si>
    <t xml:space="preserve">20,400 UMAM </t>
  </si>
  <si>
    <t xml:space="preserve">20,500 UMAM </t>
  </si>
  <si>
    <t xml:space="preserve">20,600 UMAM </t>
  </si>
  <si>
    <t xml:space="preserve">20,700 UMAM </t>
  </si>
  <si>
    <t xml:space="preserve">20,800 UMAM </t>
  </si>
  <si>
    <t xml:space="preserve">20,900 UMAM </t>
  </si>
  <si>
    <t xml:space="preserve">21,000 UMAM </t>
  </si>
  <si>
    <t xml:space="preserve">21,100 UMAM </t>
  </si>
  <si>
    <t xml:space="preserve">21,200 UMAM </t>
  </si>
  <si>
    <t xml:space="preserve">21,300 UMAM </t>
  </si>
  <si>
    <t xml:space="preserve">21,400 UMAM </t>
  </si>
  <si>
    <t xml:space="preserve">21,500 UMAM </t>
  </si>
  <si>
    <t xml:space="preserve">21,600 UMAM </t>
  </si>
  <si>
    <t xml:space="preserve">21,700 UMAM </t>
  </si>
  <si>
    <t xml:space="preserve">21,800 UMAM </t>
  </si>
  <si>
    <t xml:space="preserve">21,900 UMAM </t>
  </si>
  <si>
    <t xml:space="preserve">22,000 UMAM </t>
  </si>
  <si>
    <t xml:space="preserve">22,100 UMAM </t>
  </si>
  <si>
    <t xml:space="preserve">22,200 UMAM </t>
  </si>
  <si>
    <t xml:space="preserve">22,300 UMAM </t>
  </si>
  <si>
    <t xml:space="preserve">22,400 UMAM </t>
  </si>
  <si>
    <t xml:space="preserve">22,500 UMAM </t>
  </si>
  <si>
    <t xml:space="preserve">22,600 UMAM </t>
  </si>
  <si>
    <t xml:space="preserve">22,700 UMAM </t>
  </si>
  <si>
    <t xml:space="preserve">22,800 UMAM </t>
  </si>
  <si>
    <t xml:space="preserve">22,900 UMAM </t>
  </si>
  <si>
    <t xml:space="preserve">23,000 UMAM </t>
  </si>
  <si>
    <t xml:space="preserve">23,100 UMAM </t>
  </si>
  <si>
    <t xml:space="preserve">23,200 UMAM </t>
  </si>
  <si>
    <t xml:space="preserve">23,300 UMAM </t>
  </si>
  <si>
    <t xml:space="preserve">23,400 UMAM </t>
  </si>
  <si>
    <t xml:space="preserve">23,500 UMAM </t>
  </si>
  <si>
    <t xml:space="preserve">23,600 UMAM </t>
  </si>
  <si>
    <t xml:space="preserve">23,700 UMAM </t>
  </si>
  <si>
    <t xml:space="preserve">23,800 UMAM </t>
  </si>
  <si>
    <t xml:space="preserve">23,900 UMAM </t>
  </si>
  <si>
    <t xml:space="preserve">24,000 UMAM </t>
  </si>
  <si>
    <t xml:space="preserve">24,100 UMAM </t>
  </si>
  <si>
    <t xml:space="preserve">24,200 UMAM </t>
  </si>
  <si>
    <t xml:space="preserve">24,300 UMAM </t>
  </si>
  <si>
    <t xml:space="preserve">24,400 UMAM </t>
  </si>
  <si>
    <t xml:space="preserve">24,500 UMAM </t>
  </si>
  <si>
    <t xml:space="preserve">24,600 UMAM </t>
  </si>
  <si>
    <t xml:space="preserve">24,700 UMAM </t>
  </si>
  <si>
    <t xml:space="preserve">24,800 UMAM </t>
  </si>
  <si>
    <t xml:space="preserve">24,900 UMAM </t>
  </si>
  <si>
    <t xml:space="preserve">25,000 UMAM </t>
  </si>
  <si>
    <t xml:space="preserve">25,100 UMAM </t>
  </si>
  <si>
    <t xml:space="preserve">25,200 UMAM </t>
  </si>
  <si>
    <t xml:space="preserve">25,300 UMAM </t>
  </si>
  <si>
    <t xml:space="preserve">25,400 UMAM </t>
  </si>
  <si>
    <t xml:space="preserve">25,500 UMAM </t>
  </si>
  <si>
    <t xml:space="preserve">25,600 UMAM </t>
  </si>
  <si>
    <t xml:space="preserve">25,700 UMAM </t>
  </si>
  <si>
    <t xml:space="preserve">25,800 UMAM </t>
  </si>
  <si>
    <t xml:space="preserve">25,900 UMAM </t>
  </si>
  <si>
    <t xml:space="preserve">26,000 UMAM </t>
  </si>
  <si>
    <t xml:space="preserve">26,100 UMAM </t>
  </si>
  <si>
    <t xml:space="preserve">26,200 UMAM </t>
  </si>
  <si>
    <t xml:space="preserve">26,300 UMAM </t>
  </si>
  <si>
    <t xml:space="preserve">26,400 UMAM </t>
  </si>
  <si>
    <t xml:space="preserve">26,500 UMAM </t>
  </si>
  <si>
    <t xml:space="preserve">26,600 UMAM </t>
  </si>
  <si>
    <t xml:space="preserve">26,700 UMAM </t>
  </si>
  <si>
    <t xml:space="preserve">26,800 UMAM </t>
  </si>
  <si>
    <t xml:space="preserve">26,900 UMAM </t>
  </si>
  <si>
    <t xml:space="preserve">27,000 UMAM </t>
  </si>
  <si>
    <t xml:space="preserve">27,100 UMAM </t>
  </si>
  <si>
    <t xml:space="preserve">27,200 UMAM </t>
  </si>
  <si>
    <t xml:space="preserve">27,300 UMAM </t>
  </si>
  <si>
    <t xml:space="preserve">27,400 UMAM </t>
  </si>
  <si>
    <t xml:space="preserve">27,500 UMAM </t>
  </si>
  <si>
    <t xml:space="preserve">27,600 UMAM </t>
  </si>
  <si>
    <t xml:space="preserve">27,700 UMAM </t>
  </si>
  <si>
    <t xml:space="preserve">27,800 UMAM </t>
  </si>
  <si>
    <t xml:space="preserve">27,900 UMAM </t>
  </si>
  <si>
    <t xml:space="preserve">28,000 UMAM </t>
  </si>
  <si>
    <t xml:space="preserve">28,100 UMAM </t>
  </si>
  <si>
    <t xml:space="preserve">28,200 UMAM </t>
  </si>
  <si>
    <t xml:space="preserve">28,300 UMAM </t>
  </si>
  <si>
    <t xml:space="preserve">28,400 UMAM </t>
  </si>
  <si>
    <t xml:space="preserve">28,500 UMAM </t>
  </si>
  <si>
    <t xml:space="preserve">28,600 UMAM </t>
  </si>
  <si>
    <t xml:space="preserve">28,700 UMAM </t>
  </si>
  <si>
    <t xml:space="preserve">28,800 UMAM </t>
  </si>
  <si>
    <t xml:space="preserve">28,900 UMAM </t>
  </si>
  <si>
    <t xml:space="preserve">29,000 UMAM </t>
  </si>
  <si>
    <t xml:space="preserve">29,100 UMAM </t>
  </si>
  <si>
    <t xml:space="preserve">29,200 UMAM </t>
  </si>
  <si>
    <t xml:space="preserve">29,300 UMAM </t>
  </si>
  <si>
    <t xml:space="preserve">29,400 UMAM </t>
  </si>
  <si>
    <t xml:space="preserve">29,500 UMAM </t>
  </si>
  <si>
    <t xml:space="preserve">29,600 UMAM </t>
  </si>
  <si>
    <t xml:space="preserve">29,700 UMAM </t>
  </si>
  <si>
    <t xml:space="preserve">29,800 UMAM </t>
  </si>
  <si>
    <t xml:space="preserve">29,900 UMAM </t>
  </si>
  <si>
    <t xml:space="preserve">30,000 UMAM </t>
  </si>
  <si>
    <t xml:space="preserve">30,100 UMAM </t>
  </si>
  <si>
    <t xml:space="preserve">30,200 UMAM </t>
  </si>
  <si>
    <t xml:space="preserve">30,300 UMAM </t>
  </si>
  <si>
    <t xml:space="preserve">30,400 UMAM </t>
  </si>
  <si>
    <t xml:space="preserve">30,500 UMAM </t>
  </si>
  <si>
    <t xml:space="preserve">30,600 UMAM </t>
  </si>
  <si>
    <t xml:space="preserve">30,700 UMAM </t>
  </si>
  <si>
    <t xml:space="preserve">30,800 UMAM </t>
  </si>
  <si>
    <t xml:space="preserve">30,900 UMAM </t>
  </si>
  <si>
    <t xml:space="preserve">31,000 UMAM </t>
  </si>
  <si>
    <t xml:space="preserve">31,100 UMAM </t>
  </si>
  <si>
    <t xml:space="preserve">31,200 UMAM </t>
  </si>
  <si>
    <t xml:space="preserve">31,300 UMAM </t>
  </si>
  <si>
    <t xml:space="preserve">31,400 UMAM </t>
  </si>
  <si>
    <t xml:space="preserve">31,500 UMAM </t>
  </si>
  <si>
    <t xml:space="preserve">31,600 UMAM </t>
  </si>
  <si>
    <t xml:space="preserve">31,700 UMAM </t>
  </si>
  <si>
    <t xml:space="preserve">31,800 UMAM </t>
  </si>
  <si>
    <t xml:space="preserve">31,900 UMAM </t>
  </si>
  <si>
    <t xml:space="preserve">32,000 UMAM </t>
  </si>
  <si>
    <t xml:space="preserve">32,100 UMAM </t>
  </si>
  <si>
    <t xml:space="preserve">32,200 UMAM </t>
  </si>
  <si>
    <t xml:space="preserve">32,300 UMAM </t>
  </si>
  <si>
    <t xml:space="preserve">32,400 UMAM </t>
  </si>
  <si>
    <t xml:space="preserve">32,500 UMAM </t>
  </si>
  <si>
    <t xml:space="preserve">32,600 UMAM </t>
  </si>
  <si>
    <t xml:space="preserve">32,700 UMAM </t>
  </si>
  <si>
    <t xml:space="preserve">32,800 UMAM </t>
  </si>
  <si>
    <t xml:space="preserve">32,900 UMAM </t>
  </si>
  <si>
    <t xml:space="preserve">33,000 UMAM </t>
  </si>
  <si>
    <t xml:space="preserve">33,100 UMAM </t>
  </si>
  <si>
    <t xml:space="preserve">33,200 UMAM </t>
  </si>
  <si>
    <t xml:space="preserve">33,300 UMAM </t>
  </si>
  <si>
    <t xml:space="preserve">33,400 UMAM </t>
  </si>
  <si>
    <t xml:space="preserve">33,500 UMAM </t>
  </si>
  <si>
    <t xml:space="preserve">33,600 UMAM </t>
  </si>
  <si>
    <t xml:space="preserve">33,700 UMAM </t>
  </si>
  <si>
    <t xml:space="preserve">33,800 UMAM </t>
  </si>
  <si>
    <t xml:space="preserve">33,900 UMAM </t>
  </si>
  <si>
    <t xml:space="preserve">34,000 UMAM </t>
  </si>
  <si>
    <t xml:space="preserve">34,100 UMAM </t>
  </si>
  <si>
    <t xml:space="preserve">34,200 UMAM </t>
  </si>
  <si>
    <t xml:space="preserve">34,300 UMAM </t>
  </si>
  <si>
    <t xml:space="preserve">34,400 UMAM </t>
  </si>
  <si>
    <t xml:space="preserve">34,500 UMAM </t>
  </si>
  <si>
    <t xml:space="preserve">34,600 UMAM </t>
  </si>
  <si>
    <t xml:space="preserve">34,700 UMAM </t>
  </si>
  <si>
    <t xml:space="preserve">34,800 UMAM </t>
  </si>
  <si>
    <t xml:space="preserve">34,900 UMAM </t>
  </si>
  <si>
    <t xml:space="preserve">35,000 UMAM </t>
  </si>
  <si>
    <t xml:space="preserve">35,100 UMAM </t>
  </si>
  <si>
    <t xml:space="preserve">35,200 UMAM </t>
  </si>
  <si>
    <t xml:space="preserve">35,300 UMAM </t>
  </si>
  <si>
    <t xml:space="preserve">35,400 UMAM </t>
  </si>
  <si>
    <t xml:space="preserve">35,500 UMAM </t>
  </si>
  <si>
    <t xml:space="preserve">35,600 UMAM </t>
  </si>
  <si>
    <t xml:space="preserve">35,700 UMAM </t>
  </si>
  <si>
    <t xml:space="preserve">35,800 UMAM </t>
  </si>
  <si>
    <t xml:space="preserve">35,900 UMAM </t>
  </si>
  <si>
    <t xml:space="preserve">36,000 UMAM </t>
  </si>
  <si>
    <t xml:space="preserve">36,100 UMAM </t>
  </si>
  <si>
    <t xml:space="preserve">36,200 UMAM </t>
  </si>
  <si>
    <t xml:space="preserve">36,300 UMAM </t>
  </si>
  <si>
    <t xml:space="preserve">36,400 UMAM </t>
  </si>
  <si>
    <t xml:space="preserve">36,500 UMAM </t>
  </si>
  <si>
    <t xml:space="preserve">36,600 UMAM </t>
  </si>
  <si>
    <t xml:space="preserve">36,700 UMAM </t>
  </si>
  <si>
    <t xml:space="preserve">36,800 UMAM </t>
  </si>
  <si>
    <t xml:space="preserve">36,900 UMAM </t>
  </si>
  <si>
    <t xml:space="preserve">37,000 UMAM </t>
  </si>
  <si>
    <t xml:space="preserve">37,100 UMAM </t>
  </si>
  <si>
    <t xml:space="preserve">37,200 UMAM </t>
  </si>
  <si>
    <t xml:space="preserve">37,300 UMAM </t>
  </si>
  <si>
    <t xml:space="preserve">37,400 UMAM </t>
  </si>
  <si>
    <t xml:space="preserve">37,500 UMAM </t>
  </si>
  <si>
    <t xml:space="preserve">37,600 UMAM </t>
  </si>
  <si>
    <t xml:space="preserve">37,700 UMAM </t>
  </si>
  <si>
    <t xml:space="preserve">37,800 UMAM </t>
  </si>
  <si>
    <t xml:space="preserve">37,900 UMAM </t>
  </si>
  <si>
    <t xml:space="preserve">38,000 UMAM </t>
  </si>
  <si>
    <t xml:space="preserve">38,100 UMAM </t>
  </si>
  <si>
    <t xml:space="preserve">38,200 UMAM </t>
  </si>
  <si>
    <t xml:space="preserve">38,300 UMAM </t>
  </si>
  <si>
    <t xml:space="preserve">38,400 UMAM </t>
  </si>
  <si>
    <t xml:space="preserve">38,500 UMAM </t>
  </si>
  <si>
    <t xml:space="preserve">38,600 UMAM </t>
  </si>
  <si>
    <t xml:space="preserve">38,700 UMAM </t>
  </si>
  <si>
    <t xml:space="preserve">38,800 UMAM </t>
  </si>
  <si>
    <t xml:space="preserve">38,900 UMAM </t>
  </si>
  <si>
    <t xml:space="preserve">39,000 UMAM </t>
  </si>
  <si>
    <t xml:space="preserve">39,100 UMAM </t>
  </si>
  <si>
    <t xml:space="preserve">39,200 UMAM </t>
  </si>
  <si>
    <t xml:space="preserve">39,300 UMAM </t>
  </si>
  <si>
    <t xml:space="preserve">39,400 UMAM </t>
  </si>
  <si>
    <t xml:space="preserve">39,500 UMAM </t>
  </si>
  <si>
    <t xml:space="preserve">39,600 UMAM </t>
  </si>
  <si>
    <t xml:space="preserve">39,700 UMAM </t>
  </si>
  <si>
    <t xml:space="preserve">39,800 UMAM </t>
  </si>
  <si>
    <t xml:space="preserve">39,900 UMAM </t>
  </si>
  <si>
    <t xml:space="preserve">40,000 UMAM </t>
  </si>
  <si>
    <t xml:space="preserve">40,100 UMAM </t>
  </si>
  <si>
    <t xml:space="preserve">40,200 UMAM </t>
  </si>
  <si>
    <t xml:space="preserve">40,300 UMAM </t>
  </si>
  <si>
    <t xml:space="preserve">40,400 UMAM </t>
  </si>
  <si>
    <t xml:space="preserve">40,500 UMAM </t>
  </si>
  <si>
    <t xml:space="preserve">40,600 UMAM </t>
  </si>
  <si>
    <t xml:space="preserve">40,700 UMAM </t>
  </si>
  <si>
    <t xml:space="preserve">40,800 UMAM </t>
  </si>
  <si>
    <t xml:space="preserve">40,900 UMAM </t>
  </si>
  <si>
    <t xml:space="preserve">41,000 UMAM </t>
  </si>
  <si>
    <t xml:space="preserve">41,100 UMAM </t>
  </si>
  <si>
    <t xml:space="preserve">41,200 UMAM </t>
  </si>
  <si>
    <t xml:space="preserve">41,300 UMAM </t>
  </si>
  <si>
    <t xml:space="preserve">41,400 UMAM </t>
  </si>
  <si>
    <t xml:space="preserve">41,500 UMAM </t>
  </si>
  <si>
    <t xml:space="preserve">41,600 UMAM </t>
  </si>
  <si>
    <t xml:space="preserve">41,700 UMAM </t>
  </si>
  <si>
    <t xml:space="preserve">41,800 UMAM </t>
  </si>
  <si>
    <t xml:space="preserve">41,900 UMAM </t>
  </si>
  <si>
    <t xml:space="preserve">42,000 UMAM </t>
  </si>
  <si>
    <t xml:space="preserve">42,100 UMAM </t>
  </si>
  <si>
    <t xml:space="preserve">42,200 UMAM </t>
  </si>
  <si>
    <t xml:space="preserve">42,300 UMAM </t>
  </si>
  <si>
    <t xml:space="preserve">42,400 UMAM </t>
  </si>
  <si>
    <t xml:space="preserve">42,500 UMAM </t>
  </si>
  <si>
    <t xml:space="preserve">42,600 UMAM </t>
  </si>
  <si>
    <t xml:space="preserve">42,700 UMAM </t>
  </si>
  <si>
    <t xml:space="preserve">42,800 UMAM </t>
  </si>
  <si>
    <t xml:space="preserve">42,900 UMAM </t>
  </si>
  <si>
    <t xml:space="preserve">43,000 UMAM </t>
  </si>
  <si>
    <t xml:space="preserve">43,100 UMAM </t>
  </si>
  <si>
    <t xml:space="preserve">43,200 UMAM </t>
  </si>
  <si>
    <t xml:space="preserve">43,300 UMAM </t>
  </si>
  <si>
    <t xml:space="preserve">43,400 UMAM </t>
  </si>
  <si>
    <t xml:space="preserve">43,500 UMAM </t>
  </si>
  <si>
    <t xml:space="preserve">43,600 UMAM </t>
  </si>
  <si>
    <t xml:space="preserve">43,700 UMAM </t>
  </si>
  <si>
    <t xml:space="preserve">43,800 UMAM </t>
  </si>
  <si>
    <t xml:space="preserve">43,900 UMAM </t>
  </si>
  <si>
    <t xml:space="preserve">44,000 UMAM </t>
  </si>
  <si>
    <t xml:space="preserve">44,100 UMAM </t>
  </si>
  <si>
    <t xml:space="preserve">44,200 UMAM </t>
  </si>
  <si>
    <t xml:space="preserve">44,300 UMAM </t>
  </si>
  <si>
    <t xml:space="preserve">44,400 UMAM </t>
  </si>
  <si>
    <t xml:space="preserve">44,500 UMAM </t>
  </si>
  <si>
    <t xml:space="preserve">44,600 UMAM </t>
  </si>
  <si>
    <t xml:space="preserve">44,700 UMAM </t>
  </si>
  <si>
    <t xml:space="preserve">44,800 UMAM </t>
  </si>
  <si>
    <t xml:space="preserve">44,900 UMAM </t>
  </si>
  <si>
    <t xml:space="preserve">45,000 UMAM </t>
  </si>
  <si>
    <t xml:space="preserve">45,100 UMAM </t>
  </si>
  <si>
    <t xml:space="preserve">45,200 UMAM </t>
  </si>
  <si>
    <t xml:space="preserve">45,300 UMAM </t>
  </si>
  <si>
    <t xml:space="preserve">45,400 UMAM </t>
  </si>
  <si>
    <t xml:space="preserve">45,500 UMAM </t>
  </si>
  <si>
    <t xml:space="preserve">45,600 UMAM </t>
  </si>
  <si>
    <t xml:space="preserve">45,700 UMAM </t>
  </si>
  <si>
    <t xml:space="preserve">45,800 UMAM </t>
  </si>
  <si>
    <t xml:space="preserve">45,900 UMAM </t>
  </si>
  <si>
    <t xml:space="preserve">46,000 UMAM </t>
  </si>
  <si>
    <t xml:space="preserve">46,100 UMAM </t>
  </si>
  <si>
    <t xml:space="preserve">46,200 UMAM </t>
  </si>
  <si>
    <t xml:space="preserve">46,300 UMAM </t>
  </si>
  <si>
    <t xml:space="preserve">46,400 UMAM </t>
  </si>
  <si>
    <t xml:space="preserve">46,500 UMAM </t>
  </si>
  <si>
    <t xml:space="preserve">46,600 UMAM </t>
  </si>
  <si>
    <t xml:space="preserve">46,700 UMAM </t>
  </si>
  <si>
    <t xml:space="preserve">46,800 UMAM </t>
  </si>
  <si>
    <t xml:space="preserve">46,900 UMAM </t>
  </si>
  <si>
    <t xml:space="preserve">47,000 UMAM </t>
  </si>
  <si>
    <t xml:space="preserve">47,100 UMAM </t>
  </si>
  <si>
    <t xml:space="preserve">47,200 UMAM </t>
  </si>
  <si>
    <t xml:space="preserve">47,300 UMAM </t>
  </si>
  <si>
    <t xml:space="preserve">47,400 UMAM </t>
  </si>
  <si>
    <t xml:space="preserve">47,500 UMAM </t>
  </si>
  <si>
    <t xml:space="preserve">47,600 UMAM </t>
  </si>
  <si>
    <t xml:space="preserve">47,700 UMAM </t>
  </si>
  <si>
    <t xml:space="preserve">47,800 UMAM </t>
  </si>
  <si>
    <t xml:space="preserve">47,900 UMAM </t>
  </si>
  <si>
    <t xml:space="preserve">48,000 UMAM </t>
  </si>
  <si>
    <t xml:space="preserve">48,100 UMAM </t>
  </si>
  <si>
    <t xml:space="preserve">48,200 UMAM </t>
  </si>
  <si>
    <t xml:space="preserve">48,300 UMAM </t>
  </si>
  <si>
    <t xml:space="preserve">48,400 UMAM </t>
  </si>
  <si>
    <t xml:space="preserve">48,500 UMAM </t>
  </si>
  <si>
    <t xml:space="preserve">48,600 UMAM </t>
  </si>
  <si>
    <t xml:space="preserve">48,700 UMAM </t>
  </si>
  <si>
    <t xml:space="preserve">48,800 UMAM </t>
  </si>
  <si>
    <t xml:space="preserve">48,900 UMAM </t>
  </si>
  <si>
    <t xml:space="preserve">49,000 UMAM </t>
  </si>
  <si>
    <t xml:space="preserve">49,100 UMAM </t>
  </si>
  <si>
    <t xml:space="preserve">49,200 UMAM </t>
  </si>
  <si>
    <t xml:space="preserve">49,300 UMAM </t>
  </si>
  <si>
    <t xml:space="preserve">49,400 UMAM </t>
  </si>
  <si>
    <t xml:space="preserve">49,500 UMAM </t>
  </si>
  <si>
    <t xml:space="preserve">49,600 UMAM </t>
  </si>
  <si>
    <t xml:space="preserve">49,700 UMAM </t>
  </si>
  <si>
    <t xml:space="preserve">49,800 UMAM </t>
  </si>
  <si>
    <t xml:space="preserve">49,900 UMAM </t>
  </si>
  <si>
    <t xml:space="preserve">50,000 UMAM </t>
  </si>
  <si>
    <t xml:space="preserve">50,100 UMAM </t>
  </si>
  <si>
    <t xml:space="preserve">50,200 UMAM </t>
  </si>
  <si>
    <t xml:space="preserve">50,300 UMAM </t>
  </si>
  <si>
    <t xml:space="preserve">50,400 UMAM </t>
  </si>
  <si>
    <t xml:space="preserve">50,500 UMAM </t>
  </si>
  <si>
    <t xml:space="preserve">50,600 UMAM </t>
  </si>
  <si>
    <t xml:space="preserve">50,700 UMAM </t>
  </si>
  <si>
    <t xml:space="preserve">50,800 UMAM </t>
  </si>
  <si>
    <t xml:space="preserve">50,900 UMAM </t>
  </si>
  <si>
    <t xml:space="preserve">51,000 UMAM </t>
  </si>
  <si>
    <t xml:space="preserve">51,100 UMAM </t>
  </si>
  <si>
    <t xml:space="preserve">51,200 UMAM </t>
  </si>
  <si>
    <t xml:space="preserve">51,300 UMAM </t>
  </si>
  <si>
    <t xml:space="preserve">51,400 UMAM </t>
  </si>
  <si>
    <t xml:space="preserve">51,500 UMAM </t>
  </si>
  <si>
    <t xml:space="preserve">51,600 UMAM </t>
  </si>
  <si>
    <t xml:space="preserve">51,700 UMAM </t>
  </si>
  <si>
    <t xml:space="preserve">51,800 UMAM </t>
  </si>
  <si>
    <t xml:space="preserve">51,900 UMAM </t>
  </si>
  <si>
    <t xml:space="preserve">52,000 UMAM </t>
  </si>
  <si>
    <t xml:space="preserve">52,100 UMAM </t>
  </si>
  <si>
    <t xml:space="preserve">52,200 UMAM </t>
  </si>
  <si>
    <t xml:space="preserve">52,300 UMAM </t>
  </si>
  <si>
    <t xml:space="preserve">52,400 UMAM </t>
  </si>
  <si>
    <t xml:space="preserve">52,500 UMAM </t>
  </si>
  <si>
    <t xml:space="preserve">52,600 UMAM </t>
  </si>
  <si>
    <t xml:space="preserve">52,700 UMAM </t>
  </si>
  <si>
    <t xml:space="preserve">52,800 UMAM </t>
  </si>
  <si>
    <t xml:space="preserve">52,900 UMAM </t>
  </si>
  <si>
    <t xml:space="preserve">53,000 UMAM </t>
  </si>
  <si>
    <t xml:space="preserve">53,100 UMAM </t>
  </si>
  <si>
    <t xml:space="preserve">53,200 UMAM </t>
  </si>
  <si>
    <t xml:space="preserve">53,300 UMAM </t>
  </si>
  <si>
    <t xml:space="preserve">53,400 UMAM </t>
  </si>
  <si>
    <t xml:space="preserve">53,500 UMAM </t>
  </si>
  <si>
    <t xml:space="preserve">53,600 UMAM </t>
  </si>
  <si>
    <t xml:space="preserve">53,700 UMAM </t>
  </si>
  <si>
    <t xml:space="preserve">53,800 UMAM </t>
  </si>
  <si>
    <t xml:space="preserve">53,900 UMAM </t>
  </si>
  <si>
    <t xml:space="preserve">54,000 UMAM </t>
  </si>
  <si>
    <t xml:space="preserve">54,100 UMAM </t>
  </si>
  <si>
    <t xml:space="preserve">54,200 UMAM </t>
  </si>
  <si>
    <t xml:space="preserve">54,300 UMAM </t>
  </si>
  <si>
    <t xml:space="preserve">54,400 UMAM </t>
  </si>
  <si>
    <t xml:space="preserve">54,500 UMAM </t>
  </si>
  <si>
    <t xml:space="preserve">54,600 UMAM </t>
  </si>
  <si>
    <t xml:space="preserve">54,700 UMAM </t>
  </si>
  <si>
    <t xml:space="preserve">54,800 UMAM </t>
  </si>
  <si>
    <t xml:space="preserve">54,900 UMAM </t>
  </si>
  <si>
    <t xml:space="preserve">55,000 UMAM </t>
  </si>
  <si>
    <t>Cotizador de Excesos de Gastos Médicos Mayores Individual</t>
  </si>
  <si>
    <t>Lugar de Residencia</t>
  </si>
  <si>
    <t>Del 18 % ¿Qué puntos porcentuales desea ceder?</t>
  </si>
  <si>
    <t>Seguros Atlas le proporciona una propuesta de Exceso de Gastos Médicos Mayores con Beneficio de Derecho de Conversión que cubra las necesidades de seguridad ante los imprevistos que atenten contra su salud, en el entendido de que lo no especificado operará bajo las condiciones vigentes de los Planes Nacionales.</t>
  </si>
  <si>
    <t>Suma asegurada en exceso de la póliza básica</t>
  </si>
  <si>
    <t>Amparados con la aplicación de deducible y eliminación del coaseguro, la eliminación de coaseguro queda sujeto a comprobación en la póliza básica.</t>
  </si>
  <si>
    <t xml:space="preserve">194 UMAM </t>
  </si>
  <si>
    <t xml:space="preserve">111 UMAM </t>
  </si>
  <si>
    <t>350 UMAM</t>
  </si>
  <si>
    <t>150 UMAM</t>
  </si>
  <si>
    <t>174 UMAM</t>
  </si>
  <si>
    <t>Derecho de conversión</t>
  </si>
  <si>
    <t xml:space="preserve">148 UMAM </t>
  </si>
  <si>
    <t xml:space="preserve">259 UMAM </t>
  </si>
  <si>
    <t xml:space="preserve">295 UMAM </t>
  </si>
  <si>
    <t>Sin Tope</t>
  </si>
  <si>
    <t xml:space="preserve">Para más información sobre UMAM visite la página: </t>
  </si>
  <si>
    <t>https://www.inegi.org.mx/temas/uma/</t>
  </si>
  <si>
    <t>Póliza Nueva o Renovación?</t>
  </si>
  <si>
    <t>Nuevas</t>
  </si>
  <si>
    <t>1 es nueva</t>
  </si>
  <si>
    <t>b3</t>
  </si>
  <si>
    <t>b</t>
  </si>
  <si>
    <t xml:space="preserve">Plan </t>
  </si>
  <si>
    <t>b4</t>
  </si>
  <si>
    <t>p</t>
  </si>
  <si>
    <t>Visibilidad</t>
  </si>
  <si>
    <t>optimo</t>
  </si>
  <si>
    <t>plus</t>
  </si>
  <si>
    <t>elite</t>
  </si>
  <si>
    <t>Renovacion</t>
  </si>
  <si>
    <t>Deducibles</t>
  </si>
  <si>
    <t>Nueva y mundial</t>
  </si>
  <si>
    <t>Suma de incidencias</t>
  </si>
  <si>
    <t>vo</t>
  </si>
  <si>
    <t>vp</t>
  </si>
  <si>
    <t>ve</t>
  </si>
  <si>
    <t>Error</t>
  </si>
  <si>
    <t>15,000</t>
  </si>
  <si>
    <t>10,000</t>
  </si>
  <si>
    <t>Protección total (SA en exceso más deducible )</t>
  </si>
  <si>
    <t>¿Deseas cálculo de impuesto con IVA fronterizo?</t>
  </si>
  <si>
    <t>¿Deseas indicar % de comisión en carta?</t>
  </si>
  <si>
    <t>IVA</t>
  </si>
  <si>
    <t>Factor Deducible E</t>
  </si>
  <si>
    <t>Factor Deducible A y E</t>
  </si>
  <si>
    <t>Factor a Aplicar</t>
  </si>
  <si>
    <t>Matamoros</t>
  </si>
  <si>
    <t>M17</t>
  </si>
  <si>
    <t>Mazatlán</t>
  </si>
  <si>
    <t>G22</t>
  </si>
  <si>
    <t>Zacatecas</t>
  </si>
  <si>
    <t>L12</t>
  </si>
  <si>
    <t>Costo Usual y Acostumbrado al 100%</t>
  </si>
  <si>
    <t>Costo Usual y Acostumbrado al 150%</t>
  </si>
  <si>
    <t>Costo Usual y Acostumbrado al 200%</t>
  </si>
  <si>
    <t>Esquema de comisión</t>
  </si>
  <si>
    <t>Comisión Carta</t>
  </si>
  <si>
    <t>Titular, Cónyuge e hijos hasta 59 años con Suma Asegurada máxima de 40,000 UMAM ( SA de la básica más la SA de exceso) en planes Plus y Elite
Titular, Cónyuge e hijos hasta 59 años con Suma Asegurada máxima de 30,000 UMAM ( SA de la básica más la SA de exceso) en Óptimo
Titular, Cónyuge e hijos de 60 a 64 años con Suma Asegurada máxima de 6,000 UMAM ( SA de la básica más la SA de exceso)</t>
  </si>
  <si>
    <t>Elegibilidad</t>
  </si>
  <si>
    <t>Exclusiones.
Por tratarse de coberturas con SA específica y/o cubiertas en la póliza básica, serán amparadas una vez aplicado el derecho de conversión a individual. Algunas pueden tener costo adicional.</t>
  </si>
  <si>
    <r>
      <rPr>
        <sz val="11"/>
        <rFont val="Bookshelf Symbol 7"/>
        <charset val="2"/>
      </rPr>
      <t>þ</t>
    </r>
    <r>
      <rPr>
        <sz val="11"/>
        <rFont val="Arial"/>
        <family val="2"/>
      </rPr>
      <t xml:space="preserve">   La emisión y renovación de esta póliza de exceso esta sujeta a la vigencia y renovación de la póliza básica colectiva.</t>
    </r>
  </si>
  <si>
    <r>
      <rPr>
        <sz val="11"/>
        <rFont val="Bookshelf Symbol 7"/>
        <charset val="2"/>
      </rPr>
      <t>þ</t>
    </r>
    <r>
      <rPr>
        <sz val="11"/>
        <rFont val="Arial"/>
        <family val="2"/>
      </rPr>
      <t xml:space="preserve">   Todos los asegurados deberán presentar cuestionario médico y su aceptación quedará sujeta al resultado del mismo.</t>
    </r>
  </si>
  <si>
    <r>
      <rPr>
        <sz val="11"/>
        <rFont val="Bookshelf Symbol 7"/>
        <charset val="2"/>
      </rPr>
      <t>þ</t>
    </r>
    <r>
      <rPr>
        <sz val="11"/>
        <rFont val="Arial"/>
        <family val="2"/>
      </rPr>
      <t xml:space="preserve">   Toda alta de dependientes económicos estará sujeta a la valoración de la solicitud de alta.</t>
    </r>
  </si>
  <si>
    <r>
      <rPr>
        <sz val="11"/>
        <rFont val="Bookshelf Symbol 7"/>
        <charset val="2"/>
      </rPr>
      <t xml:space="preserve">þ   </t>
    </r>
    <r>
      <rPr>
        <sz val="11"/>
        <rFont val="Arial"/>
        <family val="2"/>
      </rPr>
      <t>En la póliza de exceso no se realiza reconocimiento de Antigüedad. Una vez ejercido el derecho de conversión se podrá reconocer la antigüedad de la póliza básica.</t>
    </r>
  </si>
  <si>
    <r>
      <rPr>
        <sz val="11"/>
        <rFont val="Bookshelf Symbol 7"/>
        <charset val="2"/>
      </rPr>
      <t>þ</t>
    </r>
    <r>
      <rPr>
        <sz val="11"/>
        <rFont val="Arial"/>
        <family val="2"/>
      </rPr>
      <t xml:space="preserve">   En caso de emisión se deberá comprobar a través de copia de la carátula o copia del certificado de la póliza básica colectiva:</t>
    </r>
  </si>
  <si>
    <t xml:space="preserve">       Suma Asegurada ( deducible de ésta póliza), Nivel Hospitalario, Honorarios Quirurgicos, Coaseguro y Tope de Coaseguro. </t>
  </si>
  <si>
    <r>
      <rPr>
        <sz val="11"/>
        <rFont val="Bookshelf Symbol 7"/>
        <charset val="2"/>
      </rPr>
      <t>þ</t>
    </r>
    <r>
      <rPr>
        <sz val="11"/>
        <rFont val="Arial"/>
        <family val="2"/>
      </rPr>
      <t xml:space="preserve">   Sólo se reconocerán pólizas básicas colectivas emitidas en Territorio Nacional por Aseguradoras registradas ante la Comisión Nacional de Seguros y Fianzas (CNSF).</t>
    </r>
  </si>
  <si>
    <r>
      <rPr>
        <sz val="11"/>
        <rFont val="Bookshelf Symbol 7"/>
        <charset val="2"/>
      </rPr>
      <t>þ</t>
    </r>
    <r>
      <rPr>
        <sz val="11"/>
        <rFont val="Arial"/>
        <family val="2"/>
      </rPr>
      <t xml:space="preserve">   Esta cotización tiene vigencia de 15 días a partir de la fecha de cálculo.</t>
    </r>
  </si>
  <si>
    <t>Cláusula de emergencia en el extranjero
Med asistencia
Cobertura de enfermedades catastróficas en extranjero
Ayuda por maternidad
SIDA
Daño psiquiátrico
Deducible por familia
Plan Dental con Dentegra
Plan Visión con Dentegra
Servicio de Asistencia Funeraria
Cirugía Bariátrica
Circuncisión
Litotripsias
Gastos funerarios Titular
Gastos funerarios Dependientes
Continuación Familiar
Recuperación Activa Atlas</t>
  </si>
  <si>
    <t xml:space="preserve">Las PRIMAS antes indicadas están expresadas en Moneda Nacional.  La PRIMA TOTAL incluye gastos de expedición, recargo por pago fraccionado e IVA. Los recargos por pago fraccionado son: semestral 5% y  trimestral 7.50%. En caso de optar por la forma de pago mensual solo será a través de cargo automático a tarjeta de crédito por lo que deberán proporcionar el formato correspondiente para realizar el cargo. </t>
  </si>
  <si>
    <t>Cotizador vigente del 1 de Julio del 2023 al 30 de junio del 2024          V. 1</t>
  </si>
  <si>
    <t>llave</t>
  </si>
  <si>
    <t>D00-995284</t>
  </si>
  <si>
    <t>D00-995293</t>
  </si>
  <si>
    <t>D00-995294</t>
  </si>
  <si>
    <t>L00-952184</t>
  </si>
  <si>
    <t>L06-146136</t>
  </si>
  <si>
    <t>F04-976299</t>
  </si>
  <si>
    <t>D00-995299</t>
  </si>
  <si>
    <t>F04-976297</t>
  </si>
  <si>
    <t>C00-794405</t>
  </si>
  <si>
    <t>F04-976291</t>
  </si>
  <si>
    <t>Q00-22138</t>
  </si>
  <si>
    <t>C00-794403</t>
  </si>
  <si>
    <t>F04-976292</t>
  </si>
  <si>
    <t>F02-992653</t>
  </si>
  <si>
    <t>MS5-25163</t>
  </si>
  <si>
    <t>F04-976301</t>
  </si>
  <si>
    <t>F04-976324</t>
  </si>
  <si>
    <t>L00-952180</t>
  </si>
  <si>
    <t>L00-952185</t>
  </si>
  <si>
    <t>L00-952186</t>
  </si>
  <si>
    <t>D00-995273</t>
  </si>
  <si>
    <t>D00-995274</t>
  </si>
  <si>
    <t>D00-995275</t>
  </si>
  <si>
    <t>F02-992652</t>
  </si>
  <si>
    <t>H01-225</t>
  </si>
  <si>
    <t>C01-890193</t>
  </si>
  <si>
    <t>Y00-466153</t>
  </si>
  <si>
    <t>F04-976300</t>
  </si>
  <si>
    <t>F04-976309</t>
  </si>
  <si>
    <t>F04-976310</t>
  </si>
  <si>
    <t>F04-976302</t>
  </si>
  <si>
    <t>C01-890194</t>
  </si>
  <si>
    <t>D00-995285</t>
  </si>
  <si>
    <t>D00-995286</t>
  </si>
  <si>
    <t>D00-995287</t>
  </si>
  <si>
    <t>D70-795325</t>
  </si>
  <si>
    <t>Q00-22137</t>
  </si>
  <si>
    <t>D70-795324</t>
  </si>
  <si>
    <t>M14-86169</t>
  </si>
  <si>
    <t>D00-995272</t>
  </si>
  <si>
    <t>D00-995288</t>
  </si>
  <si>
    <t>D00-995303</t>
  </si>
  <si>
    <t>F04-976303</t>
  </si>
  <si>
    <t>L00-952182</t>
  </si>
  <si>
    <t>F04-976293</t>
  </si>
  <si>
    <t>D00-995282</t>
  </si>
  <si>
    <t>D00-995292</t>
  </si>
  <si>
    <t>M14-86171</t>
  </si>
  <si>
    <t>Q00-22139</t>
  </si>
  <si>
    <t>Y00-466154</t>
  </si>
  <si>
    <t>ML0-162</t>
  </si>
  <si>
    <t>MSJ-16124</t>
  </si>
  <si>
    <t>Y00-466155</t>
  </si>
  <si>
    <t>D00-995291</t>
  </si>
  <si>
    <t>F04-976298</t>
  </si>
  <si>
    <t>L00-952188</t>
  </si>
  <si>
    <t>D00-995280</t>
  </si>
  <si>
    <t>M17-3</t>
  </si>
  <si>
    <t>L00-952190</t>
  </si>
  <si>
    <t>C00-794404</t>
  </si>
  <si>
    <t>G00-33143</t>
  </si>
  <si>
    <t>Q00-22140</t>
  </si>
  <si>
    <t>F04-976308</t>
  </si>
  <si>
    <t>L00-952192</t>
  </si>
  <si>
    <t>MS1-86129</t>
  </si>
  <si>
    <t>D00-995281</t>
  </si>
  <si>
    <t>MH0-76130</t>
  </si>
  <si>
    <t>F04-976318</t>
  </si>
  <si>
    <t>Y00-466156</t>
  </si>
  <si>
    <t>Y00-466157</t>
  </si>
  <si>
    <t>Y17-2</t>
  </si>
  <si>
    <t>C00-794407</t>
  </si>
  <si>
    <t>C00-794408</t>
  </si>
  <si>
    <t>C00-794409</t>
  </si>
  <si>
    <t>D00-995298</t>
  </si>
  <si>
    <t>F04-976304</t>
  </si>
  <si>
    <t>F04-976306</t>
  </si>
  <si>
    <t>D00-995276</t>
  </si>
  <si>
    <t>F04-976305</t>
  </si>
  <si>
    <t>D00-995277</t>
  </si>
  <si>
    <t>D00-995289</t>
  </si>
  <si>
    <t>D00-995278</t>
  </si>
  <si>
    <t>D00-995300</t>
  </si>
  <si>
    <t>L00-952187</t>
  </si>
  <si>
    <t>M05-56126</t>
  </si>
  <si>
    <t>M14-86170</t>
  </si>
  <si>
    <t>D00-995279</t>
  </si>
  <si>
    <t>F02-992656</t>
  </si>
  <si>
    <t>L00-952189</t>
  </si>
  <si>
    <t>D00-995290</t>
  </si>
  <si>
    <t>D00-995302</t>
  </si>
  <si>
    <t>F04-976313</t>
  </si>
  <si>
    <t>F04-976316</t>
  </si>
  <si>
    <t>L00-952200</t>
  </si>
  <si>
    <t>MS5-25164</t>
  </si>
  <si>
    <t>Y00-466158</t>
  </si>
  <si>
    <t>C00-794406</t>
  </si>
  <si>
    <t>D00-995295</t>
  </si>
  <si>
    <t>D00-995311</t>
  </si>
  <si>
    <t>L00-952194</t>
  </si>
  <si>
    <t>L00-952195</t>
  </si>
  <si>
    <t>L06-146137</t>
  </si>
  <si>
    <t>D00-995301</t>
  </si>
  <si>
    <t>D00-995304</t>
  </si>
  <si>
    <t>D00-995296</t>
  </si>
  <si>
    <t>F04-976331</t>
  </si>
  <si>
    <t>M05-56127</t>
  </si>
  <si>
    <t>MH0-76131</t>
  </si>
  <si>
    <t>E01-205963</t>
  </si>
  <si>
    <t>F04-976307</t>
  </si>
  <si>
    <t>F04-976325</t>
  </si>
  <si>
    <t>MS1-86130</t>
  </si>
  <si>
    <t>Q02-14163</t>
  </si>
  <si>
    <t>L00-952193</t>
  </si>
  <si>
    <t>L00-952203</t>
  </si>
  <si>
    <t>F02-992654</t>
  </si>
  <si>
    <t>F02-992655</t>
  </si>
  <si>
    <t>F04-976317</t>
  </si>
  <si>
    <t>L00-952199</t>
  </si>
  <si>
    <t>C01-890196</t>
  </si>
  <si>
    <t>F04-976311</t>
  </si>
  <si>
    <t>F04-976314</t>
  </si>
  <si>
    <t>F04-976315</t>
  </si>
  <si>
    <t>F04-976319</t>
  </si>
  <si>
    <t>L00-952201</t>
  </si>
  <si>
    <t>D00-995321</t>
  </si>
  <si>
    <t>L00-952197</t>
  </si>
  <si>
    <t>L00-952198</t>
  </si>
  <si>
    <t>C01-890195</t>
  </si>
  <si>
    <t>F04-976321</t>
  </si>
  <si>
    <t>F04-976341</t>
  </si>
  <si>
    <t>F04-976342</t>
  </si>
  <si>
    <t>F04-976357</t>
  </si>
  <si>
    <t>H00-265</t>
  </si>
  <si>
    <t>L00-952196</t>
  </si>
  <si>
    <t>E00-55153</t>
  </si>
  <si>
    <t>D00-995297</t>
  </si>
  <si>
    <t>F04-976323</t>
  </si>
  <si>
    <t>D00-995305</t>
  </si>
  <si>
    <t>D00-995317</t>
  </si>
  <si>
    <t>F04-976326</t>
  </si>
  <si>
    <t>F04-976327</t>
  </si>
  <si>
    <t>F04-976343</t>
  </si>
  <si>
    <t>L00-952202</t>
  </si>
  <si>
    <t>F04-976348</t>
  </si>
  <si>
    <t>L00-952204</t>
  </si>
  <si>
    <t>D00-995312</t>
  </si>
  <si>
    <t>D00-995320</t>
  </si>
  <si>
    <t>F04-976322</t>
  </si>
  <si>
    <t>F04-976332</t>
  </si>
  <si>
    <t>F04-976344</t>
  </si>
  <si>
    <t>E00-55154</t>
  </si>
  <si>
    <t>F04-976320</t>
  </si>
  <si>
    <t>L06-146140</t>
  </si>
  <si>
    <t>D00-995313</t>
  </si>
  <si>
    <t>L00-952207</t>
  </si>
  <si>
    <t>M14-86172</t>
  </si>
  <si>
    <t>D00-995307</t>
  </si>
  <si>
    <t>F04-976328</t>
  </si>
  <si>
    <t>L06-146138</t>
  </si>
  <si>
    <t>D00-995308</t>
  </si>
  <si>
    <t>D00-995309</t>
  </si>
  <si>
    <t>D00-995310</t>
  </si>
  <si>
    <t>D00-995323</t>
  </si>
  <si>
    <t>C00-794410</t>
  </si>
  <si>
    <t>F04-976333</t>
  </si>
  <si>
    <t>L00-952206</t>
  </si>
  <si>
    <t>Y00-466160</t>
  </si>
  <si>
    <t>F04-976346</t>
  </si>
  <si>
    <t>F04-976329</t>
  </si>
  <si>
    <t>F04-976330</t>
  </si>
  <si>
    <t>F02-992657</t>
  </si>
  <si>
    <t>D00-995324</t>
  </si>
  <si>
    <t>C01-890197</t>
  </si>
  <si>
    <t>C01-890198</t>
  </si>
  <si>
    <t>C01-890207</t>
  </si>
  <si>
    <t>D70-795326</t>
  </si>
  <si>
    <t>F04-976347</t>
  </si>
  <si>
    <t>Y00-466159</t>
  </si>
  <si>
    <t>C01-890199</t>
  </si>
  <si>
    <t>L00-952205</t>
  </si>
  <si>
    <t>Q00-22141</t>
  </si>
  <si>
    <t>C01-890208</t>
  </si>
  <si>
    <t>D00-995306</t>
  </si>
  <si>
    <t>F04-976361</t>
  </si>
  <si>
    <t>D00-995328</t>
  </si>
  <si>
    <t>D70-795328</t>
  </si>
  <si>
    <t>F04-976345</t>
  </si>
  <si>
    <t>F04-976349</t>
  </si>
  <si>
    <t>MH0-76133</t>
  </si>
  <si>
    <t>MH0-76134</t>
  </si>
  <si>
    <t>MH0-76135</t>
  </si>
  <si>
    <t>C01-890202</t>
  </si>
  <si>
    <t>C01-890203</t>
  </si>
  <si>
    <t>C01-890200</t>
  </si>
  <si>
    <t>Y01-24165</t>
  </si>
  <si>
    <t>C01-890204</t>
  </si>
  <si>
    <t>C01-890205</t>
  </si>
  <si>
    <t>C01-890206</t>
  </si>
  <si>
    <t>D00-995340</t>
  </si>
  <si>
    <t>D00-995322</t>
  </si>
  <si>
    <t>L00-952208</t>
  </si>
  <si>
    <t>F04-976334</t>
  </si>
  <si>
    <t>F04-976337</t>
  </si>
  <si>
    <t>F04-976339</t>
  </si>
  <si>
    <t>F04-976356</t>
  </si>
  <si>
    <t>Q00-22142</t>
  </si>
  <si>
    <t>L06-146139</t>
  </si>
  <si>
    <t>F04-976335</t>
  </si>
  <si>
    <t>L00-952213</t>
  </si>
  <si>
    <t>Y00-466161</t>
  </si>
  <si>
    <t>D00-995315</t>
  </si>
  <si>
    <t>D00-995318</t>
  </si>
  <si>
    <t>D00-995333</t>
  </si>
  <si>
    <t>L07-26122</t>
  </si>
  <si>
    <t>MH0-76132</t>
  </si>
  <si>
    <t>F04-976338</t>
  </si>
  <si>
    <t>D00-995319</t>
  </si>
  <si>
    <t>D00-995336</t>
  </si>
  <si>
    <t>F04-976336</t>
  </si>
  <si>
    <t>F04-976340</t>
  </si>
  <si>
    <t>F02-992658</t>
  </si>
  <si>
    <t>MC7-2</t>
  </si>
  <si>
    <t>D00-995314</t>
  </si>
  <si>
    <t>C01-890201</t>
  </si>
  <si>
    <t>D00-995316</t>
  </si>
  <si>
    <t>D70-795327</t>
  </si>
  <si>
    <t>D70-795329</t>
  </si>
  <si>
    <t>F04-976351</t>
  </si>
  <si>
    <t>F04-976362</t>
  </si>
  <si>
    <t>F04-976380</t>
  </si>
  <si>
    <t>L00-952215</t>
  </si>
  <si>
    <t>L00-952216</t>
  </si>
  <si>
    <t>Q00-22143</t>
  </si>
  <si>
    <t>T02-13163</t>
  </si>
  <si>
    <t>G00-33144</t>
  </si>
  <si>
    <t>H00-266</t>
  </si>
  <si>
    <t>L00-952211</t>
  </si>
  <si>
    <t>L00-952214</t>
  </si>
  <si>
    <t>C01-890209</t>
  </si>
  <si>
    <t>F02-992659</t>
  </si>
  <si>
    <t>MH0-76136</t>
  </si>
  <si>
    <t>F04-976372</t>
  </si>
  <si>
    <t>D00-995338</t>
  </si>
  <si>
    <t>H01-226</t>
  </si>
  <si>
    <t>C00-794411</t>
  </si>
  <si>
    <t>D00-995325</t>
  </si>
  <si>
    <t>F04-976350</t>
  </si>
  <si>
    <t>F04-976355</t>
  </si>
  <si>
    <t>G00-33145</t>
  </si>
  <si>
    <t>Y00-466163</t>
  </si>
  <si>
    <t>E01-205964</t>
  </si>
  <si>
    <t>Y00-466162</t>
  </si>
  <si>
    <t>D00-995326</t>
  </si>
  <si>
    <t>L00-952210</t>
  </si>
  <si>
    <t>D00-995331</t>
  </si>
  <si>
    <t>D00-995332</t>
  </si>
  <si>
    <t>D00-995334</t>
  </si>
  <si>
    <t>D00-995335</t>
  </si>
  <si>
    <t>E00-55155</t>
  </si>
  <si>
    <t>L00-952212</t>
  </si>
  <si>
    <t>F04-976382</t>
  </si>
  <si>
    <t>L00-952218</t>
  </si>
  <si>
    <t>D00-995330</t>
  </si>
  <si>
    <t>F04-976352</t>
  </si>
  <si>
    <t>F04-976363</t>
  </si>
  <si>
    <t>D00-995327</t>
  </si>
  <si>
    <t>L00-952209</t>
  </si>
  <si>
    <t>F04-976365</t>
  </si>
  <si>
    <t>D00-995329</t>
  </si>
  <si>
    <t>D00-995339</t>
  </si>
  <si>
    <t>D00-995353</t>
  </si>
  <si>
    <t>F04-976353</t>
  </si>
  <si>
    <t>F04-976354</t>
  </si>
  <si>
    <t>F04-976358</t>
  </si>
  <si>
    <t>F04-976359</t>
  </si>
  <si>
    <t>F04-976360</t>
  </si>
  <si>
    <t>D00-995347</t>
  </si>
  <si>
    <t>D00-995370</t>
  </si>
  <si>
    <t>F04-976366</t>
  </si>
  <si>
    <t>F04-976367</t>
  </si>
  <si>
    <t>F04-976369</t>
  </si>
  <si>
    <t>F04-976370</t>
  </si>
  <si>
    <t>F04-976371</t>
  </si>
  <si>
    <t>F04-976386</t>
  </si>
  <si>
    <t>F04-976387</t>
  </si>
  <si>
    <t>F04-976389</t>
  </si>
  <si>
    <t>F04-976396</t>
  </si>
  <si>
    <t>F04-976398</t>
  </si>
  <si>
    <t>F04-976404</t>
  </si>
  <si>
    <t>F04-976418</t>
  </si>
  <si>
    <t>F04-976419</t>
  </si>
  <si>
    <t>F04-976420</t>
  </si>
  <si>
    <t>F04-976436</t>
  </si>
  <si>
    <t>F04-976438</t>
  </si>
  <si>
    <t>D00-995363</t>
  </si>
  <si>
    <t>F04-976375</t>
  </si>
  <si>
    <t>F04-976376</t>
  </si>
  <si>
    <t>F04-976377</t>
  </si>
  <si>
    <t>F04-976378</t>
  </si>
  <si>
    <t>F04-976379</t>
  </si>
  <si>
    <t>D00-995341</t>
  </si>
  <si>
    <t>F04-976364</t>
  </si>
  <si>
    <t>F04-976381</t>
  </si>
  <si>
    <t>L00-952219</t>
  </si>
  <si>
    <t>D70-795330</t>
  </si>
  <si>
    <t>F04-976374</t>
  </si>
  <si>
    <t>F04-976388</t>
  </si>
  <si>
    <t>F04-976390</t>
  </si>
  <si>
    <t>F04-976400</t>
  </si>
  <si>
    <t>MSJ-16126</t>
  </si>
  <si>
    <t>C01-890212</t>
  </si>
  <si>
    <t>L06-146141</t>
  </si>
  <si>
    <t>F04-976397</t>
  </si>
  <si>
    <t>C01-890210</t>
  </si>
  <si>
    <t>L01-15163</t>
  </si>
  <si>
    <t>MSJ-16127</t>
  </si>
  <si>
    <t>Q00-22144</t>
  </si>
  <si>
    <t>F04-976368</t>
  </si>
  <si>
    <t>F04-976422</t>
  </si>
  <si>
    <t>D00-995346</t>
  </si>
  <si>
    <t>MS5-25165</t>
  </si>
  <si>
    <t>F04-976395</t>
  </si>
  <si>
    <t>Q00-22145</t>
  </si>
  <si>
    <t>L00-952220</t>
  </si>
  <si>
    <t>L00-952223</t>
  </si>
  <si>
    <t>L00-952227</t>
  </si>
  <si>
    <t>C01-890219</t>
  </si>
  <si>
    <t>C01-890221</t>
  </si>
  <si>
    <t>D00-995337</t>
  </si>
  <si>
    <t>MC1-102128</t>
  </si>
  <si>
    <t>Y00-466164</t>
  </si>
  <si>
    <t>M14-86173</t>
  </si>
  <si>
    <t>C01-890211</t>
  </si>
  <si>
    <t>F04-976373</t>
  </si>
  <si>
    <t>F04-976385</t>
  </si>
  <si>
    <t>F04-976433</t>
  </si>
  <si>
    <t>F04-976435</t>
  </si>
  <si>
    <t>D00-995355</t>
  </si>
  <si>
    <t>H02-126</t>
  </si>
  <si>
    <t>D00-995348</t>
  </si>
  <si>
    <t>D00-995352</t>
  </si>
  <si>
    <t>F04-976417</t>
  </si>
  <si>
    <t>MC1-102127</t>
  </si>
  <si>
    <t>C01-890215</t>
  </si>
  <si>
    <t>L00-952222</t>
  </si>
  <si>
    <t>L00-952217</t>
  </si>
  <si>
    <t>M05-56128</t>
  </si>
  <si>
    <t>C00-794412</t>
  </si>
  <si>
    <t>C00-794413</t>
  </si>
  <si>
    <t>F04-976430</t>
  </si>
  <si>
    <t>M05-56129</t>
  </si>
  <si>
    <t>M05-56130</t>
  </si>
  <si>
    <t>Q02-14164</t>
  </si>
  <si>
    <t>D00-995342</t>
  </si>
  <si>
    <t>D00-995354</t>
  </si>
  <si>
    <t>D00-995357</t>
  </si>
  <si>
    <t>D00-995343</t>
  </si>
  <si>
    <t>F04-976384</t>
  </si>
  <si>
    <t>H01-227</t>
  </si>
  <si>
    <t>H01-228</t>
  </si>
  <si>
    <t>L06-146142</t>
  </si>
  <si>
    <t>L00-952228</t>
  </si>
  <si>
    <t>L00-952225</t>
  </si>
  <si>
    <t>C01-890213</t>
  </si>
  <si>
    <t>C01-890214</t>
  </si>
  <si>
    <t>F04-976450</t>
  </si>
  <si>
    <t>L00-952226</t>
  </si>
  <si>
    <t>M05-56131</t>
  </si>
  <si>
    <t>M05-56132</t>
  </si>
  <si>
    <t>M05-56133</t>
  </si>
  <si>
    <t>M05-56134</t>
  </si>
  <si>
    <t>M05-56135</t>
  </si>
  <si>
    <t>M05-56136</t>
  </si>
  <si>
    <t>ML0-163</t>
  </si>
  <si>
    <t>MS1-86133</t>
  </si>
  <si>
    <t>D00-995344</t>
  </si>
  <si>
    <t>L00-952224</t>
  </si>
  <si>
    <t>Y00-466165</t>
  </si>
  <si>
    <t>L06-146148</t>
  </si>
  <si>
    <t>D00-995349</t>
  </si>
  <si>
    <t>D00-995360</t>
  </si>
  <si>
    <t>F02-992660</t>
  </si>
  <si>
    <t>F02-992661</t>
  </si>
  <si>
    <t>F02-992662</t>
  </si>
  <si>
    <t>F02-992663</t>
  </si>
  <si>
    <t>F02-992664</t>
  </si>
  <si>
    <t>F02-992665</t>
  </si>
  <si>
    <t>F02-992666</t>
  </si>
  <si>
    <t>MS1-86132</t>
  </si>
  <si>
    <t>D00-995350</t>
  </si>
  <si>
    <t>D00-995351</t>
  </si>
  <si>
    <t>D00-995379</t>
  </si>
  <si>
    <t>D00-995380</t>
  </si>
  <si>
    <t>F04-976383</t>
  </si>
  <si>
    <t>F04-976391</t>
  </si>
  <si>
    <t>F04-976424</t>
  </si>
  <si>
    <t>F04-976425</t>
  </si>
  <si>
    <t>F04-976426</t>
  </si>
  <si>
    <t>F04-976427</t>
  </si>
  <si>
    <t>F04-976428</t>
  </si>
  <si>
    <t>F04-976429</t>
  </si>
  <si>
    <t>F04-976431</t>
  </si>
  <si>
    <t>F04-976432</t>
  </si>
  <si>
    <t>F04-976434</t>
  </si>
  <si>
    <t>F04-976437</t>
  </si>
  <si>
    <t>F04-976439</t>
  </si>
  <si>
    <t>F04-976446</t>
  </si>
  <si>
    <t>D00-995345</t>
  </si>
  <si>
    <t>L06-146144</t>
  </si>
  <si>
    <t>L06-146146</t>
  </si>
  <si>
    <t>L06-146147</t>
  </si>
  <si>
    <t>D00-995362</t>
  </si>
  <si>
    <t>L00-952221</t>
  </si>
  <si>
    <t>F04-976399</t>
  </si>
  <si>
    <t>L00-952229</t>
  </si>
  <si>
    <t>L00-952230</t>
  </si>
  <si>
    <t>F04-976393</t>
  </si>
  <si>
    <t>F04-976402</t>
  </si>
  <si>
    <t>F04-976452</t>
  </si>
  <si>
    <t>F04-976392</t>
  </si>
  <si>
    <t>L00-952231</t>
  </si>
  <si>
    <t>F04-976413</t>
  </si>
  <si>
    <t>L06-146145</t>
  </si>
  <si>
    <t>F04-976394</t>
  </si>
  <si>
    <t>F04-976445</t>
  </si>
  <si>
    <t>F04-976451</t>
  </si>
  <si>
    <t>L06-146143</t>
  </si>
  <si>
    <t>F10-35164</t>
  </si>
  <si>
    <t>Y00-466166</t>
  </si>
  <si>
    <t>D00-995358</t>
  </si>
  <si>
    <t>D00-995359</t>
  </si>
  <si>
    <t>D00-995361</t>
  </si>
  <si>
    <t>D00-995366</t>
  </si>
  <si>
    <t>D00-995376</t>
  </si>
  <si>
    <t>F04-976403</t>
  </si>
  <si>
    <t>F04-976416</t>
  </si>
  <si>
    <t>F04-976455</t>
  </si>
  <si>
    <t>MS1-86135</t>
  </si>
  <si>
    <t>MS1-86137</t>
  </si>
  <si>
    <t>L00-952233</t>
  </si>
  <si>
    <t>D00-995367</t>
  </si>
  <si>
    <t>MS1-86134</t>
  </si>
  <si>
    <t>MS1-86136</t>
  </si>
  <si>
    <t>L00-952232</t>
  </si>
  <si>
    <t>D00-995382</t>
  </si>
  <si>
    <t>C01-890216</t>
  </si>
  <si>
    <t>F04-976401</t>
  </si>
  <si>
    <t>F04-976405</t>
  </si>
  <si>
    <t>F04-976421</t>
  </si>
  <si>
    <t>F04-976406</t>
  </si>
  <si>
    <t>D00-995375</t>
  </si>
  <si>
    <t>F04-976407</t>
  </si>
  <si>
    <t>L00-952236</t>
  </si>
  <si>
    <t>C01-890217</t>
  </si>
  <si>
    <t>L00-952235</t>
  </si>
  <si>
    <t>F04-976409</t>
  </si>
  <si>
    <t>F04-976410</t>
  </si>
  <si>
    <t>F04-976411</t>
  </si>
  <si>
    <t>F04-976412</t>
  </si>
  <si>
    <t>C01-890218</t>
  </si>
  <si>
    <t>D00-995368</t>
  </si>
  <si>
    <t>D00-995383</t>
  </si>
  <si>
    <t>G05-324</t>
  </si>
  <si>
    <t>F04-976408</t>
  </si>
  <si>
    <t>G05-325</t>
  </si>
  <si>
    <t>L00-952237</t>
  </si>
  <si>
    <t>F04-976414</t>
  </si>
  <si>
    <t>F04-976415</t>
  </si>
  <si>
    <t>F04-976457</t>
  </si>
  <si>
    <t>F04-976458</t>
  </si>
  <si>
    <t>F04-976461</t>
  </si>
  <si>
    <t>F04-976464</t>
  </si>
  <si>
    <t>D00-995356</t>
  </si>
  <si>
    <t>D00-995364</t>
  </si>
  <si>
    <t>D00-995365</t>
  </si>
  <si>
    <t>D00-995369</t>
  </si>
  <si>
    <t>F04-976459</t>
  </si>
  <si>
    <t>F04-976456</t>
  </si>
  <si>
    <t>L00-952234</t>
  </si>
  <si>
    <t>MC7-3</t>
  </si>
  <si>
    <t>F04-976423</t>
  </si>
  <si>
    <t>MS1-86138</t>
  </si>
  <si>
    <t>D00-995374</t>
  </si>
  <si>
    <t>D00-995377</t>
  </si>
  <si>
    <t>F04-976453</t>
  </si>
  <si>
    <t>C01-890223</t>
  </si>
  <si>
    <t>C01-890222</t>
  </si>
  <si>
    <t>F04-976448</t>
  </si>
  <si>
    <t>F04-976449</t>
  </si>
  <si>
    <t>F04-976443</t>
  </si>
  <si>
    <t>L00-952238</t>
  </si>
  <si>
    <t>F04-976441</t>
  </si>
  <si>
    <t>Q00-22147</t>
  </si>
  <si>
    <t>F04-976442</t>
  </si>
  <si>
    <t>F04-976454</t>
  </si>
  <si>
    <t>F04-976481</t>
  </si>
  <si>
    <t>L00-952244</t>
  </si>
  <si>
    <t>L00-952246</t>
  </si>
  <si>
    <t>M00-288008</t>
  </si>
  <si>
    <t>D00-995373</t>
  </si>
  <si>
    <t>F04-976475</t>
  </si>
  <si>
    <t>F04-976478</t>
  </si>
  <si>
    <t>L06-146149</t>
  </si>
  <si>
    <t>M14-86174</t>
  </si>
  <si>
    <t>Y00-466167</t>
  </si>
  <si>
    <t>Y00-466170</t>
  </si>
  <si>
    <t>F04-976444</t>
  </si>
  <si>
    <t>F04-976462</t>
  </si>
  <si>
    <t>L00-952239</t>
  </si>
  <si>
    <t>L00-952240</t>
  </si>
  <si>
    <t>L06-146150</t>
  </si>
  <si>
    <t>Q00-22146</t>
  </si>
  <si>
    <t>Y00-466168</t>
  </si>
  <si>
    <t>D00-995384</t>
  </si>
  <si>
    <t>H00-267</t>
  </si>
  <si>
    <t>D00-995378</t>
  </si>
  <si>
    <t>F04-976467</t>
  </si>
  <si>
    <t>H02-127</t>
  </si>
  <si>
    <t>D00-995371</t>
  </si>
  <si>
    <t>D00-995381</t>
  </si>
  <si>
    <t>F04-976440</t>
  </si>
  <si>
    <t>H02-129</t>
  </si>
  <si>
    <t>L00-952241</t>
  </si>
  <si>
    <t>Y01-24166</t>
  </si>
  <si>
    <t>MH0-76137</t>
  </si>
  <si>
    <t>C01-890220</t>
  </si>
  <si>
    <t>F04-976466</t>
  </si>
  <si>
    <t>H02-128</t>
  </si>
  <si>
    <t>L00-952242</t>
  </si>
  <si>
    <t>L00-952243</t>
  </si>
  <si>
    <t>L00-952245</t>
  </si>
  <si>
    <t>F10-35166</t>
  </si>
  <si>
    <t>F02-992667</t>
  </si>
  <si>
    <t>F02-992668</t>
  </si>
  <si>
    <t>D00-995372</t>
  </si>
  <si>
    <t>D70-795331</t>
  </si>
  <si>
    <t>M20-14163</t>
  </si>
  <si>
    <t>F04-976447</t>
  </si>
  <si>
    <t>F04-976488</t>
  </si>
  <si>
    <t>F04-976489</t>
  </si>
  <si>
    <t>C01-890225</t>
  </si>
  <si>
    <t>F02-992669</t>
  </si>
  <si>
    <t>F04-976460</t>
  </si>
  <si>
    <t>D70-795332</t>
  </si>
  <si>
    <t>Y01-24167</t>
  </si>
  <si>
    <t>F04-976465</t>
  </si>
  <si>
    <t>F04-976470</t>
  </si>
  <si>
    <t>F04-976480</t>
  </si>
  <si>
    <t>F04-976483</t>
  </si>
  <si>
    <t>Y00-466171</t>
  </si>
  <si>
    <t>Y00-466172</t>
  </si>
  <si>
    <t>C01-890226</t>
  </si>
  <si>
    <t>D00-995386</t>
  </si>
  <si>
    <t>T00-131</t>
  </si>
  <si>
    <t>T02-13164</t>
  </si>
  <si>
    <t>C01-890224</t>
  </si>
  <si>
    <t>F10-35165</t>
  </si>
  <si>
    <t>Y00-466169</t>
  </si>
  <si>
    <t>F04-976485</t>
  </si>
  <si>
    <t>D00-995387</t>
  </si>
  <si>
    <t>D00-995392</t>
  </si>
  <si>
    <t>F04-976479</t>
  </si>
  <si>
    <t>F04-976482</t>
  </si>
  <si>
    <t>F04-976487</t>
  </si>
  <si>
    <t>Y00-466173</t>
  </si>
  <si>
    <t>L00-952249</t>
  </si>
  <si>
    <t>MSJ-16128</t>
  </si>
  <si>
    <t>F02-992670</t>
  </si>
  <si>
    <t>D00-995388</t>
  </si>
  <si>
    <t>F04-976490</t>
  </si>
  <si>
    <t>Q00-22149</t>
  </si>
  <si>
    <t>F04-976463</t>
  </si>
  <si>
    <t>L00-952247</t>
  </si>
  <si>
    <t>L00-952252</t>
  </si>
  <si>
    <t>Y00-466174</t>
  </si>
  <si>
    <t>F04-976471</t>
  </si>
  <si>
    <t>F04-976472</t>
  </si>
  <si>
    <t>F04-976474</t>
  </si>
  <si>
    <t>D70-795333</t>
  </si>
  <si>
    <t>L00-952248</t>
  </si>
  <si>
    <t>F04-976473</t>
  </si>
  <si>
    <t>L00-952253</t>
  </si>
  <si>
    <t>D00-995389</t>
  </si>
  <si>
    <t>F04-976491</t>
  </si>
  <si>
    <t>L00-952251</t>
  </si>
  <si>
    <t>M05-56137</t>
  </si>
  <si>
    <t>F04-976477</t>
  </si>
  <si>
    <t>L00-952254</t>
  </si>
  <si>
    <t>C01-890227</t>
  </si>
  <si>
    <t>D00-995385</t>
  </si>
  <si>
    <t>MC1-102129</t>
  </si>
  <si>
    <t>ML0-164</t>
  </si>
  <si>
    <t>L00-952250</t>
  </si>
  <si>
    <t>L00-952256</t>
  </si>
  <si>
    <t>M14-86175</t>
  </si>
  <si>
    <t>Q00-22148</t>
  </si>
  <si>
    <t>MH0-76138</t>
  </si>
  <si>
    <t>F04-976468</t>
  </si>
  <si>
    <t>Q00-22150</t>
  </si>
  <si>
    <t>F04-976476</t>
  </si>
  <si>
    <t>F04-976484</t>
  </si>
  <si>
    <t>L07-26123</t>
  </si>
  <si>
    <t>M17-4</t>
  </si>
  <si>
    <t>D70-795334</t>
  </si>
  <si>
    <t>D00-995390</t>
  </si>
  <si>
    <t>D00-995391</t>
  </si>
  <si>
    <t>F04-976469</t>
  </si>
  <si>
    <t>D00-995393</t>
  </si>
  <si>
    <t>F04-976486</t>
  </si>
  <si>
    <t>L00-952255</t>
  </si>
  <si>
    <t>Ciudad Delicias</t>
  </si>
  <si>
    <t>C18</t>
  </si>
  <si>
    <t>CDMX</t>
  </si>
  <si>
    <t>Tepic</t>
  </si>
  <si>
    <t>G32</t>
  </si>
  <si>
    <t>Tlaxcala</t>
  </si>
  <si>
    <t>P14</t>
  </si>
  <si>
    <t>Xalapa</t>
  </si>
  <si>
    <t>P12</t>
  </si>
  <si>
    <t>Personal en ACTIVO que tenga el beneficio de estar asegurado en una póliza básica de gastos médicos mayores colectiva.</t>
  </si>
  <si>
    <r>
      <rPr>
        <sz val="11"/>
        <rFont val="Bookshelf Symbol 7"/>
        <charset val="2"/>
      </rPr>
      <t>þ</t>
    </r>
    <r>
      <rPr>
        <sz val="11"/>
        <rFont val="Arial"/>
        <family val="2"/>
      </rPr>
      <t xml:space="preserve">   Para poder ejercer la conversión a individual es indispensable presentar el documento de </t>
    </r>
    <r>
      <rPr>
        <b/>
        <sz val="11"/>
        <rFont val="Arial"/>
        <family val="2"/>
      </rPr>
      <t>baja ante el IMSS</t>
    </r>
    <r>
      <rPr>
        <sz val="11"/>
        <rFont val="Arial"/>
        <family val="2"/>
      </rPr>
      <t>, ya que es el documento que confirma la baja ante la empresa.</t>
    </r>
  </si>
  <si>
    <r>
      <rPr>
        <sz val="11"/>
        <rFont val="Bookshelf Symbol 7"/>
        <charset val="2"/>
      </rPr>
      <t>þ</t>
    </r>
    <r>
      <rPr>
        <sz val="11"/>
        <rFont val="Arial"/>
        <family val="2"/>
      </rPr>
      <t xml:space="preserve">   Solo pagaremos complementos de siniestros ocurridos, procedentes y reportados en la póliza básica colectiva a partir de la vigencia de la póliza de exceso en Seguros Atlas, </t>
    </r>
  </si>
  <si>
    <t xml:space="preserve">        mientras la póliza se encuentre en vigor con Seguros Atlas y no se haya agotado la Suma Asegurada.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</si>
</sst>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8">
    <numFmt numFmtId="6" formatCode="&quot;$&quot;#,##0;[Red]\-&quot;$&quot;#,##0"/>
    <numFmt numFmtId="43" formatCode="_-* #,##0.00_-;\-* #,##0.00_-;_-* &quot;-&quot;??_-;_-@_-"/>
    <numFmt numFmtId="164" formatCode="_(* #,##0_);_(* \(#,##0\);_(* &quot;-&quot;_);_(@_)"/>
    <numFmt numFmtId="165" formatCode="_(* #,##0.00_);_(* \(#,##0.00\);_(* &quot;-&quot;??_);_(@_)"/>
    <numFmt numFmtId="166" formatCode="_(* #,##0_);_(* \(#,##0\);_(* &quot;-&quot;??_);_(@_)"/>
    <numFmt numFmtId="167" formatCode="_(* #,##0.0000_);_(* \(#,##0.0000\);_(* &quot;-&quot;??_);_(@_)"/>
    <numFmt numFmtId="168" formatCode="_(* #,##0.00_);_(* \(#,##0.00\);_(* &quot;-&quot;_);_(@_)"/>
    <numFmt numFmtId="169" formatCode="#,##0&quot; F&quot;_);[Red]\(#,##0&quot; F&quot;\)"/>
    <numFmt numFmtId="170" formatCode="0.0000"/>
    <numFmt numFmtId="171" formatCode="0.0000000000"/>
    <numFmt numFmtId="172" formatCode="&quot;$&quot;#,##0.00"/>
    <numFmt numFmtId="173" formatCode="[$-80A]d&quot; de &quot;mmmm&quot; de &quot;yyyy;@"/>
    <numFmt numFmtId="174" formatCode="#,##0.0000"/>
    <numFmt numFmtId="175" formatCode="0.000000"/>
    <numFmt numFmtId="176" formatCode="#,##0.000000"/>
    <numFmt numFmtId="177" formatCode="0.0000000"/>
    <numFmt numFmtId="178" formatCode="#,##0.0"/>
    <numFmt numFmtId="179" formatCode="&quot;CDMX. a&quot;\ d&quot; de &quot;mmmm&quot; de &quot;yyyy"/>
  </numFmts>
  <fonts count="79">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8"/>
      <name val="Arial"/>
      <family val="2"/>
    </font>
    <font>
      <b/>
      <sz val="12"/>
      <name val="Arial"/>
      <family val="2"/>
    </font>
    <font>
      <sz val="10"/>
      <name val="Arial"/>
      <family val="2"/>
    </font>
    <font>
      <sz val="10"/>
      <name val="Helv"/>
    </font>
    <font>
      <sz val="8"/>
      <name val="Arial"/>
      <family val="2"/>
    </font>
    <font>
      <b/>
      <sz val="18"/>
      <name val="Calibri"/>
      <family val="2"/>
    </font>
    <font>
      <sz val="11"/>
      <color theme="1"/>
      <name val="Calibri"/>
      <family val="2"/>
    </font>
    <font>
      <sz val="9"/>
      <name val="Calibri"/>
      <family val="2"/>
      <scheme val="minor"/>
    </font>
    <font>
      <b/>
      <sz val="9"/>
      <name val="Calibri"/>
      <family val="2"/>
      <scheme val="minor"/>
    </font>
    <font>
      <b/>
      <sz val="11"/>
      <name val="Calibri"/>
      <family val="2"/>
      <scheme val="minor"/>
    </font>
    <font>
      <sz val="10"/>
      <name val="Calibri"/>
      <family val="2"/>
      <scheme val="minor"/>
    </font>
    <font>
      <sz val="11"/>
      <name val="Calibri"/>
      <family val="2"/>
      <scheme val="minor"/>
    </font>
    <font>
      <b/>
      <sz val="10"/>
      <name val="Calibri"/>
      <family val="2"/>
      <scheme val="minor"/>
    </font>
    <font>
      <b/>
      <sz val="10"/>
      <color indexed="10"/>
      <name val="Calibri"/>
      <family val="2"/>
      <scheme val="minor"/>
    </font>
    <font>
      <b/>
      <sz val="9"/>
      <color theme="3" tint="-0.249977111117893"/>
      <name val="Calibri"/>
      <family val="2"/>
      <scheme val="minor"/>
    </font>
    <font>
      <b/>
      <sz val="9"/>
      <color theme="0" tint="-0.14996795556505021"/>
      <name val="Calibri"/>
      <family val="2"/>
      <scheme val="minor"/>
    </font>
    <font>
      <b/>
      <sz val="9"/>
      <color theme="3"/>
      <name val="Calibri"/>
      <family val="2"/>
      <scheme val="minor"/>
    </font>
    <font>
      <sz val="9"/>
      <color theme="0" tint="-0.14996795556505021"/>
      <name val="Calibri"/>
      <family val="2"/>
      <scheme val="minor"/>
    </font>
    <font>
      <b/>
      <sz val="24"/>
      <name val="Calibri"/>
      <family val="2"/>
      <scheme val="minor"/>
    </font>
    <font>
      <sz val="9"/>
      <color indexed="10"/>
      <name val="Calibri"/>
      <family val="2"/>
      <scheme val="minor"/>
    </font>
    <font>
      <sz val="9"/>
      <color indexed="9"/>
      <name val="Calibri"/>
      <family val="2"/>
      <scheme val="minor"/>
    </font>
    <font>
      <b/>
      <sz val="9"/>
      <color indexed="9"/>
      <name val="Calibri"/>
      <family val="2"/>
      <scheme val="minor"/>
    </font>
    <font>
      <b/>
      <sz val="7"/>
      <color indexed="9"/>
      <name val="Calibri"/>
      <family val="2"/>
      <scheme val="minor"/>
    </font>
    <font>
      <sz val="12"/>
      <color theme="0"/>
      <name val="Calibri"/>
      <family val="2"/>
      <scheme val="minor"/>
    </font>
    <font>
      <b/>
      <sz val="14"/>
      <color theme="0"/>
      <name val="Calibri"/>
      <family val="2"/>
      <scheme val="minor"/>
    </font>
    <font>
      <b/>
      <i/>
      <sz val="10"/>
      <name val="Calibri"/>
      <family val="2"/>
      <scheme val="minor"/>
    </font>
    <font>
      <b/>
      <sz val="11"/>
      <color rgb="FFFF0000"/>
      <name val="Calibri"/>
      <family val="2"/>
      <scheme val="minor"/>
    </font>
    <font>
      <b/>
      <sz val="14"/>
      <name val="Calibri"/>
      <family val="2"/>
      <scheme val="minor"/>
    </font>
    <font>
      <sz val="12"/>
      <name val="Calibri"/>
      <family val="2"/>
      <scheme val="minor"/>
    </font>
    <font>
      <sz val="11"/>
      <color theme="0"/>
      <name val="Calibri"/>
      <family val="2"/>
      <scheme val="minor"/>
    </font>
    <font>
      <b/>
      <sz val="11"/>
      <color indexed="10"/>
      <name val="Calibri"/>
      <family val="2"/>
      <scheme val="minor"/>
    </font>
    <font>
      <sz val="11"/>
      <color theme="0"/>
      <name val="Calibri"/>
      <family val="2"/>
    </font>
    <font>
      <b/>
      <sz val="12"/>
      <name val="Calibri"/>
      <family val="2"/>
      <scheme val="minor"/>
    </font>
    <font>
      <b/>
      <sz val="12"/>
      <color indexed="9"/>
      <name val="Calibri"/>
      <family val="2"/>
      <scheme val="minor"/>
    </font>
    <font>
      <b/>
      <sz val="12"/>
      <color theme="0"/>
      <name val="Calibri"/>
      <family val="2"/>
      <scheme val="minor"/>
    </font>
    <font>
      <b/>
      <sz val="12"/>
      <color theme="1"/>
      <name val="Calibri"/>
      <family val="2"/>
      <scheme val="minor"/>
    </font>
    <font>
      <b/>
      <sz val="10"/>
      <color indexed="9"/>
      <name val="Calibri"/>
      <family val="2"/>
      <scheme val="minor"/>
    </font>
    <font>
      <sz val="11"/>
      <color rgb="FF9C0006"/>
      <name val="Calibri"/>
      <family val="2"/>
    </font>
    <font>
      <sz val="10"/>
      <name val="Arial"/>
      <family val="2"/>
    </font>
    <font>
      <sz val="11"/>
      <name val="Arial"/>
      <family val="2"/>
    </font>
    <font>
      <sz val="12"/>
      <name val="Arial"/>
      <family val="2"/>
    </font>
    <font>
      <b/>
      <sz val="11"/>
      <name val="Arial"/>
      <family val="2"/>
    </font>
    <font>
      <b/>
      <sz val="18"/>
      <name val="Arial"/>
      <family val="2"/>
    </font>
    <font>
      <b/>
      <sz val="12"/>
      <color theme="0"/>
      <name val="Arial"/>
      <family val="2"/>
    </font>
    <font>
      <b/>
      <sz val="12"/>
      <color indexed="9"/>
      <name val="Arial"/>
      <family val="2"/>
    </font>
    <font>
      <sz val="11"/>
      <name val="Bookshelf Symbol 7"/>
      <charset val="2"/>
    </font>
    <font>
      <b/>
      <sz val="14"/>
      <name val="Arial"/>
      <family val="2"/>
    </font>
    <font>
      <sz val="10"/>
      <color theme="0"/>
      <name val="Arial"/>
      <family val="2"/>
    </font>
    <font>
      <sz val="11"/>
      <color theme="1"/>
      <name val="Calibri"/>
      <family val="2"/>
      <scheme val="minor"/>
    </font>
    <font>
      <u/>
      <sz val="10"/>
      <color indexed="12"/>
      <name val="Arial"/>
      <family val="2"/>
    </font>
    <font>
      <sz val="11.5"/>
      <name val="Arial"/>
      <family val="2"/>
    </font>
    <font>
      <u/>
      <sz val="10"/>
      <color theme="10"/>
      <name val="Arial"/>
      <family val="2"/>
    </font>
    <font>
      <sz val="11"/>
      <color rgb="FF006100"/>
      <name val="Calibri"/>
      <family val="2"/>
      <scheme val="minor"/>
    </font>
    <font>
      <b/>
      <sz val="11"/>
      <color indexed="56"/>
      <name val="Calibri"/>
      <family val="2"/>
      <scheme val="minor"/>
    </font>
    <font>
      <sz val="10"/>
      <name val="Arial"/>
      <family val="2"/>
    </font>
    <font>
      <sz val="14"/>
      <name val="Arial"/>
      <family val="2"/>
    </font>
    <font>
      <sz val="12"/>
      <color rgb="FFFF0000"/>
      <name val="Arial"/>
      <family val="2"/>
    </font>
    <font>
      <b/>
      <sz val="16"/>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9C0006"/>
      <name val="Calibri"/>
      <family val="2"/>
      <scheme val="minor"/>
    </font>
    <font>
      <b/>
      <u/>
      <sz val="11"/>
      <name val="Arial"/>
      <family val="2"/>
    </font>
    <font>
      <sz val="11"/>
      <name val="Arial"/>
      <family val="2"/>
      <charset val="2"/>
    </font>
  </fonts>
  <fills count="61">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42"/>
        <bgColor indexed="64"/>
      </patternFill>
    </fill>
    <fill>
      <patternFill patternType="solid">
        <fgColor indexed="9"/>
        <bgColor indexed="64"/>
      </patternFill>
    </fill>
    <fill>
      <patternFill patternType="solid">
        <fgColor indexed="62"/>
        <bgColor indexed="64"/>
      </patternFill>
    </fill>
    <fill>
      <patternFill patternType="solid">
        <fgColor indexed="26"/>
        <bgColor indexed="26"/>
      </patternFill>
    </fill>
    <fill>
      <patternFill patternType="solid">
        <fgColor indexed="13"/>
        <bgColor indexed="26"/>
      </patternFill>
    </fill>
    <fill>
      <patternFill patternType="solid">
        <fgColor indexed="41"/>
        <bgColor indexed="64"/>
      </patternFill>
    </fill>
    <fill>
      <patternFill patternType="solid">
        <fgColor indexed="41"/>
        <bgColor indexed="26"/>
      </patternFill>
    </fill>
    <fill>
      <patternFill patternType="solid">
        <fgColor rgb="FFFF0000"/>
        <bgColor indexed="64"/>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patternFill>
    </fill>
    <fill>
      <patternFill patternType="solid">
        <fgColor theme="9" tint="-0.249977111117893"/>
        <bgColor indexed="64"/>
      </patternFill>
    </fill>
    <fill>
      <patternFill patternType="solid">
        <fgColor theme="4"/>
      </patternFill>
    </fill>
    <fill>
      <patternFill patternType="solid">
        <fgColor theme="6"/>
      </patternFill>
    </fill>
    <fill>
      <patternFill patternType="solid">
        <fgColor theme="7" tint="0.79998168889431442"/>
        <bgColor indexed="64"/>
      </patternFill>
    </fill>
    <fill>
      <patternFill patternType="solid">
        <fgColor theme="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7CE"/>
      </patternFill>
    </fill>
    <fill>
      <patternFill patternType="solid">
        <fgColor rgb="FFFFFF00"/>
        <bgColor indexed="64"/>
      </patternFill>
    </fill>
    <fill>
      <patternFill patternType="solid">
        <fgColor theme="1" tint="4.9989318521683403E-2"/>
        <bgColor indexed="64"/>
      </patternFill>
    </fill>
    <fill>
      <patternFill patternType="solid">
        <fgColor rgb="FF00B0F0"/>
        <bgColor indexed="64"/>
      </patternFill>
    </fill>
    <fill>
      <patternFill patternType="solid">
        <fgColor rgb="FFFFC000"/>
        <bgColor indexed="64"/>
      </patternFill>
    </fill>
    <fill>
      <patternFill patternType="solid">
        <fgColor rgb="FFC6EFCE"/>
      </patternFill>
    </fill>
    <fill>
      <patternFill patternType="solid">
        <fgColor theme="6" tint="-0.249977111117893"/>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C9EFC"/>
        <bgColor indexed="64"/>
      </patternFill>
    </fill>
  </fills>
  <borders count="145">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thin">
        <color indexed="64"/>
      </bottom>
      <diagonal/>
    </border>
    <border>
      <left style="medium">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right style="hair">
        <color indexed="64"/>
      </right>
      <top style="medium">
        <color indexed="64"/>
      </top>
      <bottom style="hair">
        <color indexed="64"/>
      </bottom>
      <diagonal/>
    </border>
    <border>
      <left/>
      <right/>
      <top/>
      <bottom style="double">
        <color indexed="64"/>
      </bottom>
      <diagonal/>
    </border>
    <border>
      <left/>
      <right/>
      <top style="medium">
        <color indexed="64"/>
      </top>
      <bottom/>
      <diagonal/>
    </border>
    <border>
      <left style="medium">
        <color indexed="64"/>
      </left>
      <right style="hair">
        <color indexed="64"/>
      </right>
      <top style="medium">
        <color indexed="64"/>
      </top>
      <bottom/>
      <diagonal/>
    </border>
    <border>
      <left style="medium">
        <color indexed="64"/>
      </left>
      <right style="hair">
        <color indexed="64"/>
      </right>
      <top/>
      <bottom/>
      <diagonal/>
    </border>
    <border>
      <left style="medium">
        <color indexed="64"/>
      </left>
      <right style="hair">
        <color indexed="64"/>
      </right>
      <top/>
      <bottom style="medium">
        <color indexed="64"/>
      </bottom>
      <diagonal/>
    </border>
    <border>
      <left/>
      <right/>
      <top style="medium">
        <color indexed="23"/>
      </top>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medium">
        <color indexed="64"/>
      </right>
      <top style="medium">
        <color indexed="64"/>
      </top>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9"/>
      </bottom>
      <diagonal/>
    </border>
    <border>
      <left style="thin">
        <color theme="0"/>
      </left>
      <right style="thin">
        <color theme="0"/>
      </right>
      <top style="thin">
        <color theme="9"/>
      </top>
      <bottom style="thin">
        <color theme="9"/>
      </bottom>
      <diagonal/>
    </border>
    <border>
      <left style="thin">
        <color theme="0"/>
      </left>
      <right style="thin">
        <color theme="0"/>
      </right>
      <top style="thin">
        <color theme="9"/>
      </top>
      <bottom style="thin">
        <color theme="0"/>
      </bottom>
      <diagonal/>
    </border>
    <border>
      <left style="thin">
        <color theme="0"/>
      </left>
      <right style="thin">
        <color theme="0"/>
      </right>
      <top/>
      <bottom style="thin">
        <color theme="0"/>
      </bottom>
      <diagonal/>
    </border>
    <border>
      <left style="thin">
        <color theme="0"/>
      </left>
      <right/>
      <top/>
      <bottom style="thin">
        <color theme="9"/>
      </bottom>
      <diagonal/>
    </border>
    <border>
      <left style="medium">
        <color indexed="64"/>
      </left>
      <right/>
      <top style="hair">
        <color indexed="64"/>
      </top>
      <bottom style="hair">
        <color indexed="64"/>
      </bottom>
      <diagonal/>
    </border>
    <border>
      <left/>
      <right/>
      <top style="double">
        <color indexed="64"/>
      </top>
      <bottom style="medium">
        <color indexed="9"/>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theme="0"/>
      </left>
      <right/>
      <top style="medium">
        <color theme="0"/>
      </top>
      <bottom/>
      <diagonal/>
    </border>
    <border>
      <left style="medium">
        <color theme="0"/>
      </left>
      <right/>
      <top style="medium">
        <color theme="0"/>
      </top>
      <bottom style="medium">
        <color theme="0" tint="-0.499984740745262"/>
      </bottom>
      <diagonal/>
    </border>
    <border>
      <left/>
      <right style="medium">
        <color theme="0" tint="-0.499984740745262"/>
      </right>
      <top style="medium">
        <color theme="0"/>
      </top>
      <bottom style="medium">
        <color theme="0" tint="-0.499984740745262"/>
      </bottom>
      <diagonal/>
    </border>
    <border>
      <left/>
      <right style="medium">
        <color theme="0" tint="-0.499984740745262"/>
      </right>
      <top style="medium">
        <color theme="0"/>
      </top>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ouble">
        <color theme="0" tint="-0.499984740745262"/>
      </left>
      <right style="double">
        <color theme="0" tint="-0.499984740745262"/>
      </right>
      <top style="double">
        <color theme="0" tint="-0.499984740745262"/>
      </top>
      <bottom style="double">
        <color theme="0" tint="-0.499984740745262"/>
      </bottom>
      <diagonal/>
    </border>
    <border>
      <left style="double">
        <color theme="0" tint="-0.499984740745262"/>
      </left>
      <right/>
      <top style="double">
        <color theme="0" tint="-0.499984740745262"/>
      </top>
      <bottom style="double">
        <color theme="0" tint="-0.499984740745262"/>
      </bottom>
      <diagonal/>
    </border>
    <border>
      <left/>
      <right/>
      <top style="double">
        <color theme="0" tint="-0.499984740745262"/>
      </top>
      <bottom style="double">
        <color theme="0" tint="-0.499984740745262"/>
      </bottom>
      <diagonal/>
    </border>
    <border>
      <left/>
      <right style="double">
        <color theme="0" tint="-0.499984740745262"/>
      </right>
      <top style="double">
        <color theme="0" tint="-0.499984740745262"/>
      </top>
      <bottom style="double">
        <color theme="0" tint="-0.499984740745262"/>
      </bottom>
      <diagonal/>
    </border>
    <border>
      <left style="double">
        <color theme="0" tint="-0.499984740745262"/>
      </left>
      <right/>
      <top/>
      <bottom/>
      <diagonal/>
    </border>
    <border>
      <left/>
      <right style="double">
        <color theme="0" tint="-0.499984740745262"/>
      </right>
      <top/>
      <bottom/>
      <diagonal/>
    </border>
    <border>
      <left style="hair">
        <color theme="0" tint="-0.499984740745262"/>
      </left>
      <right style="double">
        <color theme="0" tint="-0.499984740745262"/>
      </right>
      <top style="hair">
        <color theme="0" tint="-0.499984740745262"/>
      </top>
      <bottom style="hair">
        <color theme="0" tint="-0.499984740745262"/>
      </bottom>
      <diagonal/>
    </border>
    <border>
      <left/>
      <right/>
      <top/>
      <bottom style="double">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hair">
        <color theme="0" tint="-0.499984740745262"/>
      </right>
      <top style="hair">
        <color theme="0" tint="-0.499984740745262"/>
      </top>
      <bottom style="hair">
        <color theme="0" tint="-0.499984740745262"/>
      </bottom>
      <diagonal/>
    </border>
    <border>
      <left style="double">
        <color theme="0" tint="-0.499984740745262"/>
      </left>
      <right/>
      <top style="hair">
        <color theme="0" tint="-0.499984740745262"/>
      </top>
      <bottom style="hair">
        <color theme="0" tint="-0.499984740745262"/>
      </bottom>
      <diagonal/>
    </border>
    <border>
      <left/>
      <right/>
      <top style="hair">
        <color theme="0" tint="-0.499984740745262"/>
      </top>
      <bottom style="hair">
        <color theme="0" tint="-0.499984740745262"/>
      </bottom>
      <diagonal/>
    </border>
    <border>
      <left style="double">
        <color theme="0" tint="-0.499984740745262"/>
      </left>
      <right/>
      <top style="hair">
        <color theme="0" tint="-0.499984740745262"/>
      </top>
      <bottom/>
      <diagonal/>
    </border>
    <border>
      <left/>
      <right/>
      <top style="hair">
        <color theme="0" tint="-0.499984740745262"/>
      </top>
      <bottom/>
      <diagonal/>
    </border>
    <border>
      <left/>
      <right style="hair">
        <color theme="0" tint="-0.499984740745262"/>
      </right>
      <top style="hair">
        <color theme="0" tint="-0.499984740745262"/>
      </top>
      <bottom/>
      <diagonal/>
    </border>
    <border>
      <left style="double">
        <color theme="0" tint="-0.499984740745262"/>
      </left>
      <right/>
      <top style="double">
        <color theme="0" tint="-0.499984740745262"/>
      </top>
      <bottom style="hair">
        <color theme="0" tint="-0.499984740745262"/>
      </bottom>
      <diagonal/>
    </border>
    <border>
      <left/>
      <right/>
      <top style="double">
        <color theme="0" tint="-0.499984740745262"/>
      </top>
      <bottom style="hair">
        <color theme="0" tint="-0.499984740745262"/>
      </bottom>
      <diagonal/>
    </border>
    <border>
      <left/>
      <right style="hair">
        <color theme="0" tint="-0.499984740745262"/>
      </right>
      <top style="double">
        <color theme="0" tint="-0.499984740745262"/>
      </top>
      <bottom style="hair">
        <color theme="0" tint="-0.499984740745262"/>
      </bottom>
      <diagonal/>
    </border>
    <border>
      <left style="hair">
        <color theme="0" tint="-0.499984740745262"/>
      </left>
      <right style="hair">
        <color theme="0" tint="-0.499984740745262"/>
      </right>
      <top style="double">
        <color theme="0" tint="-0.499984740745262"/>
      </top>
      <bottom style="hair">
        <color theme="0" tint="-0.499984740745262"/>
      </bottom>
      <diagonal/>
    </border>
    <border>
      <left style="hair">
        <color theme="0" tint="-0.499984740745262"/>
      </left>
      <right style="double">
        <color theme="0" tint="-0.499984740745262"/>
      </right>
      <top style="double">
        <color theme="0" tint="-0.499984740745262"/>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double">
        <color theme="0" tint="-0.499984740745262"/>
      </right>
      <top style="hair">
        <color theme="0" tint="-0.499984740745262"/>
      </top>
      <bottom style="hair">
        <color theme="0" tint="-0.499984740745262"/>
      </bottom>
      <diagonal/>
    </border>
    <border>
      <left style="medium">
        <color theme="0" tint="-0.499984740745262"/>
      </left>
      <right/>
      <top/>
      <bottom/>
      <diagonal/>
    </border>
    <border>
      <left/>
      <right style="hair">
        <color theme="0" tint="-0.499984740745262"/>
      </right>
      <top/>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thin">
        <color auto="1"/>
      </left>
      <right style="thin">
        <color auto="1"/>
      </right>
      <top/>
      <bottom/>
      <diagonal/>
    </border>
    <border>
      <left style="double">
        <color theme="0" tint="-0.499984740745262"/>
      </left>
      <right/>
      <top/>
      <bottom style="double">
        <color theme="0" tint="-0.499984740745262"/>
      </bottom>
      <diagonal/>
    </border>
    <border>
      <left/>
      <right/>
      <top style="double">
        <color theme="0" tint="-0.499984740745262"/>
      </top>
      <bottom/>
      <diagonal/>
    </border>
    <border>
      <left style="double">
        <color theme="0" tint="-0.499984740745262"/>
      </left>
      <right/>
      <top style="double">
        <color theme="0" tint="-0.499984740745262"/>
      </top>
      <bottom/>
      <diagonal/>
    </border>
    <border>
      <left/>
      <right style="double">
        <color theme="0" tint="-0.499984740745262"/>
      </right>
      <top style="double">
        <color theme="0" tint="-0.499984740745262"/>
      </top>
      <bottom/>
      <diagonal/>
    </border>
    <border>
      <left/>
      <right style="double">
        <color theme="0" tint="-0.499984740745262"/>
      </right>
      <top/>
      <bottom style="double">
        <color theme="0" tint="-0.499984740745262"/>
      </bottom>
      <diagonal/>
    </border>
    <border>
      <left style="double">
        <color theme="0" tint="-0.499984740745262"/>
      </left>
      <right/>
      <top/>
      <bottom style="hair">
        <color theme="0" tint="-0.499984740745262"/>
      </bottom>
      <diagonal/>
    </border>
    <border>
      <left/>
      <right/>
      <top/>
      <bottom style="hair">
        <color theme="0" tint="-0.499984740745262"/>
      </bottom>
      <diagonal/>
    </border>
    <border>
      <left style="hair">
        <color theme="0" tint="-0.499984740745262"/>
      </left>
      <right/>
      <top style="hair">
        <color theme="0" tint="-0.499984740745262"/>
      </top>
      <bottom/>
      <diagonal/>
    </border>
    <border>
      <left/>
      <right style="double">
        <color theme="0" tint="-0.499984740745262"/>
      </right>
      <top style="hair">
        <color theme="0" tint="-0.499984740745262"/>
      </top>
      <bottom/>
      <diagonal/>
    </border>
    <border>
      <left style="hair">
        <color theme="0" tint="-0.499984740745262"/>
      </left>
      <right/>
      <top/>
      <bottom style="hair">
        <color theme="0" tint="-0.499984740745262"/>
      </bottom>
      <diagonal/>
    </border>
    <border>
      <left/>
      <right style="double">
        <color theme="0" tint="-0.499984740745262"/>
      </right>
      <top/>
      <bottom style="hair">
        <color theme="0" tint="-0.499984740745262"/>
      </bottom>
      <diagonal/>
    </border>
    <border>
      <left/>
      <right style="hair">
        <color theme="0" tint="-0.499984740745262"/>
      </right>
      <top/>
      <bottom style="hair">
        <color theme="0" tint="-0.499984740745262"/>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hair">
        <color theme="0" tint="-0.499984740745262"/>
      </left>
      <right/>
      <top/>
      <bottom/>
      <diagonal/>
    </border>
    <border>
      <left/>
      <right style="medium">
        <color indexed="64"/>
      </right>
      <top style="thin">
        <color indexed="64"/>
      </top>
      <bottom style="thin">
        <color indexed="64"/>
      </bottom>
      <diagonal/>
    </border>
    <border>
      <left style="double">
        <color theme="0" tint="-0.499984740745262"/>
      </left>
      <right/>
      <top style="hair">
        <color theme="0" tint="-0.499984740745262"/>
      </top>
      <bottom style="double">
        <color theme="0" tint="-0.499984740745262"/>
      </bottom>
      <diagonal/>
    </border>
    <border>
      <left/>
      <right/>
      <top style="hair">
        <color theme="0" tint="-0.499984740745262"/>
      </top>
      <bottom style="double">
        <color theme="0" tint="-0.499984740745262"/>
      </bottom>
      <diagonal/>
    </border>
    <border>
      <left/>
      <right style="hair">
        <color theme="0" tint="-0.499984740745262"/>
      </right>
      <top style="hair">
        <color theme="0" tint="-0.499984740745262"/>
      </top>
      <bottom style="double">
        <color theme="0" tint="-0.499984740745262"/>
      </bottom>
      <diagonal/>
    </border>
    <border>
      <left style="hair">
        <color theme="0" tint="-0.499984740745262"/>
      </left>
      <right/>
      <top style="hair">
        <color theme="0" tint="-0.499984740745262"/>
      </top>
      <bottom style="double">
        <color theme="0" tint="-0.499984740745262"/>
      </bottom>
      <diagonal/>
    </border>
    <border>
      <left/>
      <right style="double">
        <color theme="0" tint="-0.499984740745262"/>
      </right>
      <top style="hair">
        <color theme="0" tint="-0.499984740745262"/>
      </top>
      <bottom style="double">
        <color theme="0" tint="-0.499984740745262"/>
      </bottom>
      <diagonal/>
    </border>
    <border>
      <left/>
      <right/>
      <top style="double">
        <color indexed="64"/>
      </top>
      <bottom/>
      <diagonal/>
    </border>
    <border>
      <left/>
      <right/>
      <top style="medium">
        <color theme="0" tint="-0.499984740745262"/>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hair">
        <color theme="0" tint="-0.499984740745262"/>
      </left>
      <right/>
      <top style="hair">
        <color theme="0" tint="-0.499984740745262"/>
      </top>
      <bottom style="hair">
        <color indexed="64"/>
      </bottom>
      <diagonal/>
    </border>
    <border>
      <left/>
      <right/>
      <top style="hair">
        <color theme="0" tint="-0.499984740745262"/>
      </top>
      <bottom style="hair">
        <color indexed="64"/>
      </bottom>
      <diagonal/>
    </border>
    <border>
      <left/>
      <right/>
      <top style="hair">
        <color theme="0" tint="-0.499984740745262"/>
      </top>
      <bottom style="hair">
        <color theme="1" tint="0.14999847407452621"/>
      </bottom>
      <diagonal/>
    </border>
    <border>
      <left/>
      <right/>
      <top style="hair">
        <color theme="1" tint="0.14999847407452621"/>
      </top>
      <bottom style="hair">
        <color theme="0" tint="-0.499984740745262"/>
      </bottom>
      <diagonal/>
    </border>
    <border>
      <left/>
      <right style="double">
        <color theme="0" tint="-0.499984740745262"/>
      </right>
      <top style="hair">
        <color theme="1" tint="0.14999847407452621"/>
      </top>
      <bottom style="hair">
        <color theme="0" tint="-0.499984740745262"/>
      </bottom>
      <diagonal/>
    </border>
    <border>
      <left style="hair">
        <color theme="0" tint="-0.499984740745262"/>
      </left>
      <right/>
      <top style="hair">
        <color theme="1" tint="0.14999847407452621"/>
      </top>
      <bottom style="hair">
        <color theme="0" tint="-0.499984740745262"/>
      </bottom>
      <diagonal/>
    </border>
    <border>
      <left style="hair">
        <color theme="1" tint="0.14999847407452621"/>
      </left>
      <right/>
      <top style="hair">
        <color theme="1" tint="0.14999847407452621"/>
      </top>
      <bottom/>
      <diagonal/>
    </border>
    <border>
      <left/>
      <right/>
      <top style="hair">
        <color theme="1" tint="0.14999847407452621"/>
      </top>
      <bottom/>
      <diagonal/>
    </border>
    <border>
      <left/>
      <right style="hair">
        <color theme="1" tint="0.14999847407452621"/>
      </right>
      <top style="hair">
        <color theme="1" tint="0.14999847407452621"/>
      </top>
      <bottom/>
      <diagonal/>
    </border>
    <border>
      <left style="hair">
        <color theme="1" tint="0.14999847407452621"/>
      </left>
      <right/>
      <top style="hair">
        <color theme="0" tint="-0.499984740745262"/>
      </top>
      <bottom style="hair">
        <color theme="1" tint="0.14999847407452621"/>
      </bottom>
      <diagonal/>
    </border>
    <border>
      <left/>
      <right style="hair">
        <color theme="1" tint="0.14999847407452621"/>
      </right>
      <top style="hair">
        <color theme="0" tint="-0.499984740745262"/>
      </top>
      <bottom style="hair">
        <color theme="1" tint="0.14999847407452621"/>
      </bottom>
      <diagonal/>
    </border>
    <border>
      <left style="hair">
        <color theme="1" tint="0.14999847407452621"/>
      </left>
      <right/>
      <top/>
      <bottom style="hair">
        <color theme="1" tint="0.14999847407452621"/>
      </bottom>
      <diagonal/>
    </border>
    <border>
      <left/>
      <right/>
      <top/>
      <bottom style="hair">
        <color theme="1" tint="0.14999847407452621"/>
      </bottom>
      <diagonal/>
    </border>
    <border>
      <left/>
      <right style="hair">
        <color theme="1" tint="0.14999847407452621"/>
      </right>
      <top/>
      <bottom style="hair">
        <color theme="1" tint="0.14999847407452621"/>
      </bottom>
      <diagonal/>
    </border>
  </borders>
  <cellStyleXfs count="97">
    <xf numFmtId="0" fontId="0" fillId="0" borderId="0"/>
    <xf numFmtId="38" fontId="5" fillId="2" borderId="0" applyNumberFormat="0" applyBorder="0" applyAlignment="0" applyProtection="0"/>
    <xf numFmtId="0" fontId="6" fillId="0" borderId="1" applyNumberFormat="0" applyAlignment="0" applyProtection="0">
      <alignment horizontal="left" vertical="center"/>
    </xf>
    <xf numFmtId="0" fontId="6" fillId="0" borderId="2">
      <alignment horizontal="left" vertical="center"/>
    </xf>
    <xf numFmtId="10" fontId="5" fillId="3" borderId="3" applyNumberFormat="0" applyBorder="0" applyAlignment="0" applyProtection="0"/>
    <xf numFmtId="165" fontId="7" fillId="0" borderId="0" applyFont="0" applyFill="0" applyBorder="0" applyAlignment="0" applyProtection="0"/>
    <xf numFmtId="164" fontId="7" fillId="0" borderId="0" applyFont="0" applyFill="0" applyBorder="0" applyAlignment="0" applyProtection="0"/>
    <xf numFmtId="169" fontId="8" fillId="0" borderId="0"/>
    <xf numFmtId="0" fontId="11" fillId="0" borderId="0"/>
    <xf numFmtId="0" fontId="11" fillId="0" borderId="0"/>
    <xf numFmtId="0" fontId="11" fillId="0" borderId="0"/>
    <xf numFmtId="0" fontId="11" fillId="0" borderId="0"/>
    <xf numFmtId="0" fontId="11" fillId="0" borderId="0"/>
    <xf numFmtId="10" fontId="7" fillId="0" borderId="0" applyFont="0" applyFill="0" applyBorder="0" applyAlignment="0" applyProtection="0"/>
    <xf numFmtId="9" fontId="7" fillId="0" borderId="0" applyFont="0" applyFill="0" applyBorder="0" applyAlignment="0" applyProtection="0"/>
    <xf numFmtId="0" fontId="34" fillId="20" borderId="0" applyNumberFormat="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43" fontId="43" fillId="0" borderId="0" applyFont="0" applyFill="0" applyBorder="0" applyAlignment="0" applyProtection="0"/>
    <xf numFmtId="0" fontId="7" fillId="0" borderId="0"/>
    <xf numFmtId="43" fontId="7" fillId="0" borderId="0" applyFont="0" applyFill="0" applyBorder="0" applyAlignment="0" applyProtection="0"/>
    <xf numFmtId="0" fontId="53" fillId="0" borderId="0"/>
    <xf numFmtId="0" fontId="54" fillId="0" borderId="0" applyNumberFormat="0" applyFill="0" applyBorder="0" applyAlignment="0" applyProtection="0">
      <alignment vertical="top"/>
      <protection locked="0"/>
    </xf>
    <xf numFmtId="0" fontId="56" fillId="0" borderId="0" applyNumberFormat="0" applyFill="0" applyBorder="0" applyAlignment="0" applyProtection="0"/>
    <xf numFmtId="0" fontId="57" fillId="36" borderId="0" applyNumberFormat="0" applyBorder="0" applyAlignment="0" applyProtection="0"/>
    <xf numFmtId="0" fontId="3" fillId="0" borderId="0"/>
    <xf numFmtId="0" fontId="59" fillId="0" borderId="0"/>
    <xf numFmtId="165" fontId="7" fillId="0" borderId="0" applyFont="0" applyFill="0" applyBorder="0" applyAlignment="0" applyProtection="0"/>
    <xf numFmtId="164" fontId="7" fillId="0" borderId="0" applyFont="0" applyFill="0" applyBorder="0" applyAlignment="0" applyProtection="0"/>
    <xf numFmtId="9" fontId="7" fillId="0" borderId="0" applyFont="0" applyFill="0" applyBorder="0" applyAlignment="0" applyProtection="0"/>
    <xf numFmtId="0" fontId="36" fillId="22" borderId="0" applyNumberFormat="0" applyBorder="0" applyAlignment="0" applyProtection="0"/>
    <xf numFmtId="0" fontId="36" fillId="23" borderId="0" applyNumberFormat="0" applyBorder="0" applyAlignment="0" applyProtection="0"/>
    <xf numFmtId="0" fontId="36" fillId="25" borderId="0" applyNumberFormat="0" applyBorder="0" applyAlignment="0" applyProtection="0"/>
    <xf numFmtId="0" fontId="36"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42" fillId="31" borderId="0" applyNumberFormat="0" applyBorder="0" applyAlignment="0" applyProtection="0"/>
    <xf numFmtId="0" fontId="3" fillId="0" borderId="0"/>
    <xf numFmtId="0" fontId="63" fillId="0" borderId="0" applyNumberFormat="0" applyFill="0" applyBorder="0" applyAlignment="0" applyProtection="0"/>
    <xf numFmtId="0" fontId="64" fillId="0" borderId="121" applyNumberFormat="0" applyFill="0" applyAlignment="0" applyProtection="0"/>
    <xf numFmtId="0" fontId="65" fillId="0" borderId="122" applyNumberFormat="0" applyFill="0" applyAlignment="0" applyProtection="0"/>
    <xf numFmtId="0" fontId="66" fillId="0" borderId="123" applyNumberFormat="0" applyFill="0" applyAlignment="0" applyProtection="0"/>
    <xf numFmtId="0" fontId="66" fillId="0" borderId="0" applyNumberFormat="0" applyFill="0" applyBorder="0" applyAlignment="0" applyProtection="0"/>
    <xf numFmtId="0" fontId="67" fillId="38" borderId="0" applyNumberFormat="0" applyBorder="0" applyAlignment="0" applyProtection="0"/>
    <xf numFmtId="0" fontId="68" fillId="39" borderId="124" applyNumberFormat="0" applyAlignment="0" applyProtection="0"/>
    <xf numFmtId="0" fontId="69" fillId="40" borderId="125" applyNumberFormat="0" applyAlignment="0" applyProtection="0"/>
    <xf numFmtId="0" fontId="70" fillId="40" borderId="124" applyNumberFormat="0" applyAlignment="0" applyProtection="0"/>
    <xf numFmtId="0" fontId="71" fillId="0" borderId="126" applyNumberFormat="0" applyFill="0" applyAlignment="0" applyProtection="0"/>
    <xf numFmtId="0" fontId="72" fillId="41" borderId="127" applyNumberFormat="0" applyAlignment="0" applyProtection="0"/>
    <xf numFmtId="0" fontId="73" fillId="0" borderId="0" applyNumberFormat="0" applyFill="0" applyBorder="0" applyAlignment="0" applyProtection="0"/>
    <xf numFmtId="0" fontId="74" fillId="0" borderId="0" applyNumberFormat="0" applyFill="0" applyBorder="0" applyAlignment="0" applyProtection="0"/>
    <xf numFmtId="0" fontId="75" fillId="0" borderId="129" applyNumberFormat="0" applyFill="0" applyAlignment="0" applyProtection="0"/>
    <xf numFmtId="0" fontId="2" fillId="43" borderId="0" applyNumberFormat="0" applyBorder="0" applyAlignment="0" applyProtection="0"/>
    <xf numFmtId="0" fontId="2" fillId="44" borderId="0" applyNumberFormat="0" applyBorder="0" applyAlignment="0" applyProtection="0"/>
    <xf numFmtId="0" fontId="34"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34" fillId="48" borderId="0" applyNumberFormat="0" applyBorder="0" applyAlignment="0" applyProtection="0"/>
    <xf numFmtId="0" fontId="2" fillId="49" borderId="0" applyNumberFormat="0" applyBorder="0" applyAlignment="0" applyProtection="0"/>
    <xf numFmtId="0" fontId="2" fillId="50" borderId="0" applyNumberFormat="0" applyBorder="0" applyAlignment="0" applyProtection="0"/>
    <xf numFmtId="0" fontId="34"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34" fillId="54" borderId="0" applyNumberFormat="0" applyBorder="0" applyAlignment="0" applyProtection="0"/>
    <xf numFmtId="0" fontId="2"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2" fillId="58" borderId="0" applyNumberFormat="0" applyBorder="0" applyAlignment="0" applyProtection="0"/>
    <xf numFmtId="0" fontId="34" fillId="59" borderId="0" applyNumberFormat="0" applyBorder="0" applyAlignment="0" applyProtection="0"/>
    <xf numFmtId="0" fontId="2" fillId="0" borderId="0"/>
    <xf numFmtId="0" fontId="76" fillId="31" borderId="0" applyNumberFormat="0" applyBorder="0" applyAlignment="0" applyProtection="0"/>
    <xf numFmtId="0" fontId="2" fillId="42" borderId="128" applyNumberFormat="0" applyFont="0" applyAlignment="0" applyProtection="0"/>
    <xf numFmtId="0" fontId="34" fillId="22" borderId="0" applyNumberFormat="0" applyBorder="0" applyAlignment="0" applyProtection="0"/>
    <xf numFmtId="0" fontId="34" fillId="25" borderId="0" applyNumberFormat="0" applyBorder="0" applyAlignment="0" applyProtection="0"/>
    <xf numFmtId="0" fontId="34" fillId="23"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1" fillId="0" borderId="0"/>
    <xf numFmtId="0" fontId="1" fillId="42" borderId="128" applyNumberFormat="0" applyFont="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9" borderId="0" applyNumberFormat="0" applyBorder="0" applyAlignment="0" applyProtection="0"/>
    <xf numFmtId="0" fontId="1" fillId="50" borderId="0" applyNumberFormat="0" applyBorder="0" applyAlignment="0" applyProtection="0"/>
    <xf numFmtId="0" fontId="1" fillId="52" borderId="0" applyNumberFormat="0" applyBorder="0" applyAlignment="0" applyProtection="0"/>
    <xf numFmtId="0" fontId="1" fillId="53"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cellStyleXfs>
  <cellXfs count="606">
    <xf numFmtId="0" fontId="0" fillId="0" borderId="0" xfId="0"/>
    <xf numFmtId="0" fontId="0" fillId="0" borderId="0" xfId="0" applyAlignment="1">
      <alignment horizontal="center"/>
    </xf>
    <xf numFmtId="0" fontId="4" fillId="2" borderId="4" xfId="0" applyFont="1" applyFill="1" applyBorder="1" applyAlignment="1">
      <alignment horizontal="centerContinuous"/>
    </xf>
    <xf numFmtId="0" fontId="4" fillId="2" borderId="1" xfId="0" applyFont="1" applyFill="1" applyBorder="1" applyAlignment="1">
      <alignment horizontal="centerContinuous"/>
    </xf>
    <xf numFmtId="0" fontId="4" fillId="2" borderId="5" xfId="0" applyFont="1" applyFill="1" applyBorder="1" applyAlignment="1">
      <alignment horizontal="centerContinuous"/>
    </xf>
    <xf numFmtId="166" fontId="4" fillId="0" borderId="0" xfId="5" applyNumberFormat="1" applyFont="1" applyBorder="1"/>
    <xf numFmtId="0" fontId="4" fillId="2" borderId="6" xfId="0" applyFont="1" applyFill="1" applyBorder="1" applyAlignment="1">
      <alignment horizontal="center"/>
    </xf>
    <xf numFmtId="0" fontId="4" fillId="2" borderId="7" xfId="0" applyFont="1" applyFill="1" applyBorder="1"/>
    <xf numFmtId="0" fontId="4" fillId="2" borderId="8" xfId="0" applyFont="1" applyFill="1" applyBorder="1"/>
    <xf numFmtId="0" fontId="0" fillId="0" borderId="9" xfId="0" applyBorder="1" applyAlignment="1">
      <alignment horizontal="center"/>
    </xf>
    <xf numFmtId="166" fontId="4" fillId="0" borderId="10" xfId="5" applyNumberFormat="1" applyFont="1" applyBorder="1"/>
    <xf numFmtId="0" fontId="0" fillId="0" borderId="11" xfId="0" applyBorder="1" applyAlignment="1">
      <alignment horizontal="center"/>
    </xf>
    <xf numFmtId="0" fontId="0" fillId="2" borderId="12" xfId="0" applyFill="1" applyBorder="1" applyAlignment="1">
      <alignment horizontal="center"/>
    </xf>
    <xf numFmtId="166" fontId="4" fillId="2" borderId="13" xfId="5" applyNumberFormat="1" applyFont="1" applyFill="1" applyBorder="1"/>
    <xf numFmtId="166" fontId="4" fillId="2" borderId="14" xfId="5" applyNumberFormat="1" applyFont="1" applyFill="1" applyBorder="1"/>
    <xf numFmtId="0" fontId="4" fillId="2" borderId="0" xfId="0" applyFont="1" applyFill="1" applyAlignment="1">
      <alignment horizontal="centerContinuous"/>
    </xf>
    <xf numFmtId="0" fontId="4" fillId="2" borderId="0" xfId="0" applyFont="1" applyFill="1"/>
    <xf numFmtId="166" fontId="4" fillId="2" borderId="0" xfId="5" applyNumberFormat="1" applyFont="1" applyFill="1" applyBorder="1"/>
    <xf numFmtId="166" fontId="0" fillId="0" borderId="0" xfId="0" applyNumberFormat="1"/>
    <xf numFmtId="0" fontId="0" fillId="0" borderId="22" xfId="0" applyBorder="1" applyAlignment="1">
      <alignment horizontal="center"/>
    </xf>
    <xf numFmtId="0" fontId="12" fillId="0" borderId="0" xfId="0" applyFont="1" applyProtection="1">
      <protection locked="0"/>
    </xf>
    <xf numFmtId="0" fontId="14" fillId="0" borderId="0" xfId="0" applyFont="1" applyAlignment="1" applyProtection="1">
      <alignment vertical="center"/>
      <protection locked="0"/>
    </xf>
    <xf numFmtId="0" fontId="15" fillId="0" borderId="0" xfId="0" applyFont="1" applyAlignment="1">
      <alignment horizontal="left" vertical="center"/>
    </xf>
    <xf numFmtId="0" fontId="15" fillId="0" borderId="0" xfId="0" applyFont="1" applyAlignment="1">
      <alignment horizontal="left"/>
    </xf>
    <xf numFmtId="0" fontId="16" fillId="0" borderId="0" xfId="0" applyFont="1"/>
    <xf numFmtId="0" fontId="14" fillId="0" borderId="0" xfId="0" applyFont="1"/>
    <xf numFmtId="0" fontId="17" fillId="0" borderId="0" xfId="0" applyFont="1" applyAlignment="1" applyProtection="1">
      <alignment horizontal="center" vertical="center"/>
      <protection locked="0"/>
    </xf>
    <xf numFmtId="0" fontId="18" fillId="0" borderId="0" xfId="0" applyFont="1" applyAlignment="1" applyProtection="1">
      <alignment vertical="center"/>
      <protection locked="0"/>
    </xf>
    <xf numFmtId="0" fontId="13" fillId="0" borderId="0" xfId="0" applyFont="1" applyAlignment="1" applyProtection="1">
      <alignment horizontal="center"/>
      <protection locked="0"/>
    </xf>
    <xf numFmtId="0" fontId="20" fillId="0" borderId="0" xfId="0" applyFont="1" applyAlignment="1">
      <alignment horizontal="center"/>
    </xf>
    <xf numFmtId="2" fontId="12" fillId="0" borderId="0" xfId="0" applyNumberFormat="1" applyFont="1"/>
    <xf numFmtId="0" fontId="12" fillId="0" borderId="0" xfId="0" applyFont="1"/>
    <xf numFmtId="0" fontId="21" fillId="0" borderId="0" xfId="0" applyFont="1" applyAlignment="1">
      <alignment horizontal="center"/>
    </xf>
    <xf numFmtId="14" fontId="12" fillId="0" borderId="0" xfId="0" applyNumberFormat="1" applyFont="1"/>
    <xf numFmtId="10" fontId="13" fillId="0" borderId="0" xfId="0" applyNumberFormat="1" applyFont="1" applyAlignment="1">
      <alignment horizontal="center"/>
    </xf>
    <xf numFmtId="174" fontId="12" fillId="0" borderId="0" xfId="0" applyNumberFormat="1" applyFont="1"/>
    <xf numFmtId="4" fontId="13" fillId="0" borderId="0" xfId="0" applyNumberFormat="1" applyFont="1" applyAlignment="1">
      <alignment horizontal="center"/>
    </xf>
    <xf numFmtId="4" fontId="20" fillId="0" borderId="0" xfId="0" applyNumberFormat="1" applyFont="1" applyAlignment="1">
      <alignment horizontal="center"/>
    </xf>
    <xf numFmtId="4" fontId="12" fillId="0" borderId="0" xfId="0" applyNumberFormat="1" applyFont="1" applyAlignment="1">
      <alignment horizontal="center"/>
    </xf>
    <xf numFmtId="174" fontId="12" fillId="0" borderId="0" xfId="0" applyNumberFormat="1" applyFont="1" applyProtection="1">
      <protection locked="0"/>
    </xf>
    <xf numFmtId="4" fontId="22" fillId="0" borderId="0" xfId="0" applyNumberFormat="1" applyFont="1" applyAlignment="1">
      <alignment horizontal="center"/>
    </xf>
    <xf numFmtId="9" fontId="12" fillId="0" borderId="0" xfId="0" applyNumberFormat="1" applyFont="1"/>
    <xf numFmtId="174" fontId="12" fillId="0" borderId="0" xfId="0" applyNumberFormat="1" applyFont="1" applyAlignment="1">
      <alignment horizontal="center"/>
    </xf>
    <xf numFmtId="0" fontId="22" fillId="0" borderId="0" xfId="0" applyFont="1"/>
    <xf numFmtId="0" fontId="15" fillId="0" borderId="0" xfId="0" applyFont="1"/>
    <xf numFmtId="10" fontId="15" fillId="0" borderId="0" xfId="0" applyNumberFormat="1" applyFont="1"/>
    <xf numFmtId="165" fontId="12" fillId="0" borderId="0" xfId="5" applyFont="1" applyFill="1" applyBorder="1" applyProtection="1"/>
    <xf numFmtId="4" fontId="12" fillId="0" borderId="0" xfId="0" applyNumberFormat="1" applyFont="1"/>
    <xf numFmtId="0" fontId="12" fillId="0" borderId="0" xfId="0" applyFont="1" applyAlignment="1">
      <alignment vertical="center"/>
    </xf>
    <xf numFmtId="0" fontId="12" fillId="0" borderId="37" xfId="0" applyFont="1" applyBorder="1" applyAlignment="1">
      <alignment vertical="center"/>
    </xf>
    <xf numFmtId="166" fontId="12" fillId="0" borderId="0" xfId="5" applyNumberFormat="1" applyFont="1" applyFill="1" applyBorder="1" applyAlignment="1" applyProtection="1">
      <alignment horizontal="center" vertical="center"/>
    </xf>
    <xf numFmtId="0" fontId="28" fillId="0" borderId="33" xfId="0" applyFont="1" applyBorder="1" applyAlignment="1" applyProtection="1">
      <alignment horizontal="center" vertical="center"/>
      <protection locked="0" hidden="1"/>
    </xf>
    <xf numFmtId="0" fontId="28" fillId="0" borderId="21" xfId="0" applyFont="1" applyBorder="1" applyAlignment="1" applyProtection="1">
      <alignment horizontal="center" vertical="center"/>
      <protection locked="0" hidden="1"/>
    </xf>
    <xf numFmtId="0" fontId="29" fillId="0" borderId="34" xfId="0" applyFont="1" applyBorder="1" applyAlignment="1" applyProtection="1">
      <alignment horizontal="center" vertical="center"/>
      <protection hidden="1"/>
    </xf>
    <xf numFmtId="0" fontId="29" fillId="0" borderId="31" xfId="0" applyFont="1" applyBorder="1" applyAlignment="1" applyProtection="1">
      <alignment horizontal="center" vertical="center"/>
      <protection hidden="1"/>
    </xf>
    <xf numFmtId="174" fontId="19" fillId="19" borderId="0" xfId="0" applyNumberFormat="1" applyFont="1" applyFill="1"/>
    <xf numFmtId="14" fontId="13" fillId="0" borderId="55" xfId="0" applyNumberFormat="1" applyFont="1" applyBorder="1" applyAlignment="1" applyProtection="1">
      <alignment horizontal="center" vertical="center"/>
      <protection locked="0" hidden="1"/>
    </xf>
    <xf numFmtId="166" fontId="13" fillId="0" borderId="0" xfId="5" applyNumberFormat="1" applyFont="1" applyFill="1" applyBorder="1" applyAlignment="1" applyProtection="1">
      <alignment horizontal="center" vertical="center"/>
      <protection locked="0" hidden="1"/>
    </xf>
    <xf numFmtId="0" fontId="13" fillId="0" borderId="0" xfId="0" applyFont="1" applyAlignment="1" applyProtection="1">
      <alignment horizontal="center" vertical="center"/>
      <protection locked="0" hidden="1"/>
    </xf>
    <xf numFmtId="0" fontId="13" fillId="0" borderId="0" xfId="0" applyFont="1" applyAlignment="1" applyProtection="1">
      <alignment horizontal="center" vertical="center"/>
      <protection hidden="1"/>
    </xf>
    <xf numFmtId="0" fontId="12" fillId="0" borderId="0" xfId="0" applyFont="1" applyAlignment="1">
      <alignment horizontal="center" vertical="center"/>
    </xf>
    <xf numFmtId="0" fontId="16" fillId="0" borderId="0" xfId="0" applyFont="1" applyProtection="1">
      <protection locked="0"/>
    </xf>
    <xf numFmtId="9" fontId="16" fillId="0" borderId="0" xfId="0" applyNumberFormat="1" applyFont="1" applyProtection="1">
      <protection locked="0"/>
    </xf>
    <xf numFmtId="4" fontId="16" fillId="0" borderId="0" xfId="0" applyNumberFormat="1" applyFont="1"/>
    <xf numFmtId="167" fontId="16" fillId="0" borderId="0" xfId="5" applyNumberFormat="1" applyFont="1"/>
    <xf numFmtId="170" fontId="16" fillId="0" borderId="0" xfId="0" applyNumberFormat="1" applyFont="1"/>
    <xf numFmtId="0" fontId="33" fillId="0" borderId="0" xfId="0" applyFont="1" applyProtection="1">
      <protection locked="0"/>
    </xf>
    <xf numFmtId="165" fontId="33" fillId="10" borderId="21" xfId="5" applyFont="1" applyFill="1" applyBorder="1" applyAlignment="1" applyProtection="1">
      <alignment horizontal="center" vertical="center"/>
      <protection hidden="1"/>
    </xf>
    <xf numFmtId="0" fontId="33" fillId="0" borderId="0" xfId="0" applyFont="1"/>
    <xf numFmtId="0" fontId="34" fillId="25" borderId="3" xfId="18" applyFont="1" applyBorder="1"/>
    <xf numFmtId="0" fontId="34" fillId="26" borderId="3" xfId="19" applyFont="1" applyBorder="1"/>
    <xf numFmtId="165" fontId="34" fillId="28" borderId="3" xfId="21" applyNumberFormat="1" applyFont="1" applyBorder="1" applyProtection="1">
      <protection locked="0"/>
    </xf>
    <xf numFmtId="10" fontId="34" fillId="28" borderId="3" xfId="21" applyNumberFormat="1" applyFont="1" applyBorder="1" applyProtection="1">
      <protection locked="0"/>
    </xf>
    <xf numFmtId="172" fontId="34" fillId="28" borderId="3" xfId="21" applyNumberFormat="1" applyFont="1" applyBorder="1" applyProtection="1">
      <protection locked="0"/>
    </xf>
    <xf numFmtId="0" fontId="16" fillId="29" borderId="3" xfId="0" applyFont="1" applyFill="1" applyBorder="1" applyProtection="1">
      <protection locked="0"/>
    </xf>
    <xf numFmtId="166" fontId="16" fillId="17" borderId="3" xfId="5" applyNumberFormat="1" applyFont="1" applyFill="1" applyBorder="1" applyAlignment="1" applyProtection="1">
      <alignment vertical="center"/>
      <protection locked="0"/>
    </xf>
    <xf numFmtId="165" fontId="16" fillId="17" borderId="3" xfId="5" applyFont="1" applyFill="1" applyBorder="1" applyProtection="1">
      <protection locked="0"/>
    </xf>
    <xf numFmtId="0" fontId="0" fillId="24" borderId="60" xfId="0" applyFill="1" applyBorder="1" applyAlignment="1">
      <alignment horizontal="center"/>
    </xf>
    <xf numFmtId="0" fontId="0" fillId="24" borderId="61" xfId="0" applyFill="1" applyBorder="1" applyAlignment="1">
      <alignment horizontal="center"/>
    </xf>
    <xf numFmtId="0" fontId="4" fillId="2" borderId="1" xfId="0" applyFont="1" applyFill="1" applyBorder="1" applyAlignment="1">
      <alignment horizontal="left"/>
    </xf>
    <xf numFmtId="0" fontId="4" fillId="2" borderId="66" xfId="0" applyFont="1" applyFill="1" applyBorder="1" applyAlignment="1">
      <alignment horizontal="center"/>
    </xf>
    <xf numFmtId="0" fontId="0" fillId="0" borderId="67" xfId="0" applyBorder="1" applyAlignment="1">
      <alignment horizontal="center"/>
    </xf>
    <xf numFmtId="0" fontId="0" fillId="0" borderId="26" xfId="0" applyBorder="1" applyAlignment="1">
      <alignment horizontal="center"/>
    </xf>
    <xf numFmtId="0" fontId="0" fillId="30" borderId="3" xfId="0" applyFill="1" applyBorder="1" applyAlignment="1">
      <alignment horizontal="center"/>
    </xf>
    <xf numFmtId="0" fontId="0" fillId="30" borderId="3" xfId="0" applyFill="1" applyBorder="1"/>
    <xf numFmtId="0" fontId="28" fillId="0" borderId="32" xfId="5" applyNumberFormat="1" applyFont="1" applyFill="1" applyBorder="1" applyAlignment="1" applyProtection="1">
      <alignment horizontal="center" vertical="center"/>
      <protection locked="0" hidden="1"/>
    </xf>
    <xf numFmtId="0" fontId="28" fillId="0" borderId="30" xfId="5" applyNumberFormat="1" applyFont="1" applyFill="1" applyBorder="1" applyAlignment="1" applyProtection="1">
      <alignment horizontal="center" vertical="center"/>
      <protection locked="0" hidden="1"/>
    </xf>
    <xf numFmtId="0" fontId="29" fillId="0" borderId="69" xfId="0" applyFont="1" applyBorder="1" applyAlignment="1" applyProtection="1">
      <alignment horizontal="center" vertical="center"/>
      <protection hidden="1"/>
    </xf>
    <xf numFmtId="0" fontId="41" fillId="0" borderId="0" xfId="0" applyFont="1" applyProtection="1">
      <protection hidden="1"/>
    </xf>
    <xf numFmtId="0" fontId="30" fillId="5" borderId="0" xfId="0" applyFont="1" applyFill="1" applyAlignment="1" applyProtection="1">
      <alignment horizontal="left"/>
      <protection hidden="1"/>
    </xf>
    <xf numFmtId="0" fontId="41" fillId="0" borderId="0" xfId="0" applyFont="1" applyAlignment="1" applyProtection="1">
      <alignment horizontal="justify" vertical="top" wrapText="1"/>
      <protection hidden="1"/>
    </xf>
    <xf numFmtId="166" fontId="4" fillId="2" borderId="14" xfId="5" applyNumberFormat="1" applyFont="1" applyFill="1" applyBorder="1" applyAlignment="1">
      <alignment horizontal="center" vertical="center"/>
    </xf>
    <xf numFmtId="0" fontId="36" fillId="22" borderId="3" xfId="16" applyBorder="1"/>
    <xf numFmtId="14" fontId="36" fillId="22" borderId="3" xfId="16" applyNumberFormat="1" applyBorder="1"/>
    <xf numFmtId="0" fontId="41" fillId="0" borderId="0" xfId="0" applyFont="1" applyAlignment="1" applyProtection="1">
      <alignment horizontal="left"/>
      <protection hidden="1"/>
    </xf>
    <xf numFmtId="3" fontId="12" fillId="13" borderId="41" xfId="5" applyNumberFormat="1" applyFont="1" applyFill="1" applyBorder="1" applyAlignment="1" applyProtection="1">
      <alignment horizontal="center" vertical="center"/>
      <protection locked="0" hidden="1"/>
    </xf>
    <xf numFmtId="0" fontId="14" fillId="14" borderId="0" xfId="0" applyFont="1" applyFill="1" applyAlignment="1">
      <alignment horizontal="center" vertical="center"/>
    </xf>
    <xf numFmtId="3" fontId="12" fillId="0" borderId="0" xfId="0" applyNumberFormat="1" applyFont="1"/>
    <xf numFmtId="175" fontId="14" fillId="13" borderId="0" xfId="5" applyNumberFormat="1" applyFont="1" applyFill="1" applyBorder="1" applyAlignment="1" applyProtection="1">
      <alignment horizontal="center" vertical="center"/>
      <protection locked="0" hidden="1"/>
    </xf>
    <xf numFmtId="0" fontId="37" fillId="2" borderId="9" xfId="0" applyFont="1" applyFill="1" applyBorder="1" applyAlignment="1" applyProtection="1">
      <alignment horizontal="centerContinuous"/>
      <protection locked="0" hidden="1"/>
    </xf>
    <xf numFmtId="0" fontId="37" fillId="2" borderId="10" xfId="0" applyFont="1" applyFill="1" applyBorder="1" applyAlignment="1" applyProtection="1">
      <alignment horizontal="centerContinuous"/>
      <protection locked="0" hidden="1"/>
    </xf>
    <xf numFmtId="0" fontId="37" fillId="2" borderId="18" xfId="0" applyFont="1" applyFill="1" applyBorder="1" applyAlignment="1" applyProtection="1">
      <alignment horizontal="centerContinuous"/>
      <protection locked="0" hidden="1"/>
    </xf>
    <xf numFmtId="0" fontId="33" fillId="0" borderId="0" xfId="0" applyFont="1" applyProtection="1">
      <protection hidden="1"/>
    </xf>
    <xf numFmtId="0" fontId="33" fillId="0" borderId="0" xfId="0" applyFont="1" applyProtection="1">
      <protection locked="0" hidden="1"/>
    </xf>
    <xf numFmtId="1" fontId="33" fillId="14" borderId="16" xfId="0" applyNumberFormat="1" applyFont="1" applyFill="1" applyBorder="1" applyAlignment="1" applyProtection="1">
      <alignment horizontal="center"/>
      <protection locked="0" hidden="1"/>
    </xf>
    <xf numFmtId="174" fontId="33" fillId="14" borderId="16" xfId="0" applyNumberFormat="1" applyFont="1" applyFill="1" applyBorder="1" applyAlignment="1" applyProtection="1">
      <alignment horizontal="centerContinuous"/>
      <protection locked="0" hidden="1"/>
    </xf>
    <xf numFmtId="165" fontId="33" fillId="17" borderId="3" xfId="5" applyFont="1" applyFill="1" applyBorder="1" applyProtection="1">
      <protection locked="0" hidden="1"/>
    </xf>
    <xf numFmtId="174" fontId="33" fillId="17" borderId="16" xfId="0" applyNumberFormat="1" applyFont="1" applyFill="1" applyBorder="1" applyAlignment="1" applyProtection="1">
      <alignment horizontal="centerContinuous"/>
      <protection locked="0" hidden="1"/>
    </xf>
    <xf numFmtId="0" fontId="33" fillId="17" borderId="16" xfId="0" applyFont="1" applyFill="1" applyBorder="1" applyAlignment="1" applyProtection="1">
      <alignment horizontal="centerContinuous"/>
      <protection locked="0" hidden="1"/>
    </xf>
    <xf numFmtId="0" fontId="33" fillId="17" borderId="17" xfId="0" applyFont="1" applyFill="1" applyBorder="1" applyAlignment="1" applyProtection="1">
      <alignment horizontal="centerContinuous"/>
      <protection locked="0" hidden="1"/>
    </xf>
    <xf numFmtId="174" fontId="33" fillId="16" borderId="16" xfId="0" applyNumberFormat="1" applyFont="1" applyFill="1" applyBorder="1" applyAlignment="1" applyProtection="1">
      <alignment horizontal="center"/>
      <protection locked="0" hidden="1"/>
    </xf>
    <xf numFmtId="0" fontId="33" fillId="16" borderId="16" xfId="0" applyFont="1" applyFill="1" applyBorder="1" applyAlignment="1" applyProtection="1">
      <alignment horizontal="centerContinuous"/>
      <protection locked="0" hidden="1"/>
    </xf>
    <xf numFmtId="0" fontId="33" fillId="16" borderId="17" xfId="0" applyFont="1" applyFill="1" applyBorder="1" applyAlignment="1" applyProtection="1">
      <alignment horizontal="centerContinuous"/>
      <protection locked="0" hidden="1"/>
    </xf>
    <xf numFmtId="0" fontId="33" fillId="18" borderId="16" xfId="0" applyFont="1" applyFill="1" applyBorder="1" applyAlignment="1" applyProtection="1">
      <alignment horizontal="centerContinuous"/>
      <protection locked="0" hidden="1"/>
    </xf>
    <xf numFmtId="0" fontId="33" fillId="18" borderId="17" xfId="0" applyFont="1" applyFill="1" applyBorder="1" applyAlignment="1" applyProtection="1">
      <alignment horizontal="centerContinuous"/>
      <protection locked="0" hidden="1"/>
    </xf>
    <xf numFmtId="0" fontId="33" fillId="19" borderId="16" xfId="0" applyFont="1" applyFill="1" applyBorder="1" applyAlignment="1" applyProtection="1">
      <alignment horizontal="centerContinuous"/>
      <protection locked="0" hidden="1"/>
    </xf>
    <xf numFmtId="0" fontId="33" fillId="19" borderId="17" xfId="0" applyFont="1" applyFill="1" applyBorder="1" applyAlignment="1" applyProtection="1">
      <alignment horizontal="centerContinuous"/>
      <protection locked="0" hidden="1"/>
    </xf>
    <xf numFmtId="0" fontId="33" fillId="15" borderId="16" xfId="0" applyFont="1" applyFill="1" applyBorder="1" applyAlignment="1" applyProtection="1">
      <alignment horizontal="centerContinuous"/>
      <protection locked="0" hidden="1"/>
    </xf>
    <xf numFmtId="0" fontId="33" fillId="15" borderId="17" xfId="0" applyFont="1" applyFill="1" applyBorder="1" applyAlignment="1" applyProtection="1">
      <alignment horizontal="centerContinuous"/>
      <protection locked="0" hidden="1"/>
    </xf>
    <xf numFmtId="0" fontId="33" fillId="0" borderId="3" xfId="0" applyFont="1" applyBorder="1" applyAlignment="1" applyProtection="1">
      <alignment horizontal="right"/>
      <protection locked="0" hidden="1"/>
    </xf>
    <xf numFmtId="170" fontId="38" fillId="6" borderId="35" xfId="0" applyNumberFormat="1" applyFont="1" applyFill="1" applyBorder="1" applyAlignment="1" applyProtection="1">
      <alignment horizontal="center"/>
      <protection locked="0" hidden="1"/>
    </xf>
    <xf numFmtId="0" fontId="38" fillId="6" borderId="33" xfId="0" applyFont="1" applyFill="1" applyBorder="1" applyAlignment="1" applyProtection="1">
      <alignment horizontal="centerContinuous"/>
      <protection locked="0" hidden="1"/>
    </xf>
    <xf numFmtId="0" fontId="38" fillId="6" borderId="34" xfId="0" applyFont="1" applyFill="1" applyBorder="1" applyAlignment="1" applyProtection="1">
      <alignment horizontal="centerContinuous"/>
      <protection locked="0" hidden="1"/>
    </xf>
    <xf numFmtId="0" fontId="37" fillId="8" borderId="35" xfId="0" applyFont="1" applyFill="1" applyBorder="1" applyAlignment="1" applyProtection="1">
      <alignment horizontal="centerContinuous"/>
      <protection locked="0" hidden="1"/>
    </xf>
    <xf numFmtId="0" fontId="37" fillId="8" borderId="33" xfId="0" applyFont="1" applyFill="1" applyBorder="1" applyAlignment="1" applyProtection="1">
      <alignment horizontal="centerContinuous"/>
      <protection locked="0" hidden="1"/>
    </xf>
    <xf numFmtId="0" fontId="37" fillId="8" borderId="34" xfId="0" applyFont="1" applyFill="1" applyBorder="1" applyAlignment="1" applyProtection="1">
      <alignment horizontal="centerContinuous"/>
      <protection locked="0" hidden="1"/>
    </xf>
    <xf numFmtId="0" fontId="33" fillId="0" borderId="9" xfId="0" applyFont="1" applyBorder="1" applyAlignment="1" applyProtection="1">
      <alignment horizontal="center"/>
      <protection locked="0" hidden="1"/>
    </xf>
    <xf numFmtId="0" fontId="33" fillId="0" borderId="3" xfId="0" applyFont="1" applyBorder="1" applyAlignment="1" applyProtection="1">
      <alignment horizontal="centerContinuous"/>
      <protection locked="0" hidden="1"/>
    </xf>
    <xf numFmtId="0" fontId="33" fillId="0" borderId="3" xfId="0" applyFont="1" applyBorder="1" applyAlignment="1" applyProtection="1">
      <alignment horizontal="center"/>
      <protection locked="0" hidden="1"/>
    </xf>
    <xf numFmtId="0" fontId="33" fillId="14" borderId="3" xfId="0" applyFont="1" applyFill="1" applyBorder="1" applyAlignment="1" applyProtection="1">
      <alignment horizontal="center"/>
      <protection locked="0" hidden="1"/>
    </xf>
    <xf numFmtId="0" fontId="33" fillId="14" borderId="3" xfId="0" applyFont="1" applyFill="1" applyBorder="1" applyAlignment="1" applyProtection="1">
      <alignment horizontal="centerContinuous"/>
      <protection locked="0" hidden="1"/>
    </xf>
    <xf numFmtId="0" fontId="33" fillId="14" borderId="20" xfId="0" applyFont="1" applyFill="1" applyBorder="1" applyAlignment="1" applyProtection="1">
      <alignment horizontal="center"/>
      <protection locked="0" hidden="1"/>
    </xf>
    <xf numFmtId="0" fontId="33" fillId="17" borderId="3" xfId="0" applyFont="1" applyFill="1" applyBorder="1" applyAlignment="1" applyProtection="1">
      <alignment horizontal="center"/>
      <protection locked="0" hidden="1"/>
    </xf>
    <xf numFmtId="0" fontId="33" fillId="17" borderId="3" xfId="0" applyFont="1" applyFill="1" applyBorder="1" applyAlignment="1" applyProtection="1">
      <alignment horizontal="centerContinuous"/>
      <protection locked="0" hidden="1"/>
    </xf>
    <xf numFmtId="0" fontId="33" fillId="17" borderId="20" xfId="0" applyFont="1" applyFill="1" applyBorder="1" applyAlignment="1" applyProtection="1">
      <alignment horizontal="center"/>
      <protection locked="0" hidden="1"/>
    </xf>
    <xf numFmtId="0" fontId="33" fillId="16" borderId="3" xfId="0" applyFont="1" applyFill="1" applyBorder="1" applyAlignment="1" applyProtection="1">
      <alignment horizontal="center"/>
      <protection locked="0" hidden="1"/>
    </xf>
    <xf numFmtId="0" fontId="33" fillId="16" borderId="3" xfId="0" applyFont="1" applyFill="1" applyBorder="1" applyAlignment="1" applyProtection="1">
      <alignment horizontal="centerContinuous"/>
      <protection locked="0" hidden="1"/>
    </xf>
    <xf numFmtId="0" fontId="33" fillId="16" borderId="20" xfId="0" applyFont="1" applyFill="1" applyBorder="1" applyAlignment="1" applyProtection="1">
      <alignment horizontal="center"/>
      <protection locked="0" hidden="1"/>
    </xf>
    <xf numFmtId="0" fontId="33" fillId="18" borderId="3" xfId="0" applyFont="1" applyFill="1" applyBorder="1" applyAlignment="1" applyProtection="1">
      <alignment horizontal="center"/>
      <protection locked="0" hidden="1"/>
    </xf>
    <xf numFmtId="0" fontId="33" fillId="18" borderId="3" xfId="0" applyFont="1" applyFill="1" applyBorder="1" applyAlignment="1" applyProtection="1">
      <alignment horizontal="centerContinuous"/>
      <protection locked="0" hidden="1"/>
    </xf>
    <xf numFmtId="0" fontId="33" fillId="18" borderId="20" xfId="0" applyFont="1" applyFill="1" applyBorder="1" applyAlignment="1" applyProtection="1">
      <alignment horizontal="center"/>
      <protection locked="0" hidden="1"/>
    </xf>
    <xf numFmtId="0" fontId="33" fillId="19" borderId="3" xfId="0" applyFont="1" applyFill="1" applyBorder="1" applyAlignment="1" applyProtection="1">
      <alignment horizontal="center"/>
      <protection locked="0" hidden="1"/>
    </xf>
    <xf numFmtId="0" fontId="33" fillId="19" borderId="3" xfId="0" applyFont="1" applyFill="1" applyBorder="1" applyAlignment="1" applyProtection="1">
      <alignment horizontal="centerContinuous"/>
      <protection locked="0" hidden="1"/>
    </xf>
    <xf numFmtId="0" fontId="33" fillId="19" borderId="20" xfId="0" applyFont="1" applyFill="1" applyBorder="1" applyAlignment="1" applyProtection="1">
      <alignment horizontal="center"/>
      <protection locked="0" hidden="1"/>
    </xf>
    <xf numFmtId="0" fontId="33" fillId="15" borderId="3" xfId="0" applyFont="1" applyFill="1" applyBorder="1" applyAlignment="1" applyProtection="1">
      <alignment horizontal="center"/>
      <protection locked="0" hidden="1"/>
    </xf>
    <xf numFmtId="0" fontId="33" fillId="15" borderId="3" xfId="0" applyFont="1" applyFill="1" applyBorder="1" applyAlignment="1" applyProtection="1">
      <alignment horizontal="centerContinuous"/>
      <protection locked="0" hidden="1"/>
    </xf>
    <xf numFmtId="0" fontId="33" fillId="15" borderId="20" xfId="0" applyFont="1" applyFill="1" applyBorder="1" applyAlignment="1" applyProtection="1">
      <alignment horizontal="center"/>
      <protection locked="0" hidden="1"/>
    </xf>
    <xf numFmtId="165" fontId="33" fillId="7" borderId="21" xfId="5" applyFont="1" applyFill="1" applyBorder="1" applyProtection="1">
      <protection hidden="1"/>
    </xf>
    <xf numFmtId="165" fontId="33" fillId="10" borderId="21" xfId="5" applyFont="1" applyFill="1" applyBorder="1" applyProtection="1">
      <protection hidden="1"/>
    </xf>
    <xf numFmtId="165" fontId="33" fillId="9" borderId="21" xfId="5" applyFont="1" applyFill="1" applyBorder="1" applyProtection="1">
      <protection hidden="1"/>
    </xf>
    <xf numFmtId="165" fontId="33" fillId="10" borderId="31" xfId="5" applyFont="1" applyFill="1" applyBorder="1" applyProtection="1">
      <protection hidden="1"/>
    </xf>
    <xf numFmtId="0" fontId="33" fillId="0" borderId="11" xfId="0" applyFont="1" applyBorder="1" applyAlignment="1" applyProtection="1">
      <alignment horizontal="center"/>
      <protection locked="0" hidden="1"/>
    </xf>
    <xf numFmtId="166" fontId="33" fillId="5" borderId="3" xfId="5" applyNumberFormat="1" applyFont="1" applyFill="1" applyBorder="1" applyProtection="1">
      <protection locked="0" hidden="1"/>
    </xf>
    <xf numFmtId="166" fontId="33" fillId="0" borderId="3" xfId="5" applyNumberFormat="1" applyFont="1" applyBorder="1" applyProtection="1">
      <protection locked="0" hidden="1"/>
    </xf>
    <xf numFmtId="165" fontId="33" fillId="14" borderId="3" xfId="5" applyFont="1" applyFill="1" applyBorder="1" applyProtection="1">
      <protection locked="0" hidden="1"/>
    </xf>
    <xf numFmtId="165" fontId="33" fillId="0" borderId="3" xfId="5" applyFont="1" applyFill="1" applyBorder="1" applyProtection="1">
      <protection locked="0" hidden="1"/>
    </xf>
    <xf numFmtId="165" fontId="33" fillId="14" borderId="3" xfId="5" applyFont="1" applyFill="1" applyBorder="1" applyAlignment="1" applyProtection="1">
      <protection locked="0" hidden="1"/>
    </xf>
    <xf numFmtId="165" fontId="33" fillId="14" borderId="20" xfId="5" applyFont="1" applyFill="1" applyBorder="1" applyAlignment="1" applyProtection="1">
      <protection locked="0" hidden="1"/>
    </xf>
    <xf numFmtId="165" fontId="33" fillId="17" borderId="3" xfId="5" applyFont="1" applyFill="1" applyBorder="1" applyAlignment="1" applyProtection="1">
      <protection locked="0" hidden="1"/>
    </xf>
    <xf numFmtId="165" fontId="33" fillId="17" borderId="20" xfId="5" applyFont="1" applyFill="1" applyBorder="1" applyAlignment="1" applyProtection="1">
      <protection locked="0" hidden="1"/>
    </xf>
    <xf numFmtId="165" fontId="33" fillId="16" borderId="3" xfId="5" applyFont="1" applyFill="1" applyBorder="1" applyProtection="1">
      <protection locked="0" hidden="1"/>
    </xf>
    <xf numFmtId="165" fontId="33" fillId="16" borderId="3" xfId="5" applyFont="1" applyFill="1" applyBorder="1" applyAlignment="1" applyProtection="1">
      <protection locked="0" hidden="1"/>
    </xf>
    <xf numFmtId="165" fontId="33" fillId="16" borderId="20" xfId="5" applyFont="1" applyFill="1" applyBorder="1" applyAlignment="1" applyProtection="1">
      <protection locked="0" hidden="1"/>
    </xf>
    <xf numFmtId="165" fontId="33" fillId="18" borderId="3" xfId="5" applyFont="1" applyFill="1" applyBorder="1" applyProtection="1">
      <protection locked="0" hidden="1"/>
    </xf>
    <xf numFmtId="165" fontId="33" fillId="18" borderId="3" xfId="5" applyFont="1" applyFill="1" applyBorder="1" applyAlignment="1" applyProtection="1">
      <protection locked="0" hidden="1"/>
    </xf>
    <xf numFmtId="165" fontId="33" fillId="18" borderId="20" xfId="5" applyFont="1" applyFill="1" applyBorder="1" applyAlignment="1" applyProtection="1">
      <protection locked="0" hidden="1"/>
    </xf>
    <xf numFmtId="165" fontId="33" fillId="19" borderId="3" xfId="5" applyFont="1" applyFill="1" applyBorder="1" applyProtection="1">
      <protection locked="0" hidden="1"/>
    </xf>
    <xf numFmtId="165" fontId="33" fillId="19" borderId="3" xfId="5" applyFont="1" applyFill="1" applyBorder="1" applyAlignment="1" applyProtection="1">
      <protection locked="0" hidden="1"/>
    </xf>
    <xf numFmtId="165" fontId="33" fillId="19" borderId="20" xfId="5" applyFont="1" applyFill="1" applyBorder="1" applyAlignment="1" applyProtection="1">
      <protection locked="0" hidden="1"/>
    </xf>
    <xf numFmtId="165" fontId="33" fillId="15" borderId="3" xfId="5" applyFont="1" applyFill="1" applyBorder="1" applyProtection="1">
      <protection locked="0" hidden="1"/>
    </xf>
    <xf numFmtId="165" fontId="33" fillId="15" borderId="3" xfId="5" applyFont="1" applyFill="1" applyBorder="1" applyAlignment="1" applyProtection="1">
      <protection locked="0" hidden="1"/>
    </xf>
    <xf numFmtId="165" fontId="33" fillId="15" borderId="20" xfId="5" applyFont="1" applyFill="1" applyBorder="1" applyAlignment="1" applyProtection="1">
      <protection locked="0" hidden="1"/>
    </xf>
    <xf numFmtId="0" fontId="33" fillId="4" borderId="3" xfId="0" applyFont="1" applyFill="1" applyBorder="1" applyAlignment="1" applyProtection="1">
      <alignment horizontal="right"/>
      <protection locked="0" hidden="1"/>
    </xf>
    <xf numFmtId="0" fontId="33" fillId="0" borderId="3" xfId="0" applyFont="1" applyBorder="1" applyProtection="1">
      <protection locked="0" hidden="1"/>
    </xf>
    <xf numFmtId="0" fontId="33" fillId="0" borderId="0" xfId="0" applyFont="1" applyAlignment="1" applyProtection="1">
      <alignment horizontal="right"/>
      <protection locked="0" hidden="1"/>
    </xf>
    <xf numFmtId="166" fontId="33" fillId="0" borderId="30" xfId="5" applyNumberFormat="1" applyFont="1" applyFill="1" applyBorder="1" applyAlignment="1" applyProtection="1">
      <protection locked="0" hidden="1"/>
    </xf>
    <xf numFmtId="0" fontId="0" fillId="0" borderId="0" xfId="0" applyProtection="1">
      <protection hidden="1"/>
    </xf>
    <xf numFmtId="0" fontId="33" fillId="0" borderId="57" xfId="0" applyFont="1" applyBorder="1" applyAlignment="1" applyProtection="1">
      <alignment horizontal="center" vertical="center"/>
      <protection hidden="1"/>
    </xf>
    <xf numFmtId="0" fontId="33" fillId="0" borderId="10" xfId="0" applyFont="1" applyBorder="1" applyAlignment="1" applyProtection="1">
      <alignment horizontal="centerContinuous"/>
      <protection hidden="1"/>
    </xf>
    <xf numFmtId="0" fontId="33" fillId="0" borderId="18" xfId="0" applyFont="1" applyBorder="1" applyAlignment="1" applyProtection="1">
      <alignment horizontal="centerContinuous"/>
      <protection hidden="1"/>
    </xf>
    <xf numFmtId="0" fontId="33" fillId="0" borderId="22" xfId="0" applyFont="1" applyBorder="1" applyAlignment="1" applyProtection="1">
      <alignment horizontal="center" vertical="center"/>
      <protection hidden="1"/>
    </xf>
    <xf numFmtId="0" fontId="33" fillId="0" borderId="3" xfId="0" applyFont="1" applyBorder="1" applyAlignment="1" applyProtection="1">
      <alignment horizontal="centerContinuous"/>
      <protection hidden="1"/>
    </xf>
    <xf numFmtId="0" fontId="33" fillId="0" borderId="29" xfId="0" applyFont="1" applyBorder="1" applyAlignment="1" applyProtection="1">
      <alignment horizontal="center"/>
      <protection hidden="1"/>
    </xf>
    <xf numFmtId="0" fontId="33" fillId="0" borderId="22" xfId="0" applyFont="1" applyBorder="1" applyAlignment="1" applyProtection="1">
      <alignment horizontal="center"/>
      <protection hidden="1"/>
    </xf>
    <xf numFmtId="166" fontId="33" fillId="5" borderId="3" xfId="5" applyNumberFormat="1" applyFont="1" applyFill="1" applyBorder="1" applyProtection="1">
      <protection hidden="1"/>
    </xf>
    <xf numFmtId="166" fontId="33" fillId="0" borderId="29" xfId="5" applyNumberFormat="1" applyFont="1" applyBorder="1" applyProtection="1">
      <protection hidden="1"/>
    </xf>
    <xf numFmtId="0" fontId="33" fillId="0" borderId="9" xfId="0" applyFont="1" applyBorder="1" applyAlignment="1" applyProtection="1">
      <alignment horizontal="centerContinuous"/>
      <protection hidden="1"/>
    </xf>
    <xf numFmtId="0" fontId="33" fillId="0" borderId="11" xfId="0" applyFont="1" applyBorder="1" applyAlignment="1" applyProtection="1">
      <alignment horizontal="centerContinuous"/>
      <protection hidden="1"/>
    </xf>
    <xf numFmtId="166" fontId="33" fillId="5" borderId="11" xfId="5" applyNumberFormat="1" applyFont="1" applyFill="1" applyBorder="1" applyProtection="1">
      <protection hidden="1"/>
    </xf>
    <xf numFmtId="0" fontId="33" fillId="0" borderId="11" xfId="0" applyFont="1" applyBorder="1" applyAlignment="1" applyProtection="1">
      <alignment horizontal="center"/>
      <protection hidden="1"/>
    </xf>
    <xf numFmtId="166" fontId="33" fillId="2" borderId="12" xfId="0" applyNumberFormat="1" applyFont="1" applyFill="1" applyBorder="1" applyAlignment="1" applyProtection="1">
      <alignment horizontal="center"/>
      <protection hidden="1"/>
    </xf>
    <xf numFmtId="166" fontId="33" fillId="2" borderId="59" xfId="0" applyNumberFormat="1" applyFont="1" applyFill="1" applyBorder="1" applyAlignment="1" applyProtection="1">
      <alignment horizontal="center"/>
      <protection hidden="1"/>
    </xf>
    <xf numFmtId="4" fontId="33" fillId="0" borderId="0" xfId="5" applyNumberFormat="1" applyFont="1" applyAlignment="1" applyProtection="1">
      <protection locked="0" hidden="1"/>
    </xf>
    <xf numFmtId="0" fontId="33" fillId="0" borderId="0" xfId="0" applyFont="1" applyAlignment="1" applyProtection="1">
      <alignment horizontal="centerContinuous"/>
      <protection locked="0" hidden="1"/>
    </xf>
    <xf numFmtId="0" fontId="33" fillId="2" borderId="12" xfId="0" applyFont="1" applyFill="1" applyBorder="1" applyAlignment="1" applyProtection="1">
      <alignment horizontal="center"/>
      <protection hidden="1"/>
    </xf>
    <xf numFmtId="166" fontId="33" fillId="14" borderId="12" xfId="0" applyNumberFormat="1" applyFont="1" applyFill="1" applyBorder="1" applyAlignment="1" applyProtection="1">
      <alignment horizontal="center"/>
      <protection hidden="1"/>
    </xf>
    <xf numFmtId="166" fontId="33" fillId="17" borderId="12" xfId="0" applyNumberFormat="1" applyFont="1" applyFill="1" applyBorder="1" applyAlignment="1" applyProtection="1">
      <alignment horizontal="center"/>
      <protection hidden="1"/>
    </xf>
    <xf numFmtId="166" fontId="33" fillId="16" borderId="12" xfId="0" applyNumberFormat="1" applyFont="1" applyFill="1" applyBorder="1" applyAlignment="1" applyProtection="1">
      <alignment horizontal="center"/>
      <protection hidden="1"/>
    </xf>
    <xf numFmtId="166" fontId="33" fillId="18" borderId="12" xfId="0" applyNumberFormat="1" applyFont="1" applyFill="1" applyBorder="1" applyAlignment="1" applyProtection="1">
      <alignment horizontal="center"/>
      <protection hidden="1"/>
    </xf>
    <xf numFmtId="166" fontId="33" fillId="19" borderId="12" xfId="0" applyNumberFormat="1" applyFont="1" applyFill="1" applyBorder="1" applyAlignment="1" applyProtection="1">
      <alignment horizontal="center"/>
      <protection hidden="1"/>
    </xf>
    <xf numFmtId="166" fontId="33" fillId="15" borderId="12" xfId="0" applyNumberFormat="1" applyFont="1" applyFill="1" applyBorder="1" applyAlignment="1" applyProtection="1">
      <alignment horizontal="center"/>
      <protection hidden="1"/>
    </xf>
    <xf numFmtId="0" fontId="39" fillId="11" borderId="47" xfId="0" applyFont="1" applyFill="1" applyBorder="1" applyAlignment="1" applyProtection="1">
      <alignment horizontal="left" vertical="center"/>
      <protection hidden="1"/>
    </xf>
    <xf numFmtId="0" fontId="39" fillId="11" borderId="47" xfId="0" applyFont="1" applyFill="1" applyBorder="1" applyAlignment="1" applyProtection="1">
      <alignment horizontal="center" vertical="center" wrapText="1"/>
      <protection hidden="1"/>
    </xf>
    <xf numFmtId="0" fontId="39" fillId="11" borderId="47" xfId="0"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protection hidden="1"/>
    </xf>
    <xf numFmtId="3" fontId="39" fillId="11" borderId="48" xfId="0" applyNumberFormat="1" applyFont="1" applyFill="1" applyBorder="1" applyAlignment="1" applyProtection="1">
      <alignment horizontal="center" vertical="center" wrapText="1"/>
      <protection hidden="1"/>
    </xf>
    <xf numFmtId="0" fontId="33" fillId="0" borderId="0" xfId="0" applyFont="1" applyAlignment="1" applyProtection="1">
      <alignment horizontal="center"/>
      <protection locked="0" hidden="1"/>
    </xf>
    <xf numFmtId="0" fontId="40" fillId="12" borderId="53" xfId="0" applyFont="1" applyFill="1" applyBorder="1" applyAlignment="1" applyProtection="1">
      <alignment horizontal="center" vertical="center"/>
      <protection hidden="1"/>
    </xf>
    <xf numFmtId="4" fontId="33" fillId="0" borderId="54" xfId="0" applyNumberFormat="1" applyFont="1" applyBorder="1" applyAlignment="1" applyProtection="1">
      <alignment horizontal="center" vertical="center"/>
      <protection hidden="1"/>
    </xf>
    <xf numFmtId="166" fontId="40" fillId="12" borderId="53" xfId="5" applyNumberFormat="1" applyFont="1" applyFill="1" applyBorder="1" applyAlignment="1" applyProtection="1">
      <alignment horizontal="center" vertical="center"/>
      <protection hidden="1"/>
    </xf>
    <xf numFmtId="174" fontId="33" fillId="0" borderId="54" xfId="0" applyNumberFormat="1" applyFont="1" applyBorder="1" applyAlignment="1" applyProtection="1">
      <alignment horizontal="center" vertical="center"/>
      <protection hidden="1"/>
    </xf>
    <xf numFmtId="3" fontId="37" fillId="0" borderId="54" xfId="0" applyNumberFormat="1" applyFont="1" applyBorder="1" applyAlignment="1" applyProtection="1">
      <alignment horizontal="center" vertical="center"/>
      <protection hidden="1"/>
    </xf>
    <xf numFmtId="0" fontId="40" fillId="12" borderId="49" xfId="0" applyFont="1" applyFill="1" applyBorder="1" applyAlignment="1" applyProtection="1">
      <alignment horizontal="center"/>
      <protection hidden="1"/>
    </xf>
    <xf numFmtId="4" fontId="33" fillId="0" borderId="50" xfId="0" applyNumberFormat="1" applyFont="1" applyBorder="1" applyAlignment="1" applyProtection="1">
      <alignment horizontal="center"/>
      <protection hidden="1"/>
    </xf>
    <xf numFmtId="6" fontId="40" fillId="12" borderId="49" xfId="0" quotePrefix="1" applyNumberFormat="1" applyFont="1" applyFill="1" applyBorder="1" applyAlignment="1" applyProtection="1">
      <alignment horizontal="center"/>
      <protection hidden="1"/>
    </xf>
    <xf numFmtId="174" fontId="33" fillId="0" borderId="50" xfId="0" applyNumberFormat="1" applyFont="1" applyBorder="1" applyAlignment="1" applyProtection="1">
      <alignment horizontal="center"/>
      <protection hidden="1"/>
    </xf>
    <xf numFmtId="0" fontId="40" fillId="12" borderId="49" xfId="0" applyFont="1" applyFill="1" applyBorder="1" applyAlignment="1" applyProtection="1">
      <alignment horizontal="center" vertical="center"/>
      <protection hidden="1"/>
    </xf>
    <xf numFmtId="166" fontId="40" fillId="12" borderId="49" xfId="5" applyNumberFormat="1" applyFont="1" applyFill="1" applyBorder="1" applyAlignment="1" applyProtection="1">
      <alignment horizontal="center" vertical="center"/>
      <protection hidden="1"/>
    </xf>
    <xf numFmtId="171" fontId="33" fillId="0" borderId="0" xfId="0" applyNumberFormat="1" applyFont="1" applyProtection="1">
      <protection locked="0" hidden="1"/>
    </xf>
    <xf numFmtId="168" fontId="33" fillId="0" borderId="0" xfId="6" applyNumberFormat="1" applyFont="1" applyProtection="1">
      <protection locked="0" hidden="1"/>
    </xf>
    <xf numFmtId="165" fontId="33" fillId="0" borderId="0" xfId="5" applyFont="1" applyFill="1" applyBorder="1" applyProtection="1">
      <protection locked="0" hidden="1"/>
    </xf>
    <xf numFmtId="165" fontId="33" fillId="0" borderId="0" xfId="0" applyNumberFormat="1" applyFont="1" applyProtection="1">
      <protection locked="0" hidden="1"/>
    </xf>
    <xf numFmtId="166" fontId="33" fillId="0" borderId="0" xfId="5" applyNumberFormat="1" applyFont="1" applyProtection="1">
      <protection locked="0" hidden="1"/>
    </xf>
    <xf numFmtId="174" fontId="33" fillId="0" borderId="52" xfId="0" applyNumberFormat="1" applyFont="1" applyBorder="1" applyAlignment="1" applyProtection="1">
      <alignment horizontal="center"/>
      <protection hidden="1"/>
    </xf>
    <xf numFmtId="4" fontId="33" fillId="0" borderId="51" xfId="0" applyNumberFormat="1" applyFont="1" applyBorder="1" applyAlignment="1" applyProtection="1">
      <alignment horizontal="center"/>
      <protection hidden="1"/>
    </xf>
    <xf numFmtId="0" fontId="33" fillId="0" borderId="12" xfId="0" applyFont="1" applyBorder="1" applyAlignment="1" applyProtection="1">
      <alignment horizontal="center"/>
      <protection hidden="1"/>
    </xf>
    <xf numFmtId="166" fontId="33" fillId="0" borderId="14" xfId="5" applyNumberFormat="1" applyFont="1" applyBorder="1" applyProtection="1">
      <protection hidden="1"/>
    </xf>
    <xf numFmtId="0" fontId="33" fillId="2" borderId="58" xfId="0" applyFont="1" applyFill="1" applyBorder="1" applyAlignment="1" applyProtection="1">
      <alignment horizontal="center"/>
      <protection hidden="1"/>
    </xf>
    <xf numFmtId="4" fontId="33" fillId="0" borderId="52" xfId="0" applyNumberFormat="1" applyFont="1" applyBorder="1" applyAlignment="1" applyProtection="1">
      <alignment horizontal="center"/>
      <protection hidden="1"/>
    </xf>
    <xf numFmtId="0" fontId="15" fillId="0" borderId="0" xfId="0" applyFont="1" applyProtection="1">
      <protection hidden="1"/>
    </xf>
    <xf numFmtId="14" fontId="12" fillId="0" borderId="30" xfId="0" applyNumberFormat="1" applyFont="1" applyBorder="1" applyAlignment="1" applyProtection="1">
      <alignment horizontal="center" vertical="center"/>
      <protection hidden="1"/>
    </xf>
    <xf numFmtId="0" fontId="12" fillId="0" borderId="0" xfId="0" applyFont="1" applyAlignment="1" applyProtection="1">
      <alignment vertical="center"/>
      <protection hidden="1"/>
    </xf>
    <xf numFmtId="14" fontId="12" fillId="0" borderId="0" xfId="0" applyNumberFormat="1" applyFont="1" applyAlignment="1" applyProtection="1">
      <alignment horizontal="center" vertical="center"/>
      <protection hidden="1"/>
    </xf>
    <xf numFmtId="166" fontId="12" fillId="0" borderId="0" xfId="5" applyNumberFormat="1" applyFont="1" applyFill="1" applyBorder="1" applyAlignment="1" applyProtection="1">
      <alignment horizontal="center" vertical="center"/>
      <protection hidden="1"/>
    </xf>
    <xf numFmtId="166" fontId="25" fillId="0" borderId="0" xfId="5" applyNumberFormat="1" applyFont="1" applyFill="1" applyBorder="1" applyAlignment="1" applyProtection="1">
      <alignment horizontal="center" vertical="center"/>
      <protection hidden="1"/>
    </xf>
    <xf numFmtId="0" fontId="25" fillId="0" borderId="0" xfId="0" applyFont="1" applyAlignment="1" applyProtection="1">
      <alignment vertical="center"/>
      <protection hidden="1"/>
    </xf>
    <xf numFmtId="14" fontId="26" fillId="0" borderId="38" xfId="0" applyNumberFormat="1" applyFont="1" applyBorder="1" applyAlignment="1" applyProtection="1">
      <alignment horizontal="center" vertical="center"/>
      <protection hidden="1"/>
    </xf>
    <xf numFmtId="0" fontId="12" fillId="0" borderId="37" xfId="0" applyFont="1" applyBorder="1" applyAlignment="1" applyProtection="1">
      <alignment vertical="center"/>
      <protection hidden="1"/>
    </xf>
    <xf numFmtId="14" fontId="26" fillId="0" borderId="39" xfId="0" applyNumberFormat="1" applyFont="1" applyBorder="1" applyAlignment="1" applyProtection="1">
      <alignment horizontal="center" vertical="center"/>
      <protection hidden="1"/>
    </xf>
    <xf numFmtId="14" fontId="27" fillId="0" borderId="40" xfId="0" applyNumberFormat="1" applyFont="1" applyBorder="1" applyAlignment="1" applyProtection="1">
      <alignment horizontal="center" vertical="center"/>
      <protection hidden="1"/>
    </xf>
    <xf numFmtId="0" fontId="24" fillId="0" borderId="0" xfId="0" applyFont="1" applyAlignment="1" applyProtection="1">
      <alignment vertical="center"/>
      <protection hidden="1"/>
    </xf>
    <xf numFmtId="0" fontId="42" fillId="31" borderId="0" xfId="22"/>
    <xf numFmtId="3" fontId="36" fillId="22" borderId="3" xfId="16" applyNumberFormat="1" applyBorder="1"/>
    <xf numFmtId="0" fontId="14" fillId="0" borderId="0" xfId="0" applyFont="1" applyAlignment="1" applyProtection="1">
      <alignment horizontal="center"/>
      <protection locked="0"/>
    </xf>
    <xf numFmtId="165" fontId="15" fillId="0" borderId="0" xfId="5" applyFont="1" applyProtection="1">
      <protection hidden="1"/>
    </xf>
    <xf numFmtId="9" fontId="16" fillId="0" borderId="0" xfId="0" applyNumberFormat="1" applyFont="1"/>
    <xf numFmtId="3" fontId="16" fillId="0" borderId="0" xfId="0" applyNumberFormat="1" applyFont="1"/>
    <xf numFmtId="3" fontId="39" fillId="11" borderId="48" xfId="0" applyNumberFormat="1" applyFont="1" applyFill="1" applyBorder="1" applyAlignment="1" applyProtection="1">
      <alignment horizontal="left" vertical="center"/>
      <protection hidden="1"/>
    </xf>
    <xf numFmtId="165" fontId="33" fillId="0" borderId="0" xfId="5" applyFont="1" applyFill="1" applyProtection="1">
      <protection locked="0" hidden="1"/>
    </xf>
    <xf numFmtId="43" fontId="33" fillId="0" borderId="0" xfId="0" applyNumberFormat="1" applyFont="1" applyProtection="1">
      <protection locked="0" hidden="1"/>
    </xf>
    <xf numFmtId="4" fontId="33" fillId="0" borderId="0" xfId="0" applyNumberFormat="1" applyFont="1" applyProtection="1">
      <protection locked="0" hidden="1"/>
    </xf>
    <xf numFmtId="165" fontId="0" fillId="0" borderId="0" xfId="5" applyFont="1"/>
    <xf numFmtId="0" fontId="4" fillId="0" borderId="0" xfId="0" applyFont="1" applyProtection="1">
      <protection hidden="1"/>
    </xf>
    <xf numFmtId="0" fontId="7" fillId="0" borderId="0" xfId="0" applyFont="1" applyProtection="1">
      <protection hidden="1"/>
    </xf>
    <xf numFmtId="0" fontId="45" fillId="0" borderId="0" xfId="0" applyFont="1" applyAlignment="1" applyProtection="1">
      <alignment horizontal="center"/>
      <protection hidden="1"/>
    </xf>
    <xf numFmtId="0" fontId="4" fillId="0" borderId="0" xfId="0" applyFont="1" applyAlignment="1" applyProtection="1">
      <alignment horizontal="left"/>
      <protection hidden="1"/>
    </xf>
    <xf numFmtId="0" fontId="4" fillId="0" borderId="0" xfId="0" applyFont="1" applyAlignment="1" applyProtection="1">
      <alignment horizontal="center" vertical="top" wrapText="1"/>
      <protection hidden="1"/>
    </xf>
    <xf numFmtId="166" fontId="7" fillId="0" borderId="0" xfId="5" applyNumberFormat="1" applyFont="1" applyFill="1" applyBorder="1" applyProtection="1">
      <protection hidden="1"/>
    </xf>
    <xf numFmtId="0" fontId="4" fillId="0" borderId="0" xfId="0" applyFont="1" applyAlignment="1" applyProtection="1">
      <alignment horizontal="center"/>
      <protection hidden="1"/>
    </xf>
    <xf numFmtId="0" fontId="7" fillId="0" borderId="0" xfId="0" applyFont="1" applyAlignment="1" applyProtection="1">
      <alignment horizontal="justify" vertical="center"/>
      <protection hidden="1"/>
    </xf>
    <xf numFmtId="0" fontId="7" fillId="0" borderId="0" xfId="0" applyFont="1" applyAlignment="1" applyProtection="1">
      <alignment horizontal="center" vertical="top" wrapText="1"/>
      <protection hidden="1"/>
    </xf>
    <xf numFmtId="0" fontId="46" fillId="0" borderId="0" xfId="0" applyFont="1" applyAlignment="1" applyProtection="1">
      <alignment horizontal="left"/>
      <protection hidden="1"/>
    </xf>
    <xf numFmtId="0" fontId="44" fillId="0" borderId="0" xfId="0" applyFont="1" applyProtection="1">
      <protection hidden="1"/>
    </xf>
    <xf numFmtId="0" fontId="44" fillId="0" borderId="76" xfId="0" applyFont="1" applyBorder="1" applyProtection="1">
      <protection hidden="1"/>
    </xf>
    <xf numFmtId="0" fontId="44" fillId="0" borderId="0" xfId="0" applyFont="1" applyAlignment="1" applyProtection="1">
      <alignment horizontal="left"/>
      <protection hidden="1"/>
    </xf>
    <xf numFmtId="0" fontId="44" fillId="0" borderId="76" xfId="0" applyFont="1" applyBorder="1" applyAlignment="1" applyProtection="1">
      <alignment horizontal="left"/>
      <protection hidden="1"/>
    </xf>
    <xf numFmtId="0" fontId="46" fillId="0" borderId="76" xfId="0" applyFont="1" applyBorder="1" applyAlignment="1" applyProtection="1">
      <alignment horizontal="left"/>
      <protection hidden="1"/>
    </xf>
    <xf numFmtId="0" fontId="44" fillId="0" borderId="0" xfId="0" applyFont="1" applyAlignment="1" applyProtection="1">
      <alignment horizontal="justify" vertical="center"/>
      <protection hidden="1"/>
    </xf>
    <xf numFmtId="0" fontId="44" fillId="0" borderId="76" xfId="0" applyFont="1" applyBorder="1" applyAlignment="1" applyProtection="1">
      <alignment horizontal="justify" vertical="center"/>
      <protection hidden="1"/>
    </xf>
    <xf numFmtId="0" fontId="4" fillId="0" borderId="75" xfId="0" applyFont="1" applyBorder="1" applyAlignment="1" applyProtection="1">
      <alignment vertical="center"/>
      <protection hidden="1"/>
    </xf>
    <xf numFmtId="0" fontId="4" fillId="0" borderId="83" xfId="0" applyFont="1" applyBorder="1" applyAlignment="1" applyProtection="1">
      <alignment vertical="center"/>
      <protection hidden="1"/>
    </xf>
    <xf numFmtId="0" fontId="6" fillId="0" borderId="0" xfId="0" applyFont="1" applyProtection="1">
      <protection hidden="1"/>
    </xf>
    <xf numFmtId="0" fontId="6" fillId="0" borderId="0" xfId="0" applyFont="1" applyAlignment="1" applyProtection="1">
      <alignment horizontal="center" vertical="center" wrapText="1"/>
      <protection hidden="1"/>
    </xf>
    <xf numFmtId="165" fontId="45" fillId="0" borderId="0" xfId="5" applyFont="1" applyFill="1" applyBorder="1" applyAlignment="1" applyProtection="1">
      <alignment horizontal="center"/>
      <protection hidden="1"/>
    </xf>
    <xf numFmtId="0" fontId="49" fillId="0" borderId="0" xfId="0" applyFont="1" applyProtection="1">
      <protection hidden="1"/>
    </xf>
    <xf numFmtId="0" fontId="6" fillId="0" borderId="0" xfId="0" applyFont="1" applyAlignment="1" applyProtection="1">
      <alignment horizontal="left"/>
      <protection hidden="1"/>
    </xf>
    <xf numFmtId="0" fontId="6" fillId="0" borderId="0" xfId="0" applyFont="1" applyAlignment="1" applyProtection="1">
      <alignment horizontal="right"/>
      <protection hidden="1"/>
    </xf>
    <xf numFmtId="0" fontId="6" fillId="0" borderId="0" xfId="0" applyFont="1" applyAlignment="1" applyProtection="1">
      <alignment horizontal="center"/>
      <protection hidden="1"/>
    </xf>
    <xf numFmtId="165" fontId="6" fillId="0" borderId="0" xfId="5" applyFont="1" applyFill="1" applyBorder="1" applyAlignment="1" applyProtection="1">
      <alignment horizontal="center"/>
      <protection hidden="1"/>
    </xf>
    <xf numFmtId="43" fontId="6" fillId="0" borderId="0" xfId="0" applyNumberFormat="1" applyFont="1" applyAlignment="1" applyProtection="1">
      <alignment horizontal="center"/>
      <protection hidden="1"/>
    </xf>
    <xf numFmtId="0" fontId="4" fillId="0" borderId="84" xfId="0" applyFont="1" applyBorder="1" applyProtection="1">
      <protection hidden="1"/>
    </xf>
    <xf numFmtId="0" fontId="4" fillId="0" borderId="85" xfId="0" applyFont="1" applyBorder="1" applyProtection="1">
      <protection hidden="1"/>
    </xf>
    <xf numFmtId="0" fontId="34" fillId="26" borderId="3" xfId="19" applyFont="1" applyBorder="1" applyAlignment="1">
      <alignment horizontal="center"/>
    </xf>
    <xf numFmtId="0" fontId="28" fillId="0" borderId="95" xfId="5" applyNumberFormat="1" applyFont="1" applyFill="1" applyBorder="1" applyAlignment="1" applyProtection="1">
      <alignment horizontal="center" vertical="center"/>
      <protection locked="0" hidden="1"/>
    </xf>
    <xf numFmtId="0" fontId="28" fillId="0" borderId="96" xfId="0" applyFont="1" applyBorder="1" applyAlignment="1" applyProtection="1">
      <alignment horizontal="center" vertical="center"/>
      <protection locked="0" hidden="1"/>
    </xf>
    <xf numFmtId="0" fontId="13" fillId="0" borderId="37" xfId="0" applyFont="1" applyBorder="1" applyAlignment="1" applyProtection="1">
      <alignment horizontal="center" vertical="center"/>
      <protection hidden="1"/>
    </xf>
    <xf numFmtId="14" fontId="13" fillId="0" borderId="68" xfId="0" applyNumberFormat="1" applyFont="1" applyBorder="1" applyAlignment="1" applyProtection="1">
      <alignment horizontal="center" vertical="center"/>
      <protection hidden="1"/>
    </xf>
    <xf numFmtId="14" fontId="13" fillId="0" borderId="55" xfId="0" applyNumberFormat="1" applyFont="1" applyBorder="1" applyAlignment="1" applyProtection="1">
      <alignment horizontal="center" vertical="center"/>
      <protection hidden="1"/>
    </xf>
    <xf numFmtId="14" fontId="13" fillId="0" borderId="30" xfId="0" applyNumberFormat="1" applyFont="1" applyBorder="1" applyAlignment="1" applyProtection="1">
      <alignment horizontal="center" vertical="center"/>
      <protection hidden="1"/>
    </xf>
    <xf numFmtId="0" fontId="12" fillId="0" borderId="97" xfId="0" applyFont="1" applyBorder="1" applyAlignment="1">
      <alignment vertical="center"/>
    </xf>
    <xf numFmtId="0" fontId="13" fillId="0" borderId="3" xfId="0" applyFont="1" applyBorder="1" applyAlignment="1">
      <alignment vertical="center"/>
    </xf>
    <xf numFmtId="0" fontId="12" fillId="0" borderId="3" xfId="0" applyFont="1" applyBorder="1" applyAlignment="1">
      <alignment vertical="center"/>
    </xf>
    <xf numFmtId="0" fontId="7" fillId="0" borderId="0" xfId="0" applyFont="1" applyAlignment="1" applyProtection="1">
      <alignment vertical="top" wrapText="1"/>
      <protection hidden="1"/>
    </xf>
    <xf numFmtId="0" fontId="47" fillId="0" borderId="0" xfId="0" applyFont="1" applyAlignment="1" applyProtection="1">
      <alignment horizontal="left" vertical="center"/>
      <protection hidden="1"/>
    </xf>
    <xf numFmtId="0" fontId="4" fillId="0" borderId="0" xfId="0" applyFont="1" applyAlignment="1" applyProtection="1">
      <alignment horizontal="right"/>
      <protection hidden="1"/>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44" fillId="0" borderId="0" xfId="0" applyFont="1" applyAlignment="1" applyProtection="1">
      <alignment horizontal="left" vertical="center"/>
      <protection hidden="1"/>
    </xf>
    <xf numFmtId="0" fontId="7" fillId="0" borderId="73" xfId="0" applyFont="1" applyBorder="1" applyAlignment="1" applyProtection="1">
      <alignment vertical="center"/>
      <protection hidden="1"/>
    </xf>
    <xf numFmtId="0" fontId="6" fillId="0" borderId="75" xfId="0" applyFont="1" applyBorder="1" applyProtection="1">
      <protection hidden="1"/>
    </xf>
    <xf numFmtId="0" fontId="6" fillId="0" borderId="76" xfId="0" applyFont="1" applyBorder="1" applyAlignment="1" applyProtection="1">
      <alignment horizontal="center" vertical="center" wrapText="1"/>
      <protection hidden="1"/>
    </xf>
    <xf numFmtId="0" fontId="45" fillId="0" borderId="0" xfId="0" applyFont="1" applyProtection="1">
      <protection hidden="1"/>
    </xf>
    <xf numFmtId="165" fontId="45" fillId="0" borderId="76" xfId="5" applyFont="1" applyFill="1" applyBorder="1" applyAlignment="1" applyProtection="1">
      <alignment horizontal="center"/>
      <protection hidden="1"/>
    </xf>
    <xf numFmtId="0" fontId="48" fillId="0" borderId="75" xfId="0" applyFont="1" applyBorder="1" applyAlignment="1" applyProtection="1">
      <alignment horizontal="right"/>
      <protection hidden="1"/>
    </xf>
    <xf numFmtId="0" fontId="6" fillId="0" borderId="75" xfId="0" applyFont="1" applyBorder="1" applyAlignment="1" applyProtection="1">
      <alignment horizontal="center"/>
      <protection hidden="1"/>
    </xf>
    <xf numFmtId="0" fontId="4" fillId="0" borderId="98" xfId="0" applyFont="1" applyBorder="1" applyAlignment="1" applyProtection="1">
      <alignment horizontal="center" vertical="top" wrapText="1"/>
      <protection hidden="1"/>
    </xf>
    <xf numFmtId="0" fontId="4" fillId="0" borderId="78" xfId="0" applyFont="1" applyBorder="1" applyAlignment="1" applyProtection="1">
      <alignment horizontal="center" vertical="top" wrapText="1"/>
      <protection hidden="1"/>
    </xf>
    <xf numFmtId="0" fontId="4" fillId="0" borderId="102" xfId="0" applyFont="1" applyBorder="1" applyAlignment="1" applyProtection="1">
      <alignment horizontal="center" vertical="top" wrapText="1"/>
      <protection hidden="1"/>
    </xf>
    <xf numFmtId="166" fontId="44" fillId="0" borderId="0" xfId="5" applyNumberFormat="1" applyFont="1" applyFill="1" applyBorder="1" applyAlignment="1" applyProtection="1">
      <alignment horizontal="right"/>
      <protection hidden="1"/>
    </xf>
    <xf numFmtId="166" fontId="44" fillId="0" borderId="0" xfId="5" applyNumberFormat="1" applyFont="1" applyFill="1" applyBorder="1" applyProtection="1">
      <protection hidden="1"/>
    </xf>
    <xf numFmtId="0" fontId="6" fillId="0" borderId="79" xfId="0" applyFont="1" applyBorder="1" applyAlignment="1" applyProtection="1">
      <alignment horizontal="center" vertical="center"/>
      <protection hidden="1"/>
    </xf>
    <xf numFmtId="0" fontId="6" fillId="0" borderId="75" xfId="0" applyFont="1" applyBorder="1" applyAlignment="1" applyProtection="1">
      <alignment horizontal="right"/>
      <protection hidden="1"/>
    </xf>
    <xf numFmtId="165" fontId="45" fillId="0" borderId="0" xfId="5" applyFont="1" applyFill="1" applyBorder="1" applyAlignment="1" applyProtection="1">
      <alignment vertical="center"/>
      <protection hidden="1"/>
    </xf>
    <xf numFmtId="4" fontId="6" fillId="0" borderId="71" xfId="0" applyNumberFormat="1" applyFont="1" applyBorder="1" applyAlignment="1" applyProtection="1">
      <alignment vertical="center"/>
      <protection hidden="1"/>
    </xf>
    <xf numFmtId="4" fontId="45" fillId="0" borderId="71" xfId="0" applyNumberFormat="1" applyFont="1" applyBorder="1" applyAlignment="1" applyProtection="1">
      <alignment vertical="center"/>
      <protection hidden="1"/>
    </xf>
    <xf numFmtId="0" fontId="49" fillId="0" borderId="75" xfId="0" applyFont="1" applyBorder="1" applyAlignment="1" applyProtection="1">
      <alignment horizontal="right"/>
      <protection hidden="1"/>
    </xf>
    <xf numFmtId="0" fontId="45" fillId="0" borderId="76" xfId="0" applyFont="1" applyBorder="1" applyProtection="1">
      <protection hidden="1"/>
    </xf>
    <xf numFmtId="0" fontId="37" fillId="0" borderId="75" xfId="0" applyFont="1" applyBorder="1" applyProtection="1">
      <protection hidden="1"/>
    </xf>
    <xf numFmtId="0" fontId="6" fillId="0" borderId="71" xfId="0" applyFont="1" applyBorder="1" applyAlignment="1" applyProtection="1">
      <alignment horizontal="center" vertical="center"/>
      <protection hidden="1"/>
    </xf>
    <xf numFmtId="0" fontId="6" fillId="0" borderId="76" xfId="0" applyFont="1" applyBorder="1" applyAlignment="1" applyProtection="1">
      <alignment horizontal="left"/>
      <protection hidden="1"/>
    </xf>
    <xf numFmtId="165" fontId="45" fillId="0" borderId="76" xfId="5" applyFont="1" applyFill="1" applyBorder="1" applyAlignment="1" applyProtection="1">
      <alignment vertical="center"/>
      <protection hidden="1"/>
    </xf>
    <xf numFmtId="0" fontId="52" fillId="33" borderId="0" xfId="0" applyFont="1" applyFill="1"/>
    <xf numFmtId="0" fontId="34" fillId="33" borderId="0" xfId="0" applyFont="1" applyFill="1"/>
    <xf numFmtId="0" fontId="45" fillId="0" borderId="76" xfId="0" applyFont="1" applyBorder="1" applyAlignment="1" applyProtection="1">
      <alignment horizontal="center"/>
      <protection hidden="1"/>
    </xf>
    <xf numFmtId="0" fontId="33" fillId="13" borderId="3" xfId="0" applyFont="1" applyFill="1" applyBorder="1" applyAlignment="1">
      <alignment horizontal="center"/>
    </xf>
    <xf numFmtId="4" fontId="33" fillId="13" borderId="3" xfId="0" quotePrefix="1" applyNumberFormat="1" applyFont="1" applyFill="1" applyBorder="1" applyAlignment="1">
      <alignment horizontal="center"/>
    </xf>
    <xf numFmtId="176" fontId="19" fillId="19" borderId="0" xfId="0" applyNumberFormat="1" applyFont="1" applyFill="1"/>
    <xf numFmtId="0" fontId="33" fillId="0" borderId="24" xfId="0" applyFont="1" applyBorder="1" applyProtection="1">
      <protection locked="0" hidden="1"/>
    </xf>
    <xf numFmtId="1" fontId="12" fillId="0" borderId="0" xfId="0" applyNumberFormat="1" applyFont="1"/>
    <xf numFmtId="0" fontId="55" fillId="0" borderId="0" xfId="0" applyFont="1" applyProtection="1">
      <protection hidden="1"/>
    </xf>
    <xf numFmtId="0" fontId="56" fillId="0" borderId="0" xfId="28" applyProtection="1">
      <protection hidden="1"/>
    </xf>
    <xf numFmtId="0" fontId="14" fillId="0" borderId="0" xfId="0" applyFont="1" applyProtection="1">
      <protection locked="0"/>
    </xf>
    <xf numFmtId="165" fontId="16" fillId="0" borderId="0" xfId="5" applyFont="1"/>
    <xf numFmtId="165" fontId="16" fillId="0" borderId="0" xfId="0" applyNumberFormat="1" applyFont="1"/>
    <xf numFmtId="14" fontId="16" fillId="0" borderId="0" xfId="0" applyNumberFormat="1" applyFont="1"/>
    <xf numFmtId="3" fontId="34" fillId="25" borderId="3" xfId="18" applyNumberFormat="1" applyFont="1" applyBorder="1"/>
    <xf numFmtId="170" fontId="34" fillId="26" borderId="3" xfId="19" applyNumberFormat="1" applyFont="1" applyBorder="1"/>
    <xf numFmtId="177" fontId="16" fillId="0" borderId="0" xfId="0" applyNumberFormat="1" applyFont="1"/>
    <xf numFmtId="0" fontId="16" fillId="17" borderId="3" xfId="0" applyFont="1" applyFill="1" applyBorder="1" applyAlignment="1" applyProtection="1">
      <alignment horizontal="center" vertical="center"/>
      <protection locked="0"/>
    </xf>
    <xf numFmtId="0" fontId="33" fillId="0" borderId="0" xfId="0" applyFont="1" applyAlignment="1">
      <alignment horizontal="center" vertical="center" wrapText="1"/>
    </xf>
    <xf numFmtId="0" fontId="28" fillId="25" borderId="3" xfId="18" applyFont="1" applyBorder="1" applyAlignment="1">
      <alignment horizontal="center" vertical="center" wrapText="1"/>
    </xf>
    <xf numFmtId="0" fontId="28" fillId="20" borderId="3" xfId="15" applyFont="1" applyBorder="1" applyAlignment="1">
      <alignment horizontal="center" vertical="center" wrapText="1"/>
    </xf>
    <xf numFmtId="0" fontId="45" fillId="0" borderId="0" xfId="0" applyFont="1" applyAlignment="1">
      <alignment horizontal="center" vertical="center" wrapText="1"/>
    </xf>
    <xf numFmtId="0" fontId="28" fillId="26" borderId="3" xfId="19" applyFont="1" applyBorder="1" applyAlignment="1">
      <alignment horizontal="center" vertical="center" wrapText="1"/>
    </xf>
    <xf numFmtId="165" fontId="28" fillId="28" borderId="3" xfId="21" applyNumberFormat="1" applyFont="1" applyBorder="1" applyAlignment="1" applyProtection="1">
      <alignment horizontal="center" vertical="center" wrapText="1"/>
      <protection locked="0"/>
    </xf>
    <xf numFmtId="0" fontId="33" fillId="29" borderId="3" xfId="0" applyFont="1" applyFill="1" applyBorder="1" applyAlignment="1" applyProtection="1">
      <alignment horizontal="center" vertical="center" wrapText="1"/>
      <protection locked="0"/>
    </xf>
    <xf numFmtId="0" fontId="28" fillId="21" borderId="3" xfId="20" applyFont="1" applyFill="1" applyBorder="1" applyAlignment="1">
      <alignment horizontal="center" vertical="center" wrapText="1"/>
    </xf>
    <xf numFmtId="0" fontId="34" fillId="21" borderId="3" xfId="20" applyFont="1" applyFill="1" applyBorder="1"/>
    <xf numFmtId="0" fontId="16" fillId="34" borderId="3" xfId="0" applyFont="1" applyFill="1" applyBorder="1"/>
    <xf numFmtId="0" fontId="7" fillId="34" borderId="3" xfId="0" applyFont="1" applyFill="1" applyBorder="1"/>
    <xf numFmtId="0" fontId="34" fillId="20" borderId="3" xfId="15" applyBorder="1"/>
    <xf numFmtId="14" fontId="34" fillId="20" borderId="3" xfId="15" applyNumberFormat="1" applyBorder="1"/>
    <xf numFmtId="0" fontId="36" fillId="23" borderId="3" xfId="17" applyBorder="1" applyAlignment="1">
      <alignment horizontal="center" vertical="center" wrapText="1"/>
    </xf>
    <xf numFmtId="0" fontId="36" fillId="23" borderId="3" xfId="17" applyBorder="1"/>
    <xf numFmtId="9" fontId="36" fillId="23" borderId="3" xfId="14" applyFont="1" applyFill="1" applyBorder="1"/>
    <xf numFmtId="0" fontId="33" fillId="0" borderId="19" xfId="0" applyFont="1" applyBorder="1" applyProtection="1">
      <protection locked="0" hidden="1"/>
    </xf>
    <xf numFmtId="0" fontId="33" fillId="0" borderId="3" xfId="0" applyFont="1" applyBorder="1"/>
    <xf numFmtId="0" fontId="33" fillId="0" borderId="3" xfId="0" applyFont="1" applyBorder="1" applyAlignment="1" applyProtection="1">
      <alignment horizontal="left"/>
      <protection locked="0" hidden="1"/>
    </xf>
    <xf numFmtId="0" fontId="37" fillId="0" borderId="23" xfId="0" applyFont="1" applyBorder="1" applyAlignment="1" applyProtection="1">
      <alignment horizontal="centerContinuous"/>
      <protection locked="0" hidden="1"/>
    </xf>
    <xf numFmtId="0" fontId="33" fillId="0" borderId="15" xfId="0" applyFont="1" applyBorder="1" applyProtection="1">
      <protection locked="0" hidden="1"/>
    </xf>
    <xf numFmtId="0" fontId="33" fillId="0" borderId="3" xfId="0" applyFont="1" applyBorder="1" applyAlignment="1">
      <alignment horizontal="left"/>
    </xf>
    <xf numFmtId="1" fontId="33" fillId="0" borderId="3" xfId="0" applyNumberFormat="1" applyFont="1" applyBorder="1" applyAlignment="1" applyProtection="1">
      <alignment horizontal="right"/>
      <protection locked="0" hidden="1"/>
    </xf>
    <xf numFmtId="166" fontId="33" fillId="4" borderId="3" xfId="5" applyNumberFormat="1" applyFont="1" applyFill="1" applyBorder="1" applyProtection="1">
      <protection hidden="1"/>
    </xf>
    <xf numFmtId="166" fontId="33" fillId="4" borderId="3" xfId="5" applyNumberFormat="1" applyFont="1" applyFill="1" applyBorder="1" applyAlignment="1" applyProtection="1">
      <alignment horizontal="left"/>
      <protection hidden="1"/>
    </xf>
    <xf numFmtId="9" fontId="33" fillId="4" borderId="3" xfId="14" applyFont="1" applyFill="1" applyBorder="1" applyProtection="1">
      <protection hidden="1"/>
    </xf>
    <xf numFmtId="9" fontId="33" fillId="4" borderId="3" xfId="14" applyFont="1" applyFill="1" applyBorder="1" applyAlignment="1" applyProtection="1">
      <alignment horizontal="right"/>
      <protection hidden="1"/>
    </xf>
    <xf numFmtId="0" fontId="33" fillId="4" borderId="3" xfId="0" applyFont="1" applyFill="1" applyBorder="1" applyAlignment="1" applyProtection="1">
      <alignment horizontal="right"/>
      <protection hidden="1"/>
    </xf>
    <xf numFmtId="0" fontId="33" fillId="0" borderId="3" xfId="0" applyFont="1" applyBorder="1" applyAlignment="1">
      <alignment horizontal="right"/>
    </xf>
    <xf numFmtId="9" fontId="33" fillId="0" borderId="2" xfId="0" applyNumberFormat="1" applyFont="1" applyBorder="1" applyProtection="1">
      <protection locked="0" hidden="1"/>
    </xf>
    <xf numFmtId="10" fontId="33" fillId="4" borderId="3" xfId="14" applyNumberFormat="1" applyFont="1" applyFill="1" applyBorder="1" applyProtection="1">
      <protection locked="0" hidden="1"/>
    </xf>
    <xf numFmtId="174" fontId="33" fillId="4" borderId="3" xfId="0" applyNumberFormat="1" applyFont="1" applyFill="1" applyBorder="1" applyAlignment="1" applyProtection="1">
      <alignment horizontal="right"/>
      <protection hidden="1"/>
    </xf>
    <xf numFmtId="176" fontId="33" fillId="4" borderId="3" xfId="0" applyNumberFormat="1" applyFont="1" applyFill="1" applyBorder="1" applyAlignment="1" applyProtection="1">
      <alignment horizontal="right"/>
      <protection hidden="1"/>
    </xf>
    <xf numFmtId="176" fontId="33" fillId="35" borderId="3" xfId="0" applyNumberFormat="1" applyFont="1" applyFill="1" applyBorder="1" applyAlignment="1" applyProtection="1">
      <alignment horizontal="right"/>
      <protection hidden="1"/>
    </xf>
    <xf numFmtId="170" fontId="37" fillId="32" borderId="35" xfId="0" applyNumberFormat="1" applyFont="1" applyFill="1" applyBorder="1" applyAlignment="1" applyProtection="1">
      <alignment horizontal="center"/>
      <protection locked="0" hidden="1"/>
    </xf>
    <xf numFmtId="0" fontId="44" fillId="0" borderId="107" xfId="0" applyFont="1" applyBorder="1" applyAlignment="1" applyProtection="1">
      <alignment horizontal="left" vertical="top" wrapText="1"/>
      <protection hidden="1"/>
    </xf>
    <xf numFmtId="0" fontId="44" fillId="0" borderId="104" xfId="0" applyFont="1" applyBorder="1" applyAlignment="1" applyProtection="1">
      <alignment horizontal="left" vertical="top" wrapText="1"/>
      <protection hidden="1"/>
    </xf>
    <xf numFmtId="0" fontId="44" fillId="0" borderId="108" xfId="0" applyFont="1" applyBorder="1" applyAlignment="1" applyProtection="1">
      <alignment horizontal="left" vertical="top" wrapText="1"/>
      <protection hidden="1"/>
    </xf>
    <xf numFmtId="0" fontId="4" fillId="0" borderId="83" xfId="0" applyFont="1" applyBorder="1" applyAlignment="1" applyProtection="1">
      <alignment horizontal="left" vertical="center"/>
      <protection hidden="1"/>
    </xf>
    <xf numFmtId="0" fontId="4" fillId="0" borderId="84" xfId="0" applyFont="1" applyBorder="1" applyAlignment="1" applyProtection="1">
      <alignment horizontal="left" vertical="center"/>
      <protection hidden="1"/>
    </xf>
    <xf numFmtId="165" fontId="33" fillId="0" borderId="0" xfId="5" applyFont="1" applyAlignment="1" applyProtection="1">
      <alignment horizontal="centerContinuous"/>
      <protection locked="0" hidden="1"/>
    </xf>
    <xf numFmtId="0" fontId="33" fillId="0" borderId="17" xfId="0" applyFont="1" applyBorder="1" applyAlignment="1" applyProtection="1">
      <alignment horizontal="centerContinuous"/>
      <protection locked="0" hidden="1"/>
    </xf>
    <xf numFmtId="178" fontId="37" fillId="0" borderId="54" xfId="0" applyNumberFormat="1" applyFont="1" applyBorder="1" applyAlignment="1" applyProtection="1">
      <alignment horizontal="center" vertical="center"/>
      <protection hidden="1"/>
    </xf>
    <xf numFmtId="165" fontId="33" fillId="0" borderId="0" xfId="5" applyFont="1" applyAlignment="1" applyProtection="1">
      <alignment horizontal="right"/>
      <protection locked="0" hidden="1"/>
    </xf>
    <xf numFmtId="174" fontId="33" fillId="0" borderId="0" xfId="0" applyNumberFormat="1" applyFont="1" applyProtection="1">
      <protection locked="0" hidden="1"/>
    </xf>
    <xf numFmtId="166" fontId="44" fillId="0" borderId="105" xfId="0" applyNumberFormat="1" applyFont="1" applyBorder="1" applyAlignment="1" applyProtection="1">
      <alignment horizontal="left" vertical="center"/>
      <protection hidden="1"/>
    </xf>
    <xf numFmtId="166" fontId="44" fillId="0" borderId="84" xfId="0" applyNumberFormat="1" applyFont="1" applyBorder="1" applyAlignment="1" applyProtection="1">
      <alignment horizontal="left" vertical="center"/>
      <protection hidden="1"/>
    </xf>
    <xf numFmtId="0" fontId="44" fillId="0" borderId="84" xfId="0" applyFont="1" applyBorder="1" applyAlignment="1" applyProtection="1">
      <alignment horizontal="left" vertical="center"/>
      <protection hidden="1"/>
    </xf>
    <xf numFmtId="0" fontId="44" fillId="0" borderId="105" xfId="0" applyFont="1" applyBorder="1" applyAlignment="1" applyProtection="1">
      <alignment horizontal="left" vertical="center"/>
      <protection hidden="1"/>
    </xf>
    <xf numFmtId="0" fontId="44" fillId="0" borderId="85" xfId="0" applyFont="1" applyBorder="1" applyAlignment="1" applyProtection="1">
      <alignment horizontal="left" vertical="center"/>
      <protection hidden="1"/>
    </xf>
    <xf numFmtId="0" fontId="44" fillId="0" borderId="106" xfId="0" applyFont="1" applyBorder="1" applyAlignment="1" applyProtection="1">
      <alignment horizontal="left" vertical="center"/>
      <protection hidden="1"/>
    </xf>
    <xf numFmtId="166" fontId="34" fillId="26" borderId="3" xfId="5" applyNumberFormat="1" applyFont="1" applyFill="1" applyBorder="1"/>
    <xf numFmtId="0" fontId="57" fillId="36" borderId="11" xfId="29" applyBorder="1"/>
    <xf numFmtId="0" fontId="57" fillId="36" borderId="18" xfId="29" applyBorder="1"/>
    <xf numFmtId="0" fontId="57" fillId="36" borderId="29" xfId="29" applyBorder="1"/>
    <xf numFmtId="0" fontId="57" fillId="36" borderId="14" xfId="29" applyBorder="1"/>
    <xf numFmtId="0" fontId="57" fillId="36" borderId="113" xfId="29" applyBorder="1" applyAlignment="1">
      <alignment horizontal="center" vertical="center"/>
    </xf>
    <xf numFmtId="0" fontId="7" fillId="0" borderId="0" xfId="0" applyFont="1"/>
    <xf numFmtId="43" fontId="15" fillId="0" borderId="0" xfId="0" applyNumberFormat="1" applyFont="1" applyProtection="1">
      <protection hidden="1"/>
    </xf>
    <xf numFmtId="165" fontId="15" fillId="0" borderId="0" xfId="0" applyNumberFormat="1" applyFont="1" applyProtection="1">
      <protection hidden="1"/>
    </xf>
    <xf numFmtId="0" fontId="16" fillId="30" borderId="0" xfId="0" applyFont="1" applyFill="1"/>
    <xf numFmtId="165" fontId="16" fillId="30" borderId="0" xfId="5" applyFont="1" applyFill="1"/>
    <xf numFmtId="165" fontId="0" fillId="13" borderId="3" xfId="5" applyFont="1" applyFill="1" applyBorder="1"/>
    <xf numFmtId="9" fontId="33" fillId="15" borderId="20" xfId="14" applyFont="1" applyFill="1" applyBorder="1" applyAlignment="1" applyProtection="1">
      <protection locked="0" hidden="1"/>
    </xf>
    <xf numFmtId="9" fontId="15" fillId="0" borderId="0" xfId="0" applyNumberFormat="1" applyFont="1" applyProtection="1">
      <protection hidden="1"/>
    </xf>
    <xf numFmtId="9" fontId="33" fillId="0" borderId="0" xfId="14" applyFont="1" applyProtection="1">
      <protection hidden="1"/>
    </xf>
    <xf numFmtId="9" fontId="33" fillId="0" borderId="0" xfId="0" applyNumberFormat="1" applyFont="1" applyProtection="1">
      <protection hidden="1"/>
    </xf>
    <xf numFmtId="43" fontId="33" fillId="0" borderId="0" xfId="0" applyNumberFormat="1" applyFont="1" applyProtection="1">
      <protection hidden="1"/>
    </xf>
    <xf numFmtId="4" fontId="0" fillId="0" borderId="0" xfId="0" applyNumberFormat="1" applyProtection="1">
      <protection hidden="1"/>
    </xf>
    <xf numFmtId="10" fontId="33" fillId="0" borderId="0" xfId="0" applyNumberFormat="1" applyFont="1" applyProtection="1">
      <protection locked="0" hidden="1"/>
    </xf>
    <xf numFmtId="9" fontId="33" fillId="0" borderId="3" xfId="14" applyFont="1" applyBorder="1" applyAlignment="1" applyProtection="1">
      <alignment horizontal="center"/>
      <protection hidden="1"/>
    </xf>
    <xf numFmtId="2" fontId="33" fillId="0" borderId="0" xfId="0" applyNumberFormat="1" applyFont="1" applyProtection="1">
      <protection locked="0" hidden="1"/>
    </xf>
    <xf numFmtId="165" fontId="33" fillId="0" borderId="0" xfId="5" applyFont="1" applyProtection="1">
      <protection locked="0" hidden="1"/>
    </xf>
    <xf numFmtId="3" fontId="33" fillId="0" borderId="3" xfId="0" applyNumberFormat="1" applyFont="1" applyBorder="1" applyProtection="1">
      <protection locked="0" hidden="1"/>
    </xf>
    <xf numFmtId="0" fontId="34" fillId="37" borderId="3" xfId="0" applyFont="1" applyFill="1" applyBorder="1"/>
    <xf numFmtId="10" fontId="34" fillId="37" borderId="3" xfId="0" applyNumberFormat="1" applyFont="1" applyFill="1" applyBorder="1"/>
    <xf numFmtId="0" fontId="4" fillId="0" borderId="0" xfId="0" applyFont="1" applyAlignment="1" applyProtection="1">
      <alignment vertical="center"/>
      <protection hidden="1"/>
    </xf>
    <xf numFmtId="0" fontId="51" fillId="0" borderId="75" xfId="0" quotePrefix="1" applyFont="1" applyBorder="1" applyAlignment="1" applyProtection="1">
      <alignment horizontal="center" vertical="center" wrapText="1"/>
      <protection hidden="1"/>
    </xf>
    <xf numFmtId="0" fontId="51" fillId="0" borderId="0" xfId="0" quotePrefix="1" applyFont="1" applyAlignment="1" applyProtection="1">
      <alignment horizontal="center" vertical="center" wrapText="1"/>
      <protection hidden="1"/>
    </xf>
    <xf numFmtId="0" fontId="51" fillId="0" borderId="76" xfId="0" quotePrefix="1" applyFont="1" applyBorder="1" applyAlignment="1" applyProtection="1">
      <alignment horizontal="center" vertical="center" wrapText="1"/>
      <protection hidden="1"/>
    </xf>
    <xf numFmtId="0" fontId="62" fillId="0" borderId="0" xfId="0" applyFont="1" applyAlignment="1" applyProtection="1">
      <alignment horizontal="left" vertical="center"/>
      <protection hidden="1"/>
    </xf>
    <xf numFmtId="0" fontId="17" fillId="0" borderId="0" xfId="0" applyFont="1" applyAlignment="1">
      <alignment horizontal="center" vertical="center"/>
    </xf>
    <xf numFmtId="14" fontId="13" fillId="0" borderId="0" xfId="0" applyNumberFormat="1" applyFont="1" applyAlignment="1">
      <alignment horizontal="center"/>
    </xf>
    <xf numFmtId="0" fontId="4" fillId="0" borderId="103" xfId="0" applyFont="1" applyBorder="1" applyAlignment="1" applyProtection="1">
      <alignment horizontal="left" vertical="center"/>
      <protection hidden="1"/>
    </xf>
    <xf numFmtId="0" fontId="4" fillId="0" borderId="104" xfId="0" applyFont="1" applyBorder="1" applyAlignment="1" applyProtection="1">
      <alignment horizontal="left" vertical="center"/>
      <protection hidden="1"/>
    </xf>
    <xf numFmtId="166" fontId="36" fillId="23" borderId="3" xfId="5" applyNumberFormat="1" applyFont="1" applyFill="1" applyBorder="1"/>
    <xf numFmtId="0" fontId="16" fillId="0" borderId="0" xfId="0" applyFont="1" applyAlignment="1" applyProtection="1">
      <alignment horizontal="center" vertical="center"/>
      <protection locked="0"/>
    </xf>
    <xf numFmtId="0" fontId="14" fillId="60" borderId="3" xfId="0" applyFont="1" applyFill="1" applyBorder="1" applyProtection="1">
      <protection locked="0"/>
    </xf>
    <xf numFmtId="0" fontId="33" fillId="60" borderId="3" xfId="0" applyFont="1" applyFill="1" applyBorder="1" applyAlignment="1" applyProtection="1">
      <alignment horizontal="center" vertical="center" wrapText="1"/>
      <protection locked="0"/>
    </xf>
    <xf numFmtId="0" fontId="16" fillId="60" borderId="3" xfId="0" applyFont="1" applyFill="1" applyBorder="1" applyProtection="1">
      <protection locked="0"/>
    </xf>
    <xf numFmtId="175" fontId="34" fillId="25" borderId="3" xfId="18" applyNumberFormat="1" applyFont="1" applyBorder="1"/>
    <xf numFmtId="49" fontId="36" fillId="23" borderId="3" xfId="17" applyNumberFormat="1" applyBorder="1"/>
    <xf numFmtId="3" fontId="16" fillId="60" borderId="3" xfId="0" applyNumberFormat="1" applyFont="1" applyFill="1" applyBorder="1" applyProtection="1">
      <protection locked="0"/>
    </xf>
    <xf numFmtId="0" fontId="44" fillId="32" borderId="84" xfId="0" applyFont="1" applyFill="1" applyBorder="1" applyAlignment="1" applyProtection="1">
      <alignment horizontal="center" vertical="center"/>
      <protection hidden="1"/>
    </xf>
    <xf numFmtId="0" fontId="44" fillId="0" borderId="136" xfId="0" applyFont="1" applyBorder="1" applyAlignment="1" applyProtection="1">
      <alignment horizontal="center" vertical="center"/>
      <protection hidden="1"/>
    </xf>
    <xf numFmtId="0" fontId="44" fillId="0" borderId="134" xfId="0" applyFont="1" applyBorder="1" applyAlignment="1" applyProtection="1">
      <alignment horizontal="center" vertical="center"/>
      <protection hidden="1"/>
    </xf>
    <xf numFmtId="165" fontId="33" fillId="0" borderId="0" xfId="5" applyFont="1" applyProtection="1"/>
    <xf numFmtId="165" fontId="0" fillId="0" borderId="0" xfId="0" applyNumberFormat="1"/>
    <xf numFmtId="10" fontId="58" fillId="13" borderId="16" xfId="14" applyNumberFormat="1" applyFont="1" applyFill="1" applyBorder="1" applyAlignment="1" applyProtection="1">
      <alignment horizontal="left" vertical="center"/>
      <protection locked="0"/>
    </xf>
    <xf numFmtId="9" fontId="34" fillId="28" borderId="3" xfId="14" applyFont="1" applyFill="1" applyBorder="1" applyProtection="1">
      <protection locked="0"/>
    </xf>
    <xf numFmtId="0" fontId="34" fillId="23" borderId="3" xfId="17" applyFont="1" applyBorder="1" applyAlignment="1">
      <alignment horizontal="center" vertical="center"/>
    </xf>
    <xf numFmtId="3" fontId="34" fillId="23" borderId="3" xfId="5" applyNumberFormat="1" applyFont="1" applyFill="1" applyBorder="1" applyAlignment="1">
      <alignment horizontal="center" vertical="center"/>
    </xf>
    <xf numFmtId="177" fontId="34" fillId="23" borderId="3" xfId="17" applyNumberFormat="1" applyFont="1" applyBorder="1"/>
    <xf numFmtId="175" fontId="34" fillId="23" borderId="3" xfId="17" applyNumberFormat="1" applyFont="1" applyBorder="1"/>
    <xf numFmtId="2" fontId="34" fillId="20" borderId="3" xfId="15" applyNumberFormat="1" applyBorder="1"/>
    <xf numFmtId="0" fontId="15" fillId="0" borderId="0" xfId="0" applyFont="1" applyAlignment="1" applyProtection="1">
      <alignment horizontal="center"/>
      <protection hidden="1"/>
    </xf>
    <xf numFmtId="0" fontId="10" fillId="0" borderId="0" xfId="0" applyFont="1" applyAlignment="1">
      <alignment horizontal="center" vertical="center" wrapText="1"/>
    </xf>
    <xf numFmtId="0" fontId="23" fillId="0" borderId="0" xfId="0" applyFont="1" applyAlignment="1">
      <alignment horizontal="center" vertical="center" wrapText="1"/>
    </xf>
    <xf numFmtId="0" fontId="14" fillId="14" borderId="63" xfId="0" applyFont="1" applyFill="1" applyBorder="1" applyAlignment="1">
      <alignment horizontal="left" vertical="center"/>
    </xf>
    <xf numFmtId="0" fontId="14" fillId="14" borderId="64" xfId="0" applyFont="1" applyFill="1" applyBorder="1" applyAlignment="1">
      <alignment horizontal="left" vertical="center"/>
    </xf>
    <xf numFmtId="0" fontId="16" fillId="0" borderId="0" xfId="0" applyFont="1" applyAlignment="1">
      <alignment horizontal="center" vertical="center"/>
    </xf>
    <xf numFmtId="0" fontId="16" fillId="0" borderId="36" xfId="0" applyFont="1" applyBorder="1" applyAlignment="1">
      <alignment horizontal="center" vertical="center"/>
    </xf>
    <xf numFmtId="14" fontId="14" fillId="13" borderId="119" xfId="0" applyNumberFormat="1" applyFont="1" applyFill="1" applyBorder="1" applyAlignment="1" applyProtection="1">
      <alignment horizontal="left" vertical="center" wrapText="1"/>
      <protection locked="0" hidden="1"/>
    </xf>
    <xf numFmtId="0" fontId="0" fillId="0" borderId="119" xfId="0" applyBorder="1" applyAlignment="1" applyProtection="1">
      <alignment horizontal="left"/>
      <protection locked="0" hidden="1"/>
    </xf>
    <xf numFmtId="0" fontId="0" fillId="0" borderId="56" xfId="0" applyBorder="1" applyAlignment="1" applyProtection="1">
      <alignment horizontal="left"/>
      <protection locked="0" hidden="1"/>
    </xf>
    <xf numFmtId="173" fontId="14" fillId="13" borderId="93" xfId="0" applyNumberFormat="1" applyFont="1" applyFill="1" applyBorder="1" applyAlignment="1" applyProtection="1">
      <alignment horizontal="left" vertical="center"/>
      <protection locked="0"/>
    </xf>
    <xf numFmtId="173" fontId="14" fillId="13" borderId="0" xfId="0" applyNumberFormat="1" applyFont="1" applyFill="1" applyAlignment="1" applyProtection="1">
      <alignment horizontal="left" vertical="center"/>
      <protection locked="0"/>
    </xf>
    <xf numFmtId="0" fontId="31" fillId="0" borderId="0" xfId="0" applyFont="1" applyAlignment="1" applyProtection="1">
      <alignment horizontal="left" vertical="center"/>
      <protection hidden="1"/>
    </xf>
    <xf numFmtId="0" fontId="35" fillId="0" borderId="0" xfId="0" applyFont="1" applyAlignment="1" applyProtection="1">
      <alignment horizontal="left" vertical="center" wrapText="1"/>
      <protection hidden="1"/>
    </xf>
    <xf numFmtId="0" fontId="16" fillId="0" borderId="120" xfId="0" applyFont="1" applyBorder="1" applyAlignment="1" applyProtection="1">
      <alignment horizontal="left" vertical="center"/>
      <protection hidden="1"/>
    </xf>
    <xf numFmtId="0" fontId="14" fillId="14" borderId="20" xfId="0" applyFont="1" applyFill="1" applyBorder="1" applyAlignment="1">
      <alignment horizontal="left" vertical="top"/>
    </xf>
    <xf numFmtId="0" fontId="14" fillId="14" borderId="2" xfId="0" applyFont="1" applyFill="1" applyBorder="1" applyAlignment="1">
      <alignment horizontal="left" vertical="top"/>
    </xf>
    <xf numFmtId="0" fontId="14" fillId="14" borderId="3" xfId="0" applyFont="1" applyFill="1" applyBorder="1" applyAlignment="1" applyProtection="1">
      <alignment horizontal="left" vertical="center" wrapText="1"/>
      <protection hidden="1"/>
    </xf>
    <xf numFmtId="0" fontId="35" fillId="0" borderId="0" xfId="0" applyFont="1" applyAlignment="1" applyProtection="1">
      <alignment horizontal="left" vertical="center"/>
      <protection hidden="1"/>
    </xf>
    <xf numFmtId="0" fontId="14" fillId="13" borderId="93" xfId="0" applyFont="1" applyFill="1" applyBorder="1" applyAlignment="1" applyProtection="1">
      <alignment horizontal="left"/>
      <protection locked="0"/>
    </xf>
    <xf numFmtId="0" fontId="14" fillId="13" borderId="0" xfId="0" applyFont="1" applyFill="1" applyAlignment="1" applyProtection="1">
      <alignment horizontal="left"/>
      <protection locked="0"/>
    </xf>
    <xf numFmtId="0" fontId="14" fillId="14" borderId="62" xfId="0" applyFont="1" applyFill="1" applyBorder="1" applyAlignment="1">
      <alignment horizontal="left"/>
    </xf>
    <xf numFmtId="0" fontId="14" fillId="14" borderId="65" xfId="0" applyFont="1" applyFill="1" applyBorder="1" applyAlignment="1">
      <alignment horizontal="left"/>
    </xf>
    <xf numFmtId="3" fontId="35" fillId="0" borderId="0" xfId="0" applyNumberFormat="1" applyFont="1" applyAlignment="1" applyProtection="1">
      <alignment horizontal="left" vertical="center" wrapText="1"/>
      <protection hidden="1"/>
    </xf>
    <xf numFmtId="3" fontId="35" fillId="0" borderId="130" xfId="0" applyNumberFormat="1" applyFont="1" applyBorder="1" applyAlignment="1" applyProtection="1">
      <alignment horizontal="left" vertical="center" wrapText="1"/>
      <protection hidden="1"/>
    </xf>
    <xf numFmtId="0" fontId="36" fillId="22" borderId="20" xfId="16" applyBorder="1" applyAlignment="1">
      <alignment horizontal="left"/>
    </xf>
    <xf numFmtId="0" fontId="0" fillId="0" borderId="19" xfId="0" applyBorder="1" applyAlignment="1">
      <alignment horizontal="left"/>
    </xf>
    <xf numFmtId="0" fontId="36" fillId="22" borderId="20" xfId="16" applyBorder="1" applyAlignment="1">
      <alignment horizontal="center"/>
    </xf>
    <xf numFmtId="0" fontId="36" fillId="22" borderId="2" xfId="16" applyBorder="1" applyAlignment="1">
      <alignment horizontal="center"/>
    </xf>
    <xf numFmtId="0" fontId="36" fillId="22" borderId="19" xfId="16" applyBorder="1" applyAlignment="1">
      <alignment horizontal="center"/>
    </xf>
    <xf numFmtId="0" fontId="36" fillId="22" borderId="19" xfId="16" applyBorder="1" applyAlignment="1">
      <alignment horizontal="left"/>
    </xf>
    <xf numFmtId="0" fontId="33" fillId="0" borderId="110" xfId="0" applyFont="1" applyBorder="1" applyAlignment="1" applyProtection="1">
      <alignment horizontal="center"/>
      <protection locked="0" hidden="1"/>
    </xf>
    <xf numFmtId="0" fontId="33" fillId="0" borderId="111" xfId="0" applyFont="1" applyBorder="1" applyAlignment="1" applyProtection="1">
      <alignment horizontal="center"/>
      <protection locked="0" hidden="1"/>
    </xf>
    <xf numFmtId="0" fontId="33" fillId="0" borderId="67" xfId="0" applyFont="1" applyBorder="1" applyAlignment="1" applyProtection="1">
      <alignment horizontal="center"/>
      <protection locked="0" hidden="1"/>
    </xf>
    <xf numFmtId="0" fontId="33" fillId="19" borderId="17" xfId="0" applyFont="1" applyFill="1" applyBorder="1" applyAlignment="1" applyProtection="1">
      <alignment horizontal="center"/>
      <protection locked="0" hidden="1"/>
    </xf>
    <xf numFmtId="0" fontId="33" fillId="19" borderId="26" xfId="0" applyFont="1" applyFill="1" applyBorder="1" applyAlignment="1" applyProtection="1">
      <alignment horizontal="center"/>
      <protection locked="0" hidden="1"/>
    </xf>
    <xf numFmtId="0" fontId="33" fillId="0" borderId="0" xfId="0" applyFont="1" applyAlignment="1" applyProtection="1">
      <alignment horizontal="center"/>
      <protection locked="0" hidden="1"/>
    </xf>
    <xf numFmtId="0" fontId="33" fillId="14" borderId="17" xfId="0" applyFont="1" applyFill="1" applyBorder="1" applyAlignment="1" applyProtection="1">
      <alignment horizontal="center"/>
      <protection locked="0" hidden="1"/>
    </xf>
    <xf numFmtId="0" fontId="33" fillId="14" borderId="26" xfId="0" applyFont="1" applyFill="1" applyBorder="1" applyAlignment="1" applyProtection="1">
      <alignment horizontal="center"/>
      <protection locked="0" hidden="1"/>
    </xf>
    <xf numFmtId="0" fontId="33" fillId="14" borderId="25" xfId="0" applyFont="1" applyFill="1" applyBorder="1" applyAlignment="1" applyProtection="1">
      <alignment horizontal="center"/>
      <protection locked="0" hidden="1"/>
    </xf>
    <xf numFmtId="0" fontId="33" fillId="17" borderId="17" xfId="0" applyFont="1" applyFill="1" applyBorder="1" applyAlignment="1" applyProtection="1">
      <alignment horizontal="center"/>
      <protection locked="0" hidden="1"/>
    </xf>
    <xf numFmtId="0" fontId="33" fillId="17" borderId="26" xfId="0" applyFont="1" applyFill="1" applyBorder="1" applyAlignment="1" applyProtection="1">
      <alignment horizontal="center"/>
      <protection locked="0" hidden="1"/>
    </xf>
    <xf numFmtId="0" fontId="33" fillId="16" borderId="17" xfId="0" applyFont="1" applyFill="1" applyBorder="1" applyAlignment="1" applyProtection="1">
      <alignment horizontal="center"/>
      <protection locked="0" hidden="1"/>
    </xf>
    <xf numFmtId="0" fontId="33" fillId="16" borderId="26" xfId="0" applyFont="1" applyFill="1" applyBorder="1" applyAlignment="1" applyProtection="1">
      <alignment horizontal="center"/>
      <protection locked="0" hidden="1"/>
    </xf>
    <xf numFmtId="0" fontId="23" fillId="0" borderId="42" xfId="0" applyFont="1" applyBorder="1" applyAlignment="1" applyProtection="1">
      <alignment horizontal="center" wrapText="1"/>
      <protection hidden="1"/>
    </xf>
    <xf numFmtId="0" fontId="23" fillId="0" borderId="0" xfId="0" applyFont="1" applyAlignment="1" applyProtection="1">
      <alignment horizontal="center" wrapText="1"/>
      <protection hidden="1"/>
    </xf>
    <xf numFmtId="166" fontId="14" fillId="0" borderId="43" xfId="5" applyNumberFormat="1" applyFont="1" applyFill="1" applyBorder="1" applyAlignment="1" applyProtection="1">
      <alignment horizontal="center" vertical="center"/>
      <protection hidden="1"/>
    </xf>
    <xf numFmtId="166" fontId="14" fillId="0" borderId="44" xfId="5" applyNumberFormat="1" applyFont="1" applyFill="1" applyBorder="1" applyAlignment="1" applyProtection="1">
      <alignment horizontal="center" vertical="center"/>
      <protection hidden="1"/>
    </xf>
    <xf numFmtId="166" fontId="14" fillId="0" borderId="45" xfId="5" applyNumberFormat="1" applyFont="1" applyFill="1" applyBorder="1" applyAlignment="1" applyProtection="1">
      <alignment horizontal="center" vertical="center"/>
      <protection hidden="1"/>
    </xf>
    <xf numFmtId="0" fontId="14" fillId="0" borderId="46" xfId="0" applyFont="1" applyBorder="1" applyAlignment="1" applyProtection="1">
      <alignment horizontal="center" vertical="center" wrapText="1"/>
      <protection hidden="1"/>
    </xf>
    <xf numFmtId="0" fontId="14" fillId="0" borderId="27" xfId="0" applyFont="1" applyBorder="1" applyAlignment="1" applyProtection="1">
      <alignment horizontal="center" vertical="center"/>
      <protection hidden="1"/>
    </xf>
    <xf numFmtId="0" fontId="14" fillId="0" borderId="28" xfId="0" applyFont="1" applyBorder="1" applyAlignment="1" applyProtection="1">
      <alignment horizontal="center" vertical="center"/>
      <protection hidden="1"/>
    </xf>
    <xf numFmtId="14" fontId="32" fillId="0" borderId="0" xfId="0" applyNumberFormat="1" applyFont="1" applyAlignment="1" applyProtection="1">
      <alignment horizontal="center" vertical="center"/>
      <protection hidden="1"/>
    </xf>
    <xf numFmtId="166" fontId="14" fillId="0" borderId="43" xfId="5" applyNumberFormat="1" applyFont="1" applyFill="1" applyBorder="1" applyAlignment="1" applyProtection="1">
      <alignment horizontal="center" vertical="center" wrapText="1"/>
      <protection hidden="1"/>
    </xf>
    <xf numFmtId="166" fontId="14" fillId="0" borderId="44" xfId="5" applyNumberFormat="1" applyFont="1" applyFill="1" applyBorder="1" applyAlignment="1" applyProtection="1">
      <alignment horizontal="center" vertical="center" wrapText="1"/>
      <protection hidden="1"/>
    </xf>
    <xf numFmtId="166" fontId="14" fillId="0" borderId="45" xfId="5" applyNumberFormat="1" applyFont="1" applyFill="1" applyBorder="1" applyAlignment="1" applyProtection="1">
      <alignment horizontal="center" vertical="center" wrapText="1"/>
      <protection hidden="1"/>
    </xf>
    <xf numFmtId="0" fontId="14" fillId="0" borderId="43" xfId="0" applyFont="1" applyBorder="1" applyAlignment="1" applyProtection="1">
      <alignment horizontal="center" vertical="center" wrapText="1"/>
      <protection hidden="1"/>
    </xf>
    <xf numFmtId="0" fontId="14" fillId="0" borderId="44" xfId="0" applyFont="1" applyBorder="1" applyAlignment="1" applyProtection="1">
      <alignment horizontal="center" vertical="center"/>
      <protection hidden="1"/>
    </xf>
    <xf numFmtId="0" fontId="14" fillId="0" borderId="45" xfId="0" applyFont="1" applyBorder="1" applyAlignment="1" applyProtection="1">
      <alignment horizontal="center" vertical="center"/>
      <protection hidden="1"/>
    </xf>
    <xf numFmtId="0" fontId="56" fillId="0" borderId="0" xfId="28" applyAlignment="1" applyProtection="1">
      <alignment horizontal="left"/>
      <protection hidden="1"/>
    </xf>
    <xf numFmtId="0" fontId="4" fillId="0" borderId="81" xfId="0" applyFont="1" applyBorder="1" applyAlignment="1" applyProtection="1">
      <alignment horizontal="left" vertical="center"/>
      <protection hidden="1"/>
    </xf>
    <xf numFmtId="0" fontId="4" fillId="0" borderId="82" xfId="0" applyFont="1" applyBorder="1" applyAlignment="1" applyProtection="1">
      <alignment horizontal="left" vertical="center"/>
      <protection hidden="1"/>
    </xf>
    <xf numFmtId="0" fontId="4" fillId="0" borderId="80" xfId="0" applyFont="1" applyBorder="1" applyAlignment="1" applyProtection="1">
      <alignment horizontal="left" vertical="center"/>
      <protection hidden="1"/>
    </xf>
    <xf numFmtId="0" fontId="44" fillId="0" borderId="70" xfId="0" applyFont="1" applyBorder="1" applyAlignment="1" applyProtection="1">
      <alignment horizontal="justify" vertical="center"/>
      <protection hidden="1"/>
    </xf>
    <xf numFmtId="0" fontId="44" fillId="0" borderId="77" xfId="0" applyFont="1" applyBorder="1" applyAlignment="1" applyProtection="1">
      <alignment horizontal="justify" vertical="center"/>
      <protection hidden="1"/>
    </xf>
    <xf numFmtId="0" fontId="44" fillId="0" borderId="70" xfId="0" applyFont="1" applyBorder="1" applyAlignment="1" applyProtection="1">
      <alignment horizontal="left" vertical="center"/>
      <protection hidden="1"/>
    </xf>
    <xf numFmtId="0" fontId="44" fillId="0" borderId="77" xfId="0" applyFont="1" applyBorder="1" applyAlignment="1" applyProtection="1">
      <alignment horizontal="left" vertical="center"/>
      <protection hidden="1"/>
    </xf>
    <xf numFmtId="0" fontId="6" fillId="0" borderId="72" xfId="0" applyFont="1" applyBorder="1" applyAlignment="1" applyProtection="1">
      <alignment horizontal="right" vertical="center"/>
      <protection hidden="1"/>
    </xf>
    <xf numFmtId="0" fontId="6" fillId="0" borderId="74" xfId="0" applyFont="1" applyBorder="1" applyAlignment="1" applyProtection="1">
      <alignment horizontal="right" vertical="center"/>
      <protection hidden="1"/>
    </xf>
    <xf numFmtId="0" fontId="78" fillId="0" borderId="75" xfId="0" applyFont="1" applyBorder="1" applyAlignment="1" applyProtection="1">
      <alignment horizontal="left" vertical="center" wrapText="1"/>
      <protection hidden="1"/>
    </xf>
    <xf numFmtId="0" fontId="44" fillId="0" borderId="0" xfId="0" applyFont="1" applyAlignment="1" applyProtection="1">
      <alignment horizontal="left" vertical="center" wrapText="1"/>
      <protection hidden="1"/>
    </xf>
    <xf numFmtId="0" fontId="44" fillId="0" borderId="76" xfId="0" applyFont="1" applyBorder="1" applyAlignment="1" applyProtection="1">
      <alignment horizontal="left" vertical="center" wrapText="1"/>
      <protection hidden="1"/>
    </xf>
    <xf numFmtId="0" fontId="44" fillId="0" borderId="75" xfId="0" applyFont="1" applyBorder="1" applyAlignment="1" applyProtection="1">
      <alignment horizontal="left" vertical="center" wrapText="1"/>
      <protection hidden="1"/>
    </xf>
    <xf numFmtId="0" fontId="78" fillId="0" borderId="98" xfId="0" applyFont="1" applyBorder="1" applyAlignment="1" applyProtection="1">
      <alignment horizontal="left" vertical="top" wrapText="1"/>
      <protection hidden="1"/>
    </xf>
    <xf numFmtId="0" fontId="44" fillId="0" borderId="78" xfId="0" applyFont="1" applyBorder="1" applyAlignment="1" applyProtection="1">
      <alignment horizontal="left" vertical="top" wrapText="1"/>
      <protection hidden="1"/>
    </xf>
    <xf numFmtId="0" fontId="44" fillId="0" borderId="102" xfId="0" applyFont="1" applyBorder="1" applyAlignment="1" applyProtection="1">
      <alignment horizontal="left" vertical="top" wrapText="1"/>
      <protection hidden="1"/>
    </xf>
    <xf numFmtId="0" fontId="44" fillId="0" borderId="70" xfId="0" applyFont="1" applyBorder="1" applyAlignment="1" applyProtection="1">
      <alignment vertical="center" wrapText="1"/>
      <protection hidden="1"/>
    </xf>
    <xf numFmtId="0" fontId="44" fillId="0" borderId="77" xfId="0" applyFont="1" applyBorder="1" applyAlignment="1" applyProtection="1">
      <alignment vertical="center" wrapText="1"/>
      <protection hidden="1"/>
    </xf>
    <xf numFmtId="0" fontId="45" fillId="0" borderId="24" xfId="0" applyFont="1" applyBorder="1" applyAlignment="1" applyProtection="1">
      <alignment horizontal="center" vertical="center"/>
      <protection hidden="1"/>
    </xf>
    <xf numFmtId="179" fontId="44" fillId="0" borderId="0" xfId="0" applyNumberFormat="1" applyFont="1" applyAlignment="1" applyProtection="1">
      <alignment horizontal="center" vertical="center" wrapText="1"/>
      <protection hidden="1"/>
    </xf>
    <xf numFmtId="0" fontId="44" fillId="0" borderId="0" xfId="0" applyFont="1" applyAlignment="1" applyProtection="1">
      <alignment horizontal="justify" vertical="top"/>
      <protection hidden="1"/>
    </xf>
    <xf numFmtId="173" fontId="44" fillId="0" borderId="89" xfId="0" applyNumberFormat="1" applyFont="1" applyBorder="1" applyAlignment="1" applyProtection="1">
      <alignment horizontal="justify" vertical="center"/>
      <protection hidden="1"/>
    </xf>
    <xf numFmtId="173" fontId="44" fillId="0" borderId="90" xfId="0" applyNumberFormat="1" applyFont="1" applyBorder="1" applyAlignment="1" applyProtection="1">
      <alignment horizontal="justify" vertical="center"/>
      <protection hidden="1"/>
    </xf>
    <xf numFmtId="0" fontId="44" fillId="0" borderId="70" xfId="0" quotePrefix="1" applyFont="1" applyBorder="1" applyAlignment="1" applyProtection="1">
      <alignment horizontal="left" vertical="center"/>
      <protection hidden="1"/>
    </xf>
    <xf numFmtId="166" fontId="44" fillId="0" borderId="70" xfId="0" applyNumberFormat="1" applyFont="1" applyBorder="1" applyAlignment="1" applyProtection="1">
      <alignment horizontal="left" vertical="center"/>
      <protection hidden="1"/>
    </xf>
    <xf numFmtId="0" fontId="4" fillId="0" borderId="86" xfId="0" applyFont="1" applyBorder="1" applyAlignment="1" applyProtection="1">
      <alignment horizontal="left" vertical="center"/>
      <protection hidden="1"/>
    </xf>
    <xf numFmtId="0" fontId="4" fillId="0" borderId="87" xfId="0" applyFont="1" applyBorder="1" applyAlignment="1" applyProtection="1">
      <alignment horizontal="left" vertical="center"/>
      <protection hidden="1"/>
    </xf>
    <xf numFmtId="0" fontId="4" fillId="0" borderId="88" xfId="0" applyFont="1" applyBorder="1" applyAlignment="1" applyProtection="1">
      <alignment horizontal="left" vertical="center"/>
      <protection hidden="1"/>
    </xf>
    <xf numFmtId="0" fontId="44" fillId="0" borderId="112" xfId="0" applyFont="1" applyBorder="1" applyAlignment="1" applyProtection="1">
      <alignment horizontal="center" vertical="center"/>
      <protection hidden="1"/>
    </xf>
    <xf numFmtId="0" fontId="44" fillId="0" borderId="0" xfId="0" applyFont="1" applyAlignment="1" applyProtection="1">
      <alignment horizontal="center" vertical="center"/>
      <protection hidden="1"/>
    </xf>
    <xf numFmtId="0" fontId="4" fillId="0" borderId="81" xfId="0" applyFont="1" applyBorder="1" applyAlignment="1" applyProtection="1">
      <alignment horizontal="left" vertical="center" wrapText="1"/>
      <protection hidden="1"/>
    </xf>
    <xf numFmtId="0" fontId="4" fillId="0" borderId="82" xfId="0" applyFont="1" applyBorder="1" applyAlignment="1" applyProtection="1">
      <alignment horizontal="left" vertical="center" wrapText="1"/>
      <protection hidden="1"/>
    </xf>
    <xf numFmtId="0" fontId="4" fillId="0" borderId="80" xfId="0" applyFont="1" applyBorder="1" applyAlignment="1" applyProtection="1">
      <alignment horizontal="left" vertical="center" wrapText="1"/>
      <protection hidden="1"/>
    </xf>
    <xf numFmtId="0" fontId="44" fillId="0" borderId="70" xfId="0" applyFont="1" applyBorder="1" applyAlignment="1" applyProtection="1">
      <alignment horizontal="left" vertical="center" wrapText="1"/>
      <protection hidden="1"/>
    </xf>
    <xf numFmtId="0" fontId="44" fillId="0" borderId="77" xfId="0" applyFont="1" applyBorder="1" applyAlignment="1" applyProtection="1">
      <alignment horizontal="left" vertical="center" wrapText="1"/>
      <protection hidden="1"/>
    </xf>
    <xf numFmtId="0" fontId="44" fillId="0" borderId="91" xfId="0" applyFont="1" applyBorder="1" applyAlignment="1" applyProtection="1">
      <alignment horizontal="left" vertical="center"/>
      <protection hidden="1"/>
    </xf>
    <xf numFmtId="0" fontId="44" fillId="0" borderId="82" xfId="0" applyFont="1" applyBorder="1" applyAlignment="1" applyProtection="1">
      <alignment horizontal="left" vertical="center"/>
      <protection hidden="1"/>
    </xf>
    <xf numFmtId="0" fontId="44" fillId="0" borderId="92" xfId="0" applyFont="1" applyBorder="1" applyAlignment="1" applyProtection="1">
      <alignment horizontal="left" vertical="center"/>
      <protection hidden="1"/>
    </xf>
    <xf numFmtId="0" fontId="44" fillId="0" borderId="105" xfId="0" applyFont="1" applyBorder="1" applyAlignment="1" applyProtection="1">
      <alignment horizontal="center" vertical="center"/>
      <protection hidden="1"/>
    </xf>
    <xf numFmtId="0" fontId="44" fillId="0" borderId="84" xfId="0" applyFont="1" applyBorder="1" applyAlignment="1" applyProtection="1">
      <alignment horizontal="center" vertical="center"/>
      <protection hidden="1"/>
    </xf>
    <xf numFmtId="0" fontId="44" fillId="0" borderId="137" xfId="0" applyFont="1" applyBorder="1" applyAlignment="1" applyProtection="1">
      <alignment horizontal="center" vertical="center"/>
      <protection hidden="1"/>
    </xf>
    <xf numFmtId="0" fontId="44" fillId="0" borderId="138" xfId="0" applyFont="1" applyBorder="1" applyAlignment="1" applyProtection="1">
      <alignment horizontal="center" vertical="center"/>
      <protection hidden="1"/>
    </xf>
    <xf numFmtId="0" fontId="44" fillId="0" borderId="139" xfId="0" applyFont="1" applyBorder="1" applyAlignment="1" applyProtection="1">
      <alignment horizontal="center" vertical="center"/>
      <protection hidden="1"/>
    </xf>
    <xf numFmtId="0" fontId="44" fillId="0" borderId="106" xfId="0" applyFont="1" applyBorder="1" applyAlignment="1" applyProtection="1">
      <alignment horizontal="center" vertical="center"/>
      <protection hidden="1"/>
    </xf>
    <xf numFmtId="0" fontId="44" fillId="0" borderId="131" xfId="0" applyFont="1" applyBorder="1" applyAlignment="1" applyProtection="1">
      <alignment horizontal="center" vertical="center"/>
      <protection hidden="1"/>
    </xf>
    <xf numFmtId="0" fontId="44" fillId="0" borderId="132" xfId="0" applyFont="1" applyBorder="1" applyAlignment="1" applyProtection="1">
      <alignment horizontal="center" vertical="center"/>
      <protection hidden="1"/>
    </xf>
    <xf numFmtId="0" fontId="44" fillId="0" borderId="140" xfId="0" applyFont="1" applyBorder="1" applyAlignment="1" applyProtection="1">
      <alignment horizontal="center" vertical="center"/>
      <protection hidden="1"/>
    </xf>
    <xf numFmtId="0" fontId="44" fillId="0" borderId="133" xfId="0" applyFont="1" applyBorder="1" applyAlignment="1" applyProtection="1">
      <alignment horizontal="center" vertical="center"/>
      <protection hidden="1"/>
    </xf>
    <xf numFmtId="0" fontId="44" fillId="0" borderId="141" xfId="0" applyFont="1" applyBorder="1" applyAlignment="1" applyProtection="1">
      <alignment horizontal="center" vertical="center"/>
      <protection hidden="1"/>
    </xf>
    <xf numFmtId="0" fontId="4" fillId="0" borderId="83" xfId="0" applyFont="1" applyBorder="1" applyAlignment="1" applyProtection="1">
      <alignment horizontal="left" vertical="center" wrapText="1"/>
      <protection hidden="1"/>
    </xf>
    <xf numFmtId="0" fontId="4" fillId="0" borderId="84" xfId="0" applyFont="1" applyBorder="1" applyAlignment="1" applyProtection="1">
      <alignment horizontal="left" vertical="center" wrapText="1"/>
      <protection hidden="1"/>
    </xf>
    <xf numFmtId="0" fontId="4" fillId="0" borderId="85" xfId="0" applyFont="1" applyBorder="1" applyAlignment="1" applyProtection="1">
      <alignment horizontal="left" vertical="center" wrapText="1"/>
      <protection hidden="1"/>
    </xf>
    <xf numFmtId="0" fontId="4" fillId="0" borderId="75" xfId="0" applyFont="1" applyBorder="1" applyAlignment="1" applyProtection="1">
      <alignment horizontal="left" vertical="center" wrapText="1"/>
      <protection hidden="1"/>
    </xf>
    <xf numFmtId="0" fontId="4" fillId="0" borderId="0" xfId="0" applyFont="1" applyAlignment="1" applyProtection="1">
      <alignment horizontal="left" vertical="center" wrapText="1"/>
      <protection hidden="1"/>
    </xf>
    <xf numFmtId="0" fontId="4" fillId="0" borderId="94" xfId="0" applyFont="1" applyBorder="1" applyAlignment="1" applyProtection="1">
      <alignment horizontal="left" vertical="center" wrapText="1"/>
      <protection hidden="1"/>
    </xf>
    <xf numFmtId="0" fontId="4" fillId="0" borderId="103" xfId="0" applyFont="1" applyBorder="1" applyAlignment="1" applyProtection="1">
      <alignment horizontal="left" vertical="center" wrapText="1"/>
      <protection hidden="1"/>
    </xf>
    <xf numFmtId="0" fontId="4" fillId="0" borderId="104" xfId="0" applyFont="1" applyBorder="1" applyAlignment="1" applyProtection="1">
      <alignment horizontal="left" vertical="center" wrapText="1"/>
      <protection hidden="1"/>
    </xf>
    <xf numFmtId="0" fontId="4" fillId="0" borderId="109" xfId="0" applyFont="1" applyBorder="1" applyAlignment="1" applyProtection="1">
      <alignment horizontal="left" vertical="center" wrapText="1"/>
      <protection hidden="1"/>
    </xf>
    <xf numFmtId="0" fontId="44" fillId="0" borderId="142" xfId="0" applyFont="1" applyBorder="1" applyAlignment="1" applyProtection="1">
      <alignment horizontal="center" vertical="center"/>
      <protection hidden="1"/>
    </xf>
    <xf numFmtId="0" fontId="44" fillId="0" borderId="143" xfId="0" applyFont="1" applyBorder="1" applyAlignment="1" applyProtection="1">
      <alignment horizontal="center" vertical="center"/>
      <protection hidden="1"/>
    </xf>
    <xf numFmtId="0" fontId="44" fillId="0" borderId="144" xfId="0" applyFont="1" applyBorder="1" applyAlignment="1" applyProtection="1">
      <alignment horizontal="center" vertical="center"/>
      <protection hidden="1"/>
    </xf>
    <xf numFmtId="0" fontId="44" fillId="0" borderId="134" xfId="0" applyFont="1" applyBorder="1" applyAlignment="1" applyProtection="1">
      <alignment horizontal="center" vertical="center"/>
      <protection hidden="1"/>
    </xf>
    <xf numFmtId="0" fontId="44" fillId="0" borderId="135" xfId="0" applyFont="1" applyBorder="1" applyAlignment="1" applyProtection="1">
      <alignment horizontal="center" vertical="center"/>
      <protection hidden="1"/>
    </xf>
    <xf numFmtId="0" fontId="60" fillId="0" borderId="75" xfId="0" applyFont="1" applyBorder="1" applyAlignment="1" applyProtection="1">
      <alignment horizontal="center" vertical="center" wrapText="1"/>
      <protection hidden="1"/>
    </xf>
    <xf numFmtId="0" fontId="60" fillId="0" borderId="0" xfId="0" applyFont="1" applyAlignment="1" applyProtection="1">
      <alignment horizontal="center" vertical="center" wrapText="1"/>
      <protection hidden="1"/>
    </xf>
    <xf numFmtId="0" fontId="60" fillId="0" borderId="76" xfId="0" applyFont="1" applyBorder="1" applyAlignment="1" applyProtection="1">
      <alignment horizontal="center" vertical="center" wrapText="1"/>
      <protection hidden="1"/>
    </xf>
    <xf numFmtId="0" fontId="6" fillId="0" borderId="72" xfId="0" applyFont="1" applyBorder="1" applyAlignment="1" applyProtection="1">
      <alignment horizontal="left" vertical="center"/>
      <protection hidden="1"/>
    </xf>
    <xf numFmtId="0" fontId="6" fillId="0" borderId="74" xfId="0" applyFont="1" applyBorder="1" applyAlignment="1" applyProtection="1">
      <alignment horizontal="left" vertical="center"/>
      <protection hidden="1"/>
    </xf>
    <xf numFmtId="0" fontId="51" fillId="0" borderId="100" xfId="0" quotePrefix="1" applyFont="1" applyBorder="1" applyAlignment="1" applyProtection="1">
      <alignment horizontal="center" vertical="center" wrapText="1"/>
      <protection hidden="1"/>
    </xf>
    <xf numFmtId="0" fontId="51" fillId="0" borderId="99" xfId="0" quotePrefix="1" applyFont="1" applyBorder="1" applyAlignment="1" applyProtection="1">
      <alignment horizontal="center" vertical="center" wrapText="1"/>
      <protection hidden="1"/>
    </xf>
    <xf numFmtId="0" fontId="51" fillId="0" borderId="101" xfId="0" quotePrefix="1" applyFont="1" applyBorder="1" applyAlignment="1" applyProtection="1">
      <alignment horizontal="center" vertical="center" wrapText="1"/>
      <protection hidden="1"/>
    </xf>
    <xf numFmtId="165" fontId="61" fillId="0" borderId="75" xfId="5" applyFont="1" applyFill="1" applyBorder="1" applyAlignment="1" applyProtection="1">
      <alignment horizontal="center" vertical="center" wrapText="1"/>
      <protection hidden="1"/>
    </xf>
    <xf numFmtId="165" fontId="61" fillId="0" borderId="0" xfId="5" applyFont="1" applyFill="1" applyBorder="1" applyAlignment="1" applyProtection="1">
      <alignment horizontal="center" vertical="center" wrapText="1"/>
      <protection hidden="1"/>
    </xf>
    <xf numFmtId="165" fontId="61" fillId="0" borderId="76" xfId="5" applyFont="1" applyFill="1" applyBorder="1" applyAlignment="1" applyProtection="1">
      <alignment horizontal="center" vertical="center" wrapText="1"/>
      <protection hidden="1"/>
    </xf>
    <xf numFmtId="0" fontId="4" fillId="0" borderId="25" xfId="0" applyFont="1" applyBorder="1" applyAlignment="1" applyProtection="1">
      <alignment horizontal="center"/>
      <protection hidden="1"/>
    </xf>
    <xf numFmtId="0" fontId="77" fillId="0" borderId="78" xfId="0" applyFont="1" applyBorder="1" applyAlignment="1" applyProtection="1">
      <alignment horizontal="left" vertical="top" wrapText="1"/>
      <protection hidden="1"/>
    </xf>
    <xf numFmtId="0" fontId="55" fillId="0" borderId="0" xfId="0" applyFont="1" applyAlignment="1" applyProtection="1">
      <alignment horizontal="left" vertical="center"/>
      <protection hidden="1"/>
    </xf>
    <xf numFmtId="0" fontId="44" fillId="0" borderId="117" xfId="0" applyFont="1" applyBorder="1" applyAlignment="1" applyProtection="1">
      <alignment horizontal="left" vertical="center" wrapText="1"/>
      <protection hidden="1"/>
    </xf>
    <xf numFmtId="0" fontId="50" fillId="0" borderId="115" xfId="0" applyFont="1" applyBorder="1" applyAlignment="1" applyProtection="1">
      <alignment horizontal="left" vertical="center" wrapText="1"/>
      <protection hidden="1"/>
    </xf>
    <xf numFmtId="0" fontId="50" fillId="0" borderId="115" xfId="0" applyFont="1" applyBorder="1" applyAlignment="1" applyProtection="1">
      <alignment horizontal="left" vertical="center"/>
      <protection hidden="1"/>
    </xf>
    <xf numFmtId="0" fontId="50" fillId="0" borderId="118" xfId="0" applyFont="1" applyBorder="1" applyAlignment="1" applyProtection="1">
      <alignment horizontal="left" vertical="center"/>
      <protection hidden="1"/>
    </xf>
    <xf numFmtId="0" fontId="44" fillId="0" borderId="0" xfId="0" applyFont="1" applyAlignment="1" applyProtection="1">
      <alignment horizontal="left" vertical="top" wrapText="1"/>
      <protection hidden="1"/>
    </xf>
    <xf numFmtId="0" fontId="4" fillId="0" borderId="114" xfId="0" applyFont="1" applyBorder="1" applyAlignment="1" applyProtection="1">
      <alignment horizontal="left" vertical="center" wrapText="1"/>
      <protection hidden="1"/>
    </xf>
    <xf numFmtId="0" fontId="4" fillId="0" borderId="115" xfId="0" applyFont="1" applyBorder="1" applyAlignment="1" applyProtection="1">
      <alignment horizontal="left" vertical="center" wrapText="1"/>
      <protection hidden="1"/>
    </xf>
    <xf numFmtId="0" fontId="4" fillId="0" borderId="116" xfId="0" applyFont="1" applyBorder="1" applyAlignment="1" applyProtection="1">
      <alignment horizontal="left" vertical="center" wrapText="1"/>
      <protection hidden="1"/>
    </xf>
    <xf numFmtId="0" fontId="78" fillId="0" borderId="0" xfId="0" applyFont="1" applyAlignment="1" applyProtection="1">
      <alignment horizontal="left" vertical="center" wrapText="1"/>
      <protection hidden="1"/>
    </xf>
    <xf numFmtId="0" fontId="78" fillId="0" borderId="76" xfId="0" applyFont="1" applyBorder="1" applyAlignment="1" applyProtection="1">
      <alignment horizontal="left" vertical="center" wrapText="1"/>
      <protection hidden="1"/>
    </xf>
    <xf numFmtId="0" fontId="45" fillId="0" borderId="98" xfId="0" applyFont="1" applyBorder="1" applyAlignment="1" applyProtection="1">
      <alignment horizontal="center" vertical="center" wrapText="1"/>
      <protection hidden="1"/>
    </xf>
    <xf numFmtId="0" fontId="45" fillId="0" borderId="78" xfId="0" applyFont="1" applyBorder="1" applyAlignment="1" applyProtection="1">
      <alignment horizontal="center" vertical="center" wrapText="1"/>
      <protection hidden="1"/>
    </xf>
    <xf numFmtId="0" fontId="45" fillId="0" borderId="102" xfId="0" applyFont="1" applyBorder="1" applyAlignment="1" applyProtection="1">
      <alignment horizontal="center" vertical="center" wrapText="1"/>
      <protection hidden="1"/>
    </xf>
    <xf numFmtId="0" fontId="44" fillId="0" borderId="91" xfId="0" applyFont="1" applyBorder="1" applyAlignment="1" applyProtection="1">
      <alignment horizontal="left" vertical="center" wrapText="1"/>
      <protection hidden="1"/>
    </xf>
    <xf numFmtId="0" fontId="44" fillId="0" borderId="82" xfId="0" applyFont="1" applyBorder="1" applyAlignment="1" applyProtection="1">
      <alignment horizontal="left" vertical="center" wrapText="1"/>
      <protection hidden="1"/>
    </xf>
    <xf numFmtId="0" fontId="44" fillId="0" borderId="92" xfId="0" applyFont="1" applyBorder="1" applyAlignment="1" applyProtection="1">
      <alignment horizontal="left" vertical="center" wrapText="1"/>
      <protection hidden="1"/>
    </xf>
    <xf numFmtId="0" fontId="44" fillId="0" borderId="70" xfId="0" applyFont="1" applyBorder="1" applyAlignment="1" applyProtection="1">
      <alignment horizontal="left" vertical="justify"/>
      <protection hidden="1"/>
    </xf>
    <xf numFmtId="0" fontId="44" fillId="0" borderId="77" xfId="0" applyFont="1" applyBorder="1" applyAlignment="1" applyProtection="1">
      <alignment horizontal="left" vertical="justify"/>
      <protection hidden="1"/>
    </xf>
    <xf numFmtId="0" fontId="45" fillId="0" borderId="75" xfId="0" applyFont="1" applyBorder="1" applyAlignment="1" applyProtection="1">
      <alignment horizontal="center" vertical="center" wrapText="1"/>
      <protection hidden="1"/>
    </xf>
    <xf numFmtId="0" fontId="45" fillId="0" borderId="0" xfId="0" applyFont="1" applyAlignment="1" applyProtection="1">
      <alignment horizontal="center" vertical="center" wrapText="1"/>
      <protection hidden="1"/>
    </xf>
    <xf numFmtId="0" fontId="45" fillId="0" borderId="76" xfId="0" applyFont="1" applyBorder="1" applyAlignment="1" applyProtection="1">
      <alignment horizontal="center" vertical="center" wrapText="1"/>
      <protection hidden="1"/>
    </xf>
    <xf numFmtId="165" fontId="33" fillId="17" borderId="3" xfId="5" applyFont="1" applyFill="1" applyBorder="1" applyAlignment="1" applyProtection="1">
      <alignment horizontal="center" vertical="center" wrapText="1"/>
      <protection locked="0"/>
    </xf>
    <xf numFmtId="0" fontId="16" fillId="17" borderId="3" xfId="0" applyFont="1" applyFill="1" applyBorder="1" applyAlignment="1" applyProtection="1">
      <alignment horizontal="center" vertical="center"/>
      <protection locked="0"/>
    </xf>
    <xf numFmtId="0" fontId="16" fillId="17" borderId="3" xfId="0" applyFont="1" applyFill="1" applyBorder="1" applyAlignment="1" applyProtection="1">
      <alignment horizontal="center" vertical="center" wrapText="1" shrinkToFit="1"/>
      <protection locked="0"/>
    </xf>
  </cellXfs>
  <cellStyles count="97">
    <cellStyle name="20% - Énfasis1" xfId="57" builtinId="30" customBuiltin="1"/>
    <cellStyle name="20% - Énfasis1 2" xfId="85"/>
    <cellStyle name="20% - Énfasis2" xfId="60" builtinId="34" customBuiltin="1"/>
    <cellStyle name="20% - Énfasis2 2" xfId="87"/>
    <cellStyle name="20% - Énfasis3" xfId="63" builtinId="38" customBuiltin="1"/>
    <cellStyle name="20% - Énfasis3 2" xfId="89"/>
    <cellStyle name="20% - Énfasis4" xfId="66" builtinId="42" customBuiltin="1"/>
    <cellStyle name="20% - Énfasis4 2" xfId="91"/>
    <cellStyle name="20% - Énfasis5" xfId="69" builtinId="46" customBuiltin="1"/>
    <cellStyle name="20% - Énfasis5 2" xfId="93"/>
    <cellStyle name="20% - Énfasis6" xfId="71" builtinId="50" customBuiltin="1"/>
    <cellStyle name="20% - Énfasis6 2" xfId="95"/>
    <cellStyle name="40% - Énfasis1" xfId="58" builtinId="31" customBuiltin="1"/>
    <cellStyle name="40% - Énfasis1 2" xfId="86"/>
    <cellStyle name="40% - Énfasis2" xfId="61" builtinId="35" customBuiltin="1"/>
    <cellStyle name="40% - Énfasis2 2" xfId="88"/>
    <cellStyle name="40% - Énfasis3" xfId="64" builtinId="39" customBuiltin="1"/>
    <cellStyle name="40% - Énfasis3 2" xfId="90"/>
    <cellStyle name="40% - Énfasis4" xfId="67" builtinId="43" customBuiltin="1"/>
    <cellStyle name="40% - Énfasis4 2" xfId="92"/>
    <cellStyle name="40% - Énfasis5" xfId="70" builtinId="47" customBuiltin="1"/>
    <cellStyle name="40% - Énfasis5 2" xfId="94"/>
    <cellStyle name="40% - Énfasis6" xfId="72" builtinId="51" customBuiltin="1"/>
    <cellStyle name="40% - Énfasis6 2" xfId="96"/>
    <cellStyle name="60% - Énfasis1" xfId="59" builtinId="32" customBuiltin="1"/>
    <cellStyle name="60% - Énfasis2" xfId="62" builtinId="36" customBuiltin="1"/>
    <cellStyle name="60% - Énfasis3" xfId="65" builtinId="40" customBuiltin="1"/>
    <cellStyle name="60% - Énfasis4" xfId="68" builtinId="44" customBuiltin="1"/>
    <cellStyle name="60% - Énfasis5" xfId="20" builtinId="48"/>
    <cellStyle name="60% - Énfasis5 2" xfId="39"/>
    <cellStyle name="60% - Énfasis5 3" xfId="81"/>
    <cellStyle name="60% - Énfasis6" xfId="73" builtinId="52" customBuiltin="1"/>
    <cellStyle name="Bueno" xfId="29" builtinId="26" customBuiltin="1"/>
    <cellStyle name="Cálculo" xfId="51" builtinId="22" customBuiltin="1"/>
    <cellStyle name="Celda de comprobación" xfId="53" builtinId="23" customBuiltin="1"/>
    <cellStyle name="Celda vinculada" xfId="52" builtinId="24" customBuiltin="1"/>
    <cellStyle name="Encabezado 1" xfId="44" builtinId="16" customBuiltin="1"/>
    <cellStyle name="Encabezado 4" xfId="47" builtinId="19" customBuiltin="1"/>
    <cellStyle name="Énfasis1" xfId="16" builtinId="29"/>
    <cellStyle name="Énfasis1 2" xfId="35"/>
    <cellStyle name="Énfasis1 3" xfId="77"/>
    <cellStyle name="Énfasis2" xfId="18" builtinId="33"/>
    <cellStyle name="Énfasis2 2" xfId="37"/>
    <cellStyle name="Énfasis2 3" xfId="78"/>
    <cellStyle name="Énfasis3" xfId="17" builtinId="37"/>
    <cellStyle name="Énfasis3 2" xfId="36"/>
    <cellStyle name="Énfasis3 3" xfId="79"/>
    <cellStyle name="Énfasis4" xfId="15" builtinId="41" customBuiltin="1"/>
    <cellStyle name="Énfasis5" xfId="19" builtinId="45"/>
    <cellStyle name="Énfasis5 2" xfId="38"/>
    <cellStyle name="Énfasis5 3" xfId="80"/>
    <cellStyle name="Énfasis6" xfId="21" builtinId="49"/>
    <cellStyle name="Énfasis6 2" xfId="40"/>
    <cellStyle name="Énfasis6 3" xfId="82"/>
    <cellStyle name="Entrada" xfId="49" builtinId="20" customBuiltin="1"/>
    <cellStyle name="Grey" xfId="1"/>
    <cellStyle name="Header1" xfId="2"/>
    <cellStyle name="Header2" xfId="3"/>
    <cellStyle name="Hipervínculo" xfId="28" builtinId="8"/>
    <cellStyle name="Hipervínculo 2" xfId="27"/>
    <cellStyle name="Incorrecto" xfId="22" builtinId="27"/>
    <cellStyle name="Incorrecto 2" xfId="41"/>
    <cellStyle name="Incorrecto 3" xfId="75"/>
    <cellStyle name="Input [yellow]" xfId="4"/>
    <cellStyle name="Millares" xfId="5" builtinId="3"/>
    <cellStyle name="Millares [0]" xfId="6" builtinId="6"/>
    <cellStyle name="Millares [0] 2" xfId="33"/>
    <cellStyle name="Millares 2" xfId="23"/>
    <cellStyle name="Millares 2 2" xfId="25"/>
    <cellStyle name="Millares 3" xfId="32"/>
    <cellStyle name="Neutral" xfId="48" builtinId="28" customBuiltin="1"/>
    <cellStyle name="Normal" xfId="0" builtinId="0"/>
    <cellStyle name="Normal - Style1" xfId="7"/>
    <cellStyle name="Normal 10" xfId="30"/>
    <cellStyle name="Normal 11" xfId="74"/>
    <cellStyle name="Normal 12" xfId="83"/>
    <cellStyle name="Normal 2" xfId="8"/>
    <cellStyle name="Normal 3" xfId="9"/>
    <cellStyle name="Normal 4" xfId="10"/>
    <cellStyle name="Normal 5" xfId="11"/>
    <cellStyle name="Normal 6" xfId="12"/>
    <cellStyle name="Normal 7" xfId="24"/>
    <cellStyle name="Normal 8" xfId="26"/>
    <cellStyle name="Normal 8 2" xfId="42"/>
    <cellStyle name="Normal 9" xfId="31"/>
    <cellStyle name="Notas 2" xfId="76"/>
    <cellStyle name="Notas 3" xfId="84"/>
    <cellStyle name="Percent [2]" xfId="13"/>
    <cellStyle name="Porcentaje" xfId="14" builtinId="5"/>
    <cellStyle name="Porcentaje 2" xfId="34"/>
    <cellStyle name="Salida" xfId="50" builtinId="21" customBuiltin="1"/>
    <cellStyle name="Texto de advertencia" xfId="54" builtinId="11" customBuiltin="1"/>
    <cellStyle name="Texto explicativo" xfId="55" builtinId="53" customBuiltin="1"/>
    <cellStyle name="Título" xfId="43" builtinId="15" customBuiltin="1"/>
    <cellStyle name="Título 2" xfId="45" builtinId="17" customBuiltin="1"/>
    <cellStyle name="Título 3" xfId="46" builtinId="18" customBuiltin="1"/>
    <cellStyle name="Total" xfId="56" builtinId="25" customBuiltin="1"/>
  </cellStyles>
  <dxfs count="42">
    <dxf>
      <font>
        <b/>
        <i val="0"/>
        <condense val="0"/>
        <extend val="0"/>
        <color auto="1"/>
      </font>
      <fill>
        <patternFill patternType="none">
          <bgColor indexed="65"/>
        </patternFill>
      </fill>
      <border>
        <left/>
        <right/>
        <top/>
        <bottom/>
      </border>
    </dxf>
    <dxf>
      <font>
        <color theme="0"/>
      </font>
      <border>
        <left/>
        <right/>
        <top/>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border>
        <left/>
        <top/>
        <bottom/>
        <vertical/>
        <horizontal/>
      </border>
    </dxf>
    <dxf>
      <font>
        <color theme="0"/>
      </font>
      <border>
        <left/>
        <right/>
        <top/>
        <bottom/>
        <vertical/>
        <horizontal/>
      </border>
    </dxf>
    <dxf>
      <border>
        <left style="thin">
          <color theme="0" tint="-0.499984740745262"/>
        </lef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ont>
        <condense val="0"/>
        <extend val="0"/>
        <color indexed="9"/>
      </font>
      <fill>
        <patternFill patternType="none">
          <bgColor indexed="65"/>
        </patternFill>
      </fill>
      <border>
        <left/>
        <right/>
        <top/>
        <bottom/>
      </border>
    </dxf>
    <dxf>
      <font>
        <b/>
        <i val="0"/>
        <condense val="0"/>
        <extend val="0"/>
        <color auto="1"/>
      </font>
      <fill>
        <patternFill patternType="none">
          <bgColor indexed="65"/>
        </patternFill>
      </fill>
      <border>
        <left/>
        <right/>
        <top/>
        <bottom/>
      </border>
    </dxf>
    <dxf>
      <font>
        <b val="0"/>
        <i val="0"/>
      </font>
      <fill>
        <patternFill patternType="none">
          <bgColor auto="1"/>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indexed="13"/>
        </patternFill>
      </fill>
      <border>
        <left style="thin">
          <color indexed="11"/>
        </left>
        <right style="thin">
          <color indexed="11"/>
        </right>
        <top style="thin">
          <color indexed="11"/>
        </top>
        <bottom style="thin">
          <color indexed="11"/>
        </bottom>
      </border>
    </dxf>
    <dxf>
      <fill>
        <patternFill>
          <bgColor indexed="27"/>
        </patternFill>
      </fill>
      <border>
        <left style="thin">
          <color indexed="64"/>
        </left>
        <right style="thin">
          <color indexed="64"/>
        </right>
        <top style="thin">
          <color indexed="64"/>
        </top>
        <bottom style="thin">
          <color indexed="64"/>
        </bottom>
      </border>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ont>
        <b/>
        <i val="0"/>
        <condense val="0"/>
        <extend val="0"/>
        <color indexed="9"/>
      </font>
      <fill>
        <patternFill>
          <bgColor indexed="60"/>
        </patternFill>
      </fill>
    </dxf>
    <dxf>
      <fill>
        <patternFill>
          <bgColor theme="0"/>
        </patternFill>
      </fill>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b/>
        <i val="0"/>
        <color auto="1"/>
      </font>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Drop" dropStyle="combo" dx="16" fmlaLink="'CAPTURA DP'!$B$8" fmlaRange="DATOS!$AJ$4:$AJ$12" sel="1" val="0"/>
</file>

<file path=xl/ctrlProps/ctrlProp2.xml><?xml version="1.0" encoding="utf-8"?>
<formControlPr xmlns="http://schemas.microsoft.com/office/spreadsheetml/2009/9/main" objectType="Drop" dropLines="6" dropStyle="combo" dx="16" fmlaLink="'CAPTURA DP'!$B$4" fmlaRange="DATOS!$B$4:$B$6" sel="3" val="0"/>
</file>

<file path=xl/ctrlProps/ctrlProp3.xml><?xml version="1.0" encoding="utf-8"?>
<formControlPr xmlns="http://schemas.microsoft.com/office/spreadsheetml/2009/9/main" objectType="Drop" dropStyle="combo" dx="16" fmlaLink="'CAPTURA DP'!$B$10" fmlaRange="DATOS!$AX$4:$AX$7" sel="1" val="0"/>
</file>

<file path=xl/ctrlProps/ctrlProp4.xml><?xml version="1.0" encoding="utf-8"?>
<formControlPr xmlns="http://schemas.microsoft.com/office/spreadsheetml/2009/9/main" objectType="CheckBox" fmlaLink="'CAPTURA DP'!B29" lockText="1"/>
</file>

<file path=xl/ctrlProps/ctrlProp5.xml><?xml version="1.0" encoding="utf-8"?>
<formControlPr xmlns="http://schemas.microsoft.com/office/spreadsheetml/2009/9/main" objectType="Drop" dropStyle="combo" dx="16" fmlaLink="'CAPTURA DP'!$B$5" fmlaRange="DATOS!$V$4:$V$51" sel="26" val="25"/>
</file>

<file path=xl/ctrlProps/ctrlProp6.xml><?xml version="1.0" encoding="utf-8"?>
<formControlPr xmlns="http://schemas.microsoft.com/office/spreadsheetml/2009/9/main" objectType="Drop" dropLines="5" dropStyle="combo" dx="16" fmlaLink="'CAPTURA DP'!$B$9" fmlaRange="DATOS!$AN$4:$AN$20" sel="11" val="0"/>
</file>

<file path=xl/ctrlProps/ctrlProp7.xml><?xml version="1.0" encoding="utf-8"?>
<formControlPr xmlns="http://schemas.microsoft.com/office/spreadsheetml/2009/9/main" objectType="Radio" checked="Checked" firstButton="1" fmlaLink="'CAPTURA DP'!F1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Drop" dropStyle="combo" dx="16" fmlaLink="'CAPTURA DP'!$B$6" fmlaRange="DATOS!$AE$4:$AE$100" noThreeD="1" sel="52" val="89"/>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Drop" dropStyle="combo" dx="16" fmlaLink="'CAPTURA DP'!$B$7" fmlaRange="DATOS!$P$4:$P$656" noThreeD="1" sel="23" val="500"/>
</file>

<file path=xl/ctrlProps/ctrlProp14.xml><?xml version="1.0" encoding="utf-8"?>
<formControlPr xmlns="http://schemas.microsoft.com/office/spreadsheetml/2009/9/main" objectType="Drop" dropStyle="combo" dx="16" fmlaLink="'CAPTURA DP'!$B$3" fmlaRange="DATOS!$B$11:$B$12" noThreeD="1" sel="1" val="0"/>
</file>

<file path=xl/ctrlProps/ctrlProp15.xml><?xml version="1.0" encoding="utf-8"?>
<formControlPr xmlns="http://schemas.microsoft.com/office/spreadsheetml/2009/9/main" objectType="CheckBox" fmlaLink="'CAPTURA DP'!$B$30" lockText="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4</xdr:col>
          <xdr:colOff>50800</xdr:colOff>
          <xdr:row>20</xdr:row>
          <xdr:rowOff>12700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50800</xdr:colOff>
          <xdr:row>7</xdr:row>
          <xdr:rowOff>12700</xdr:rowOff>
        </xdr:to>
        <xdr:sp macro="" textlink="">
          <xdr:nvSpPr>
            <xdr:cNvPr id="2056" name="Drop Dow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4</xdr:col>
          <xdr:colOff>50800</xdr:colOff>
          <xdr:row>14</xdr:row>
          <xdr:rowOff>12700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12700</xdr:rowOff>
        </xdr:from>
        <xdr:to>
          <xdr:col>7</xdr:col>
          <xdr:colOff>222250</xdr:colOff>
          <xdr:row>16</xdr:row>
          <xdr:rowOff>19050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50800</xdr:colOff>
          <xdr:row>9</xdr:row>
          <xdr:rowOff>12700</xdr:rowOff>
        </xdr:to>
        <xdr:sp macro="" textlink="">
          <xdr:nvSpPr>
            <xdr:cNvPr id="2060" name="Drop Dow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4</xdr:col>
          <xdr:colOff>50800</xdr:colOff>
          <xdr:row>22</xdr:row>
          <xdr:rowOff>12700</xdr:rowOff>
        </xdr:to>
        <xdr:sp macro="" textlink="">
          <xdr:nvSpPr>
            <xdr:cNvPr id="2088" name="Drop Down 40" hidden="1">
              <a:extLst>
                <a:ext uri="{63B3BB69-23CF-44E3-9099-C40C66FF867C}">
                  <a14:compatExt spid="_x0000_s2088"/>
                </a:ext>
                <a:ext uri="{FF2B5EF4-FFF2-40B4-BE49-F238E27FC236}">
                  <a16:creationId xmlns:a16="http://schemas.microsoft.com/office/drawing/2014/main" id="{00000000-0008-0000-0000-00002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742950</xdr:colOff>
          <xdr:row>18</xdr:row>
          <xdr:rowOff>114300</xdr:rowOff>
        </xdr:from>
        <xdr:to>
          <xdr:col>6</xdr:col>
          <xdr:colOff>965200</xdr:colOff>
          <xdr:row>19</xdr:row>
          <xdr:rowOff>171450</xdr:rowOff>
        </xdr:to>
        <xdr:sp macro="" textlink="">
          <xdr:nvSpPr>
            <xdr:cNvPr id="2114" name="boton3" hidden="1">
              <a:extLst>
                <a:ext uri="{63B3BB69-23CF-44E3-9099-C40C66FF867C}">
                  <a14:compatExt spid="_x0000_s2114"/>
                </a:ext>
                <a:ext uri="{FF2B5EF4-FFF2-40B4-BE49-F238E27FC236}">
                  <a16:creationId xmlns:a16="http://schemas.microsoft.com/office/drawing/2014/main" id="{00000000-0008-0000-00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19</xdr:row>
          <xdr:rowOff>0</xdr:rowOff>
        </xdr:from>
        <xdr:to>
          <xdr:col>6</xdr:col>
          <xdr:colOff>971550</xdr:colOff>
          <xdr:row>20</xdr:row>
          <xdr:rowOff>12700</xdr:rowOff>
        </xdr:to>
        <xdr:sp macro="" textlink="">
          <xdr:nvSpPr>
            <xdr:cNvPr id="2115" name="boton4"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20</xdr:row>
          <xdr:rowOff>0</xdr:rowOff>
        </xdr:from>
        <xdr:to>
          <xdr:col>6</xdr:col>
          <xdr:colOff>971550</xdr:colOff>
          <xdr:row>21</xdr:row>
          <xdr:rowOff>50800</xdr:rowOff>
        </xdr:to>
        <xdr:sp macro="" textlink="">
          <xdr:nvSpPr>
            <xdr:cNvPr id="2116" name="boton5"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4</xdr:col>
          <xdr:colOff>50800</xdr:colOff>
          <xdr:row>16</xdr:row>
          <xdr:rowOff>12700</xdr:rowOff>
        </xdr:to>
        <xdr:sp macro="" textlink="">
          <xdr:nvSpPr>
            <xdr:cNvPr id="2118" name="Drop Down 70" hidden="1">
              <a:extLst>
                <a:ext uri="{63B3BB69-23CF-44E3-9099-C40C66FF867C}">
                  <a14:compatExt spid="_x0000_s2118"/>
                </a:ext>
                <a:ext uri="{FF2B5EF4-FFF2-40B4-BE49-F238E27FC236}">
                  <a16:creationId xmlns:a16="http://schemas.microsoft.com/office/drawing/2014/main" id="{00000000-0008-0000-0000-00004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755650</xdr:colOff>
          <xdr:row>21</xdr:row>
          <xdr:rowOff>0</xdr:rowOff>
        </xdr:from>
        <xdr:to>
          <xdr:col>6</xdr:col>
          <xdr:colOff>984250</xdr:colOff>
          <xdr:row>22</xdr:row>
          <xdr:rowOff>0</xdr:rowOff>
        </xdr:to>
        <xdr:sp macro="" textlink="">
          <xdr:nvSpPr>
            <xdr:cNvPr id="2120" name="boton1"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774700</xdr:colOff>
          <xdr:row>22</xdr:row>
          <xdr:rowOff>12700</xdr:rowOff>
        </xdr:from>
        <xdr:to>
          <xdr:col>6</xdr:col>
          <xdr:colOff>1066800</xdr:colOff>
          <xdr:row>23</xdr:row>
          <xdr:rowOff>50800</xdr:rowOff>
        </xdr:to>
        <xdr:sp macro="" textlink="">
          <xdr:nvSpPr>
            <xdr:cNvPr id="2121" name="boton2"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4</xdr:col>
          <xdr:colOff>50800</xdr:colOff>
          <xdr:row>18</xdr:row>
          <xdr:rowOff>12700</xdr:rowOff>
        </xdr:to>
        <xdr:sp macro="" textlink="">
          <xdr:nvSpPr>
            <xdr:cNvPr id="2126" name="Drop Down 78" hidden="1">
              <a:extLst>
                <a:ext uri="{63B3BB69-23CF-44E3-9099-C40C66FF867C}">
                  <a14:compatExt spid="_x0000_s2126"/>
                </a:ext>
                <a:ext uri="{FF2B5EF4-FFF2-40B4-BE49-F238E27FC236}">
                  <a16:creationId xmlns:a16="http://schemas.microsoft.com/office/drawing/2014/main" id="{00000000-0008-0000-0000-00004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50800</xdr:colOff>
          <xdr:row>11</xdr:row>
          <xdr:rowOff>0</xdr:rowOff>
        </xdr:to>
        <xdr:sp macro="" textlink="">
          <xdr:nvSpPr>
            <xdr:cNvPr id="2129" name="Drop Down 81" hidden="1">
              <a:extLst>
                <a:ext uri="{63B3BB69-23CF-44E3-9099-C40C66FF867C}">
                  <a14:compatExt spid="_x0000_s2129"/>
                </a:ext>
                <a:ext uri="{FF2B5EF4-FFF2-40B4-BE49-F238E27FC236}">
                  <a16:creationId xmlns:a16="http://schemas.microsoft.com/office/drawing/2014/main" id="{00000000-0008-0000-0000-00005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12700</xdr:rowOff>
        </xdr:from>
        <xdr:to>
          <xdr:col>7</xdr:col>
          <xdr:colOff>222250</xdr:colOff>
          <xdr:row>18</xdr:row>
          <xdr:rowOff>19050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000-000052080000}"/>
                </a:ext>
              </a:extLst>
            </xdr:cNvPr>
            <xdr:cNvSpPr/>
          </xdr:nvSpPr>
          <xdr:spPr bwMode="auto">
            <a:xfrm>
              <a:off x="0" y="0"/>
              <a:ext cx="0" cy="0"/>
            </a:xfrm>
            <a:prstGeom prst="rect">
              <a:avLst/>
            </a:prstGeom>
            <a:solidFill>
              <a:srgbClr val="969696" mc:Ignorable="a14" a14:legacySpreadsheetColorIndex="5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451576</xdr:colOff>
      <xdr:row>0</xdr:row>
      <xdr:rowOff>163517</xdr:rowOff>
    </xdr:from>
    <xdr:to>
      <xdr:col>12</xdr:col>
      <xdr:colOff>2452309</xdr:colOff>
      <xdr:row>3</xdr:row>
      <xdr:rowOff>90737</xdr:rowOff>
    </xdr:to>
    <xdr:pic>
      <xdr:nvPicPr>
        <xdr:cNvPr id="13313" name="Picture 101" descr="C:\unzipped\bmp color\bmp color\OE logotipo SegA 200.bmp">
          <a:extLst>
            <a:ext uri="{FF2B5EF4-FFF2-40B4-BE49-F238E27FC236}">
              <a16:creationId xmlns:a16="http://schemas.microsoft.com/office/drawing/2014/main" id="{00000000-0008-0000-0300-0000013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462181" y="163517"/>
          <a:ext cx="2000733" cy="701771"/>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1.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image" Target="../media/image1.jpeg"/><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inegi.org.mx/temas/uma/" TargetMode="External"/><Relationship Id="rId1" Type="http://schemas.openxmlformats.org/officeDocument/2006/relationships/hyperlink" Target="http://www.segurosatlas.com.mx/OficinasAtencion.html" TargetMode="Externa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N60"/>
  <sheetViews>
    <sheetView showGridLines="0" tabSelected="1" zoomScaleNormal="100" workbookViewId="0">
      <selection activeCell="C3" sqref="C3:G3"/>
    </sheetView>
  </sheetViews>
  <sheetFormatPr baseColWidth="10" defaultColWidth="0" defaultRowHeight="12.5" zeroHeight="1"/>
  <cols>
    <col min="1" max="1" width="19.1796875" customWidth="1"/>
    <col min="2" max="2" width="28.54296875" customWidth="1"/>
    <col min="3" max="3" width="29.81640625" customWidth="1"/>
    <col min="4" max="4" width="16" hidden="1" customWidth="1"/>
    <col min="5" max="5" width="13" customWidth="1"/>
    <col min="6" max="7" width="25.453125" customWidth="1"/>
    <col min="8" max="8" width="16.7265625" customWidth="1"/>
    <col min="9" max="9" width="12.81640625" customWidth="1"/>
    <col min="10" max="10" width="10.7265625" customWidth="1"/>
    <col min="11" max="11" width="10.26953125" customWidth="1"/>
    <col min="12" max="12" width="20.7265625" hidden="1" customWidth="1"/>
    <col min="13" max="13" width="8" hidden="1" customWidth="1"/>
    <col min="14" max="14" width="7.54296875" hidden="1" customWidth="1"/>
    <col min="15" max="16384" width="4.26953125" hidden="1"/>
  </cols>
  <sheetData>
    <row r="1" spans="1:12" ht="22" customHeight="1">
      <c r="A1" s="446" t="s">
        <v>1082</v>
      </c>
      <c r="B1" s="447"/>
      <c r="C1" s="447"/>
      <c r="D1" s="447"/>
      <c r="E1" s="447"/>
      <c r="F1" s="447"/>
      <c r="G1" s="447"/>
      <c r="H1" s="447"/>
      <c r="I1" s="447"/>
      <c r="J1" s="447"/>
      <c r="K1" s="447"/>
    </row>
    <row r="2" spans="1:12" ht="15" customHeight="1" thickBot="1">
      <c r="A2" s="450" t="s">
        <v>1153</v>
      </c>
      <c r="B2" s="450"/>
      <c r="C2" s="450"/>
      <c r="D2" s="450"/>
      <c r="E2" s="450"/>
      <c r="F2" s="450"/>
      <c r="G2" s="450"/>
      <c r="H2" s="451"/>
      <c r="I2" s="451"/>
      <c r="J2" s="451"/>
      <c r="K2" s="451"/>
    </row>
    <row r="3" spans="1:12" ht="17.149999999999999" customHeight="1" thickTop="1" thickBot="1">
      <c r="A3" s="448" t="s">
        <v>110</v>
      </c>
      <c r="B3" s="449"/>
      <c r="C3" s="452"/>
      <c r="D3" s="453"/>
      <c r="E3" s="453"/>
      <c r="F3" s="454"/>
      <c r="G3" s="454"/>
      <c r="H3" s="21"/>
      <c r="I3" s="21"/>
      <c r="J3" s="21"/>
      <c r="K3" s="332"/>
      <c r="L3" s="25"/>
    </row>
    <row r="4" spans="1:12" ht="13" customHeight="1" thickBot="1">
      <c r="A4" s="22"/>
      <c r="B4" s="23"/>
      <c r="C4" s="457" t="str">
        <f ca="1">+IF(C5="","La cotización no será válida sin fecha de Inicio de Vigencia",IF(C5&gt;DATOS!B23,"Cambiar fecha de inicio de vigencia antes del 1 de julio del 2021",""))</f>
        <v/>
      </c>
      <c r="D4" s="457"/>
      <c r="E4" s="457"/>
      <c r="F4" s="457"/>
      <c r="G4" s="457"/>
      <c r="H4" s="24"/>
      <c r="I4" s="24"/>
      <c r="J4" s="24"/>
      <c r="K4" s="20"/>
    </row>
    <row r="5" spans="1:12" ht="17.149999999999999" customHeight="1" thickBot="1">
      <c r="A5" s="448" t="s">
        <v>87</v>
      </c>
      <c r="B5" s="449"/>
      <c r="C5" s="455">
        <f ca="1">+TODAY()</f>
        <v>45104</v>
      </c>
      <c r="D5" s="456"/>
      <c r="G5" s="25"/>
      <c r="H5" s="30"/>
      <c r="I5" s="30"/>
      <c r="J5" s="30"/>
      <c r="K5" s="30"/>
    </row>
    <row r="6" spans="1:12" ht="13" customHeight="1" thickBot="1">
      <c r="A6" s="421"/>
      <c r="B6" s="421"/>
      <c r="C6" s="422"/>
      <c r="D6" s="422"/>
      <c r="E6" s="422"/>
      <c r="F6" s="422"/>
      <c r="G6" s="422"/>
      <c r="H6" s="422"/>
      <c r="I6" s="422"/>
      <c r="J6" s="422"/>
      <c r="K6" s="33"/>
    </row>
    <row r="7" spans="1:12" ht="17.149999999999999" customHeight="1" thickBot="1">
      <c r="A7" s="448" t="s">
        <v>129</v>
      </c>
      <c r="B7" s="449"/>
      <c r="C7" s="243"/>
      <c r="D7" s="55">
        <f>+'CAPTURA DP'!B4</f>
        <v>3</v>
      </c>
      <c r="E7" s="29"/>
      <c r="K7" s="30"/>
    </row>
    <row r="8" spans="1:12" ht="13" customHeight="1" thickBot="1">
      <c r="A8" s="27"/>
      <c r="B8" s="26"/>
      <c r="C8" s="28"/>
      <c r="D8" s="31"/>
      <c r="E8" s="29"/>
      <c r="K8" s="33"/>
    </row>
    <row r="9" spans="1:12" ht="17.149999999999999" customHeight="1" thickBot="1">
      <c r="A9" s="448" t="s">
        <v>1083</v>
      </c>
      <c r="B9" s="449"/>
      <c r="C9" s="28"/>
      <c r="D9" s="55">
        <f>1-'CAPTURA DP'!B17</f>
        <v>0</v>
      </c>
      <c r="E9" s="34"/>
      <c r="J9" s="32"/>
      <c r="K9" s="33"/>
    </row>
    <row r="10" spans="1:12" ht="13" customHeight="1" thickBot="1">
      <c r="J10" s="32"/>
      <c r="K10" s="33"/>
    </row>
    <row r="11" spans="1:12" ht="17.25" customHeight="1" thickBot="1">
      <c r="A11" s="448" t="s">
        <v>1100</v>
      </c>
      <c r="B11" s="449"/>
      <c r="C11" s="28"/>
      <c r="D11" s="55"/>
      <c r="E11" s="34"/>
      <c r="J11" s="32"/>
      <c r="K11" s="33"/>
    </row>
    <row r="12" spans="1:12" ht="15.65" customHeight="1">
      <c r="A12" s="459" t="str">
        <f>+IF(b=1,"","Ingrese la oficina y número de póliza:")</f>
        <v/>
      </c>
      <c r="B12" s="459"/>
      <c r="C12" s="426"/>
      <c r="D12" s="55"/>
      <c r="E12" s="34"/>
      <c r="J12" s="32"/>
      <c r="K12" s="33"/>
    </row>
    <row r="13" spans="1:12" ht="15.65" customHeight="1" thickBot="1">
      <c r="A13" s="458" t="str">
        <f>+IF(b=1,"",(IF(ISERROR(VLOOKUP('CAPTURA DP'!D3,polizas,1,0)),"La póliza no existe, favor de verificar, el formato correcto es: ""D00-12345""","")))</f>
        <v/>
      </c>
      <c r="B13" s="458"/>
      <c r="C13" s="458"/>
      <c r="D13" s="329"/>
      <c r="E13" s="29"/>
      <c r="K13" s="33"/>
    </row>
    <row r="14" spans="1:12" ht="17.149999999999999" customHeight="1" thickBot="1">
      <c r="A14" s="448" t="s">
        <v>136</v>
      </c>
      <c r="B14" s="449"/>
      <c r="C14" s="20"/>
      <c r="D14" s="55">
        <f>+'CAPTURA DP'!B18</f>
        <v>1</v>
      </c>
      <c r="E14" s="36"/>
      <c r="K14" s="33"/>
    </row>
    <row r="15" spans="1:12" ht="13" customHeight="1" thickBot="1">
      <c r="A15" s="458" t="str">
        <f>+IF(AND('CAPTURA DP'!B10=4,DATOS!AX2=0,'CAPTURA DP'!F18="no"),"Seleccionar un CUA válido.","")</f>
        <v/>
      </c>
      <c r="B15" s="458"/>
      <c r="C15" s="458"/>
      <c r="D15" s="35"/>
      <c r="E15" s="37"/>
      <c r="K15" s="33"/>
    </row>
    <row r="16" spans="1:12" ht="17.149999999999999" customHeight="1" thickBot="1">
      <c r="A16" s="448" t="s">
        <v>88</v>
      </c>
      <c r="B16" s="449">
        <v>9</v>
      </c>
      <c r="C16" s="95"/>
      <c r="D16" s="55">
        <f>+'CAPTURA DP'!B19</f>
        <v>1.2051000000000001</v>
      </c>
      <c r="E16" s="38"/>
      <c r="F16" s="460" t="s">
        <v>1124</v>
      </c>
      <c r="G16" s="461"/>
      <c r="H16" s="461"/>
      <c r="J16" s="31"/>
      <c r="K16" s="31"/>
    </row>
    <row r="17" spans="1:11" ht="17.149999999999999" customHeight="1" thickBot="1">
      <c r="A17" s="468" t="str">
        <f>IF(AND('CAPTURA DP'!B6=97,b=1),"La SA seleccionada es únicamente para pólizas de renovación que cuenten con esta condición","")</f>
        <v/>
      </c>
      <c r="B17" s="468"/>
      <c r="C17" s="468"/>
      <c r="D17" s="468"/>
      <c r="E17" s="469"/>
      <c r="F17" s="462" t="s">
        <v>1084</v>
      </c>
      <c r="G17" s="462"/>
      <c r="H17" s="438">
        <v>0</v>
      </c>
      <c r="K17" s="20"/>
    </row>
    <row r="18" spans="1:11" ht="17.149999999999999" customHeight="1">
      <c r="A18" s="466" t="s">
        <v>89</v>
      </c>
      <c r="B18" s="467"/>
      <c r="C18" s="95"/>
      <c r="D18" s="55">
        <f>+'CAPTURA DP'!B20</f>
        <v>0.140345</v>
      </c>
      <c r="E18" s="38"/>
      <c r="F18" s="460" t="s">
        <v>1123</v>
      </c>
      <c r="G18" s="461"/>
      <c r="H18" s="461"/>
      <c r="J18" s="41"/>
      <c r="K18" s="20"/>
    </row>
    <row r="19" spans="1:11" ht="13" customHeight="1" thickBot="1">
      <c r="A19" s="458" t="str">
        <f>+IF(MID('CAPTURA DP'!F7,1,1)="v","El deducible tiene que ser menor a la Suma Asegurada.","")</f>
        <v/>
      </c>
      <c r="B19" s="458"/>
      <c r="C19" s="458"/>
      <c r="D19" s="35"/>
      <c r="E19" s="38"/>
      <c r="J19" s="31"/>
      <c r="K19" s="20"/>
    </row>
    <row r="20" spans="1:11" ht="17.149999999999999" customHeight="1" thickBot="1">
      <c r="A20" s="448" t="s">
        <v>61</v>
      </c>
      <c r="B20" s="449"/>
      <c r="C20" s="20"/>
      <c r="D20" s="55">
        <f>+'CAPTURA DP'!B21</f>
        <v>1</v>
      </c>
      <c r="E20" s="36"/>
      <c r="F20" s="458" t="str">
        <f>IF('CAPTURA DP'!C30="SI","Atencíon: está cotizando con IVA Fronterizo!","")</f>
        <v/>
      </c>
      <c r="G20" s="458"/>
      <c r="H20" s="458"/>
      <c r="I20" s="458"/>
      <c r="J20" s="97"/>
      <c r="K20" s="20"/>
    </row>
    <row r="21" spans="1:11" ht="13" customHeight="1" thickBot="1">
      <c r="A21" s="463"/>
      <c r="B21" s="463"/>
      <c r="C21" s="463"/>
      <c r="D21" s="39"/>
      <c r="E21" s="40"/>
      <c r="J21" s="31"/>
      <c r="K21" s="20"/>
    </row>
    <row r="22" spans="1:11" ht="17.149999999999999" customHeight="1" thickBot="1">
      <c r="A22" s="448" t="s">
        <v>90</v>
      </c>
      <c r="B22" s="449"/>
      <c r="C22" s="20"/>
      <c r="D22" s="327">
        <f>+'CAPTURA DP'!B22</f>
        <v>1.015882</v>
      </c>
      <c r="E22" s="42"/>
      <c r="K22" s="20"/>
    </row>
    <row r="23" spans="1:11" ht="16" customHeight="1" thickBot="1">
      <c r="A23" s="463" t="str">
        <f>IF(AND('CAPTURA DP'!B9&gt;1,'CAPTURA DP'!B9&lt;8,b=1),"Tope de coaseguro no válido para pólizas nuevas.",(IF(AND('CAPTURA DP'!B9=8,b=1),"Tope de Coaseguro válido sólo para plan Óptimo.",IF(AND(OR('CAPTURA DP'!B9=9,'CAPTURA DP'!B9=10),b=1),"Tope de Coaseguro válido sólo para plan Óptimo y Plus.",""))))</f>
        <v/>
      </c>
      <c r="B23" s="463"/>
      <c r="C23" s="463"/>
      <c r="D23" s="39"/>
      <c r="E23" s="43"/>
      <c r="K23" s="20"/>
    </row>
    <row r="24" spans="1:11" ht="17.149999999999999" customHeight="1" thickBot="1">
      <c r="A24" s="448" t="s">
        <v>86</v>
      </c>
      <c r="B24" s="449"/>
      <c r="C24" s="464"/>
      <c r="D24" s="465"/>
      <c r="E24" s="465"/>
      <c r="F24" s="465"/>
      <c r="G24" s="465"/>
      <c r="H24" s="465"/>
      <c r="I24" s="465"/>
      <c r="K24" s="20"/>
    </row>
    <row r="25" spans="1:11" ht="15.5" hidden="1">
      <c r="A25" s="22"/>
      <c r="C25" s="325" t="str">
        <f ca="1">+'CARTA-COTIZACION'!G72</f>
        <v/>
      </c>
      <c r="D25" s="326" t="str">
        <f ca="1">+'CARTA-COTIZACION'!J72</f>
        <v/>
      </c>
      <c r="E25" s="325" t="str">
        <f ca="1">+'CARTA-COTIZACION'!M72</f>
        <v/>
      </c>
      <c r="F25" s="96" t="s">
        <v>139</v>
      </c>
      <c r="G25" s="98">
        <v>1</v>
      </c>
      <c r="H25" s="45"/>
      <c r="I25" s="45"/>
      <c r="J25" s="44"/>
      <c r="K25" s="31"/>
    </row>
    <row r="26" spans="1:11" ht="14.5" hidden="1">
      <c r="A26" s="31"/>
      <c r="B26" s="96" t="s">
        <v>133</v>
      </c>
      <c r="C26" s="402">
        <f ca="1">+'CARTA-COTIZACION'!G82</f>
        <v>0</v>
      </c>
      <c r="D26" s="402">
        <f ca="1">+'CARTA-COTIZACION'!J82</f>
        <v>0</v>
      </c>
      <c r="E26" s="402">
        <f ca="1">+'CARTA-COTIZACION'!M82</f>
        <v>0</v>
      </c>
      <c r="I26" s="31"/>
      <c r="J26" s="31"/>
      <c r="K26" s="31"/>
    </row>
    <row r="27" spans="1:11" ht="13">
      <c r="A27" s="31"/>
      <c r="I27" s="31"/>
      <c r="J27" s="31"/>
      <c r="K27" s="31"/>
    </row>
    <row r="28" spans="1:11" ht="13">
      <c r="A28" s="31"/>
      <c r="B28" s="31"/>
      <c r="I28" s="31"/>
      <c r="J28" s="31"/>
      <c r="K28" s="31"/>
    </row>
    <row r="29" spans="1:11" ht="13">
      <c r="A29" s="31"/>
      <c r="B29" s="31"/>
      <c r="C29" s="47"/>
      <c r="D29" s="46"/>
      <c r="E29" s="46"/>
      <c r="F29" s="31"/>
      <c r="G29" s="31"/>
      <c r="H29" s="31"/>
      <c r="I29" s="31"/>
      <c r="J29" s="31"/>
      <c r="K29" s="31"/>
    </row>
    <row r="30" spans="1:11" ht="13">
      <c r="A30" s="31"/>
      <c r="B30" s="31"/>
      <c r="C30" s="31"/>
      <c r="D30" s="46"/>
      <c r="E30" s="31"/>
      <c r="F30" s="31"/>
      <c r="G30" s="31"/>
      <c r="H30" s="31"/>
      <c r="I30" s="31"/>
      <c r="J30" s="31"/>
      <c r="K30" s="31"/>
    </row>
    <row r="31" spans="1:11" ht="13">
      <c r="A31" s="31"/>
      <c r="B31" s="31"/>
      <c r="C31" s="31"/>
      <c r="D31" s="31"/>
      <c r="E31" s="31"/>
      <c r="F31" s="31"/>
      <c r="G31" s="31"/>
      <c r="H31" s="31"/>
      <c r="I31" s="31"/>
      <c r="J31" s="31"/>
      <c r="K31" s="31"/>
    </row>
    <row r="32" spans="1:11" ht="13.5" hidden="1" thickBot="1">
      <c r="A32" s="31"/>
      <c r="B32" s="31"/>
      <c r="C32" s="31"/>
      <c r="D32" s="31"/>
      <c r="E32" s="31"/>
      <c r="F32" s="31"/>
      <c r="G32" s="31"/>
      <c r="H32" s="31"/>
      <c r="I32" s="31"/>
      <c r="J32" s="31"/>
      <c r="K32" s="31"/>
    </row>
    <row r="33" spans="1:7" ht="14.5" hidden="1">
      <c r="A33" s="392">
        <f>+IF($C$34&gt;3,"",B33)</f>
        <v>1</v>
      </c>
      <c r="B33" s="393">
        <v>1</v>
      </c>
      <c r="C33" s="77" t="s">
        <v>287</v>
      </c>
      <c r="D33" s="396" t="s">
        <v>420</v>
      </c>
    </row>
    <row r="34" spans="1:7" ht="15" hidden="1" thickBot="1">
      <c r="A34" s="392">
        <f>+IF($C$34&gt;3,"",B34)</f>
        <v>2</v>
      </c>
      <c r="B34" s="394">
        <v>2</v>
      </c>
      <c r="C34" s="78">
        <f>+'CAPTURA DP'!B4</f>
        <v>3</v>
      </c>
      <c r="D34" s="396" t="e">
        <f>+VLOOKUP(C18,$A$33:$A$60,1,0)</f>
        <v>#N/A</v>
      </c>
    </row>
    <row r="35" spans="1:7" ht="14.5" hidden="1">
      <c r="A35" s="392">
        <f>+IF($C$34&gt;3,"",B35)</f>
        <v>3</v>
      </c>
      <c r="B35" s="394">
        <v>3</v>
      </c>
      <c r="D35" s="295" t="s">
        <v>130</v>
      </c>
      <c r="E35" s="296"/>
      <c r="F35" s="296"/>
      <c r="G35" s="297"/>
    </row>
    <row r="36" spans="1:7" ht="14.5" hidden="1">
      <c r="A36" s="392">
        <f>+IF($C$34&gt;3,"",B36)</f>
        <v>4</v>
      </c>
      <c r="B36" s="394">
        <v>4</v>
      </c>
      <c r="D36" s="242">
        <f>+IF(OR(A17="La Suma Asegurada seleccionada solo aplica para plan Óptimo.",A17=""),0,1)</f>
        <v>0</v>
      </c>
      <c r="E36" s="470" t="s">
        <v>88</v>
      </c>
      <c r="F36" s="475"/>
      <c r="G36" s="242">
        <f>+D36</f>
        <v>0</v>
      </c>
    </row>
    <row r="37" spans="1:7" ht="14.5" hidden="1">
      <c r="A37" s="392">
        <f t="shared" ref="A37:A57" si="0">+IF($C$34&gt;3,"",B37)</f>
        <v>5</v>
      </c>
      <c r="B37" s="394">
        <v>5</v>
      </c>
      <c r="D37" s="242" t="str">
        <f>+A15</f>
        <v/>
      </c>
      <c r="E37" s="470" t="s">
        <v>291</v>
      </c>
      <c r="F37" s="475"/>
      <c r="G37" s="92">
        <f>+IF(D37="",0,1)</f>
        <v>0</v>
      </c>
    </row>
    <row r="38" spans="1:7" ht="14.5" hidden="1">
      <c r="A38" s="392">
        <f t="shared" si="0"/>
        <v>6</v>
      </c>
      <c r="B38" s="394">
        <v>6</v>
      </c>
      <c r="D38" s="92" t="str">
        <f>+A19</f>
        <v/>
      </c>
      <c r="E38" s="470" t="s">
        <v>131</v>
      </c>
      <c r="F38" s="471"/>
      <c r="G38" s="92">
        <f>+IF(D38="",0,1)</f>
        <v>0</v>
      </c>
    </row>
    <row r="39" spans="1:7" ht="14.5" hidden="1">
      <c r="A39" s="392">
        <f t="shared" si="0"/>
        <v>7</v>
      </c>
      <c r="B39" s="394">
        <v>7</v>
      </c>
      <c r="D39" s="92"/>
      <c r="E39" s="470" t="s">
        <v>61</v>
      </c>
      <c r="F39" s="471"/>
      <c r="G39" s="92">
        <f>+IF(D39="",0,1)</f>
        <v>0</v>
      </c>
    </row>
    <row r="40" spans="1:7" ht="14.5" hidden="1">
      <c r="A40" s="392">
        <f t="shared" si="0"/>
        <v>8</v>
      </c>
      <c r="B40" s="394">
        <v>8</v>
      </c>
      <c r="D40" s="92"/>
      <c r="E40" s="470" t="s">
        <v>132</v>
      </c>
      <c r="F40" s="471"/>
      <c r="G40" s="92">
        <v>0</v>
      </c>
    </row>
    <row r="41" spans="1:7" ht="14.5" hidden="1">
      <c r="A41" s="392">
        <f t="shared" si="0"/>
        <v>9</v>
      </c>
      <c r="B41" s="394">
        <v>9</v>
      </c>
      <c r="D41" s="93" t="str">
        <f ca="1">+C4</f>
        <v/>
      </c>
      <c r="E41" s="470" t="s">
        <v>317</v>
      </c>
      <c r="F41" s="471"/>
      <c r="G41" s="92">
        <f ca="1">+IF(D41="",0,1)</f>
        <v>0</v>
      </c>
    </row>
    <row r="42" spans="1:7" ht="14.5" hidden="1">
      <c r="A42" s="392">
        <f t="shared" si="0"/>
        <v>10</v>
      </c>
      <c r="B42" s="394">
        <v>10</v>
      </c>
      <c r="D42" s="92">
        <f ca="1">IF(+'CAPTURA DP'!B3=2,0,'CAPTURA LISTADO'!K16)</f>
        <v>1</v>
      </c>
      <c r="E42" s="470" t="s">
        <v>286</v>
      </c>
      <c r="F42" s="471"/>
      <c r="G42" s="92">
        <f ca="1">+IF(D42&gt;=1,1,0)</f>
        <v>1</v>
      </c>
    </row>
    <row r="43" spans="1:7" ht="14.5" hidden="1">
      <c r="A43" s="392">
        <f t="shared" si="0"/>
        <v>11</v>
      </c>
      <c r="B43" s="394">
        <v>11</v>
      </c>
      <c r="D43" s="92"/>
      <c r="E43" s="470" t="s">
        <v>334</v>
      </c>
      <c r="F43" s="471"/>
      <c r="G43" s="92">
        <f>+IF(D43="",0,1)</f>
        <v>0</v>
      </c>
    </row>
    <row r="44" spans="1:7" ht="14.5" hidden="1">
      <c r="A44" s="392">
        <f t="shared" si="0"/>
        <v>12</v>
      </c>
      <c r="B44" s="394">
        <v>12</v>
      </c>
      <c r="D44" s="92" t="str">
        <f>+A13</f>
        <v/>
      </c>
      <c r="E44" s="470" t="s">
        <v>356</v>
      </c>
      <c r="F44" s="471"/>
      <c r="G44" s="92">
        <f>+IF(D44="",0,1)</f>
        <v>0</v>
      </c>
    </row>
    <row r="45" spans="1:7" ht="14.5" hidden="1">
      <c r="A45" s="392">
        <f t="shared" si="0"/>
        <v>13</v>
      </c>
      <c r="B45" s="394">
        <v>13</v>
      </c>
      <c r="D45" s="472" t="s">
        <v>36</v>
      </c>
      <c r="E45" s="473"/>
      <c r="F45" s="474"/>
      <c r="G45" s="242">
        <f ca="1">SUM(G36:G44)</f>
        <v>1</v>
      </c>
    </row>
    <row r="46" spans="1:7" ht="14.5" hidden="1">
      <c r="A46" s="392">
        <f t="shared" si="0"/>
        <v>14</v>
      </c>
      <c r="B46" s="394">
        <v>14</v>
      </c>
      <c r="D46" s="241">
        <v>1</v>
      </c>
      <c r="E46" s="241" t="s">
        <v>336</v>
      </c>
      <c r="F46" s="241"/>
      <c r="G46" s="241"/>
    </row>
    <row r="47" spans="1:7" ht="14.5" hidden="1">
      <c r="A47" s="392">
        <f t="shared" si="0"/>
        <v>15</v>
      </c>
      <c r="B47" s="394">
        <v>15</v>
      </c>
      <c r="D47" s="241">
        <v>2</v>
      </c>
      <c r="E47" s="241" t="s">
        <v>336</v>
      </c>
      <c r="F47" s="241"/>
      <c r="G47" s="241"/>
    </row>
    <row r="48" spans="1:7" ht="14.5" hidden="1">
      <c r="A48" s="392">
        <f t="shared" si="0"/>
        <v>16</v>
      </c>
      <c r="B48" s="394">
        <v>16</v>
      </c>
      <c r="D48" s="241">
        <v>3</v>
      </c>
      <c r="E48" s="241" t="s">
        <v>336</v>
      </c>
      <c r="F48" s="241"/>
      <c r="G48" s="241"/>
    </row>
    <row r="49" spans="1:7" ht="14.5" hidden="1">
      <c r="A49" s="392">
        <f t="shared" si="0"/>
        <v>17</v>
      </c>
      <c r="B49" s="394">
        <v>17</v>
      </c>
      <c r="D49" s="241">
        <v>4</v>
      </c>
      <c r="E49" s="241" t="s">
        <v>331</v>
      </c>
      <c r="F49" s="241"/>
      <c r="G49" s="241"/>
    </row>
    <row r="50" spans="1:7" ht="14.5" hidden="1">
      <c r="A50" s="392">
        <f t="shared" si="0"/>
        <v>18</v>
      </c>
      <c r="B50" s="394">
        <v>18</v>
      </c>
      <c r="D50" s="241">
        <v>5</v>
      </c>
      <c r="E50" s="241" t="s">
        <v>332</v>
      </c>
      <c r="F50" s="241"/>
      <c r="G50" s="241"/>
    </row>
    <row r="51" spans="1:7" ht="14.5" hidden="1">
      <c r="A51" s="392">
        <f t="shared" si="0"/>
        <v>19</v>
      </c>
      <c r="B51" s="394">
        <v>19</v>
      </c>
      <c r="D51" s="241">
        <v>6</v>
      </c>
      <c r="E51" s="241" t="s">
        <v>333</v>
      </c>
      <c r="F51" s="241"/>
      <c r="G51" s="241"/>
    </row>
    <row r="52" spans="1:7" ht="14.5" hidden="1">
      <c r="A52" s="392">
        <f t="shared" si="0"/>
        <v>20</v>
      </c>
      <c r="B52" s="394">
        <v>20</v>
      </c>
    </row>
    <row r="53" spans="1:7" ht="14.5" hidden="1">
      <c r="A53" s="392">
        <f t="shared" si="0"/>
        <v>21</v>
      </c>
      <c r="B53" s="394">
        <v>21</v>
      </c>
    </row>
    <row r="54" spans="1:7" ht="14.5" hidden="1">
      <c r="A54" s="392">
        <f t="shared" si="0"/>
        <v>22</v>
      </c>
      <c r="B54" s="394">
        <v>22</v>
      </c>
    </row>
    <row r="55" spans="1:7" ht="14.5" hidden="1">
      <c r="A55" s="392">
        <f t="shared" si="0"/>
        <v>23</v>
      </c>
      <c r="B55" s="394">
        <v>23</v>
      </c>
    </row>
    <row r="56" spans="1:7" ht="14.5" hidden="1">
      <c r="A56" s="392">
        <f t="shared" si="0"/>
        <v>24</v>
      </c>
      <c r="B56" s="394">
        <v>24</v>
      </c>
    </row>
    <row r="57" spans="1:7" ht="14.5" hidden="1">
      <c r="A57" s="392">
        <f t="shared" si="0"/>
        <v>25</v>
      </c>
      <c r="B57" s="394">
        <v>25</v>
      </c>
    </row>
    <row r="58" spans="1:7" ht="14.5" hidden="1">
      <c r="A58" s="392" t="str">
        <f>+IF($C$34&lt;&gt;4,"",B58)</f>
        <v/>
      </c>
      <c r="B58" s="394">
        <v>500</v>
      </c>
    </row>
    <row r="59" spans="1:7" ht="14.5" hidden="1">
      <c r="A59" s="392" t="str">
        <f>+IF($C$34&lt;&gt;5,"",B59)</f>
        <v/>
      </c>
      <c r="B59" s="394">
        <v>1000</v>
      </c>
    </row>
    <row r="60" spans="1:7" ht="15" hidden="1" thickBot="1">
      <c r="A60" s="392" t="str">
        <f>+IF($C$34&lt;&gt;6,"",B60)</f>
        <v/>
      </c>
      <c r="B60" s="395">
        <v>2000</v>
      </c>
    </row>
  </sheetData>
  <sheetProtection algorithmName="SHA-512" hashValue="zvu6TkJiN+y/oE5zstUzcq517vOlXWdI8wnDZOpK7e7bd2UPW3mcr/K/jvVvCeRRihiiX4YJVqMOalRXEQar2A==" saltValue="E6iGU/B+rMEViVGL8Bp6nw==" spinCount="100000" sheet="1" objects="1" scenarios="1"/>
  <mergeCells count="38">
    <mergeCell ref="E42:F42"/>
    <mergeCell ref="D45:F45"/>
    <mergeCell ref="E36:F36"/>
    <mergeCell ref="E38:F38"/>
    <mergeCell ref="E39:F39"/>
    <mergeCell ref="E40:F40"/>
    <mergeCell ref="E41:F41"/>
    <mergeCell ref="E43:F43"/>
    <mergeCell ref="E44:F44"/>
    <mergeCell ref="E37:F37"/>
    <mergeCell ref="F16:H16"/>
    <mergeCell ref="F17:G17"/>
    <mergeCell ref="A24:B24"/>
    <mergeCell ref="A21:C21"/>
    <mergeCell ref="A23:C23"/>
    <mergeCell ref="A22:B22"/>
    <mergeCell ref="C24:I24"/>
    <mergeCell ref="A19:C19"/>
    <mergeCell ref="A20:B20"/>
    <mergeCell ref="A18:B18"/>
    <mergeCell ref="A17:E17"/>
    <mergeCell ref="F18:H18"/>
    <mergeCell ref="F20:I20"/>
    <mergeCell ref="A9:B9"/>
    <mergeCell ref="A14:B14"/>
    <mergeCell ref="A16:B16"/>
    <mergeCell ref="A15:C15"/>
    <mergeCell ref="A13:C13"/>
    <mergeCell ref="A11:B11"/>
    <mergeCell ref="A12:B12"/>
    <mergeCell ref="A1:K1"/>
    <mergeCell ref="A3:B3"/>
    <mergeCell ref="A5:B5"/>
    <mergeCell ref="A7:B7"/>
    <mergeCell ref="A2:K2"/>
    <mergeCell ref="C3:G3"/>
    <mergeCell ref="C5:D5"/>
    <mergeCell ref="C4:G4"/>
  </mergeCells>
  <phoneticPr fontId="9" type="noConversion"/>
  <conditionalFormatting sqref="A17">
    <cfRule type="expression" dxfId="41" priority="23">
      <formula>$A$17&lt;&gt;""</formula>
    </cfRule>
  </conditionalFormatting>
  <conditionalFormatting sqref="A19:C19">
    <cfRule type="expression" dxfId="40" priority="22">
      <formula>$A$19&lt;&gt;""</formula>
    </cfRule>
  </conditionalFormatting>
  <conditionalFormatting sqref="C4">
    <cfRule type="expression" dxfId="39" priority="21">
      <formula>$C$4&lt;&gt;""</formula>
    </cfRule>
  </conditionalFormatting>
  <conditionalFormatting sqref="A21:C21">
    <cfRule type="expression" dxfId="38" priority="20">
      <formula>$A$21&lt;&gt;""</formula>
    </cfRule>
  </conditionalFormatting>
  <conditionalFormatting sqref="A23:C23">
    <cfRule type="expression" dxfId="37" priority="19">
      <formula>$A$23&lt;&gt;""</formula>
    </cfRule>
  </conditionalFormatting>
  <conditionalFormatting sqref="A15:C15">
    <cfRule type="expression" dxfId="36" priority="16">
      <formula>$A$15&lt;&gt;""</formula>
    </cfRule>
  </conditionalFormatting>
  <conditionalFormatting sqref="A13:C13">
    <cfRule type="expression" dxfId="35" priority="13">
      <formula>$A$13&lt;&gt;""</formula>
    </cfRule>
  </conditionalFormatting>
  <conditionalFormatting sqref="A12:B12">
    <cfRule type="expression" dxfId="34" priority="3">
      <formula>$A$12&lt;&gt;""</formula>
    </cfRule>
  </conditionalFormatting>
  <conditionalFormatting sqref="C12">
    <cfRule type="expression" dxfId="33" priority="2">
      <formula>$A$12&lt;&gt;""</formula>
    </cfRule>
  </conditionalFormatting>
  <conditionalFormatting sqref="F20">
    <cfRule type="expression" dxfId="32" priority="1">
      <formula>$F$20&lt;&gt;""</formula>
    </cfRule>
  </conditionalFormatting>
  <dataValidations xWindow="559" yWindow="431" count="3">
    <dataValidation type="date" allowBlank="1" showInputMessage="1" showErrorMessage="1" errorTitle="FECHA DE INICIO DE VIGENCIA" error="La fecha de inicio de vigencia debe ser a partir del 01/05/2013 y hasta el 30/04/2014." promptTitle="FECHA DE INICIO DE VIGENCIA" sqref="H5:J5">
      <formula1>P3</formula1>
      <formula2>Q3</formula2>
    </dataValidation>
    <dataValidation type="date" allowBlank="1" showInputMessage="1" showErrorMessage="1" error="LA FECHA DE INICIO DE VIGENCIA DEBE ESTAR ENTRE EL 01/05/2007 Y EL 30/04/2008" sqref="C6:J6">
      <formula1>#REF!</formula1>
      <formula2>L6</formula2>
    </dataValidation>
    <dataValidation type="decimal" allowBlank="1" showInputMessage="1" showErrorMessage="1" sqref="H17">
      <formula1>0</formula1>
      <formula2>0.18</formula2>
    </dataValidation>
  </dataValidations>
  <pageMargins left="0.75" right="0.75" top="1" bottom="1" header="0" footer="0"/>
  <pageSetup orientation="portrait"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2049" r:id="rId5" name="Drop Down 1">
              <controlPr locked="0" defaultSize="0" autoLine="0" autoPict="0">
                <anchor moveWithCells="1">
                  <from>
                    <xdr:col>2</xdr:col>
                    <xdr:colOff>0</xdr:colOff>
                    <xdr:row>19</xdr:row>
                    <xdr:rowOff>0</xdr:rowOff>
                  </from>
                  <to>
                    <xdr:col>4</xdr:col>
                    <xdr:colOff>50800</xdr:colOff>
                    <xdr:row>20</xdr:row>
                    <xdr:rowOff>12700</xdr:rowOff>
                  </to>
                </anchor>
              </controlPr>
            </control>
          </mc:Choice>
        </mc:AlternateContent>
        <mc:AlternateContent xmlns:mc="http://schemas.openxmlformats.org/markup-compatibility/2006">
          <mc:Choice Requires="x14">
            <control shapeId="2056" r:id="rId6" name="Drop Down 8">
              <controlPr locked="0" defaultSize="0" autoLine="0" autoPict="0">
                <anchor moveWithCells="1">
                  <from>
                    <xdr:col>2</xdr:col>
                    <xdr:colOff>0</xdr:colOff>
                    <xdr:row>6</xdr:row>
                    <xdr:rowOff>0</xdr:rowOff>
                  </from>
                  <to>
                    <xdr:col>4</xdr:col>
                    <xdr:colOff>50800</xdr:colOff>
                    <xdr:row>7</xdr:row>
                    <xdr:rowOff>12700</xdr:rowOff>
                  </to>
                </anchor>
              </controlPr>
            </control>
          </mc:Choice>
        </mc:AlternateContent>
        <mc:AlternateContent xmlns:mc="http://schemas.openxmlformats.org/markup-compatibility/2006">
          <mc:Choice Requires="x14">
            <control shapeId="2058" r:id="rId7" name="Drop Down 10">
              <controlPr locked="0" defaultSize="0" autoLine="0" autoPict="0">
                <anchor moveWithCells="1">
                  <from>
                    <xdr:col>2</xdr:col>
                    <xdr:colOff>0</xdr:colOff>
                    <xdr:row>13</xdr:row>
                    <xdr:rowOff>0</xdr:rowOff>
                  </from>
                  <to>
                    <xdr:col>4</xdr:col>
                    <xdr:colOff>50800</xdr:colOff>
                    <xdr:row>14</xdr:row>
                    <xdr:rowOff>12700</xdr:rowOff>
                  </to>
                </anchor>
              </controlPr>
            </control>
          </mc:Choice>
        </mc:AlternateContent>
        <mc:AlternateContent xmlns:mc="http://schemas.openxmlformats.org/markup-compatibility/2006">
          <mc:Choice Requires="x14">
            <control shapeId="2059" r:id="rId8" name="Check Box 11">
              <controlPr defaultSize="0" autoFill="0" autoLine="0" autoPict="0">
                <anchor moveWithCells="1">
                  <from>
                    <xdr:col>7</xdr:col>
                    <xdr:colOff>0</xdr:colOff>
                    <xdr:row>15</xdr:row>
                    <xdr:rowOff>12700</xdr:rowOff>
                  </from>
                  <to>
                    <xdr:col>7</xdr:col>
                    <xdr:colOff>222250</xdr:colOff>
                    <xdr:row>16</xdr:row>
                    <xdr:rowOff>19050</xdr:rowOff>
                  </to>
                </anchor>
              </controlPr>
            </control>
          </mc:Choice>
        </mc:AlternateContent>
        <mc:AlternateContent xmlns:mc="http://schemas.openxmlformats.org/markup-compatibility/2006">
          <mc:Choice Requires="x14">
            <control shapeId="2060" r:id="rId9" name="Drop Down 12">
              <controlPr locked="0" defaultSize="0" autoLine="0" autoPict="0">
                <anchor moveWithCells="1">
                  <from>
                    <xdr:col>2</xdr:col>
                    <xdr:colOff>0</xdr:colOff>
                    <xdr:row>8</xdr:row>
                    <xdr:rowOff>0</xdr:rowOff>
                  </from>
                  <to>
                    <xdr:col>4</xdr:col>
                    <xdr:colOff>50800</xdr:colOff>
                    <xdr:row>9</xdr:row>
                    <xdr:rowOff>12700</xdr:rowOff>
                  </to>
                </anchor>
              </controlPr>
            </control>
          </mc:Choice>
        </mc:AlternateContent>
        <mc:AlternateContent xmlns:mc="http://schemas.openxmlformats.org/markup-compatibility/2006">
          <mc:Choice Requires="x14">
            <control shapeId="2088" r:id="rId10" name="Drop Down 40">
              <controlPr locked="0" defaultSize="0" autoLine="0" autoPict="0">
                <anchor moveWithCells="1">
                  <from>
                    <xdr:col>2</xdr:col>
                    <xdr:colOff>0</xdr:colOff>
                    <xdr:row>21</xdr:row>
                    <xdr:rowOff>0</xdr:rowOff>
                  </from>
                  <to>
                    <xdr:col>4</xdr:col>
                    <xdr:colOff>50800</xdr:colOff>
                    <xdr:row>22</xdr:row>
                    <xdr:rowOff>12700</xdr:rowOff>
                  </to>
                </anchor>
              </controlPr>
            </control>
          </mc:Choice>
        </mc:AlternateContent>
        <mc:AlternateContent xmlns:mc="http://schemas.openxmlformats.org/markup-compatibility/2006">
          <mc:Choice Requires="x14">
            <control shapeId="2114" r:id="rId11" name="boton3">
              <controlPr defaultSize="0" autoFill="0" autoLine="0" autoPict="0">
                <anchor moveWithCells="1">
                  <from>
                    <xdr:col>6</xdr:col>
                    <xdr:colOff>742950</xdr:colOff>
                    <xdr:row>18</xdr:row>
                    <xdr:rowOff>114300</xdr:rowOff>
                  </from>
                  <to>
                    <xdr:col>6</xdr:col>
                    <xdr:colOff>965200</xdr:colOff>
                    <xdr:row>19</xdr:row>
                    <xdr:rowOff>171450</xdr:rowOff>
                  </to>
                </anchor>
              </controlPr>
            </control>
          </mc:Choice>
        </mc:AlternateContent>
        <mc:AlternateContent xmlns:mc="http://schemas.openxmlformats.org/markup-compatibility/2006">
          <mc:Choice Requires="x14">
            <control shapeId="2115" r:id="rId12" name="boton4">
              <controlPr defaultSize="0" autoFill="0" autoLine="0" autoPict="0">
                <anchor moveWithCells="1">
                  <from>
                    <xdr:col>6</xdr:col>
                    <xdr:colOff>755650</xdr:colOff>
                    <xdr:row>19</xdr:row>
                    <xdr:rowOff>0</xdr:rowOff>
                  </from>
                  <to>
                    <xdr:col>6</xdr:col>
                    <xdr:colOff>971550</xdr:colOff>
                    <xdr:row>20</xdr:row>
                    <xdr:rowOff>12700</xdr:rowOff>
                  </to>
                </anchor>
              </controlPr>
            </control>
          </mc:Choice>
        </mc:AlternateContent>
        <mc:AlternateContent xmlns:mc="http://schemas.openxmlformats.org/markup-compatibility/2006">
          <mc:Choice Requires="x14">
            <control shapeId="2116" r:id="rId13" name="boton5">
              <controlPr defaultSize="0" autoFill="0" autoLine="0" autoPict="0">
                <anchor moveWithCells="1">
                  <from>
                    <xdr:col>6</xdr:col>
                    <xdr:colOff>755650</xdr:colOff>
                    <xdr:row>20</xdr:row>
                    <xdr:rowOff>0</xdr:rowOff>
                  </from>
                  <to>
                    <xdr:col>6</xdr:col>
                    <xdr:colOff>971550</xdr:colOff>
                    <xdr:row>21</xdr:row>
                    <xdr:rowOff>50800</xdr:rowOff>
                  </to>
                </anchor>
              </controlPr>
            </control>
          </mc:Choice>
        </mc:AlternateContent>
        <mc:AlternateContent xmlns:mc="http://schemas.openxmlformats.org/markup-compatibility/2006">
          <mc:Choice Requires="x14">
            <control shapeId="2118" r:id="rId14" name="Drop Down 70">
              <controlPr defaultSize="0" autoLine="0" autoPict="0">
                <anchor moveWithCells="1">
                  <from>
                    <xdr:col>2</xdr:col>
                    <xdr:colOff>0</xdr:colOff>
                    <xdr:row>15</xdr:row>
                    <xdr:rowOff>0</xdr:rowOff>
                  </from>
                  <to>
                    <xdr:col>4</xdr:col>
                    <xdr:colOff>50800</xdr:colOff>
                    <xdr:row>16</xdr:row>
                    <xdr:rowOff>12700</xdr:rowOff>
                  </to>
                </anchor>
              </controlPr>
            </control>
          </mc:Choice>
        </mc:AlternateContent>
        <mc:AlternateContent xmlns:mc="http://schemas.openxmlformats.org/markup-compatibility/2006">
          <mc:Choice Requires="x14">
            <control shapeId="2120" r:id="rId15" name="boton1">
              <controlPr defaultSize="0" autoFill="0" autoLine="0" autoPict="0">
                <anchor moveWithCells="1">
                  <from>
                    <xdr:col>6</xdr:col>
                    <xdr:colOff>755650</xdr:colOff>
                    <xdr:row>21</xdr:row>
                    <xdr:rowOff>0</xdr:rowOff>
                  </from>
                  <to>
                    <xdr:col>6</xdr:col>
                    <xdr:colOff>984250</xdr:colOff>
                    <xdr:row>22</xdr:row>
                    <xdr:rowOff>0</xdr:rowOff>
                  </to>
                </anchor>
              </controlPr>
            </control>
          </mc:Choice>
        </mc:AlternateContent>
        <mc:AlternateContent xmlns:mc="http://schemas.openxmlformats.org/markup-compatibility/2006">
          <mc:Choice Requires="x14">
            <control shapeId="2121" r:id="rId16" name="boton2">
              <controlPr defaultSize="0" autoFill="0" autoLine="0" autoPict="0">
                <anchor moveWithCells="1">
                  <from>
                    <xdr:col>6</xdr:col>
                    <xdr:colOff>774700</xdr:colOff>
                    <xdr:row>22</xdr:row>
                    <xdr:rowOff>12700</xdr:rowOff>
                  </from>
                  <to>
                    <xdr:col>6</xdr:col>
                    <xdr:colOff>1066800</xdr:colOff>
                    <xdr:row>23</xdr:row>
                    <xdr:rowOff>50800</xdr:rowOff>
                  </to>
                </anchor>
              </controlPr>
            </control>
          </mc:Choice>
        </mc:AlternateContent>
        <mc:AlternateContent xmlns:mc="http://schemas.openxmlformats.org/markup-compatibility/2006">
          <mc:Choice Requires="x14">
            <control shapeId="2126" r:id="rId17" name="Drop Down 78">
              <controlPr defaultSize="0" autoLine="0" autoPict="0">
                <anchor moveWithCells="1">
                  <from>
                    <xdr:col>2</xdr:col>
                    <xdr:colOff>0</xdr:colOff>
                    <xdr:row>17</xdr:row>
                    <xdr:rowOff>0</xdr:rowOff>
                  </from>
                  <to>
                    <xdr:col>4</xdr:col>
                    <xdr:colOff>50800</xdr:colOff>
                    <xdr:row>18</xdr:row>
                    <xdr:rowOff>12700</xdr:rowOff>
                  </to>
                </anchor>
              </controlPr>
            </control>
          </mc:Choice>
        </mc:AlternateContent>
        <mc:AlternateContent xmlns:mc="http://schemas.openxmlformats.org/markup-compatibility/2006">
          <mc:Choice Requires="x14">
            <control shapeId="2129" r:id="rId18" name="Drop Down 81">
              <controlPr defaultSize="0" autoLine="0" autoPict="0" macro="[0]!Borrar">
                <anchor moveWithCells="1">
                  <from>
                    <xdr:col>2</xdr:col>
                    <xdr:colOff>0</xdr:colOff>
                    <xdr:row>10</xdr:row>
                    <xdr:rowOff>0</xdr:rowOff>
                  </from>
                  <to>
                    <xdr:col>4</xdr:col>
                    <xdr:colOff>50800</xdr:colOff>
                    <xdr:row>11</xdr:row>
                    <xdr:rowOff>0</xdr:rowOff>
                  </to>
                </anchor>
              </controlPr>
            </control>
          </mc:Choice>
        </mc:AlternateContent>
        <mc:AlternateContent xmlns:mc="http://schemas.openxmlformats.org/markup-compatibility/2006">
          <mc:Choice Requires="x14">
            <control shapeId="2130" r:id="rId19" name="Check Box 82">
              <controlPr defaultSize="0" autoFill="0" autoLine="0" autoPict="0">
                <anchor moveWithCells="1">
                  <from>
                    <xdr:col>7</xdr:col>
                    <xdr:colOff>0</xdr:colOff>
                    <xdr:row>17</xdr:row>
                    <xdr:rowOff>12700</xdr:rowOff>
                  </from>
                  <to>
                    <xdr:col>7</xdr:col>
                    <xdr:colOff>222250</xdr:colOff>
                    <xdr:row>18</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59" yWindow="431" count="2">
        <x14:dataValidation type="list" showDropDown="1" showInputMessage="1" showErrorMessage="1">
          <x14:formula1>
            <xm:f>DATOS!$N$4:$N$39</xm:f>
          </x14:formula1>
          <xm:sqref>C18</xm:sqref>
        </x14:dataValidation>
        <x14:dataValidation type="date" allowBlank="1" showInputMessage="1" showErrorMessage="1" errorTitle="FECHA DE INICIO DE VIGENCIA" error="La fecha de inicio de vigencia debe ser a partir del 01/07/2023 y hasta el 30/06/2024." promptTitle="FECHA DE INICIO DE VIGENCIA">
          <x14:formula1>
            <xm:f>DATOS!A23</xm:f>
          </x14:formula1>
          <x14:formula2>
            <xm:f>DATOS!B23</xm:f>
          </x14:formula2>
          <xm:sqref>C5:D5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CT271"/>
  <sheetViews>
    <sheetView topLeftCell="D1" zoomScale="85" zoomScaleNormal="85" workbookViewId="0">
      <pane ySplit="1" topLeftCell="A2" activePane="bottomLeft" state="frozen"/>
      <selection pane="bottomLeft" activeCell="B9" sqref="B9"/>
    </sheetView>
  </sheetViews>
  <sheetFormatPr baseColWidth="10" defaultColWidth="13.453125" defaultRowHeight="15.5"/>
  <cols>
    <col min="1" max="1" width="36.1796875" style="66" bestFit="1" customWidth="1"/>
    <col min="2" max="2" width="14.7265625" style="68" customWidth="1"/>
    <col min="3" max="4" width="24.54296875" style="68" bestFit="1" customWidth="1"/>
    <col min="5" max="6" width="35.1796875" style="68" bestFit="1" customWidth="1"/>
    <col min="7" max="8" width="19.453125" style="68" customWidth="1"/>
    <col min="9" max="9" width="14.453125" style="68" customWidth="1"/>
    <col min="10" max="10" width="18.81640625" style="68" customWidth="1"/>
    <col min="11" max="41" width="19.81640625" style="66" customWidth="1"/>
    <col min="42" max="46" width="15.7265625" style="66" customWidth="1"/>
    <col min="47" max="47" width="25" style="66" bestFit="1" customWidth="1"/>
    <col min="48" max="48" width="32.26953125" style="66" bestFit="1" customWidth="1"/>
    <col min="49" max="49" width="24.453125" style="66" customWidth="1"/>
    <col min="50" max="52" width="15.7265625" style="66" customWidth="1"/>
    <col min="53" max="53" width="18.7265625" style="66" customWidth="1"/>
    <col min="54" max="57" width="15.7265625" style="66" customWidth="1"/>
    <col min="58" max="63" width="20" style="66" customWidth="1"/>
    <col min="64" max="64" width="15.7265625" style="66" customWidth="1"/>
    <col min="65" max="70" width="17.7265625" style="66" customWidth="1"/>
    <col min="71" max="71" width="15.7265625" style="66" customWidth="1"/>
    <col min="72" max="77" width="20.453125" style="66" customWidth="1"/>
    <col min="78" max="78" width="13.453125" style="66"/>
    <col min="79" max="84" width="17.26953125" style="66" customWidth="1"/>
    <col min="85" max="85" width="13.453125" style="66"/>
    <col min="86" max="91" width="17.54296875" style="66" customWidth="1"/>
    <col min="92" max="93" width="13.54296875" style="66" bestFit="1" customWidth="1"/>
    <col min="94" max="94" width="14.54296875" style="66" bestFit="1" customWidth="1"/>
    <col min="95" max="101" width="13.54296875" style="66" bestFit="1" customWidth="1"/>
    <col min="102" max="105" width="13.453125" style="66"/>
    <col min="106" max="114" width="13.54296875" style="66" bestFit="1" customWidth="1"/>
    <col min="115" max="115" width="13.453125" style="66"/>
    <col min="116" max="120" width="13.54296875" style="66" bestFit="1" customWidth="1"/>
    <col min="121" max="121" width="13.453125" style="66"/>
    <col min="122" max="126" width="13.54296875" style="66" bestFit="1" customWidth="1"/>
    <col min="127" max="127" width="13.453125" style="66"/>
    <col min="128" max="132" width="13.54296875" style="66" bestFit="1" customWidth="1"/>
    <col min="133" max="133" width="13.453125" style="66"/>
    <col min="134" max="138" width="13.54296875" style="66" bestFit="1" customWidth="1"/>
    <col min="139" max="139" width="13.453125" style="66"/>
    <col min="140" max="144" width="13.54296875" style="66" bestFit="1" customWidth="1"/>
    <col min="145" max="16384" width="13.453125" style="66"/>
  </cols>
  <sheetData>
    <row r="1" spans="1:98" ht="16" thickBot="1">
      <c r="A1" s="99" t="s">
        <v>0</v>
      </c>
      <c r="B1" s="100"/>
      <c r="C1" s="100"/>
      <c r="D1" s="100"/>
      <c r="E1" s="100"/>
      <c r="F1" s="100"/>
      <c r="G1" s="100"/>
      <c r="H1" s="100"/>
      <c r="I1" s="101"/>
      <c r="K1" s="121" t="s">
        <v>124</v>
      </c>
      <c r="L1" s="122"/>
      <c r="M1" s="123" t="s">
        <v>125</v>
      </c>
      <c r="N1" s="124"/>
      <c r="O1" s="121" t="s">
        <v>126</v>
      </c>
      <c r="P1" s="122"/>
      <c r="Q1" s="123" t="s">
        <v>1</v>
      </c>
      <c r="R1" s="124"/>
      <c r="S1" s="121" t="s">
        <v>2</v>
      </c>
      <c r="T1" s="122"/>
      <c r="U1" s="123" t="s">
        <v>3</v>
      </c>
      <c r="V1" s="125"/>
      <c r="W1" s="103"/>
      <c r="X1" s="123" t="s">
        <v>111</v>
      </c>
      <c r="Y1" s="124"/>
      <c r="Z1" s="123" t="s">
        <v>112</v>
      </c>
      <c r="AA1" s="124"/>
      <c r="AB1" s="123" t="s">
        <v>113</v>
      </c>
      <c r="AC1" s="124"/>
      <c r="AD1" s="121" t="s">
        <v>114</v>
      </c>
      <c r="AE1" s="122"/>
      <c r="AF1" s="121" t="s">
        <v>115</v>
      </c>
      <c r="AG1" s="122"/>
      <c r="AH1" s="121" t="s">
        <v>116</v>
      </c>
      <c r="AI1" s="122"/>
      <c r="AJ1" s="123" t="s">
        <v>117</v>
      </c>
      <c r="AK1" s="125"/>
      <c r="AL1" s="123" t="s">
        <v>118</v>
      </c>
      <c r="AM1" s="125"/>
      <c r="AN1" s="123" t="s">
        <v>119</v>
      </c>
      <c r="AO1" s="125"/>
      <c r="AP1" s="103"/>
      <c r="AQ1" s="103"/>
      <c r="AR1" s="476" t="s">
        <v>23</v>
      </c>
      <c r="AS1" s="477"/>
      <c r="AT1" s="478"/>
      <c r="AU1" s="104"/>
      <c r="AV1" s="104">
        <f>+IF(F13&gt;7,7,F13)</f>
        <v>1</v>
      </c>
      <c r="AW1" s="104"/>
      <c r="AX1" s="381"/>
      <c r="AY1" s="482" t="s">
        <v>276</v>
      </c>
      <c r="AZ1" s="483"/>
      <c r="BA1" s="105">
        <f>IF(B3=1,0.0001,VLOOKUP($F$16,MATERNIDAD,2,0))</f>
        <v>1E-4</v>
      </c>
      <c r="BB1" s="482" t="s">
        <v>277</v>
      </c>
      <c r="BC1" s="484"/>
      <c r="BD1" s="484"/>
      <c r="BE1" s="103"/>
      <c r="BF1" s="485" t="s">
        <v>274</v>
      </c>
      <c r="BG1" s="486"/>
      <c r="BH1" s="107">
        <f>IF(B3=1,0.0001,VLOOKUP(F16,MATERNIDAD,3,0))</f>
        <v>1E-4</v>
      </c>
      <c r="BI1" s="108" t="s">
        <v>275</v>
      </c>
      <c r="BJ1" s="108"/>
      <c r="BK1" s="109"/>
      <c r="BL1" s="103"/>
      <c r="BM1" s="487" t="s">
        <v>278</v>
      </c>
      <c r="BN1" s="488"/>
      <c r="BO1" s="110">
        <f>IF(B3=1,0.0001,VLOOKUP(F16,MATERNIDAD,4,0))</f>
        <v>1E-4</v>
      </c>
      <c r="BP1" s="111" t="s">
        <v>279</v>
      </c>
      <c r="BQ1" s="111"/>
      <c r="BR1" s="112"/>
      <c r="BS1" s="103"/>
      <c r="BT1" s="113" t="s">
        <v>280</v>
      </c>
      <c r="BU1" s="113"/>
      <c r="BV1" s="113">
        <f>+IF(B3=1,0.0001,VLOOKUP(F16,MATERNIDAD,5,0))</f>
        <v>1E-4</v>
      </c>
      <c r="BW1" s="113" t="s">
        <v>281</v>
      </c>
      <c r="BX1" s="113"/>
      <c r="BY1" s="114"/>
      <c r="BZ1" s="103"/>
      <c r="CA1" s="479" t="s">
        <v>282</v>
      </c>
      <c r="CB1" s="480"/>
      <c r="CC1" s="115">
        <f>IF(B3=1,0.0001,VLOOKUP(F16,MATERNIDAD,5,0))</f>
        <v>1E-4</v>
      </c>
      <c r="CD1" s="115" t="s">
        <v>283</v>
      </c>
      <c r="CE1" s="115"/>
      <c r="CF1" s="116"/>
      <c r="CG1" s="103"/>
      <c r="CH1" s="117" t="s">
        <v>284</v>
      </c>
      <c r="CI1" s="117"/>
      <c r="CJ1" s="117">
        <f>IF(B3=1,0.0001,VLOOKUP(F16,MATERNIDAD,5,0))</f>
        <v>1E-4</v>
      </c>
      <c r="CK1" s="117" t="s">
        <v>285</v>
      </c>
      <c r="CL1" s="117"/>
      <c r="CM1" s="118"/>
      <c r="CN1" s="103"/>
      <c r="CO1" s="103"/>
      <c r="CP1" s="103"/>
      <c r="CQ1" s="128" t="s">
        <v>428</v>
      </c>
      <c r="CS1" s="103"/>
      <c r="CT1" s="103"/>
    </row>
    <row r="2" spans="1:98">
      <c r="A2" s="359"/>
      <c r="B2" s="360"/>
      <c r="C2"/>
      <c r="D2"/>
      <c r="E2"/>
      <c r="F2"/>
      <c r="G2"/>
      <c r="H2"/>
      <c r="I2"/>
      <c r="J2" s="120" t="s">
        <v>17</v>
      </c>
      <c r="K2" s="120" t="s">
        <v>5</v>
      </c>
      <c r="L2" s="120" t="s">
        <v>6</v>
      </c>
      <c r="M2" s="374" t="s">
        <v>5</v>
      </c>
      <c r="N2" s="374" t="s">
        <v>6</v>
      </c>
      <c r="O2" s="120" t="s">
        <v>5</v>
      </c>
      <c r="P2" s="120" t="s">
        <v>6</v>
      </c>
      <c r="Q2" s="374" t="s">
        <v>5</v>
      </c>
      <c r="R2" s="374" t="s">
        <v>6</v>
      </c>
      <c r="S2" s="120" t="s">
        <v>5</v>
      </c>
      <c r="T2" s="120" t="s">
        <v>6</v>
      </c>
      <c r="U2" s="374" t="s">
        <v>5</v>
      </c>
      <c r="V2" s="374" t="s">
        <v>6</v>
      </c>
      <c r="X2" s="374" t="s">
        <v>5</v>
      </c>
      <c r="Y2" s="374" t="s">
        <v>6</v>
      </c>
      <c r="Z2" s="374" t="s">
        <v>5</v>
      </c>
      <c r="AA2" s="374" t="s">
        <v>6</v>
      </c>
      <c r="AB2" s="374" t="s">
        <v>5</v>
      </c>
      <c r="AC2" s="374" t="s">
        <v>6</v>
      </c>
      <c r="AD2" s="120" t="s">
        <v>5</v>
      </c>
      <c r="AE2" s="120" t="s">
        <v>6</v>
      </c>
      <c r="AF2" s="120" t="s">
        <v>5</v>
      </c>
      <c r="AG2" s="120" t="s">
        <v>6</v>
      </c>
      <c r="AH2" s="120" t="s">
        <v>5</v>
      </c>
      <c r="AI2" s="120" t="s">
        <v>6</v>
      </c>
      <c r="AJ2" s="374" t="s">
        <v>5</v>
      </c>
      <c r="AK2" s="374" t="s">
        <v>6</v>
      </c>
      <c r="AL2" s="374" t="s">
        <v>5</v>
      </c>
      <c r="AM2" s="374" t="s">
        <v>6</v>
      </c>
      <c r="AN2" s="374" t="s">
        <v>5</v>
      </c>
      <c r="AO2" s="374" t="s">
        <v>6</v>
      </c>
      <c r="AP2" s="103"/>
      <c r="AQ2" s="126" t="s">
        <v>289</v>
      </c>
      <c r="AR2" s="127" t="s">
        <v>5</v>
      </c>
      <c r="AS2" s="127" t="s">
        <v>6</v>
      </c>
      <c r="AT2" s="128" t="s">
        <v>36</v>
      </c>
      <c r="AU2" s="129" t="s">
        <v>377</v>
      </c>
      <c r="AV2" s="129" t="s">
        <v>410</v>
      </c>
      <c r="AW2" s="129" t="s">
        <v>1093</v>
      </c>
      <c r="AX2" s="128"/>
      <c r="AY2" s="129" t="s">
        <v>5</v>
      </c>
      <c r="AZ2" s="129" t="s">
        <v>6</v>
      </c>
      <c r="BA2" s="129" t="s">
        <v>91</v>
      </c>
      <c r="BB2" s="130" t="s">
        <v>5</v>
      </c>
      <c r="BC2" s="129" t="s">
        <v>6</v>
      </c>
      <c r="BD2" s="131" t="s">
        <v>36</v>
      </c>
      <c r="BE2" s="103"/>
      <c r="BF2" s="132" t="s">
        <v>5</v>
      </c>
      <c r="BG2" s="132" t="s">
        <v>6</v>
      </c>
      <c r="BH2" s="132" t="s">
        <v>91</v>
      </c>
      <c r="BI2" s="133" t="s">
        <v>5</v>
      </c>
      <c r="BJ2" s="132" t="s">
        <v>6</v>
      </c>
      <c r="BK2" s="134" t="s">
        <v>36</v>
      </c>
      <c r="BL2" s="103"/>
      <c r="BM2" s="135" t="s">
        <v>5</v>
      </c>
      <c r="BN2" s="135" t="s">
        <v>6</v>
      </c>
      <c r="BO2" s="135" t="s">
        <v>91</v>
      </c>
      <c r="BP2" s="136" t="s">
        <v>5</v>
      </c>
      <c r="BQ2" s="135" t="s">
        <v>6</v>
      </c>
      <c r="BR2" s="137" t="s">
        <v>36</v>
      </c>
      <c r="BS2" s="103"/>
      <c r="BT2" s="138" t="s">
        <v>5</v>
      </c>
      <c r="BU2" s="138" t="s">
        <v>6</v>
      </c>
      <c r="BV2" s="138" t="s">
        <v>91</v>
      </c>
      <c r="BW2" s="139" t="s">
        <v>5</v>
      </c>
      <c r="BX2" s="138" t="s">
        <v>6</v>
      </c>
      <c r="BY2" s="140" t="s">
        <v>36</v>
      </c>
      <c r="BZ2" s="103"/>
      <c r="CA2" s="141" t="s">
        <v>5</v>
      </c>
      <c r="CB2" s="141" t="s">
        <v>6</v>
      </c>
      <c r="CC2" s="141" t="s">
        <v>91</v>
      </c>
      <c r="CD2" s="142" t="s">
        <v>5</v>
      </c>
      <c r="CE2" s="141" t="s">
        <v>6</v>
      </c>
      <c r="CF2" s="143" t="s">
        <v>36</v>
      </c>
      <c r="CG2" s="103"/>
      <c r="CH2" s="144" t="s">
        <v>5</v>
      </c>
      <c r="CI2" s="144" t="s">
        <v>6</v>
      </c>
      <c r="CJ2" s="144" t="s">
        <v>91</v>
      </c>
      <c r="CK2" s="145" t="s">
        <v>5</v>
      </c>
      <c r="CL2" s="144" t="s">
        <v>6</v>
      </c>
      <c r="CM2" s="146" t="s">
        <v>36</v>
      </c>
      <c r="CN2" s="103"/>
      <c r="CO2" s="103" t="s">
        <v>17</v>
      </c>
      <c r="CP2" s="66" t="s">
        <v>426</v>
      </c>
      <c r="CQ2" s="410">
        <v>0</v>
      </c>
      <c r="CR2" s="103" t="s">
        <v>427</v>
      </c>
      <c r="CS2" s="103" t="s">
        <v>290</v>
      </c>
      <c r="CT2" s="103"/>
    </row>
    <row r="3" spans="1:98">
      <c r="A3" s="357" t="s">
        <v>401</v>
      </c>
      <c r="B3" s="173">
        <v>1</v>
      </c>
      <c r="C3" s="363" t="str">
        <f>+VLOOKUP(b,DATOS!$A$11:$B$12,2,0)</f>
        <v>Nueva</v>
      </c>
      <c r="D3" s="173">
        <f>+'DATOS GENERALES'!C12</f>
        <v>0</v>
      </c>
      <c r="E3"/>
      <c r="F3"/>
      <c r="G3"/>
      <c r="H3"/>
      <c r="I3"/>
      <c r="J3" s="175">
        <v>0</v>
      </c>
      <c r="K3" s="67">
        <v>21667.99</v>
      </c>
      <c r="L3" s="67">
        <v>19894.63</v>
      </c>
      <c r="M3" s="67">
        <v>19233.72</v>
      </c>
      <c r="N3" s="67">
        <v>17659.59</v>
      </c>
      <c r="O3" s="67">
        <v>17029.86</v>
      </c>
      <c r="P3" s="67">
        <v>15636.1</v>
      </c>
      <c r="Q3" s="147">
        <f t="shared" ref="Q3:Q34" si="0">(IF($C$11="A",AB3,IF($C$11="B",Z3,IF($C$11="C",X3," "))))</f>
        <v>0</v>
      </c>
      <c r="R3" s="147">
        <f t="shared" ref="R3:R34" si="1">(IF($C$11="A",AC3,IF($C$11="B",AA3,IF($C$11="C",Y3," "))))</f>
        <v>0</v>
      </c>
      <c r="S3" s="147">
        <f t="shared" ref="S3:S34" si="2">(IF($C$11="A",AH3,IF($C$11="B",AF3,IF($C$11="C",AD3," "))))</f>
        <v>0</v>
      </c>
      <c r="T3" s="147">
        <f t="shared" ref="T3:T34" si="3">(IF($C$11="A",AI3,IF($C$11="B",AG3,IF($C$11="C",AE3," "))))</f>
        <v>0</v>
      </c>
      <c r="U3" s="147">
        <f t="shared" ref="U3:U34" si="4">(IF($C$11="A",AN3,IF($C$11="B",AL3,IF($C$11="C",AJ3," "))))</f>
        <v>0</v>
      </c>
      <c r="V3" s="147">
        <f t="shared" ref="V3:V34" si="5">(IF($C$11="A",AO3,IF($C$11="B",AM3,IF($C$11="C",AK3," "))))</f>
        <v>0</v>
      </c>
      <c r="W3" s="103"/>
      <c r="X3" s="148"/>
      <c r="Y3" s="148"/>
      <c r="Z3" s="147">
        <f>X3*1.043</f>
        <v>0</v>
      </c>
      <c r="AA3" s="147">
        <f>Y3*1.043</f>
        <v>0</v>
      </c>
      <c r="AB3" s="147">
        <f>X3*1.12</f>
        <v>0</v>
      </c>
      <c r="AC3" s="147">
        <f>Y3*1.12</f>
        <v>0</v>
      </c>
      <c r="AD3" s="149"/>
      <c r="AE3" s="149"/>
      <c r="AF3" s="147">
        <f>AD3*1.043</f>
        <v>0</v>
      </c>
      <c r="AG3" s="147">
        <f>AE3*1.043</f>
        <v>0</v>
      </c>
      <c r="AH3" s="147">
        <f>AD3*1.12</f>
        <v>0</v>
      </c>
      <c r="AI3" s="147">
        <f>AE3*1.12</f>
        <v>0</v>
      </c>
      <c r="AJ3" s="148"/>
      <c r="AK3" s="150"/>
      <c r="AL3" s="147">
        <f>AJ3*1.043</f>
        <v>0</v>
      </c>
      <c r="AM3" s="147">
        <f>AK3*1.043</f>
        <v>0</v>
      </c>
      <c r="AN3" s="147">
        <f>AJ3*1.12</f>
        <v>0</v>
      </c>
      <c r="AO3" s="147">
        <f>AK3*1.12</f>
        <v>0</v>
      </c>
      <c r="AP3" s="103"/>
      <c r="AQ3" s="151">
        <v>0</v>
      </c>
      <c r="AR3" s="152">
        <f ca="1">+RESUMEN!F3</f>
        <v>0</v>
      </c>
      <c r="AS3" s="152">
        <f ca="1">+RESUMEN!G3</f>
        <v>0</v>
      </c>
      <c r="AT3" s="153">
        <f t="shared" ref="AT3:AT34" ca="1" si="6">AR3+AS3</f>
        <v>0</v>
      </c>
      <c r="AU3" s="154">
        <f>+((IF($G$9="SI",$K107*$B$25,0))*(VLOOKUP($F$10,$L$107:$N$123,3,0)))</f>
        <v>0</v>
      </c>
      <c r="AV3" s="154">
        <f>((IF($G$12="SI",$K107*$B$25,0))*(VLOOKUP($F$13,$L$107:$N$123,3,0)))</f>
        <v>0</v>
      </c>
      <c r="AW3" s="154">
        <f t="shared" ref="AW3:AW34" ca="1" si="7">+$AI$107</f>
        <v>0</v>
      </c>
      <c r="AX3" s="153"/>
      <c r="AY3" s="154">
        <f t="shared" ref="AY3:AY34" ca="1" si="8">+O3*$B$27</f>
        <v>0</v>
      </c>
      <c r="AZ3" s="154">
        <f t="shared" ref="AZ3:AZ34" ca="1" si="9">+P3*$B$27</f>
        <v>0</v>
      </c>
      <c r="BA3" s="155"/>
      <c r="BB3" s="156">
        <f ca="1">(($AY3*$AR3)+($AU3*$B142)+($AV3*$B36)+($AR3*$AW3))*CS3</f>
        <v>0</v>
      </c>
      <c r="BC3" s="156">
        <f ca="1">(($AZ3*$AS3)+($AU3*$C142)+($AV3*$C36)+($AS3*$AW3))*CS3</f>
        <v>0</v>
      </c>
      <c r="BD3" s="157" t="str">
        <f t="shared" ref="BD3:BD34" ca="1" si="10">IF(AY3=0,"",(SUM(BB3:BC3)))</f>
        <v/>
      </c>
      <c r="BE3" s="249">
        <f ca="1">+AR3*AY3</f>
        <v>0</v>
      </c>
      <c r="BF3" s="106">
        <f ca="1">M3*$B$27</f>
        <v>0</v>
      </c>
      <c r="BG3" s="106">
        <f ca="1">N3*$B$27</f>
        <v>0</v>
      </c>
      <c r="BH3" s="155"/>
      <c r="BI3" s="158">
        <f ca="1">(($BF3*$AR3)+($AU3*$B142)+($AV3*$B36)+($AR3*$AW3))*CS3</f>
        <v>0</v>
      </c>
      <c r="BJ3" s="158">
        <f ca="1">(($BG3*$AS3)+($AU3*$C142)+($AV3*$C36)+($AS3*$AW3))*CS3</f>
        <v>0</v>
      </c>
      <c r="BK3" s="159" t="str">
        <f t="shared" ref="BK3:BK34" ca="1" si="11">IF(BF3=0,"",(SUM(BI3:BJ3)))</f>
        <v/>
      </c>
      <c r="BL3" s="103"/>
      <c r="BM3" s="160">
        <f ca="1">K3*$B$27</f>
        <v>0</v>
      </c>
      <c r="BN3" s="160">
        <f ca="1">L3*$B$27</f>
        <v>0</v>
      </c>
      <c r="BO3" s="155"/>
      <c r="BP3" s="161">
        <f ca="1">(($BM3*$AR3)+($AU3*$B142)+($AV3*$B36)+($AR3*$AW3))*CS3</f>
        <v>0</v>
      </c>
      <c r="BQ3" s="161">
        <f ca="1">(($BN3*$AS3)+($AU3*$C142)+($AV3*$C36)+($AS3*$AW3))*CS3</f>
        <v>0</v>
      </c>
      <c r="BR3" s="162" t="str">
        <f t="shared" ref="BR3:BR34" ca="1" si="12">IF(BM3=0,"",(SUM(BP3:BQ3)))</f>
        <v/>
      </c>
      <c r="BS3" s="103"/>
      <c r="BT3" s="163">
        <f ca="1">Q3*$B$27</f>
        <v>0</v>
      </c>
      <c r="BU3" s="163">
        <f ca="1">R3*$B$27</f>
        <v>0</v>
      </c>
      <c r="BV3" s="155"/>
      <c r="BW3" s="164">
        <f ca="1">(($BT3*$AR3)+($AU3*$B142)+($AV3*$B36)+($AR3*$AW3))*CS3</f>
        <v>0</v>
      </c>
      <c r="BX3" s="164">
        <f ca="1">(($BU3*$AS3)+($AU3*$C142)+($AV3*$C36)+($AS3*$AW3))*CS3</f>
        <v>0</v>
      </c>
      <c r="BY3" s="165" t="str">
        <f t="shared" ref="BY3:BY34" ca="1" si="13">IF(BT3=0,"",(SUM(BW3:BX3)))</f>
        <v/>
      </c>
      <c r="BZ3" s="103"/>
      <c r="CA3" s="166">
        <f ca="1">S3*$B$27</f>
        <v>0</v>
      </c>
      <c r="CB3" s="166">
        <f ca="1">T3*$B$27</f>
        <v>0</v>
      </c>
      <c r="CC3" s="155"/>
      <c r="CD3" s="167">
        <f ca="1">(($CA3*$AR3)+($AU3*$B142)+($AV3*$B36)+($AR3*$AW3))*CS3</f>
        <v>0</v>
      </c>
      <c r="CE3" s="167">
        <f ca="1">(($CB3*$AS3)+($AU3*$C142)+($AV3*$C36)+($AS3*$AW3))*CS3</f>
        <v>0</v>
      </c>
      <c r="CF3" s="168" t="str">
        <f t="shared" ref="CF3:CF34" ca="1" si="14">IF(CA3=0,"",(SUM(CD3:CE3)))</f>
        <v/>
      </c>
      <c r="CG3" s="103"/>
      <c r="CH3" s="169">
        <f ca="1">U3*$B$27</f>
        <v>0</v>
      </c>
      <c r="CI3" s="169">
        <f ca="1">V3*$B$27</f>
        <v>0</v>
      </c>
      <c r="CJ3" s="155"/>
      <c r="CK3" s="170">
        <f ca="1">(($CH3*$AR3)+($AU3*$B142)+($AV3*$B36)+($AR3*$AW3))*CS3</f>
        <v>0</v>
      </c>
      <c r="CL3" s="170">
        <f ca="1">(($CI3*$AS3)+($AU3*$C142)+($AV3*$C36)+($AS3*$AW3))*CS3</f>
        <v>0</v>
      </c>
      <c r="CM3" s="171" t="str">
        <f t="shared" ref="CM3:CM34" ca="1" si="15">IF(CH3=0,"",(SUM(CK3:CL3)))</f>
        <v/>
      </c>
      <c r="CN3" s="103"/>
      <c r="CO3" s="151">
        <v>0</v>
      </c>
      <c r="CP3" s="403">
        <v>0.18</v>
      </c>
      <c r="CQ3" s="103">
        <f>+CP3*$CQ$2</f>
        <v>0</v>
      </c>
      <c r="CR3" s="409">
        <f>ROUND(CP3-CQ3,4)</f>
        <v>0.18</v>
      </c>
      <c r="CS3" s="103">
        <f>1-CQ3</f>
        <v>1</v>
      </c>
      <c r="CT3" s="103"/>
    </row>
    <row r="4" spans="1:98">
      <c r="A4" s="173" t="s">
        <v>400</v>
      </c>
      <c r="B4" s="173">
        <v>3</v>
      </c>
      <c r="C4" s="363" t="str">
        <f>+VLOOKUP(B4,DATOS!$A$4:$B$9,2,0)</f>
        <v>Elite</v>
      </c>
      <c r="D4" s="358" t="str">
        <f>+VLOOKUP(B4,DATOS!$A$4:$C$9,3,0)</f>
        <v>Plan Atlas Med Plus Elite</v>
      </c>
      <c r="G4"/>
      <c r="H4"/>
      <c r="I4"/>
      <c r="J4" s="175">
        <v>1</v>
      </c>
      <c r="K4" s="67">
        <v>21667.99</v>
      </c>
      <c r="L4" s="67">
        <v>19772.04</v>
      </c>
      <c r="M4" s="67">
        <v>19233.72</v>
      </c>
      <c r="N4" s="67">
        <v>17550.77</v>
      </c>
      <c r="O4" s="67">
        <v>17029.86</v>
      </c>
      <c r="P4" s="67">
        <v>15539.74</v>
      </c>
      <c r="Q4" s="147">
        <f t="shared" si="0"/>
        <v>0</v>
      </c>
      <c r="R4" s="147">
        <f t="shared" si="1"/>
        <v>0</v>
      </c>
      <c r="S4" s="147">
        <f t="shared" si="2"/>
        <v>0</v>
      </c>
      <c r="T4" s="147">
        <f t="shared" si="3"/>
        <v>0</v>
      </c>
      <c r="U4" s="147">
        <f t="shared" si="4"/>
        <v>0</v>
      </c>
      <c r="V4" s="147">
        <f t="shared" si="5"/>
        <v>0</v>
      </c>
      <c r="W4" s="103"/>
      <c r="X4" s="148"/>
      <c r="Y4" s="148"/>
      <c r="Z4" s="147">
        <f t="shared" ref="Z4:Z67" si="16">X4*1.043</f>
        <v>0</v>
      </c>
      <c r="AA4" s="147">
        <f t="shared" ref="AA4:AA67" si="17">Y4*1.043</f>
        <v>0</v>
      </c>
      <c r="AB4" s="147">
        <f t="shared" ref="AB4:AB67" si="18">X4*1.12</f>
        <v>0</v>
      </c>
      <c r="AC4" s="147">
        <f t="shared" ref="AC4:AC67" si="19">Y4*1.12</f>
        <v>0</v>
      </c>
      <c r="AD4" s="149"/>
      <c r="AE4" s="149"/>
      <c r="AF4" s="147">
        <f t="shared" ref="AF4:AF67" si="20">AD4*1.043</f>
        <v>0</v>
      </c>
      <c r="AG4" s="147">
        <f t="shared" ref="AG4:AG67" si="21">AE4*1.043</f>
        <v>0</v>
      </c>
      <c r="AH4" s="147">
        <f t="shared" ref="AH4:AH67" si="22">AD4*1.12</f>
        <v>0</v>
      </c>
      <c r="AI4" s="147">
        <f t="shared" ref="AI4:AI67" si="23">AE4*1.12</f>
        <v>0</v>
      </c>
      <c r="AJ4" s="148"/>
      <c r="AK4" s="150"/>
      <c r="AL4" s="147">
        <f t="shared" ref="AL4:AL67" si="24">AJ4*1.043</f>
        <v>0</v>
      </c>
      <c r="AM4" s="147">
        <f t="shared" ref="AM4:AM67" si="25">AK4*1.043</f>
        <v>0</v>
      </c>
      <c r="AN4" s="147">
        <f t="shared" ref="AN4:AN67" si="26">AJ4*1.12</f>
        <v>0</v>
      </c>
      <c r="AO4" s="147">
        <f t="shared" ref="AO4:AO67" si="27">AK4*1.12</f>
        <v>0</v>
      </c>
      <c r="AP4" s="103"/>
      <c r="AQ4" s="151">
        <v>1</v>
      </c>
      <c r="AR4" s="152">
        <f ca="1">+RESUMEN!F4</f>
        <v>0</v>
      </c>
      <c r="AS4" s="152">
        <f ca="1">+RESUMEN!G4</f>
        <v>0</v>
      </c>
      <c r="AT4" s="153">
        <f t="shared" ca="1" si="6"/>
        <v>0</v>
      </c>
      <c r="AU4" s="154">
        <f t="shared" ref="AU4:AU67" si="28">+((IF($G$9="SI",$K108*$B$25,0))*(VLOOKUP($F$10,$L$107:$N$123,3,0)))</f>
        <v>0</v>
      </c>
      <c r="AV4" s="154">
        <f t="shared" ref="AV4:AV67" si="29">((IF($G$12="SI",$K108*$B$25,0))*(VLOOKUP($F$13,$L$107:$N$123,3,0)))</f>
        <v>0</v>
      </c>
      <c r="AW4" s="154">
        <f t="shared" ca="1" si="7"/>
        <v>0</v>
      </c>
      <c r="AX4" s="153"/>
      <c r="AY4" s="154">
        <f t="shared" ca="1" si="8"/>
        <v>0</v>
      </c>
      <c r="AZ4" s="154">
        <f t="shared" ca="1" si="9"/>
        <v>0</v>
      </c>
      <c r="BA4" s="155"/>
      <c r="BB4" s="156">
        <f t="shared" ref="BB4:BB67" ca="1" si="30">(($AY4*$AR4)+($AU4*$B143)+($AV4*$B37)+($AR4*$AW4))*CS4</f>
        <v>0</v>
      </c>
      <c r="BC4" s="156">
        <f t="shared" ref="BC4:BC20" ca="1" si="31">(($AZ4*$AS4)+($AU4*$C143)+($AV4*$C37)+($AS4*$AW4))*CS4</f>
        <v>0</v>
      </c>
      <c r="BD4" s="157" t="str">
        <f t="shared" ca="1" si="10"/>
        <v/>
      </c>
      <c r="BE4" s="103"/>
      <c r="BF4" s="106">
        <f t="shared" ref="BF4:BF67" ca="1" si="32">M4*$B$27</f>
        <v>0</v>
      </c>
      <c r="BG4" s="106">
        <f t="shared" ref="BG4:BG67" ca="1" si="33">N4*$B$27</f>
        <v>0</v>
      </c>
      <c r="BH4" s="155"/>
      <c r="BI4" s="158">
        <f t="shared" ref="BI4:BI67" ca="1" si="34">(($BF4*$AR4)+($AU4*$B143)+($AV4*$B37)+($AR4*$AW4))*CS4</f>
        <v>0</v>
      </c>
      <c r="BJ4" s="158">
        <f t="shared" ref="BJ4:BJ20" ca="1" si="35">(($BG4*$AS4)+($AU4*$C143)+($AV4*$C37)+($AS4*$AW4))*CS4</f>
        <v>0</v>
      </c>
      <c r="BK4" s="159" t="str">
        <f t="shared" ca="1" si="11"/>
        <v/>
      </c>
      <c r="BL4" s="103"/>
      <c r="BM4" s="160">
        <f t="shared" ref="BM4:BM67" ca="1" si="36">K4*$B$27</f>
        <v>0</v>
      </c>
      <c r="BN4" s="160">
        <f t="shared" ref="BN4:BN67" ca="1" si="37">L4*$B$27</f>
        <v>0</v>
      </c>
      <c r="BO4" s="155"/>
      <c r="BP4" s="161">
        <f t="shared" ref="BP4:BP67" ca="1" si="38">(($BM4*$AR4)+($AU4*$B143)+($AV4*$B37)+($AR4*$AW4))*CS4</f>
        <v>0</v>
      </c>
      <c r="BQ4" s="161">
        <f t="shared" ref="BQ4:BQ20" ca="1" si="39">(($BN4*$AS4)+($AU4*$C143)+($AV4*$C37)+($AS4*$AW4))*CS4</f>
        <v>0</v>
      </c>
      <c r="BR4" s="162" t="str">
        <f t="shared" ca="1" si="12"/>
        <v/>
      </c>
      <c r="BS4" s="103"/>
      <c r="BT4" s="163">
        <f t="shared" ref="BT4:BT67" ca="1" si="40">Q4*$B$27</f>
        <v>0</v>
      </c>
      <c r="BU4" s="163">
        <f t="shared" ref="BU4:BU67" ca="1" si="41">R4*$B$27</f>
        <v>0</v>
      </c>
      <c r="BV4" s="155"/>
      <c r="BW4" s="164">
        <f t="shared" ref="BW4:BW67" ca="1" si="42">(($BT4*$AR4)+($AU4*$B143)+($AV4*$B37)+($AR4*$AW4))*CS4</f>
        <v>0</v>
      </c>
      <c r="BX4" s="164">
        <f t="shared" ref="BX4:BX20" ca="1" si="43">(($BU4*$AS4)+($AU4*$C143)+($AV4*$C37)+($AS4*$AW4))*CS4</f>
        <v>0</v>
      </c>
      <c r="BY4" s="165" t="str">
        <f t="shared" ca="1" si="13"/>
        <v/>
      </c>
      <c r="BZ4" s="103"/>
      <c r="CA4" s="166">
        <f t="shared" ref="CA4:CA67" ca="1" si="44">S4*$B$27</f>
        <v>0</v>
      </c>
      <c r="CB4" s="166">
        <f t="shared" ref="CB4:CB67" ca="1" si="45">T4*$B$27</f>
        <v>0</v>
      </c>
      <c r="CC4" s="155"/>
      <c r="CD4" s="167">
        <f t="shared" ref="CD4:CD67" ca="1" si="46">(($CA4*$AR4)+($AU4*$B143)+($AV4*$B37)+($AR4*$AW4))*CS4</f>
        <v>0</v>
      </c>
      <c r="CE4" s="167">
        <f t="shared" ref="CE4:CE20" ca="1" si="47">(($CB4*$AS4)+($AU4*$C143)+($AV4*$C37)+($AS4*$AW4))*CS4</f>
        <v>0</v>
      </c>
      <c r="CF4" s="168" t="str">
        <f t="shared" ca="1" si="14"/>
        <v/>
      </c>
      <c r="CG4" s="103"/>
      <c r="CH4" s="169">
        <f t="shared" ref="CH4:CH67" ca="1" si="48">U4*$B$27</f>
        <v>0</v>
      </c>
      <c r="CI4" s="169">
        <f t="shared" ref="CI4:CI67" ca="1" si="49">V4*$B$27</f>
        <v>0</v>
      </c>
      <c r="CJ4" s="155"/>
      <c r="CK4" s="170">
        <f t="shared" ref="CK4:CK67" ca="1" si="50">(($CH4*$AR4)+($AU4*$B143)+($AV4*$B37)+($AR4*$AW4))*CS4</f>
        <v>0</v>
      </c>
      <c r="CL4" s="170">
        <f t="shared" ref="CL4:CL20" ca="1" si="51">(($CI4*$AS4)+($AU4*$C143)+($AV4*$C37)+($AS4*$AW4))*CS4</f>
        <v>0</v>
      </c>
      <c r="CM4" s="171" t="str">
        <f t="shared" ca="1" si="15"/>
        <v/>
      </c>
      <c r="CN4" s="103"/>
      <c r="CO4" s="151">
        <v>1</v>
      </c>
      <c r="CP4" s="403">
        <v>0.18</v>
      </c>
      <c r="CQ4" s="103">
        <f t="shared" ref="CQ4:CQ67" si="52">+CP4*$CQ$2</f>
        <v>0</v>
      </c>
      <c r="CR4" s="409">
        <f t="shared" ref="CR4:CR67" si="53">ROUND(CP4-CQ4,4)</f>
        <v>0.18</v>
      </c>
      <c r="CS4" s="103">
        <f t="shared" ref="CS4:CS67" si="54">1-CQ4</f>
        <v>1</v>
      </c>
      <c r="CT4" s="103"/>
    </row>
    <row r="5" spans="1:98">
      <c r="A5" s="173" t="s">
        <v>288</v>
      </c>
      <c r="B5" s="119">
        <v>26</v>
      </c>
      <c r="C5" s="363" t="str">
        <f>VLOOKUP(B5,DATOS!U3:AA51,3,0)</f>
        <v>D00</v>
      </c>
      <c r="D5" s="173" t="str">
        <f>VLOOKUP(B5,DATOS!U3:AA51,2,0)</f>
        <v>CDMX</v>
      </c>
      <c r="E5" s="436"/>
      <c r="F5"/>
      <c r="G5" s="397" t="s">
        <v>1109</v>
      </c>
      <c r="H5"/>
      <c r="I5"/>
      <c r="J5" s="175">
        <v>2</v>
      </c>
      <c r="K5" s="67">
        <v>21667.99</v>
      </c>
      <c r="L5" s="67">
        <v>19576.16</v>
      </c>
      <c r="M5" s="67">
        <v>19233.72</v>
      </c>
      <c r="N5" s="67">
        <v>17376.89</v>
      </c>
      <c r="O5" s="67">
        <v>17029.86</v>
      </c>
      <c r="P5" s="67">
        <v>15385.79</v>
      </c>
      <c r="Q5" s="147">
        <f t="shared" si="0"/>
        <v>0</v>
      </c>
      <c r="R5" s="147">
        <f t="shared" si="1"/>
        <v>0</v>
      </c>
      <c r="S5" s="147">
        <f t="shared" si="2"/>
        <v>0</v>
      </c>
      <c r="T5" s="147">
        <f t="shared" si="3"/>
        <v>0</v>
      </c>
      <c r="U5" s="147">
        <f t="shared" si="4"/>
        <v>0</v>
      </c>
      <c r="V5" s="147">
        <f t="shared" si="5"/>
        <v>0</v>
      </c>
      <c r="W5" s="103"/>
      <c r="X5" s="148"/>
      <c r="Y5" s="148"/>
      <c r="Z5" s="147">
        <f t="shared" si="16"/>
        <v>0</v>
      </c>
      <c r="AA5" s="147">
        <f t="shared" si="17"/>
        <v>0</v>
      </c>
      <c r="AB5" s="147">
        <f t="shared" si="18"/>
        <v>0</v>
      </c>
      <c r="AC5" s="147">
        <f t="shared" si="19"/>
        <v>0</v>
      </c>
      <c r="AD5" s="149"/>
      <c r="AE5" s="149"/>
      <c r="AF5" s="147">
        <f t="shared" si="20"/>
        <v>0</v>
      </c>
      <c r="AG5" s="147">
        <f t="shared" si="21"/>
        <v>0</v>
      </c>
      <c r="AH5" s="147">
        <f t="shared" si="22"/>
        <v>0</v>
      </c>
      <c r="AI5" s="147">
        <f t="shared" si="23"/>
        <v>0</v>
      </c>
      <c r="AJ5" s="148"/>
      <c r="AK5" s="150"/>
      <c r="AL5" s="147">
        <f t="shared" si="24"/>
        <v>0</v>
      </c>
      <c r="AM5" s="147">
        <f t="shared" si="25"/>
        <v>0</v>
      </c>
      <c r="AN5" s="147">
        <f t="shared" si="26"/>
        <v>0</v>
      </c>
      <c r="AO5" s="147">
        <f t="shared" si="27"/>
        <v>0</v>
      </c>
      <c r="AP5" s="103"/>
      <c r="AQ5" s="151">
        <v>2</v>
      </c>
      <c r="AR5" s="152">
        <f ca="1">+RESUMEN!F5</f>
        <v>0</v>
      </c>
      <c r="AS5" s="152">
        <f ca="1">+RESUMEN!G5</f>
        <v>0</v>
      </c>
      <c r="AT5" s="153">
        <f t="shared" ca="1" si="6"/>
        <v>0</v>
      </c>
      <c r="AU5" s="154">
        <f t="shared" si="28"/>
        <v>0</v>
      </c>
      <c r="AV5" s="154">
        <f t="shared" si="29"/>
        <v>0</v>
      </c>
      <c r="AW5" s="154">
        <f t="shared" ca="1" si="7"/>
        <v>0</v>
      </c>
      <c r="AX5" s="153"/>
      <c r="AY5" s="154">
        <f t="shared" ca="1" si="8"/>
        <v>0</v>
      </c>
      <c r="AZ5" s="154">
        <f t="shared" ca="1" si="9"/>
        <v>0</v>
      </c>
      <c r="BA5" s="155"/>
      <c r="BB5" s="156">
        <f ca="1">(($AY5*$AR5)+($AU5*$B144)+($AV5*$B38)+($AR5*$AW5))*CS5</f>
        <v>0</v>
      </c>
      <c r="BC5" s="156">
        <f t="shared" ca="1" si="31"/>
        <v>0</v>
      </c>
      <c r="BD5" s="157" t="str">
        <f t="shared" ca="1" si="10"/>
        <v/>
      </c>
      <c r="BE5" s="103"/>
      <c r="BF5" s="106">
        <f t="shared" ca="1" si="32"/>
        <v>0</v>
      </c>
      <c r="BG5" s="106">
        <f t="shared" ca="1" si="33"/>
        <v>0</v>
      </c>
      <c r="BH5" s="155"/>
      <c r="BI5" s="158">
        <f t="shared" ca="1" si="34"/>
        <v>0</v>
      </c>
      <c r="BJ5" s="158">
        <f t="shared" ca="1" si="35"/>
        <v>0</v>
      </c>
      <c r="BK5" s="159" t="str">
        <f t="shared" ca="1" si="11"/>
        <v/>
      </c>
      <c r="BL5" s="103"/>
      <c r="BM5" s="160">
        <f t="shared" ca="1" si="36"/>
        <v>0</v>
      </c>
      <c r="BN5" s="160">
        <f t="shared" ca="1" si="37"/>
        <v>0</v>
      </c>
      <c r="BO5" s="155"/>
      <c r="BP5" s="161">
        <f t="shared" ca="1" si="38"/>
        <v>0</v>
      </c>
      <c r="BQ5" s="161">
        <f t="shared" ca="1" si="39"/>
        <v>0</v>
      </c>
      <c r="BR5" s="162" t="str">
        <f t="shared" ca="1" si="12"/>
        <v/>
      </c>
      <c r="BS5" s="103"/>
      <c r="BT5" s="163">
        <f t="shared" ca="1" si="40"/>
        <v>0</v>
      </c>
      <c r="BU5" s="163">
        <f t="shared" ca="1" si="41"/>
        <v>0</v>
      </c>
      <c r="BV5" s="155"/>
      <c r="BW5" s="164">
        <f t="shared" ca="1" si="42"/>
        <v>0</v>
      </c>
      <c r="BX5" s="164">
        <f t="shared" ca="1" si="43"/>
        <v>0</v>
      </c>
      <c r="BY5" s="165" t="str">
        <f t="shared" ca="1" si="13"/>
        <v/>
      </c>
      <c r="BZ5" s="103"/>
      <c r="CA5" s="166">
        <f t="shared" ca="1" si="44"/>
        <v>0</v>
      </c>
      <c r="CB5" s="166">
        <f t="shared" ca="1" si="45"/>
        <v>0</v>
      </c>
      <c r="CC5" s="155"/>
      <c r="CD5" s="167">
        <f t="shared" ca="1" si="46"/>
        <v>0</v>
      </c>
      <c r="CE5" s="167">
        <f t="shared" ca="1" si="47"/>
        <v>0</v>
      </c>
      <c r="CF5" s="168" t="str">
        <f t="shared" ca="1" si="14"/>
        <v/>
      </c>
      <c r="CG5" s="103"/>
      <c r="CH5" s="169">
        <f t="shared" ca="1" si="48"/>
        <v>0</v>
      </c>
      <c r="CI5" s="169">
        <f t="shared" ca="1" si="49"/>
        <v>0</v>
      </c>
      <c r="CJ5" s="155"/>
      <c r="CK5" s="170">
        <f t="shared" ca="1" si="50"/>
        <v>0</v>
      </c>
      <c r="CL5" s="170">
        <f t="shared" ca="1" si="51"/>
        <v>0</v>
      </c>
      <c r="CM5" s="171" t="str">
        <f t="shared" ca="1" si="15"/>
        <v/>
      </c>
      <c r="CN5" s="103"/>
      <c r="CO5" s="151">
        <v>2</v>
      </c>
      <c r="CP5" s="403">
        <v>0.18</v>
      </c>
      <c r="CQ5" s="103">
        <f t="shared" si="52"/>
        <v>0</v>
      </c>
      <c r="CR5" s="409">
        <f t="shared" si="53"/>
        <v>0.18</v>
      </c>
      <c r="CS5" s="103">
        <f t="shared" si="54"/>
        <v>1</v>
      </c>
      <c r="CT5" s="103"/>
    </row>
    <row r="6" spans="1:98">
      <c r="A6" s="173" t="s">
        <v>7</v>
      </c>
      <c r="B6" s="119">
        <v>52</v>
      </c>
      <c r="C6" s="364">
        <f>+VLOOKUP(B6,DATOS!$AC$4:$AF$100,2,0)-C7</f>
        <v>2000</v>
      </c>
      <c r="D6" s="173" t="str">
        <f>+IF(B4&gt;=4," Dlls."," UMAM ")</f>
        <v xml:space="preserve"> UMAM </v>
      </c>
      <c r="E6" s="436">
        <f>+VLOOKUP(B6,DATOS!$AC$4:$AF$100,2,0)</f>
        <v>3000</v>
      </c>
      <c r="F6"/>
      <c r="G6" s="437">
        <f>IF(AND(b=1,B6=96),E6-10000,E6)</f>
        <v>3000</v>
      </c>
      <c r="H6"/>
      <c r="I6"/>
      <c r="J6" s="175">
        <v>3</v>
      </c>
      <c r="K6" s="67">
        <v>21667.99</v>
      </c>
      <c r="L6" s="67">
        <v>19468.37</v>
      </c>
      <c r="M6" s="67">
        <v>19233.72</v>
      </c>
      <c r="N6" s="67">
        <v>17281.22</v>
      </c>
      <c r="O6" s="67">
        <v>17029.86</v>
      </c>
      <c r="P6" s="67">
        <v>15301.08</v>
      </c>
      <c r="Q6" s="147">
        <f t="shared" si="0"/>
        <v>0</v>
      </c>
      <c r="R6" s="147">
        <f t="shared" si="1"/>
        <v>0</v>
      </c>
      <c r="S6" s="147">
        <f t="shared" si="2"/>
        <v>0</v>
      </c>
      <c r="T6" s="147">
        <f t="shared" si="3"/>
        <v>0</v>
      </c>
      <c r="U6" s="147">
        <f t="shared" si="4"/>
        <v>0</v>
      </c>
      <c r="V6" s="147">
        <f t="shared" si="5"/>
        <v>0</v>
      </c>
      <c r="W6" s="103"/>
      <c r="X6" s="148"/>
      <c r="Y6" s="148"/>
      <c r="Z6" s="147">
        <f t="shared" si="16"/>
        <v>0</v>
      </c>
      <c r="AA6" s="147">
        <f t="shared" si="17"/>
        <v>0</v>
      </c>
      <c r="AB6" s="147">
        <f t="shared" si="18"/>
        <v>0</v>
      </c>
      <c r="AC6" s="147">
        <f t="shared" si="19"/>
        <v>0</v>
      </c>
      <c r="AD6" s="149"/>
      <c r="AE6" s="149"/>
      <c r="AF6" s="147">
        <f t="shared" si="20"/>
        <v>0</v>
      </c>
      <c r="AG6" s="147">
        <f t="shared" si="21"/>
        <v>0</v>
      </c>
      <c r="AH6" s="147">
        <f t="shared" si="22"/>
        <v>0</v>
      </c>
      <c r="AI6" s="147">
        <f t="shared" si="23"/>
        <v>0</v>
      </c>
      <c r="AJ6" s="148"/>
      <c r="AK6" s="150"/>
      <c r="AL6" s="147">
        <f t="shared" si="24"/>
        <v>0</v>
      </c>
      <c r="AM6" s="147">
        <f t="shared" si="25"/>
        <v>0</v>
      </c>
      <c r="AN6" s="147">
        <f t="shared" si="26"/>
        <v>0</v>
      </c>
      <c r="AO6" s="147">
        <f t="shared" si="27"/>
        <v>0</v>
      </c>
      <c r="AP6" s="103"/>
      <c r="AQ6" s="151">
        <v>3</v>
      </c>
      <c r="AR6" s="152">
        <f ca="1">+RESUMEN!F6</f>
        <v>0</v>
      </c>
      <c r="AS6" s="152">
        <f ca="1">+RESUMEN!G6</f>
        <v>0</v>
      </c>
      <c r="AT6" s="153">
        <f t="shared" ca="1" si="6"/>
        <v>0</v>
      </c>
      <c r="AU6" s="154">
        <f t="shared" si="28"/>
        <v>0</v>
      </c>
      <c r="AV6" s="154">
        <f t="shared" si="29"/>
        <v>0</v>
      </c>
      <c r="AW6" s="154">
        <f t="shared" ca="1" si="7"/>
        <v>0</v>
      </c>
      <c r="AX6" s="153"/>
      <c r="AY6" s="154">
        <f t="shared" ca="1" si="8"/>
        <v>0</v>
      </c>
      <c r="AZ6" s="154">
        <f t="shared" ca="1" si="9"/>
        <v>0</v>
      </c>
      <c r="BA6" s="155"/>
      <c r="BB6" s="156">
        <f t="shared" ca="1" si="30"/>
        <v>0</v>
      </c>
      <c r="BC6" s="156">
        <f t="shared" ca="1" si="31"/>
        <v>0</v>
      </c>
      <c r="BD6" s="157" t="str">
        <f t="shared" ca="1" si="10"/>
        <v/>
      </c>
      <c r="BE6" s="103"/>
      <c r="BF6" s="106">
        <f t="shared" ca="1" si="32"/>
        <v>0</v>
      </c>
      <c r="BG6" s="106">
        <f t="shared" ca="1" si="33"/>
        <v>0</v>
      </c>
      <c r="BH6" s="155"/>
      <c r="BI6" s="158">
        <f t="shared" ca="1" si="34"/>
        <v>0</v>
      </c>
      <c r="BJ6" s="158">
        <f t="shared" ca="1" si="35"/>
        <v>0</v>
      </c>
      <c r="BK6" s="159" t="str">
        <f t="shared" ca="1" si="11"/>
        <v/>
      </c>
      <c r="BL6" s="103"/>
      <c r="BM6" s="160">
        <f t="shared" ca="1" si="36"/>
        <v>0</v>
      </c>
      <c r="BN6" s="160">
        <f t="shared" ca="1" si="37"/>
        <v>0</v>
      </c>
      <c r="BO6" s="155"/>
      <c r="BP6" s="161">
        <f t="shared" ca="1" si="38"/>
        <v>0</v>
      </c>
      <c r="BQ6" s="161">
        <f t="shared" ca="1" si="39"/>
        <v>0</v>
      </c>
      <c r="BR6" s="162" t="str">
        <f t="shared" ca="1" si="12"/>
        <v/>
      </c>
      <c r="BS6" s="103"/>
      <c r="BT6" s="163">
        <f t="shared" ca="1" si="40"/>
        <v>0</v>
      </c>
      <c r="BU6" s="163">
        <f t="shared" ca="1" si="41"/>
        <v>0</v>
      </c>
      <c r="BV6" s="155"/>
      <c r="BW6" s="164">
        <f t="shared" ca="1" si="42"/>
        <v>0</v>
      </c>
      <c r="BX6" s="164">
        <f t="shared" ca="1" si="43"/>
        <v>0</v>
      </c>
      <c r="BY6" s="165" t="str">
        <f t="shared" ca="1" si="13"/>
        <v/>
      </c>
      <c r="BZ6" s="103"/>
      <c r="CA6" s="166">
        <f t="shared" ca="1" si="44"/>
        <v>0</v>
      </c>
      <c r="CB6" s="166">
        <f t="shared" ca="1" si="45"/>
        <v>0</v>
      </c>
      <c r="CC6" s="155"/>
      <c r="CD6" s="167">
        <f t="shared" ca="1" si="46"/>
        <v>0</v>
      </c>
      <c r="CE6" s="167">
        <f t="shared" ca="1" si="47"/>
        <v>0</v>
      </c>
      <c r="CF6" s="168" t="str">
        <f t="shared" ca="1" si="14"/>
        <v/>
      </c>
      <c r="CG6" s="103"/>
      <c r="CH6" s="169">
        <f t="shared" ca="1" si="48"/>
        <v>0</v>
      </c>
      <c r="CI6" s="169">
        <f t="shared" ca="1" si="49"/>
        <v>0</v>
      </c>
      <c r="CJ6" s="155"/>
      <c r="CK6" s="170">
        <f t="shared" ca="1" si="50"/>
        <v>0</v>
      </c>
      <c r="CL6" s="170">
        <f t="shared" ca="1" si="51"/>
        <v>0</v>
      </c>
      <c r="CM6" s="171" t="str">
        <f t="shared" ca="1" si="15"/>
        <v/>
      </c>
      <c r="CN6" s="103"/>
      <c r="CO6" s="151">
        <v>3</v>
      </c>
      <c r="CP6" s="403">
        <v>0.18</v>
      </c>
      <c r="CQ6" s="103">
        <f t="shared" si="52"/>
        <v>0</v>
      </c>
      <c r="CR6" s="409">
        <f t="shared" si="53"/>
        <v>0.18</v>
      </c>
      <c r="CS6" s="103">
        <f t="shared" si="54"/>
        <v>1</v>
      </c>
      <c r="CT6" s="103"/>
    </row>
    <row r="7" spans="1:98">
      <c r="A7" s="173" t="s">
        <v>8</v>
      </c>
      <c r="B7" s="413">
        <v>23</v>
      </c>
      <c r="C7" s="364">
        <f>+VLOOKUP(B7,DATOS!$N$4:$S$656,2,0)</f>
        <v>1000</v>
      </c>
      <c r="D7" s="173" t="str">
        <f>+IF(B4&gt;=4,"  Dlls."," UMAM")</f>
        <v xml:space="preserve"> UMAM</v>
      </c>
      <c r="E7" s="436">
        <f>+VLOOKUP(B7,DATOS!$N$4:$Q$656,2,0)</f>
        <v>1000</v>
      </c>
      <c r="F7" t="b">
        <f>+E7&gt;=E6</f>
        <v>0</v>
      </c>
      <c r="G7" s="437">
        <f>+E7</f>
        <v>1000</v>
      </c>
      <c r="H7" t="b">
        <f>+G7&gt;=G6</f>
        <v>0</v>
      </c>
      <c r="I7"/>
      <c r="J7" s="175">
        <v>4</v>
      </c>
      <c r="K7" s="67">
        <v>21667.99</v>
      </c>
      <c r="L7" s="67">
        <v>19286.86</v>
      </c>
      <c r="M7" s="67">
        <v>19233.72</v>
      </c>
      <c r="N7" s="67">
        <v>17120.099999999999</v>
      </c>
      <c r="O7" s="67">
        <v>17029.86</v>
      </c>
      <c r="P7" s="67">
        <v>15158.42</v>
      </c>
      <c r="Q7" s="147">
        <f t="shared" si="0"/>
        <v>0</v>
      </c>
      <c r="R7" s="147">
        <f t="shared" si="1"/>
        <v>0</v>
      </c>
      <c r="S7" s="147">
        <f t="shared" si="2"/>
        <v>0</v>
      </c>
      <c r="T7" s="147">
        <f t="shared" si="3"/>
        <v>0</v>
      </c>
      <c r="U7" s="147">
        <f t="shared" si="4"/>
        <v>0</v>
      </c>
      <c r="V7" s="147">
        <f t="shared" si="5"/>
        <v>0</v>
      </c>
      <c r="W7" s="103"/>
      <c r="X7" s="148"/>
      <c r="Y7" s="148"/>
      <c r="Z7" s="147">
        <f t="shared" si="16"/>
        <v>0</v>
      </c>
      <c r="AA7" s="147">
        <f t="shared" si="17"/>
        <v>0</v>
      </c>
      <c r="AB7" s="147">
        <f t="shared" si="18"/>
        <v>0</v>
      </c>
      <c r="AC7" s="147">
        <f t="shared" si="19"/>
        <v>0</v>
      </c>
      <c r="AD7" s="149"/>
      <c r="AE7" s="149"/>
      <c r="AF7" s="147">
        <f t="shared" si="20"/>
        <v>0</v>
      </c>
      <c r="AG7" s="147">
        <f t="shared" si="21"/>
        <v>0</v>
      </c>
      <c r="AH7" s="147">
        <f t="shared" si="22"/>
        <v>0</v>
      </c>
      <c r="AI7" s="147">
        <f t="shared" si="23"/>
        <v>0</v>
      </c>
      <c r="AJ7" s="148"/>
      <c r="AK7" s="150"/>
      <c r="AL7" s="147">
        <f t="shared" si="24"/>
        <v>0</v>
      </c>
      <c r="AM7" s="147">
        <f t="shared" si="25"/>
        <v>0</v>
      </c>
      <c r="AN7" s="147">
        <f t="shared" si="26"/>
        <v>0</v>
      </c>
      <c r="AO7" s="147">
        <f t="shared" si="27"/>
        <v>0</v>
      </c>
      <c r="AP7" s="103"/>
      <c r="AQ7" s="151">
        <v>4</v>
      </c>
      <c r="AR7" s="152">
        <f ca="1">+RESUMEN!F7</f>
        <v>0</v>
      </c>
      <c r="AS7" s="152">
        <f ca="1">+RESUMEN!G7</f>
        <v>0</v>
      </c>
      <c r="AT7" s="153">
        <f t="shared" ca="1" si="6"/>
        <v>0</v>
      </c>
      <c r="AU7" s="154">
        <f t="shared" si="28"/>
        <v>0</v>
      </c>
      <c r="AV7" s="154">
        <f t="shared" si="29"/>
        <v>0</v>
      </c>
      <c r="AW7" s="154">
        <f t="shared" ca="1" si="7"/>
        <v>0</v>
      </c>
      <c r="AX7" s="153"/>
      <c r="AY7" s="154">
        <f t="shared" ca="1" si="8"/>
        <v>0</v>
      </c>
      <c r="AZ7" s="154">
        <f t="shared" ca="1" si="9"/>
        <v>0</v>
      </c>
      <c r="BA7" s="155"/>
      <c r="BB7" s="156">
        <f t="shared" ca="1" si="30"/>
        <v>0</v>
      </c>
      <c r="BC7" s="156">
        <f t="shared" ca="1" si="31"/>
        <v>0</v>
      </c>
      <c r="BD7" s="157" t="str">
        <f t="shared" ca="1" si="10"/>
        <v/>
      </c>
      <c r="BE7" s="103"/>
      <c r="BF7" s="106">
        <f t="shared" ca="1" si="32"/>
        <v>0</v>
      </c>
      <c r="BG7" s="106">
        <f t="shared" ca="1" si="33"/>
        <v>0</v>
      </c>
      <c r="BH7" s="155"/>
      <c r="BI7" s="158">
        <f t="shared" ca="1" si="34"/>
        <v>0</v>
      </c>
      <c r="BJ7" s="158">
        <f t="shared" ca="1" si="35"/>
        <v>0</v>
      </c>
      <c r="BK7" s="159" t="str">
        <f t="shared" ca="1" si="11"/>
        <v/>
      </c>
      <c r="BL7" s="103"/>
      <c r="BM7" s="160">
        <f t="shared" ca="1" si="36"/>
        <v>0</v>
      </c>
      <c r="BN7" s="160">
        <f t="shared" ca="1" si="37"/>
        <v>0</v>
      </c>
      <c r="BO7" s="155"/>
      <c r="BP7" s="161">
        <f t="shared" ca="1" si="38"/>
        <v>0</v>
      </c>
      <c r="BQ7" s="161">
        <f t="shared" ca="1" si="39"/>
        <v>0</v>
      </c>
      <c r="BR7" s="162" t="str">
        <f t="shared" ca="1" si="12"/>
        <v/>
      </c>
      <c r="BS7" s="103"/>
      <c r="BT7" s="163">
        <f t="shared" ca="1" si="40"/>
        <v>0</v>
      </c>
      <c r="BU7" s="163">
        <f t="shared" ca="1" si="41"/>
        <v>0</v>
      </c>
      <c r="BV7" s="155"/>
      <c r="BW7" s="164">
        <f t="shared" ca="1" si="42"/>
        <v>0</v>
      </c>
      <c r="BX7" s="164">
        <f t="shared" ca="1" si="43"/>
        <v>0</v>
      </c>
      <c r="BY7" s="165" t="str">
        <f t="shared" ca="1" si="13"/>
        <v/>
      </c>
      <c r="BZ7" s="103"/>
      <c r="CA7" s="166">
        <f t="shared" ca="1" si="44"/>
        <v>0</v>
      </c>
      <c r="CB7" s="166">
        <f t="shared" ca="1" si="45"/>
        <v>0</v>
      </c>
      <c r="CC7" s="155"/>
      <c r="CD7" s="167">
        <f t="shared" ca="1" si="46"/>
        <v>0</v>
      </c>
      <c r="CE7" s="167">
        <f t="shared" ca="1" si="47"/>
        <v>0</v>
      </c>
      <c r="CF7" s="168" t="str">
        <f t="shared" ca="1" si="14"/>
        <v/>
      </c>
      <c r="CG7" s="103"/>
      <c r="CH7" s="169">
        <f t="shared" ca="1" si="48"/>
        <v>0</v>
      </c>
      <c r="CI7" s="169">
        <f t="shared" ca="1" si="49"/>
        <v>0</v>
      </c>
      <c r="CJ7" s="155"/>
      <c r="CK7" s="170">
        <f t="shared" ca="1" si="50"/>
        <v>0</v>
      </c>
      <c r="CL7" s="170">
        <f t="shared" ca="1" si="51"/>
        <v>0</v>
      </c>
      <c r="CM7" s="171" t="str">
        <f t="shared" ca="1" si="15"/>
        <v/>
      </c>
      <c r="CN7" s="103"/>
      <c r="CO7" s="151">
        <v>4</v>
      </c>
      <c r="CP7" s="403">
        <v>0.18</v>
      </c>
      <c r="CQ7" s="103">
        <f t="shared" si="52"/>
        <v>0</v>
      </c>
      <c r="CR7" s="409">
        <f t="shared" si="53"/>
        <v>0.18</v>
      </c>
      <c r="CS7" s="103">
        <f t="shared" si="54"/>
        <v>1</v>
      </c>
      <c r="CT7" s="103"/>
    </row>
    <row r="8" spans="1:98">
      <c r="A8" s="173" t="s">
        <v>9</v>
      </c>
      <c r="B8" s="173">
        <v>1</v>
      </c>
      <c r="C8" s="365">
        <f>IF(F18="si",0.1,VLOOKUP(B8,DATOS!AH4:AI12,2,0))</f>
        <v>0.1</v>
      </c>
      <c r="D8"/>
      <c r="E8"/>
      <c r="F8"/>
      <c r="G8"/>
      <c r="H8"/>
      <c r="I8"/>
      <c r="J8" s="175">
        <v>5</v>
      </c>
      <c r="K8" s="67">
        <v>21667.99</v>
      </c>
      <c r="L8" s="67">
        <v>18779.45</v>
      </c>
      <c r="M8" s="67">
        <v>19233.72</v>
      </c>
      <c r="N8" s="67">
        <v>16669.689999999999</v>
      </c>
      <c r="O8" s="67">
        <v>17029.86</v>
      </c>
      <c r="P8" s="67">
        <v>14759.62</v>
      </c>
      <c r="Q8" s="147">
        <f t="shared" si="0"/>
        <v>0</v>
      </c>
      <c r="R8" s="147">
        <f t="shared" si="1"/>
        <v>0</v>
      </c>
      <c r="S8" s="147">
        <f t="shared" si="2"/>
        <v>0</v>
      </c>
      <c r="T8" s="147">
        <f t="shared" si="3"/>
        <v>0</v>
      </c>
      <c r="U8" s="147">
        <f t="shared" si="4"/>
        <v>0</v>
      </c>
      <c r="V8" s="147">
        <f t="shared" si="5"/>
        <v>0</v>
      </c>
      <c r="W8" s="103"/>
      <c r="X8" s="148"/>
      <c r="Y8" s="148"/>
      <c r="Z8" s="147">
        <f t="shared" si="16"/>
        <v>0</v>
      </c>
      <c r="AA8" s="147">
        <f t="shared" si="17"/>
        <v>0</v>
      </c>
      <c r="AB8" s="147">
        <f t="shared" si="18"/>
        <v>0</v>
      </c>
      <c r="AC8" s="147">
        <f t="shared" si="19"/>
        <v>0</v>
      </c>
      <c r="AD8" s="149"/>
      <c r="AE8" s="149"/>
      <c r="AF8" s="147">
        <f t="shared" si="20"/>
        <v>0</v>
      </c>
      <c r="AG8" s="147">
        <f t="shared" si="21"/>
        <v>0</v>
      </c>
      <c r="AH8" s="147">
        <f t="shared" si="22"/>
        <v>0</v>
      </c>
      <c r="AI8" s="147">
        <f t="shared" si="23"/>
        <v>0</v>
      </c>
      <c r="AJ8" s="148"/>
      <c r="AK8" s="150"/>
      <c r="AL8" s="147">
        <f t="shared" si="24"/>
        <v>0</v>
      </c>
      <c r="AM8" s="147">
        <f t="shared" si="25"/>
        <v>0</v>
      </c>
      <c r="AN8" s="147">
        <f t="shared" si="26"/>
        <v>0</v>
      </c>
      <c r="AO8" s="147">
        <f t="shared" si="27"/>
        <v>0</v>
      </c>
      <c r="AP8" s="103"/>
      <c r="AQ8" s="151">
        <v>5</v>
      </c>
      <c r="AR8" s="152">
        <f ca="1">+RESUMEN!F8</f>
        <v>0</v>
      </c>
      <c r="AS8" s="152">
        <f ca="1">+RESUMEN!G8</f>
        <v>0</v>
      </c>
      <c r="AT8" s="153">
        <f t="shared" ca="1" si="6"/>
        <v>0</v>
      </c>
      <c r="AU8" s="154">
        <f t="shared" si="28"/>
        <v>0</v>
      </c>
      <c r="AV8" s="154">
        <f t="shared" si="29"/>
        <v>0</v>
      </c>
      <c r="AW8" s="154">
        <f t="shared" ca="1" si="7"/>
        <v>0</v>
      </c>
      <c r="AX8" s="153"/>
      <c r="AY8" s="154">
        <f t="shared" ca="1" si="8"/>
        <v>0</v>
      </c>
      <c r="AZ8" s="154">
        <f t="shared" ca="1" si="9"/>
        <v>0</v>
      </c>
      <c r="BA8" s="155"/>
      <c r="BB8" s="156">
        <f t="shared" ca="1" si="30"/>
        <v>0</v>
      </c>
      <c r="BC8" s="156">
        <f t="shared" ca="1" si="31"/>
        <v>0</v>
      </c>
      <c r="BD8" s="157" t="str">
        <f t="shared" ca="1" si="10"/>
        <v/>
      </c>
      <c r="BE8" s="103"/>
      <c r="BF8" s="106">
        <f t="shared" ca="1" si="32"/>
        <v>0</v>
      </c>
      <c r="BG8" s="106">
        <f t="shared" ca="1" si="33"/>
        <v>0</v>
      </c>
      <c r="BH8" s="155"/>
      <c r="BI8" s="158">
        <f t="shared" ca="1" si="34"/>
        <v>0</v>
      </c>
      <c r="BJ8" s="158">
        <f t="shared" ca="1" si="35"/>
        <v>0</v>
      </c>
      <c r="BK8" s="159" t="str">
        <f t="shared" ca="1" si="11"/>
        <v/>
      </c>
      <c r="BL8" s="103"/>
      <c r="BM8" s="160">
        <f t="shared" ca="1" si="36"/>
        <v>0</v>
      </c>
      <c r="BN8" s="160">
        <f t="shared" ca="1" si="37"/>
        <v>0</v>
      </c>
      <c r="BO8" s="155"/>
      <c r="BP8" s="161">
        <f t="shared" ca="1" si="38"/>
        <v>0</v>
      </c>
      <c r="BQ8" s="161">
        <f t="shared" ca="1" si="39"/>
        <v>0</v>
      </c>
      <c r="BR8" s="162" t="str">
        <f t="shared" ca="1" si="12"/>
        <v/>
      </c>
      <c r="BS8" s="103"/>
      <c r="BT8" s="163">
        <f t="shared" ca="1" si="40"/>
        <v>0</v>
      </c>
      <c r="BU8" s="163">
        <f t="shared" ca="1" si="41"/>
        <v>0</v>
      </c>
      <c r="BV8" s="155"/>
      <c r="BW8" s="164">
        <f t="shared" ca="1" si="42"/>
        <v>0</v>
      </c>
      <c r="BX8" s="164">
        <f t="shared" ca="1" si="43"/>
        <v>0</v>
      </c>
      <c r="BY8" s="165" t="str">
        <f t="shared" ca="1" si="13"/>
        <v/>
      </c>
      <c r="BZ8" s="103"/>
      <c r="CA8" s="166">
        <f t="shared" ca="1" si="44"/>
        <v>0</v>
      </c>
      <c r="CB8" s="166">
        <f t="shared" ca="1" si="45"/>
        <v>0</v>
      </c>
      <c r="CC8" s="155"/>
      <c r="CD8" s="167">
        <f t="shared" ca="1" si="46"/>
        <v>0</v>
      </c>
      <c r="CE8" s="167">
        <f t="shared" ca="1" si="47"/>
        <v>0</v>
      </c>
      <c r="CF8" s="168" t="str">
        <f t="shared" ca="1" si="14"/>
        <v/>
      </c>
      <c r="CG8" s="103"/>
      <c r="CH8" s="169">
        <f t="shared" ca="1" si="48"/>
        <v>0</v>
      </c>
      <c r="CI8" s="169">
        <f t="shared" ca="1" si="49"/>
        <v>0</v>
      </c>
      <c r="CJ8" s="155"/>
      <c r="CK8" s="170">
        <f t="shared" ca="1" si="50"/>
        <v>0</v>
      </c>
      <c r="CL8" s="170">
        <f t="shared" ca="1" si="51"/>
        <v>0</v>
      </c>
      <c r="CM8" s="171" t="str">
        <f t="shared" ca="1" si="15"/>
        <v/>
      </c>
      <c r="CN8" s="103"/>
      <c r="CO8" s="151">
        <v>5</v>
      </c>
      <c r="CP8" s="403">
        <v>0.18</v>
      </c>
      <c r="CQ8" s="103">
        <f t="shared" si="52"/>
        <v>0</v>
      </c>
      <c r="CR8" s="409">
        <f t="shared" si="53"/>
        <v>0.18</v>
      </c>
      <c r="CS8" s="103">
        <f t="shared" si="54"/>
        <v>1</v>
      </c>
      <c r="CT8" s="103"/>
    </row>
    <row r="9" spans="1:98">
      <c r="A9" s="173" t="s">
        <v>127</v>
      </c>
      <c r="B9" s="328">
        <v>11</v>
      </c>
      <c r="C9" s="363">
        <f>VLOOKUP(B9,DATOS!AL4:AN20,2,0)</f>
        <v>70000</v>
      </c>
      <c r="D9"/>
      <c r="E9" s="173" t="s">
        <v>377</v>
      </c>
      <c r="F9" s="173"/>
      <c r="G9" s="367" t="str">
        <f>+IF(OR(LEFT(F9)="F",F9=""),"NO","SI")</f>
        <v>NO</v>
      </c>
      <c r="H9"/>
      <c r="J9" s="175">
        <v>6</v>
      </c>
      <c r="K9" s="67">
        <v>20620.02</v>
      </c>
      <c r="L9" s="67">
        <v>18779.45</v>
      </c>
      <c r="M9" s="67">
        <v>18303.48</v>
      </c>
      <c r="N9" s="67">
        <v>16669.689999999999</v>
      </c>
      <c r="O9" s="67">
        <v>16206.21</v>
      </c>
      <c r="P9" s="67">
        <v>14759.62</v>
      </c>
      <c r="Q9" s="147">
        <f t="shared" si="0"/>
        <v>0</v>
      </c>
      <c r="R9" s="147">
        <f t="shared" si="1"/>
        <v>0</v>
      </c>
      <c r="S9" s="147">
        <f t="shared" si="2"/>
        <v>0</v>
      </c>
      <c r="T9" s="147">
        <f t="shared" si="3"/>
        <v>0</v>
      </c>
      <c r="U9" s="147">
        <f t="shared" si="4"/>
        <v>0</v>
      </c>
      <c r="V9" s="147">
        <f t="shared" si="5"/>
        <v>0</v>
      </c>
      <c r="W9" s="103"/>
      <c r="X9" s="148"/>
      <c r="Y9" s="148"/>
      <c r="Z9" s="147">
        <f t="shared" si="16"/>
        <v>0</v>
      </c>
      <c r="AA9" s="147">
        <f t="shared" si="17"/>
        <v>0</v>
      </c>
      <c r="AB9" s="147">
        <f t="shared" si="18"/>
        <v>0</v>
      </c>
      <c r="AC9" s="147">
        <f t="shared" si="19"/>
        <v>0</v>
      </c>
      <c r="AD9" s="149"/>
      <c r="AE9" s="149"/>
      <c r="AF9" s="147">
        <f t="shared" si="20"/>
        <v>0</v>
      </c>
      <c r="AG9" s="147">
        <f t="shared" si="21"/>
        <v>0</v>
      </c>
      <c r="AH9" s="147">
        <f t="shared" si="22"/>
        <v>0</v>
      </c>
      <c r="AI9" s="147">
        <f t="shared" si="23"/>
        <v>0</v>
      </c>
      <c r="AJ9" s="148"/>
      <c r="AK9" s="150"/>
      <c r="AL9" s="147">
        <f t="shared" si="24"/>
        <v>0</v>
      </c>
      <c r="AM9" s="147">
        <f t="shared" si="25"/>
        <v>0</v>
      </c>
      <c r="AN9" s="147">
        <f t="shared" si="26"/>
        <v>0</v>
      </c>
      <c r="AO9" s="147">
        <f t="shared" si="27"/>
        <v>0</v>
      </c>
      <c r="AP9" s="103"/>
      <c r="AQ9" s="151">
        <v>6</v>
      </c>
      <c r="AR9" s="152">
        <f ca="1">+RESUMEN!F9</f>
        <v>0</v>
      </c>
      <c r="AS9" s="152">
        <f ca="1">+RESUMEN!G9</f>
        <v>0</v>
      </c>
      <c r="AT9" s="153">
        <f t="shared" ca="1" si="6"/>
        <v>0</v>
      </c>
      <c r="AU9" s="154">
        <f t="shared" si="28"/>
        <v>0</v>
      </c>
      <c r="AV9" s="154">
        <f t="shared" si="29"/>
        <v>0</v>
      </c>
      <c r="AW9" s="154">
        <f t="shared" ca="1" si="7"/>
        <v>0</v>
      </c>
      <c r="AX9" s="153"/>
      <c r="AY9" s="154">
        <f t="shared" ca="1" si="8"/>
        <v>0</v>
      </c>
      <c r="AZ9" s="154">
        <f t="shared" ca="1" si="9"/>
        <v>0</v>
      </c>
      <c r="BA9" s="155"/>
      <c r="BB9" s="156">
        <f t="shared" ca="1" si="30"/>
        <v>0</v>
      </c>
      <c r="BC9" s="156">
        <f t="shared" ca="1" si="31"/>
        <v>0</v>
      </c>
      <c r="BD9" s="157" t="str">
        <f t="shared" ca="1" si="10"/>
        <v/>
      </c>
      <c r="BE9" s="103"/>
      <c r="BF9" s="106">
        <f t="shared" ca="1" si="32"/>
        <v>0</v>
      </c>
      <c r="BG9" s="106">
        <f t="shared" ca="1" si="33"/>
        <v>0</v>
      </c>
      <c r="BH9" s="155"/>
      <c r="BI9" s="158">
        <f t="shared" ca="1" si="34"/>
        <v>0</v>
      </c>
      <c r="BJ9" s="158">
        <f t="shared" ca="1" si="35"/>
        <v>0</v>
      </c>
      <c r="BK9" s="159" t="str">
        <f t="shared" ca="1" si="11"/>
        <v/>
      </c>
      <c r="BL9" s="103"/>
      <c r="BM9" s="160">
        <f t="shared" ca="1" si="36"/>
        <v>0</v>
      </c>
      <c r="BN9" s="160">
        <f t="shared" ca="1" si="37"/>
        <v>0</v>
      </c>
      <c r="BO9" s="155"/>
      <c r="BP9" s="161">
        <f t="shared" ca="1" si="38"/>
        <v>0</v>
      </c>
      <c r="BQ9" s="161">
        <f t="shared" ca="1" si="39"/>
        <v>0</v>
      </c>
      <c r="BR9" s="162" t="str">
        <f t="shared" ca="1" si="12"/>
        <v/>
      </c>
      <c r="BS9" s="103"/>
      <c r="BT9" s="163">
        <f t="shared" ca="1" si="40"/>
        <v>0</v>
      </c>
      <c r="BU9" s="163">
        <f t="shared" ca="1" si="41"/>
        <v>0</v>
      </c>
      <c r="BV9" s="155"/>
      <c r="BW9" s="164">
        <f t="shared" ca="1" si="42"/>
        <v>0</v>
      </c>
      <c r="BX9" s="164">
        <f t="shared" ca="1" si="43"/>
        <v>0</v>
      </c>
      <c r="BY9" s="165" t="str">
        <f t="shared" ca="1" si="13"/>
        <v/>
      </c>
      <c r="BZ9" s="103"/>
      <c r="CA9" s="166">
        <f t="shared" ca="1" si="44"/>
        <v>0</v>
      </c>
      <c r="CB9" s="166">
        <f t="shared" ca="1" si="45"/>
        <v>0</v>
      </c>
      <c r="CC9" s="155"/>
      <c r="CD9" s="167">
        <f t="shared" ca="1" si="46"/>
        <v>0</v>
      </c>
      <c r="CE9" s="167">
        <f t="shared" ca="1" si="47"/>
        <v>0</v>
      </c>
      <c r="CF9" s="168" t="str">
        <f t="shared" ca="1" si="14"/>
        <v/>
      </c>
      <c r="CG9" s="103"/>
      <c r="CH9" s="169">
        <f t="shared" ca="1" si="48"/>
        <v>0</v>
      </c>
      <c r="CI9" s="169">
        <f t="shared" ca="1" si="49"/>
        <v>0</v>
      </c>
      <c r="CJ9" s="155"/>
      <c r="CK9" s="170">
        <f t="shared" ca="1" si="50"/>
        <v>0</v>
      </c>
      <c r="CL9" s="170">
        <f t="shared" ca="1" si="51"/>
        <v>0</v>
      </c>
      <c r="CM9" s="171" t="str">
        <f t="shared" ca="1" si="15"/>
        <v/>
      </c>
      <c r="CN9" s="103"/>
      <c r="CO9" s="151">
        <v>6</v>
      </c>
      <c r="CP9" s="403">
        <v>0.18</v>
      </c>
      <c r="CQ9" s="103">
        <f t="shared" si="52"/>
        <v>0</v>
      </c>
      <c r="CR9" s="409">
        <f t="shared" si="53"/>
        <v>0.18</v>
      </c>
      <c r="CS9" s="103">
        <f t="shared" si="54"/>
        <v>1</v>
      </c>
      <c r="CT9" s="103"/>
    </row>
    <row r="10" spans="1:98">
      <c r="A10" s="173" t="s">
        <v>291</v>
      </c>
      <c r="B10" s="173">
        <v>1</v>
      </c>
      <c r="C10" s="366" t="str">
        <f>+VLOOKUP(B10,DATOS!$AW$4:$AX$7,2,0)</f>
        <v>C.U.A. Normal</v>
      </c>
      <c r="D10"/>
      <c r="E10" s="173" t="s">
        <v>408</v>
      </c>
      <c r="F10" s="362">
        <v>1</v>
      </c>
      <c r="G10" s="367">
        <f>VALUE(VLOOKUP(F10,L107:M123,2,0))</f>
        <v>20000</v>
      </c>
      <c r="H10" s="173" t="s">
        <v>409</v>
      </c>
      <c r="J10" s="175">
        <v>7</v>
      </c>
      <c r="K10" s="67">
        <v>19678.82</v>
      </c>
      <c r="L10" s="67">
        <v>18779.45</v>
      </c>
      <c r="M10" s="67">
        <v>17468.02</v>
      </c>
      <c r="N10" s="67">
        <v>16669.689999999999</v>
      </c>
      <c r="O10" s="67">
        <v>15466.48</v>
      </c>
      <c r="P10" s="67">
        <v>14759.62</v>
      </c>
      <c r="Q10" s="147">
        <f t="shared" si="0"/>
        <v>0</v>
      </c>
      <c r="R10" s="147">
        <f t="shared" si="1"/>
        <v>0</v>
      </c>
      <c r="S10" s="147">
        <f t="shared" si="2"/>
        <v>0</v>
      </c>
      <c r="T10" s="147">
        <f t="shared" si="3"/>
        <v>0</v>
      </c>
      <c r="U10" s="147">
        <f t="shared" si="4"/>
        <v>0</v>
      </c>
      <c r="V10" s="147">
        <f t="shared" si="5"/>
        <v>0</v>
      </c>
      <c r="W10" s="103"/>
      <c r="X10" s="148"/>
      <c r="Y10" s="148"/>
      <c r="Z10" s="147">
        <f t="shared" si="16"/>
        <v>0</v>
      </c>
      <c r="AA10" s="147">
        <f t="shared" si="17"/>
        <v>0</v>
      </c>
      <c r="AB10" s="147">
        <f t="shared" si="18"/>
        <v>0</v>
      </c>
      <c r="AC10" s="147">
        <f t="shared" si="19"/>
        <v>0</v>
      </c>
      <c r="AD10" s="149"/>
      <c r="AE10" s="149"/>
      <c r="AF10" s="147">
        <f t="shared" si="20"/>
        <v>0</v>
      </c>
      <c r="AG10" s="147">
        <f t="shared" si="21"/>
        <v>0</v>
      </c>
      <c r="AH10" s="147">
        <f t="shared" si="22"/>
        <v>0</v>
      </c>
      <c r="AI10" s="147">
        <f t="shared" si="23"/>
        <v>0</v>
      </c>
      <c r="AJ10" s="148"/>
      <c r="AK10" s="150"/>
      <c r="AL10" s="147">
        <f t="shared" si="24"/>
        <v>0</v>
      </c>
      <c r="AM10" s="147">
        <f t="shared" si="25"/>
        <v>0</v>
      </c>
      <c r="AN10" s="147">
        <f t="shared" si="26"/>
        <v>0</v>
      </c>
      <c r="AO10" s="147">
        <f t="shared" si="27"/>
        <v>0</v>
      </c>
      <c r="AP10" s="103"/>
      <c r="AQ10" s="151">
        <v>7</v>
      </c>
      <c r="AR10" s="152">
        <f ca="1">+RESUMEN!F10</f>
        <v>0</v>
      </c>
      <c r="AS10" s="152">
        <f ca="1">+RESUMEN!G10</f>
        <v>0</v>
      </c>
      <c r="AT10" s="153">
        <f t="shared" ca="1" si="6"/>
        <v>0</v>
      </c>
      <c r="AU10" s="154">
        <f t="shared" si="28"/>
        <v>0</v>
      </c>
      <c r="AV10" s="154">
        <f t="shared" si="29"/>
        <v>0</v>
      </c>
      <c r="AW10" s="154">
        <f t="shared" ca="1" si="7"/>
        <v>0</v>
      </c>
      <c r="AX10" s="153"/>
      <c r="AY10" s="154">
        <f t="shared" ca="1" si="8"/>
        <v>0</v>
      </c>
      <c r="AZ10" s="154">
        <f t="shared" ca="1" si="9"/>
        <v>0</v>
      </c>
      <c r="BA10" s="155"/>
      <c r="BB10" s="156">
        <f t="shared" ca="1" si="30"/>
        <v>0</v>
      </c>
      <c r="BC10" s="156">
        <f t="shared" ca="1" si="31"/>
        <v>0</v>
      </c>
      <c r="BD10" s="157" t="str">
        <f t="shared" ca="1" si="10"/>
        <v/>
      </c>
      <c r="BE10" s="103"/>
      <c r="BF10" s="106">
        <f t="shared" ca="1" si="32"/>
        <v>0</v>
      </c>
      <c r="BG10" s="106">
        <f t="shared" ca="1" si="33"/>
        <v>0</v>
      </c>
      <c r="BH10" s="155"/>
      <c r="BI10" s="158">
        <f t="shared" ca="1" si="34"/>
        <v>0</v>
      </c>
      <c r="BJ10" s="158">
        <f t="shared" ca="1" si="35"/>
        <v>0</v>
      </c>
      <c r="BK10" s="159" t="str">
        <f t="shared" ca="1" si="11"/>
        <v/>
      </c>
      <c r="BL10" s="103"/>
      <c r="BM10" s="160">
        <f t="shared" ca="1" si="36"/>
        <v>0</v>
      </c>
      <c r="BN10" s="160">
        <f t="shared" ca="1" si="37"/>
        <v>0</v>
      </c>
      <c r="BO10" s="155"/>
      <c r="BP10" s="161">
        <f t="shared" ca="1" si="38"/>
        <v>0</v>
      </c>
      <c r="BQ10" s="161">
        <f t="shared" ca="1" si="39"/>
        <v>0</v>
      </c>
      <c r="BR10" s="162" t="str">
        <f t="shared" ca="1" si="12"/>
        <v/>
      </c>
      <c r="BS10" s="103"/>
      <c r="BT10" s="163">
        <f t="shared" ca="1" si="40"/>
        <v>0</v>
      </c>
      <c r="BU10" s="163">
        <f t="shared" ca="1" si="41"/>
        <v>0</v>
      </c>
      <c r="BV10" s="155"/>
      <c r="BW10" s="164">
        <f t="shared" ca="1" si="42"/>
        <v>0</v>
      </c>
      <c r="BX10" s="164">
        <f t="shared" ca="1" si="43"/>
        <v>0</v>
      </c>
      <c r="BY10" s="165" t="str">
        <f t="shared" ca="1" si="13"/>
        <v/>
      </c>
      <c r="BZ10" s="103"/>
      <c r="CA10" s="166">
        <f t="shared" ca="1" si="44"/>
        <v>0</v>
      </c>
      <c r="CB10" s="166">
        <f t="shared" ca="1" si="45"/>
        <v>0</v>
      </c>
      <c r="CC10" s="155"/>
      <c r="CD10" s="167">
        <f t="shared" ca="1" si="46"/>
        <v>0</v>
      </c>
      <c r="CE10" s="167">
        <f t="shared" ca="1" si="47"/>
        <v>0</v>
      </c>
      <c r="CF10" s="168" t="str">
        <f t="shared" ca="1" si="14"/>
        <v/>
      </c>
      <c r="CG10" s="103"/>
      <c r="CH10" s="169">
        <f t="shared" ca="1" si="48"/>
        <v>0</v>
      </c>
      <c r="CI10" s="169">
        <f t="shared" ca="1" si="49"/>
        <v>0</v>
      </c>
      <c r="CJ10" s="155"/>
      <c r="CK10" s="170">
        <f t="shared" ca="1" si="50"/>
        <v>0</v>
      </c>
      <c r="CL10" s="170">
        <f t="shared" ca="1" si="51"/>
        <v>0</v>
      </c>
      <c r="CM10" s="171" t="str">
        <f t="shared" ca="1" si="15"/>
        <v/>
      </c>
      <c r="CN10" s="103"/>
      <c r="CO10" s="151">
        <v>7</v>
      </c>
      <c r="CP10" s="403">
        <v>0.18</v>
      </c>
      <c r="CQ10" s="103">
        <f t="shared" si="52"/>
        <v>0</v>
      </c>
      <c r="CR10" s="409">
        <f t="shared" si="53"/>
        <v>0.18</v>
      </c>
      <c r="CS10" s="103">
        <f t="shared" si="54"/>
        <v>1</v>
      </c>
      <c r="CT10" s="103"/>
    </row>
    <row r="11" spans="1:98">
      <c r="A11" s="173" t="s">
        <v>10</v>
      </c>
      <c r="B11" s="173"/>
      <c r="C11" s="366" t="str">
        <f>VLOOKUP(B5,DATOS!U3:AA51,4,0)</f>
        <v>C</v>
      </c>
      <c r="D11"/>
      <c r="E11"/>
      <c r="F11"/>
      <c r="G11"/>
      <c r="H11"/>
      <c r="J11" s="175">
        <v>8</v>
      </c>
      <c r="K11" s="67">
        <v>18779.55</v>
      </c>
      <c r="L11" s="67">
        <v>18779.45</v>
      </c>
      <c r="M11" s="67">
        <v>16669.78</v>
      </c>
      <c r="N11" s="67">
        <v>16669.689999999999</v>
      </c>
      <c r="O11" s="67">
        <v>14759.7</v>
      </c>
      <c r="P11" s="67">
        <v>14759.62</v>
      </c>
      <c r="Q11" s="147">
        <f t="shared" si="0"/>
        <v>0</v>
      </c>
      <c r="R11" s="147">
        <f t="shared" si="1"/>
        <v>0</v>
      </c>
      <c r="S11" s="147">
        <f t="shared" si="2"/>
        <v>0</v>
      </c>
      <c r="T11" s="147">
        <f t="shared" si="3"/>
        <v>0</v>
      </c>
      <c r="U11" s="147">
        <f t="shared" si="4"/>
        <v>0</v>
      </c>
      <c r="V11" s="147">
        <f t="shared" si="5"/>
        <v>0</v>
      </c>
      <c r="W11" s="103"/>
      <c r="X11" s="148"/>
      <c r="Y11" s="148"/>
      <c r="Z11" s="147">
        <f t="shared" si="16"/>
        <v>0</v>
      </c>
      <c r="AA11" s="147">
        <f t="shared" si="17"/>
        <v>0</v>
      </c>
      <c r="AB11" s="147">
        <f t="shared" si="18"/>
        <v>0</v>
      </c>
      <c r="AC11" s="147">
        <f t="shared" si="19"/>
        <v>0</v>
      </c>
      <c r="AD11" s="149"/>
      <c r="AE11" s="149"/>
      <c r="AF11" s="147">
        <f t="shared" si="20"/>
        <v>0</v>
      </c>
      <c r="AG11" s="147">
        <f t="shared" si="21"/>
        <v>0</v>
      </c>
      <c r="AH11" s="147">
        <f t="shared" si="22"/>
        <v>0</v>
      </c>
      <c r="AI11" s="147">
        <f t="shared" si="23"/>
        <v>0</v>
      </c>
      <c r="AJ11" s="148"/>
      <c r="AK11" s="150"/>
      <c r="AL11" s="147">
        <f t="shared" si="24"/>
        <v>0</v>
      </c>
      <c r="AM11" s="147">
        <f t="shared" si="25"/>
        <v>0</v>
      </c>
      <c r="AN11" s="147">
        <f t="shared" si="26"/>
        <v>0</v>
      </c>
      <c r="AO11" s="147">
        <f t="shared" si="27"/>
        <v>0</v>
      </c>
      <c r="AP11" s="103"/>
      <c r="AQ11" s="151">
        <v>8</v>
      </c>
      <c r="AR11" s="152">
        <f ca="1">+RESUMEN!F11</f>
        <v>0</v>
      </c>
      <c r="AS11" s="152">
        <f ca="1">+RESUMEN!G11</f>
        <v>0</v>
      </c>
      <c r="AT11" s="153">
        <f t="shared" ca="1" si="6"/>
        <v>0</v>
      </c>
      <c r="AU11" s="154">
        <f t="shared" si="28"/>
        <v>0</v>
      </c>
      <c r="AV11" s="154">
        <f t="shared" si="29"/>
        <v>0</v>
      </c>
      <c r="AW11" s="154">
        <f t="shared" ca="1" si="7"/>
        <v>0</v>
      </c>
      <c r="AX11" s="153"/>
      <c r="AY11" s="154">
        <f t="shared" ca="1" si="8"/>
        <v>0</v>
      </c>
      <c r="AZ11" s="154">
        <f t="shared" ca="1" si="9"/>
        <v>0</v>
      </c>
      <c r="BA11" s="155"/>
      <c r="BB11" s="156">
        <f t="shared" ca="1" si="30"/>
        <v>0</v>
      </c>
      <c r="BC11" s="156">
        <f t="shared" ca="1" si="31"/>
        <v>0</v>
      </c>
      <c r="BD11" s="157" t="str">
        <f t="shared" ca="1" si="10"/>
        <v/>
      </c>
      <c r="BE11" s="103"/>
      <c r="BF11" s="106">
        <f t="shared" ca="1" si="32"/>
        <v>0</v>
      </c>
      <c r="BG11" s="106">
        <f t="shared" ca="1" si="33"/>
        <v>0</v>
      </c>
      <c r="BH11" s="155"/>
      <c r="BI11" s="158">
        <f t="shared" ca="1" si="34"/>
        <v>0</v>
      </c>
      <c r="BJ11" s="158">
        <f t="shared" ca="1" si="35"/>
        <v>0</v>
      </c>
      <c r="BK11" s="159" t="str">
        <f t="shared" ca="1" si="11"/>
        <v/>
      </c>
      <c r="BL11" s="103"/>
      <c r="BM11" s="160">
        <f t="shared" ca="1" si="36"/>
        <v>0</v>
      </c>
      <c r="BN11" s="160">
        <f t="shared" ca="1" si="37"/>
        <v>0</v>
      </c>
      <c r="BO11" s="155"/>
      <c r="BP11" s="161">
        <f t="shared" ca="1" si="38"/>
        <v>0</v>
      </c>
      <c r="BQ11" s="161">
        <f t="shared" ca="1" si="39"/>
        <v>0</v>
      </c>
      <c r="BR11" s="162" t="str">
        <f t="shared" ca="1" si="12"/>
        <v/>
      </c>
      <c r="BS11" s="103"/>
      <c r="BT11" s="163">
        <f t="shared" ca="1" si="40"/>
        <v>0</v>
      </c>
      <c r="BU11" s="163">
        <f t="shared" ca="1" si="41"/>
        <v>0</v>
      </c>
      <c r="BV11" s="155"/>
      <c r="BW11" s="164">
        <f t="shared" ca="1" si="42"/>
        <v>0</v>
      </c>
      <c r="BX11" s="164">
        <f t="shared" ca="1" si="43"/>
        <v>0</v>
      </c>
      <c r="BY11" s="165" t="str">
        <f t="shared" ca="1" si="13"/>
        <v/>
      </c>
      <c r="BZ11" s="103"/>
      <c r="CA11" s="166">
        <f t="shared" ca="1" si="44"/>
        <v>0</v>
      </c>
      <c r="CB11" s="166">
        <f t="shared" ca="1" si="45"/>
        <v>0</v>
      </c>
      <c r="CC11" s="155"/>
      <c r="CD11" s="167">
        <f t="shared" ca="1" si="46"/>
        <v>0</v>
      </c>
      <c r="CE11" s="167">
        <f t="shared" ca="1" si="47"/>
        <v>0</v>
      </c>
      <c r="CF11" s="168" t="str">
        <f t="shared" ca="1" si="14"/>
        <v/>
      </c>
      <c r="CG11" s="103"/>
      <c r="CH11" s="169">
        <f t="shared" ca="1" si="48"/>
        <v>0</v>
      </c>
      <c r="CI11" s="169">
        <f t="shared" ca="1" si="49"/>
        <v>0</v>
      </c>
      <c r="CJ11" s="155"/>
      <c r="CK11" s="170">
        <f t="shared" ca="1" si="50"/>
        <v>0</v>
      </c>
      <c r="CL11" s="170">
        <f t="shared" ca="1" si="51"/>
        <v>0</v>
      </c>
      <c r="CM11" s="171" t="str">
        <f t="shared" ca="1" si="15"/>
        <v/>
      </c>
      <c r="CN11" s="103"/>
      <c r="CO11" s="151">
        <v>8</v>
      </c>
      <c r="CP11" s="403">
        <v>0.18</v>
      </c>
      <c r="CQ11" s="103">
        <f t="shared" si="52"/>
        <v>0</v>
      </c>
      <c r="CR11" s="409">
        <f t="shared" si="53"/>
        <v>0.18</v>
      </c>
      <c r="CS11" s="103">
        <f t="shared" si="54"/>
        <v>1</v>
      </c>
      <c r="CT11" s="103"/>
    </row>
    <row r="12" spans="1:98">
      <c r="A12" s="173" t="s">
        <v>60</v>
      </c>
      <c r="B12" s="103"/>
      <c r="C12" s="367" t="str">
        <f>+IF(F18="SI","Excluida","Amparada")</f>
        <v>Amparada</v>
      </c>
      <c r="E12" s="173" t="s">
        <v>410</v>
      </c>
      <c r="F12" s="173"/>
      <c r="G12" s="172" t="str">
        <f>+IF(OR(LEFT(F12)="F",F12=""),"NO","SI")</f>
        <v>NO</v>
      </c>
      <c r="H12" s="173"/>
      <c r="J12" s="175">
        <v>9</v>
      </c>
      <c r="K12" s="67">
        <v>18722.830000000002</v>
      </c>
      <c r="L12" s="67">
        <v>18779.45</v>
      </c>
      <c r="M12" s="67">
        <v>16619.43</v>
      </c>
      <c r="N12" s="67">
        <v>16669.689999999999</v>
      </c>
      <c r="O12" s="67">
        <v>14715.12</v>
      </c>
      <c r="P12" s="67">
        <v>14759.62</v>
      </c>
      <c r="Q12" s="147">
        <f t="shared" si="0"/>
        <v>0</v>
      </c>
      <c r="R12" s="147">
        <f t="shared" si="1"/>
        <v>0</v>
      </c>
      <c r="S12" s="147">
        <f t="shared" si="2"/>
        <v>0</v>
      </c>
      <c r="T12" s="147">
        <f t="shared" si="3"/>
        <v>0</v>
      </c>
      <c r="U12" s="147">
        <f t="shared" si="4"/>
        <v>0</v>
      </c>
      <c r="V12" s="147">
        <f t="shared" si="5"/>
        <v>0</v>
      </c>
      <c r="W12" s="103"/>
      <c r="X12" s="148"/>
      <c r="Y12" s="148"/>
      <c r="Z12" s="147">
        <f t="shared" si="16"/>
        <v>0</v>
      </c>
      <c r="AA12" s="147">
        <f t="shared" si="17"/>
        <v>0</v>
      </c>
      <c r="AB12" s="147">
        <f t="shared" si="18"/>
        <v>0</v>
      </c>
      <c r="AC12" s="147">
        <f t="shared" si="19"/>
        <v>0</v>
      </c>
      <c r="AD12" s="149"/>
      <c r="AE12" s="149"/>
      <c r="AF12" s="147">
        <f t="shared" si="20"/>
        <v>0</v>
      </c>
      <c r="AG12" s="147">
        <f t="shared" si="21"/>
        <v>0</v>
      </c>
      <c r="AH12" s="147">
        <f t="shared" si="22"/>
        <v>0</v>
      </c>
      <c r="AI12" s="147">
        <f t="shared" si="23"/>
        <v>0</v>
      </c>
      <c r="AJ12" s="148"/>
      <c r="AK12" s="150"/>
      <c r="AL12" s="147">
        <f t="shared" si="24"/>
        <v>0</v>
      </c>
      <c r="AM12" s="147">
        <f t="shared" si="25"/>
        <v>0</v>
      </c>
      <c r="AN12" s="147">
        <f t="shared" si="26"/>
        <v>0</v>
      </c>
      <c r="AO12" s="147">
        <f t="shared" si="27"/>
        <v>0</v>
      </c>
      <c r="AP12" s="103"/>
      <c r="AQ12" s="151">
        <v>9</v>
      </c>
      <c r="AR12" s="152">
        <f ca="1">+RESUMEN!F12</f>
        <v>0</v>
      </c>
      <c r="AS12" s="152">
        <f ca="1">+RESUMEN!G12</f>
        <v>0</v>
      </c>
      <c r="AT12" s="153">
        <f t="shared" ca="1" si="6"/>
        <v>0</v>
      </c>
      <c r="AU12" s="154">
        <f t="shared" si="28"/>
        <v>0</v>
      </c>
      <c r="AV12" s="154">
        <f t="shared" si="29"/>
        <v>0</v>
      </c>
      <c r="AW12" s="154">
        <f t="shared" ca="1" si="7"/>
        <v>0</v>
      </c>
      <c r="AX12" s="153"/>
      <c r="AY12" s="154">
        <f t="shared" ca="1" si="8"/>
        <v>0</v>
      </c>
      <c r="AZ12" s="154">
        <f t="shared" ca="1" si="9"/>
        <v>0</v>
      </c>
      <c r="BA12" s="155"/>
      <c r="BB12" s="156">
        <f t="shared" ca="1" si="30"/>
        <v>0</v>
      </c>
      <c r="BC12" s="156">
        <f t="shared" ca="1" si="31"/>
        <v>0</v>
      </c>
      <c r="BD12" s="157" t="str">
        <f t="shared" ca="1" si="10"/>
        <v/>
      </c>
      <c r="BE12" s="103"/>
      <c r="BF12" s="106">
        <f t="shared" ca="1" si="32"/>
        <v>0</v>
      </c>
      <c r="BG12" s="106">
        <f t="shared" ca="1" si="33"/>
        <v>0</v>
      </c>
      <c r="BH12" s="155"/>
      <c r="BI12" s="158">
        <f t="shared" ca="1" si="34"/>
        <v>0</v>
      </c>
      <c r="BJ12" s="158">
        <f t="shared" ca="1" si="35"/>
        <v>0</v>
      </c>
      <c r="BK12" s="159" t="str">
        <f t="shared" ca="1" si="11"/>
        <v/>
      </c>
      <c r="BL12" s="103"/>
      <c r="BM12" s="160">
        <f t="shared" ca="1" si="36"/>
        <v>0</v>
      </c>
      <c r="BN12" s="160">
        <f t="shared" ca="1" si="37"/>
        <v>0</v>
      </c>
      <c r="BO12" s="155"/>
      <c r="BP12" s="161">
        <f t="shared" ca="1" si="38"/>
        <v>0</v>
      </c>
      <c r="BQ12" s="161">
        <f t="shared" ca="1" si="39"/>
        <v>0</v>
      </c>
      <c r="BR12" s="162" t="str">
        <f t="shared" ca="1" si="12"/>
        <v/>
      </c>
      <c r="BS12" s="103"/>
      <c r="BT12" s="163">
        <f t="shared" ca="1" si="40"/>
        <v>0</v>
      </c>
      <c r="BU12" s="163">
        <f t="shared" ca="1" si="41"/>
        <v>0</v>
      </c>
      <c r="BV12" s="155"/>
      <c r="BW12" s="164">
        <f t="shared" ca="1" si="42"/>
        <v>0</v>
      </c>
      <c r="BX12" s="164">
        <f t="shared" ca="1" si="43"/>
        <v>0</v>
      </c>
      <c r="BY12" s="165" t="str">
        <f t="shared" ca="1" si="13"/>
        <v/>
      </c>
      <c r="BZ12" s="103"/>
      <c r="CA12" s="166">
        <f t="shared" ca="1" si="44"/>
        <v>0</v>
      </c>
      <c r="CB12" s="166">
        <f t="shared" ca="1" si="45"/>
        <v>0</v>
      </c>
      <c r="CC12" s="155"/>
      <c r="CD12" s="167">
        <f t="shared" ca="1" si="46"/>
        <v>0</v>
      </c>
      <c r="CE12" s="167">
        <f t="shared" ca="1" si="47"/>
        <v>0</v>
      </c>
      <c r="CF12" s="168" t="str">
        <f t="shared" ca="1" si="14"/>
        <v/>
      </c>
      <c r="CG12" s="103"/>
      <c r="CH12" s="169">
        <f t="shared" ca="1" si="48"/>
        <v>0</v>
      </c>
      <c r="CI12" s="169">
        <f t="shared" ca="1" si="49"/>
        <v>0</v>
      </c>
      <c r="CJ12" s="155"/>
      <c r="CK12" s="170">
        <f t="shared" ca="1" si="50"/>
        <v>0</v>
      </c>
      <c r="CL12" s="170">
        <f t="shared" ca="1" si="51"/>
        <v>0</v>
      </c>
      <c r="CM12" s="171" t="str">
        <f t="shared" ca="1" si="15"/>
        <v/>
      </c>
      <c r="CN12" s="103"/>
      <c r="CO12" s="151">
        <v>9</v>
      </c>
      <c r="CP12" s="403">
        <v>0.18</v>
      </c>
      <c r="CQ12" s="103">
        <f t="shared" si="52"/>
        <v>0</v>
      </c>
      <c r="CR12" s="409">
        <f t="shared" si="53"/>
        <v>0.18</v>
      </c>
      <c r="CS12" s="103">
        <f t="shared" si="54"/>
        <v>1</v>
      </c>
      <c r="CT12" s="103"/>
    </row>
    <row r="13" spans="1:98">
      <c r="A13" s="173" t="s">
        <v>14</v>
      </c>
      <c r="B13" s="173"/>
      <c r="C13" s="367" t="str">
        <f>+IF(OR(LEFT(B13)="F",B13=""),"NO","SI")</f>
        <v>NO</v>
      </c>
      <c r="E13" s="173" t="s">
        <v>411</v>
      </c>
      <c r="F13" s="362">
        <v>1</v>
      </c>
      <c r="G13" s="172">
        <f>VALUE(VLOOKUP(F13,L107:M123,2,0))</f>
        <v>20000</v>
      </c>
      <c r="H13" s="173" t="s">
        <v>409</v>
      </c>
      <c r="J13" s="175">
        <v>10</v>
      </c>
      <c r="K13" s="67">
        <v>18041.55</v>
      </c>
      <c r="L13" s="67">
        <v>18779.45</v>
      </c>
      <c r="M13" s="67">
        <v>16014.69</v>
      </c>
      <c r="N13" s="67">
        <v>16669.689999999999</v>
      </c>
      <c r="O13" s="67">
        <v>14179.68</v>
      </c>
      <c r="P13" s="67">
        <v>14759.62</v>
      </c>
      <c r="Q13" s="147">
        <f t="shared" si="0"/>
        <v>0</v>
      </c>
      <c r="R13" s="147">
        <f t="shared" si="1"/>
        <v>0</v>
      </c>
      <c r="S13" s="147">
        <f t="shared" si="2"/>
        <v>0</v>
      </c>
      <c r="T13" s="147">
        <f t="shared" si="3"/>
        <v>0</v>
      </c>
      <c r="U13" s="147">
        <f t="shared" si="4"/>
        <v>0</v>
      </c>
      <c r="V13" s="147">
        <f t="shared" si="5"/>
        <v>0</v>
      </c>
      <c r="W13" s="103"/>
      <c r="X13" s="148"/>
      <c r="Y13" s="148"/>
      <c r="Z13" s="147">
        <f t="shared" si="16"/>
        <v>0</v>
      </c>
      <c r="AA13" s="147">
        <f t="shared" si="17"/>
        <v>0</v>
      </c>
      <c r="AB13" s="147">
        <f t="shared" si="18"/>
        <v>0</v>
      </c>
      <c r="AC13" s="147">
        <f t="shared" si="19"/>
        <v>0</v>
      </c>
      <c r="AD13" s="149"/>
      <c r="AE13" s="149"/>
      <c r="AF13" s="147">
        <f t="shared" si="20"/>
        <v>0</v>
      </c>
      <c r="AG13" s="147">
        <f t="shared" si="21"/>
        <v>0</v>
      </c>
      <c r="AH13" s="147">
        <f t="shared" si="22"/>
        <v>0</v>
      </c>
      <c r="AI13" s="147">
        <f t="shared" si="23"/>
        <v>0</v>
      </c>
      <c r="AJ13" s="148"/>
      <c r="AK13" s="150"/>
      <c r="AL13" s="147">
        <f t="shared" si="24"/>
        <v>0</v>
      </c>
      <c r="AM13" s="147">
        <f t="shared" si="25"/>
        <v>0</v>
      </c>
      <c r="AN13" s="147">
        <f t="shared" si="26"/>
        <v>0</v>
      </c>
      <c r="AO13" s="147">
        <f t="shared" si="27"/>
        <v>0</v>
      </c>
      <c r="AP13" s="103"/>
      <c r="AQ13" s="151">
        <v>10</v>
      </c>
      <c r="AR13" s="152">
        <f ca="1">+RESUMEN!F13</f>
        <v>0</v>
      </c>
      <c r="AS13" s="152">
        <f ca="1">+RESUMEN!G13</f>
        <v>0</v>
      </c>
      <c r="AT13" s="153">
        <f t="shared" ca="1" si="6"/>
        <v>0</v>
      </c>
      <c r="AU13" s="154">
        <f t="shared" si="28"/>
        <v>0</v>
      </c>
      <c r="AV13" s="154">
        <f t="shared" si="29"/>
        <v>0</v>
      </c>
      <c r="AW13" s="154">
        <f t="shared" ca="1" si="7"/>
        <v>0</v>
      </c>
      <c r="AX13" s="153"/>
      <c r="AY13" s="154">
        <f t="shared" ca="1" si="8"/>
        <v>0</v>
      </c>
      <c r="AZ13" s="154">
        <f t="shared" ca="1" si="9"/>
        <v>0</v>
      </c>
      <c r="BA13" s="155"/>
      <c r="BB13" s="156">
        <f t="shared" ca="1" si="30"/>
        <v>0</v>
      </c>
      <c r="BC13" s="156">
        <f t="shared" ca="1" si="31"/>
        <v>0</v>
      </c>
      <c r="BD13" s="157" t="str">
        <f t="shared" ca="1" si="10"/>
        <v/>
      </c>
      <c r="BE13" s="103"/>
      <c r="BF13" s="106">
        <f t="shared" ca="1" si="32"/>
        <v>0</v>
      </c>
      <c r="BG13" s="106">
        <f t="shared" ca="1" si="33"/>
        <v>0</v>
      </c>
      <c r="BH13" s="155"/>
      <c r="BI13" s="158">
        <f t="shared" ca="1" si="34"/>
        <v>0</v>
      </c>
      <c r="BJ13" s="158">
        <f t="shared" ca="1" si="35"/>
        <v>0</v>
      </c>
      <c r="BK13" s="159" t="str">
        <f t="shared" ca="1" si="11"/>
        <v/>
      </c>
      <c r="BL13" s="103"/>
      <c r="BM13" s="160">
        <f t="shared" ca="1" si="36"/>
        <v>0</v>
      </c>
      <c r="BN13" s="160">
        <f t="shared" ca="1" si="37"/>
        <v>0</v>
      </c>
      <c r="BO13" s="155"/>
      <c r="BP13" s="161">
        <f t="shared" ca="1" si="38"/>
        <v>0</v>
      </c>
      <c r="BQ13" s="161">
        <f t="shared" ca="1" si="39"/>
        <v>0</v>
      </c>
      <c r="BR13" s="162" t="str">
        <f t="shared" ca="1" si="12"/>
        <v/>
      </c>
      <c r="BS13" s="103"/>
      <c r="BT13" s="163">
        <f t="shared" ca="1" si="40"/>
        <v>0</v>
      </c>
      <c r="BU13" s="163">
        <f t="shared" ca="1" si="41"/>
        <v>0</v>
      </c>
      <c r="BV13" s="155"/>
      <c r="BW13" s="164">
        <f t="shared" ca="1" si="42"/>
        <v>0</v>
      </c>
      <c r="BX13" s="164">
        <f t="shared" ca="1" si="43"/>
        <v>0</v>
      </c>
      <c r="BY13" s="165" t="str">
        <f t="shared" ca="1" si="13"/>
        <v/>
      </c>
      <c r="BZ13" s="103"/>
      <c r="CA13" s="166">
        <f t="shared" ca="1" si="44"/>
        <v>0</v>
      </c>
      <c r="CB13" s="166">
        <f t="shared" ca="1" si="45"/>
        <v>0</v>
      </c>
      <c r="CC13" s="155"/>
      <c r="CD13" s="167">
        <f t="shared" ca="1" si="46"/>
        <v>0</v>
      </c>
      <c r="CE13" s="167">
        <f t="shared" ca="1" si="47"/>
        <v>0</v>
      </c>
      <c r="CF13" s="168" t="str">
        <f t="shared" ca="1" si="14"/>
        <v/>
      </c>
      <c r="CG13" s="103"/>
      <c r="CH13" s="169">
        <f t="shared" ca="1" si="48"/>
        <v>0</v>
      </c>
      <c r="CI13" s="169">
        <f t="shared" ca="1" si="49"/>
        <v>0</v>
      </c>
      <c r="CJ13" s="155"/>
      <c r="CK13" s="170">
        <f t="shared" ca="1" si="50"/>
        <v>0</v>
      </c>
      <c r="CL13" s="170">
        <f t="shared" ca="1" si="51"/>
        <v>0</v>
      </c>
      <c r="CM13" s="171" t="str">
        <f t="shared" ca="1" si="15"/>
        <v/>
      </c>
      <c r="CN13" s="103"/>
      <c r="CO13" s="151">
        <v>10</v>
      </c>
      <c r="CP13" s="403">
        <v>0.18</v>
      </c>
      <c r="CQ13" s="103">
        <f t="shared" si="52"/>
        <v>0</v>
      </c>
      <c r="CR13" s="409">
        <f t="shared" si="53"/>
        <v>0.18</v>
      </c>
      <c r="CS13" s="103">
        <f t="shared" si="54"/>
        <v>1</v>
      </c>
      <c r="CT13" s="103"/>
    </row>
    <row r="14" spans="1:98">
      <c r="A14" s="173" t="s">
        <v>35</v>
      </c>
      <c r="B14" s="369">
        <v>0.18</v>
      </c>
      <c r="C14" s="370">
        <f>+B14-'DATOS GENERALES'!H17</f>
        <v>0.18</v>
      </c>
      <c r="D14"/>
      <c r="E14"/>
      <c r="F14"/>
      <c r="G14"/>
      <c r="H14"/>
      <c r="I14"/>
      <c r="J14" s="175">
        <v>11</v>
      </c>
      <c r="K14" s="67">
        <v>15879.29</v>
      </c>
      <c r="L14" s="67">
        <v>18779.45</v>
      </c>
      <c r="M14" s="67">
        <v>14095.35</v>
      </c>
      <c r="N14" s="67">
        <v>16669.689999999999</v>
      </c>
      <c r="O14" s="67">
        <v>12480.25</v>
      </c>
      <c r="P14" s="67">
        <v>14759.62</v>
      </c>
      <c r="Q14" s="147">
        <f t="shared" si="0"/>
        <v>0</v>
      </c>
      <c r="R14" s="147">
        <f t="shared" si="1"/>
        <v>0</v>
      </c>
      <c r="S14" s="147">
        <f t="shared" si="2"/>
        <v>0</v>
      </c>
      <c r="T14" s="147">
        <f t="shared" si="3"/>
        <v>0</v>
      </c>
      <c r="U14" s="147">
        <f t="shared" si="4"/>
        <v>0</v>
      </c>
      <c r="V14" s="147">
        <f t="shared" si="5"/>
        <v>0</v>
      </c>
      <c r="W14" s="103"/>
      <c r="X14" s="148"/>
      <c r="Y14" s="148"/>
      <c r="Z14" s="147">
        <f t="shared" si="16"/>
        <v>0</v>
      </c>
      <c r="AA14" s="147">
        <f t="shared" si="17"/>
        <v>0</v>
      </c>
      <c r="AB14" s="147">
        <f t="shared" si="18"/>
        <v>0</v>
      </c>
      <c r="AC14" s="147">
        <f t="shared" si="19"/>
        <v>0</v>
      </c>
      <c r="AD14" s="149"/>
      <c r="AE14" s="149"/>
      <c r="AF14" s="147">
        <f t="shared" si="20"/>
        <v>0</v>
      </c>
      <c r="AG14" s="147">
        <f t="shared" si="21"/>
        <v>0</v>
      </c>
      <c r="AH14" s="147">
        <f t="shared" si="22"/>
        <v>0</v>
      </c>
      <c r="AI14" s="147">
        <f t="shared" si="23"/>
        <v>0</v>
      </c>
      <c r="AJ14" s="148"/>
      <c r="AK14" s="150"/>
      <c r="AL14" s="147">
        <f t="shared" si="24"/>
        <v>0</v>
      </c>
      <c r="AM14" s="147">
        <f t="shared" si="25"/>
        <v>0</v>
      </c>
      <c r="AN14" s="147">
        <f t="shared" si="26"/>
        <v>0</v>
      </c>
      <c r="AO14" s="147">
        <f t="shared" si="27"/>
        <v>0</v>
      </c>
      <c r="AP14" s="103"/>
      <c r="AQ14" s="151">
        <v>11</v>
      </c>
      <c r="AR14" s="152">
        <f ca="1">+RESUMEN!F14</f>
        <v>0</v>
      </c>
      <c r="AS14" s="152">
        <f ca="1">+RESUMEN!G14</f>
        <v>0</v>
      </c>
      <c r="AT14" s="153">
        <f t="shared" ca="1" si="6"/>
        <v>0</v>
      </c>
      <c r="AU14" s="154">
        <f t="shared" si="28"/>
        <v>0</v>
      </c>
      <c r="AV14" s="154">
        <f t="shared" si="29"/>
        <v>0</v>
      </c>
      <c r="AW14" s="154">
        <f t="shared" ca="1" si="7"/>
        <v>0</v>
      </c>
      <c r="AX14" s="153"/>
      <c r="AY14" s="154">
        <f t="shared" ca="1" si="8"/>
        <v>0</v>
      </c>
      <c r="AZ14" s="154">
        <f t="shared" ca="1" si="9"/>
        <v>0</v>
      </c>
      <c r="BA14" s="155"/>
      <c r="BB14" s="156">
        <f t="shared" ca="1" si="30"/>
        <v>0</v>
      </c>
      <c r="BC14" s="156">
        <f t="shared" ca="1" si="31"/>
        <v>0</v>
      </c>
      <c r="BD14" s="157" t="str">
        <f t="shared" ca="1" si="10"/>
        <v/>
      </c>
      <c r="BE14" s="103"/>
      <c r="BF14" s="106">
        <f t="shared" ca="1" si="32"/>
        <v>0</v>
      </c>
      <c r="BG14" s="106">
        <f t="shared" ca="1" si="33"/>
        <v>0</v>
      </c>
      <c r="BH14" s="155"/>
      <c r="BI14" s="158">
        <f t="shared" ca="1" si="34"/>
        <v>0</v>
      </c>
      <c r="BJ14" s="158">
        <f t="shared" ca="1" si="35"/>
        <v>0</v>
      </c>
      <c r="BK14" s="159" t="str">
        <f t="shared" ca="1" si="11"/>
        <v/>
      </c>
      <c r="BL14" s="103"/>
      <c r="BM14" s="160">
        <f t="shared" ca="1" si="36"/>
        <v>0</v>
      </c>
      <c r="BN14" s="160">
        <f t="shared" ca="1" si="37"/>
        <v>0</v>
      </c>
      <c r="BO14" s="155"/>
      <c r="BP14" s="161">
        <f t="shared" ca="1" si="38"/>
        <v>0</v>
      </c>
      <c r="BQ14" s="161">
        <f t="shared" ca="1" si="39"/>
        <v>0</v>
      </c>
      <c r="BR14" s="162" t="str">
        <f t="shared" ca="1" si="12"/>
        <v/>
      </c>
      <c r="BS14" s="103"/>
      <c r="BT14" s="163">
        <f t="shared" ca="1" si="40"/>
        <v>0</v>
      </c>
      <c r="BU14" s="163">
        <f t="shared" ca="1" si="41"/>
        <v>0</v>
      </c>
      <c r="BV14" s="155"/>
      <c r="BW14" s="164">
        <f t="shared" ca="1" si="42"/>
        <v>0</v>
      </c>
      <c r="BX14" s="164">
        <f t="shared" ca="1" si="43"/>
        <v>0</v>
      </c>
      <c r="BY14" s="165" t="str">
        <f t="shared" ca="1" si="13"/>
        <v/>
      </c>
      <c r="BZ14" s="103"/>
      <c r="CA14" s="166">
        <f t="shared" ca="1" si="44"/>
        <v>0</v>
      </c>
      <c r="CB14" s="166">
        <f t="shared" ca="1" si="45"/>
        <v>0</v>
      </c>
      <c r="CC14" s="155"/>
      <c r="CD14" s="167">
        <f t="shared" ca="1" si="46"/>
        <v>0</v>
      </c>
      <c r="CE14" s="167">
        <f t="shared" ca="1" si="47"/>
        <v>0</v>
      </c>
      <c r="CF14" s="168" t="str">
        <f t="shared" ca="1" si="14"/>
        <v/>
      </c>
      <c r="CG14" s="103"/>
      <c r="CH14" s="169">
        <f t="shared" ca="1" si="48"/>
        <v>0</v>
      </c>
      <c r="CI14" s="169">
        <f t="shared" ca="1" si="49"/>
        <v>0</v>
      </c>
      <c r="CJ14" s="155"/>
      <c r="CK14" s="170">
        <f t="shared" ca="1" si="50"/>
        <v>0</v>
      </c>
      <c r="CL14" s="170">
        <f t="shared" ca="1" si="51"/>
        <v>0</v>
      </c>
      <c r="CM14" s="171" t="str">
        <f t="shared" ca="1" si="15"/>
        <v/>
      </c>
      <c r="CN14" s="103"/>
      <c r="CO14" s="151">
        <v>11</v>
      </c>
      <c r="CP14" s="403">
        <v>0.18</v>
      </c>
      <c r="CQ14" s="103">
        <f t="shared" si="52"/>
        <v>0</v>
      </c>
      <c r="CR14" s="409">
        <f t="shared" si="53"/>
        <v>0.18</v>
      </c>
      <c r="CS14" s="103">
        <f t="shared" si="54"/>
        <v>1</v>
      </c>
      <c r="CT14" s="103"/>
    </row>
    <row r="15" spans="1:98">
      <c r="A15" s="173" t="s">
        <v>417</v>
      </c>
      <c r="B15" s="357">
        <v>1</v>
      </c>
      <c r="C15" s="370">
        <f>+B15-'DATOS GENERALES'!I18</f>
        <v>1</v>
      </c>
      <c r="D15"/>
      <c r="E15" s="173" t="s">
        <v>418</v>
      </c>
      <c r="F15"/>
      <c r="G15"/>
      <c r="H15"/>
      <c r="I15"/>
      <c r="J15" s="175">
        <v>12</v>
      </c>
      <c r="K15" s="67">
        <v>16041.58</v>
      </c>
      <c r="L15" s="67">
        <v>18980.900000000001</v>
      </c>
      <c r="M15" s="67">
        <v>14239.4</v>
      </c>
      <c r="N15" s="67">
        <v>16848.509999999998</v>
      </c>
      <c r="O15" s="67">
        <v>12607.8</v>
      </c>
      <c r="P15" s="67">
        <v>14917.95</v>
      </c>
      <c r="Q15" s="147">
        <f t="shared" si="0"/>
        <v>0</v>
      </c>
      <c r="R15" s="147">
        <f t="shared" si="1"/>
        <v>0</v>
      </c>
      <c r="S15" s="147">
        <f t="shared" si="2"/>
        <v>0</v>
      </c>
      <c r="T15" s="147">
        <f t="shared" si="3"/>
        <v>0</v>
      </c>
      <c r="U15" s="147">
        <f t="shared" si="4"/>
        <v>0</v>
      </c>
      <c r="V15" s="147">
        <f t="shared" si="5"/>
        <v>0</v>
      </c>
      <c r="W15" s="103"/>
      <c r="X15" s="148"/>
      <c r="Y15" s="148"/>
      <c r="Z15" s="147">
        <f t="shared" si="16"/>
        <v>0</v>
      </c>
      <c r="AA15" s="147">
        <f t="shared" si="17"/>
        <v>0</v>
      </c>
      <c r="AB15" s="147">
        <f t="shared" si="18"/>
        <v>0</v>
      </c>
      <c r="AC15" s="147">
        <f t="shared" si="19"/>
        <v>0</v>
      </c>
      <c r="AD15" s="149"/>
      <c r="AE15" s="149"/>
      <c r="AF15" s="147">
        <f t="shared" si="20"/>
        <v>0</v>
      </c>
      <c r="AG15" s="147">
        <f t="shared" si="21"/>
        <v>0</v>
      </c>
      <c r="AH15" s="147">
        <f t="shared" si="22"/>
        <v>0</v>
      </c>
      <c r="AI15" s="147">
        <f t="shared" si="23"/>
        <v>0</v>
      </c>
      <c r="AJ15" s="148"/>
      <c r="AK15" s="150"/>
      <c r="AL15" s="147">
        <f t="shared" si="24"/>
        <v>0</v>
      </c>
      <c r="AM15" s="147">
        <f t="shared" si="25"/>
        <v>0</v>
      </c>
      <c r="AN15" s="147">
        <f t="shared" si="26"/>
        <v>0</v>
      </c>
      <c r="AO15" s="147">
        <f t="shared" si="27"/>
        <v>0</v>
      </c>
      <c r="AP15" s="103"/>
      <c r="AQ15" s="151">
        <v>12</v>
      </c>
      <c r="AR15" s="152">
        <f ca="1">+RESUMEN!F15</f>
        <v>0</v>
      </c>
      <c r="AS15" s="152">
        <f ca="1">+RESUMEN!G15</f>
        <v>0</v>
      </c>
      <c r="AT15" s="153">
        <f t="shared" ca="1" si="6"/>
        <v>0</v>
      </c>
      <c r="AU15" s="154">
        <f t="shared" si="28"/>
        <v>0</v>
      </c>
      <c r="AV15" s="154">
        <f t="shared" si="29"/>
        <v>0</v>
      </c>
      <c r="AW15" s="154">
        <f t="shared" ca="1" si="7"/>
        <v>0</v>
      </c>
      <c r="AX15" s="153"/>
      <c r="AY15" s="154">
        <f t="shared" ca="1" si="8"/>
        <v>0</v>
      </c>
      <c r="AZ15" s="154">
        <f t="shared" ca="1" si="9"/>
        <v>0</v>
      </c>
      <c r="BA15" s="155"/>
      <c r="BB15" s="156">
        <f t="shared" ca="1" si="30"/>
        <v>0</v>
      </c>
      <c r="BC15" s="156">
        <f t="shared" ca="1" si="31"/>
        <v>0</v>
      </c>
      <c r="BD15" s="157" t="str">
        <f t="shared" ca="1" si="10"/>
        <v/>
      </c>
      <c r="BE15" s="103"/>
      <c r="BF15" s="106">
        <f t="shared" ca="1" si="32"/>
        <v>0</v>
      </c>
      <c r="BG15" s="106">
        <f t="shared" ca="1" si="33"/>
        <v>0</v>
      </c>
      <c r="BH15" s="155"/>
      <c r="BI15" s="158">
        <f t="shared" ca="1" si="34"/>
        <v>0</v>
      </c>
      <c r="BJ15" s="158">
        <f t="shared" ca="1" si="35"/>
        <v>0</v>
      </c>
      <c r="BK15" s="159" t="str">
        <f t="shared" ca="1" si="11"/>
        <v/>
      </c>
      <c r="BL15" s="103"/>
      <c r="BM15" s="160">
        <f t="shared" ca="1" si="36"/>
        <v>0</v>
      </c>
      <c r="BN15" s="160">
        <f t="shared" ca="1" si="37"/>
        <v>0</v>
      </c>
      <c r="BO15" s="155"/>
      <c r="BP15" s="161">
        <f t="shared" ca="1" si="38"/>
        <v>0</v>
      </c>
      <c r="BQ15" s="161">
        <f t="shared" ca="1" si="39"/>
        <v>0</v>
      </c>
      <c r="BR15" s="162" t="str">
        <f t="shared" ca="1" si="12"/>
        <v/>
      </c>
      <c r="BS15" s="248"/>
      <c r="BT15" s="163">
        <f t="shared" ca="1" si="40"/>
        <v>0</v>
      </c>
      <c r="BU15" s="163">
        <f t="shared" ca="1" si="41"/>
        <v>0</v>
      </c>
      <c r="BV15" s="155"/>
      <c r="BW15" s="164">
        <f t="shared" ca="1" si="42"/>
        <v>0</v>
      </c>
      <c r="BX15" s="164">
        <f t="shared" ca="1" si="43"/>
        <v>0</v>
      </c>
      <c r="BY15" s="165" t="str">
        <f t="shared" ca="1" si="13"/>
        <v/>
      </c>
      <c r="BZ15" s="103"/>
      <c r="CA15" s="166">
        <f t="shared" ca="1" si="44"/>
        <v>0</v>
      </c>
      <c r="CB15" s="166">
        <f t="shared" ca="1" si="45"/>
        <v>0</v>
      </c>
      <c r="CC15" s="155"/>
      <c r="CD15" s="167">
        <f t="shared" ca="1" si="46"/>
        <v>0</v>
      </c>
      <c r="CE15" s="167">
        <f t="shared" ca="1" si="47"/>
        <v>0</v>
      </c>
      <c r="CF15" s="168" t="str">
        <f t="shared" ca="1" si="14"/>
        <v/>
      </c>
      <c r="CG15" s="103"/>
      <c r="CH15" s="169">
        <f t="shared" ca="1" si="48"/>
        <v>0</v>
      </c>
      <c r="CI15" s="169">
        <f t="shared" ca="1" si="49"/>
        <v>0</v>
      </c>
      <c r="CJ15" s="155"/>
      <c r="CK15" s="170">
        <f t="shared" ca="1" si="50"/>
        <v>0</v>
      </c>
      <c r="CL15" s="170">
        <f t="shared" ca="1" si="51"/>
        <v>0</v>
      </c>
      <c r="CM15" s="171" t="str">
        <f t="shared" ca="1" si="15"/>
        <v/>
      </c>
      <c r="CN15" s="103"/>
      <c r="CO15" s="151">
        <v>12</v>
      </c>
      <c r="CP15" s="403">
        <v>0.18</v>
      </c>
      <c r="CQ15" s="103">
        <f t="shared" si="52"/>
        <v>0</v>
      </c>
      <c r="CR15" s="409">
        <f t="shared" si="53"/>
        <v>0.18</v>
      </c>
      <c r="CS15" s="103">
        <f t="shared" si="54"/>
        <v>1</v>
      </c>
      <c r="CT15" s="103"/>
    </row>
    <row r="16" spans="1:98">
      <c r="A16"/>
      <c r="B16"/>
      <c r="C16"/>
      <c r="D16" s="103"/>
      <c r="E16" s="173" t="s">
        <v>419</v>
      </c>
      <c r="F16" s="362">
        <v>1</v>
      </c>
      <c r="G16" s="172">
        <f>VALUE(VLOOKUP(F16,MATERNIDAD,IF(B4&gt;=4,4,B4+1),0))</f>
        <v>1E-4</v>
      </c>
      <c r="H16" s="173" t="s">
        <v>409</v>
      </c>
      <c r="I16" s="103"/>
      <c r="J16" s="175">
        <v>13</v>
      </c>
      <c r="K16" s="67">
        <v>15153.57</v>
      </c>
      <c r="L16" s="67">
        <v>19413.560000000001</v>
      </c>
      <c r="M16" s="67">
        <v>13451.15</v>
      </c>
      <c r="N16" s="67">
        <v>17232.560000000001</v>
      </c>
      <c r="O16" s="67">
        <v>11909.88</v>
      </c>
      <c r="P16" s="67">
        <v>15258</v>
      </c>
      <c r="Q16" s="147">
        <f t="shared" si="0"/>
        <v>0</v>
      </c>
      <c r="R16" s="147">
        <f t="shared" si="1"/>
        <v>0</v>
      </c>
      <c r="S16" s="147">
        <f t="shared" si="2"/>
        <v>0</v>
      </c>
      <c r="T16" s="147">
        <f t="shared" si="3"/>
        <v>0</v>
      </c>
      <c r="U16" s="147">
        <f t="shared" si="4"/>
        <v>0</v>
      </c>
      <c r="V16" s="147">
        <f t="shared" si="5"/>
        <v>0</v>
      </c>
      <c r="W16" s="103"/>
      <c r="X16" s="148"/>
      <c r="Y16" s="148"/>
      <c r="Z16" s="147">
        <f t="shared" si="16"/>
        <v>0</v>
      </c>
      <c r="AA16" s="147">
        <f t="shared" si="17"/>
        <v>0</v>
      </c>
      <c r="AB16" s="147">
        <f t="shared" si="18"/>
        <v>0</v>
      </c>
      <c r="AC16" s="147">
        <f t="shared" si="19"/>
        <v>0</v>
      </c>
      <c r="AD16" s="149"/>
      <c r="AE16" s="149"/>
      <c r="AF16" s="147">
        <f t="shared" si="20"/>
        <v>0</v>
      </c>
      <c r="AG16" s="147">
        <f t="shared" si="21"/>
        <v>0</v>
      </c>
      <c r="AH16" s="147">
        <f t="shared" si="22"/>
        <v>0</v>
      </c>
      <c r="AI16" s="147">
        <f t="shared" si="23"/>
        <v>0</v>
      </c>
      <c r="AJ16" s="148"/>
      <c r="AK16" s="150"/>
      <c r="AL16" s="147">
        <f t="shared" si="24"/>
        <v>0</v>
      </c>
      <c r="AM16" s="147">
        <f t="shared" si="25"/>
        <v>0</v>
      </c>
      <c r="AN16" s="147">
        <f t="shared" si="26"/>
        <v>0</v>
      </c>
      <c r="AO16" s="147">
        <f t="shared" si="27"/>
        <v>0</v>
      </c>
      <c r="AP16" s="103"/>
      <c r="AQ16" s="151">
        <v>13</v>
      </c>
      <c r="AR16" s="152">
        <f ca="1">+RESUMEN!F16</f>
        <v>0</v>
      </c>
      <c r="AS16" s="152">
        <f ca="1">+RESUMEN!G16</f>
        <v>0</v>
      </c>
      <c r="AT16" s="153">
        <f t="shared" ca="1" si="6"/>
        <v>0</v>
      </c>
      <c r="AU16" s="154">
        <f t="shared" si="28"/>
        <v>0</v>
      </c>
      <c r="AV16" s="154">
        <f t="shared" si="29"/>
        <v>0</v>
      </c>
      <c r="AW16" s="154">
        <f t="shared" ca="1" si="7"/>
        <v>0</v>
      </c>
      <c r="AX16" s="153"/>
      <c r="AY16" s="154">
        <f t="shared" ca="1" si="8"/>
        <v>0</v>
      </c>
      <c r="AZ16" s="154">
        <f t="shared" ca="1" si="9"/>
        <v>0</v>
      </c>
      <c r="BA16" s="155"/>
      <c r="BB16" s="156">
        <f t="shared" ca="1" si="30"/>
        <v>0</v>
      </c>
      <c r="BC16" s="156">
        <f t="shared" ca="1" si="31"/>
        <v>0</v>
      </c>
      <c r="BD16" s="157" t="str">
        <f t="shared" ca="1" si="10"/>
        <v/>
      </c>
      <c r="BE16" s="103"/>
      <c r="BF16" s="106">
        <f t="shared" ca="1" si="32"/>
        <v>0</v>
      </c>
      <c r="BG16" s="106">
        <f t="shared" ca="1" si="33"/>
        <v>0</v>
      </c>
      <c r="BH16" s="155"/>
      <c r="BI16" s="158">
        <f t="shared" ca="1" si="34"/>
        <v>0</v>
      </c>
      <c r="BJ16" s="158">
        <f t="shared" ca="1" si="35"/>
        <v>0</v>
      </c>
      <c r="BK16" s="159" t="str">
        <f t="shared" ca="1" si="11"/>
        <v/>
      </c>
      <c r="BL16" s="103"/>
      <c r="BM16" s="160">
        <f t="shared" ca="1" si="36"/>
        <v>0</v>
      </c>
      <c r="BN16" s="160">
        <f t="shared" ca="1" si="37"/>
        <v>0</v>
      </c>
      <c r="BO16" s="155"/>
      <c r="BP16" s="161">
        <f t="shared" ca="1" si="38"/>
        <v>0</v>
      </c>
      <c r="BQ16" s="161">
        <f t="shared" ca="1" si="39"/>
        <v>0</v>
      </c>
      <c r="BR16" s="162" t="str">
        <f t="shared" ca="1" si="12"/>
        <v/>
      </c>
      <c r="BS16" s="249"/>
      <c r="BT16" s="163">
        <f t="shared" ca="1" si="40"/>
        <v>0</v>
      </c>
      <c r="BU16" s="163">
        <f t="shared" ca="1" si="41"/>
        <v>0</v>
      </c>
      <c r="BV16" s="155"/>
      <c r="BW16" s="164">
        <f t="shared" ca="1" si="42"/>
        <v>0</v>
      </c>
      <c r="BX16" s="164">
        <f t="shared" ca="1" si="43"/>
        <v>0</v>
      </c>
      <c r="BY16" s="165" t="str">
        <f t="shared" ca="1" si="13"/>
        <v/>
      </c>
      <c r="BZ16" s="103"/>
      <c r="CA16" s="166">
        <f t="shared" ca="1" si="44"/>
        <v>0</v>
      </c>
      <c r="CB16" s="166">
        <f t="shared" ca="1" si="45"/>
        <v>0</v>
      </c>
      <c r="CC16" s="155"/>
      <c r="CD16" s="167">
        <f t="shared" ca="1" si="46"/>
        <v>0</v>
      </c>
      <c r="CE16" s="167">
        <f t="shared" ca="1" si="47"/>
        <v>0</v>
      </c>
      <c r="CF16" s="168" t="str">
        <f t="shared" ca="1" si="14"/>
        <v/>
      </c>
      <c r="CG16" s="103"/>
      <c r="CH16" s="169">
        <f t="shared" ca="1" si="48"/>
        <v>0</v>
      </c>
      <c r="CI16" s="169">
        <f t="shared" ca="1" si="49"/>
        <v>0</v>
      </c>
      <c r="CJ16" s="155"/>
      <c r="CK16" s="170">
        <f t="shared" ca="1" si="50"/>
        <v>0</v>
      </c>
      <c r="CL16" s="170">
        <f t="shared" ca="1" si="51"/>
        <v>0</v>
      </c>
      <c r="CM16" s="171" t="str">
        <f t="shared" ca="1" si="15"/>
        <v/>
      </c>
      <c r="CN16" s="103"/>
      <c r="CO16" s="151">
        <v>13</v>
      </c>
      <c r="CP16" s="403">
        <v>0.18</v>
      </c>
      <c r="CQ16" s="103">
        <f t="shared" si="52"/>
        <v>0</v>
      </c>
      <c r="CR16" s="409">
        <f t="shared" si="53"/>
        <v>0.18</v>
      </c>
      <c r="CS16" s="103">
        <f t="shared" si="54"/>
        <v>1</v>
      </c>
      <c r="CT16" s="103"/>
    </row>
    <row r="17" spans="1:98">
      <c r="A17" s="173" t="s">
        <v>47</v>
      </c>
      <c r="B17" s="371">
        <f>+VLOOKUP(B5,DATOS!U4:AA51,IF(F18="no",5,6),0)/100</f>
        <v>1</v>
      </c>
      <c r="C17"/>
      <c r="D17"/>
      <c r="G17"/>
      <c r="H17"/>
      <c r="I17"/>
      <c r="J17" s="175">
        <v>14</v>
      </c>
      <c r="K17" s="67">
        <v>16378.66</v>
      </c>
      <c r="L17" s="67">
        <v>19541.330000000002</v>
      </c>
      <c r="M17" s="67">
        <v>14538.61</v>
      </c>
      <c r="N17" s="67">
        <v>17345.98</v>
      </c>
      <c r="O17" s="67">
        <v>12872.73</v>
      </c>
      <c r="P17" s="67">
        <v>15358.42</v>
      </c>
      <c r="Q17" s="147">
        <f t="shared" si="0"/>
        <v>0</v>
      </c>
      <c r="R17" s="147">
        <f t="shared" si="1"/>
        <v>0</v>
      </c>
      <c r="S17" s="147">
        <f t="shared" si="2"/>
        <v>0</v>
      </c>
      <c r="T17" s="147">
        <f t="shared" si="3"/>
        <v>0</v>
      </c>
      <c r="U17" s="147">
        <f t="shared" si="4"/>
        <v>0</v>
      </c>
      <c r="V17" s="147">
        <f t="shared" si="5"/>
        <v>0</v>
      </c>
      <c r="W17" s="103"/>
      <c r="X17" s="148"/>
      <c r="Y17" s="148"/>
      <c r="Z17" s="147">
        <f t="shared" si="16"/>
        <v>0</v>
      </c>
      <c r="AA17" s="147">
        <f t="shared" si="17"/>
        <v>0</v>
      </c>
      <c r="AB17" s="147">
        <f t="shared" si="18"/>
        <v>0</v>
      </c>
      <c r="AC17" s="147">
        <f t="shared" si="19"/>
        <v>0</v>
      </c>
      <c r="AD17" s="149"/>
      <c r="AE17" s="149"/>
      <c r="AF17" s="147">
        <f t="shared" si="20"/>
        <v>0</v>
      </c>
      <c r="AG17" s="147">
        <f t="shared" si="21"/>
        <v>0</v>
      </c>
      <c r="AH17" s="147">
        <f t="shared" si="22"/>
        <v>0</v>
      </c>
      <c r="AI17" s="147">
        <f t="shared" si="23"/>
        <v>0</v>
      </c>
      <c r="AJ17" s="148"/>
      <c r="AK17" s="150"/>
      <c r="AL17" s="147">
        <f t="shared" si="24"/>
        <v>0</v>
      </c>
      <c r="AM17" s="147">
        <f t="shared" si="25"/>
        <v>0</v>
      </c>
      <c r="AN17" s="147">
        <f t="shared" si="26"/>
        <v>0</v>
      </c>
      <c r="AO17" s="147">
        <f t="shared" si="27"/>
        <v>0</v>
      </c>
      <c r="AP17" s="103"/>
      <c r="AQ17" s="151">
        <v>14</v>
      </c>
      <c r="AR17" s="152">
        <f ca="1">+RESUMEN!F17</f>
        <v>0</v>
      </c>
      <c r="AS17" s="152">
        <f ca="1">+RESUMEN!G17</f>
        <v>0</v>
      </c>
      <c r="AT17" s="153">
        <f t="shared" ca="1" si="6"/>
        <v>0</v>
      </c>
      <c r="AU17" s="154">
        <f t="shared" si="28"/>
        <v>0</v>
      </c>
      <c r="AV17" s="154">
        <f t="shared" si="29"/>
        <v>0</v>
      </c>
      <c r="AW17" s="154">
        <f t="shared" ca="1" si="7"/>
        <v>0</v>
      </c>
      <c r="AX17" s="153"/>
      <c r="AY17" s="154">
        <f t="shared" ca="1" si="8"/>
        <v>0</v>
      </c>
      <c r="AZ17" s="154">
        <f t="shared" ca="1" si="9"/>
        <v>0</v>
      </c>
      <c r="BA17" s="155"/>
      <c r="BB17" s="156">
        <f t="shared" ca="1" si="30"/>
        <v>0</v>
      </c>
      <c r="BC17" s="156">
        <f t="shared" ca="1" si="31"/>
        <v>0</v>
      </c>
      <c r="BD17" s="157" t="str">
        <f t="shared" ca="1" si="10"/>
        <v/>
      </c>
      <c r="BE17" s="103"/>
      <c r="BF17" s="106">
        <f t="shared" ca="1" si="32"/>
        <v>0</v>
      </c>
      <c r="BG17" s="106">
        <f t="shared" ca="1" si="33"/>
        <v>0</v>
      </c>
      <c r="BH17" s="155"/>
      <c r="BI17" s="158">
        <f t="shared" ca="1" si="34"/>
        <v>0</v>
      </c>
      <c r="BJ17" s="158">
        <f t="shared" ca="1" si="35"/>
        <v>0</v>
      </c>
      <c r="BK17" s="159" t="str">
        <f t="shared" ca="1" si="11"/>
        <v/>
      </c>
      <c r="BL17" s="103"/>
      <c r="BM17" s="160">
        <f t="shared" ca="1" si="36"/>
        <v>0</v>
      </c>
      <c r="BN17" s="160">
        <f t="shared" ca="1" si="37"/>
        <v>0</v>
      </c>
      <c r="BO17" s="155"/>
      <c r="BP17" s="161">
        <f t="shared" ca="1" si="38"/>
        <v>0</v>
      </c>
      <c r="BQ17" s="161">
        <f t="shared" ca="1" si="39"/>
        <v>0</v>
      </c>
      <c r="BR17" s="162" t="str">
        <f t="shared" ca="1" si="12"/>
        <v/>
      </c>
      <c r="BS17" s="221"/>
      <c r="BT17" s="163">
        <f t="shared" ca="1" si="40"/>
        <v>0</v>
      </c>
      <c r="BU17" s="163">
        <f t="shared" ca="1" si="41"/>
        <v>0</v>
      </c>
      <c r="BV17" s="155"/>
      <c r="BW17" s="164">
        <f t="shared" ca="1" si="42"/>
        <v>0</v>
      </c>
      <c r="BX17" s="164">
        <f t="shared" ca="1" si="43"/>
        <v>0</v>
      </c>
      <c r="BY17" s="165" t="str">
        <f t="shared" ca="1" si="13"/>
        <v/>
      </c>
      <c r="BZ17" s="103"/>
      <c r="CA17" s="166">
        <f t="shared" ca="1" si="44"/>
        <v>0</v>
      </c>
      <c r="CB17" s="166">
        <f t="shared" ca="1" si="45"/>
        <v>0</v>
      </c>
      <c r="CC17" s="155"/>
      <c r="CD17" s="167">
        <f t="shared" ca="1" si="46"/>
        <v>0</v>
      </c>
      <c r="CE17" s="167">
        <f t="shared" ca="1" si="47"/>
        <v>0</v>
      </c>
      <c r="CF17" s="168" t="str">
        <f t="shared" ca="1" si="14"/>
        <v/>
      </c>
      <c r="CG17" s="103"/>
      <c r="CH17" s="169">
        <f t="shared" ca="1" si="48"/>
        <v>0</v>
      </c>
      <c r="CI17" s="169">
        <f t="shared" ca="1" si="49"/>
        <v>0</v>
      </c>
      <c r="CJ17" s="155"/>
      <c r="CK17" s="170">
        <f t="shared" ca="1" si="50"/>
        <v>0</v>
      </c>
      <c r="CL17" s="170">
        <f t="shared" ca="1" si="51"/>
        <v>0</v>
      </c>
      <c r="CM17" s="171" t="str">
        <f t="shared" ca="1" si="15"/>
        <v/>
      </c>
      <c r="CN17" s="103"/>
      <c r="CO17" s="151">
        <v>14</v>
      </c>
      <c r="CP17" s="403">
        <v>0.18</v>
      </c>
      <c r="CQ17" s="103">
        <f t="shared" si="52"/>
        <v>0</v>
      </c>
      <c r="CR17" s="409">
        <f t="shared" si="53"/>
        <v>0.18</v>
      </c>
      <c r="CS17" s="103">
        <f t="shared" si="54"/>
        <v>1</v>
      </c>
      <c r="CT17" s="103"/>
    </row>
    <row r="18" spans="1:98">
      <c r="A18" s="173" t="s">
        <v>291</v>
      </c>
      <c r="B18" s="372">
        <f>+VLOOKUP(B10,DATOS!AW4:BA7,(IF(F18="si",5,4)),0)</f>
        <v>1</v>
      </c>
      <c r="C18" s="397"/>
      <c r="E18" s="368" t="s">
        <v>412</v>
      </c>
      <c r="F18" s="361" t="str">
        <f>+IF(B4&gt;=4,"SI","NO")</f>
        <v>NO</v>
      </c>
      <c r="G18"/>
      <c r="H18" s="174"/>
      <c r="I18" s="103"/>
      <c r="J18" s="175">
        <v>15</v>
      </c>
      <c r="K18" s="67">
        <v>16043.46</v>
      </c>
      <c r="L18" s="67">
        <v>19544.02</v>
      </c>
      <c r="M18" s="67">
        <v>14241.08</v>
      </c>
      <c r="N18" s="67">
        <v>17348.37</v>
      </c>
      <c r="O18" s="67">
        <v>12609.29</v>
      </c>
      <c r="P18" s="67">
        <v>15360.53</v>
      </c>
      <c r="Q18" s="147">
        <f t="shared" si="0"/>
        <v>0</v>
      </c>
      <c r="R18" s="147">
        <f t="shared" si="1"/>
        <v>0</v>
      </c>
      <c r="S18" s="147">
        <f t="shared" si="2"/>
        <v>0</v>
      </c>
      <c r="T18" s="147">
        <f t="shared" si="3"/>
        <v>0</v>
      </c>
      <c r="U18" s="147">
        <f t="shared" si="4"/>
        <v>0</v>
      </c>
      <c r="V18" s="147">
        <f t="shared" si="5"/>
        <v>0</v>
      </c>
      <c r="W18" s="103"/>
      <c r="X18" s="148"/>
      <c r="Y18" s="148"/>
      <c r="Z18" s="147">
        <f t="shared" si="16"/>
        <v>0</v>
      </c>
      <c r="AA18" s="147">
        <f t="shared" si="17"/>
        <v>0</v>
      </c>
      <c r="AB18" s="147">
        <f t="shared" si="18"/>
        <v>0</v>
      </c>
      <c r="AC18" s="147">
        <f t="shared" si="19"/>
        <v>0</v>
      </c>
      <c r="AD18" s="149"/>
      <c r="AE18" s="149"/>
      <c r="AF18" s="147">
        <f t="shared" si="20"/>
        <v>0</v>
      </c>
      <c r="AG18" s="147">
        <f t="shared" si="21"/>
        <v>0</v>
      </c>
      <c r="AH18" s="147">
        <f t="shared" si="22"/>
        <v>0</v>
      </c>
      <c r="AI18" s="147">
        <f t="shared" si="23"/>
        <v>0</v>
      </c>
      <c r="AJ18" s="148"/>
      <c r="AK18" s="150"/>
      <c r="AL18" s="147">
        <f t="shared" si="24"/>
        <v>0</v>
      </c>
      <c r="AM18" s="147">
        <f t="shared" si="25"/>
        <v>0</v>
      </c>
      <c r="AN18" s="147">
        <f t="shared" si="26"/>
        <v>0</v>
      </c>
      <c r="AO18" s="147">
        <f t="shared" si="27"/>
        <v>0</v>
      </c>
      <c r="AP18" s="103"/>
      <c r="AQ18" s="151">
        <v>15</v>
      </c>
      <c r="AR18" s="152">
        <f ca="1">+RESUMEN!F18</f>
        <v>0</v>
      </c>
      <c r="AS18" s="152">
        <f ca="1">+RESUMEN!G18</f>
        <v>0</v>
      </c>
      <c r="AT18" s="153">
        <f t="shared" ca="1" si="6"/>
        <v>0</v>
      </c>
      <c r="AU18" s="154">
        <f t="shared" si="28"/>
        <v>0</v>
      </c>
      <c r="AV18" s="154">
        <f t="shared" si="29"/>
        <v>0</v>
      </c>
      <c r="AW18" s="154">
        <f t="shared" ca="1" si="7"/>
        <v>0</v>
      </c>
      <c r="AX18" s="153"/>
      <c r="AY18" s="154">
        <f t="shared" ca="1" si="8"/>
        <v>0</v>
      </c>
      <c r="AZ18" s="154">
        <f t="shared" ca="1" si="9"/>
        <v>0</v>
      </c>
      <c r="BA18" s="155"/>
      <c r="BB18" s="156">
        <f t="shared" ca="1" si="30"/>
        <v>0</v>
      </c>
      <c r="BC18" s="156">
        <f t="shared" ca="1" si="31"/>
        <v>0</v>
      </c>
      <c r="BD18" s="157" t="str">
        <f t="shared" ca="1" si="10"/>
        <v/>
      </c>
      <c r="BE18" s="103"/>
      <c r="BF18" s="106">
        <f t="shared" ca="1" si="32"/>
        <v>0</v>
      </c>
      <c r="BG18" s="106">
        <f t="shared" ca="1" si="33"/>
        <v>0</v>
      </c>
      <c r="BH18" s="155"/>
      <c r="BI18" s="158">
        <f t="shared" ca="1" si="34"/>
        <v>0</v>
      </c>
      <c r="BJ18" s="158">
        <f t="shared" ca="1" si="35"/>
        <v>0</v>
      </c>
      <c r="BK18" s="159" t="str">
        <f t="shared" ca="1" si="11"/>
        <v/>
      </c>
      <c r="BL18" s="103"/>
      <c r="BM18" s="160">
        <f t="shared" ca="1" si="36"/>
        <v>0</v>
      </c>
      <c r="BN18" s="160">
        <f t="shared" ca="1" si="37"/>
        <v>0</v>
      </c>
      <c r="BO18" s="155"/>
      <c r="BP18" s="161">
        <f t="shared" ca="1" si="38"/>
        <v>0</v>
      </c>
      <c r="BQ18" s="161">
        <f t="shared" ca="1" si="39"/>
        <v>0</v>
      </c>
      <c r="BR18" s="162" t="str">
        <f t="shared" ca="1" si="12"/>
        <v/>
      </c>
      <c r="BS18" s="103"/>
      <c r="BT18" s="163">
        <f t="shared" ca="1" si="40"/>
        <v>0</v>
      </c>
      <c r="BU18" s="163">
        <f t="shared" ca="1" si="41"/>
        <v>0</v>
      </c>
      <c r="BV18" s="155"/>
      <c r="BW18" s="164">
        <f t="shared" ca="1" si="42"/>
        <v>0</v>
      </c>
      <c r="BX18" s="164">
        <f t="shared" ca="1" si="43"/>
        <v>0</v>
      </c>
      <c r="BY18" s="165" t="str">
        <f t="shared" ca="1" si="13"/>
        <v/>
      </c>
      <c r="BZ18" s="103"/>
      <c r="CA18" s="166">
        <f t="shared" ca="1" si="44"/>
        <v>0</v>
      </c>
      <c r="CB18" s="166">
        <f t="shared" ca="1" si="45"/>
        <v>0</v>
      </c>
      <c r="CC18" s="155"/>
      <c r="CD18" s="167">
        <f t="shared" ca="1" si="46"/>
        <v>0</v>
      </c>
      <c r="CE18" s="167">
        <f t="shared" ca="1" si="47"/>
        <v>0</v>
      </c>
      <c r="CF18" s="168" t="str">
        <f t="shared" ca="1" si="14"/>
        <v/>
      </c>
      <c r="CG18" s="103"/>
      <c r="CH18" s="169">
        <f t="shared" ca="1" si="48"/>
        <v>0</v>
      </c>
      <c r="CI18" s="169">
        <f t="shared" ca="1" si="49"/>
        <v>0</v>
      </c>
      <c r="CJ18" s="155"/>
      <c r="CK18" s="170">
        <f t="shared" ca="1" si="50"/>
        <v>0</v>
      </c>
      <c r="CL18" s="170">
        <f t="shared" ca="1" si="51"/>
        <v>0</v>
      </c>
      <c r="CM18" s="171" t="str">
        <f t="shared" ca="1" si="15"/>
        <v/>
      </c>
      <c r="CN18" s="103"/>
      <c r="CO18" s="151">
        <v>15</v>
      </c>
      <c r="CP18" s="403">
        <v>0.18</v>
      </c>
      <c r="CQ18" s="103">
        <f t="shared" si="52"/>
        <v>0</v>
      </c>
      <c r="CR18" s="409">
        <f t="shared" si="53"/>
        <v>0.18</v>
      </c>
      <c r="CS18" s="103">
        <f t="shared" si="54"/>
        <v>1</v>
      </c>
      <c r="CT18" s="103"/>
    </row>
    <row r="19" spans="1:98">
      <c r="A19" s="173" t="s">
        <v>88</v>
      </c>
      <c r="B19" s="372">
        <f>+VLOOKUP(B6,suma,4,0)</f>
        <v>1.2051000000000001</v>
      </c>
      <c r="C19"/>
      <c r="D19"/>
      <c r="E19"/>
      <c r="F19"/>
      <c r="G19"/>
      <c r="H19" s="174"/>
      <c r="I19" s="103"/>
      <c r="J19" s="175">
        <v>16</v>
      </c>
      <c r="K19" s="67">
        <v>15859.01</v>
      </c>
      <c r="L19" s="67">
        <v>19790.919999999998</v>
      </c>
      <c r="M19" s="67">
        <v>14077.35</v>
      </c>
      <c r="N19" s="67">
        <v>17567.53</v>
      </c>
      <c r="O19" s="67">
        <v>12464.32</v>
      </c>
      <c r="P19" s="67">
        <v>15554.58</v>
      </c>
      <c r="Q19" s="147">
        <f t="shared" si="0"/>
        <v>0</v>
      </c>
      <c r="R19" s="147">
        <f t="shared" si="1"/>
        <v>0</v>
      </c>
      <c r="S19" s="147">
        <f t="shared" si="2"/>
        <v>0</v>
      </c>
      <c r="T19" s="147">
        <f t="shared" si="3"/>
        <v>0</v>
      </c>
      <c r="U19" s="147">
        <f t="shared" si="4"/>
        <v>0</v>
      </c>
      <c r="V19" s="147">
        <f t="shared" si="5"/>
        <v>0</v>
      </c>
      <c r="W19" s="103"/>
      <c r="X19" s="148"/>
      <c r="Y19" s="148"/>
      <c r="Z19" s="147">
        <f t="shared" si="16"/>
        <v>0</v>
      </c>
      <c r="AA19" s="147">
        <f t="shared" si="17"/>
        <v>0</v>
      </c>
      <c r="AB19" s="147">
        <f t="shared" si="18"/>
        <v>0</v>
      </c>
      <c r="AC19" s="147">
        <f t="shared" si="19"/>
        <v>0</v>
      </c>
      <c r="AD19" s="149"/>
      <c r="AE19" s="149"/>
      <c r="AF19" s="147">
        <f t="shared" si="20"/>
        <v>0</v>
      </c>
      <c r="AG19" s="147">
        <f t="shared" si="21"/>
        <v>0</v>
      </c>
      <c r="AH19" s="147">
        <f t="shared" si="22"/>
        <v>0</v>
      </c>
      <c r="AI19" s="147">
        <f t="shared" si="23"/>
        <v>0</v>
      </c>
      <c r="AJ19" s="148"/>
      <c r="AK19" s="150"/>
      <c r="AL19" s="147">
        <f t="shared" si="24"/>
        <v>0</v>
      </c>
      <c r="AM19" s="147">
        <f t="shared" si="25"/>
        <v>0</v>
      </c>
      <c r="AN19" s="147">
        <f t="shared" si="26"/>
        <v>0</v>
      </c>
      <c r="AO19" s="147">
        <f t="shared" si="27"/>
        <v>0</v>
      </c>
      <c r="AP19" s="103"/>
      <c r="AQ19" s="151">
        <v>16</v>
      </c>
      <c r="AR19" s="152">
        <f ca="1">+RESUMEN!F19</f>
        <v>0</v>
      </c>
      <c r="AS19" s="152">
        <f ca="1">+RESUMEN!G19</f>
        <v>0</v>
      </c>
      <c r="AT19" s="153">
        <f t="shared" ca="1" si="6"/>
        <v>0</v>
      </c>
      <c r="AU19" s="154">
        <f t="shared" si="28"/>
        <v>0</v>
      </c>
      <c r="AV19" s="154">
        <f t="shared" si="29"/>
        <v>0</v>
      </c>
      <c r="AW19" s="154">
        <f t="shared" ca="1" si="7"/>
        <v>0</v>
      </c>
      <c r="AX19" s="153"/>
      <c r="AY19" s="154">
        <f t="shared" ca="1" si="8"/>
        <v>0</v>
      </c>
      <c r="AZ19" s="154">
        <f t="shared" ca="1" si="9"/>
        <v>0</v>
      </c>
      <c r="BA19" s="155"/>
      <c r="BB19" s="156">
        <f t="shared" ca="1" si="30"/>
        <v>0</v>
      </c>
      <c r="BC19" s="156">
        <f t="shared" ca="1" si="31"/>
        <v>0</v>
      </c>
      <c r="BD19" s="157" t="str">
        <f t="shared" ca="1" si="10"/>
        <v/>
      </c>
      <c r="BE19" s="103"/>
      <c r="BF19" s="106">
        <f t="shared" ca="1" si="32"/>
        <v>0</v>
      </c>
      <c r="BG19" s="106">
        <f t="shared" ca="1" si="33"/>
        <v>0</v>
      </c>
      <c r="BH19" s="155"/>
      <c r="BI19" s="158">
        <f t="shared" ca="1" si="34"/>
        <v>0</v>
      </c>
      <c r="BJ19" s="158">
        <f t="shared" ca="1" si="35"/>
        <v>0</v>
      </c>
      <c r="BK19" s="159" t="str">
        <f t="shared" ca="1" si="11"/>
        <v/>
      </c>
      <c r="BL19" s="103"/>
      <c r="BM19" s="160">
        <f t="shared" ca="1" si="36"/>
        <v>0</v>
      </c>
      <c r="BN19" s="160">
        <f t="shared" ca="1" si="37"/>
        <v>0</v>
      </c>
      <c r="BO19" s="155"/>
      <c r="BP19" s="161">
        <f t="shared" ca="1" si="38"/>
        <v>0</v>
      </c>
      <c r="BQ19" s="161">
        <f t="shared" ca="1" si="39"/>
        <v>0</v>
      </c>
      <c r="BR19" s="162" t="str">
        <f t="shared" ca="1" si="12"/>
        <v/>
      </c>
      <c r="BS19" s="103"/>
      <c r="BT19" s="163">
        <f t="shared" ca="1" si="40"/>
        <v>0</v>
      </c>
      <c r="BU19" s="163">
        <f t="shared" ca="1" si="41"/>
        <v>0</v>
      </c>
      <c r="BV19" s="155"/>
      <c r="BW19" s="164">
        <f t="shared" ca="1" si="42"/>
        <v>0</v>
      </c>
      <c r="BX19" s="164">
        <f t="shared" ca="1" si="43"/>
        <v>0</v>
      </c>
      <c r="BY19" s="165" t="str">
        <f t="shared" ca="1" si="13"/>
        <v/>
      </c>
      <c r="BZ19" s="103"/>
      <c r="CA19" s="166">
        <f t="shared" ca="1" si="44"/>
        <v>0</v>
      </c>
      <c r="CB19" s="166">
        <f t="shared" ca="1" si="45"/>
        <v>0</v>
      </c>
      <c r="CC19" s="155"/>
      <c r="CD19" s="167">
        <f t="shared" ca="1" si="46"/>
        <v>0</v>
      </c>
      <c r="CE19" s="167">
        <f t="shared" ca="1" si="47"/>
        <v>0</v>
      </c>
      <c r="CF19" s="168" t="str">
        <f t="shared" ca="1" si="14"/>
        <v/>
      </c>
      <c r="CG19" s="103"/>
      <c r="CH19" s="169">
        <f t="shared" ca="1" si="48"/>
        <v>0</v>
      </c>
      <c r="CI19" s="169">
        <f t="shared" ca="1" si="49"/>
        <v>0</v>
      </c>
      <c r="CJ19" s="155"/>
      <c r="CK19" s="170">
        <f t="shared" ca="1" si="50"/>
        <v>0</v>
      </c>
      <c r="CL19" s="170">
        <f t="shared" ca="1" si="51"/>
        <v>0</v>
      </c>
      <c r="CM19" s="171" t="str">
        <f t="shared" ca="1" si="15"/>
        <v/>
      </c>
      <c r="CN19" s="103"/>
      <c r="CO19" s="151">
        <v>16</v>
      </c>
      <c r="CP19" s="403">
        <v>0.18</v>
      </c>
      <c r="CQ19" s="103">
        <f t="shared" si="52"/>
        <v>0</v>
      </c>
      <c r="CR19" s="409">
        <f t="shared" si="53"/>
        <v>0.18</v>
      </c>
      <c r="CS19" s="103">
        <f t="shared" si="54"/>
        <v>1</v>
      </c>
      <c r="CT19" s="103"/>
    </row>
    <row r="20" spans="1:98">
      <c r="A20" s="173" t="s">
        <v>89</v>
      </c>
      <c r="B20" s="372">
        <f>VLOOKUP(B7,DATOS!$N$4:$S$656,4,0)</f>
        <v>0.140345</v>
      </c>
      <c r="C20"/>
      <c r="D20"/>
      <c r="E20" s="368" t="s">
        <v>1138</v>
      </c>
      <c r="F20" s="364">
        <v>1</v>
      </c>
      <c r="G20"/>
      <c r="H20" s="174"/>
      <c r="I20" s="103"/>
      <c r="J20" s="175">
        <v>17</v>
      </c>
      <c r="K20" s="67">
        <v>15773.63</v>
      </c>
      <c r="L20" s="67">
        <v>20045.810000000001</v>
      </c>
      <c r="M20" s="67">
        <v>14001.56</v>
      </c>
      <c r="N20" s="67">
        <v>17793.79</v>
      </c>
      <c r="O20" s="67">
        <v>12397.22</v>
      </c>
      <c r="P20" s="67">
        <v>15754.92</v>
      </c>
      <c r="Q20" s="147">
        <f t="shared" si="0"/>
        <v>0</v>
      </c>
      <c r="R20" s="147">
        <f t="shared" si="1"/>
        <v>0</v>
      </c>
      <c r="S20" s="147">
        <f t="shared" si="2"/>
        <v>0</v>
      </c>
      <c r="T20" s="147">
        <f t="shared" si="3"/>
        <v>0</v>
      </c>
      <c r="U20" s="147">
        <f t="shared" si="4"/>
        <v>0</v>
      </c>
      <c r="V20" s="147">
        <f t="shared" si="5"/>
        <v>0</v>
      </c>
      <c r="W20" s="103"/>
      <c r="X20" s="148"/>
      <c r="Y20" s="148"/>
      <c r="Z20" s="147">
        <f t="shared" si="16"/>
        <v>0</v>
      </c>
      <c r="AA20" s="147">
        <f t="shared" si="17"/>
        <v>0</v>
      </c>
      <c r="AB20" s="147">
        <f t="shared" si="18"/>
        <v>0</v>
      </c>
      <c r="AC20" s="147">
        <f t="shared" si="19"/>
        <v>0</v>
      </c>
      <c r="AD20" s="149"/>
      <c r="AE20" s="149"/>
      <c r="AF20" s="147">
        <f t="shared" si="20"/>
        <v>0</v>
      </c>
      <c r="AG20" s="147">
        <f t="shared" si="21"/>
        <v>0</v>
      </c>
      <c r="AH20" s="147">
        <f t="shared" si="22"/>
        <v>0</v>
      </c>
      <c r="AI20" s="147">
        <f t="shared" si="23"/>
        <v>0</v>
      </c>
      <c r="AJ20" s="148"/>
      <c r="AK20" s="150"/>
      <c r="AL20" s="147">
        <f t="shared" si="24"/>
        <v>0</v>
      </c>
      <c r="AM20" s="147">
        <f t="shared" si="25"/>
        <v>0</v>
      </c>
      <c r="AN20" s="147">
        <f t="shared" si="26"/>
        <v>0</v>
      </c>
      <c r="AO20" s="147">
        <f t="shared" si="27"/>
        <v>0</v>
      </c>
      <c r="AP20" s="103"/>
      <c r="AQ20" s="151">
        <v>17</v>
      </c>
      <c r="AR20" s="152">
        <f ca="1">+RESUMEN!F20</f>
        <v>0</v>
      </c>
      <c r="AS20" s="152">
        <f ca="1">+RESUMEN!G20</f>
        <v>0</v>
      </c>
      <c r="AT20" s="153">
        <f t="shared" ca="1" si="6"/>
        <v>0</v>
      </c>
      <c r="AU20" s="154">
        <f t="shared" si="28"/>
        <v>0</v>
      </c>
      <c r="AV20" s="154">
        <f t="shared" si="29"/>
        <v>0</v>
      </c>
      <c r="AW20" s="154">
        <f t="shared" ca="1" si="7"/>
        <v>0</v>
      </c>
      <c r="AX20" s="153"/>
      <c r="AY20" s="154">
        <f t="shared" ca="1" si="8"/>
        <v>0</v>
      </c>
      <c r="AZ20" s="154">
        <f t="shared" ca="1" si="9"/>
        <v>0</v>
      </c>
      <c r="BA20" s="155"/>
      <c r="BB20" s="156">
        <f t="shared" ca="1" si="30"/>
        <v>0</v>
      </c>
      <c r="BC20" s="156">
        <f t="shared" ca="1" si="31"/>
        <v>0</v>
      </c>
      <c r="BD20" s="157" t="str">
        <f t="shared" ca="1" si="10"/>
        <v/>
      </c>
      <c r="BE20" s="103"/>
      <c r="BF20" s="106">
        <f t="shared" ca="1" si="32"/>
        <v>0</v>
      </c>
      <c r="BG20" s="106">
        <f t="shared" ca="1" si="33"/>
        <v>0</v>
      </c>
      <c r="BH20" s="155"/>
      <c r="BI20" s="158">
        <f t="shared" ca="1" si="34"/>
        <v>0</v>
      </c>
      <c r="BJ20" s="158">
        <f t="shared" ca="1" si="35"/>
        <v>0</v>
      </c>
      <c r="BK20" s="159" t="str">
        <f t="shared" ca="1" si="11"/>
        <v/>
      </c>
      <c r="BL20" s="103"/>
      <c r="BM20" s="160">
        <f t="shared" ca="1" si="36"/>
        <v>0</v>
      </c>
      <c r="BN20" s="160">
        <f t="shared" ca="1" si="37"/>
        <v>0</v>
      </c>
      <c r="BO20" s="155"/>
      <c r="BP20" s="161">
        <f t="shared" ca="1" si="38"/>
        <v>0</v>
      </c>
      <c r="BQ20" s="161">
        <f t="shared" ca="1" si="39"/>
        <v>0</v>
      </c>
      <c r="BR20" s="162" t="str">
        <f t="shared" ca="1" si="12"/>
        <v/>
      </c>
      <c r="BS20" s="103"/>
      <c r="BT20" s="163">
        <f t="shared" ca="1" si="40"/>
        <v>0</v>
      </c>
      <c r="BU20" s="163">
        <f t="shared" ca="1" si="41"/>
        <v>0</v>
      </c>
      <c r="BV20" s="155"/>
      <c r="BW20" s="164">
        <f t="shared" ca="1" si="42"/>
        <v>0</v>
      </c>
      <c r="BX20" s="164">
        <f t="shared" ca="1" si="43"/>
        <v>0</v>
      </c>
      <c r="BY20" s="165" t="str">
        <f t="shared" ca="1" si="13"/>
        <v/>
      </c>
      <c r="BZ20" s="103"/>
      <c r="CA20" s="166">
        <f t="shared" ca="1" si="44"/>
        <v>0</v>
      </c>
      <c r="CB20" s="166">
        <f t="shared" ca="1" si="45"/>
        <v>0</v>
      </c>
      <c r="CC20" s="155"/>
      <c r="CD20" s="167">
        <f t="shared" ca="1" si="46"/>
        <v>0</v>
      </c>
      <c r="CE20" s="167">
        <f t="shared" ca="1" si="47"/>
        <v>0</v>
      </c>
      <c r="CF20" s="168" t="str">
        <f t="shared" ca="1" si="14"/>
        <v/>
      </c>
      <c r="CG20" s="103"/>
      <c r="CH20" s="169">
        <f t="shared" ca="1" si="48"/>
        <v>0</v>
      </c>
      <c r="CI20" s="169">
        <f t="shared" ca="1" si="49"/>
        <v>0</v>
      </c>
      <c r="CJ20" s="155"/>
      <c r="CK20" s="170">
        <f t="shared" ca="1" si="50"/>
        <v>0</v>
      </c>
      <c r="CL20" s="170">
        <f t="shared" ca="1" si="51"/>
        <v>0</v>
      </c>
      <c r="CM20" s="171" t="str">
        <f t="shared" ca="1" si="15"/>
        <v/>
      </c>
      <c r="CN20" s="103"/>
      <c r="CO20" s="151">
        <v>17</v>
      </c>
      <c r="CP20" s="403">
        <v>0.18</v>
      </c>
      <c r="CQ20" s="103">
        <f t="shared" si="52"/>
        <v>0</v>
      </c>
      <c r="CR20" s="409">
        <f t="shared" si="53"/>
        <v>0.18</v>
      </c>
      <c r="CS20" s="103">
        <f t="shared" si="54"/>
        <v>1</v>
      </c>
      <c r="CT20" s="103"/>
    </row>
    <row r="21" spans="1:98">
      <c r="A21" s="173" t="s">
        <v>61</v>
      </c>
      <c r="B21" s="372">
        <f>+VLOOKUP(B8,DATOS!$E$3:$L$156,3,0)</f>
        <v>1</v>
      </c>
      <c r="C21"/>
      <c r="D21"/>
      <c r="E21"/>
      <c r="G21" s="411"/>
      <c r="H21" s="174"/>
      <c r="I21" s="103"/>
      <c r="J21" s="175">
        <v>18</v>
      </c>
      <c r="K21" s="67">
        <v>16028.96</v>
      </c>
      <c r="L21" s="67">
        <v>20801.45</v>
      </c>
      <c r="M21" s="67">
        <v>14228.2</v>
      </c>
      <c r="N21" s="67">
        <v>18464.53</v>
      </c>
      <c r="O21" s="67">
        <v>12597.89</v>
      </c>
      <c r="P21" s="67">
        <v>16348.8</v>
      </c>
      <c r="Q21" s="147">
        <f t="shared" si="0"/>
        <v>0</v>
      </c>
      <c r="R21" s="147">
        <f t="shared" si="1"/>
        <v>0</v>
      </c>
      <c r="S21" s="147">
        <f t="shared" si="2"/>
        <v>0</v>
      </c>
      <c r="T21" s="147">
        <f t="shared" si="3"/>
        <v>0</v>
      </c>
      <c r="U21" s="147">
        <f t="shared" si="4"/>
        <v>0</v>
      </c>
      <c r="V21" s="147">
        <f t="shared" si="5"/>
        <v>0</v>
      </c>
      <c r="W21" s="103"/>
      <c r="X21" s="148"/>
      <c r="Y21" s="148"/>
      <c r="Z21" s="147">
        <f t="shared" si="16"/>
        <v>0</v>
      </c>
      <c r="AA21" s="147">
        <f t="shared" si="17"/>
        <v>0</v>
      </c>
      <c r="AB21" s="147">
        <f t="shared" si="18"/>
        <v>0</v>
      </c>
      <c r="AC21" s="147">
        <f t="shared" si="19"/>
        <v>0</v>
      </c>
      <c r="AD21" s="149"/>
      <c r="AE21" s="149"/>
      <c r="AF21" s="147">
        <f t="shared" si="20"/>
        <v>0</v>
      </c>
      <c r="AG21" s="147">
        <f t="shared" si="21"/>
        <v>0</v>
      </c>
      <c r="AH21" s="147">
        <f t="shared" si="22"/>
        <v>0</v>
      </c>
      <c r="AI21" s="147">
        <f t="shared" si="23"/>
        <v>0</v>
      </c>
      <c r="AJ21" s="148"/>
      <c r="AK21" s="150"/>
      <c r="AL21" s="147">
        <f t="shared" si="24"/>
        <v>0</v>
      </c>
      <c r="AM21" s="147">
        <f t="shared" si="25"/>
        <v>0</v>
      </c>
      <c r="AN21" s="147">
        <f t="shared" si="26"/>
        <v>0</v>
      </c>
      <c r="AO21" s="147">
        <f t="shared" si="27"/>
        <v>0</v>
      </c>
      <c r="AP21" s="103"/>
      <c r="AQ21" s="151">
        <v>18</v>
      </c>
      <c r="AR21" s="152">
        <f ca="1">+RESUMEN!F21</f>
        <v>0</v>
      </c>
      <c r="AS21" s="152">
        <f ca="1">+RESUMEN!G21</f>
        <v>0</v>
      </c>
      <c r="AT21" s="153">
        <f t="shared" ca="1" si="6"/>
        <v>0</v>
      </c>
      <c r="AU21" s="154">
        <f t="shared" si="28"/>
        <v>0</v>
      </c>
      <c r="AV21" s="154">
        <f t="shared" si="29"/>
        <v>0</v>
      </c>
      <c r="AW21" s="154">
        <f t="shared" ca="1" si="7"/>
        <v>0</v>
      </c>
      <c r="AX21" s="153"/>
      <c r="AY21" s="154">
        <f t="shared" ca="1" si="8"/>
        <v>0</v>
      </c>
      <c r="AZ21" s="154">
        <f t="shared" ca="1" si="9"/>
        <v>0</v>
      </c>
      <c r="BA21" s="154">
        <f ca="1">+T106*$BA$1*$B$25</f>
        <v>0</v>
      </c>
      <c r="BB21" s="156">
        <f t="shared" ca="1" si="30"/>
        <v>0</v>
      </c>
      <c r="BC21" s="156">
        <f ca="1">(($AZ21*$AS21)+($AU21*$C160)+($AV21*$C54)+($AS21*$AW21)+(G54*BA21))*CS21</f>
        <v>0</v>
      </c>
      <c r="BD21" s="157" t="str">
        <f t="shared" ca="1" si="10"/>
        <v/>
      </c>
      <c r="BE21" s="103"/>
      <c r="BF21" s="106">
        <f t="shared" ca="1" si="32"/>
        <v>0</v>
      </c>
      <c r="BG21" s="106">
        <f t="shared" ca="1" si="33"/>
        <v>0</v>
      </c>
      <c r="BH21" s="106">
        <f ca="1">+S106*$BH$1*$B$25</f>
        <v>0</v>
      </c>
      <c r="BI21" s="158">
        <f t="shared" ca="1" si="34"/>
        <v>0</v>
      </c>
      <c r="BJ21" s="158">
        <f ca="1">(($BG21*$AS21)+($AU21*$C160)+($AV21*$C54)+($AS21*$AW21)+(BH21*G54))*CS21</f>
        <v>0</v>
      </c>
      <c r="BK21" s="159" t="str">
        <f t="shared" ca="1" si="11"/>
        <v/>
      </c>
      <c r="BL21" s="103"/>
      <c r="BM21" s="160">
        <f t="shared" ca="1" si="36"/>
        <v>0</v>
      </c>
      <c r="BN21" s="160">
        <f t="shared" ca="1" si="37"/>
        <v>0</v>
      </c>
      <c r="BO21" s="160">
        <f ca="1">+R106*$BO$1*$B$25</f>
        <v>0</v>
      </c>
      <c r="BP21" s="161">
        <f t="shared" ca="1" si="38"/>
        <v>0</v>
      </c>
      <c r="BQ21" s="161">
        <f ca="1">(($BN21*$AS21)+($AU21*$C160)+($AV21*$C54)+($AS21*$AW21)+(BO21*G54))*CS21</f>
        <v>0</v>
      </c>
      <c r="BR21" s="162" t="str">
        <f t="shared" ca="1" si="12"/>
        <v/>
      </c>
      <c r="BS21" s="248"/>
      <c r="BT21" s="163">
        <f t="shared" ca="1" si="40"/>
        <v>0</v>
      </c>
      <c r="BU21" s="163">
        <f t="shared" ca="1" si="41"/>
        <v>0</v>
      </c>
      <c r="BV21" s="163">
        <f ca="1">+U106*$BV$1*$B$25</f>
        <v>0</v>
      </c>
      <c r="BW21" s="164">
        <f t="shared" ca="1" si="42"/>
        <v>0</v>
      </c>
      <c r="BX21" s="164">
        <f ca="1">(($BU21*$AS21)+($AU21*$C160)+($AV21*$C54)+($AS21*$AW21)+(BV21*G54))*CS21</f>
        <v>0</v>
      </c>
      <c r="BY21" s="165" t="str">
        <f t="shared" ca="1" si="13"/>
        <v/>
      </c>
      <c r="BZ21" s="103"/>
      <c r="CA21" s="166">
        <f t="shared" ca="1" si="44"/>
        <v>0</v>
      </c>
      <c r="CB21" s="166">
        <f t="shared" ca="1" si="45"/>
        <v>0</v>
      </c>
      <c r="CC21" s="166">
        <f ca="1">+U106*$CC$1*$B$25</f>
        <v>0</v>
      </c>
      <c r="CD21" s="167">
        <f t="shared" ca="1" si="46"/>
        <v>0</v>
      </c>
      <c r="CE21" s="167">
        <f ca="1">(($CB21*$AS21)+($AU21*$C160)+($AV21*$C54)+($AS21*$AW21)+(CC21*G54))*CS21</f>
        <v>0</v>
      </c>
      <c r="CF21" s="168" t="str">
        <f t="shared" ca="1" si="14"/>
        <v/>
      </c>
      <c r="CG21" s="103"/>
      <c r="CH21" s="169">
        <f t="shared" ca="1" si="48"/>
        <v>0</v>
      </c>
      <c r="CI21" s="169">
        <f t="shared" ca="1" si="49"/>
        <v>0</v>
      </c>
      <c r="CJ21" s="169">
        <f ca="1">+U106*$CJ$1*$B$25</f>
        <v>0</v>
      </c>
      <c r="CK21" s="170">
        <f t="shared" ca="1" si="50"/>
        <v>0</v>
      </c>
      <c r="CL21" s="170">
        <f ca="1">(($CI21*$AS21)+($AU21*$C160)+($AV21*$C54)+($AS21*$AW21)+(CJ21*G54))*CS21</f>
        <v>0</v>
      </c>
      <c r="CM21" s="171" t="str">
        <f t="shared" ca="1" si="15"/>
        <v/>
      </c>
      <c r="CN21" s="103"/>
      <c r="CO21" s="151">
        <v>18</v>
      </c>
      <c r="CP21" s="403">
        <v>0.18</v>
      </c>
      <c r="CQ21" s="103">
        <f t="shared" si="52"/>
        <v>0</v>
      </c>
      <c r="CR21" s="409">
        <f t="shared" si="53"/>
        <v>0.18</v>
      </c>
      <c r="CS21" s="103">
        <f t="shared" si="54"/>
        <v>1</v>
      </c>
      <c r="CT21" s="103"/>
    </row>
    <row r="22" spans="1:98">
      <c r="A22" s="173" t="s">
        <v>413</v>
      </c>
      <c r="B22" s="372">
        <f>+VLOOKUP(B8&amp;B9,DATOS!I3:L156,3,0)</f>
        <v>1.015882</v>
      </c>
      <c r="C22"/>
      <c r="D22"/>
      <c r="E22"/>
      <c r="G22" s="102"/>
      <c r="H22" s="102"/>
      <c r="I22" s="102"/>
      <c r="J22" s="175">
        <v>19</v>
      </c>
      <c r="K22" s="67">
        <v>17727.599999999999</v>
      </c>
      <c r="L22" s="67">
        <v>20807.54</v>
      </c>
      <c r="M22" s="67">
        <v>15736.01</v>
      </c>
      <c r="N22" s="67">
        <v>18469.939999999999</v>
      </c>
      <c r="O22" s="67">
        <v>13932.92</v>
      </c>
      <c r="P22" s="67">
        <v>16353.59</v>
      </c>
      <c r="Q22" s="147">
        <f t="shared" si="0"/>
        <v>0</v>
      </c>
      <c r="R22" s="147">
        <f t="shared" si="1"/>
        <v>0</v>
      </c>
      <c r="S22" s="147">
        <f t="shared" si="2"/>
        <v>0</v>
      </c>
      <c r="T22" s="147">
        <f t="shared" si="3"/>
        <v>0</v>
      </c>
      <c r="U22" s="147">
        <f t="shared" si="4"/>
        <v>0</v>
      </c>
      <c r="V22" s="147">
        <f t="shared" si="5"/>
        <v>0</v>
      </c>
      <c r="W22" s="103"/>
      <c r="X22" s="148"/>
      <c r="Y22" s="148"/>
      <c r="Z22" s="147">
        <f t="shared" si="16"/>
        <v>0</v>
      </c>
      <c r="AA22" s="147">
        <f t="shared" si="17"/>
        <v>0</v>
      </c>
      <c r="AB22" s="147">
        <f t="shared" si="18"/>
        <v>0</v>
      </c>
      <c r="AC22" s="147">
        <f t="shared" si="19"/>
        <v>0</v>
      </c>
      <c r="AD22" s="149"/>
      <c r="AE22" s="149"/>
      <c r="AF22" s="147">
        <f t="shared" si="20"/>
        <v>0</v>
      </c>
      <c r="AG22" s="147">
        <f t="shared" si="21"/>
        <v>0</v>
      </c>
      <c r="AH22" s="147">
        <f t="shared" si="22"/>
        <v>0</v>
      </c>
      <c r="AI22" s="147">
        <f t="shared" si="23"/>
        <v>0</v>
      </c>
      <c r="AJ22" s="148"/>
      <c r="AK22" s="150"/>
      <c r="AL22" s="147">
        <f t="shared" si="24"/>
        <v>0</v>
      </c>
      <c r="AM22" s="147">
        <f t="shared" si="25"/>
        <v>0</v>
      </c>
      <c r="AN22" s="147">
        <f t="shared" si="26"/>
        <v>0</v>
      </c>
      <c r="AO22" s="147">
        <f t="shared" si="27"/>
        <v>0</v>
      </c>
      <c r="AP22" s="103"/>
      <c r="AQ22" s="151">
        <v>19</v>
      </c>
      <c r="AR22" s="152">
        <f ca="1">+RESUMEN!F22</f>
        <v>0</v>
      </c>
      <c r="AS22" s="152">
        <f ca="1">+RESUMEN!G22</f>
        <v>0</v>
      </c>
      <c r="AT22" s="153">
        <f t="shared" ca="1" si="6"/>
        <v>0</v>
      </c>
      <c r="AU22" s="154">
        <f t="shared" si="28"/>
        <v>0</v>
      </c>
      <c r="AV22" s="154">
        <f t="shared" si="29"/>
        <v>0</v>
      </c>
      <c r="AW22" s="154">
        <f t="shared" ca="1" si="7"/>
        <v>0</v>
      </c>
      <c r="AX22" s="153"/>
      <c r="AY22" s="154">
        <f t="shared" ca="1" si="8"/>
        <v>0</v>
      </c>
      <c r="AZ22" s="154">
        <f t="shared" ca="1" si="9"/>
        <v>0</v>
      </c>
      <c r="BA22" s="154">
        <f t="shared" ref="BA22:BA47" ca="1" si="55">+T107*$BA$1*$B$25</f>
        <v>0</v>
      </c>
      <c r="BB22" s="156">
        <f t="shared" ca="1" si="30"/>
        <v>0</v>
      </c>
      <c r="BC22" s="156">
        <f t="shared" ref="BC22:BC47" ca="1" si="56">(($AZ22*$AS22)+($AU22*$C161)+($AV22*$C55)+($AS22*$AW22)+(G55*BA22))*CS22</f>
        <v>0</v>
      </c>
      <c r="BD22" s="157" t="str">
        <f t="shared" ca="1" si="10"/>
        <v/>
      </c>
      <c r="BE22" s="103"/>
      <c r="BF22" s="106">
        <f t="shared" ca="1" si="32"/>
        <v>0</v>
      </c>
      <c r="BG22" s="106">
        <f t="shared" ca="1" si="33"/>
        <v>0</v>
      </c>
      <c r="BH22" s="106">
        <f t="shared" ref="BH22:BH47" ca="1" si="57">+S107*$BH$1*$B$25</f>
        <v>0</v>
      </c>
      <c r="BI22" s="158">
        <f t="shared" ca="1" si="34"/>
        <v>0</v>
      </c>
      <c r="BJ22" s="158">
        <f t="shared" ref="BJ22:BJ47" ca="1" si="58">(($BG22*$AS22)+($AU22*$C161)+($AV22*$C55)+($AS22*$AW22)+(BH22*G55))*CS22</f>
        <v>0</v>
      </c>
      <c r="BK22" s="159" t="str">
        <f t="shared" ca="1" si="11"/>
        <v/>
      </c>
      <c r="BL22" s="103"/>
      <c r="BM22" s="160">
        <f t="shared" ca="1" si="36"/>
        <v>0</v>
      </c>
      <c r="BN22" s="160">
        <f t="shared" ca="1" si="37"/>
        <v>0</v>
      </c>
      <c r="BO22" s="160">
        <f t="shared" ref="BO22:BO47" ca="1" si="59">+R107*$BO$1*$B$25</f>
        <v>0</v>
      </c>
      <c r="BP22" s="161">
        <f t="shared" ca="1" si="38"/>
        <v>0</v>
      </c>
      <c r="BQ22" s="161">
        <f t="shared" ref="BQ22:BQ47" ca="1" si="60">(($BN22*$AS22)+($AU22*$C161)+($AV22*$C55)+($AS22*$AW22)+(BO22*G55))*CS22</f>
        <v>0</v>
      </c>
      <c r="BR22" s="162" t="str">
        <f t="shared" ca="1" si="12"/>
        <v/>
      </c>
      <c r="BS22" s="248"/>
      <c r="BT22" s="163">
        <f t="shared" ca="1" si="40"/>
        <v>0</v>
      </c>
      <c r="BU22" s="163">
        <f t="shared" ca="1" si="41"/>
        <v>0</v>
      </c>
      <c r="BV22" s="163">
        <f t="shared" ref="BV22:BV47" ca="1" si="61">+U107*$BV$1*$B$25</f>
        <v>0</v>
      </c>
      <c r="BW22" s="164">
        <f t="shared" ca="1" si="42"/>
        <v>0</v>
      </c>
      <c r="BX22" s="164">
        <f t="shared" ref="BX22:BX47" ca="1" si="62">(($BU22*$AS22)+($AU22*$C161)+($AV22*$C55)+($AS22*$AW22)+(BV22*G55))*CS22</f>
        <v>0</v>
      </c>
      <c r="BY22" s="165" t="str">
        <f t="shared" ca="1" si="13"/>
        <v/>
      </c>
      <c r="BZ22" s="103"/>
      <c r="CA22" s="166">
        <f t="shared" ca="1" si="44"/>
        <v>0</v>
      </c>
      <c r="CB22" s="166">
        <f t="shared" ca="1" si="45"/>
        <v>0</v>
      </c>
      <c r="CC22" s="166">
        <f t="shared" ref="CC22:CC47" ca="1" si="63">+U107*$CC$1*$B$25</f>
        <v>0</v>
      </c>
      <c r="CD22" s="167">
        <f t="shared" ca="1" si="46"/>
        <v>0</v>
      </c>
      <c r="CE22" s="167">
        <f t="shared" ref="CE22:CE47" ca="1" si="64">(($CB22*$AS22)+($AU22*$C161)+($AV22*$C55)+($AS22*$AW22)+(CC22*G55))*CS22</f>
        <v>0</v>
      </c>
      <c r="CF22" s="168" t="str">
        <f t="shared" ca="1" si="14"/>
        <v/>
      </c>
      <c r="CG22" s="103"/>
      <c r="CH22" s="169">
        <f t="shared" ca="1" si="48"/>
        <v>0</v>
      </c>
      <c r="CI22" s="169">
        <f t="shared" ca="1" si="49"/>
        <v>0</v>
      </c>
      <c r="CJ22" s="169">
        <f t="shared" ref="CJ22:CJ47" ca="1" si="65">+U107*$CJ$1*$B$25</f>
        <v>0</v>
      </c>
      <c r="CK22" s="170">
        <f t="shared" ca="1" si="50"/>
        <v>0</v>
      </c>
      <c r="CL22" s="170">
        <f t="shared" ref="CL22:CL47" ca="1" si="66">(($CI22*$AS22)+($AU22*$C161)+($AV22*$C55)+($AS22*$AW22)+(CJ22*G55))*CS22</f>
        <v>0</v>
      </c>
      <c r="CM22" s="171" t="str">
        <f t="shared" ca="1" si="15"/>
        <v/>
      </c>
      <c r="CN22" s="103"/>
      <c r="CO22" s="151">
        <v>19</v>
      </c>
      <c r="CP22" s="403">
        <v>0.18</v>
      </c>
      <c r="CQ22" s="103">
        <f t="shared" si="52"/>
        <v>0</v>
      </c>
      <c r="CR22" s="409">
        <f t="shared" si="53"/>
        <v>0.18</v>
      </c>
      <c r="CS22" s="103">
        <f t="shared" si="54"/>
        <v>1</v>
      </c>
      <c r="CT22" s="103"/>
    </row>
    <row r="23" spans="1:98">
      <c r="A23" s="173" t="s">
        <v>14</v>
      </c>
      <c r="B23" s="372">
        <f>+IF(C13="NO",1,1.03)</f>
        <v>1</v>
      </c>
      <c r="C23"/>
      <c r="G23" s="102"/>
      <c r="H23" s="102"/>
      <c r="I23" s="102"/>
      <c r="J23" s="175">
        <v>20</v>
      </c>
      <c r="K23" s="67">
        <v>18221.689999999999</v>
      </c>
      <c r="L23" s="67">
        <v>20822.93</v>
      </c>
      <c r="M23" s="67">
        <v>16174.6</v>
      </c>
      <c r="N23" s="67">
        <v>18483.599999999999</v>
      </c>
      <c r="O23" s="67">
        <v>14321.26</v>
      </c>
      <c r="P23" s="67">
        <v>16365.68</v>
      </c>
      <c r="Q23" s="147">
        <f t="shared" si="0"/>
        <v>0</v>
      </c>
      <c r="R23" s="147">
        <f t="shared" si="1"/>
        <v>0</v>
      </c>
      <c r="S23" s="147">
        <f t="shared" si="2"/>
        <v>0</v>
      </c>
      <c r="T23" s="147">
        <f t="shared" si="3"/>
        <v>0</v>
      </c>
      <c r="U23" s="147">
        <f t="shared" si="4"/>
        <v>0</v>
      </c>
      <c r="V23" s="147">
        <f t="shared" si="5"/>
        <v>0</v>
      </c>
      <c r="W23" s="103"/>
      <c r="X23" s="148"/>
      <c r="Y23" s="148"/>
      <c r="Z23" s="147">
        <f t="shared" si="16"/>
        <v>0</v>
      </c>
      <c r="AA23" s="147">
        <f t="shared" si="17"/>
        <v>0</v>
      </c>
      <c r="AB23" s="147">
        <f t="shared" si="18"/>
        <v>0</v>
      </c>
      <c r="AC23" s="147">
        <f t="shared" si="19"/>
        <v>0</v>
      </c>
      <c r="AD23" s="149"/>
      <c r="AE23" s="149"/>
      <c r="AF23" s="147">
        <f t="shared" si="20"/>
        <v>0</v>
      </c>
      <c r="AG23" s="147">
        <f t="shared" si="21"/>
        <v>0</v>
      </c>
      <c r="AH23" s="147">
        <f t="shared" si="22"/>
        <v>0</v>
      </c>
      <c r="AI23" s="147">
        <f t="shared" si="23"/>
        <v>0</v>
      </c>
      <c r="AJ23" s="148"/>
      <c r="AK23" s="150"/>
      <c r="AL23" s="147">
        <f t="shared" si="24"/>
        <v>0</v>
      </c>
      <c r="AM23" s="147">
        <f t="shared" si="25"/>
        <v>0</v>
      </c>
      <c r="AN23" s="147">
        <f t="shared" si="26"/>
        <v>0</v>
      </c>
      <c r="AO23" s="147">
        <f t="shared" si="27"/>
        <v>0</v>
      </c>
      <c r="AP23" s="103"/>
      <c r="AQ23" s="151">
        <v>20</v>
      </c>
      <c r="AR23" s="152">
        <f ca="1">+RESUMEN!F23</f>
        <v>0</v>
      </c>
      <c r="AS23" s="152">
        <f ca="1">+RESUMEN!G23</f>
        <v>0</v>
      </c>
      <c r="AT23" s="153">
        <f t="shared" ca="1" si="6"/>
        <v>0</v>
      </c>
      <c r="AU23" s="154">
        <f t="shared" si="28"/>
        <v>0</v>
      </c>
      <c r="AV23" s="154">
        <f t="shared" si="29"/>
        <v>0</v>
      </c>
      <c r="AW23" s="154">
        <f t="shared" ca="1" si="7"/>
        <v>0</v>
      </c>
      <c r="AX23" s="153"/>
      <c r="AY23" s="154">
        <f t="shared" ca="1" si="8"/>
        <v>0</v>
      </c>
      <c r="AZ23" s="154">
        <f t="shared" ca="1" si="9"/>
        <v>0</v>
      </c>
      <c r="BA23" s="154">
        <f t="shared" ca="1" si="55"/>
        <v>0</v>
      </c>
      <c r="BB23" s="156">
        <f t="shared" ca="1" si="30"/>
        <v>0</v>
      </c>
      <c r="BC23" s="156">
        <f t="shared" ca="1" si="56"/>
        <v>0</v>
      </c>
      <c r="BD23" s="157" t="str">
        <f t="shared" ca="1" si="10"/>
        <v/>
      </c>
      <c r="BE23" s="103"/>
      <c r="BF23" s="106">
        <f t="shared" ca="1" si="32"/>
        <v>0</v>
      </c>
      <c r="BG23" s="106">
        <f t="shared" ca="1" si="33"/>
        <v>0</v>
      </c>
      <c r="BH23" s="106">
        <f t="shared" ca="1" si="57"/>
        <v>0</v>
      </c>
      <c r="BI23" s="158">
        <f t="shared" ca="1" si="34"/>
        <v>0</v>
      </c>
      <c r="BJ23" s="158">
        <f t="shared" ca="1" si="58"/>
        <v>0</v>
      </c>
      <c r="BK23" s="159" t="str">
        <f t="shared" ca="1" si="11"/>
        <v/>
      </c>
      <c r="BL23" s="103"/>
      <c r="BM23" s="160">
        <f t="shared" ca="1" si="36"/>
        <v>0</v>
      </c>
      <c r="BN23" s="160">
        <f t="shared" ca="1" si="37"/>
        <v>0</v>
      </c>
      <c r="BO23" s="160">
        <f t="shared" ca="1" si="59"/>
        <v>0</v>
      </c>
      <c r="BP23" s="161">
        <f t="shared" ca="1" si="38"/>
        <v>0</v>
      </c>
      <c r="BQ23" s="161">
        <f t="shared" ca="1" si="60"/>
        <v>0</v>
      </c>
      <c r="BR23" s="162" t="str">
        <f t="shared" ca="1" si="12"/>
        <v/>
      </c>
      <c r="BS23" s="248"/>
      <c r="BT23" s="163">
        <f t="shared" ca="1" si="40"/>
        <v>0</v>
      </c>
      <c r="BU23" s="163">
        <f t="shared" ca="1" si="41"/>
        <v>0</v>
      </c>
      <c r="BV23" s="163">
        <f t="shared" ca="1" si="61"/>
        <v>0</v>
      </c>
      <c r="BW23" s="164">
        <f t="shared" ca="1" si="42"/>
        <v>0</v>
      </c>
      <c r="BX23" s="164">
        <f t="shared" ca="1" si="62"/>
        <v>0</v>
      </c>
      <c r="BY23" s="165" t="str">
        <f t="shared" ca="1" si="13"/>
        <v/>
      </c>
      <c r="BZ23" s="103"/>
      <c r="CA23" s="166">
        <f t="shared" ca="1" si="44"/>
        <v>0</v>
      </c>
      <c r="CB23" s="166">
        <f t="shared" ca="1" si="45"/>
        <v>0</v>
      </c>
      <c r="CC23" s="166">
        <f t="shared" ca="1" si="63"/>
        <v>0</v>
      </c>
      <c r="CD23" s="167">
        <f t="shared" ca="1" si="46"/>
        <v>0</v>
      </c>
      <c r="CE23" s="167">
        <f t="shared" ca="1" si="64"/>
        <v>0</v>
      </c>
      <c r="CF23" s="168" t="str">
        <f t="shared" ca="1" si="14"/>
        <v/>
      </c>
      <c r="CG23" s="103"/>
      <c r="CH23" s="169">
        <f t="shared" ca="1" si="48"/>
        <v>0</v>
      </c>
      <c r="CI23" s="169">
        <f t="shared" ca="1" si="49"/>
        <v>0</v>
      </c>
      <c r="CJ23" s="169">
        <f t="shared" ca="1" si="65"/>
        <v>0</v>
      </c>
      <c r="CK23" s="170">
        <f t="shared" ca="1" si="50"/>
        <v>0</v>
      </c>
      <c r="CL23" s="170">
        <f t="shared" ca="1" si="66"/>
        <v>0</v>
      </c>
      <c r="CM23" s="171" t="str">
        <f t="shared" ca="1" si="15"/>
        <v/>
      </c>
      <c r="CN23" s="103"/>
      <c r="CO23" s="151">
        <v>20</v>
      </c>
      <c r="CP23" s="403">
        <v>0.18</v>
      </c>
      <c r="CQ23" s="103">
        <f t="shared" si="52"/>
        <v>0</v>
      </c>
      <c r="CR23" s="409">
        <f t="shared" si="53"/>
        <v>0.18</v>
      </c>
      <c r="CS23" s="103">
        <f t="shared" si="54"/>
        <v>1</v>
      </c>
      <c r="CT23" s="103"/>
    </row>
    <row r="24" spans="1:98">
      <c r="A24" s="356" t="s">
        <v>414</v>
      </c>
      <c r="B24" s="372">
        <f>+'DATOS GENERALES'!G25</f>
        <v>1</v>
      </c>
      <c r="C24"/>
      <c r="G24" s="102"/>
      <c r="H24" s="102"/>
      <c r="I24" s="102"/>
      <c r="J24" s="175">
        <v>21</v>
      </c>
      <c r="K24" s="67">
        <v>19021.259999999998</v>
      </c>
      <c r="L24" s="67">
        <v>20800.810000000001</v>
      </c>
      <c r="M24" s="67">
        <v>16884.34</v>
      </c>
      <c r="N24" s="67">
        <v>18463.97</v>
      </c>
      <c r="O24" s="67">
        <v>14949.67</v>
      </c>
      <c r="P24" s="67">
        <v>16348.3</v>
      </c>
      <c r="Q24" s="147">
        <f t="shared" si="0"/>
        <v>0</v>
      </c>
      <c r="R24" s="147">
        <f t="shared" si="1"/>
        <v>0</v>
      </c>
      <c r="S24" s="147">
        <f t="shared" si="2"/>
        <v>0</v>
      </c>
      <c r="T24" s="147">
        <f t="shared" si="3"/>
        <v>0</v>
      </c>
      <c r="U24" s="147">
        <f t="shared" si="4"/>
        <v>0</v>
      </c>
      <c r="V24" s="147">
        <f t="shared" si="5"/>
        <v>0</v>
      </c>
      <c r="W24" s="103"/>
      <c r="X24" s="148"/>
      <c r="Y24" s="148"/>
      <c r="Z24" s="147">
        <f t="shared" si="16"/>
        <v>0</v>
      </c>
      <c r="AA24" s="147">
        <f t="shared" si="17"/>
        <v>0</v>
      </c>
      <c r="AB24" s="147">
        <f t="shared" si="18"/>
        <v>0</v>
      </c>
      <c r="AC24" s="147">
        <f t="shared" si="19"/>
        <v>0</v>
      </c>
      <c r="AD24" s="149"/>
      <c r="AE24" s="149"/>
      <c r="AF24" s="147">
        <f t="shared" si="20"/>
        <v>0</v>
      </c>
      <c r="AG24" s="147">
        <f t="shared" si="21"/>
        <v>0</v>
      </c>
      <c r="AH24" s="147">
        <f t="shared" si="22"/>
        <v>0</v>
      </c>
      <c r="AI24" s="147">
        <f t="shared" si="23"/>
        <v>0</v>
      </c>
      <c r="AJ24" s="148"/>
      <c r="AK24" s="150"/>
      <c r="AL24" s="147">
        <f t="shared" si="24"/>
        <v>0</v>
      </c>
      <c r="AM24" s="147">
        <f t="shared" si="25"/>
        <v>0</v>
      </c>
      <c r="AN24" s="147">
        <f t="shared" si="26"/>
        <v>0</v>
      </c>
      <c r="AO24" s="147">
        <f t="shared" si="27"/>
        <v>0</v>
      </c>
      <c r="AP24" s="103"/>
      <c r="AQ24" s="151">
        <v>21</v>
      </c>
      <c r="AR24" s="152">
        <f ca="1">+RESUMEN!F24</f>
        <v>0</v>
      </c>
      <c r="AS24" s="152">
        <f ca="1">+RESUMEN!G24</f>
        <v>0</v>
      </c>
      <c r="AT24" s="153">
        <f t="shared" ca="1" si="6"/>
        <v>0</v>
      </c>
      <c r="AU24" s="154">
        <f t="shared" si="28"/>
        <v>0</v>
      </c>
      <c r="AV24" s="154">
        <f t="shared" si="29"/>
        <v>0</v>
      </c>
      <c r="AW24" s="154">
        <f t="shared" ca="1" si="7"/>
        <v>0</v>
      </c>
      <c r="AX24" s="153"/>
      <c r="AY24" s="154">
        <f t="shared" ca="1" si="8"/>
        <v>0</v>
      </c>
      <c r="AZ24" s="154">
        <f t="shared" ca="1" si="9"/>
        <v>0</v>
      </c>
      <c r="BA24" s="154">
        <f t="shared" ca="1" si="55"/>
        <v>0</v>
      </c>
      <c r="BB24" s="156">
        <f t="shared" ca="1" si="30"/>
        <v>0</v>
      </c>
      <c r="BC24" s="156">
        <f t="shared" ca="1" si="56"/>
        <v>0</v>
      </c>
      <c r="BD24" s="157" t="str">
        <f t="shared" ca="1" si="10"/>
        <v/>
      </c>
      <c r="BE24" s="103"/>
      <c r="BF24" s="106">
        <f t="shared" ca="1" si="32"/>
        <v>0</v>
      </c>
      <c r="BG24" s="106">
        <f t="shared" ca="1" si="33"/>
        <v>0</v>
      </c>
      <c r="BH24" s="106">
        <f t="shared" ca="1" si="57"/>
        <v>0</v>
      </c>
      <c r="BI24" s="158">
        <f t="shared" ca="1" si="34"/>
        <v>0</v>
      </c>
      <c r="BJ24" s="158">
        <f t="shared" ca="1" si="58"/>
        <v>0</v>
      </c>
      <c r="BK24" s="159" t="str">
        <f t="shared" ca="1" si="11"/>
        <v/>
      </c>
      <c r="BL24" s="103"/>
      <c r="BM24" s="160">
        <f t="shared" ca="1" si="36"/>
        <v>0</v>
      </c>
      <c r="BN24" s="160">
        <f t="shared" ca="1" si="37"/>
        <v>0</v>
      </c>
      <c r="BO24" s="160">
        <f t="shared" ca="1" si="59"/>
        <v>0</v>
      </c>
      <c r="BP24" s="161">
        <f t="shared" ca="1" si="38"/>
        <v>0</v>
      </c>
      <c r="BQ24" s="161">
        <f t="shared" ca="1" si="60"/>
        <v>0</v>
      </c>
      <c r="BR24" s="162" t="str">
        <f t="shared" ca="1" si="12"/>
        <v/>
      </c>
      <c r="BS24" s="221"/>
      <c r="BT24" s="163">
        <f t="shared" ca="1" si="40"/>
        <v>0</v>
      </c>
      <c r="BU24" s="163">
        <f t="shared" ca="1" si="41"/>
        <v>0</v>
      </c>
      <c r="BV24" s="163">
        <f t="shared" ca="1" si="61"/>
        <v>0</v>
      </c>
      <c r="BW24" s="164">
        <f t="shared" ca="1" si="42"/>
        <v>0</v>
      </c>
      <c r="BX24" s="164">
        <f t="shared" ca="1" si="62"/>
        <v>0</v>
      </c>
      <c r="BY24" s="165" t="str">
        <f t="shared" ca="1" si="13"/>
        <v/>
      </c>
      <c r="BZ24" s="103"/>
      <c r="CA24" s="166">
        <f t="shared" ca="1" si="44"/>
        <v>0</v>
      </c>
      <c r="CB24" s="166">
        <f t="shared" ca="1" si="45"/>
        <v>0</v>
      </c>
      <c r="CC24" s="166">
        <f t="shared" ca="1" si="63"/>
        <v>0</v>
      </c>
      <c r="CD24" s="167">
        <f t="shared" ca="1" si="46"/>
        <v>0</v>
      </c>
      <c r="CE24" s="167">
        <f t="shared" ca="1" si="64"/>
        <v>0</v>
      </c>
      <c r="CF24" s="168" t="str">
        <f t="shared" ca="1" si="14"/>
        <v/>
      </c>
      <c r="CG24" s="103"/>
      <c r="CH24" s="169">
        <f t="shared" ca="1" si="48"/>
        <v>0</v>
      </c>
      <c r="CI24" s="169">
        <f t="shared" ca="1" si="49"/>
        <v>0</v>
      </c>
      <c r="CJ24" s="169">
        <f t="shared" ca="1" si="65"/>
        <v>0</v>
      </c>
      <c r="CK24" s="170">
        <f t="shared" ca="1" si="50"/>
        <v>0</v>
      </c>
      <c r="CL24" s="170">
        <f t="shared" ca="1" si="66"/>
        <v>0</v>
      </c>
      <c r="CM24" s="171" t="str">
        <f t="shared" ca="1" si="15"/>
        <v/>
      </c>
      <c r="CN24" s="103"/>
      <c r="CO24" s="151">
        <v>21</v>
      </c>
      <c r="CP24" s="403">
        <v>0.18</v>
      </c>
      <c r="CQ24" s="103">
        <f t="shared" si="52"/>
        <v>0</v>
      </c>
      <c r="CR24" s="409">
        <f t="shared" si="53"/>
        <v>0.18</v>
      </c>
      <c r="CS24" s="103">
        <f t="shared" si="54"/>
        <v>1</v>
      </c>
      <c r="CT24" s="103"/>
    </row>
    <row r="25" spans="1:98">
      <c r="A25" s="66" t="s">
        <v>415</v>
      </c>
      <c r="B25" s="372">
        <f ca="1">+IF('DATOS GENERALES'!G45&gt;0,0,1)</f>
        <v>0</v>
      </c>
      <c r="C25"/>
      <c r="D25" s="251"/>
      <c r="E25" s="251"/>
      <c r="F25"/>
      <c r="G25" s="102"/>
      <c r="H25" s="102"/>
      <c r="I25" s="102"/>
      <c r="J25" s="175">
        <v>22</v>
      </c>
      <c r="K25" s="67">
        <v>19668.759999999998</v>
      </c>
      <c r="L25" s="67">
        <v>20814.82</v>
      </c>
      <c r="M25" s="67">
        <v>17459.099999999999</v>
      </c>
      <c r="N25" s="67">
        <v>18476.400000000001</v>
      </c>
      <c r="O25" s="67">
        <v>15458.57</v>
      </c>
      <c r="P25" s="67">
        <v>16359.31</v>
      </c>
      <c r="Q25" s="147">
        <f t="shared" si="0"/>
        <v>0</v>
      </c>
      <c r="R25" s="147">
        <f t="shared" si="1"/>
        <v>0</v>
      </c>
      <c r="S25" s="147">
        <f t="shared" si="2"/>
        <v>0</v>
      </c>
      <c r="T25" s="147">
        <f t="shared" si="3"/>
        <v>0</v>
      </c>
      <c r="U25" s="147">
        <f t="shared" si="4"/>
        <v>0</v>
      </c>
      <c r="V25" s="147">
        <f t="shared" si="5"/>
        <v>0</v>
      </c>
      <c r="W25" s="103"/>
      <c r="X25" s="148"/>
      <c r="Y25" s="148"/>
      <c r="Z25" s="147">
        <f t="shared" si="16"/>
        <v>0</v>
      </c>
      <c r="AA25" s="147">
        <f t="shared" si="17"/>
        <v>0</v>
      </c>
      <c r="AB25" s="147">
        <f t="shared" si="18"/>
        <v>0</v>
      </c>
      <c r="AC25" s="147">
        <f t="shared" si="19"/>
        <v>0</v>
      </c>
      <c r="AD25" s="149"/>
      <c r="AE25" s="149"/>
      <c r="AF25" s="147">
        <f t="shared" si="20"/>
        <v>0</v>
      </c>
      <c r="AG25" s="147">
        <f t="shared" si="21"/>
        <v>0</v>
      </c>
      <c r="AH25" s="147">
        <f t="shared" si="22"/>
        <v>0</v>
      </c>
      <c r="AI25" s="147">
        <f t="shared" si="23"/>
        <v>0</v>
      </c>
      <c r="AJ25" s="148"/>
      <c r="AK25" s="150"/>
      <c r="AL25" s="147">
        <f t="shared" si="24"/>
        <v>0</v>
      </c>
      <c r="AM25" s="147">
        <f t="shared" si="25"/>
        <v>0</v>
      </c>
      <c r="AN25" s="147">
        <f t="shared" si="26"/>
        <v>0</v>
      </c>
      <c r="AO25" s="147">
        <f t="shared" si="27"/>
        <v>0</v>
      </c>
      <c r="AP25" s="103"/>
      <c r="AQ25" s="151">
        <v>22</v>
      </c>
      <c r="AR25" s="152">
        <f ca="1">+RESUMEN!F25</f>
        <v>0</v>
      </c>
      <c r="AS25" s="152">
        <f ca="1">+RESUMEN!G25</f>
        <v>0</v>
      </c>
      <c r="AT25" s="153">
        <f t="shared" ca="1" si="6"/>
        <v>0</v>
      </c>
      <c r="AU25" s="154">
        <f t="shared" si="28"/>
        <v>0</v>
      </c>
      <c r="AV25" s="154">
        <f t="shared" si="29"/>
        <v>0</v>
      </c>
      <c r="AW25" s="154">
        <f t="shared" ca="1" si="7"/>
        <v>0</v>
      </c>
      <c r="AX25" s="153"/>
      <c r="AY25" s="154">
        <f t="shared" ca="1" si="8"/>
        <v>0</v>
      </c>
      <c r="AZ25" s="154">
        <f t="shared" ca="1" si="9"/>
        <v>0</v>
      </c>
      <c r="BA25" s="154">
        <f t="shared" ca="1" si="55"/>
        <v>0</v>
      </c>
      <c r="BB25" s="156">
        <f t="shared" ca="1" si="30"/>
        <v>0</v>
      </c>
      <c r="BC25" s="156">
        <f t="shared" ca="1" si="56"/>
        <v>0</v>
      </c>
      <c r="BD25" s="157" t="str">
        <f t="shared" ca="1" si="10"/>
        <v/>
      </c>
      <c r="BE25" s="103"/>
      <c r="BF25" s="106">
        <f t="shared" ca="1" si="32"/>
        <v>0</v>
      </c>
      <c r="BG25" s="106">
        <f t="shared" ca="1" si="33"/>
        <v>0</v>
      </c>
      <c r="BH25" s="106">
        <f t="shared" ca="1" si="57"/>
        <v>0</v>
      </c>
      <c r="BI25" s="158">
        <f t="shared" ca="1" si="34"/>
        <v>0</v>
      </c>
      <c r="BJ25" s="158">
        <f t="shared" ca="1" si="58"/>
        <v>0</v>
      </c>
      <c r="BK25" s="159" t="str">
        <f t="shared" ca="1" si="11"/>
        <v/>
      </c>
      <c r="BL25" s="103"/>
      <c r="BM25" s="160">
        <f t="shared" ca="1" si="36"/>
        <v>0</v>
      </c>
      <c r="BN25" s="160">
        <f t="shared" ca="1" si="37"/>
        <v>0</v>
      </c>
      <c r="BO25" s="160">
        <f t="shared" ca="1" si="59"/>
        <v>0</v>
      </c>
      <c r="BP25" s="161">
        <f t="shared" ca="1" si="38"/>
        <v>0</v>
      </c>
      <c r="BQ25" s="161">
        <f t="shared" ca="1" si="60"/>
        <v>0</v>
      </c>
      <c r="BR25" s="162" t="str">
        <f t="shared" ca="1" si="12"/>
        <v/>
      </c>
      <c r="BS25" s="249"/>
      <c r="BT25" s="163">
        <f t="shared" ca="1" si="40"/>
        <v>0</v>
      </c>
      <c r="BU25" s="163">
        <f t="shared" ca="1" si="41"/>
        <v>0</v>
      </c>
      <c r="BV25" s="163">
        <f t="shared" ca="1" si="61"/>
        <v>0</v>
      </c>
      <c r="BW25" s="164">
        <f t="shared" ca="1" si="42"/>
        <v>0</v>
      </c>
      <c r="BX25" s="164">
        <f t="shared" ca="1" si="62"/>
        <v>0</v>
      </c>
      <c r="BY25" s="165" t="str">
        <f t="shared" ca="1" si="13"/>
        <v/>
      </c>
      <c r="BZ25" s="103"/>
      <c r="CA25" s="166">
        <f t="shared" ca="1" si="44"/>
        <v>0</v>
      </c>
      <c r="CB25" s="166">
        <f t="shared" ca="1" si="45"/>
        <v>0</v>
      </c>
      <c r="CC25" s="166">
        <f t="shared" ca="1" si="63"/>
        <v>0</v>
      </c>
      <c r="CD25" s="167">
        <f t="shared" ca="1" si="46"/>
        <v>0</v>
      </c>
      <c r="CE25" s="167">
        <f t="shared" ca="1" si="64"/>
        <v>0</v>
      </c>
      <c r="CF25" s="168" t="str">
        <f t="shared" ca="1" si="14"/>
        <v/>
      </c>
      <c r="CG25" s="103"/>
      <c r="CH25" s="169">
        <f t="shared" ca="1" si="48"/>
        <v>0</v>
      </c>
      <c r="CI25" s="169">
        <f t="shared" ca="1" si="49"/>
        <v>0</v>
      </c>
      <c r="CJ25" s="169">
        <f t="shared" ca="1" si="65"/>
        <v>0</v>
      </c>
      <c r="CK25" s="170">
        <f t="shared" ca="1" si="50"/>
        <v>0</v>
      </c>
      <c r="CL25" s="170">
        <f t="shared" ca="1" si="66"/>
        <v>0</v>
      </c>
      <c r="CM25" s="171" t="str">
        <f t="shared" ca="1" si="15"/>
        <v/>
      </c>
      <c r="CN25" s="103"/>
      <c r="CO25" s="151">
        <v>22</v>
      </c>
      <c r="CP25" s="403">
        <v>0.18</v>
      </c>
      <c r="CQ25" s="103">
        <f t="shared" si="52"/>
        <v>0</v>
      </c>
      <c r="CR25" s="409">
        <f t="shared" si="53"/>
        <v>0.18</v>
      </c>
      <c r="CS25" s="103">
        <f t="shared" si="54"/>
        <v>1</v>
      </c>
      <c r="CT25" s="103"/>
    </row>
    <row r="26" spans="1:98">
      <c r="A26" s="173" t="s">
        <v>416</v>
      </c>
      <c r="B26" s="372">
        <f>IF(C14=B14,1,(1-(B14-C14)))</f>
        <v>1</v>
      </c>
      <c r="C26"/>
      <c r="D26" s="251"/>
      <c r="E26" s="251"/>
      <c r="F26"/>
      <c r="G26" s="102"/>
      <c r="H26" s="102"/>
      <c r="I26" s="102"/>
      <c r="J26" s="175">
        <v>23</v>
      </c>
      <c r="K26" s="67">
        <v>20537.68</v>
      </c>
      <c r="L26" s="67">
        <v>20893.5</v>
      </c>
      <c r="M26" s="67">
        <v>18230.39</v>
      </c>
      <c r="N26" s="67">
        <v>18546.240000000002</v>
      </c>
      <c r="O26" s="67">
        <v>16141.49</v>
      </c>
      <c r="P26" s="67">
        <v>16421.150000000001</v>
      </c>
      <c r="Q26" s="147">
        <f t="shared" si="0"/>
        <v>0</v>
      </c>
      <c r="R26" s="147">
        <f t="shared" si="1"/>
        <v>0</v>
      </c>
      <c r="S26" s="147">
        <f t="shared" si="2"/>
        <v>0</v>
      </c>
      <c r="T26" s="147">
        <f t="shared" si="3"/>
        <v>0</v>
      </c>
      <c r="U26" s="147">
        <f t="shared" si="4"/>
        <v>0</v>
      </c>
      <c r="V26" s="147">
        <f t="shared" si="5"/>
        <v>0</v>
      </c>
      <c r="W26" s="103"/>
      <c r="X26" s="148"/>
      <c r="Y26" s="148"/>
      <c r="Z26" s="147">
        <f t="shared" si="16"/>
        <v>0</v>
      </c>
      <c r="AA26" s="147">
        <f t="shared" si="17"/>
        <v>0</v>
      </c>
      <c r="AB26" s="147">
        <f t="shared" si="18"/>
        <v>0</v>
      </c>
      <c r="AC26" s="147">
        <f t="shared" si="19"/>
        <v>0</v>
      </c>
      <c r="AD26" s="149"/>
      <c r="AE26" s="149"/>
      <c r="AF26" s="147">
        <f t="shared" si="20"/>
        <v>0</v>
      </c>
      <c r="AG26" s="147">
        <f t="shared" si="21"/>
        <v>0</v>
      </c>
      <c r="AH26" s="147">
        <f t="shared" si="22"/>
        <v>0</v>
      </c>
      <c r="AI26" s="147">
        <f t="shared" si="23"/>
        <v>0</v>
      </c>
      <c r="AJ26" s="148"/>
      <c r="AK26" s="150"/>
      <c r="AL26" s="147">
        <f t="shared" si="24"/>
        <v>0</v>
      </c>
      <c r="AM26" s="147">
        <f t="shared" si="25"/>
        <v>0</v>
      </c>
      <c r="AN26" s="147">
        <f t="shared" si="26"/>
        <v>0</v>
      </c>
      <c r="AO26" s="147">
        <f t="shared" si="27"/>
        <v>0</v>
      </c>
      <c r="AP26" s="103"/>
      <c r="AQ26" s="151">
        <v>23</v>
      </c>
      <c r="AR26" s="152">
        <f ca="1">+RESUMEN!F26</f>
        <v>0</v>
      </c>
      <c r="AS26" s="152">
        <f ca="1">+RESUMEN!G26</f>
        <v>0</v>
      </c>
      <c r="AT26" s="153">
        <f t="shared" ca="1" si="6"/>
        <v>0</v>
      </c>
      <c r="AU26" s="154">
        <f t="shared" si="28"/>
        <v>0</v>
      </c>
      <c r="AV26" s="154">
        <f t="shared" si="29"/>
        <v>0</v>
      </c>
      <c r="AW26" s="154">
        <f t="shared" ca="1" si="7"/>
        <v>0</v>
      </c>
      <c r="AX26" s="153"/>
      <c r="AY26" s="154">
        <f t="shared" ca="1" si="8"/>
        <v>0</v>
      </c>
      <c r="AZ26" s="154">
        <f t="shared" ca="1" si="9"/>
        <v>0</v>
      </c>
      <c r="BA26" s="154">
        <f t="shared" ca="1" si="55"/>
        <v>0</v>
      </c>
      <c r="BB26" s="156">
        <f t="shared" ca="1" si="30"/>
        <v>0</v>
      </c>
      <c r="BC26" s="156">
        <f t="shared" ca="1" si="56"/>
        <v>0</v>
      </c>
      <c r="BD26" s="157" t="str">
        <f t="shared" ca="1" si="10"/>
        <v/>
      </c>
      <c r="BE26" s="103"/>
      <c r="BF26" s="106">
        <f t="shared" ca="1" si="32"/>
        <v>0</v>
      </c>
      <c r="BG26" s="106">
        <f t="shared" ca="1" si="33"/>
        <v>0</v>
      </c>
      <c r="BH26" s="106">
        <f t="shared" ca="1" si="57"/>
        <v>0</v>
      </c>
      <c r="BI26" s="158">
        <f t="shared" ca="1" si="34"/>
        <v>0</v>
      </c>
      <c r="BJ26" s="158">
        <f t="shared" ca="1" si="58"/>
        <v>0</v>
      </c>
      <c r="BK26" s="159" t="str">
        <f t="shared" ca="1" si="11"/>
        <v/>
      </c>
      <c r="BL26" s="103"/>
      <c r="BM26" s="160">
        <f t="shared" ca="1" si="36"/>
        <v>0</v>
      </c>
      <c r="BN26" s="160">
        <f t="shared" ca="1" si="37"/>
        <v>0</v>
      </c>
      <c r="BO26" s="160">
        <f t="shared" ca="1" si="59"/>
        <v>0</v>
      </c>
      <c r="BP26" s="161">
        <f t="shared" ca="1" si="38"/>
        <v>0</v>
      </c>
      <c r="BQ26" s="161">
        <f t="shared" ca="1" si="60"/>
        <v>0</v>
      </c>
      <c r="BR26" s="162" t="str">
        <f t="shared" ca="1" si="12"/>
        <v/>
      </c>
      <c r="BS26" s="103"/>
      <c r="BT26" s="163">
        <f t="shared" ca="1" si="40"/>
        <v>0</v>
      </c>
      <c r="BU26" s="163">
        <f t="shared" ca="1" si="41"/>
        <v>0</v>
      </c>
      <c r="BV26" s="163">
        <f t="shared" ca="1" si="61"/>
        <v>0</v>
      </c>
      <c r="BW26" s="164">
        <f t="shared" ca="1" si="42"/>
        <v>0</v>
      </c>
      <c r="BX26" s="164">
        <f t="shared" ca="1" si="62"/>
        <v>0</v>
      </c>
      <c r="BY26" s="165" t="str">
        <f t="shared" ca="1" si="13"/>
        <v/>
      </c>
      <c r="BZ26" s="103"/>
      <c r="CA26" s="166">
        <f t="shared" ca="1" si="44"/>
        <v>0</v>
      </c>
      <c r="CB26" s="166">
        <f t="shared" ca="1" si="45"/>
        <v>0</v>
      </c>
      <c r="CC26" s="166">
        <f t="shared" ca="1" si="63"/>
        <v>0</v>
      </c>
      <c r="CD26" s="167">
        <f t="shared" ca="1" si="46"/>
        <v>0</v>
      </c>
      <c r="CE26" s="167">
        <f t="shared" ca="1" si="64"/>
        <v>0</v>
      </c>
      <c r="CF26" s="168" t="str">
        <f t="shared" ca="1" si="14"/>
        <v/>
      </c>
      <c r="CG26" s="103"/>
      <c r="CH26" s="169">
        <f t="shared" ca="1" si="48"/>
        <v>0</v>
      </c>
      <c r="CI26" s="169">
        <f t="shared" ca="1" si="49"/>
        <v>0</v>
      </c>
      <c r="CJ26" s="169">
        <f t="shared" ca="1" si="65"/>
        <v>0</v>
      </c>
      <c r="CK26" s="170">
        <f t="shared" ca="1" si="50"/>
        <v>0</v>
      </c>
      <c r="CL26" s="170">
        <f t="shared" ca="1" si="66"/>
        <v>0</v>
      </c>
      <c r="CM26" s="171" t="str">
        <f t="shared" ca="1" si="15"/>
        <v/>
      </c>
      <c r="CN26" s="103"/>
      <c r="CO26" s="151">
        <v>23</v>
      </c>
      <c r="CP26" s="403">
        <v>0.18</v>
      </c>
      <c r="CQ26" s="103">
        <f t="shared" si="52"/>
        <v>0</v>
      </c>
      <c r="CR26" s="409">
        <f t="shared" si="53"/>
        <v>0.18</v>
      </c>
      <c r="CS26" s="103">
        <f t="shared" si="54"/>
        <v>1</v>
      </c>
      <c r="CT26" s="103"/>
    </row>
    <row r="27" spans="1:98">
      <c r="A27" s="173" t="s">
        <v>83</v>
      </c>
      <c r="B27" s="373">
        <f ca="1">ROUND((PRODUCT(B17:B26)),5)</f>
        <v>0</v>
      </c>
      <c r="D27"/>
      <c r="E27"/>
      <c r="F27"/>
      <c r="G27" s="103"/>
      <c r="H27" s="103"/>
      <c r="I27" s="103"/>
      <c r="J27" s="175">
        <v>24</v>
      </c>
      <c r="K27" s="67">
        <v>20790.86</v>
      </c>
      <c r="L27" s="67">
        <v>20906.91</v>
      </c>
      <c r="M27" s="67">
        <v>18455.13</v>
      </c>
      <c r="N27" s="67">
        <v>18558.150000000001</v>
      </c>
      <c r="O27" s="67">
        <v>16340.48</v>
      </c>
      <c r="P27" s="67">
        <v>16431.689999999999</v>
      </c>
      <c r="Q27" s="147">
        <f t="shared" si="0"/>
        <v>0</v>
      </c>
      <c r="R27" s="147">
        <f t="shared" si="1"/>
        <v>0</v>
      </c>
      <c r="S27" s="147">
        <f t="shared" si="2"/>
        <v>0</v>
      </c>
      <c r="T27" s="147">
        <f t="shared" si="3"/>
        <v>0</v>
      </c>
      <c r="U27" s="147">
        <f t="shared" si="4"/>
        <v>0</v>
      </c>
      <c r="V27" s="147">
        <f t="shared" si="5"/>
        <v>0</v>
      </c>
      <c r="W27" s="103"/>
      <c r="X27" s="148"/>
      <c r="Y27" s="148"/>
      <c r="Z27" s="147">
        <f t="shared" si="16"/>
        <v>0</v>
      </c>
      <c r="AA27" s="147">
        <f t="shared" si="17"/>
        <v>0</v>
      </c>
      <c r="AB27" s="147">
        <f t="shared" si="18"/>
        <v>0</v>
      </c>
      <c r="AC27" s="147">
        <f t="shared" si="19"/>
        <v>0</v>
      </c>
      <c r="AD27" s="149"/>
      <c r="AE27" s="149"/>
      <c r="AF27" s="147">
        <f t="shared" si="20"/>
        <v>0</v>
      </c>
      <c r="AG27" s="147">
        <f t="shared" si="21"/>
        <v>0</v>
      </c>
      <c r="AH27" s="147">
        <f t="shared" si="22"/>
        <v>0</v>
      </c>
      <c r="AI27" s="147">
        <f t="shared" si="23"/>
        <v>0</v>
      </c>
      <c r="AJ27" s="148"/>
      <c r="AK27" s="150"/>
      <c r="AL27" s="147">
        <f t="shared" si="24"/>
        <v>0</v>
      </c>
      <c r="AM27" s="147">
        <f t="shared" si="25"/>
        <v>0</v>
      </c>
      <c r="AN27" s="147">
        <f t="shared" si="26"/>
        <v>0</v>
      </c>
      <c r="AO27" s="147">
        <f t="shared" si="27"/>
        <v>0</v>
      </c>
      <c r="AP27" s="103"/>
      <c r="AQ27" s="151">
        <v>24</v>
      </c>
      <c r="AR27" s="152">
        <f ca="1">+RESUMEN!F27</f>
        <v>0</v>
      </c>
      <c r="AS27" s="152">
        <f ca="1">+RESUMEN!G27</f>
        <v>0</v>
      </c>
      <c r="AT27" s="153">
        <f t="shared" ca="1" si="6"/>
        <v>0</v>
      </c>
      <c r="AU27" s="154">
        <f t="shared" si="28"/>
        <v>0</v>
      </c>
      <c r="AV27" s="154">
        <f t="shared" si="29"/>
        <v>0</v>
      </c>
      <c r="AW27" s="154">
        <f t="shared" ca="1" si="7"/>
        <v>0</v>
      </c>
      <c r="AX27" s="153"/>
      <c r="AY27" s="154">
        <f t="shared" ca="1" si="8"/>
        <v>0</v>
      </c>
      <c r="AZ27" s="154">
        <f t="shared" ca="1" si="9"/>
        <v>0</v>
      </c>
      <c r="BA27" s="154">
        <f t="shared" ca="1" si="55"/>
        <v>0</v>
      </c>
      <c r="BB27" s="156">
        <f t="shared" ca="1" si="30"/>
        <v>0</v>
      </c>
      <c r="BC27" s="156">
        <f t="shared" ca="1" si="56"/>
        <v>0</v>
      </c>
      <c r="BD27" s="157" t="str">
        <f t="shared" ca="1" si="10"/>
        <v/>
      </c>
      <c r="BE27" s="103"/>
      <c r="BF27" s="106">
        <f t="shared" ca="1" si="32"/>
        <v>0</v>
      </c>
      <c r="BG27" s="106">
        <f t="shared" ca="1" si="33"/>
        <v>0</v>
      </c>
      <c r="BH27" s="106">
        <f t="shared" ca="1" si="57"/>
        <v>0</v>
      </c>
      <c r="BI27" s="158">
        <f t="shared" ca="1" si="34"/>
        <v>0</v>
      </c>
      <c r="BJ27" s="158">
        <f t="shared" ca="1" si="58"/>
        <v>0</v>
      </c>
      <c r="BK27" s="159" t="str">
        <f t="shared" ca="1" si="11"/>
        <v/>
      </c>
      <c r="BL27" s="103"/>
      <c r="BM27" s="160">
        <f t="shared" ca="1" si="36"/>
        <v>0</v>
      </c>
      <c r="BN27" s="160">
        <f t="shared" ca="1" si="37"/>
        <v>0</v>
      </c>
      <c r="BO27" s="160">
        <f t="shared" ca="1" si="59"/>
        <v>0</v>
      </c>
      <c r="BP27" s="161">
        <f t="shared" ca="1" si="38"/>
        <v>0</v>
      </c>
      <c r="BQ27" s="161">
        <f t="shared" ca="1" si="60"/>
        <v>0</v>
      </c>
      <c r="BR27" s="162" t="str">
        <f t="shared" ca="1" si="12"/>
        <v/>
      </c>
      <c r="BS27" s="103"/>
      <c r="BT27" s="163">
        <f t="shared" ca="1" si="40"/>
        <v>0</v>
      </c>
      <c r="BU27" s="163">
        <f t="shared" ca="1" si="41"/>
        <v>0</v>
      </c>
      <c r="BV27" s="163">
        <f t="shared" ca="1" si="61"/>
        <v>0</v>
      </c>
      <c r="BW27" s="164">
        <f t="shared" ca="1" si="42"/>
        <v>0</v>
      </c>
      <c r="BX27" s="164">
        <f t="shared" ca="1" si="62"/>
        <v>0</v>
      </c>
      <c r="BY27" s="165" t="str">
        <f t="shared" ca="1" si="13"/>
        <v/>
      </c>
      <c r="BZ27" s="103"/>
      <c r="CA27" s="166">
        <f t="shared" ca="1" si="44"/>
        <v>0</v>
      </c>
      <c r="CB27" s="166">
        <f t="shared" ca="1" si="45"/>
        <v>0</v>
      </c>
      <c r="CC27" s="166">
        <f t="shared" ca="1" si="63"/>
        <v>0</v>
      </c>
      <c r="CD27" s="167">
        <f t="shared" ca="1" si="46"/>
        <v>0</v>
      </c>
      <c r="CE27" s="167">
        <f t="shared" ca="1" si="64"/>
        <v>0</v>
      </c>
      <c r="CF27" s="168" t="str">
        <f t="shared" ca="1" si="14"/>
        <v/>
      </c>
      <c r="CG27" s="103"/>
      <c r="CH27" s="169">
        <f t="shared" ca="1" si="48"/>
        <v>0</v>
      </c>
      <c r="CI27" s="169">
        <f t="shared" ca="1" si="49"/>
        <v>0</v>
      </c>
      <c r="CJ27" s="169">
        <f t="shared" ca="1" si="65"/>
        <v>0</v>
      </c>
      <c r="CK27" s="170">
        <f t="shared" ca="1" si="50"/>
        <v>0</v>
      </c>
      <c r="CL27" s="170">
        <f t="shared" ca="1" si="66"/>
        <v>0</v>
      </c>
      <c r="CM27" s="171" t="str">
        <f t="shared" ca="1" si="15"/>
        <v/>
      </c>
      <c r="CN27" s="103"/>
      <c r="CO27" s="151">
        <v>24</v>
      </c>
      <c r="CP27" s="403">
        <v>0.18</v>
      </c>
      <c r="CQ27" s="103">
        <f t="shared" si="52"/>
        <v>0</v>
      </c>
      <c r="CR27" s="409">
        <f t="shared" si="53"/>
        <v>0.18</v>
      </c>
      <c r="CS27" s="103">
        <f t="shared" si="54"/>
        <v>1</v>
      </c>
      <c r="CT27" s="103"/>
    </row>
    <row r="28" spans="1:98">
      <c r="A28"/>
      <c r="B28"/>
      <c r="C28"/>
      <c r="D28"/>
      <c r="E28"/>
      <c r="F28"/>
      <c r="G28" s="176"/>
      <c r="H28" s="176"/>
      <c r="I28" s="176"/>
      <c r="J28" s="175">
        <v>25</v>
      </c>
      <c r="K28" s="67">
        <v>20792.310000000001</v>
      </c>
      <c r="L28" s="67">
        <v>20976.87</v>
      </c>
      <c r="M28" s="67">
        <v>18456.419999999998</v>
      </c>
      <c r="N28" s="67">
        <v>18620.25</v>
      </c>
      <c r="O28" s="67">
        <v>16341.62</v>
      </c>
      <c r="P28" s="67">
        <v>16486.68</v>
      </c>
      <c r="Q28" s="147">
        <f t="shared" si="0"/>
        <v>0</v>
      </c>
      <c r="R28" s="147">
        <f t="shared" si="1"/>
        <v>0</v>
      </c>
      <c r="S28" s="147">
        <f t="shared" si="2"/>
        <v>0</v>
      </c>
      <c r="T28" s="147">
        <f t="shared" si="3"/>
        <v>0</v>
      </c>
      <c r="U28" s="147">
        <f t="shared" si="4"/>
        <v>0</v>
      </c>
      <c r="V28" s="147">
        <f t="shared" si="5"/>
        <v>0</v>
      </c>
      <c r="W28" s="103"/>
      <c r="X28" s="148"/>
      <c r="Y28" s="148"/>
      <c r="Z28" s="147">
        <f t="shared" si="16"/>
        <v>0</v>
      </c>
      <c r="AA28" s="147">
        <f t="shared" si="17"/>
        <v>0</v>
      </c>
      <c r="AB28" s="147">
        <f t="shared" si="18"/>
        <v>0</v>
      </c>
      <c r="AC28" s="147">
        <f t="shared" si="19"/>
        <v>0</v>
      </c>
      <c r="AD28" s="149"/>
      <c r="AE28" s="149"/>
      <c r="AF28" s="147">
        <f t="shared" si="20"/>
        <v>0</v>
      </c>
      <c r="AG28" s="147">
        <f t="shared" si="21"/>
        <v>0</v>
      </c>
      <c r="AH28" s="147">
        <f t="shared" si="22"/>
        <v>0</v>
      </c>
      <c r="AI28" s="147">
        <f t="shared" si="23"/>
        <v>0</v>
      </c>
      <c r="AJ28" s="148"/>
      <c r="AK28" s="150"/>
      <c r="AL28" s="147">
        <f t="shared" si="24"/>
        <v>0</v>
      </c>
      <c r="AM28" s="147">
        <f t="shared" si="25"/>
        <v>0</v>
      </c>
      <c r="AN28" s="147">
        <f t="shared" si="26"/>
        <v>0</v>
      </c>
      <c r="AO28" s="147">
        <f t="shared" si="27"/>
        <v>0</v>
      </c>
      <c r="AP28" s="103"/>
      <c r="AQ28" s="151">
        <v>25</v>
      </c>
      <c r="AR28" s="152">
        <f ca="1">+RESUMEN!F28</f>
        <v>0</v>
      </c>
      <c r="AS28" s="152">
        <f ca="1">+RESUMEN!G28</f>
        <v>0</v>
      </c>
      <c r="AT28" s="153">
        <f t="shared" ca="1" si="6"/>
        <v>0</v>
      </c>
      <c r="AU28" s="154">
        <f t="shared" si="28"/>
        <v>0</v>
      </c>
      <c r="AV28" s="154">
        <f t="shared" si="29"/>
        <v>0</v>
      </c>
      <c r="AW28" s="154">
        <f t="shared" ca="1" si="7"/>
        <v>0</v>
      </c>
      <c r="AX28" s="153"/>
      <c r="AY28" s="154">
        <f t="shared" ca="1" si="8"/>
        <v>0</v>
      </c>
      <c r="AZ28" s="154">
        <f t="shared" ca="1" si="9"/>
        <v>0</v>
      </c>
      <c r="BA28" s="154">
        <f t="shared" ca="1" si="55"/>
        <v>0</v>
      </c>
      <c r="BB28" s="156">
        <f t="shared" ca="1" si="30"/>
        <v>0</v>
      </c>
      <c r="BC28" s="156">
        <f t="shared" ca="1" si="56"/>
        <v>0</v>
      </c>
      <c r="BD28" s="157" t="str">
        <f t="shared" ca="1" si="10"/>
        <v/>
      </c>
      <c r="BE28" s="103"/>
      <c r="BF28" s="106">
        <f t="shared" ca="1" si="32"/>
        <v>0</v>
      </c>
      <c r="BG28" s="106">
        <f t="shared" ca="1" si="33"/>
        <v>0</v>
      </c>
      <c r="BH28" s="106">
        <f t="shared" ca="1" si="57"/>
        <v>0</v>
      </c>
      <c r="BI28" s="158">
        <f t="shared" ca="1" si="34"/>
        <v>0</v>
      </c>
      <c r="BJ28" s="158">
        <f t="shared" ca="1" si="58"/>
        <v>0</v>
      </c>
      <c r="BK28" s="159" t="str">
        <f t="shared" ca="1" si="11"/>
        <v/>
      </c>
      <c r="BL28" s="103"/>
      <c r="BM28" s="160">
        <f t="shared" ca="1" si="36"/>
        <v>0</v>
      </c>
      <c r="BN28" s="160">
        <f t="shared" ca="1" si="37"/>
        <v>0</v>
      </c>
      <c r="BO28" s="160">
        <f t="shared" ca="1" si="59"/>
        <v>0</v>
      </c>
      <c r="BP28" s="161">
        <f t="shared" ca="1" si="38"/>
        <v>0</v>
      </c>
      <c r="BQ28" s="161">
        <f t="shared" ca="1" si="60"/>
        <v>0</v>
      </c>
      <c r="BR28" s="162" t="str">
        <f t="shared" ca="1" si="12"/>
        <v/>
      </c>
      <c r="BS28" s="103"/>
      <c r="BT28" s="163">
        <f t="shared" ca="1" si="40"/>
        <v>0</v>
      </c>
      <c r="BU28" s="163">
        <f t="shared" ca="1" si="41"/>
        <v>0</v>
      </c>
      <c r="BV28" s="163">
        <f t="shared" ca="1" si="61"/>
        <v>0</v>
      </c>
      <c r="BW28" s="164">
        <f t="shared" ca="1" si="42"/>
        <v>0</v>
      </c>
      <c r="BX28" s="164">
        <f t="shared" ca="1" si="62"/>
        <v>0</v>
      </c>
      <c r="BY28" s="165" t="str">
        <f t="shared" ca="1" si="13"/>
        <v/>
      </c>
      <c r="BZ28" s="103"/>
      <c r="CA28" s="166">
        <f t="shared" ca="1" si="44"/>
        <v>0</v>
      </c>
      <c r="CB28" s="166">
        <f t="shared" ca="1" si="45"/>
        <v>0</v>
      </c>
      <c r="CC28" s="166">
        <f t="shared" ca="1" si="63"/>
        <v>0</v>
      </c>
      <c r="CD28" s="167">
        <f t="shared" ca="1" si="46"/>
        <v>0</v>
      </c>
      <c r="CE28" s="167">
        <f t="shared" ca="1" si="64"/>
        <v>0</v>
      </c>
      <c r="CF28" s="168" t="str">
        <f t="shared" ca="1" si="14"/>
        <v/>
      </c>
      <c r="CG28" s="103"/>
      <c r="CH28" s="169">
        <f t="shared" ca="1" si="48"/>
        <v>0</v>
      </c>
      <c r="CI28" s="169">
        <f t="shared" ca="1" si="49"/>
        <v>0</v>
      </c>
      <c r="CJ28" s="169">
        <f t="shared" ca="1" si="65"/>
        <v>0</v>
      </c>
      <c r="CK28" s="170">
        <f t="shared" ca="1" si="50"/>
        <v>0</v>
      </c>
      <c r="CL28" s="170">
        <f t="shared" ca="1" si="66"/>
        <v>0</v>
      </c>
      <c r="CM28" s="171" t="str">
        <f t="shared" ca="1" si="15"/>
        <v/>
      </c>
      <c r="CN28" s="103"/>
      <c r="CO28" s="151">
        <v>25</v>
      </c>
      <c r="CP28" s="403">
        <v>0.18</v>
      </c>
      <c r="CQ28" s="103">
        <f t="shared" si="52"/>
        <v>0</v>
      </c>
      <c r="CR28" s="409">
        <f t="shared" si="53"/>
        <v>0.18</v>
      </c>
      <c r="CS28" s="103">
        <f t="shared" si="54"/>
        <v>1</v>
      </c>
      <c r="CT28" s="103"/>
    </row>
    <row r="29" spans="1:98">
      <c r="A29" s="173" t="s">
        <v>1139</v>
      </c>
      <c r="B29" s="357" t="b">
        <v>0</v>
      </c>
      <c r="D29"/>
      <c r="E29"/>
      <c r="F29"/>
      <c r="G29" s="176"/>
      <c r="H29" s="176"/>
      <c r="I29" s="176"/>
      <c r="J29" s="175">
        <v>26</v>
      </c>
      <c r="K29" s="67">
        <v>20820.12</v>
      </c>
      <c r="L29" s="67">
        <v>21777.119999999999</v>
      </c>
      <c r="M29" s="67">
        <v>18481.099999999999</v>
      </c>
      <c r="N29" s="67">
        <v>19330.59</v>
      </c>
      <c r="O29" s="67">
        <v>16363.48</v>
      </c>
      <c r="P29" s="67">
        <v>17115.63</v>
      </c>
      <c r="Q29" s="147">
        <f t="shared" si="0"/>
        <v>0</v>
      </c>
      <c r="R29" s="147">
        <f t="shared" si="1"/>
        <v>0</v>
      </c>
      <c r="S29" s="147">
        <f t="shared" si="2"/>
        <v>0</v>
      </c>
      <c r="T29" s="147">
        <f t="shared" si="3"/>
        <v>0</v>
      </c>
      <c r="U29" s="147">
        <f t="shared" si="4"/>
        <v>0</v>
      </c>
      <c r="V29" s="147">
        <f t="shared" si="5"/>
        <v>0</v>
      </c>
      <c r="W29" s="103"/>
      <c r="X29" s="148"/>
      <c r="Y29" s="148"/>
      <c r="Z29" s="147">
        <f t="shared" si="16"/>
        <v>0</v>
      </c>
      <c r="AA29" s="147">
        <f t="shared" si="17"/>
        <v>0</v>
      </c>
      <c r="AB29" s="147">
        <f t="shared" si="18"/>
        <v>0</v>
      </c>
      <c r="AC29" s="147">
        <f t="shared" si="19"/>
        <v>0</v>
      </c>
      <c r="AD29" s="149"/>
      <c r="AE29" s="149"/>
      <c r="AF29" s="147">
        <f t="shared" si="20"/>
        <v>0</v>
      </c>
      <c r="AG29" s="147">
        <f t="shared" si="21"/>
        <v>0</v>
      </c>
      <c r="AH29" s="147">
        <f t="shared" si="22"/>
        <v>0</v>
      </c>
      <c r="AI29" s="147">
        <f t="shared" si="23"/>
        <v>0</v>
      </c>
      <c r="AJ29" s="148"/>
      <c r="AK29" s="150"/>
      <c r="AL29" s="147">
        <f t="shared" si="24"/>
        <v>0</v>
      </c>
      <c r="AM29" s="147">
        <f t="shared" si="25"/>
        <v>0</v>
      </c>
      <c r="AN29" s="147">
        <f t="shared" si="26"/>
        <v>0</v>
      </c>
      <c r="AO29" s="147">
        <f t="shared" si="27"/>
        <v>0</v>
      </c>
      <c r="AP29" s="103"/>
      <c r="AQ29" s="151">
        <v>26</v>
      </c>
      <c r="AR29" s="152">
        <f ca="1">+RESUMEN!F29</f>
        <v>0</v>
      </c>
      <c r="AS29" s="152">
        <f ca="1">+RESUMEN!G29</f>
        <v>0</v>
      </c>
      <c r="AT29" s="153">
        <f t="shared" ca="1" si="6"/>
        <v>0</v>
      </c>
      <c r="AU29" s="154">
        <f t="shared" si="28"/>
        <v>0</v>
      </c>
      <c r="AV29" s="154">
        <f t="shared" si="29"/>
        <v>0</v>
      </c>
      <c r="AW29" s="154">
        <f t="shared" ca="1" si="7"/>
        <v>0</v>
      </c>
      <c r="AX29" s="153"/>
      <c r="AY29" s="154">
        <f t="shared" ca="1" si="8"/>
        <v>0</v>
      </c>
      <c r="AZ29" s="154">
        <f t="shared" ca="1" si="9"/>
        <v>0</v>
      </c>
      <c r="BA29" s="154">
        <f t="shared" ca="1" si="55"/>
        <v>0</v>
      </c>
      <c r="BB29" s="156">
        <f t="shared" ca="1" si="30"/>
        <v>0</v>
      </c>
      <c r="BC29" s="156">
        <f t="shared" ca="1" si="56"/>
        <v>0</v>
      </c>
      <c r="BD29" s="157" t="str">
        <f t="shared" ca="1" si="10"/>
        <v/>
      </c>
      <c r="BE29" s="103"/>
      <c r="BF29" s="106">
        <f t="shared" ca="1" si="32"/>
        <v>0</v>
      </c>
      <c r="BG29" s="106">
        <f t="shared" ca="1" si="33"/>
        <v>0</v>
      </c>
      <c r="BH29" s="106">
        <f t="shared" ca="1" si="57"/>
        <v>0</v>
      </c>
      <c r="BI29" s="158">
        <f t="shared" ca="1" si="34"/>
        <v>0</v>
      </c>
      <c r="BJ29" s="158">
        <f t="shared" ca="1" si="58"/>
        <v>0</v>
      </c>
      <c r="BK29" s="159" t="str">
        <f t="shared" ca="1" si="11"/>
        <v/>
      </c>
      <c r="BL29" s="103"/>
      <c r="BM29" s="160">
        <f t="shared" ca="1" si="36"/>
        <v>0</v>
      </c>
      <c r="BN29" s="160">
        <f t="shared" ca="1" si="37"/>
        <v>0</v>
      </c>
      <c r="BO29" s="160">
        <f t="shared" ca="1" si="59"/>
        <v>0</v>
      </c>
      <c r="BP29" s="161">
        <f t="shared" ca="1" si="38"/>
        <v>0</v>
      </c>
      <c r="BQ29" s="161">
        <f t="shared" ca="1" si="60"/>
        <v>0</v>
      </c>
      <c r="BR29" s="162" t="str">
        <f t="shared" ca="1" si="12"/>
        <v/>
      </c>
      <c r="BS29" s="103"/>
      <c r="BT29" s="163">
        <f t="shared" ca="1" si="40"/>
        <v>0</v>
      </c>
      <c r="BU29" s="163">
        <f t="shared" ca="1" si="41"/>
        <v>0</v>
      </c>
      <c r="BV29" s="163">
        <f t="shared" ca="1" si="61"/>
        <v>0</v>
      </c>
      <c r="BW29" s="164">
        <f t="shared" ca="1" si="42"/>
        <v>0</v>
      </c>
      <c r="BX29" s="164">
        <f t="shared" ca="1" si="62"/>
        <v>0</v>
      </c>
      <c r="BY29" s="165" t="str">
        <f t="shared" ca="1" si="13"/>
        <v/>
      </c>
      <c r="BZ29" s="103"/>
      <c r="CA29" s="166">
        <f t="shared" ca="1" si="44"/>
        <v>0</v>
      </c>
      <c r="CB29" s="166">
        <f t="shared" ca="1" si="45"/>
        <v>0</v>
      </c>
      <c r="CC29" s="166">
        <f t="shared" ca="1" si="63"/>
        <v>0</v>
      </c>
      <c r="CD29" s="167">
        <f t="shared" ca="1" si="46"/>
        <v>0</v>
      </c>
      <c r="CE29" s="167">
        <f t="shared" ca="1" si="64"/>
        <v>0</v>
      </c>
      <c r="CF29" s="168" t="str">
        <f t="shared" ca="1" si="14"/>
        <v/>
      </c>
      <c r="CG29" s="103"/>
      <c r="CH29" s="169">
        <f t="shared" ca="1" si="48"/>
        <v>0</v>
      </c>
      <c r="CI29" s="169">
        <f t="shared" ca="1" si="49"/>
        <v>0</v>
      </c>
      <c r="CJ29" s="169">
        <f t="shared" ca="1" si="65"/>
        <v>0</v>
      </c>
      <c r="CK29" s="170">
        <f t="shared" ca="1" si="50"/>
        <v>0</v>
      </c>
      <c r="CL29" s="170">
        <f t="shared" ca="1" si="66"/>
        <v>0</v>
      </c>
      <c r="CM29" s="171" t="str">
        <f t="shared" ca="1" si="15"/>
        <v/>
      </c>
      <c r="CN29" s="103"/>
      <c r="CO29" s="151">
        <v>26</v>
      </c>
      <c r="CP29" s="403">
        <v>0.18</v>
      </c>
      <c r="CQ29" s="103">
        <f t="shared" si="52"/>
        <v>0</v>
      </c>
      <c r="CR29" s="409">
        <f t="shared" si="53"/>
        <v>0.18</v>
      </c>
      <c r="CS29" s="103">
        <f t="shared" si="54"/>
        <v>1</v>
      </c>
      <c r="CT29" s="103"/>
    </row>
    <row r="30" spans="1:98">
      <c r="A30" s="173" t="s">
        <v>1125</v>
      </c>
      <c r="B30" s="357" t="b">
        <v>0</v>
      </c>
      <c r="C30" s="370" t="str">
        <f>+IF(OR(LEFT(B30)="F",B30=""),"NO","SI")</f>
        <v>NO</v>
      </c>
      <c r="D30" s="66"/>
      <c r="E30"/>
      <c r="F30"/>
      <c r="G30" s="176"/>
      <c r="H30" s="176"/>
      <c r="I30" s="176"/>
      <c r="J30" s="175">
        <v>27</v>
      </c>
      <c r="K30" s="67">
        <v>21491.96</v>
      </c>
      <c r="L30" s="67">
        <v>22615.16</v>
      </c>
      <c r="M30" s="67">
        <v>19077.47</v>
      </c>
      <c r="N30" s="67">
        <v>20074.48</v>
      </c>
      <c r="O30" s="67">
        <v>16891.509999999998</v>
      </c>
      <c r="P30" s="67">
        <v>17774.28</v>
      </c>
      <c r="Q30" s="147">
        <f t="shared" si="0"/>
        <v>0</v>
      </c>
      <c r="R30" s="147">
        <f t="shared" si="1"/>
        <v>0</v>
      </c>
      <c r="S30" s="147">
        <f t="shared" si="2"/>
        <v>0</v>
      </c>
      <c r="T30" s="147">
        <f t="shared" si="3"/>
        <v>0</v>
      </c>
      <c r="U30" s="147">
        <f t="shared" si="4"/>
        <v>0</v>
      </c>
      <c r="V30" s="147">
        <f t="shared" si="5"/>
        <v>0</v>
      </c>
      <c r="W30" s="103"/>
      <c r="X30" s="148"/>
      <c r="Y30" s="148"/>
      <c r="Z30" s="147">
        <f t="shared" si="16"/>
        <v>0</v>
      </c>
      <c r="AA30" s="147">
        <f t="shared" si="17"/>
        <v>0</v>
      </c>
      <c r="AB30" s="147">
        <f t="shared" si="18"/>
        <v>0</v>
      </c>
      <c r="AC30" s="147">
        <f t="shared" si="19"/>
        <v>0</v>
      </c>
      <c r="AD30" s="149"/>
      <c r="AE30" s="149"/>
      <c r="AF30" s="147">
        <f t="shared" si="20"/>
        <v>0</v>
      </c>
      <c r="AG30" s="147">
        <f t="shared" si="21"/>
        <v>0</v>
      </c>
      <c r="AH30" s="147">
        <f t="shared" si="22"/>
        <v>0</v>
      </c>
      <c r="AI30" s="147">
        <f t="shared" si="23"/>
        <v>0</v>
      </c>
      <c r="AJ30" s="148"/>
      <c r="AK30" s="150"/>
      <c r="AL30" s="147">
        <f t="shared" si="24"/>
        <v>0</v>
      </c>
      <c r="AM30" s="147">
        <f t="shared" si="25"/>
        <v>0</v>
      </c>
      <c r="AN30" s="147">
        <f t="shared" si="26"/>
        <v>0</v>
      </c>
      <c r="AO30" s="147">
        <f t="shared" si="27"/>
        <v>0</v>
      </c>
      <c r="AP30" s="103"/>
      <c r="AQ30" s="151">
        <v>27</v>
      </c>
      <c r="AR30" s="152">
        <f ca="1">+RESUMEN!F30</f>
        <v>0</v>
      </c>
      <c r="AS30" s="152">
        <f ca="1">+RESUMEN!G30</f>
        <v>0</v>
      </c>
      <c r="AT30" s="153">
        <f t="shared" ca="1" si="6"/>
        <v>0</v>
      </c>
      <c r="AU30" s="154">
        <f t="shared" si="28"/>
        <v>0</v>
      </c>
      <c r="AV30" s="154">
        <f t="shared" si="29"/>
        <v>0</v>
      </c>
      <c r="AW30" s="154">
        <f t="shared" ca="1" si="7"/>
        <v>0</v>
      </c>
      <c r="AX30" s="153"/>
      <c r="AY30" s="154">
        <f t="shared" ca="1" si="8"/>
        <v>0</v>
      </c>
      <c r="AZ30" s="154">
        <f t="shared" ca="1" si="9"/>
        <v>0</v>
      </c>
      <c r="BA30" s="154">
        <f t="shared" ca="1" si="55"/>
        <v>0</v>
      </c>
      <c r="BB30" s="156">
        <f t="shared" ca="1" si="30"/>
        <v>0</v>
      </c>
      <c r="BC30" s="156">
        <f t="shared" ca="1" si="56"/>
        <v>0</v>
      </c>
      <c r="BD30" s="157" t="str">
        <f t="shared" ca="1" si="10"/>
        <v/>
      </c>
      <c r="BE30" s="103"/>
      <c r="BF30" s="106">
        <f t="shared" ca="1" si="32"/>
        <v>0</v>
      </c>
      <c r="BG30" s="106">
        <f t="shared" ca="1" si="33"/>
        <v>0</v>
      </c>
      <c r="BH30" s="106">
        <f t="shared" ca="1" si="57"/>
        <v>0</v>
      </c>
      <c r="BI30" s="158">
        <f t="shared" ca="1" si="34"/>
        <v>0</v>
      </c>
      <c r="BJ30" s="158">
        <f t="shared" ca="1" si="58"/>
        <v>0</v>
      </c>
      <c r="BK30" s="159" t="str">
        <f t="shared" ca="1" si="11"/>
        <v/>
      </c>
      <c r="BL30" s="103"/>
      <c r="BM30" s="160">
        <f t="shared" ca="1" si="36"/>
        <v>0</v>
      </c>
      <c r="BN30" s="160">
        <f t="shared" ca="1" si="37"/>
        <v>0</v>
      </c>
      <c r="BO30" s="160">
        <f t="shared" ca="1" si="59"/>
        <v>0</v>
      </c>
      <c r="BP30" s="161">
        <f t="shared" ca="1" si="38"/>
        <v>0</v>
      </c>
      <c r="BQ30" s="161">
        <f t="shared" ca="1" si="60"/>
        <v>0</v>
      </c>
      <c r="BR30" s="162" t="str">
        <f t="shared" ca="1" si="12"/>
        <v/>
      </c>
      <c r="BS30" s="103"/>
      <c r="BT30" s="163">
        <f t="shared" ca="1" si="40"/>
        <v>0</v>
      </c>
      <c r="BU30" s="163">
        <f t="shared" ca="1" si="41"/>
        <v>0</v>
      </c>
      <c r="BV30" s="163">
        <f t="shared" ca="1" si="61"/>
        <v>0</v>
      </c>
      <c r="BW30" s="164">
        <f t="shared" ca="1" si="42"/>
        <v>0</v>
      </c>
      <c r="BX30" s="164">
        <f t="shared" ca="1" si="62"/>
        <v>0</v>
      </c>
      <c r="BY30" s="165" t="str">
        <f t="shared" ca="1" si="13"/>
        <v/>
      </c>
      <c r="BZ30" s="103"/>
      <c r="CA30" s="166">
        <f t="shared" ca="1" si="44"/>
        <v>0</v>
      </c>
      <c r="CB30" s="166">
        <f t="shared" ca="1" si="45"/>
        <v>0</v>
      </c>
      <c r="CC30" s="166">
        <f t="shared" ca="1" si="63"/>
        <v>0</v>
      </c>
      <c r="CD30" s="167">
        <f t="shared" ca="1" si="46"/>
        <v>0</v>
      </c>
      <c r="CE30" s="167">
        <f t="shared" ca="1" si="64"/>
        <v>0</v>
      </c>
      <c r="CF30" s="168" t="str">
        <f t="shared" ca="1" si="14"/>
        <v/>
      </c>
      <c r="CG30" s="103"/>
      <c r="CH30" s="169">
        <f t="shared" ca="1" si="48"/>
        <v>0</v>
      </c>
      <c r="CI30" s="169">
        <f t="shared" ca="1" si="49"/>
        <v>0</v>
      </c>
      <c r="CJ30" s="169">
        <f t="shared" ca="1" si="65"/>
        <v>0</v>
      </c>
      <c r="CK30" s="170">
        <f t="shared" ca="1" si="50"/>
        <v>0</v>
      </c>
      <c r="CL30" s="170">
        <f t="shared" ca="1" si="66"/>
        <v>0</v>
      </c>
      <c r="CM30" s="171" t="str">
        <f t="shared" ca="1" si="15"/>
        <v/>
      </c>
      <c r="CN30" s="103"/>
      <c r="CO30" s="151">
        <v>27</v>
      </c>
      <c r="CP30" s="403">
        <v>0.18</v>
      </c>
      <c r="CQ30" s="103">
        <f t="shared" si="52"/>
        <v>0</v>
      </c>
      <c r="CR30" s="409">
        <f t="shared" si="53"/>
        <v>0.18</v>
      </c>
      <c r="CS30" s="103">
        <f t="shared" si="54"/>
        <v>1</v>
      </c>
      <c r="CT30" s="103"/>
    </row>
    <row r="31" spans="1:98">
      <c r="A31"/>
      <c r="B31"/>
      <c r="C31"/>
      <c r="D31"/>
      <c r="E31"/>
      <c r="F31"/>
      <c r="G31" s="176"/>
      <c r="H31" s="176"/>
      <c r="I31" s="176"/>
      <c r="J31" s="175">
        <v>28</v>
      </c>
      <c r="K31" s="67">
        <v>23867.56</v>
      </c>
      <c r="L31" s="67">
        <v>24934.16</v>
      </c>
      <c r="M31" s="67">
        <v>21186.18</v>
      </c>
      <c r="N31" s="67">
        <v>22132.959999999999</v>
      </c>
      <c r="O31" s="67">
        <v>18758.599999999999</v>
      </c>
      <c r="P31" s="67">
        <v>19596.89</v>
      </c>
      <c r="Q31" s="147">
        <f t="shared" si="0"/>
        <v>0</v>
      </c>
      <c r="R31" s="147">
        <f t="shared" si="1"/>
        <v>0</v>
      </c>
      <c r="S31" s="147">
        <f t="shared" si="2"/>
        <v>0</v>
      </c>
      <c r="T31" s="147">
        <f t="shared" si="3"/>
        <v>0</v>
      </c>
      <c r="U31" s="147">
        <f t="shared" si="4"/>
        <v>0</v>
      </c>
      <c r="V31" s="147">
        <f t="shared" si="5"/>
        <v>0</v>
      </c>
      <c r="W31" s="103"/>
      <c r="X31" s="148"/>
      <c r="Y31" s="148"/>
      <c r="Z31" s="147">
        <f t="shared" si="16"/>
        <v>0</v>
      </c>
      <c r="AA31" s="147">
        <f t="shared" si="17"/>
        <v>0</v>
      </c>
      <c r="AB31" s="147">
        <f t="shared" si="18"/>
        <v>0</v>
      </c>
      <c r="AC31" s="147">
        <f t="shared" si="19"/>
        <v>0</v>
      </c>
      <c r="AD31" s="149"/>
      <c r="AE31" s="149"/>
      <c r="AF31" s="147">
        <f t="shared" si="20"/>
        <v>0</v>
      </c>
      <c r="AG31" s="147">
        <f t="shared" si="21"/>
        <v>0</v>
      </c>
      <c r="AH31" s="147">
        <f t="shared" si="22"/>
        <v>0</v>
      </c>
      <c r="AI31" s="147">
        <f t="shared" si="23"/>
        <v>0</v>
      </c>
      <c r="AJ31" s="148"/>
      <c r="AK31" s="150"/>
      <c r="AL31" s="147">
        <f t="shared" si="24"/>
        <v>0</v>
      </c>
      <c r="AM31" s="147">
        <f t="shared" si="25"/>
        <v>0</v>
      </c>
      <c r="AN31" s="147">
        <f t="shared" si="26"/>
        <v>0</v>
      </c>
      <c r="AO31" s="147">
        <f t="shared" si="27"/>
        <v>0</v>
      </c>
      <c r="AP31" s="103"/>
      <c r="AQ31" s="151">
        <v>28</v>
      </c>
      <c r="AR31" s="152">
        <f ca="1">+RESUMEN!F31</f>
        <v>0</v>
      </c>
      <c r="AS31" s="152">
        <f ca="1">+RESUMEN!G31</f>
        <v>0</v>
      </c>
      <c r="AT31" s="153">
        <f t="shared" ca="1" si="6"/>
        <v>0</v>
      </c>
      <c r="AU31" s="154">
        <f t="shared" si="28"/>
        <v>0</v>
      </c>
      <c r="AV31" s="154">
        <f t="shared" si="29"/>
        <v>0</v>
      </c>
      <c r="AW31" s="154">
        <f t="shared" ca="1" si="7"/>
        <v>0</v>
      </c>
      <c r="AX31" s="153"/>
      <c r="AY31" s="154">
        <f t="shared" ca="1" si="8"/>
        <v>0</v>
      </c>
      <c r="AZ31" s="154">
        <f t="shared" ca="1" si="9"/>
        <v>0</v>
      </c>
      <c r="BA31" s="154">
        <f t="shared" ca="1" si="55"/>
        <v>0</v>
      </c>
      <c r="BB31" s="156">
        <f t="shared" ca="1" si="30"/>
        <v>0</v>
      </c>
      <c r="BC31" s="156">
        <f t="shared" ca="1" si="56"/>
        <v>0</v>
      </c>
      <c r="BD31" s="157" t="str">
        <f t="shared" ca="1" si="10"/>
        <v/>
      </c>
      <c r="BE31" s="103"/>
      <c r="BF31" s="106">
        <f t="shared" ca="1" si="32"/>
        <v>0</v>
      </c>
      <c r="BG31" s="106">
        <f t="shared" ca="1" si="33"/>
        <v>0</v>
      </c>
      <c r="BH31" s="106">
        <f t="shared" ca="1" si="57"/>
        <v>0</v>
      </c>
      <c r="BI31" s="158">
        <f t="shared" ca="1" si="34"/>
        <v>0</v>
      </c>
      <c r="BJ31" s="158">
        <f t="shared" ca="1" si="58"/>
        <v>0</v>
      </c>
      <c r="BK31" s="159" t="str">
        <f t="shared" ca="1" si="11"/>
        <v/>
      </c>
      <c r="BL31" s="103"/>
      <c r="BM31" s="160">
        <f t="shared" ca="1" si="36"/>
        <v>0</v>
      </c>
      <c r="BN31" s="160">
        <f t="shared" ca="1" si="37"/>
        <v>0</v>
      </c>
      <c r="BO31" s="160">
        <f t="shared" ca="1" si="59"/>
        <v>0</v>
      </c>
      <c r="BP31" s="161">
        <f t="shared" ca="1" si="38"/>
        <v>0</v>
      </c>
      <c r="BQ31" s="161">
        <f t="shared" ca="1" si="60"/>
        <v>0</v>
      </c>
      <c r="BR31" s="162" t="str">
        <f t="shared" ca="1" si="12"/>
        <v/>
      </c>
      <c r="BS31" s="103"/>
      <c r="BT31" s="163">
        <f t="shared" ca="1" si="40"/>
        <v>0</v>
      </c>
      <c r="BU31" s="163">
        <f t="shared" ca="1" si="41"/>
        <v>0</v>
      </c>
      <c r="BV31" s="163">
        <f t="shared" ca="1" si="61"/>
        <v>0</v>
      </c>
      <c r="BW31" s="164">
        <f t="shared" ca="1" si="42"/>
        <v>0</v>
      </c>
      <c r="BX31" s="164">
        <f t="shared" ca="1" si="62"/>
        <v>0</v>
      </c>
      <c r="BY31" s="165" t="str">
        <f t="shared" ca="1" si="13"/>
        <v/>
      </c>
      <c r="BZ31" s="103"/>
      <c r="CA31" s="166">
        <f t="shared" ca="1" si="44"/>
        <v>0</v>
      </c>
      <c r="CB31" s="166">
        <f t="shared" ca="1" si="45"/>
        <v>0</v>
      </c>
      <c r="CC31" s="166">
        <f t="shared" ca="1" si="63"/>
        <v>0</v>
      </c>
      <c r="CD31" s="167">
        <f t="shared" ca="1" si="46"/>
        <v>0</v>
      </c>
      <c r="CE31" s="167">
        <f t="shared" ca="1" si="64"/>
        <v>0</v>
      </c>
      <c r="CF31" s="168" t="str">
        <f t="shared" ca="1" si="14"/>
        <v/>
      </c>
      <c r="CG31" s="103"/>
      <c r="CH31" s="169">
        <f t="shared" ca="1" si="48"/>
        <v>0</v>
      </c>
      <c r="CI31" s="169">
        <f t="shared" ca="1" si="49"/>
        <v>0</v>
      </c>
      <c r="CJ31" s="169">
        <f t="shared" ca="1" si="65"/>
        <v>0</v>
      </c>
      <c r="CK31" s="170">
        <f t="shared" ca="1" si="50"/>
        <v>0</v>
      </c>
      <c r="CL31" s="170">
        <f t="shared" ca="1" si="66"/>
        <v>0</v>
      </c>
      <c r="CM31" s="171" t="str">
        <f t="shared" ca="1" si="15"/>
        <v/>
      </c>
      <c r="CN31" s="103"/>
      <c r="CO31" s="151">
        <v>28</v>
      </c>
      <c r="CP31" s="403">
        <v>0.18</v>
      </c>
      <c r="CQ31" s="103">
        <f t="shared" si="52"/>
        <v>0</v>
      </c>
      <c r="CR31" s="409">
        <f t="shared" si="53"/>
        <v>0.18</v>
      </c>
      <c r="CS31" s="103">
        <f t="shared" si="54"/>
        <v>1</v>
      </c>
      <c r="CT31" s="103"/>
    </row>
    <row r="32" spans="1:98">
      <c r="A32"/>
      <c r="B32"/>
      <c r="C32"/>
      <c r="D32"/>
      <c r="E32"/>
      <c r="F32" s="66"/>
      <c r="G32" s="176"/>
      <c r="H32" s="176"/>
      <c r="I32" s="176"/>
      <c r="J32" s="175">
        <v>29</v>
      </c>
      <c r="K32" s="67">
        <v>24149.18</v>
      </c>
      <c r="L32" s="67">
        <v>26150.38</v>
      </c>
      <c r="M32" s="67">
        <v>21436.17</v>
      </c>
      <c r="N32" s="67">
        <v>23212.55</v>
      </c>
      <c r="O32" s="67">
        <v>18979.939999999999</v>
      </c>
      <c r="P32" s="67">
        <v>20552.77</v>
      </c>
      <c r="Q32" s="147">
        <f t="shared" si="0"/>
        <v>0</v>
      </c>
      <c r="R32" s="147">
        <f t="shared" si="1"/>
        <v>0</v>
      </c>
      <c r="S32" s="147">
        <f t="shared" si="2"/>
        <v>0</v>
      </c>
      <c r="T32" s="147">
        <f t="shared" si="3"/>
        <v>0</v>
      </c>
      <c r="U32" s="147">
        <f t="shared" si="4"/>
        <v>0</v>
      </c>
      <c r="V32" s="147">
        <f t="shared" si="5"/>
        <v>0</v>
      </c>
      <c r="W32" s="103"/>
      <c r="X32" s="148"/>
      <c r="Y32" s="148"/>
      <c r="Z32" s="147">
        <f t="shared" si="16"/>
        <v>0</v>
      </c>
      <c r="AA32" s="147">
        <f t="shared" si="17"/>
        <v>0</v>
      </c>
      <c r="AB32" s="147">
        <f t="shared" si="18"/>
        <v>0</v>
      </c>
      <c r="AC32" s="147">
        <f t="shared" si="19"/>
        <v>0</v>
      </c>
      <c r="AD32" s="149"/>
      <c r="AE32" s="149"/>
      <c r="AF32" s="147">
        <f t="shared" si="20"/>
        <v>0</v>
      </c>
      <c r="AG32" s="147">
        <f t="shared" si="21"/>
        <v>0</v>
      </c>
      <c r="AH32" s="147">
        <f t="shared" si="22"/>
        <v>0</v>
      </c>
      <c r="AI32" s="147">
        <f t="shared" si="23"/>
        <v>0</v>
      </c>
      <c r="AJ32" s="148"/>
      <c r="AK32" s="150"/>
      <c r="AL32" s="147">
        <f t="shared" si="24"/>
        <v>0</v>
      </c>
      <c r="AM32" s="147">
        <f t="shared" si="25"/>
        <v>0</v>
      </c>
      <c r="AN32" s="147">
        <f t="shared" si="26"/>
        <v>0</v>
      </c>
      <c r="AO32" s="147">
        <f t="shared" si="27"/>
        <v>0</v>
      </c>
      <c r="AP32" s="103"/>
      <c r="AQ32" s="151">
        <v>29</v>
      </c>
      <c r="AR32" s="152">
        <f ca="1">+RESUMEN!F32</f>
        <v>0</v>
      </c>
      <c r="AS32" s="152">
        <f ca="1">+RESUMEN!G32</f>
        <v>0</v>
      </c>
      <c r="AT32" s="153">
        <f t="shared" ca="1" si="6"/>
        <v>0</v>
      </c>
      <c r="AU32" s="154">
        <f t="shared" si="28"/>
        <v>0</v>
      </c>
      <c r="AV32" s="154">
        <f t="shared" si="29"/>
        <v>0</v>
      </c>
      <c r="AW32" s="154">
        <f t="shared" ca="1" si="7"/>
        <v>0</v>
      </c>
      <c r="AX32" s="153"/>
      <c r="AY32" s="154">
        <f t="shared" ca="1" si="8"/>
        <v>0</v>
      </c>
      <c r="AZ32" s="154">
        <f t="shared" ca="1" si="9"/>
        <v>0</v>
      </c>
      <c r="BA32" s="154">
        <f t="shared" ca="1" si="55"/>
        <v>0</v>
      </c>
      <c r="BB32" s="156">
        <f t="shared" ca="1" si="30"/>
        <v>0</v>
      </c>
      <c r="BC32" s="156">
        <f t="shared" ca="1" si="56"/>
        <v>0</v>
      </c>
      <c r="BD32" s="157" t="str">
        <f t="shared" ca="1" si="10"/>
        <v/>
      </c>
      <c r="BE32" s="103"/>
      <c r="BF32" s="106">
        <f t="shared" ca="1" si="32"/>
        <v>0</v>
      </c>
      <c r="BG32" s="106">
        <f t="shared" ca="1" si="33"/>
        <v>0</v>
      </c>
      <c r="BH32" s="106">
        <f t="shared" ca="1" si="57"/>
        <v>0</v>
      </c>
      <c r="BI32" s="158">
        <f t="shared" ca="1" si="34"/>
        <v>0</v>
      </c>
      <c r="BJ32" s="158">
        <f t="shared" ca="1" si="58"/>
        <v>0</v>
      </c>
      <c r="BK32" s="159" t="str">
        <f t="shared" ca="1" si="11"/>
        <v/>
      </c>
      <c r="BL32" s="103"/>
      <c r="BM32" s="160">
        <f t="shared" ca="1" si="36"/>
        <v>0</v>
      </c>
      <c r="BN32" s="160">
        <f t="shared" ca="1" si="37"/>
        <v>0</v>
      </c>
      <c r="BO32" s="160">
        <f t="shared" ca="1" si="59"/>
        <v>0</v>
      </c>
      <c r="BP32" s="161">
        <f t="shared" ca="1" si="38"/>
        <v>0</v>
      </c>
      <c r="BQ32" s="161">
        <f t="shared" ca="1" si="60"/>
        <v>0</v>
      </c>
      <c r="BR32" s="162" t="str">
        <f t="shared" ca="1" si="12"/>
        <v/>
      </c>
      <c r="BS32" s="103"/>
      <c r="BT32" s="163">
        <f t="shared" ca="1" si="40"/>
        <v>0</v>
      </c>
      <c r="BU32" s="163">
        <f t="shared" ca="1" si="41"/>
        <v>0</v>
      </c>
      <c r="BV32" s="163">
        <f t="shared" ca="1" si="61"/>
        <v>0</v>
      </c>
      <c r="BW32" s="164">
        <f t="shared" ca="1" si="42"/>
        <v>0</v>
      </c>
      <c r="BX32" s="164">
        <f t="shared" ca="1" si="62"/>
        <v>0</v>
      </c>
      <c r="BY32" s="165" t="str">
        <f t="shared" ca="1" si="13"/>
        <v/>
      </c>
      <c r="BZ32" s="103"/>
      <c r="CA32" s="166">
        <f t="shared" ca="1" si="44"/>
        <v>0</v>
      </c>
      <c r="CB32" s="166">
        <f t="shared" ca="1" si="45"/>
        <v>0</v>
      </c>
      <c r="CC32" s="166">
        <f t="shared" ca="1" si="63"/>
        <v>0</v>
      </c>
      <c r="CD32" s="167">
        <f t="shared" ca="1" si="46"/>
        <v>0</v>
      </c>
      <c r="CE32" s="167">
        <f t="shared" ca="1" si="64"/>
        <v>0</v>
      </c>
      <c r="CF32" s="168" t="str">
        <f t="shared" ca="1" si="14"/>
        <v/>
      </c>
      <c r="CG32" s="103"/>
      <c r="CH32" s="169">
        <f t="shared" ca="1" si="48"/>
        <v>0</v>
      </c>
      <c r="CI32" s="169">
        <f t="shared" ca="1" si="49"/>
        <v>0</v>
      </c>
      <c r="CJ32" s="169">
        <f t="shared" ca="1" si="65"/>
        <v>0</v>
      </c>
      <c r="CK32" s="170">
        <f t="shared" ca="1" si="50"/>
        <v>0</v>
      </c>
      <c r="CL32" s="170">
        <f t="shared" ca="1" si="66"/>
        <v>0</v>
      </c>
      <c r="CM32" s="171" t="str">
        <f t="shared" ca="1" si="15"/>
        <v/>
      </c>
      <c r="CN32" s="103"/>
      <c r="CO32" s="151">
        <v>29</v>
      </c>
      <c r="CP32" s="403">
        <v>0.18</v>
      </c>
      <c r="CQ32" s="103">
        <f t="shared" si="52"/>
        <v>0</v>
      </c>
      <c r="CR32" s="409">
        <f t="shared" si="53"/>
        <v>0.18</v>
      </c>
      <c r="CS32" s="103">
        <f t="shared" si="54"/>
        <v>1</v>
      </c>
      <c r="CT32" s="103"/>
    </row>
    <row r="33" spans="1:98" ht="16" thickBot="1">
      <c r="A33" s="103"/>
      <c r="B33" s="102"/>
      <c r="C33" s="102"/>
      <c r="D33" s="102"/>
      <c r="E33" s="102"/>
      <c r="F33" s="102"/>
      <c r="G33" s="176"/>
      <c r="H33" s="176"/>
      <c r="I33" s="176"/>
      <c r="J33" s="175">
        <v>30</v>
      </c>
      <c r="K33" s="67">
        <v>25333.27</v>
      </c>
      <c r="L33" s="67">
        <v>27752.94</v>
      </c>
      <c r="M33" s="67">
        <v>22487.23</v>
      </c>
      <c r="N33" s="67">
        <v>24635.06</v>
      </c>
      <c r="O33" s="67">
        <v>19910.57</v>
      </c>
      <c r="P33" s="67">
        <v>21812.3</v>
      </c>
      <c r="Q33" s="147">
        <f t="shared" si="0"/>
        <v>0</v>
      </c>
      <c r="R33" s="147">
        <f t="shared" si="1"/>
        <v>0</v>
      </c>
      <c r="S33" s="147">
        <f t="shared" si="2"/>
        <v>0</v>
      </c>
      <c r="T33" s="147">
        <f t="shared" si="3"/>
        <v>0</v>
      </c>
      <c r="U33" s="147">
        <f t="shared" si="4"/>
        <v>0</v>
      </c>
      <c r="V33" s="147">
        <f t="shared" si="5"/>
        <v>0</v>
      </c>
      <c r="W33" s="103"/>
      <c r="X33" s="148"/>
      <c r="Y33" s="148"/>
      <c r="Z33" s="147">
        <f t="shared" si="16"/>
        <v>0</v>
      </c>
      <c r="AA33" s="147">
        <f t="shared" si="17"/>
        <v>0</v>
      </c>
      <c r="AB33" s="147">
        <f t="shared" si="18"/>
        <v>0</v>
      </c>
      <c r="AC33" s="147">
        <f t="shared" si="19"/>
        <v>0</v>
      </c>
      <c r="AD33" s="149"/>
      <c r="AE33" s="149"/>
      <c r="AF33" s="147">
        <f t="shared" si="20"/>
        <v>0</v>
      </c>
      <c r="AG33" s="147">
        <f t="shared" si="21"/>
        <v>0</v>
      </c>
      <c r="AH33" s="147">
        <f t="shared" si="22"/>
        <v>0</v>
      </c>
      <c r="AI33" s="147">
        <f t="shared" si="23"/>
        <v>0</v>
      </c>
      <c r="AJ33" s="148"/>
      <c r="AK33" s="150"/>
      <c r="AL33" s="147">
        <f t="shared" si="24"/>
        <v>0</v>
      </c>
      <c r="AM33" s="147">
        <f t="shared" si="25"/>
        <v>0</v>
      </c>
      <c r="AN33" s="147">
        <f t="shared" si="26"/>
        <v>0</v>
      </c>
      <c r="AO33" s="147">
        <f t="shared" si="27"/>
        <v>0</v>
      </c>
      <c r="AP33" s="103"/>
      <c r="AQ33" s="151">
        <v>30</v>
      </c>
      <c r="AR33" s="152">
        <f ca="1">+RESUMEN!F33</f>
        <v>0</v>
      </c>
      <c r="AS33" s="152">
        <f ca="1">+RESUMEN!G33</f>
        <v>0</v>
      </c>
      <c r="AT33" s="153">
        <f t="shared" ca="1" si="6"/>
        <v>0</v>
      </c>
      <c r="AU33" s="154">
        <f t="shared" si="28"/>
        <v>0</v>
      </c>
      <c r="AV33" s="154">
        <f t="shared" si="29"/>
        <v>0</v>
      </c>
      <c r="AW33" s="154">
        <f t="shared" ca="1" si="7"/>
        <v>0</v>
      </c>
      <c r="AX33" s="153"/>
      <c r="AY33" s="154">
        <f t="shared" ca="1" si="8"/>
        <v>0</v>
      </c>
      <c r="AZ33" s="154">
        <f t="shared" ca="1" si="9"/>
        <v>0</v>
      </c>
      <c r="BA33" s="154">
        <f t="shared" ca="1" si="55"/>
        <v>0</v>
      </c>
      <c r="BB33" s="156">
        <f t="shared" ca="1" si="30"/>
        <v>0</v>
      </c>
      <c r="BC33" s="156">
        <f t="shared" ca="1" si="56"/>
        <v>0</v>
      </c>
      <c r="BD33" s="157" t="str">
        <f t="shared" ca="1" si="10"/>
        <v/>
      </c>
      <c r="BE33" s="103"/>
      <c r="BF33" s="106">
        <f t="shared" ca="1" si="32"/>
        <v>0</v>
      </c>
      <c r="BG33" s="106">
        <f t="shared" ca="1" si="33"/>
        <v>0</v>
      </c>
      <c r="BH33" s="106">
        <f t="shared" ca="1" si="57"/>
        <v>0</v>
      </c>
      <c r="BI33" s="158">
        <f t="shared" ca="1" si="34"/>
        <v>0</v>
      </c>
      <c r="BJ33" s="158">
        <f t="shared" ca="1" si="58"/>
        <v>0</v>
      </c>
      <c r="BK33" s="159" t="str">
        <f t="shared" ca="1" si="11"/>
        <v/>
      </c>
      <c r="BL33" s="103"/>
      <c r="BM33" s="160">
        <f t="shared" ca="1" si="36"/>
        <v>0</v>
      </c>
      <c r="BN33" s="160">
        <f t="shared" ca="1" si="37"/>
        <v>0</v>
      </c>
      <c r="BO33" s="160">
        <f t="shared" ca="1" si="59"/>
        <v>0</v>
      </c>
      <c r="BP33" s="161">
        <f t="shared" ca="1" si="38"/>
        <v>0</v>
      </c>
      <c r="BQ33" s="161">
        <f t="shared" ca="1" si="60"/>
        <v>0</v>
      </c>
      <c r="BR33" s="162" t="str">
        <f t="shared" ca="1" si="12"/>
        <v/>
      </c>
      <c r="BS33" s="103"/>
      <c r="BT33" s="163">
        <f t="shared" ca="1" si="40"/>
        <v>0</v>
      </c>
      <c r="BU33" s="163">
        <f t="shared" ca="1" si="41"/>
        <v>0</v>
      </c>
      <c r="BV33" s="163">
        <f t="shared" ca="1" si="61"/>
        <v>0</v>
      </c>
      <c r="BW33" s="164">
        <f t="shared" ca="1" si="42"/>
        <v>0</v>
      </c>
      <c r="BX33" s="164">
        <f t="shared" ca="1" si="62"/>
        <v>0</v>
      </c>
      <c r="BY33" s="165" t="str">
        <f t="shared" ca="1" si="13"/>
        <v/>
      </c>
      <c r="BZ33" s="103"/>
      <c r="CA33" s="166">
        <f t="shared" ca="1" si="44"/>
        <v>0</v>
      </c>
      <c r="CB33" s="166">
        <f t="shared" ca="1" si="45"/>
        <v>0</v>
      </c>
      <c r="CC33" s="166">
        <f t="shared" ca="1" si="63"/>
        <v>0</v>
      </c>
      <c r="CD33" s="167">
        <f t="shared" ca="1" si="46"/>
        <v>0</v>
      </c>
      <c r="CE33" s="167">
        <f t="shared" ca="1" si="64"/>
        <v>0</v>
      </c>
      <c r="CF33" s="168" t="str">
        <f t="shared" ca="1" si="14"/>
        <v/>
      </c>
      <c r="CG33" s="103"/>
      <c r="CH33" s="169">
        <f t="shared" ca="1" si="48"/>
        <v>0</v>
      </c>
      <c r="CI33" s="169">
        <f t="shared" ca="1" si="49"/>
        <v>0</v>
      </c>
      <c r="CJ33" s="169">
        <f t="shared" ca="1" si="65"/>
        <v>0</v>
      </c>
      <c r="CK33" s="170">
        <f t="shared" ca="1" si="50"/>
        <v>0</v>
      </c>
      <c r="CL33" s="170">
        <f t="shared" ca="1" si="66"/>
        <v>0</v>
      </c>
      <c r="CM33" s="171" t="str">
        <f t="shared" ca="1" si="15"/>
        <v/>
      </c>
      <c r="CN33" s="103"/>
      <c r="CO33" s="151">
        <v>30</v>
      </c>
      <c r="CP33" s="403">
        <v>0.18</v>
      </c>
      <c r="CQ33" s="103">
        <f t="shared" si="52"/>
        <v>0</v>
      </c>
      <c r="CR33" s="409">
        <f t="shared" si="53"/>
        <v>0.18</v>
      </c>
      <c r="CS33" s="103">
        <f t="shared" si="54"/>
        <v>1</v>
      </c>
      <c r="CT33" s="103"/>
    </row>
    <row r="34" spans="1:98">
      <c r="A34" s="177" t="s">
        <v>4</v>
      </c>
      <c r="B34" s="178" t="s">
        <v>63</v>
      </c>
      <c r="C34" s="178"/>
      <c r="D34" s="179"/>
      <c r="E34" s="102"/>
      <c r="H34" s="176"/>
      <c r="I34" s="176"/>
      <c r="J34" s="175">
        <v>31</v>
      </c>
      <c r="K34" s="67">
        <v>26901.11</v>
      </c>
      <c r="L34" s="67">
        <v>31618</v>
      </c>
      <c r="M34" s="67">
        <v>23878.93</v>
      </c>
      <c r="N34" s="67">
        <v>28065.91</v>
      </c>
      <c r="O34" s="67">
        <v>21142.799999999999</v>
      </c>
      <c r="P34" s="67">
        <v>24850.03</v>
      </c>
      <c r="Q34" s="147">
        <f t="shared" si="0"/>
        <v>0</v>
      </c>
      <c r="R34" s="147">
        <f t="shared" si="1"/>
        <v>0</v>
      </c>
      <c r="S34" s="147">
        <f t="shared" si="2"/>
        <v>0</v>
      </c>
      <c r="T34" s="147">
        <f t="shared" si="3"/>
        <v>0</v>
      </c>
      <c r="U34" s="147">
        <f t="shared" si="4"/>
        <v>0</v>
      </c>
      <c r="V34" s="147">
        <f t="shared" si="5"/>
        <v>0</v>
      </c>
      <c r="W34" s="103"/>
      <c r="X34" s="148"/>
      <c r="Y34" s="148"/>
      <c r="Z34" s="147">
        <f t="shared" si="16"/>
        <v>0</v>
      </c>
      <c r="AA34" s="147">
        <f t="shared" si="17"/>
        <v>0</v>
      </c>
      <c r="AB34" s="147">
        <f t="shared" si="18"/>
        <v>0</v>
      </c>
      <c r="AC34" s="147">
        <f t="shared" si="19"/>
        <v>0</v>
      </c>
      <c r="AD34" s="149"/>
      <c r="AE34" s="149"/>
      <c r="AF34" s="147">
        <f t="shared" si="20"/>
        <v>0</v>
      </c>
      <c r="AG34" s="147">
        <f t="shared" si="21"/>
        <v>0</v>
      </c>
      <c r="AH34" s="147">
        <f t="shared" si="22"/>
        <v>0</v>
      </c>
      <c r="AI34" s="147">
        <f t="shared" si="23"/>
        <v>0</v>
      </c>
      <c r="AJ34" s="148"/>
      <c r="AK34" s="150"/>
      <c r="AL34" s="147">
        <f t="shared" si="24"/>
        <v>0</v>
      </c>
      <c r="AM34" s="147">
        <f t="shared" si="25"/>
        <v>0</v>
      </c>
      <c r="AN34" s="147">
        <f t="shared" si="26"/>
        <v>0</v>
      </c>
      <c r="AO34" s="147">
        <f t="shared" si="27"/>
        <v>0</v>
      </c>
      <c r="AP34" s="103"/>
      <c r="AQ34" s="151">
        <v>31</v>
      </c>
      <c r="AR34" s="152">
        <f ca="1">+RESUMEN!F34</f>
        <v>0</v>
      </c>
      <c r="AS34" s="152">
        <f ca="1">+RESUMEN!G34</f>
        <v>0</v>
      </c>
      <c r="AT34" s="153">
        <f t="shared" ca="1" si="6"/>
        <v>0</v>
      </c>
      <c r="AU34" s="154">
        <f t="shared" si="28"/>
        <v>0</v>
      </c>
      <c r="AV34" s="154">
        <f t="shared" si="29"/>
        <v>0</v>
      </c>
      <c r="AW34" s="154">
        <f t="shared" ca="1" si="7"/>
        <v>0</v>
      </c>
      <c r="AX34" s="153"/>
      <c r="AY34" s="154">
        <f t="shared" ca="1" si="8"/>
        <v>0</v>
      </c>
      <c r="AZ34" s="154">
        <f t="shared" ca="1" si="9"/>
        <v>0</v>
      </c>
      <c r="BA34" s="154">
        <f t="shared" ca="1" si="55"/>
        <v>0</v>
      </c>
      <c r="BB34" s="156">
        <f t="shared" ca="1" si="30"/>
        <v>0</v>
      </c>
      <c r="BC34" s="156">
        <f t="shared" ca="1" si="56"/>
        <v>0</v>
      </c>
      <c r="BD34" s="157" t="str">
        <f t="shared" ca="1" si="10"/>
        <v/>
      </c>
      <c r="BE34" s="103"/>
      <c r="BF34" s="106">
        <f t="shared" ca="1" si="32"/>
        <v>0</v>
      </c>
      <c r="BG34" s="106">
        <f t="shared" ca="1" si="33"/>
        <v>0</v>
      </c>
      <c r="BH34" s="106">
        <f t="shared" ca="1" si="57"/>
        <v>0</v>
      </c>
      <c r="BI34" s="158">
        <f t="shared" ca="1" si="34"/>
        <v>0</v>
      </c>
      <c r="BJ34" s="158">
        <f t="shared" ca="1" si="58"/>
        <v>0</v>
      </c>
      <c r="BK34" s="159" t="str">
        <f t="shared" ca="1" si="11"/>
        <v/>
      </c>
      <c r="BL34" s="103"/>
      <c r="BM34" s="160">
        <f t="shared" ca="1" si="36"/>
        <v>0</v>
      </c>
      <c r="BN34" s="160">
        <f t="shared" ca="1" si="37"/>
        <v>0</v>
      </c>
      <c r="BO34" s="160">
        <f t="shared" ca="1" si="59"/>
        <v>0</v>
      </c>
      <c r="BP34" s="161">
        <f t="shared" ca="1" si="38"/>
        <v>0</v>
      </c>
      <c r="BQ34" s="161">
        <f t="shared" ca="1" si="60"/>
        <v>0</v>
      </c>
      <c r="BR34" s="162" t="str">
        <f t="shared" ca="1" si="12"/>
        <v/>
      </c>
      <c r="BS34" s="103"/>
      <c r="BT34" s="163">
        <f t="shared" ca="1" si="40"/>
        <v>0</v>
      </c>
      <c r="BU34" s="163">
        <f t="shared" ca="1" si="41"/>
        <v>0</v>
      </c>
      <c r="BV34" s="163">
        <f t="shared" ca="1" si="61"/>
        <v>0</v>
      </c>
      <c r="BW34" s="164">
        <f t="shared" ca="1" si="42"/>
        <v>0</v>
      </c>
      <c r="BX34" s="164">
        <f t="shared" ca="1" si="62"/>
        <v>0</v>
      </c>
      <c r="BY34" s="165" t="str">
        <f t="shared" ca="1" si="13"/>
        <v/>
      </c>
      <c r="BZ34" s="103"/>
      <c r="CA34" s="166">
        <f t="shared" ca="1" si="44"/>
        <v>0</v>
      </c>
      <c r="CB34" s="166">
        <f t="shared" ca="1" si="45"/>
        <v>0</v>
      </c>
      <c r="CC34" s="166">
        <f t="shared" ca="1" si="63"/>
        <v>0</v>
      </c>
      <c r="CD34" s="167">
        <f t="shared" ca="1" si="46"/>
        <v>0</v>
      </c>
      <c r="CE34" s="167">
        <f t="shared" ca="1" si="64"/>
        <v>0</v>
      </c>
      <c r="CF34" s="168" t="str">
        <f t="shared" ca="1" si="14"/>
        <v/>
      </c>
      <c r="CG34" s="103"/>
      <c r="CH34" s="169">
        <f t="shared" ca="1" si="48"/>
        <v>0</v>
      </c>
      <c r="CI34" s="169">
        <f t="shared" ca="1" si="49"/>
        <v>0</v>
      </c>
      <c r="CJ34" s="169">
        <f t="shared" ca="1" si="65"/>
        <v>0</v>
      </c>
      <c r="CK34" s="170">
        <f t="shared" ca="1" si="50"/>
        <v>0</v>
      </c>
      <c r="CL34" s="170">
        <f t="shared" ca="1" si="66"/>
        <v>0</v>
      </c>
      <c r="CM34" s="171" t="str">
        <f t="shared" ca="1" si="15"/>
        <v/>
      </c>
      <c r="CN34" s="103"/>
      <c r="CO34" s="151">
        <v>31</v>
      </c>
      <c r="CP34" s="403">
        <v>0.18</v>
      </c>
      <c r="CQ34" s="103">
        <f t="shared" si="52"/>
        <v>0</v>
      </c>
      <c r="CR34" s="409">
        <f t="shared" si="53"/>
        <v>0.18</v>
      </c>
      <c r="CS34" s="103">
        <f t="shared" si="54"/>
        <v>1</v>
      </c>
      <c r="CT34" s="103"/>
    </row>
    <row r="35" spans="1:98">
      <c r="A35" s="180" t="s">
        <v>25</v>
      </c>
      <c r="B35" s="181" t="s">
        <v>5</v>
      </c>
      <c r="C35" s="181" t="s">
        <v>6</v>
      </c>
      <c r="D35" s="182" t="s">
        <v>36</v>
      </c>
      <c r="E35" s="176"/>
      <c r="H35" s="176"/>
      <c r="I35" s="176"/>
      <c r="J35" s="175">
        <v>32</v>
      </c>
      <c r="K35" s="67">
        <v>28348.46</v>
      </c>
      <c r="L35" s="67">
        <v>35105.370000000003</v>
      </c>
      <c r="M35" s="67">
        <v>25163.68</v>
      </c>
      <c r="N35" s="67">
        <v>31161.49</v>
      </c>
      <c r="O35" s="67">
        <v>22280.34</v>
      </c>
      <c r="P35" s="67">
        <v>27590.91</v>
      </c>
      <c r="Q35" s="147">
        <f t="shared" ref="Q35:Q66" si="67">(IF($C$11="A",AB35,IF($C$11="B",Z35,IF($C$11="C",X35," "))))</f>
        <v>0</v>
      </c>
      <c r="R35" s="147">
        <f t="shared" ref="R35:R66" si="68">(IF($C$11="A",AC35,IF($C$11="B",AA35,IF($C$11="C",Y35," "))))</f>
        <v>0</v>
      </c>
      <c r="S35" s="147">
        <f t="shared" ref="S35:S66" si="69">(IF($C$11="A",AH35,IF($C$11="B",AF35,IF($C$11="C",AD35," "))))</f>
        <v>0</v>
      </c>
      <c r="T35" s="147">
        <f t="shared" ref="T35:T66" si="70">(IF($C$11="A",AI35,IF($C$11="B",AG35,IF($C$11="C",AE35," "))))</f>
        <v>0</v>
      </c>
      <c r="U35" s="147">
        <f t="shared" ref="U35:U66" si="71">(IF($C$11="A",AN35,IF($C$11="B",AL35,IF($C$11="C",AJ35," "))))</f>
        <v>0</v>
      </c>
      <c r="V35" s="147">
        <f t="shared" ref="V35:V66" si="72">(IF($C$11="A",AO35,IF($C$11="B",AM35,IF($C$11="C",AK35," "))))</f>
        <v>0</v>
      </c>
      <c r="W35" s="103"/>
      <c r="X35" s="148"/>
      <c r="Y35" s="148"/>
      <c r="Z35" s="147">
        <f t="shared" si="16"/>
        <v>0</v>
      </c>
      <c r="AA35" s="147">
        <f t="shared" si="17"/>
        <v>0</v>
      </c>
      <c r="AB35" s="147">
        <f t="shared" si="18"/>
        <v>0</v>
      </c>
      <c r="AC35" s="147">
        <f t="shared" si="19"/>
        <v>0</v>
      </c>
      <c r="AD35" s="149"/>
      <c r="AE35" s="149"/>
      <c r="AF35" s="147">
        <f t="shared" si="20"/>
        <v>0</v>
      </c>
      <c r="AG35" s="147">
        <f t="shared" si="21"/>
        <v>0</v>
      </c>
      <c r="AH35" s="147">
        <f t="shared" si="22"/>
        <v>0</v>
      </c>
      <c r="AI35" s="147">
        <f t="shared" si="23"/>
        <v>0</v>
      </c>
      <c r="AJ35" s="148"/>
      <c r="AK35" s="150"/>
      <c r="AL35" s="147">
        <f t="shared" si="24"/>
        <v>0</v>
      </c>
      <c r="AM35" s="147">
        <f t="shared" si="25"/>
        <v>0</v>
      </c>
      <c r="AN35" s="147">
        <f t="shared" si="26"/>
        <v>0</v>
      </c>
      <c r="AO35" s="147">
        <f t="shared" si="27"/>
        <v>0</v>
      </c>
      <c r="AP35" s="103"/>
      <c r="AQ35" s="151">
        <v>32</v>
      </c>
      <c r="AR35" s="152">
        <f ca="1">+RESUMEN!F35</f>
        <v>0</v>
      </c>
      <c r="AS35" s="152">
        <f ca="1">+RESUMEN!G35</f>
        <v>0</v>
      </c>
      <c r="AT35" s="153">
        <f t="shared" ref="AT35:AT66" ca="1" si="73">AR35+AS35</f>
        <v>0</v>
      </c>
      <c r="AU35" s="154">
        <f t="shared" si="28"/>
        <v>0</v>
      </c>
      <c r="AV35" s="154">
        <f t="shared" si="29"/>
        <v>0</v>
      </c>
      <c r="AW35" s="154">
        <f t="shared" ref="AW35:AW67" ca="1" si="74">+$AI$107</f>
        <v>0</v>
      </c>
      <c r="AX35" s="153"/>
      <c r="AY35" s="154">
        <f t="shared" ref="AY35:AY66" ca="1" si="75">+O35*$B$27</f>
        <v>0</v>
      </c>
      <c r="AZ35" s="154">
        <f t="shared" ref="AZ35:AZ66" ca="1" si="76">+P35*$B$27</f>
        <v>0</v>
      </c>
      <c r="BA35" s="154">
        <f t="shared" ca="1" si="55"/>
        <v>0</v>
      </c>
      <c r="BB35" s="156">
        <f t="shared" ca="1" si="30"/>
        <v>0</v>
      </c>
      <c r="BC35" s="156">
        <f t="shared" ca="1" si="56"/>
        <v>0</v>
      </c>
      <c r="BD35" s="157" t="str">
        <f t="shared" ref="BD35:BD66" ca="1" si="77">IF(AY35=0,"",(SUM(BB35:BC35)))</f>
        <v/>
      </c>
      <c r="BE35" s="103"/>
      <c r="BF35" s="106">
        <f t="shared" ca="1" si="32"/>
        <v>0</v>
      </c>
      <c r="BG35" s="106">
        <f t="shared" ca="1" si="33"/>
        <v>0</v>
      </c>
      <c r="BH35" s="106">
        <f t="shared" ca="1" si="57"/>
        <v>0</v>
      </c>
      <c r="BI35" s="158">
        <f t="shared" ca="1" si="34"/>
        <v>0</v>
      </c>
      <c r="BJ35" s="158">
        <f t="shared" ca="1" si="58"/>
        <v>0</v>
      </c>
      <c r="BK35" s="159" t="str">
        <f t="shared" ref="BK35:BK66" ca="1" si="78">IF(BF35=0,"",(SUM(BI35:BJ35)))</f>
        <v/>
      </c>
      <c r="BL35" s="103"/>
      <c r="BM35" s="160">
        <f t="shared" ca="1" si="36"/>
        <v>0</v>
      </c>
      <c r="BN35" s="160">
        <f t="shared" ca="1" si="37"/>
        <v>0</v>
      </c>
      <c r="BO35" s="160">
        <f t="shared" ca="1" si="59"/>
        <v>0</v>
      </c>
      <c r="BP35" s="161">
        <f t="shared" ca="1" si="38"/>
        <v>0</v>
      </c>
      <c r="BQ35" s="161">
        <f t="shared" ca="1" si="60"/>
        <v>0</v>
      </c>
      <c r="BR35" s="162" t="str">
        <f t="shared" ref="BR35:BR66" ca="1" si="79">IF(BM35=0,"",(SUM(BP35:BQ35)))</f>
        <v/>
      </c>
      <c r="BS35" s="103"/>
      <c r="BT35" s="163">
        <f t="shared" ca="1" si="40"/>
        <v>0</v>
      </c>
      <c r="BU35" s="163">
        <f t="shared" ca="1" si="41"/>
        <v>0</v>
      </c>
      <c r="BV35" s="163">
        <f t="shared" ca="1" si="61"/>
        <v>0</v>
      </c>
      <c r="BW35" s="164">
        <f t="shared" ca="1" si="42"/>
        <v>0</v>
      </c>
      <c r="BX35" s="164">
        <f t="shared" ca="1" si="62"/>
        <v>0</v>
      </c>
      <c r="BY35" s="165" t="str">
        <f t="shared" ref="BY35:BY66" ca="1" si="80">IF(BT35=0,"",(SUM(BW35:BX35)))</f>
        <v/>
      </c>
      <c r="BZ35" s="103"/>
      <c r="CA35" s="166">
        <f t="shared" ca="1" si="44"/>
        <v>0</v>
      </c>
      <c r="CB35" s="166">
        <f t="shared" ca="1" si="45"/>
        <v>0</v>
      </c>
      <c r="CC35" s="166">
        <f t="shared" ca="1" si="63"/>
        <v>0</v>
      </c>
      <c r="CD35" s="167">
        <f t="shared" ca="1" si="46"/>
        <v>0</v>
      </c>
      <c r="CE35" s="167">
        <f t="shared" ca="1" si="64"/>
        <v>0</v>
      </c>
      <c r="CF35" s="168" t="str">
        <f t="shared" ref="CF35:CF66" ca="1" si="81">IF(CA35=0,"",(SUM(CD35:CE35)))</f>
        <v/>
      </c>
      <c r="CG35" s="103"/>
      <c r="CH35" s="169">
        <f t="shared" ca="1" si="48"/>
        <v>0</v>
      </c>
      <c r="CI35" s="169">
        <f t="shared" ca="1" si="49"/>
        <v>0</v>
      </c>
      <c r="CJ35" s="169">
        <f t="shared" ca="1" si="65"/>
        <v>0</v>
      </c>
      <c r="CK35" s="170">
        <f t="shared" ca="1" si="50"/>
        <v>0</v>
      </c>
      <c r="CL35" s="170">
        <f t="shared" ca="1" si="66"/>
        <v>0</v>
      </c>
      <c r="CM35" s="171" t="str">
        <f t="shared" ref="CM35:CM66" ca="1" si="82">IF(CH35=0,"",(SUM(CK35:CL35)))</f>
        <v/>
      </c>
      <c r="CN35" s="103"/>
      <c r="CO35" s="151">
        <v>32</v>
      </c>
      <c r="CP35" s="403">
        <v>0.18</v>
      </c>
      <c r="CQ35" s="103">
        <f t="shared" si="52"/>
        <v>0</v>
      </c>
      <c r="CR35" s="409">
        <f t="shared" si="53"/>
        <v>0.18</v>
      </c>
      <c r="CS35" s="103">
        <f t="shared" si="54"/>
        <v>1</v>
      </c>
      <c r="CT35" s="103"/>
    </row>
    <row r="36" spans="1:98">
      <c r="A36" s="183">
        <v>0</v>
      </c>
      <c r="B36" s="184">
        <f ca="1">RESUMEN!J3</f>
        <v>0</v>
      </c>
      <c r="C36" s="184">
        <f ca="1">+RESUMEN!K3</f>
        <v>0</v>
      </c>
      <c r="D36" s="185">
        <f t="shared" ref="D36:D67" ca="1" si="83">B36+C36</f>
        <v>0</v>
      </c>
      <c r="E36" s="176"/>
      <c r="H36" s="176"/>
      <c r="I36" s="176"/>
      <c r="J36" s="175">
        <v>33</v>
      </c>
      <c r="K36" s="67">
        <v>28947.18</v>
      </c>
      <c r="L36" s="67">
        <v>38730.43</v>
      </c>
      <c r="M36" s="67">
        <v>25695.14</v>
      </c>
      <c r="N36" s="67">
        <v>34379.300000000003</v>
      </c>
      <c r="O36" s="67">
        <v>22750.91</v>
      </c>
      <c r="P36" s="67">
        <v>30440</v>
      </c>
      <c r="Q36" s="147">
        <f t="shared" si="67"/>
        <v>0</v>
      </c>
      <c r="R36" s="147">
        <f t="shared" si="68"/>
        <v>0</v>
      </c>
      <c r="S36" s="147">
        <f t="shared" si="69"/>
        <v>0</v>
      </c>
      <c r="T36" s="147">
        <f t="shared" si="70"/>
        <v>0</v>
      </c>
      <c r="U36" s="147">
        <f t="shared" si="71"/>
        <v>0</v>
      </c>
      <c r="V36" s="147">
        <f t="shared" si="72"/>
        <v>0</v>
      </c>
      <c r="W36" s="103"/>
      <c r="X36" s="148"/>
      <c r="Y36" s="148"/>
      <c r="Z36" s="147">
        <f t="shared" si="16"/>
        <v>0</v>
      </c>
      <c r="AA36" s="147">
        <f t="shared" si="17"/>
        <v>0</v>
      </c>
      <c r="AB36" s="147">
        <f t="shared" si="18"/>
        <v>0</v>
      </c>
      <c r="AC36" s="147">
        <f t="shared" si="19"/>
        <v>0</v>
      </c>
      <c r="AD36" s="149"/>
      <c r="AE36" s="149"/>
      <c r="AF36" s="147">
        <f t="shared" si="20"/>
        <v>0</v>
      </c>
      <c r="AG36" s="147">
        <f t="shared" si="21"/>
        <v>0</v>
      </c>
      <c r="AH36" s="147">
        <f t="shared" si="22"/>
        <v>0</v>
      </c>
      <c r="AI36" s="147">
        <f t="shared" si="23"/>
        <v>0</v>
      </c>
      <c r="AJ36" s="148"/>
      <c r="AK36" s="150"/>
      <c r="AL36" s="147">
        <f t="shared" si="24"/>
        <v>0</v>
      </c>
      <c r="AM36" s="147">
        <f t="shared" si="25"/>
        <v>0</v>
      </c>
      <c r="AN36" s="147">
        <f t="shared" si="26"/>
        <v>0</v>
      </c>
      <c r="AO36" s="147">
        <f t="shared" si="27"/>
        <v>0</v>
      </c>
      <c r="AP36" s="103"/>
      <c r="AQ36" s="151">
        <v>33</v>
      </c>
      <c r="AR36" s="152">
        <f ca="1">+RESUMEN!F36</f>
        <v>0</v>
      </c>
      <c r="AS36" s="152">
        <f ca="1">+RESUMEN!G36</f>
        <v>0</v>
      </c>
      <c r="AT36" s="153">
        <f t="shared" ca="1" si="73"/>
        <v>0</v>
      </c>
      <c r="AU36" s="154">
        <f t="shared" si="28"/>
        <v>0</v>
      </c>
      <c r="AV36" s="154">
        <f t="shared" si="29"/>
        <v>0</v>
      </c>
      <c r="AW36" s="154">
        <f t="shared" ca="1" si="74"/>
        <v>0</v>
      </c>
      <c r="AX36" s="153"/>
      <c r="AY36" s="154">
        <f t="shared" ca="1" si="75"/>
        <v>0</v>
      </c>
      <c r="AZ36" s="154">
        <f t="shared" ca="1" si="76"/>
        <v>0</v>
      </c>
      <c r="BA36" s="154">
        <f t="shared" ca="1" si="55"/>
        <v>0</v>
      </c>
      <c r="BB36" s="156">
        <f t="shared" ca="1" si="30"/>
        <v>0</v>
      </c>
      <c r="BC36" s="156">
        <f t="shared" ca="1" si="56"/>
        <v>0</v>
      </c>
      <c r="BD36" s="157" t="str">
        <f t="shared" ca="1" si="77"/>
        <v/>
      </c>
      <c r="BE36" s="103"/>
      <c r="BF36" s="106">
        <f t="shared" ca="1" si="32"/>
        <v>0</v>
      </c>
      <c r="BG36" s="106">
        <f t="shared" ca="1" si="33"/>
        <v>0</v>
      </c>
      <c r="BH36" s="106">
        <f t="shared" ca="1" si="57"/>
        <v>0</v>
      </c>
      <c r="BI36" s="158">
        <f t="shared" ca="1" si="34"/>
        <v>0</v>
      </c>
      <c r="BJ36" s="158">
        <f t="shared" ca="1" si="58"/>
        <v>0</v>
      </c>
      <c r="BK36" s="159" t="str">
        <f t="shared" ca="1" si="78"/>
        <v/>
      </c>
      <c r="BL36" s="103"/>
      <c r="BM36" s="160">
        <f t="shared" ca="1" si="36"/>
        <v>0</v>
      </c>
      <c r="BN36" s="160">
        <f t="shared" ca="1" si="37"/>
        <v>0</v>
      </c>
      <c r="BO36" s="160">
        <f t="shared" ca="1" si="59"/>
        <v>0</v>
      </c>
      <c r="BP36" s="161">
        <f t="shared" ca="1" si="38"/>
        <v>0</v>
      </c>
      <c r="BQ36" s="161">
        <f t="shared" ca="1" si="60"/>
        <v>0</v>
      </c>
      <c r="BR36" s="162" t="str">
        <f t="shared" ca="1" si="79"/>
        <v/>
      </c>
      <c r="BS36" s="103"/>
      <c r="BT36" s="163">
        <f t="shared" ca="1" si="40"/>
        <v>0</v>
      </c>
      <c r="BU36" s="163">
        <f t="shared" ca="1" si="41"/>
        <v>0</v>
      </c>
      <c r="BV36" s="163">
        <f t="shared" ca="1" si="61"/>
        <v>0</v>
      </c>
      <c r="BW36" s="164">
        <f t="shared" ca="1" si="42"/>
        <v>0</v>
      </c>
      <c r="BX36" s="164">
        <f t="shared" ca="1" si="62"/>
        <v>0</v>
      </c>
      <c r="BY36" s="165" t="str">
        <f t="shared" ca="1" si="80"/>
        <v/>
      </c>
      <c r="BZ36" s="103"/>
      <c r="CA36" s="166">
        <f t="shared" ca="1" si="44"/>
        <v>0</v>
      </c>
      <c r="CB36" s="166">
        <f t="shared" ca="1" si="45"/>
        <v>0</v>
      </c>
      <c r="CC36" s="166">
        <f t="shared" ca="1" si="63"/>
        <v>0</v>
      </c>
      <c r="CD36" s="167">
        <f t="shared" ca="1" si="46"/>
        <v>0</v>
      </c>
      <c r="CE36" s="167">
        <f t="shared" ca="1" si="64"/>
        <v>0</v>
      </c>
      <c r="CF36" s="168" t="str">
        <f t="shared" ca="1" si="81"/>
        <v/>
      </c>
      <c r="CG36" s="103"/>
      <c r="CH36" s="169">
        <f t="shared" ca="1" si="48"/>
        <v>0</v>
      </c>
      <c r="CI36" s="169">
        <f t="shared" ca="1" si="49"/>
        <v>0</v>
      </c>
      <c r="CJ36" s="169">
        <f t="shared" ca="1" si="65"/>
        <v>0</v>
      </c>
      <c r="CK36" s="170">
        <f t="shared" ca="1" si="50"/>
        <v>0</v>
      </c>
      <c r="CL36" s="170">
        <f t="shared" ca="1" si="66"/>
        <v>0</v>
      </c>
      <c r="CM36" s="171" t="str">
        <f t="shared" ca="1" si="82"/>
        <v/>
      </c>
      <c r="CN36" s="103"/>
      <c r="CO36" s="151">
        <v>33</v>
      </c>
      <c r="CP36" s="403">
        <v>0.18</v>
      </c>
      <c r="CQ36" s="103">
        <f t="shared" si="52"/>
        <v>0</v>
      </c>
      <c r="CR36" s="409">
        <f t="shared" si="53"/>
        <v>0.18</v>
      </c>
      <c r="CS36" s="103">
        <f t="shared" si="54"/>
        <v>1</v>
      </c>
      <c r="CT36" s="103"/>
    </row>
    <row r="37" spans="1:98">
      <c r="A37" s="183">
        <v>1</v>
      </c>
      <c r="B37" s="184">
        <f ca="1">RESUMEN!J4</f>
        <v>0</v>
      </c>
      <c r="C37" s="184">
        <f ca="1">+RESUMEN!K4</f>
        <v>0</v>
      </c>
      <c r="D37" s="185">
        <f t="shared" ca="1" si="83"/>
        <v>0</v>
      </c>
      <c r="E37" s="176"/>
      <c r="H37" s="102"/>
      <c r="I37" s="102"/>
      <c r="J37" s="175">
        <v>34</v>
      </c>
      <c r="K37" s="67">
        <v>28966.54</v>
      </c>
      <c r="L37" s="67">
        <v>40683.64</v>
      </c>
      <c r="M37" s="67">
        <v>25712.33</v>
      </c>
      <c r="N37" s="67">
        <v>36113.08</v>
      </c>
      <c r="O37" s="67">
        <v>22766.12</v>
      </c>
      <c r="P37" s="67">
        <v>31975.119999999999</v>
      </c>
      <c r="Q37" s="147">
        <f t="shared" si="67"/>
        <v>0</v>
      </c>
      <c r="R37" s="147">
        <f t="shared" si="68"/>
        <v>0</v>
      </c>
      <c r="S37" s="147">
        <f t="shared" si="69"/>
        <v>0</v>
      </c>
      <c r="T37" s="147">
        <f t="shared" si="70"/>
        <v>0</v>
      </c>
      <c r="U37" s="147">
        <f t="shared" si="71"/>
        <v>0</v>
      </c>
      <c r="V37" s="147">
        <f t="shared" si="72"/>
        <v>0</v>
      </c>
      <c r="W37" s="103"/>
      <c r="X37" s="148"/>
      <c r="Y37" s="148"/>
      <c r="Z37" s="147">
        <f t="shared" si="16"/>
        <v>0</v>
      </c>
      <c r="AA37" s="147">
        <f t="shared" si="17"/>
        <v>0</v>
      </c>
      <c r="AB37" s="147">
        <f t="shared" si="18"/>
        <v>0</v>
      </c>
      <c r="AC37" s="147">
        <f t="shared" si="19"/>
        <v>0</v>
      </c>
      <c r="AD37" s="149"/>
      <c r="AE37" s="149"/>
      <c r="AF37" s="147">
        <f t="shared" si="20"/>
        <v>0</v>
      </c>
      <c r="AG37" s="147">
        <f t="shared" si="21"/>
        <v>0</v>
      </c>
      <c r="AH37" s="147">
        <f t="shared" si="22"/>
        <v>0</v>
      </c>
      <c r="AI37" s="147">
        <f t="shared" si="23"/>
        <v>0</v>
      </c>
      <c r="AJ37" s="148"/>
      <c r="AK37" s="150"/>
      <c r="AL37" s="147">
        <f t="shared" si="24"/>
        <v>0</v>
      </c>
      <c r="AM37" s="147">
        <f t="shared" si="25"/>
        <v>0</v>
      </c>
      <c r="AN37" s="147">
        <f t="shared" si="26"/>
        <v>0</v>
      </c>
      <c r="AO37" s="147">
        <f t="shared" si="27"/>
        <v>0</v>
      </c>
      <c r="AP37" s="103"/>
      <c r="AQ37" s="151">
        <v>34</v>
      </c>
      <c r="AR37" s="152">
        <f ca="1">+RESUMEN!F37</f>
        <v>0</v>
      </c>
      <c r="AS37" s="152">
        <f ca="1">+RESUMEN!G37</f>
        <v>0</v>
      </c>
      <c r="AT37" s="153">
        <f t="shared" ca="1" si="73"/>
        <v>0</v>
      </c>
      <c r="AU37" s="154">
        <f t="shared" si="28"/>
        <v>0</v>
      </c>
      <c r="AV37" s="154">
        <f t="shared" si="29"/>
        <v>0</v>
      </c>
      <c r="AW37" s="154">
        <f t="shared" ca="1" si="74"/>
        <v>0</v>
      </c>
      <c r="AX37" s="153"/>
      <c r="AY37" s="154">
        <f t="shared" ca="1" si="75"/>
        <v>0</v>
      </c>
      <c r="AZ37" s="154">
        <f t="shared" ca="1" si="76"/>
        <v>0</v>
      </c>
      <c r="BA37" s="154">
        <f t="shared" ca="1" si="55"/>
        <v>0</v>
      </c>
      <c r="BB37" s="156">
        <f t="shared" ca="1" si="30"/>
        <v>0</v>
      </c>
      <c r="BC37" s="156">
        <f t="shared" ca="1" si="56"/>
        <v>0</v>
      </c>
      <c r="BD37" s="157" t="str">
        <f t="shared" ca="1" si="77"/>
        <v/>
      </c>
      <c r="BE37" s="103"/>
      <c r="BF37" s="106">
        <f t="shared" ca="1" si="32"/>
        <v>0</v>
      </c>
      <c r="BG37" s="106">
        <f t="shared" ca="1" si="33"/>
        <v>0</v>
      </c>
      <c r="BH37" s="106">
        <f t="shared" ca="1" si="57"/>
        <v>0</v>
      </c>
      <c r="BI37" s="158">
        <f t="shared" ca="1" si="34"/>
        <v>0</v>
      </c>
      <c r="BJ37" s="158">
        <f t="shared" ca="1" si="58"/>
        <v>0</v>
      </c>
      <c r="BK37" s="159" t="str">
        <f t="shared" ca="1" si="78"/>
        <v/>
      </c>
      <c r="BL37" s="103"/>
      <c r="BM37" s="160">
        <f t="shared" ca="1" si="36"/>
        <v>0</v>
      </c>
      <c r="BN37" s="160">
        <f t="shared" ca="1" si="37"/>
        <v>0</v>
      </c>
      <c r="BO37" s="160">
        <f t="shared" ca="1" si="59"/>
        <v>0</v>
      </c>
      <c r="BP37" s="161">
        <f t="shared" ca="1" si="38"/>
        <v>0</v>
      </c>
      <c r="BQ37" s="161">
        <f t="shared" ca="1" si="60"/>
        <v>0</v>
      </c>
      <c r="BR37" s="162" t="str">
        <f t="shared" ca="1" si="79"/>
        <v/>
      </c>
      <c r="BS37" s="250"/>
      <c r="BT37" s="163">
        <f t="shared" ca="1" si="40"/>
        <v>0</v>
      </c>
      <c r="BU37" s="163">
        <f t="shared" ca="1" si="41"/>
        <v>0</v>
      </c>
      <c r="BV37" s="163">
        <f t="shared" ca="1" si="61"/>
        <v>0</v>
      </c>
      <c r="BW37" s="164">
        <f t="shared" ca="1" si="42"/>
        <v>0</v>
      </c>
      <c r="BX37" s="164">
        <f t="shared" ca="1" si="62"/>
        <v>0</v>
      </c>
      <c r="BY37" s="165" t="str">
        <f t="shared" ca="1" si="80"/>
        <v/>
      </c>
      <c r="BZ37" s="103"/>
      <c r="CA37" s="166">
        <f t="shared" ca="1" si="44"/>
        <v>0</v>
      </c>
      <c r="CB37" s="166">
        <f t="shared" ca="1" si="45"/>
        <v>0</v>
      </c>
      <c r="CC37" s="166">
        <f t="shared" ca="1" si="63"/>
        <v>0</v>
      </c>
      <c r="CD37" s="167">
        <f t="shared" ca="1" si="46"/>
        <v>0</v>
      </c>
      <c r="CE37" s="167">
        <f t="shared" ca="1" si="64"/>
        <v>0</v>
      </c>
      <c r="CF37" s="168" t="str">
        <f t="shared" ca="1" si="81"/>
        <v/>
      </c>
      <c r="CG37" s="103"/>
      <c r="CH37" s="169">
        <f t="shared" ca="1" si="48"/>
        <v>0</v>
      </c>
      <c r="CI37" s="169">
        <f t="shared" ca="1" si="49"/>
        <v>0</v>
      </c>
      <c r="CJ37" s="169">
        <f t="shared" ca="1" si="65"/>
        <v>0</v>
      </c>
      <c r="CK37" s="170">
        <f t="shared" ca="1" si="50"/>
        <v>0</v>
      </c>
      <c r="CL37" s="170">
        <f t="shared" ca="1" si="66"/>
        <v>0</v>
      </c>
      <c r="CM37" s="171" t="str">
        <f t="shared" ca="1" si="82"/>
        <v/>
      </c>
      <c r="CN37" s="103"/>
      <c r="CO37" s="151">
        <v>34</v>
      </c>
      <c r="CP37" s="403">
        <v>0.18</v>
      </c>
      <c r="CQ37" s="103">
        <f t="shared" si="52"/>
        <v>0</v>
      </c>
      <c r="CR37" s="409">
        <f t="shared" si="53"/>
        <v>0.18</v>
      </c>
      <c r="CS37" s="103">
        <f t="shared" si="54"/>
        <v>1</v>
      </c>
      <c r="CT37" s="103"/>
    </row>
    <row r="38" spans="1:98">
      <c r="A38" s="183">
        <v>2</v>
      </c>
      <c r="B38" s="184">
        <f ca="1">RESUMEN!J5</f>
        <v>0</v>
      </c>
      <c r="C38" s="184">
        <f ca="1">+RESUMEN!K5</f>
        <v>0</v>
      </c>
      <c r="D38" s="185">
        <f t="shared" ca="1" si="83"/>
        <v>0</v>
      </c>
      <c r="E38" s="176"/>
      <c r="H38" s="102"/>
      <c r="I38" s="102"/>
      <c r="J38" s="175">
        <v>35</v>
      </c>
      <c r="K38" s="67">
        <v>29080.400000000001</v>
      </c>
      <c r="L38" s="67">
        <v>41472.800000000003</v>
      </c>
      <c r="M38" s="67">
        <v>25813.39</v>
      </c>
      <c r="N38" s="67">
        <v>36813.58</v>
      </c>
      <c r="O38" s="67">
        <v>22855.61</v>
      </c>
      <c r="P38" s="67">
        <v>32595.360000000001</v>
      </c>
      <c r="Q38" s="147">
        <f t="shared" si="67"/>
        <v>0</v>
      </c>
      <c r="R38" s="147">
        <f t="shared" si="68"/>
        <v>0</v>
      </c>
      <c r="S38" s="147">
        <f t="shared" si="69"/>
        <v>0</v>
      </c>
      <c r="T38" s="147">
        <f t="shared" si="70"/>
        <v>0</v>
      </c>
      <c r="U38" s="147">
        <f t="shared" si="71"/>
        <v>0</v>
      </c>
      <c r="V38" s="147">
        <f t="shared" si="72"/>
        <v>0</v>
      </c>
      <c r="W38" s="103"/>
      <c r="X38" s="148"/>
      <c r="Y38" s="148"/>
      <c r="Z38" s="147">
        <f t="shared" si="16"/>
        <v>0</v>
      </c>
      <c r="AA38" s="147">
        <f t="shared" si="17"/>
        <v>0</v>
      </c>
      <c r="AB38" s="147">
        <f t="shared" si="18"/>
        <v>0</v>
      </c>
      <c r="AC38" s="147">
        <f t="shared" si="19"/>
        <v>0</v>
      </c>
      <c r="AD38" s="149"/>
      <c r="AE38" s="149"/>
      <c r="AF38" s="147">
        <f t="shared" si="20"/>
        <v>0</v>
      </c>
      <c r="AG38" s="147">
        <f t="shared" si="21"/>
        <v>0</v>
      </c>
      <c r="AH38" s="147">
        <f t="shared" si="22"/>
        <v>0</v>
      </c>
      <c r="AI38" s="147">
        <f t="shared" si="23"/>
        <v>0</v>
      </c>
      <c r="AJ38" s="148"/>
      <c r="AK38" s="150"/>
      <c r="AL38" s="147">
        <f t="shared" si="24"/>
        <v>0</v>
      </c>
      <c r="AM38" s="147">
        <f t="shared" si="25"/>
        <v>0</v>
      </c>
      <c r="AN38" s="147">
        <f t="shared" si="26"/>
        <v>0</v>
      </c>
      <c r="AO38" s="147">
        <f t="shared" si="27"/>
        <v>0</v>
      </c>
      <c r="AP38" s="103"/>
      <c r="AQ38" s="151">
        <v>35</v>
      </c>
      <c r="AR38" s="152">
        <f ca="1">+RESUMEN!F38</f>
        <v>0</v>
      </c>
      <c r="AS38" s="152">
        <f ca="1">+RESUMEN!G38</f>
        <v>0</v>
      </c>
      <c r="AT38" s="153">
        <f t="shared" ca="1" si="73"/>
        <v>0</v>
      </c>
      <c r="AU38" s="154">
        <f t="shared" si="28"/>
        <v>0</v>
      </c>
      <c r="AV38" s="154">
        <f t="shared" si="29"/>
        <v>0</v>
      </c>
      <c r="AW38" s="154">
        <f t="shared" ca="1" si="74"/>
        <v>0</v>
      </c>
      <c r="AX38" s="153"/>
      <c r="AY38" s="154">
        <f t="shared" ca="1" si="75"/>
        <v>0</v>
      </c>
      <c r="AZ38" s="154">
        <f t="shared" ca="1" si="76"/>
        <v>0</v>
      </c>
      <c r="BA38" s="154">
        <f t="shared" ca="1" si="55"/>
        <v>0</v>
      </c>
      <c r="BB38" s="156">
        <f t="shared" ca="1" si="30"/>
        <v>0</v>
      </c>
      <c r="BC38" s="156">
        <f t="shared" ca="1" si="56"/>
        <v>0</v>
      </c>
      <c r="BD38" s="157" t="str">
        <f t="shared" ca="1" si="77"/>
        <v/>
      </c>
      <c r="BE38" s="103"/>
      <c r="BF38" s="106">
        <f t="shared" ca="1" si="32"/>
        <v>0</v>
      </c>
      <c r="BG38" s="106">
        <f t="shared" ca="1" si="33"/>
        <v>0</v>
      </c>
      <c r="BH38" s="106">
        <f t="shared" ca="1" si="57"/>
        <v>0</v>
      </c>
      <c r="BI38" s="158">
        <f t="shared" ca="1" si="34"/>
        <v>0</v>
      </c>
      <c r="BJ38" s="158">
        <f t="shared" ca="1" si="58"/>
        <v>0</v>
      </c>
      <c r="BK38" s="159" t="str">
        <f t="shared" ca="1" si="78"/>
        <v/>
      </c>
      <c r="BL38" s="103"/>
      <c r="BM38" s="160">
        <f t="shared" ca="1" si="36"/>
        <v>0</v>
      </c>
      <c r="BN38" s="160">
        <f t="shared" ca="1" si="37"/>
        <v>0</v>
      </c>
      <c r="BO38" s="160">
        <f t="shared" ca="1" si="59"/>
        <v>0</v>
      </c>
      <c r="BP38" s="161">
        <f t="shared" ca="1" si="38"/>
        <v>0</v>
      </c>
      <c r="BQ38" s="161">
        <f t="shared" ca="1" si="60"/>
        <v>0</v>
      </c>
      <c r="BR38" s="162" t="str">
        <f t="shared" ca="1" si="79"/>
        <v/>
      </c>
      <c r="BS38" s="248"/>
      <c r="BT38" s="163">
        <f t="shared" ca="1" si="40"/>
        <v>0</v>
      </c>
      <c r="BU38" s="163">
        <f t="shared" ca="1" si="41"/>
        <v>0</v>
      </c>
      <c r="BV38" s="163">
        <f t="shared" ca="1" si="61"/>
        <v>0</v>
      </c>
      <c r="BW38" s="164">
        <f t="shared" ca="1" si="42"/>
        <v>0</v>
      </c>
      <c r="BX38" s="164">
        <f t="shared" ca="1" si="62"/>
        <v>0</v>
      </c>
      <c r="BY38" s="165" t="str">
        <f t="shared" ca="1" si="80"/>
        <v/>
      </c>
      <c r="BZ38" s="103"/>
      <c r="CA38" s="166">
        <f t="shared" ca="1" si="44"/>
        <v>0</v>
      </c>
      <c r="CB38" s="166">
        <f t="shared" ca="1" si="45"/>
        <v>0</v>
      </c>
      <c r="CC38" s="166">
        <f t="shared" ca="1" si="63"/>
        <v>0</v>
      </c>
      <c r="CD38" s="167">
        <f t="shared" ca="1" si="46"/>
        <v>0</v>
      </c>
      <c r="CE38" s="167">
        <f t="shared" ca="1" si="64"/>
        <v>0</v>
      </c>
      <c r="CF38" s="168" t="str">
        <f t="shared" ca="1" si="81"/>
        <v/>
      </c>
      <c r="CG38" s="103"/>
      <c r="CH38" s="169">
        <f t="shared" ca="1" si="48"/>
        <v>0</v>
      </c>
      <c r="CI38" s="169">
        <f t="shared" ca="1" si="49"/>
        <v>0</v>
      </c>
      <c r="CJ38" s="169">
        <f t="shared" ca="1" si="65"/>
        <v>0</v>
      </c>
      <c r="CK38" s="170">
        <f t="shared" ca="1" si="50"/>
        <v>0</v>
      </c>
      <c r="CL38" s="170">
        <f t="shared" ca="1" si="66"/>
        <v>0</v>
      </c>
      <c r="CM38" s="171" t="str">
        <f t="shared" ca="1" si="82"/>
        <v/>
      </c>
      <c r="CN38" s="103"/>
      <c r="CO38" s="151">
        <v>35</v>
      </c>
      <c r="CP38" s="403">
        <v>0.18</v>
      </c>
      <c r="CQ38" s="103">
        <f t="shared" si="52"/>
        <v>0</v>
      </c>
      <c r="CR38" s="409">
        <f t="shared" si="53"/>
        <v>0.18</v>
      </c>
      <c r="CS38" s="103">
        <f t="shared" si="54"/>
        <v>1</v>
      </c>
      <c r="CT38" s="103"/>
    </row>
    <row r="39" spans="1:98">
      <c r="A39" s="183">
        <v>3</v>
      </c>
      <c r="B39" s="184">
        <f ca="1">RESUMEN!J6</f>
        <v>0</v>
      </c>
      <c r="C39" s="184">
        <f ca="1">+RESUMEN!K6</f>
        <v>0</v>
      </c>
      <c r="D39" s="185">
        <f t="shared" ca="1" si="83"/>
        <v>0</v>
      </c>
      <c r="E39" s="176"/>
      <c r="H39" s="102"/>
      <c r="I39" s="102"/>
      <c r="J39" s="175">
        <v>36</v>
      </c>
      <c r="K39" s="67">
        <v>29608.48</v>
      </c>
      <c r="L39" s="67">
        <v>41906.46</v>
      </c>
      <c r="M39" s="67">
        <v>26282.15</v>
      </c>
      <c r="N39" s="67">
        <v>37198.519999999997</v>
      </c>
      <c r="O39" s="67">
        <v>23270.65</v>
      </c>
      <c r="P39" s="67">
        <v>32936.19</v>
      </c>
      <c r="Q39" s="147">
        <f t="shared" si="67"/>
        <v>0</v>
      </c>
      <c r="R39" s="147">
        <f t="shared" si="68"/>
        <v>0</v>
      </c>
      <c r="S39" s="147">
        <f t="shared" si="69"/>
        <v>0</v>
      </c>
      <c r="T39" s="147">
        <f t="shared" si="70"/>
        <v>0</v>
      </c>
      <c r="U39" s="147">
        <f t="shared" si="71"/>
        <v>0</v>
      </c>
      <c r="V39" s="147">
        <f t="shared" si="72"/>
        <v>0</v>
      </c>
      <c r="W39" s="103"/>
      <c r="X39" s="148"/>
      <c r="Y39" s="148"/>
      <c r="Z39" s="147">
        <f t="shared" si="16"/>
        <v>0</v>
      </c>
      <c r="AA39" s="147">
        <f t="shared" si="17"/>
        <v>0</v>
      </c>
      <c r="AB39" s="147">
        <f t="shared" si="18"/>
        <v>0</v>
      </c>
      <c r="AC39" s="147">
        <f t="shared" si="19"/>
        <v>0</v>
      </c>
      <c r="AD39" s="149"/>
      <c r="AE39" s="149"/>
      <c r="AF39" s="147">
        <f t="shared" si="20"/>
        <v>0</v>
      </c>
      <c r="AG39" s="147">
        <f t="shared" si="21"/>
        <v>0</v>
      </c>
      <c r="AH39" s="147">
        <f t="shared" si="22"/>
        <v>0</v>
      </c>
      <c r="AI39" s="147">
        <f t="shared" si="23"/>
        <v>0</v>
      </c>
      <c r="AJ39" s="148"/>
      <c r="AK39" s="150"/>
      <c r="AL39" s="147">
        <f t="shared" si="24"/>
        <v>0</v>
      </c>
      <c r="AM39" s="147">
        <f t="shared" si="25"/>
        <v>0</v>
      </c>
      <c r="AN39" s="147">
        <f t="shared" si="26"/>
        <v>0</v>
      </c>
      <c r="AO39" s="147">
        <f t="shared" si="27"/>
        <v>0</v>
      </c>
      <c r="AP39" s="103"/>
      <c r="AQ39" s="151">
        <v>36</v>
      </c>
      <c r="AR39" s="152">
        <f ca="1">+RESUMEN!F39</f>
        <v>0</v>
      </c>
      <c r="AS39" s="152">
        <f ca="1">+RESUMEN!G39</f>
        <v>0</v>
      </c>
      <c r="AT39" s="153">
        <f t="shared" ca="1" si="73"/>
        <v>0</v>
      </c>
      <c r="AU39" s="154">
        <f t="shared" si="28"/>
        <v>0</v>
      </c>
      <c r="AV39" s="154">
        <f t="shared" si="29"/>
        <v>0</v>
      </c>
      <c r="AW39" s="154">
        <f t="shared" ca="1" si="74"/>
        <v>0</v>
      </c>
      <c r="AX39" s="153"/>
      <c r="AY39" s="154">
        <f t="shared" ca="1" si="75"/>
        <v>0</v>
      </c>
      <c r="AZ39" s="154">
        <f t="shared" ca="1" si="76"/>
        <v>0</v>
      </c>
      <c r="BA39" s="154">
        <f t="shared" ca="1" si="55"/>
        <v>0</v>
      </c>
      <c r="BB39" s="156">
        <f t="shared" ca="1" si="30"/>
        <v>0</v>
      </c>
      <c r="BC39" s="156">
        <f t="shared" ca="1" si="56"/>
        <v>0</v>
      </c>
      <c r="BD39" s="157" t="str">
        <f t="shared" ca="1" si="77"/>
        <v/>
      </c>
      <c r="BE39" s="103"/>
      <c r="BF39" s="106">
        <f t="shared" ca="1" si="32"/>
        <v>0</v>
      </c>
      <c r="BG39" s="106">
        <f t="shared" ca="1" si="33"/>
        <v>0</v>
      </c>
      <c r="BH39" s="106">
        <f t="shared" ca="1" si="57"/>
        <v>0</v>
      </c>
      <c r="BI39" s="158">
        <f t="shared" ca="1" si="34"/>
        <v>0</v>
      </c>
      <c r="BJ39" s="158">
        <f t="shared" ca="1" si="58"/>
        <v>0</v>
      </c>
      <c r="BK39" s="159" t="str">
        <f t="shared" ca="1" si="78"/>
        <v/>
      </c>
      <c r="BL39" s="103"/>
      <c r="BM39" s="160">
        <f t="shared" ca="1" si="36"/>
        <v>0</v>
      </c>
      <c r="BN39" s="160">
        <f t="shared" ca="1" si="37"/>
        <v>0</v>
      </c>
      <c r="BO39" s="160">
        <f t="shared" ca="1" si="59"/>
        <v>0</v>
      </c>
      <c r="BP39" s="161">
        <f t="shared" ca="1" si="38"/>
        <v>0</v>
      </c>
      <c r="BQ39" s="161">
        <f t="shared" ca="1" si="60"/>
        <v>0</v>
      </c>
      <c r="BR39" s="162" t="str">
        <f t="shared" ca="1" si="79"/>
        <v/>
      </c>
      <c r="BS39" s="103"/>
      <c r="BT39" s="163">
        <f t="shared" ca="1" si="40"/>
        <v>0</v>
      </c>
      <c r="BU39" s="163">
        <f t="shared" ca="1" si="41"/>
        <v>0</v>
      </c>
      <c r="BV39" s="163">
        <f t="shared" ca="1" si="61"/>
        <v>0</v>
      </c>
      <c r="BW39" s="164">
        <f t="shared" ca="1" si="42"/>
        <v>0</v>
      </c>
      <c r="BX39" s="164">
        <f t="shared" ca="1" si="62"/>
        <v>0</v>
      </c>
      <c r="BY39" s="165" t="str">
        <f t="shared" ca="1" si="80"/>
        <v/>
      </c>
      <c r="BZ39" s="103"/>
      <c r="CA39" s="166">
        <f t="shared" ca="1" si="44"/>
        <v>0</v>
      </c>
      <c r="CB39" s="166">
        <f t="shared" ca="1" si="45"/>
        <v>0</v>
      </c>
      <c r="CC39" s="166">
        <f t="shared" ca="1" si="63"/>
        <v>0</v>
      </c>
      <c r="CD39" s="167">
        <f t="shared" ca="1" si="46"/>
        <v>0</v>
      </c>
      <c r="CE39" s="167">
        <f t="shared" ca="1" si="64"/>
        <v>0</v>
      </c>
      <c r="CF39" s="168" t="str">
        <f t="shared" ca="1" si="81"/>
        <v/>
      </c>
      <c r="CG39" s="103"/>
      <c r="CH39" s="169">
        <f t="shared" ca="1" si="48"/>
        <v>0</v>
      </c>
      <c r="CI39" s="169">
        <f t="shared" ca="1" si="49"/>
        <v>0</v>
      </c>
      <c r="CJ39" s="169">
        <f t="shared" ca="1" si="65"/>
        <v>0</v>
      </c>
      <c r="CK39" s="170">
        <f t="shared" ca="1" si="50"/>
        <v>0</v>
      </c>
      <c r="CL39" s="170">
        <f t="shared" ca="1" si="66"/>
        <v>0</v>
      </c>
      <c r="CM39" s="171" t="str">
        <f t="shared" ca="1" si="82"/>
        <v/>
      </c>
      <c r="CN39" s="103"/>
      <c r="CO39" s="151">
        <v>36</v>
      </c>
      <c r="CP39" s="403">
        <v>0.18</v>
      </c>
      <c r="CQ39" s="103">
        <f t="shared" si="52"/>
        <v>0</v>
      </c>
      <c r="CR39" s="409">
        <f t="shared" si="53"/>
        <v>0.18</v>
      </c>
      <c r="CS39" s="103">
        <f t="shared" si="54"/>
        <v>1</v>
      </c>
      <c r="CT39" s="103"/>
    </row>
    <row r="40" spans="1:98">
      <c r="A40" s="183">
        <v>4</v>
      </c>
      <c r="B40" s="184">
        <f ca="1">RESUMEN!J7</f>
        <v>0</v>
      </c>
      <c r="C40" s="184">
        <f ca="1">+RESUMEN!K7</f>
        <v>0</v>
      </c>
      <c r="D40" s="185">
        <f t="shared" ca="1" si="83"/>
        <v>0</v>
      </c>
      <c r="E40" s="176"/>
      <c r="H40" s="102"/>
      <c r="I40" s="102"/>
      <c r="J40" s="175">
        <v>37</v>
      </c>
      <c r="K40" s="67">
        <v>30019.360000000001</v>
      </c>
      <c r="L40" s="67">
        <v>42472.3</v>
      </c>
      <c r="M40" s="67">
        <v>26646.87</v>
      </c>
      <c r="N40" s="67">
        <v>37700.79</v>
      </c>
      <c r="O40" s="67">
        <v>23593.58</v>
      </c>
      <c r="P40" s="67">
        <v>33380.910000000003</v>
      </c>
      <c r="Q40" s="147">
        <f t="shared" si="67"/>
        <v>0</v>
      </c>
      <c r="R40" s="147">
        <f t="shared" si="68"/>
        <v>0</v>
      </c>
      <c r="S40" s="147">
        <f t="shared" si="69"/>
        <v>0</v>
      </c>
      <c r="T40" s="147">
        <f t="shared" si="70"/>
        <v>0</v>
      </c>
      <c r="U40" s="147">
        <f t="shared" si="71"/>
        <v>0</v>
      </c>
      <c r="V40" s="147">
        <f t="shared" si="72"/>
        <v>0</v>
      </c>
      <c r="W40" s="103"/>
      <c r="X40" s="148"/>
      <c r="Y40" s="148"/>
      <c r="Z40" s="147">
        <f t="shared" si="16"/>
        <v>0</v>
      </c>
      <c r="AA40" s="147">
        <f t="shared" si="17"/>
        <v>0</v>
      </c>
      <c r="AB40" s="147">
        <f t="shared" si="18"/>
        <v>0</v>
      </c>
      <c r="AC40" s="147">
        <f t="shared" si="19"/>
        <v>0</v>
      </c>
      <c r="AD40" s="149"/>
      <c r="AE40" s="149"/>
      <c r="AF40" s="147">
        <f t="shared" si="20"/>
        <v>0</v>
      </c>
      <c r="AG40" s="147">
        <f t="shared" si="21"/>
        <v>0</v>
      </c>
      <c r="AH40" s="147">
        <f t="shared" si="22"/>
        <v>0</v>
      </c>
      <c r="AI40" s="147">
        <f t="shared" si="23"/>
        <v>0</v>
      </c>
      <c r="AJ40" s="148"/>
      <c r="AK40" s="150"/>
      <c r="AL40" s="147">
        <f t="shared" si="24"/>
        <v>0</v>
      </c>
      <c r="AM40" s="147">
        <f t="shared" si="25"/>
        <v>0</v>
      </c>
      <c r="AN40" s="147">
        <f t="shared" si="26"/>
        <v>0</v>
      </c>
      <c r="AO40" s="147">
        <f t="shared" si="27"/>
        <v>0</v>
      </c>
      <c r="AP40" s="103"/>
      <c r="AQ40" s="151">
        <v>37</v>
      </c>
      <c r="AR40" s="152">
        <f ca="1">+RESUMEN!F40</f>
        <v>0</v>
      </c>
      <c r="AS40" s="152">
        <f ca="1">+RESUMEN!G40</f>
        <v>0</v>
      </c>
      <c r="AT40" s="153">
        <f t="shared" ca="1" si="73"/>
        <v>0</v>
      </c>
      <c r="AU40" s="154">
        <f t="shared" si="28"/>
        <v>0</v>
      </c>
      <c r="AV40" s="154">
        <f t="shared" si="29"/>
        <v>0</v>
      </c>
      <c r="AW40" s="154">
        <f t="shared" ca="1" si="74"/>
        <v>0</v>
      </c>
      <c r="AX40" s="153"/>
      <c r="AY40" s="154">
        <f t="shared" ca="1" si="75"/>
        <v>0</v>
      </c>
      <c r="AZ40" s="154">
        <f t="shared" ca="1" si="76"/>
        <v>0</v>
      </c>
      <c r="BA40" s="154">
        <f t="shared" ca="1" si="55"/>
        <v>0</v>
      </c>
      <c r="BB40" s="156">
        <f t="shared" ca="1" si="30"/>
        <v>0</v>
      </c>
      <c r="BC40" s="156">
        <f t="shared" ca="1" si="56"/>
        <v>0</v>
      </c>
      <c r="BD40" s="157" t="str">
        <f t="shared" ca="1" si="77"/>
        <v/>
      </c>
      <c r="BE40" s="103"/>
      <c r="BF40" s="106">
        <f t="shared" ca="1" si="32"/>
        <v>0</v>
      </c>
      <c r="BG40" s="106">
        <f t="shared" ca="1" si="33"/>
        <v>0</v>
      </c>
      <c r="BH40" s="106">
        <f t="shared" ca="1" si="57"/>
        <v>0</v>
      </c>
      <c r="BI40" s="158">
        <f t="shared" ca="1" si="34"/>
        <v>0</v>
      </c>
      <c r="BJ40" s="158">
        <f t="shared" ca="1" si="58"/>
        <v>0</v>
      </c>
      <c r="BK40" s="159" t="str">
        <f t="shared" ca="1" si="78"/>
        <v/>
      </c>
      <c r="BL40" s="103"/>
      <c r="BM40" s="160">
        <f t="shared" ca="1" si="36"/>
        <v>0</v>
      </c>
      <c r="BN40" s="160">
        <f t="shared" ca="1" si="37"/>
        <v>0</v>
      </c>
      <c r="BO40" s="160">
        <f t="shared" ca="1" si="59"/>
        <v>0</v>
      </c>
      <c r="BP40" s="161">
        <f t="shared" ca="1" si="38"/>
        <v>0</v>
      </c>
      <c r="BQ40" s="161">
        <f t="shared" ca="1" si="60"/>
        <v>0</v>
      </c>
      <c r="BR40" s="162" t="str">
        <f t="shared" ca="1" si="79"/>
        <v/>
      </c>
      <c r="BS40" s="103"/>
      <c r="BT40" s="163">
        <f t="shared" ca="1" si="40"/>
        <v>0</v>
      </c>
      <c r="BU40" s="163">
        <f t="shared" ca="1" si="41"/>
        <v>0</v>
      </c>
      <c r="BV40" s="163">
        <f t="shared" ca="1" si="61"/>
        <v>0</v>
      </c>
      <c r="BW40" s="164">
        <f t="shared" ca="1" si="42"/>
        <v>0</v>
      </c>
      <c r="BX40" s="164">
        <f t="shared" ca="1" si="62"/>
        <v>0</v>
      </c>
      <c r="BY40" s="165" t="str">
        <f t="shared" ca="1" si="80"/>
        <v/>
      </c>
      <c r="BZ40" s="103"/>
      <c r="CA40" s="166">
        <f t="shared" ca="1" si="44"/>
        <v>0</v>
      </c>
      <c r="CB40" s="166">
        <f t="shared" ca="1" si="45"/>
        <v>0</v>
      </c>
      <c r="CC40" s="166">
        <f t="shared" ca="1" si="63"/>
        <v>0</v>
      </c>
      <c r="CD40" s="167">
        <f t="shared" ca="1" si="46"/>
        <v>0</v>
      </c>
      <c r="CE40" s="167">
        <f t="shared" ca="1" si="64"/>
        <v>0</v>
      </c>
      <c r="CF40" s="168" t="str">
        <f t="shared" ca="1" si="81"/>
        <v/>
      </c>
      <c r="CG40" s="103"/>
      <c r="CH40" s="169">
        <f t="shared" ca="1" si="48"/>
        <v>0</v>
      </c>
      <c r="CI40" s="169">
        <f t="shared" ca="1" si="49"/>
        <v>0</v>
      </c>
      <c r="CJ40" s="169">
        <f t="shared" ca="1" si="65"/>
        <v>0</v>
      </c>
      <c r="CK40" s="170">
        <f t="shared" ca="1" si="50"/>
        <v>0</v>
      </c>
      <c r="CL40" s="170">
        <f t="shared" ca="1" si="66"/>
        <v>0</v>
      </c>
      <c r="CM40" s="171" t="str">
        <f t="shared" ca="1" si="82"/>
        <v/>
      </c>
      <c r="CN40" s="103"/>
      <c r="CO40" s="151">
        <v>37</v>
      </c>
      <c r="CP40" s="403">
        <v>0.18</v>
      </c>
      <c r="CQ40" s="103">
        <f t="shared" si="52"/>
        <v>0</v>
      </c>
      <c r="CR40" s="409">
        <f t="shared" si="53"/>
        <v>0.18</v>
      </c>
      <c r="CS40" s="103">
        <f t="shared" si="54"/>
        <v>1</v>
      </c>
      <c r="CT40" s="103"/>
    </row>
    <row r="41" spans="1:98">
      <c r="A41" s="183">
        <v>5</v>
      </c>
      <c r="B41" s="184">
        <f ca="1">RESUMEN!J8</f>
        <v>0</v>
      </c>
      <c r="C41" s="184">
        <f ca="1">+RESUMEN!K8</f>
        <v>0</v>
      </c>
      <c r="D41" s="185">
        <f t="shared" ca="1" si="83"/>
        <v>0</v>
      </c>
      <c r="E41" s="176"/>
      <c r="H41" s="102"/>
      <c r="I41" s="102"/>
      <c r="J41" s="175">
        <v>38</v>
      </c>
      <c r="K41" s="67">
        <v>30253.72</v>
      </c>
      <c r="L41" s="67">
        <v>43816.17</v>
      </c>
      <c r="M41" s="67">
        <v>26854.9</v>
      </c>
      <c r="N41" s="67">
        <v>38893.69</v>
      </c>
      <c r="O41" s="67">
        <v>23777.77</v>
      </c>
      <c r="P41" s="67">
        <v>34437.120000000003</v>
      </c>
      <c r="Q41" s="147">
        <f t="shared" si="67"/>
        <v>0</v>
      </c>
      <c r="R41" s="147">
        <f t="shared" si="68"/>
        <v>0</v>
      </c>
      <c r="S41" s="147">
        <f t="shared" si="69"/>
        <v>0</v>
      </c>
      <c r="T41" s="147">
        <f t="shared" si="70"/>
        <v>0</v>
      </c>
      <c r="U41" s="147">
        <f t="shared" si="71"/>
        <v>0</v>
      </c>
      <c r="V41" s="147">
        <f t="shared" si="72"/>
        <v>0</v>
      </c>
      <c r="W41" s="103"/>
      <c r="X41" s="148"/>
      <c r="Y41" s="148"/>
      <c r="Z41" s="147">
        <f t="shared" si="16"/>
        <v>0</v>
      </c>
      <c r="AA41" s="147">
        <f t="shared" si="17"/>
        <v>0</v>
      </c>
      <c r="AB41" s="147">
        <f t="shared" si="18"/>
        <v>0</v>
      </c>
      <c r="AC41" s="147">
        <f t="shared" si="19"/>
        <v>0</v>
      </c>
      <c r="AD41" s="149"/>
      <c r="AE41" s="149"/>
      <c r="AF41" s="147">
        <f t="shared" si="20"/>
        <v>0</v>
      </c>
      <c r="AG41" s="147">
        <f t="shared" si="21"/>
        <v>0</v>
      </c>
      <c r="AH41" s="147">
        <f t="shared" si="22"/>
        <v>0</v>
      </c>
      <c r="AI41" s="147">
        <f t="shared" si="23"/>
        <v>0</v>
      </c>
      <c r="AJ41" s="148"/>
      <c r="AK41" s="150"/>
      <c r="AL41" s="147">
        <f t="shared" si="24"/>
        <v>0</v>
      </c>
      <c r="AM41" s="147">
        <f t="shared" si="25"/>
        <v>0</v>
      </c>
      <c r="AN41" s="147">
        <f t="shared" si="26"/>
        <v>0</v>
      </c>
      <c r="AO41" s="147">
        <f t="shared" si="27"/>
        <v>0</v>
      </c>
      <c r="AP41" s="103"/>
      <c r="AQ41" s="151">
        <v>38</v>
      </c>
      <c r="AR41" s="152">
        <f ca="1">+RESUMEN!F41</f>
        <v>0</v>
      </c>
      <c r="AS41" s="152">
        <f ca="1">+RESUMEN!G41</f>
        <v>0</v>
      </c>
      <c r="AT41" s="153">
        <f t="shared" ca="1" si="73"/>
        <v>0</v>
      </c>
      <c r="AU41" s="154">
        <f t="shared" si="28"/>
        <v>0</v>
      </c>
      <c r="AV41" s="154">
        <f t="shared" si="29"/>
        <v>0</v>
      </c>
      <c r="AW41" s="154">
        <f t="shared" ca="1" si="74"/>
        <v>0</v>
      </c>
      <c r="AX41" s="153"/>
      <c r="AY41" s="154">
        <f t="shared" ca="1" si="75"/>
        <v>0</v>
      </c>
      <c r="AZ41" s="154">
        <f t="shared" ca="1" si="76"/>
        <v>0</v>
      </c>
      <c r="BA41" s="154">
        <f t="shared" ca="1" si="55"/>
        <v>0</v>
      </c>
      <c r="BB41" s="156">
        <f t="shared" ca="1" si="30"/>
        <v>0</v>
      </c>
      <c r="BC41" s="156">
        <f t="shared" ca="1" si="56"/>
        <v>0</v>
      </c>
      <c r="BD41" s="157" t="str">
        <f t="shared" ca="1" si="77"/>
        <v/>
      </c>
      <c r="BE41" s="103"/>
      <c r="BF41" s="106">
        <f t="shared" ca="1" si="32"/>
        <v>0</v>
      </c>
      <c r="BG41" s="106">
        <f t="shared" ca="1" si="33"/>
        <v>0</v>
      </c>
      <c r="BH41" s="106">
        <f t="shared" ca="1" si="57"/>
        <v>0</v>
      </c>
      <c r="BI41" s="158">
        <f t="shared" ca="1" si="34"/>
        <v>0</v>
      </c>
      <c r="BJ41" s="158">
        <f t="shared" ca="1" si="58"/>
        <v>0</v>
      </c>
      <c r="BK41" s="159" t="str">
        <f t="shared" ca="1" si="78"/>
        <v/>
      </c>
      <c r="BL41" s="103"/>
      <c r="BM41" s="160">
        <f t="shared" ca="1" si="36"/>
        <v>0</v>
      </c>
      <c r="BN41" s="160">
        <f t="shared" ca="1" si="37"/>
        <v>0</v>
      </c>
      <c r="BO41" s="160">
        <f t="shared" ca="1" si="59"/>
        <v>0</v>
      </c>
      <c r="BP41" s="161">
        <f t="shared" ca="1" si="38"/>
        <v>0</v>
      </c>
      <c r="BQ41" s="161">
        <f t="shared" ca="1" si="60"/>
        <v>0</v>
      </c>
      <c r="BR41" s="162" t="str">
        <f t="shared" ca="1" si="79"/>
        <v/>
      </c>
      <c r="BS41" s="103"/>
      <c r="BT41" s="163">
        <f t="shared" ca="1" si="40"/>
        <v>0</v>
      </c>
      <c r="BU41" s="163">
        <f t="shared" ca="1" si="41"/>
        <v>0</v>
      </c>
      <c r="BV41" s="163">
        <f t="shared" ca="1" si="61"/>
        <v>0</v>
      </c>
      <c r="BW41" s="164">
        <f t="shared" ca="1" si="42"/>
        <v>0</v>
      </c>
      <c r="BX41" s="164">
        <f t="shared" ca="1" si="62"/>
        <v>0</v>
      </c>
      <c r="BY41" s="165" t="str">
        <f t="shared" ca="1" si="80"/>
        <v/>
      </c>
      <c r="BZ41" s="103"/>
      <c r="CA41" s="166">
        <f t="shared" ca="1" si="44"/>
        <v>0</v>
      </c>
      <c r="CB41" s="166">
        <f t="shared" ca="1" si="45"/>
        <v>0</v>
      </c>
      <c r="CC41" s="166">
        <f t="shared" ca="1" si="63"/>
        <v>0</v>
      </c>
      <c r="CD41" s="167">
        <f t="shared" ca="1" si="46"/>
        <v>0</v>
      </c>
      <c r="CE41" s="167">
        <f t="shared" ca="1" si="64"/>
        <v>0</v>
      </c>
      <c r="CF41" s="168" t="str">
        <f t="shared" ca="1" si="81"/>
        <v/>
      </c>
      <c r="CG41" s="103"/>
      <c r="CH41" s="169">
        <f t="shared" ca="1" si="48"/>
        <v>0</v>
      </c>
      <c r="CI41" s="169">
        <f t="shared" ca="1" si="49"/>
        <v>0</v>
      </c>
      <c r="CJ41" s="169">
        <f t="shared" ca="1" si="65"/>
        <v>0</v>
      </c>
      <c r="CK41" s="170">
        <f t="shared" ca="1" si="50"/>
        <v>0</v>
      </c>
      <c r="CL41" s="170">
        <f t="shared" ca="1" si="66"/>
        <v>0</v>
      </c>
      <c r="CM41" s="171" t="str">
        <f t="shared" ca="1" si="82"/>
        <v/>
      </c>
      <c r="CN41" s="103"/>
      <c r="CO41" s="151">
        <v>38</v>
      </c>
      <c r="CP41" s="403">
        <v>0.18</v>
      </c>
      <c r="CQ41" s="103">
        <f t="shared" si="52"/>
        <v>0</v>
      </c>
      <c r="CR41" s="409">
        <f t="shared" si="53"/>
        <v>0.18</v>
      </c>
      <c r="CS41" s="103">
        <f t="shared" si="54"/>
        <v>1</v>
      </c>
      <c r="CT41" s="103"/>
    </row>
    <row r="42" spans="1:98">
      <c r="A42" s="183">
        <v>6</v>
      </c>
      <c r="B42" s="184">
        <f ca="1">RESUMEN!J9</f>
        <v>0</v>
      </c>
      <c r="C42" s="184">
        <f ca="1">+RESUMEN!K9</f>
        <v>0</v>
      </c>
      <c r="D42" s="185">
        <f t="shared" ca="1" si="83"/>
        <v>0</v>
      </c>
      <c r="E42" s="176"/>
      <c r="H42" s="102"/>
      <c r="I42" s="102"/>
      <c r="J42" s="175">
        <v>39</v>
      </c>
      <c r="K42" s="67">
        <v>30618.51</v>
      </c>
      <c r="L42" s="67">
        <v>44733.4</v>
      </c>
      <c r="M42" s="67">
        <v>27178.71</v>
      </c>
      <c r="N42" s="67">
        <v>39707.870000000003</v>
      </c>
      <c r="O42" s="67">
        <v>24064.48</v>
      </c>
      <c r="P42" s="67">
        <v>35158.01</v>
      </c>
      <c r="Q42" s="147">
        <f t="shared" si="67"/>
        <v>0</v>
      </c>
      <c r="R42" s="147">
        <f t="shared" si="68"/>
        <v>0</v>
      </c>
      <c r="S42" s="147">
        <f t="shared" si="69"/>
        <v>0</v>
      </c>
      <c r="T42" s="147">
        <f t="shared" si="70"/>
        <v>0</v>
      </c>
      <c r="U42" s="147">
        <f t="shared" si="71"/>
        <v>0</v>
      </c>
      <c r="V42" s="147">
        <f t="shared" si="72"/>
        <v>0</v>
      </c>
      <c r="W42" s="103"/>
      <c r="X42" s="148"/>
      <c r="Y42" s="148"/>
      <c r="Z42" s="147">
        <f t="shared" si="16"/>
        <v>0</v>
      </c>
      <c r="AA42" s="147">
        <f t="shared" si="17"/>
        <v>0</v>
      </c>
      <c r="AB42" s="147">
        <f t="shared" si="18"/>
        <v>0</v>
      </c>
      <c r="AC42" s="147">
        <f t="shared" si="19"/>
        <v>0</v>
      </c>
      <c r="AD42" s="149"/>
      <c r="AE42" s="149"/>
      <c r="AF42" s="147">
        <f t="shared" si="20"/>
        <v>0</v>
      </c>
      <c r="AG42" s="147">
        <f t="shared" si="21"/>
        <v>0</v>
      </c>
      <c r="AH42" s="147">
        <f t="shared" si="22"/>
        <v>0</v>
      </c>
      <c r="AI42" s="147">
        <f t="shared" si="23"/>
        <v>0</v>
      </c>
      <c r="AJ42" s="148"/>
      <c r="AK42" s="150"/>
      <c r="AL42" s="147">
        <f t="shared" si="24"/>
        <v>0</v>
      </c>
      <c r="AM42" s="147">
        <f t="shared" si="25"/>
        <v>0</v>
      </c>
      <c r="AN42" s="147">
        <f t="shared" si="26"/>
        <v>0</v>
      </c>
      <c r="AO42" s="147">
        <f t="shared" si="27"/>
        <v>0</v>
      </c>
      <c r="AP42" s="103"/>
      <c r="AQ42" s="151">
        <v>39</v>
      </c>
      <c r="AR42" s="152">
        <f ca="1">+RESUMEN!F42</f>
        <v>0</v>
      </c>
      <c r="AS42" s="152">
        <f ca="1">+RESUMEN!G42</f>
        <v>0</v>
      </c>
      <c r="AT42" s="153">
        <f t="shared" ca="1" si="73"/>
        <v>0</v>
      </c>
      <c r="AU42" s="154">
        <f t="shared" si="28"/>
        <v>0</v>
      </c>
      <c r="AV42" s="154">
        <f t="shared" si="29"/>
        <v>0</v>
      </c>
      <c r="AW42" s="154">
        <f t="shared" ca="1" si="74"/>
        <v>0</v>
      </c>
      <c r="AX42" s="153"/>
      <c r="AY42" s="154">
        <f t="shared" ca="1" si="75"/>
        <v>0</v>
      </c>
      <c r="AZ42" s="154">
        <f t="shared" ca="1" si="76"/>
        <v>0</v>
      </c>
      <c r="BA42" s="154">
        <f t="shared" ca="1" si="55"/>
        <v>0</v>
      </c>
      <c r="BB42" s="156">
        <f t="shared" ca="1" si="30"/>
        <v>0</v>
      </c>
      <c r="BC42" s="156">
        <f t="shared" ca="1" si="56"/>
        <v>0</v>
      </c>
      <c r="BD42" s="157" t="str">
        <f t="shared" ca="1" si="77"/>
        <v/>
      </c>
      <c r="BE42" s="103"/>
      <c r="BF42" s="106">
        <f t="shared" ca="1" si="32"/>
        <v>0</v>
      </c>
      <c r="BG42" s="106">
        <f t="shared" ca="1" si="33"/>
        <v>0</v>
      </c>
      <c r="BH42" s="106">
        <f t="shared" ca="1" si="57"/>
        <v>0</v>
      </c>
      <c r="BI42" s="158">
        <f t="shared" ca="1" si="34"/>
        <v>0</v>
      </c>
      <c r="BJ42" s="158">
        <f t="shared" ca="1" si="58"/>
        <v>0</v>
      </c>
      <c r="BK42" s="159" t="str">
        <f t="shared" ca="1" si="78"/>
        <v/>
      </c>
      <c r="BL42" s="249"/>
      <c r="BM42" s="160">
        <f t="shared" ca="1" si="36"/>
        <v>0</v>
      </c>
      <c r="BN42" s="160">
        <f t="shared" ca="1" si="37"/>
        <v>0</v>
      </c>
      <c r="BO42" s="160">
        <f t="shared" ca="1" si="59"/>
        <v>0</v>
      </c>
      <c r="BP42" s="161">
        <f t="shared" ca="1" si="38"/>
        <v>0</v>
      </c>
      <c r="BQ42" s="161">
        <f t="shared" ca="1" si="60"/>
        <v>0</v>
      </c>
      <c r="BR42" s="162" t="str">
        <f t="shared" ca="1" si="79"/>
        <v/>
      </c>
      <c r="BS42" s="103"/>
      <c r="BT42" s="163">
        <f t="shared" ca="1" si="40"/>
        <v>0</v>
      </c>
      <c r="BU42" s="163">
        <f t="shared" ca="1" si="41"/>
        <v>0</v>
      </c>
      <c r="BV42" s="163">
        <f t="shared" ca="1" si="61"/>
        <v>0</v>
      </c>
      <c r="BW42" s="164">
        <f t="shared" ca="1" si="42"/>
        <v>0</v>
      </c>
      <c r="BX42" s="164">
        <f t="shared" ca="1" si="62"/>
        <v>0</v>
      </c>
      <c r="BY42" s="165" t="str">
        <f t="shared" ca="1" si="80"/>
        <v/>
      </c>
      <c r="BZ42" s="103"/>
      <c r="CA42" s="166">
        <f t="shared" ca="1" si="44"/>
        <v>0</v>
      </c>
      <c r="CB42" s="166">
        <f t="shared" ca="1" si="45"/>
        <v>0</v>
      </c>
      <c r="CC42" s="166">
        <f t="shared" ca="1" si="63"/>
        <v>0</v>
      </c>
      <c r="CD42" s="167">
        <f t="shared" ca="1" si="46"/>
        <v>0</v>
      </c>
      <c r="CE42" s="167">
        <f t="shared" ca="1" si="64"/>
        <v>0</v>
      </c>
      <c r="CF42" s="168" t="str">
        <f t="shared" ca="1" si="81"/>
        <v/>
      </c>
      <c r="CG42" s="103"/>
      <c r="CH42" s="169">
        <f t="shared" ca="1" si="48"/>
        <v>0</v>
      </c>
      <c r="CI42" s="169">
        <f t="shared" ca="1" si="49"/>
        <v>0</v>
      </c>
      <c r="CJ42" s="169">
        <f t="shared" ca="1" si="65"/>
        <v>0</v>
      </c>
      <c r="CK42" s="170">
        <f t="shared" ca="1" si="50"/>
        <v>0</v>
      </c>
      <c r="CL42" s="170">
        <f t="shared" ca="1" si="66"/>
        <v>0</v>
      </c>
      <c r="CM42" s="171" t="str">
        <f t="shared" ca="1" si="82"/>
        <v/>
      </c>
      <c r="CN42" s="103"/>
      <c r="CO42" s="151">
        <v>39</v>
      </c>
      <c r="CP42" s="403">
        <v>0.18</v>
      </c>
      <c r="CQ42" s="103">
        <f t="shared" si="52"/>
        <v>0</v>
      </c>
      <c r="CR42" s="409">
        <f t="shared" si="53"/>
        <v>0.18</v>
      </c>
      <c r="CS42" s="103">
        <f t="shared" si="54"/>
        <v>1</v>
      </c>
      <c r="CT42" s="103"/>
    </row>
    <row r="43" spans="1:98">
      <c r="A43" s="183">
        <v>7</v>
      </c>
      <c r="B43" s="184">
        <f ca="1">RESUMEN!J10</f>
        <v>0</v>
      </c>
      <c r="C43" s="184">
        <f ca="1">+RESUMEN!K10</f>
        <v>0</v>
      </c>
      <c r="D43" s="185">
        <f t="shared" ca="1" si="83"/>
        <v>0</v>
      </c>
      <c r="E43" s="176"/>
      <c r="H43" s="102"/>
      <c r="I43" s="102"/>
      <c r="J43" s="175">
        <v>40</v>
      </c>
      <c r="K43" s="67">
        <v>31085.19</v>
      </c>
      <c r="L43" s="67">
        <v>46560.480000000003</v>
      </c>
      <c r="M43" s="67">
        <v>27592.95</v>
      </c>
      <c r="N43" s="67">
        <v>41329.69</v>
      </c>
      <c r="O43" s="67">
        <v>24431.26</v>
      </c>
      <c r="P43" s="67">
        <v>36594</v>
      </c>
      <c r="Q43" s="147">
        <f t="shared" si="67"/>
        <v>0</v>
      </c>
      <c r="R43" s="147">
        <f t="shared" si="68"/>
        <v>0</v>
      </c>
      <c r="S43" s="147">
        <f t="shared" si="69"/>
        <v>0</v>
      </c>
      <c r="T43" s="147">
        <f t="shared" si="70"/>
        <v>0</v>
      </c>
      <c r="U43" s="147">
        <f t="shared" si="71"/>
        <v>0</v>
      </c>
      <c r="V43" s="147">
        <f t="shared" si="72"/>
        <v>0</v>
      </c>
      <c r="W43" s="103"/>
      <c r="X43" s="148"/>
      <c r="Y43" s="148"/>
      <c r="Z43" s="147">
        <f t="shared" si="16"/>
        <v>0</v>
      </c>
      <c r="AA43" s="147">
        <f t="shared" si="17"/>
        <v>0</v>
      </c>
      <c r="AB43" s="147">
        <f t="shared" si="18"/>
        <v>0</v>
      </c>
      <c r="AC43" s="147">
        <f t="shared" si="19"/>
        <v>0</v>
      </c>
      <c r="AD43" s="149"/>
      <c r="AE43" s="149"/>
      <c r="AF43" s="147">
        <f t="shared" si="20"/>
        <v>0</v>
      </c>
      <c r="AG43" s="147">
        <f t="shared" si="21"/>
        <v>0</v>
      </c>
      <c r="AH43" s="147">
        <f t="shared" si="22"/>
        <v>0</v>
      </c>
      <c r="AI43" s="147">
        <f t="shared" si="23"/>
        <v>0</v>
      </c>
      <c r="AJ43" s="148"/>
      <c r="AK43" s="150"/>
      <c r="AL43" s="147">
        <f t="shared" si="24"/>
        <v>0</v>
      </c>
      <c r="AM43" s="147">
        <f t="shared" si="25"/>
        <v>0</v>
      </c>
      <c r="AN43" s="147">
        <f t="shared" si="26"/>
        <v>0</v>
      </c>
      <c r="AO43" s="147">
        <f t="shared" si="27"/>
        <v>0</v>
      </c>
      <c r="AP43" s="103"/>
      <c r="AQ43" s="151">
        <v>40</v>
      </c>
      <c r="AR43" s="152">
        <f ca="1">+RESUMEN!F43</f>
        <v>0</v>
      </c>
      <c r="AS43" s="152">
        <f ca="1">+RESUMEN!G43</f>
        <v>0</v>
      </c>
      <c r="AT43" s="153">
        <f t="shared" ca="1" si="73"/>
        <v>0</v>
      </c>
      <c r="AU43" s="154">
        <f t="shared" si="28"/>
        <v>0</v>
      </c>
      <c r="AV43" s="154">
        <f t="shared" si="29"/>
        <v>0</v>
      </c>
      <c r="AW43" s="154">
        <f t="shared" ca="1" si="74"/>
        <v>0</v>
      </c>
      <c r="AX43" s="153"/>
      <c r="AY43" s="154">
        <f t="shared" ca="1" si="75"/>
        <v>0</v>
      </c>
      <c r="AZ43" s="154">
        <f t="shared" ca="1" si="76"/>
        <v>0</v>
      </c>
      <c r="BA43" s="154">
        <f t="shared" ca="1" si="55"/>
        <v>0</v>
      </c>
      <c r="BB43" s="156">
        <f t="shared" ca="1" si="30"/>
        <v>0</v>
      </c>
      <c r="BC43" s="156">
        <f t="shared" ca="1" si="56"/>
        <v>0</v>
      </c>
      <c r="BD43" s="157" t="str">
        <f t="shared" ca="1" si="77"/>
        <v/>
      </c>
      <c r="BE43" s="103"/>
      <c r="BF43" s="106">
        <f t="shared" ca="1" si="32"/>
        <v>0</v>
      </c>
      <c r="BG43" s="106">
        <f t="shared" ca="1" si="33"/>
        <v>0</v>
      </c>
      <c r="BH43" s="106">
        <f t="shared" ca="1" si="57"/>
        <v>0</v>
      </c>
      <c r="BI43" s="158">
        <f t="shared" ca="1" si="34"/>
        <v>0</v>
      </c>
      <c r="BJ43" s="158">
        <f t="shared" ca="1" si="58"/>
        <v>0</v>
      </c>
      <c r="BK43" s="159" t="str">
        <f t="shared" ca="1" si="78"/>
        <v/>
      </c>
      <c r="BL43" s="249"/>
      <c r="BM43" s="160">
        <f t="shared" ca="1" si="36"/>
        <v>0</v>
      </c>
      <c r="BN43" s="160">
        <f t="shared" ca="1" si="37"/>
        <v>0</v>
      </c>
      <c r="BO43" s="160">
        <f t="shared" ca="1" si="59"/>
        <v>0</v>
      </c>
      <c r="BP43" s="161">
        <f t="shared" ca="1" si="38"/>
        <v>0</v>
      </c>
      <c r="BQ43" s="161">
        <f t="shared" ca="1" si="60"/>
        <v>0</v>
      </c>
      <c r="BR43" s="162" t="str">
        <f t="shared" ca="1" si="79"/>
        <v/>
      </c>
      <c r="BS43" s="103"/>
      <c r="BT43" s="163">
        <f t="shared" ca="1" si="40"/>
        <v>0</v>
      </c>
      <c r="BU43" s="163">
        <f t="shared" ca="1" si="41"/>
        <v>0</v>
      </c>
      <c r="BV43" s="163">
        <f t="shared" ca="1" si="61"/>
        <v>0</v>
      </c>
      <c r="BW43" s="164">
        <f t="shared" ca="1" si="42"/>
        <v>0</v>
      </c>
      <c r="BX43" s="164">
        <f t="shared" ca="1" si="62"/>
        <v>0</v>
      </c>
      <c r="BY43" s="165" t="str">
        <f t="shared" ca="1" si="80"/>
        <v/>
      </c>
      <c r="BZ43" s="103"/>
      <c r="CA43" s="166">
        <f t="shared" ca="1" si="44"/>
        <v>0</v>
      </c>
      <c r="CB43" s="166">
        <f t="shared" ca="1" si="45"/>
        <v>0</v>
      </c>
      <c r="CC43" s="166">
        <f t="shared" ca="1" si="63"/>
        <v>0</v>
      </c>
      <c r="CD43" s="167">
        <f t="shared" ca="1" si="46"/>
        <v>0</v>
      </c>
      <c r="CE43" s="167">
        <f t="shared" ca="1" si="64"/>
        <v>0</v>
      </c>
      <c r="CF43" s="168" t="str">
        <f t="shared" ca="1" si="81"/>
        <v/>
      </c>
      <c r="CG43" s="103"/>
      <c r="CH43" s="169">
        <f t="shared" ca="1" si="48"/>
        <v>0</v>
      </c>
      <c r="CI43" s="169">
        <f t="shared" ca="1" si="49"/>
        <v>0</v>
      </c>
      <c r="CJ43" s="169">
        <f t="shared" ca="1" si="65"/>
        <v>0</v>
      </c>
      <c r="CK43" s="170">
        <f t="shared" ca="1" si="50"/>
        <v>0</v>
      </c>
      <c r="CL43" s="170">
        <f t="shared" ca="1" si="66"/>
        <v>0</v>
      </c>
      <c r="CM43" s="171" t="str">
        <f t="shared" ca="1" si="82"/>
        <v/>
      </c>
      <c r="CN43" s="103"/>
      <c r="CO43" s="151">
        <v>40</v>
      </c>
      <c r="CP43" s="403">
        <v>0.18</v>
      </c>
      <c r="CQ43" s="103">
        <f t="shared" si="52"/>
        <v>0</v>
      </c>
      <c r="CR43" s="409">
        <f t="shared" si="53"/>
        <v>0.18</v>
      </c>
      <c r="CS43" s="103">
        <f t="shared" si="54"/>
        <v>1</v>
      </c>
      <c r="CT43" s="103"/>
    </row>
    <row r="44" spans="1:98">
      <c r="A44" s="183">
        <v>8</v>
      </c>
      <c r="B44" s="184">
        <f ca="1">RESUMEN!J11</f>
        <v>0</v>
      </c>
      <c r="C44" s="184">
        <f ca="1">+RESUMEN!K11</f>
        <v>0</v>
      </c>
      <c r="D44" s="185">
        <f t="shared" ca="1" si="83"/>
        <v>0</v>
      </c>
      <c r="E44" s="176"/>
      <c r="F44" s="176"/>
      <c r="G44" s="176"/>
      <c r="H44" s="102"/>
      <c r="I44" s="102"/>
      <c r="J44" s="175">
        <v>41</v>
      </c>
      <c r="K44" s="67">
        <v>33165.629999999997</v>
      </c>
      <c r="L44" s="67">
        <v>51871.7</v>
      </c>
      <c r="M44" s="67">
        <v>29439.67</v>
      </c>
      <c r="N44" s="67">
        <v>46044.22</v>
      </c>
      <c r="O44" s="67">
        <v>26066.38</v>
      </c>
      <c r="P44" s="67">
        <v>40768.32</v>
      </c>
      <c r="Q44" s="147">
        <f t="shared" si="67"/>
        <v>0</v>
      </c>
      <c r="R44" s="147">
        <f t="shared" si="68"/>
        <v>0</v>
      </c>
      <c r="S44" s="147">
        <f t="shared" si="69"/>
        <v>0</v>
      </c>
      <c r="T44" s="147">
        <f t="shared" si="70"/>
        <v>0</v>
      </c>
      <c r="U44" s="147">
        <f t="shared" si="71"/>
        <v>0</v>
      </c>
      <c r="V44" s="147">
        <f t="shared" si="72"/>
        <v>0</v>
      </c>
      <c r="W44" s="103"/>
      <c r="X44" s="148"/>
      <c r="Y44" s="148"/>
      <c r="Z44" s="147">
        <f t="shared" si="16"/>
        <v>0</v>
      </c>
      <c r="AA44" s="147">
        <f t="shared" si="17"/>
        <v>0</v>
      </c>
      <c r="AB44" s="147">
        <f t="shared" si="18"/>
        <v>0</v>
      </c>
      <c r="AC44" s="147">
        <f t="shared" si="19"/>
        <v>0</v>
      </c>
      <c r="AD44" s="149"/>
      <c r="AE44" s="149"/>
      <c r="AF44" s="147">
        <f t="shared" si="20"/>
        <v>0</v>
      </c>
      <c r="AG44" s="147">
        <f t="shared" si="21"/>
        <v>0</v>
      </c>
      <c r="AH44" s="147">
        <f t="shared" si="22"/>
        <v>0</v>
      </c>
      <c r="AI44" s="147">
        <f t="shared" si="23"/>
        <v>0</v>
      </c>
      <c r="AJ44" s="148"/>
      <c r="AK44" s="150"/>
      <c r="AL44" s="147">
        <f t="shared" si="24"/>
        <v>0</v>
      </c>
      <c r="AM44" s="147">
        <f t="shared" si="25"/>
        <v>0</v>
      </c>
      <c r="AN44" s="147">
        <f t="shared" si="26"/>
        <v>0</v>
      </c>
      <c r="AO44" s="147">
        <f t="shared" si="27"/>
        <v>0</v>
      </c>
      <c r="AP44" s="103"/>
      <c r="AQ44" s="151">
        <v>41</v>
      </c>
      <c r="AR44" s="152">
        <f ca="1">+RESUMEN!F44</f>
        <v>0</v>
      </c>
      <c r="AS44" s="152">
        <f ca="1">+RESUMEN!G44</f>
        <v>0</v>
      </c>
      <c r="AT44" s="153">
        <f t="shared" ca="1" si="73"/>
        <v>0</v>
      </c>
      <c r="AU44" s="154">
        <f t="shared" si="28"/>
        <v>0</v>
      </c>
      <c r="AV44" s="154">
        <f t="shared" si="29"/>
        <v>0</v>
      </c>
      <c r="AW44" s="154">
        <f t="shared" ca="1" si="74"/>
        <v>0</v>
      </c>
      <c r="AX44" s="153"/>
      <c r="AY44" s="154">
        <f t="shared" ca="1" si="75"/>
        <v>0</v>
      </c>
      <c r="AZ44" s="154">
        <f t="shared" ca="1" si="76"/>
        <v>0</v>
      </c>
      <c r="BA44" s="154">
        <f t="shared" ca="1" si="55"/>
        <v>0</v>
      </c>
      <c r="BB44" s="156">
        <f t="shared" ca="1" si="30"/>
        <v>0</v>
      </c>
      <c r="BC44" s="156">
        <f t="shared" ca="1" si="56"/>
        <v>0</v>
      </c>
      <c r="BD44" s="157" t="str">
        <f t="shared" ca="1" si="77"/>
        <v/>
      </c>
      <c r="BE44" s="103"/>
      <c r="BF44" s="106">
        <f t="shared" ca="1" si="32"/>
        <v>0</v>
      </c>
      <c r="BG44" s="106">
        <f t="shared" ca="1" si="33"/>
        <v>0</v>
      </c>
      <c r="BH44" s="106">
        <f t="shared" ca="1" si="57"/>
        <v>0</v>
      </c>
      <c r="BI44" s="158">
        <f t="shared" ca="1" si="34"/>
        <v>0</v>
      </c>
      <c r="BJ44" s="158">
        <f t="shared" ca="1" si="58"/>
        <v>0</v>
      </c>
      <c r="BK44" s="159" t="str">
        <f t="shared" ca="1" si="78"/>
        <v/>
      </c>
      <c r="BL44" s="221"/>
      <c r="BM44" s="160">
        <f t="shared" ca="1" si="36"/>
        <v>0</v>
      </c>
      <c r="BN44" s="160">
        <f t="shared" ca="1" si="37"/>
        <v>0</v>
      </c>
      <c r="BO44" s="160">
        <f t="shared" ca="1" si="59"/>
        <v>0</v>
      </c>
      <c r="BP44" s="161">
        <f t="shared" ca="1" si="38"/>
        <v>0</v>
      </c>
      <c r="BQ44" s="161">
        <f t="shared" ca="1" si="60"/>
        <v>0</v>
      </c>
      <c r="BR44" s="162" t="str">
        <f t="shared" ca="1" si="79"/>
        <v/>
      </c>
      <c r="BS44" s="103"/>
      <c r="BT44" s="163">
        <f t="shared" ca="1" si="40"/>
        <v>0</v>
      </c>
      <c r="BU44" s="163">
        <f t="shared" ca="1" si="41"/>
        <v>0</v>
      </c>
      <c r="BV44" s="163">
        <f t="shared" ca="1" si="61"/>
        <v>0</v>
      </c>
      <c r="BW44" s="164">
        <f t="shared" ca="1" si="42"/>
        <v>0</v>
      </c>
      <c r="BX44" s="164">
        <f t="shared" ca="1" si="62"/>
        <v>0</v>
      </c>
      <c r="BY44" s="165" t="str">
        <f t="shared" ca="1" si="80"/>
        <v/>
      </c>
      <c r="BZ44" s="103"/>
      <c r="CA44" s="166">
        <f t="shared" ca="1" si="44"/>
        <v>0</v>
      </c>
      <c r="CB44" s="166">
        <f t="shared" ca="1" si="45"/>
        <v>0</v>
      </c>
      <c r="CC44" s="166">
        <f t="shared" ca="1" si="63"/>
        <v>0</v>
      </c>
      <c r="CD44" s="167">
        <f t="shared" ca="1" si="46"/>
        <v>0</v>
      </c>
      <c r="CE44" s="167">
        <f t="shared" ca="1" si="64"/>
        <v>0</v>
      </c>
      <c r="CF44" s="168" t="str">
        <f t="shared" ca="1" si="81"/>
        <v/>
      </c>
      <c r="CG44" s="103"/>
      <c r="CH44" s="169">
        <f t="shared" ca="1" si="48"/>
        <v>0</v>
      </c>
      <c r="CI44" s="169">
        <f t="shared" ca="1" si="49"/>
        <v>0</v>
      </c>
      <c r="CJ44" s="169">
        <f t="shared" ca="1" si="65"/>
        <v>0</v>
      </c>
      <c r="CK44" s="170">
        <f t="shared" ca="1" si="50"/>
        <v>0</v>
      </c>
      <c r="CL44" s="170">
        <f t="shared" ca="1" si="66"/>
        <v>0</v>
      </c>
      <c r="CM44" s="171" t="str">
        <f t="shared" ca="1" si="82"/>
        <v/>
      </c>
      <c r="CN44" s="103"/>
      <c r="CO44" s="151">
        <v>41</v>
      </c>
      <c r="CP44" s="403">
        <v>0.18</v>
      </c>
      <c r="CQ44" s="103">
        <f t="shared" si="52"/>
        <v>0</v>
      </c>
      <c r="CR44" s="409">
        <f t="shared" si="53"/>
        <v>0.18</v>
      </c>
      <c r="CS44" s="103">
        <f t="shared" si="54"/>
        <v>1</v>
      </c>
      <c r="CT44" s="103"/>
    </row>
    <row r="45" spans="1:98">
      <c r="A45" s="183">
        <v>9</v>
      </c>
      <c r="B45" s="184">
        <f ca="1">RESUMEN!J12</f>
        <v>0</v>
      </c>
      <c r="C45" s="184">
        <f ca="1">+RESUMEN!K12</f>
        <v>0</v>
      </c>
      <c r="D45" s="185">
        <f t="shared" ca="1" si="83"/>
        <v>0</v>
      </c>
      <c r="E45" s="176"/>
      <c r="F45" s="176"/>
      <c r="G45" s="176"/>
      <c r="H45" s="102"/>
      <c r="I45" s="102"/>
      <c r="J45" s="175">
        <v>42</v>
      </c>
      <c r="K45" s="67">
        <v>34754.379999999997</v>
      </c>
      <c r="L45" s="67">
        <v>54154.16</v>
      </c>
      <c r="M45" s="67">
        <v>30849.93</v>
      </c>
      <c r="N45" s="67">
        <v>48070.27</v>
      </c>
      <c r="O45" s="67">
        <v>27315.05</v>
      </c>
      <c r="P45" s="67">
        <v>42562.22</v>
      </c>
      <c r="Q45" s="147">
        <f t="shared" si="67"/>
        <v>0</v>
      </c>
      <c r="R45" s="147">
        <f t="shared" si="68"/>
        <v>0</v>
      </c>
      <c r="S45" s="147">
        <f t="shared" si="69"/>
        <v>0</v>
      </c>
      <c r="T45" s="147">
        <f t="shared" si="70"/>
        <v>0</v>
      </c>
      <c r="U45" s="147">
        <f t="shared" si="71"/>
        <v>0</v>
      </c>
      <c r="V45" s="147">
        <f t="shared" si="72"/>
        <v>0</v>
      </c>
      <c r="W45" s="103"/>
      <c r="X45" s="148"/>
      <c r="Y45" s="148"/>
      <c r="Z45" s="147">
        <f t="shared" si="16"/>
        <v>0</v>
      </c>
      <c r="AA45" s="147">
        <f t="shared" si="17"/>
        <v>0</v>
      </c>
      <c r="AB45" s="147">
        <f t="shared" si="18"/>
        <v>0</v>
      </c>
      <c r="AC45" s="147">
        <f t="shared" si="19"/>
        <v>0</v>
      </c>
      <c r="AD45" s="149"/>
      <c r="AE45" s="149"/>
      <c r="AF45" s="147">
        <f t="shared" si="20"/>
        <v>0</v>
      </c>
      <c r="AG45" s="147">
        <f t="shared" si="21"/>
        <v>0</v>
      </c>
      <c r="AH45" s="147">
        <f t="shared" si="22"/>
        <v>0</v>
      </c>
      <c r="AI45" s="147">
        <f t="shared" si="23"/>
        <v>0</v>
      </c>
      <c r="AJ45" s="148"/>
      <c r="AK45" s="150"/>
      <c r="AL45" s="147">
        <f t="shared" si="24"/>
        <v>0</v>
      </c>
      <c r="AM45" s="147">
        <f t="shared" si="25"/>
        <v>0</v>
      </c>
      <c r="AN45" s="147">
        <f t="shared" si="26"/>
        <v>0</v>
      </c>
      <c r="AO45" s="147">
        <f t="shared" si="27"/>
        <v>0</v>
      </c>
      <c r="AP45" s="103"/>
      <c r="AQ45" s="151">
        <v>42</v>
      </c>
      <c r="AR45" s="152">
        <f ca="1">+RESUMEN!F45</f>
        <v>0</v>
      </c>
      <c r="AS45" s="152">
        <f ca="1">+RESUMEN!G45</f>
        <v>0</v>
      </c>
      <c r="AT45" s="153">
        <f t="shared" ca="1" si="73"/>
        <v>0</v>
      </c>
      <c r="AU45" s="154">
        <f t="shared" si="28"/>
        <v>0</v>
      </c>
      <c r="AV45" s="154">
        <f t="shared" si="29"/>
        <v>0</v>
      </c>
      <c r="AW45" s="154">
        <f t="shared" ca="1" si="74"/>
        <v>0</v>
      </c>
      <c r="AX45" s="153"/>
      <c r="AY45" s="154">
        <f t="shared" ca="1" si="75"/>
        <v>0</v>
      </c>
      <c r="AZ45" s="154">
        <f t="shared" ca="1" si="76"/>
        <v>0</v>
      </c>
      <c r="BA45" s="154">
        <f t="shared" ca="1" si="55"/>
        <v>0</v>
      </c>
      <c r="BB45" s="156">
        <f t="shared" ca="1" si="30"/>
        <v>0</v>
      </c>
      <c r="BC45" s="156">
        <f t="shared" ca="1" si="56"/>
        <v>0</v>
      </c>
      <c r="BD45" s="157" t="str">
        <f t="shared" ca="1" si="77"/>
        <v/>
      </c>
      <c r="BE45" s="103"/>
      <c r="BF45" s="106">
        <f t="shared" ca="1" si="32"/>
        <v>0</v>
      </c>
      <c r="BG45" s="106">
        <f t="shared" ca="1" si="33"/>
        <v>0</v>
      </c>
      <c r="BH45" s="106">
        <f t="shared" ca="1" si="57"/>
        <v>0</v>
      </c>
      <c r="BI45" s="158">
        <f t="shared" ca="1" si="34"/>
        <v>0</v>
      </c>
      <c r="BJ45" s="158">
        <f t="shared" ca="1" si="58"/>
        <v>0</v>
      </c>
      <c r="BK45" s="159" t="str">
        <f t="shared" ca="1" si="78"/>
        <v/>
      </c>
      <c r="BL45" s="103"/>
      <c r="BM45" s="160">
        <f t="shared" ca="1" si="36"/>
        <v>0</v>
      </c>
      <c r="BN45" s="160">
        <f t="shared" ca="1" si="37"/>
        <v>0</v>
      </c>
      <c r="BO45" s="160">
        <f t="shared" ca="1" si="59"/>
        <v>0</v>
      </c>
      <c r="BP45" s="161">
        <f t="shared" ca="1" si="38"/>
        <v>0</v>
      </c>
      <c r="BQ45" s="161">
        <f t="shared" ca="1" si="60"/>
        <v>0</v>
      </c>
      <c r="BR45" s="162" t="str">
        <f t="shared" ca="1" si="79"/>
        <v/>
      </c>
      <c r="BS45" s="103"/>
      <c r="BT45" s="163">
        <f t="shared" ca="1" si="40"/>
        <v>0</v>
      </c>
      <c r="BU45" s="163">
        <f t="shared" ca="1" si="41"/>
        <v>0</v>
      </c>
      <c r="BV45" s="163">
        <f t="shared" ca="1" si="61"/>
        <v>0</v>
      </c>
      <c r="BW45" s="164">
        <f t="shared" ca="1" si="42"/>
        <v>0</v>
      </c>
      <c r="BX45" s="164">
        <f t="shared" ca="1" si="62"/>
        <v>0</v>
      </c>
      <c r="BY45" s="165" t="str">
        <f t="shared" ca="1" si="80"/>
        <v/>
      </c>
      <c r="BZ45" s="103"/>
      <c r="CA45" s="166">
        <f t="shared" ca="1" si="44"/>
        <v>0</v>
      </c>
      <c r="CB45" s="166">
        <f t="shared" ca="1" si="45"/>
        <v>0</v>
      </c>
      <c r="CC45" s="166">
        <f t="shared" ca="1" si="63"/>
        <v>0</v>
      </c>
      <c r="CD45" s="167">
        <f t="shared" ca="1" si="46"/>
        <v>0</v>
      </c>
      <c r="CE45" s="167">
        <f t="shared" ca="1" si="64"/>
        <v>0</v>
      </c>
      <c r="CF45" s="168" t="str">
        <f t="shared" ca="1" si="81"/>
        <v/>
      </c>
      <c r="CG45" s="103"/>
      <c r="CH45" s="169">
        <f t="shared" ca="1" si="48"/>
        <v>0</v>
      </c>
      <c r="CI45" s="169">
        <f t="shared" ca="1" si="49"/>
        <v>0</v>
      </c>
      <c r="CJ45" s="169">
        <f t="shared" ca="1" si="65"/>
        <v>0</v>
      </c>
      <c r="CK45" s="170">
        <f t="shared" ca="1" si="50"/>
        <v>0</v>
      </c>
      <c r="CL45" s="170">
        <f t="shared" ca="1" si="66"/>
        <v>0</v>
      </c>
      <c r="CM45" s="171" t="str">
        <f t="shared" ca="1" si="82"/>
        <v/>
      </c>
      <c r="CN45" s="103"/>
      <c r="CO45" s="151">
        <v>42</v>
      </c>
      <c r="CP45" s="403">
        <v>0.18</v>
      </c>
      <c r="CQ45" s="103">
        <f t="shared" si="52"/>
        <v>0</v>
      </c>
      <c r="CR45" s="409">
        <f t="shared" si="53"/>
        <v>0.18</v>
      </c>
      <c r="CS45" s="103">
        <f t="shared" si="54"/>
        <v>1</v>
      </c>
      <c r="CT45" s="103"/>
    </row>
    <row r="46" spans="1:98">
      <c r="A46" s="183">
        <v>10</v>
      </c>
      <c r="B46" s="184">
        <f ca="1">RESUMEN!J13</f>
        <v>0</v>
      </c>
      <c r="C46" s="184">
        <f ca="1">+RESUMEN!K13</f>
        <v>0</v>
      </c>
      <c r="D46" s="185">
        <f t="shared" ca="1" si="83"/>
        <v>0</v>
      </c>
      <c r="E46" s="176"/>
      <c r="F46" s="176"/>
      <c r="G46" s="176"/>
      <c r="H46" s="176"/>
      <c r="I46" s="176"/>
      <c r="J46" s="175">
        <v>43</v>
      </c>
      <c r="K46" s="67">
        <v>36172.97</v>
      </c>
      <c r="L46" s="67">
        <v>54429.95</v>
      </c>
      <c r="M46" s="67">
        <v>32109.15</v>
      </c>
      <c r="N46" s="67">
        <v>48315.07</v>
      </c>
      <c r="O46" s="67">
        <v>28429.98</v>
      </c>
      <c r="P46" s="67">
        <v>42778.97</v>
      </c>
      <c r="Q46" s="147">
        <f t="shared" si="67"/>
        <v>0</v>
      </c>
      <c r="R46" s="147">
        <f t="shared" si="68"/>
        <v>0</v>
      </c>
      <c r="S46" s="147">
        <f t="shared" si="69"/>
        <v>0</v>
      </c>
      <c r="T46" s="147">
        <f t="shared" si="70"/>
        <v>0</v>
      </c>
      <c r="U46" s="147">
        <f t="shared" si="71"/>
        <v>0</v>
      </c>
      <c r="V46" s="147">
        <f t="shared" si="72"/>
        <v>0</v>
      </c>
      <c r="W46" s="103"/>
      <c r="X46" s="148"/>
      <c r="Y46" s="148"/>
      <c r="Z46" s="147">
        <f t="shared" si="16"/>
        <v>0</v>
      </c>
      <c r="AA46" s="147">
        <f t="shared" si="17"/>
        <v>0</v>
      </c>
      <c r="AB46" s="147">
        <f t="shared" si="18"/>
        <v>0</v>
      </c>
      <c r="AC46" s="147">
        <f t="shared" si="19"/>
        <v>0</v>
      </c>
      <c r="AD46" s="149"/>
      <c r="AE46" s="149"/>
      <c r="AF46" s="147">
        <f t="shared" si="20"/>
        <v>0</v>
      </c>
      <c r="AG46" s="147">
        <f t="shared" si="21"/>
        <v>0</v>
      </c>
      <c r="AH46" s="147">
        <f t="shared" si="22"/>
        <v>0</v>
      </c>
      <c r="AI46" s="147">
        <f t="shared" si="23"/>
        <v>0</v>
      </c>
      <c r="AJ46" s="148"/>
      <c r="AK46" s="150"/>
      <c r="AL46" s="147">
        <f t="shared" si="24"/>
        <v>0</v>
      </c>
      <c r="AM46" s="147">
        <f t="shared" si="25"/>
        <v>0</v>
      </c>
      <c r="AN46" s="147">
        <f t="shared" si="26"/>
        <v>0</v>
      </c>
      <c r="AO46" s="147">
        <f t="shared" si="27"/>
        <v>0</v>
      </c>
      <c r="AP46" s="103"/>
      <c r="AQ46" s="151">
        <v>43</v>
      </c>
      <c r="AR46" s="152">
        <f ca="1">+RESUMEN!F46</f>
        <v>0</v>
      </c>
      <c r="AS46" s="152">
        <f ca="1">+RESUMEN!G46</f>
        <v>0</v>
      </c>
      <c r="AT46" s="153">
        <f t="shared" ca="1" si="73"/>
        <v>0</v>
      </c>
      <c r="AU46" s="154">
        <f t="shared" si="28"/>
        <v>0</v>
      </c>
      <c r="AV46" s="154">
        <f t="shared" si="29"/>
        <v>0</v>
      </c>
      <c r="AW46" s="154">
        <f t="shared" ca="1" si="74"/>
        <v>0</v>
      </c>
      <c r="AX46" s="153"/>
      <c r="AY46" s="154">
        <f t="shared" ca="1" si="75"/>
        <v>0</v>
      </c>
      <c r="AZ46" s="154">
        <f t="shared" ca="1" si="76"/>
        <v>0</v>
      </c>
      <c r="BA46" s="154">
        <f t="shared" ca="1" si="55"/>
        <v>0</v>
      </c>
      <c r="BB46" s="156">
        <f t="shared" ca="1" si="30"/>
        <v>0</v>
      </c>
      <c r="BC46" s="156">
        <f t="shared" ca="1" si="56"/>
        <v>0</v>
      </c>
      <c r="BD46" s="157" t="str">
        <f t="shared" ca="1" si="77"/>
        <v/>
      </c>
      <c r="BE46" s="103"/>
      <c r="BF46" s="106">
        <f t="shared" ca="1" si="32"/>
        <v>0</v>
      </c>
      <c r="BG46" s="106">
        <f t="shared" ca="1" si="33"/>
        <v>0</v>
      </c>
      <c r="BH46" s="106">
        <f t="shared" ca="1" si="57"/>
        <v>0</v>
      </c>
      <c r="BI46" s="158">
        <f t="shared" ca="1" si="34"/>
        <v>0</v>
      </c>
      <c r="BJ46" s="158">
        <f t="shared" ca="1" si="58"/>
        <v>0</v>
      </c>
      <c r="BK46" s="159" t="str">
        <f t="shared" ca="1" si="78"/>
        <v/>
      </c>
      <c r="BL46" s="103"/>
      <c r="BM46" s="160">
        <f t="shared" ca="1" si="36"/>
        <v>0</v>
      </c>
      <c r="BN46" s="160">
        <f t="shared" ca="1" si="37"/>
        <v>0</v>
      </c>
      <c r="BO46" s="160">
        <f t="shared" ca="1" si="59"/>
        <v>0</v>
      </c>
      <c r="BP46" s="161">
        <f t="shared" ca="1" si="38"/>
        <v>0</v>
      </c>
      <c r="BQ46" s="161">
        <f t="shared" ca="1" si="60"/>
        <v>0</v>
      </c>
      <c r="BR46" s="162" t="str">
        <f t="shared" ca="1" si="79"/>
        <v/>
      </c>
      <c r="BS46" s="103"/>
      <c r="BT46" s="163">
        <f t="shared" ca="1" si="40"/>
        <v>0</v>
      </c>
      <c r="BU46" s="163">
        <f t="shared" ca="1" si="41"/>
        <v>0</v>
      </c>
      <c r="BV46" s="163">
        <f t="shared" ca="1" si="61"/>
        <v>0</v>
      </c>
      <c r="BW46" s="164">
        <f t="shared" ca="1" si="42"/>
        <v>0</v>
      </c>
      <c r="BX46" s="164">
        <f t="shared" ca="1" si="62"/>
        <v>0</v>
      </c>
      <c r="BY46" s="165" t="str">
        <f t="shared" ca="1" si="80"/>
        <v/>
      </c>
      <c r="BZ46" s="103"/>
      <c r="CA46" s="166">
        <f t="shared" ca="1" si="44"/>
        <v>0</v>
      </c>
      <c r="CB46" s="166">
        <f t="shared" ca="1" si="45"/>
        <v>0</v>
      </c>
      <c r="CC46" s="166">
        <f t="shared" ca="1" si="63"/>
        <v>0</v>
      </c>
      <c r="CD46" s="167">
        <f t="shared" ca="1" si="46"/>
        <v>0</v>
      </c>
      <c r="CE46" s="167">
        <f t="shared" ca="1" si="64"/>
        <v>0</v>
      </c>
      <c r="CF46" s="168" t="str">
        <f t="shared" ca="1" si="81"/>
        <v/>
      </c>
      <c r="CG46" s="103"/>
      <c r="CH46" s="169">
        <f t="shared" ca="1" si="48"/>
        <v>0</v>
      </c>
      <c r="CI46" s="169">
        <f t="shared" ca="1" si="49"/>
        <v>0</v>
      </c>
      <c r="CJ46" s="169">
        <f t="shared" ca="1" si="65"/>
        <v>0</v>
      </c>
      <c r="CK46" s="170">
        <f t="shared" ca="1" si="50"/>
        <v>0</v>
      </c>
      <c r="CL46" s="170">
        <f t="shared" ca="1" si="66"/>
        <v>0</v>
      </c>
      <c r="CM46" s="171" t="str">
        <f t="shared" ca="1" si="82"/>
        <v/>
      </c>
      <c r="CN46" s="103"/>
      <c r="CO46" s="151">
        <v>43</v>
      </c>
      <c r="CP46" s="403">
        <v>0.18</v>
      </c>
      <c r="CQ46" s="103">
        <f t="shared" si="52"/>
        <v>0</v>
      </c>
      <c r="CR46" s="409">
        <f t="shared" si="53"/>
        <v>0.18</v>
      </c>
      <c r="CS46" s="103">
        <f t="shared" si="54"/>
        <v>1</v>
      </c>
      <c r="CT46" s="103"/>
    </row>
    <row r="47" spans="1:98">
      <c r="A47" s="183">
        <v>11</v>
      </c>
      <c r="B47" s="184">
        <f ca="1">RESUMEN!J14</f>
        <v>0</v>
      </c>
      <c r="C47" s="184">
        <f ca="1">+RESUMEN!K14</f>
        <v>0</v>
      </c>
      <c r="D47" s="185">
        <f t="shared" ca="1" si="83"/>
        <v>0</v>
      </c>
      <c r="E47" s="176"/>
      <c r="F47" s="176"/>
      <c r="G47" s="176"/>
      <c r="H47" s="176"/>
      <c r="I47" s="176"/>
      <c r="J47" s="175">
        <v>44</v>
      </c>
      <c r="K47" s="67">
        <v>36774.17</v>
      </c>
      <c r="L47" s="67">
        <v>55175.72</v>
      </c>
      <c r="M47" s="67">
        <v>32642.81</v>
      </c>
      <c r="N47" s="67">
        <v>48977.06</v>
      </c>
      <c r="O47" s="67">
        <v>28902.49</v>
      </c>
      <c r="P47" s="67">
        <v>43365.1</v>
      </c>
      <c r="Q47" s="147">
        <f t="shared" si="67"/>
        <v>0</v>
      </c>
      <c r="R47" s="147">
        <f t="shared" si="68"/>
        <v>0</v>
      </c>
      <c r="S47" s="147">
        <f t="shared" si="69"/>
        <v>0</v>
      </c>
      <c r="T47" s="147">
        <f t="shared" si="70"/>
        <v>0</v>
      </c>
      <c r="U47" s="147">
        <f t="shared" si="71"/>
        <v>0</v>
      </c>
      <c r="V47" s="147">
        <f t="shared" si="72"/>
        <v>0</v>
      </c>
      <c r="W47" s="103"/>
      <c r="X47" s="148"/>
      <c r="Y47" s="148"/>
      <c r="Z47" s="147">
        <f t="shared" si="16"/>
        <v>0</v>
      </c>
      <c r="AA47" s="147">
        <f t="shared" si="17"/>
        <v>0</v>
      </c>
      <c r="AB47" s="147">
        <f t="shared" si="18"/>
        <v>0</v>
      </c>
      <c r="AC47" s="147">
        <f t="shared" si="19"/>
        <v>0</v>
      </c>
      <c r="AD47" s="149"/>
      <c r="AE47" s="149"/>
      <c r="AF47" s="147">
        <f t="shared" si="20"/>
        <v>0</v>
      </c>
      <c r="AG47" s="147">
        <f t="shared" si="21"/>
        <v>0</v>
      </c>
      <c r="AH47" s="147">
        <f t="shared" si="22"/>
        <v>0</v>
      </c>
      <c r="AI47" s="147">
        <f t="shared" si="23"/>
        <v>0</v>
      </c>
      <c r="AJ47" s="148"/>
      <c r="AK47" s="150"/>
      <c r="AL47" s="147">
        <f t="shared" si="24"/>
        <v>0</v>
      </c>
      <c r="AM47" s="147">
        <f t="shared" si="25"/>
        <v>0</v>
      </c>
      <c r="AN47" s="147">
        <f t="shared" si="26"/>
        <v>0</v>
      </c>
      <c r="AO47" s="147">
        <f t="shared" si="27"/>
        <v>0</v>
      </c>
      <c r="AP47" s="103"/>
      <c r="AQ47" s="151">
        <v>44</v>
      </c>
      <c r="AR47" s="152">
        <f ca="1">+RESUMEN!F47</f>
        <v>0</v>
      </c>
      <c r="AS47" s="152">
        <f ca="1">+RESUMEN!G47</f>
        <v>0</v>
      </c>
      <c r="AT47" s="153">
        <f t="shared" ca="1" si="73"/>
        <v>0</v>
      </c>
      <c r="AU47" s="154">
        <f t="shared" si="28"/>
        <v>0</v>
      </c>
      <c r="AV47" s="154">
        <f t="shared" si="29"/>
        <v>0</v>
      </c>
      <c r="AW47" s="154">
        <f t="shared" ca="1" si="74"/>
        <v>0</v>
      </c>
      <c r="AX47" s="153"/>
      <c r="AY47" s="154">
        <f t="shared" ca="1" si="75"/>
        <v>0</v>
      </c>
      <c r="AZ47" s="154">
        <f t="shared" ca="1" si="76"/>
        <v>0</v>
      </c>
      <c r="BA47" s="154">
        <f t="shared" ca="1" si="55"/>
        <v>0</v>
      </c>
      <c r="BB47" s="156">
        <f t="shared" ca="1" si="30"/>
        <v>0</v>
      </c>
      <c r="BC47" s="156">
        <f t="shared" ca="1" si="56"/>
        <v>0</v>
      </c>
      <c r="BD47" s="157" t="str">
        <f t="shared" ca="1" si="77"/>
        <v/>
      </c>
      <c r="BE47" s="103"/>
      <c r="BF47" s="106">
        <f t="shared" ca="1" si="32"/>
        <v>0</v>
      </c>
      <c r="BG47" s="106">
        <f t="shared" ca="1" si="33"/>
        <v>0</v>
      </c>
      <c r="BH47" s="106">
        <f t="shared" ca="1" si="57"/>
        <v>0</v>
      </c>
      <c r="BI47" s="158">
        <f t="shared" ca="1" si="34"/>
        <v>0</v>
      </c>
      <c r="BJ47" s="158">
        <f t="shared" ca="1" si="58"/>
        <v>0</v>
      </c>
      <c r="BK47" s="159" t="str">
        <f t="shared" ca="1" si="78"/>
        <v/>
      </c>
      <c r="BL47" s="103"/>
      <c r="BM47" s="160">
        <f t="shared" ca="1" si="36"/>
        <v>0</v>
      </c>
      <c r="BN47" s="160">
        <f t="shared" ca="1" si="37"/>
        <v>0</v>
      </c>
      <c r="BO47" s="160">
        <f t="shared" ca="1" si="59"/>
        <v>0</v>
      </c>
      <c r="BP47" s="161">
        <f t="shared" ca="1" si="38"/>
        <v>0</v>
      </c>
      <c r="BQ47" s="161">
        <f t="shared" ca="1" si="60"/>
        <v>0</v>
      </c>
      <c r="BR47" s="162" t="str">
        <f t="shared" ca="1" si="79"/>
        <v/>
      </c>
      <c r="BS47" s="103"/>
      <c r="BT47" s="163">
        <f t="shared" ca="1" si="40"/>
        <v>0</v>
      </c>
      <c r="BU47" s="163">
        <f t="shared" ca="1" si="41"/>
        <v>0</v>
      </c>
      <c r="BV47" s="163">
        <f t="shared" ca="1" si="61"/>
        <v>0</v>
      </c>
      <c r="BW47" s="164">
        <f t="shared" ca="1" si="42"/>
        <v>0</v>
      </c>
      <c r="BX47" s="164">
        <f t="shared" ca="1" si="62"/>
        <v>0</v>
      </c>
      <c r="BY47" s="165" t="str">
        <f t="shared" ca="1" si="80"/>
        <v/>
      </c>
      <c r="BZ47" s="103"/>
      <c r="CA47" s="166">
        <f t="shared" ca="1" si="44"/>
        <v>0</v>
      </c>
      <c r="CB47" s="166">
        <f t="shared" ca="1" si="45"/>
        <v>0</v>
      </c>
      <c r="CC47" s="166">
        <f t="shared" ca="1" si="63"/>
        <v>0</v>
      </c>
      <c r="CD47" s="167">
        <f t="shared" ca="1" si="46"/>
        <v>0</v>
      </c>
      <c r="CE47" s="167">
        <f t="shared" ca="1" si="64"/>
        <v>0</v>
      </c>
      <c r="CF47" s="168" t="str">
        <f t="shared" ca="1" si="81"/>
        <v/>
      </c>
      <c r="CG47" s="103"/>
      <c r="CH47" s="169">
        <f t="shared" ca="1" si="48"/>
        <v>0</v>
      </c>
      <c r="CI47" s="169">
        <f t="shared" ca="1" si="49"/>
        <v>0</v>
      </c>
      <c r="CJ47" s="169">
        <f t="shared" ca="1" si="65"/>
        <v>0</v>
      </c>
      <c r="CK47" s="170">
        <f t="shared" ca="1" si="50"/>
        <v>0</v>
      </c>
      <c r="CL47" s="170">
        <f t="shared" ca="1" si="66"/>
        <v>0</v>
      </c>
      <c r="CM47" s="171" t="str">
        <f t="shared" ca="1" si="82"/>
        <v/>
      </c>
      <c r="CN47" s="103"/>
      <c r="CO47" s="151">
        <v>44</v>
      </c>
      <c r="CP47" s="403">
        <v>0.18</v>
      </c>
      <c r="CQ47" s="103">
        <f t="shared" si="52"/>
        <v>0</v>
      </c>
      <c r="CR47" s="409">
        <f t="shared" si="53"/>
        <v>0.18</v>
      </c>
      <c r="CS47" s="103">
        <f t="shared" si="54"/>
        <v>1</v>
      </c>
      <c r="CT47" s="103"/>
    </row>
    <row r="48" spans="1:98">
      <c r="A48" s="183">
        <v>12</v>
      </c>
      <c r="B48" s="184">
        <f ca="1">RESUMEN!J15</f>
        <v>0</v>
      </c>
      <c r="C48" s="184">
        <f ca="1">+RESUMEN!K15</f>
        <v>0</v>
      </c>
      <c r="D48" s="185">
        <f t="shared" ca="1" si="83"/>
        <v>0</v>
      </c>
      <c r="E48" s="176"/>
      <c r="F48" s="176"/>
      <c r="G48" s="176"/>
      <c r="H48" s="176"/>
      <c r="I48" s="176"/>
      <c r="J48" s="175">
        <v>45</v>
      </c>
      <c r="K48" s="67">
        <v>37598.1</v>
      </c>
      <c r="L48" s="67">
        <v>55701.03</v>
      </c>
      <c r="M48" s="67">
        <v>33374.18</v>
      </c>
      <c r="N48" s="67">
        <v>49443.35</v>
      </c>
      <c r="O48" s="67">
        <v>29550.05</v>
      </c>
      <c r="P48" s="67">
        <v>43777.97</v>
      </c>
      <c r="Q48" s="147">
        <f t="shared" si="67"/>
        <v>0</v>
      </c>
      <c r="R48" s="147">
        <f t="shared" si="68"/>
        <v>0</v>
      </c>
      <c r="S48" s="147">
        <f t="shared" si="69"/>
        <v>0</v>
      </c>
      <c r="T48" s="147">
        <f t="shared" si="70"/>
        <v>0</v>
      </c>
      <c r="U48" s="147">
        <f t="shared" si="71"/>
        <v>0</v>
      </c>
      <c r="V48" s="147">
        <f t="shared" si="72"/>
        <v>0</v>
      </c>
      <c r="W48" s="103"/>
      <c r="X48" s="148"/>
      <c r="Y48" s="148"/>
      <c r="Z48" s="147">
        <f t="shared" si="16"/>
        <v>0</v>
      </c>
      <c r="AA48" s="147">
        <f t="shared" si="17"/>
        <v>0</v>
      </c>
      <c r="AB48" s="147">
        <f t="shared" si="18"/>
        <v>0</v>
      </c>
      <c r="AC48" s="147">
        <f t="shared" si="19"/>
        <v>0</v>
      </c>
      <c r="AD48" s="149"/>
      <c r="AE48" s="149"/>
      <c r="AF48" s="147">
        <f t="shared" si="20"/>
        <v>0</v>
      </c>
      <c r="AG48" s="147">
        <f t="shared" si="21"/>
        <v>0</v>
      </c>
      <c r="AH48" s="147">
        <f t="shared" si="22"/>
        <v>0</v>
      </c>
      <c r="AI48" s="147">
        <f t="shared" si="23"/>
        <v>0</v>
      </c>
      <c r="AJ48" s="148"/>
      <c r="AK48" s="150"/>
      <c r="AL48" s="147">
        <f t="shared" si="24"/>
        <v>0</v>
      </c>
      <c r="AM48" s="147">
        <f t="shared" si="25"/>
        <v>0</v>
      </c>
      <c r="AN48" s="147">
        <f t="shared" si="26"/>
        <v>0</v>
      </c>
      <c r="AO48" s="147">
        <f t="shared" si="27"/>
        <v>0</v>
      </c>
      <c r="AP48" s="103"/>
      <c r="AQ48" s="151">
        <v>45</v>
      </c>
      <c r="AR48" s="152">
        <f ca="1">+RESUMEN!F48</f>
        <v>0</v>
      </c>
      <c r="AS48" s="152">
        <f ca="1">+RESUMEN!G48</f>
        <v>0</v>
      </c>
      <c r="AT48" s="153">
        <f t="shared" ca="1" si="73"/>
        <v>0</v>
      </c>
      <c r="AU48" s="154">
        <f t="shared" si="28"/>
        <v>0</v>
      </c>
      <c r="AV48" s="154">
        <f t="shared" si="29"/>
        <v>0</v>
      </c>
      <c r="AW48" s="154">
        <f t="shared" ca="1" si="74"/>
        <v>0</v>
      </c>
      <c r="AX48" s="153"/>
      <c r="AY48" s="154">
        <f t="shared" ca="1" si="75"/>
        <v>0</v>
      </c>
      <c r="AZ48" s="154">
        <f t="shared" ca="1" si="76"/>
        <v>0</v>
      </c>
      <c r="BA48" s="155"/>
      <c r="BB48" s="156">
        <f t="shared" ca="1" si="30"/>
        <v>0</v>
      </c>
      <c r="BC48" s="156">
        <f t="shared" ref="BC48:BC103" ca="1" si="84">(($AZ48*$AS48)+($AU48*$C187)+($AV48*$C81)+($AS48*$AW48))*CS48</f>
        <v>0</v>
      </c>
      <c r="BD48" s="157" t="str">
        <f t="shared" ca="1" si="77"/>
        <v/>
      </c>
      <c r="BE48" s="103"/>
      <c r="BF48" s="106">
        <f t="shared" ca="1" si="32"/>
        <v>0</v>
      </c>
      <c r="BG48" s="106">
        <f t="shared" ca="1" si="33"/>
        <v>0</v>
      </c>
      <c r="BH48" s="155"/>
      <c r="BI48" s="158">
        <f t="shared" ca="1" si="34"/>
        <v>0</v>
      </c>
      <c r="BJ48" s="158">
        <f t="shared" ref="BJ48:BJ103" ca="1" si="85">(($BG48*$AS48)+($AU48*$C187)+($AV48*$C81)+($AS48*$AW48))*CS48</f>
        <v>0</v>
      </c>
      <c r="BK48" s="159" t="str">
        <f t="shared" ca="1" si="78"/>
        <v/>
      </c>
      <c r="BL48" s="103"/>
      <c r="BM48" s="160">
        <f t="shared" ca="1" si="36"/>
        <v>0</v>
      </c>
      <c r="BN48" s="160">
        <f t="shared" ca="1" si="37"/>
        <v>0</v>
      </c>
      <c r="BO48" s="155"/>
      <c r="BP48" s="161">
        <f t="shared" ca="1" si="38"/>
        <v>0</v>
      </c>
      <c r="BQ48" s="161">
        <f t="shared" ref="BQ48:BQ103" ca="1" si="86">(($BN48*$AS48)+($AU48*$C187)+($AV48*$C81)+($AS48*$AW48))*CS48</f>
        <v>0</v>
      </c>
      <c r="BR48" s="162" t="str">
        <f t="shared" ca="1" si="79"/>
        <v/>
      </c>
      <c r="BS48" s="103"/>
      <c r="BT48" s="163">
        <f t="shared" ca="1" si="40"/>
        <v>0</v>
      </c>
      <c r="BU48" s="163">
        <f t="shared" ca="1" si="41"/>
        <v>0</v>
      </c>
      <c r="BV48" s="155"/>
      <c r="BW48" s="164">
        <f t="shared" ca="1" si="42"/>
        <v>0</v>
      </c>
      <c r="BX48" s="164">
        <f t="shared" ref="BX48:BX103" ca="1" si="87">(($BU48*$AS48)+($AU48*$C187)+($AV48*$C81)+($AS48*$AW48))*CS48</f>
        <v>0</v>
      </c>
      <c r="BY48" s="165" t="str">
        <f t="shared" ca="1" si="80"/>
        <v/>
      </c>
      <c r="BZ48" s="103"/>
      <c r="CA48" s="166">
        <f t="shared" ca="1" si="44"/>
        <v>0</v>
      </c>
      <c r="CB48" s="166">
        <f t="shared" ca="1" si="45"/>
        <v>0</v>
      </c>
      <c r="CC48" s="155"/>
      <c r="CD48" s="167">
        <f t="shared" ca="1" si="46"/>
        <v>0</v>
      </c>
      <c r="CE48" s="167">
        <f t="shared" ref="CE48:CE103" ca="1" si="88">(($CB48*$AS48)+($AU48*$C187)+($AV48*$C81)+($AS48*$AW48))*CS48</f>
        <v>0</v>
      </c>
      <c r="CF48" s="168" t="str">
        <f t="shared" ca="1" si="81"/>
        <v/>
      </c>
      <c r="CG48" s="103"/>
      <c r="CH48" s="169">
        <f t="shared" ca="1" si="48"/>
        <v>0</v>
      </c>
      <c r="CI48" s="169">
        <f t="shared" ca="1" si="49"/>
        <v>0</v>
      </c>
      <c r="CJ48" s="155"/>
      <c r="CK48" s="170">
        <f t="shared" ca="1" si="50"/>
        <v>0</v>
      </c>
      <c r="CL48" s="170">
        <f t="shared" ref="CL48:CL103" ca="1" si="89">(($CI48*$AS48)+($AU48*$C187)+($AV48*$C81)+($AS48*$AW48))*CS48</f>
        <v>0</v>
      </c>
      <c r="CM48" s="171" t="str">
        <f t="shared" ca="1" si="82"/>
        <v/>
      </c>
      <c r="CN48" s="103"/>
      <c r="CO48" s="151">
        <v>45</v>
      </c>
      <c r="CP48" s="403">
        <v>0.18</v>
      </c>
      <c r="CQ48" s="103">
        <f t="shared" si="52"/>
        <v>0</v>
      </c>
      <c r="CR48" s="409">
        <f t="shared" si="53"/>
        <v>0.18</v>
      </c>
      <c r="CS48" s="103">
        <f t="shared" si="54"/>
        <v>1</v>
      </c>
      <c r="CT48" s="103"/>
    </row>
    <row r="49" spans="1:98">
      <c r="A49" s="183">
        <v>13</v>
      </c>
      <c r="B49" s="184">
        <f ca="1">RESUMEN!J16</f>
        <v>0</v>
      </c>
      <c r="C49" s="184">
        <f ca="1">+RESUMEN!K16</f>
        <v>0</v>
      </c>
      <c r="D49" s="185">
        <f t="shared" ca="1" si="83"/>
        <v>0</v>
      </c>
      <c r="E49" s="176"/>
      <c r="F49" s="176"/>
      <c r="G49" s="176"/>
      <c r="H49" s="176"/>
      <c r="I49" s="176"/>
      <c r="J49" s="175">
        <v>46</v>
      </c>
      <c r="K49" s="67">
        <v>38609.75</v>
      </c>
      <c r="L49" s="67">
        <v>57284.86</v>
      </c>
      <c r="M49" s="67">
        <v>34272.18</v>
      </c>
      <c r="N49" s="67">
        <v>50849.25</v>
      </c>
      <c r="O49" s="67">
        <v>30345.16</v>
      </c>
      <c r="P49" s="67">
        <v>45022.77</v>
      </c>
      <c r="Q49" s="147">
        <f t="shared" si="67"/>
        <v>0</v>
      </c>
      <c r="R49" s="147">
        <f t="shared" si="68"/>
        <v>0</v>
      </c>
      <c r="S49" s="147">
        <f t="shared" si="69"/>
        <v>0</v>
      </c>
      <c r="T49" s="147">
        <f t="shared" si="70"/>
        <v>0</v>
      </c>
      <c r="U49" s="147">
        <f t="shared" si="71"/>
        <v>0</v>
      </c>
      <c r="V49" s="147">
        <f t="shared" si="72"/>
        <v>0</v>
      </c>
      <c r="W49" s="103"/>
      <c r="X49" s="148"/>
      <c r="Y49" s="148"/>
      <c r="Z49" s="147">
        <f t="shared" si="16"/>
        <v>0</v>
      </c>
      <c r="AA49" s="147">
        <f t="shared" si="17"/>
        <v>0</v>
      </c>
      <c r="AB49" s="147">
        <f t="shared" si="18"/>
        <v>0</v>
      </c>
      <c r="AC49" s="147">
        <f t="shared" si="19"/>
        <v>0</v>
      </c>
      <c r="AD49" s="149"/>
      <c r="AE49" s="149"/>
      <c r="AF49" s="147">
        <f t="shared" si="20"/>
        <v>0</v>
      </c>
      <c r="AG49" s="147">
        <f t="shared" si="21"/>
        <v>0</v>
      </c>
      <c r="AH49" s="147">
        <f t="shared" si="22"/>
        <v>0</v>
      </c>
      <c r="AI49" s="147">
        <f t="shared" si="23"/>
        <v>0</v>
      </c>
      <c r="AJ49" s="148"/>
      <c r="AK49" s="150"/>
      <c r="AL49" s="147">
        <f t="shared" si="24"/>
        <v>0</v>
      </c>
      <c r="AM49" s="147">
        <f t="shared" si="25"/>
        <v>0</v>
      </c>
      <c r="AN49" s="147">
        <f t="shared" si="26"/>
        <v>0</v>
      </c>
      <c r="AO49" s="147">
        <f t="shared" si="27"/>
        <v>0</v>
      </c>
      <c r="AP49" s="103"/>
      <c r="AQ49" s="151">
        <v>46</v>
      </c>
      <c r="AR49" s="152">
        <f ca="1">+RESUMEN!F49</f>
        <v>0</v>
      </c>
      <c r="AS49" s="152">
        <f ca="1">+RESUMEN!G49</f>
        <v>0</v>
      </c>
      <c r="AT49" s="153">
        <f t="shared" ca="1" si="73"/>
        <v>0</v>
      </c>
      <c r="AU49" s="154">
        <f t="shared" si="28"/>
        <v>0</v>
      </c>
      <c r="AV49" s="154">
        <f t="shared" si="29"/>
        <v>0</v>
      </c>
      <c r="AW49" s="154">
        <f t="shared" ca="1" si="74"/>
        <v>0</v>
      </c>
      <c r="AX49" s="153"/>
      <c r="AY49" s="154">
        <f t="shared" ca="1" si="75"/>
        <v>0</v>
      </c>
      <c r="AZ49" s="154">
        <f t="shared" ca="1" si="76"/>
        <v>0</v>
      </c>
      <c r="BA49" s="155"/>
      <c r="BB49" s="156">
        <f t="shared" ca="1" si="30"/>
        <v>0</v>
      </c>
      <c r="BC49" s="156">
        <f t="shared" ca="1" si="84"/>
        <v>0</v>
      </c>
      <c r="BD49" s="157" t="str">
        <f t="shared" ca="1" si="77"/>
        <v/>
      </c>
      <c r="BE49" s="103"/>
      <c r="BF49" s="106">
        <f t="shared" ca="1" si="32"/>
        <v>0</v>
      </c>
      <c r="BG49" s="106">
        <f t="shared" ca="1" si="33"/>
        <v>0</v>
      </c>
      <c r="BH49" s="155"/>
      <c r="BI49" s="158">
        <f t="shared" ca="1" si="34"/>
        <v>0</v>
      </c>
      <c r="BJ49" s="158">
        <f t="shared" ca="1" si="85"/>
        <v>0</v>
      </c>
      <c r="BK49" s="159" t="str">
        <f t="shared" ca="1" si="78"/>
        <v/>
      </c>
      <c r="BL49" s="103"/>
      <c r="BM49" s="160">
        <f t="shared" ca="1" si="36"/>
        <v>0</v>
      </c>
      <c r="BN49" s="160">
        <f t="shared" ca="1" si="37"/>
        <v>0</v>
      </c>
      <c r="BO49" s="155"/>
      <c r="BP49" s="161">
        <f t="shared" ca="1" si="38"/>
        <v>0</v>
      </c>
      <c r="BQ49" s="161">
        <f t="shared" ca="1" si="86"/>
        <v>0</v>
      </c>
      <c r="BR49" s="162" t="str">
        <f t="shared" ca="1" si="79"/>
        <v/>
      </c>
      <c r="BS49" s="103"/>
      <c r="BT49" s="163">
        <f t="shared" ca="1" si="40"/>
        <v>0</v>
      </c>
      <c r="BU49" s="163">
        <f t="shared" ca="1" si="41"/>
        <v>0</v>
      </c>
      <c r="BV49" s="155"/>
      <c r="BW49" s="164">
        <f t="shared" ca="1" si="42"/>
        <v>0</v>
      </c>
      <c r="BX49" s="164">
        <f t="shared" ca="1" si="87"/>
        <v>0</v>
      </c>
      <c r="BY49" s="165" t="str">
        <f t="shared" ca="1" si="80"/>
        <v/>
      </c>
      <c r="BZ49" s="103"/>
      <c r="CA49" s="166">
        <f t="shared" ca="1" si="44"/>
        <v>0</v>
      </c>
      <c r="CB49" s="166">
        <f t="shared" ca="1" si="45"/>
        <v>0</v>
      </c>
      <c r="CC49" s="155"/>
      <c r="CD49" s="167">
        <f t="shared" ca="1" si="46"/>
        <v>0</v>
      </c>
      <c r="CE49" s="167">
        <f t="shared" ca="1" si="88"/>
        <v>0</v>
      </c>
      <c r="CF49" s="168" t="str">
        <f t="shared" ca="1" si="81"/>
        <v/>
      </c>
      <c r="CG49" s="103"/>
      <c r="CH49" s="169">
        <f t="shared" ca="1" si="48"/>
        <v>0</v>
      </c>
      <c r="CI49" s="169">
        <f t="shared" ca="1" si="49"/>
        <v>0</v>
      </c>
      <c r="CJ49" s="155"/>
      <c r="CK49" s="170">
        <f t="shared" ca="1" si="50"/>
        <v>0</v>
      </c>
      <c r="CL49" s="170">
        <f t="shared" ca="1" si="89"/>
        <v>0</v>
      </c>
      <c r="CM49" s="171" t="str">
        <f t="shared" ca="1" si="82"/>
        <v/>
      </c>
      <c r="CN49" s="103"/>
      <c r="CO49" s="151">
        <v>46</v>
      </c>
      <c r="CP49" s="403">
        <v>0.18</v>
      </c>
      <c r="CQ49" s="103">
        <f t="shared" si="52"/>
        <v>0</v>
      </c>
      <c r="CR49" s="409">
        <f t="shared" si="53"/>
        <v>0.18</v>
      </c>
      <c r="CS49" s="103">
        <f t="shared" si="54"/>
        <v>1</v>
      </c>
      <c r="CT49" s="103"/>
    </row>
    <row r="50" spans="1:98">
      <c r="A50" s="183">
        <v>14</v>
      </c>
      <c r="B50" s="184">
        <f ca="1">RESUMEN!J17</f>
        <v>0</v>
      </c>
      <c r="C50" s="184">
        <f ca="1">+RESUMEN!K17</f>
        <v>0</v>
      </c>
      <c r="D50" s="185">
        <f t="shared" ca="1" si="83"/>
        <v>0</v>
      </c>
      <c r="E50" s="176"/>
      <c r="F50" s="176"/>
      <c r="G50" s="176"/>
      <c r="H50" s="176"/>
      <c r="I50" s="176"/>
      <c r="J50" s="175">
        <v>47</v>
      </c>
      <c r="K50" s="67">
        <v>39886.49</v>
      </c>
      <c r="L50" s="67">
        <v>59210.61</v>
      </c>
      <c r="M50" s="67">
        <v>35405.480000000003</v>
      </c>
      <c r="N50" s="67">
        <v>52558.65</v>
      </c>
      <c r="O50" s="67">
        <v>31348.6</v>
      </c>
      <c r="P50" s="67">
        <v>46536.31</v>
      </c>
      <c r="Q50" s="147">
        <f t="shared" si="67"/>
        <v>0</v>
      </c>
      <c r="R50" s="147">
        <f t="shared" si="68"/>
        <v>0</v>
      </c>
      <c r="S50" s="147">
        <f t="shared" si="69"/>
        <v>0</v>
      </c>
      <c r="T50" s="147">
        <f t="shared" si="70"/>
        <v>0</v>
      </c>
      <c r="U50" s="147">
        <f t="shared" si="71"/>
        <v>0</v>
      </c>
      <c r="V50" s="147">
        <f t="shared" si="72"/>
        <v>0</v>
      </c>
      <c r="W50" s="103"/>
      <c r="X50" s="148"/>
      <c r="Y50" s="148"/>
      <c r="Z50" s="147">
        <f t="shared" si="16"/>
        <v>0</v>
      </c>
      <c r="AA50" s="147">
        <f t="shared" si="17"/>
        <v>0</v>
      </c>
      <c r="AB50" s="147">
        <f t="shared" si="18"/>
        <v>0</v>
      </c>
      <c r="AC50" s="147">
        <f t="shared" si="19"/>
        <v>0</v>
      </c>
      <c r="AD50" s="149"/>
      <c r="AE50" s="149"/>
      <c r="AF50" s="147">
        <f t="shared" si="20"/>
        <v>0</v>
      </c>
      <c r="AG50" s="147">
        <f t="shared" si="21"/>
        <v>0</v>
      </c>
      <c r="AH50" s="147">
        <f t="shared" si="22"/>
        <v>0</v>
      </c>
      <c r="AI50" s="147">
        <f t="shared" si="23"/>
        <v>0</v>
      </c>
      <c r="AJ50" s="148"/>
      <c r="AK50" s="150"/>
      <c r="AL50" s="147">
        <f t="shared" si="24"/>
        <v>0</v>
      </c>
      <c r="AM50" s="147">
        <f t="shared" si="25"/>
        <v>0</v>
      </c>
      <c r="AN50" s="147">
        <f t="shared" si="26"/>
        <v>0</v>
      </c>
      <c r="AO50" s="147">
        <f t="shared" si="27"/>
        <v>0</v>
      </c>
      <c r="AP50" s="103"/>
      <c r="AQ50" s="151">
        <v>47</v>
      </c>
      <c r="AR50" s="152">
        <f ca="1">+RESUMEN!F50</f>
        <v>0</v>
      </c>
      <c r="AS50" s="152">
        <f ca="1">+RESUMEN!G50</f>
        <v>0</v>
      </c>
      <c r="AT50" s="153">
        <f t="shared" ca="1" si="73"/>
        <v>0</v>
      </c>
      <c r="AU50" s="154">
        <f t="shared" si="28"/>
        <v>0</v>
      </c>
      <c r="AV50" s="154">
        <f t="shared" si="29"/>
        <v>0</v>
      </c>
      <c r="AW50" s="154">
        <f t="shared" ca="1" si="74"/>
        <v>0</v>
      </c>
      <c r="AX50" s="153"/>
      <c r="AY50" s="154">
        <f t="shared" ca="1" si="75"/>
        <v>0</v>
      </c>
      <c r="AZ50" s="154">
        <f t="shared" ca="1" si="76"/>
        <v>0</v>
      </c>
      <c r="BA50" s="155"/>
      <c r="BB50" s="156">
        <f t="shared" ca="1" si="30"/>
        <v>0</v>
      </c>
      <c r="BC50" s="156">
        <f t="shared" ca="1" si="84"/>
        <v>0</v>
      </c>
      <c r="BD50" s="157" t="str">
        <f t="shared" ca="1" si="77"/>
        <v/>
      </c>
      <c r="BE50" s="103"/>
      <c r="BF50" s="106">
        <f t="shared" ca="1" si="32"/>
        <v>0</v>
      </c>
      <c r="BG50" s="106">
        <f t="shared" ca="1" si="33"/>
        <v>0</v>
      </c>
      <c r="BH50" s="155"/>
      <c r="BI50" s="158">
        <f t="shared" ca="1" si="34"/>
        <v>0</v>
      </c>
      <c r="BJ50" s="158">
        <f t="shared" ca="1" si="85"/>
        <v>0</v>
      </c>
      <c r="BK50" s="159" t="str">
        <f t="shared" ca="1" si="78"/>
        <v/>
      </c>
      <c r="BL50" s="103"/>
      <c r="BM50" s="160">
        <f t="shared" ca="1" si="36"/>
        <v>0</v>
      </c>
      <c r="BN50" s="160">
        <f t="shared" ca="1" si="37"/>
        <v>0</v>
      </c>
      <c r="BO50" s="155"/>
      <c r="BP50" s="161">
        <f t="shared" ca="1" si="38"/>
        <v>0</v>
      </c>
      <c r="BQ50" s="161">
        <f t="shared" ca="1" si="86"/>
        <v>0</v>
      </c>
      <c r="BR50" s="162" t="str">
        <f t="shared" ca="1" si="79"/>
        <v/>
      </c>
      <c r="BS50" s="103"/>
      <c r="BT50" s="163">
        <f t="shared" ca="1" si="40"/>
        <v>0</v>
      </c>
      <c r="BU50" s="163">
        <f t="shared" ca="1" si="41"/>
        <v>0</v>
      </c>
      <c r="BV50" s="155"/>
      <c r="BW50" s="164">
        <f t="shared" ca="1" si="42"/>
        <v>0</v>
      </c>
      <c r="BX50" s="164">
        <f t="shared" ca="1" si="87"/>
        <v>0</v>
      </c>
      <c r="BY50" s="165" t="str">
        <f t="shared" ca="1" si="80"/>
        <v/>
      </c>
      <c r="BZ50" s="103"/>
      <c r="CA50" s="166">
        <f t="shared" ca="1" si="44"/>
        <v>0</v>
      </c>
      <c r="CB50" s="166">
        <f t="shared" ca="1" si="45"/>
        <v>0</v>
      </c>
      <c r="CC50" s="155"/>
      <c r="CD50" s="167">
        <f t="shared" ca="1" si="46"/>
        <v>0</v>
      </c>
      <c r="CE50" s="167">
        <f t="shared" ca="1" si="88"/>
        <v>0</v>
      </c>
      <c r="CF50" s="168" t="str">
        <f t="shared" ca="1" si="81"/>
        <v/>
      </c>
      <c r="CG50" s="103"/>
      <c r="CH50" s="169">
        <f t="shared" ca="1" si="48"/>
        <v>0</v>
      </c>
      <c r="CI50" s="169">
        <f t="shared" ca="1" si="49"/>
        <v>0</v>
      </c>
      <c r="CJ50" s="155"/>
      <c r="CK50" s="170">
        <f t="shared" ca="1" si="50"/>
        <v>0</v>
      </c>
      <c r="CL50" s="170">
        <f t="shared" ca="1" si="89"/>
        <v>0</v>
      </c>
      <c r="CM50" s="171" t="str">
        <f t="shared" ca="1" si="82"/>
        <v/>
      </c>
      <c r="CN50" s="103"/>
      <c r="CO50" s="151">
        <v>47</v>
      </c>
      <c r="CP50" s="403">
        <v>0.18</v>
      </c>
      <c r="CQ50" s="103">
        <f t="shared" si="52"/>
        <v>0</v>
      </c>
      <c r="CR50" s="409">
        <f t="shared" si="53"/>
        <v>0.18</v>
      </c>
      <c r="CS50" s="103">
        <f t="shared" si="54"/>
        <v>1</v>
      </c>
      <c r="CT50" s="103"/>
    </row>
    <row r="51" spans="1:98" ht="16" thickBot="1">
      <c r="A51" s="183">
        <v>15</v>
      </c>
      <c r="B51" s="184">
        <f ca="1">RESUMEN!J18</f>
        <v>0</v>
      </c>
      <c r="C51" s="184">
        <f ca="1">+RESUMEN!K18</f>
        <v>0</v>
      </c>
      <c r="D51" s="185">
        <f t="shared" ca="1" si="83"/>
        <v>0</v>
      </c>
      <c r="E51" s="176"/>
      <c r="F51" s="176"/>
      <c r="G51" s="176"/>
      <c r="H51" s="176"/>
      <c r="I51" s="176"/>
      <c r="J51" s="175">
        <v>48</v>
      </c>
      <c r="K51" s="67">
        <v>41395.22</v>
      </c>
      <c r="L51" s="67">
        <v>60057.82</v>
      </c>
      <c r="M51" s="67">
        <v>36744.71</v>
      </c>
      <c r="N51" s="67">
        <v>53310.68</v>
      </c>
      <c r="O51" s="67">
        <v>32534.38</v>
      </c>
      <c r="P51" s="67">
        <v>47202.17</v>
      </c>
      <c r="Q51" s="147">
        <f t="shared" si="67"/>
        <v>0</v>
      </c>
      <c r="R51" s="147">
        <f t="shared" si="68"/>
        <v>0</v>
      </c>
      <c r="S51" s="147">
        <f t="shared" si="69"/>
        <v>0</v>
      </c>
      <c r="T51" s="147">
        <f t="shared" si="70"/>
        <v>0</v>
      </c>
      <c r="U51" s="147">
        <f t="shared" si="71"/>
        <v>0</v>
      </c>
      <c r="V51" s="147">
        <f t="shared" si="72"/>
        <v>0</v>
      </c>
      <c r="W51" s="103"/>
      <c r="X51" s="148"/>
      <c r="Y51" s="148"/>
      <c r="Z51" s="147">
        <f t="shared" si="16"/>
        <v>0</v>
      </c>
      <c r="AA51" s="147">
        <f t="shared" si="17"/>
        <v>0</v>
      </c>
      <c r="AB51" s="147">
        <f t="shared" si="18"/>
        <v>0</v>
      </c>
      <c r="AC51" s="147">
        <f t="shared" si="19"/>
        <v>0</v>
      </c>
      <c r="AD51" s="149"/>
      <c r="AE51" s="149"/>
      <c r="AF51" s="147">
        <f t="shared" si="20"/>
        <v>0</v>
      </c>
      <c r="AG51" s="147">
        <f t="shared" si="21"/>
        <v>0</v>
      </c>
      <c r="AH51" s="147">
        <f t="shared" si="22"/>
        <v>0</v>
      </c>
      <c r="AI51" s="147">
        <f t="shared" si="23"/>
        <v>0</v>
      </c>
      <c r="AJ51" s="148"/>
      <c r="AK51" s="150"/>
      <c r="AL51" s="147">
        <f t="shared" si="24"/>
        <v>0</v>
      </c>
      <c r="AM51" s="147">
        <f t="shared" si="25"/>
        <v>0</v>
      </c>
      <c r="AN51" s="147">
        <f t="shared" si="26"/>
        <v>0</v>
      </c>
      <c r="AO51" s="147">
        <f t="shared" si="27"/>
        <v>0</v>
      </c>
      <c r="AP51" s="103"/>
      <c r="AQ51" s="151">
        <v>48</v>
      </c>
      <c r="AR51" s="152">
        <f ca="1">+RESUMEN!F51</f>
        <v>0</v>
      </c>
      <c r="AS51" s="152">
        <f ca="1">+RESUMEN!G51</f>
        <v>0</v>
      </c>
      <c r="AT51" s="153">
        <f t="shared" ca="1" si="73"/>
        <v>0</v>
      </c>
      <c r="AU51" s="154">
        <f t="shared" si="28"/>
        <v>0</v>
      </c>
      <c r="AV51" s="154">
        <f t="shared" si="29"/>
        <v>0</v>
      </c>
      <c r="AW51" s="154">
        <f t="shared" ca="1" si="74"/>
        <v>0</v>
      </c>
      <c r="AX51" s="153"/>
      <c r="AY51" s="154">
        <f t="shared" ca="1" si="75"/>
        <v>0</v>
      </c>
      <c r="AZ51" s="154">
        <f t="shared" ca="1" si="76"/>
        <v>0</v>
      </c>
      <c r="BA51" s="155"/>
      <c r="BB51" s="156">
        <f t="shared" ca="1" si="30"/>
        <v>0</v>
      </c>
      <c r="BC51" s="156">
        <f t="shared" ca="1" si="84"/>
        <v>0</v>
      </c>
      <c r="BD51" s="157" t="str">
        <f t="shared" ca="1" si="77"/>
        <v/>
      </c>
      <c r="BE51" s="103"/>
      <c r="BF51" s="106">
        <f t="shared" ca="1" si="32"/>
        <v>0</v>
      </c>
      <c r="BG51" s="106">
        <f t="shared" ca="1" si="33"/>
        <v>0</v>
      </c>
      <c r="BH51" s="155"/>
      <c r="BI51" s="158">
        <f t="shared" ca="1" si="34"/>
        <v>0</v>
      </c>
      <c r="BJ51" s="158">
        <f t="shared" ca="1" si="85"/>
        <v>0</v>
      </c>
      <c r="BK51" s="159" t="str">
        <f t="shared" ca="1" si="78"/>
        <v/>
      </c>
      <c r="BL51" s="103"/>
      <c r="BM51" s="160">
        <f t="shared" ca="1" si="36"/>
        <v>0</v>
      </c>
      <c r="BN51" s="160">
        <f t="shared" ca="1" si="37"/>
        <v>0</v>
      </c>
      <c r="BO51" s="155"/>
      <c r="BP51" s="161">
        <f t="shared" ca="1" si="38"/>
        <v>0</v>
      </c>
      <c r="BQ51" s="161">
        <f t="shared" ca="1" si="86"/>
        <v>0</v>
      </c>
      <c r="BR51" s="162" t="str">
        <f t="shared" ca="1" si="79"/>
        <v/>
      </c>
      <c r="BS51" s="103"/>
      <c r="BT51" s="163">
        <f t="shared" ca="1" si="40"/>
        <v>0</v>
      </c>
      <c r="BU51" s="163">
        <f t="shared" ca="1" si="41"/>
        <v>0</v>
      </c>
      <c r="BV51" s="155"/>
      <c r="BW51" s="164">
        <f t="shared" ca="1" si="42"/>
        <v>0</v>
      </c>
      <c r="BX51" s="164">
        <f t="shared" ca="1" si="87"/>
        <v>0</v>
      </c>
      <c r="BY51" s="165" t="str">
        <f t="shared" ca="1" si="80"/>
        <v/>
      </c>
      <c r="BZ51" s="103"/>
      <c r="CA51" s="166">
        <f t="shared" ca="1" si="44"/>
        <v>0</v>
      </c>
      <c r="CB51" s="166">
        <f t="shared" ca="1" si="45"/>
        <v>0</v>
      </c>
      <c r="CC51" s="155"/>
      <c r="CD51" s="167">
        <f t="shared" ca="1" si="46"/>
        <v>0</v>
      </c>
      <c r="CE51" s="167">
        <f t="shared" ca="1" si="88"/>
        <v>0</v>
      </c>
      <c r="CF51" s="168" t="str">
        <f t="shared" ca="1" si="81"/>
        <v/>
      </c>
      <c r="CG51" s="103"/>
      <c r="CH51" s="169">
        <f t="shared" ca="1" si="48"/>
        <v>0</v>
      </c>
      <c r="CI51" s="169">
        <f t="shared" ca="1" si="49"/>
        <v>0</v>
      </c>
      <c r="CJ51" s="155"/>
      <c r="CK51" s="170">
        <f t="shared" ca="1" si="50"/>
        <v>0</v>
      </c>
      <c r="CL51" s="170">
        <f t="shared" ca="1" si="89"/>
        <v>0</v>
      </c>
      <c r="CM51" s="171" t="str">
        <f t="shared" ca="1" si="82"/>
        <v/>
      </c>
      <c r="CN51" s="103"/>
      <c r="CO51" s="151">
        <v>48</v>
      </c>
      <c r="CP51" s="403">
        <v>0.18</v>
      </c>
      <c r="CQ51" s="103">
        <f t="shared" si="52"/>
        <v>0</v>
      </c>
      <c r="CR51" s="409">
        <f t="shared" si="53"/>
        <v>0.18</v>
      </c>
      <c r="CS51" s="103">
        <f t="shared" si="54"/>
        <v>1</v>
      </c>
      <c r="CT51" s="103"/>
    </row>
    <row r="52" spans="1:98">
      <c r="A52" s="183">
        <v>16</v>
      </c>
      <c r="B52" s="184">
        <f ca="1">RESUMEN!J19</f>
        <v>0</v>
      </c>
      <c r="C52" s="184">
        <f ca="1">+RESUMEN!K19</f>
        <v>0</v>
      </c>
      <c r="D52" s="185">
        <f t="shared" ca="1" si="83"/>
        <v>0</v>
      </c>
      <c r="E52" s="186" t="s">
        <v>39</v>
      </c>
      <c r="F52" s="178"/>
      <c r="G52" s="179"/>
      <c r="H52" s="176"/>
      <c r="I52" s="176"/>
      <c r="J52" s="175">
        <v>49</v>
      </c>
      <c r="K52" s="67">
        <v>43136.15</v>
      </c>
      <c r="L52" s="67">
        <v>61189.89</v>
      </c>
      <c r="M52" s="67">
        <v>38290.06</v>
      </c>
      <c r="N52" s="67">
        <v>54315.57</v>
      </c>
      <c r="O52" s="67">
        <v>33902.660000000003</v>
      </c>
      <c r="P52" s="67">
        <v>48091.91</v>
      </c>
      <c r="Q52" s="147">
        <f t="shared" si="67"/>
        <v>0</v>
      </c>
      <c r="R52" s="147">
        <f t="shared" si="68"/>
        <v>0</v>
      </c>
      <c r="S52" s="147">
        <f t="shared" si="69"/>
        <v>0</v>
      </c>
      <c r="T52" s="147">
        <f t="shared" si="70"/>
        <v>0</v>
      </c>
      <c r="U52" s="147">
        <f t="shared" si="71"/>
        <v>0</v>
      </c>
      <c r="V52" s="147">
        <f t="shared" si="72"/>
        <v>0</v>
      </c>
      <c r="W52" s="103"/>
      <c r="X52" s="148"/>
      <c r="Y52" s="148"/>
      <c r="Z52" s="147">
        <f t="shared" si="16"/>
        <v>0</v>
      </c>
      <c r="AA52" s="147">
        <f t="shared" si="17"/>
        <v>0</v>
      </c>
      <c r="AB52" s="147">
        <f t="shared" si="18"/>
        <v>0</v>
      </c>
      <c r="AC52" s="147">
        <f t="shared" si="19"/>
        <v>0</v>
      </c>
      <c r="AD52" s="149"/>
      <c r="AE52" s="149"/>
      <c r="AF52" s="147">
        <f t="shared" si="20"/>
        <v>0</v>
      </c>
      <c r="AG52" s="147">
        <f t="shared" si="21"/>
        <v>0</v>
      </c>
      <c r="AH52" s="147">
        <f t="shared" si="22"/>
        <v>0</v>
      </c>
      <c r="AI52" s="147">
        <f t="shared" si="23"/>
        <v>0</v>
      </c>
      <c r="AJ52" s="148"/>
      <c r="AK52" s="150"/>
      <c r="AL52" s="147">
        <f t="shared" si="24"/>
        <v>0</v>
      </c>
      <c r="AM52" s="147">
        <f t="shared" si="25"/>
        <v>0</v>
      </c>
      <c r="AN52" s="147">
        <f t="shared" si="26"/>
        <v>0</v>
      </c>
      <c r="AO52" s="147">
        <f t="shared" si="27"/>
        <v>0</v>
      </c>
      <c r="AP52" s="103"/>
      <c r="AQ52" s="151">
        <v>49</v>
      </c>
      <c r="AR52" s="152">
        <f ca="1">+RESUMEN!F52</f>
        <v>0</v>
      </c>
      <c r="AS52" s="152">
        <f ca="1">+RESUMEN!G52</f>
        <v>0</v>
      </c>
      <c r="AT52" s="153">
        <f t="shared" ca="1" si="73"/>
        <v>0</v>
      </c>
      <c r="AU52" s="154">
        <f t="shared" si="28"/>
        <v>0</v>
      </c>
      <c r="AV52" s="154">
        <f t="shared" si="29"/>
        <v>0</v>
      </c>
      <c r="AW52" s="154">
        <f t="shared" ca="1" si="74"/>
        <v>0</v>
      </c>
      <c r="AX52" s="153"/>
      <c r="AY52" s="154">
        <f t="shared" ca="1" si="75"/>
        <v>0</v>
      </c>
      <c r="AZ52" s="154">
        <f t="shared" ca="1" si="76"/>
        <v>0</v>
      </c>
      <c r="BA52" s="155"/>
      <c r="BB52" s="156">
        <f t="shared" ca="1" si="30"/>
        <v>0</v>
      </c>
      <c r="BC52" s="156">
        <f t="shared" ca="1" si="84"/>
        <v>0</v>
      </c>
      <c r="BD52" s="157" t="str">
        <f t="shared" ca="1" si="77"/>
        <v/>
      </c>
      <c r="BE52" s="103"/>
      <c r="BF52" s="106">
        <f t="shared" ca="1" si="32"/>
        <v>0</v>
      </c>
      <c r="BG52" s="106">
        <f t="shared" ca="1" si="33"/>
        <v>0</v>
      </c>
      <c r="BH52" s="155"/>
      <c r="BI52" s="158">
        <f t="shared" ca="1" si="34"/>
        <v>0</v>
      </c>
      <c r="BJ52" s="158">
        <f t="shared" ca="1" si="85"/>
        <v>0</v>
      </c>
      <c r="BK52" s="159" t="str">
        <f t="shared" ca="1" si="78"/>
        <v/>
      </c>
      <c r="BL52" s="103"/>
      <c r="BM52" s="160">
        <f t="shared" ca="1" si="36"/>
        <v>0</v>
      </c>
      <c r="BN52" s="160">
        <f t="shared" ca="1" si="37"/>
        <v>0</v>
      </c>
      <c r="BO52" s="155"/>
      <c r="BP52" s="161">
        <f t="shared" ca="1" si="38"/>
        <v>0</v>
      </c>
      <c r="BQ52" s="161">
        <f t="shared" ca="1" si="86"/>
        <v>0</v>
      </c>
      <c r="BR52" s="162" t="str">
        <f t="shared" ca="1" si="79"/>
        <v/>
      </c>
      <c r="BS52" s="103"/>
      <c r="BT52" s="163">
        <f t="shared" ca="1" si="40"/>
        <v>0</v>
      </c>
      <c r="BU52" s="163">
        <f t="shared" ca="1" si="41"/>
        <v>0</v>
      </c>
      <c r="BV52" s="155"/>
      <c r="BW52" s="164">
        <f t="shared" ca="1" si="42"/>
        <v>0</v>
      </c>
      <c r="BX52" s="164">
        <f t="shared" ca="1" si="87"/>
        <v>0</v>
      </c>
      <c r="BY52" s="165" t="str">
        <f t="shared" ca="1" si="80"/>
        <v/>
      </c>
      <c r="BZ52" s="103"/>
      <c r="CA52" s="166">
        <f t="shared" ca="1" si="44"/>
        <v>0</v>
      </c>
      <c r="CB52" s="166">
        <f t="shared" ca="1" si="45"/>
        <v>0</v>
      </c>
      <c r="CC52" s="155"/>
      <c r="CD52" s="167">
        <f t="shared" ca="1" si="46"/>
        <v>0</v>
      </c>
      <c r="CE52" s="167">
        <f t="shared" ca="1" si="88"/>
        <v>0</v>
      </c>
      <c r="CF52" s="168" t="str">
        <f t="shared" ca="1" si="81"/>
        <v/>
      </c>
      <c r="CG52" s="103"/>
      <c r="CH52" s="169">
        <f t="shared" ca="1" si="48"/>
        <v>0</v>
      </c>
      <c r="CI52" s="169">
        <f t="shared" ca="1" si="49"/>
        <v>0</v>
      </c>
      <c r="CJ52" s="155"/>
      <c r="CK52" s="170">
        <f t="shared" ca="1" si="50"/>
        <v>0</v>
      </c>
      <c r="CL52" s="170">
        <f t="shared" ca="1" si="89"/>
        <v>0</v>
      </c>
      <c r="CM52" s="171" t="str">
        <f t="shared" ca="1" si="82"/>
        <v/>
      </c>
      <c r="CN52" s="103"/>
      <c r="CO52" s="151">
        <v>49</v>
      </c>
      <c r="CP52" s="403">
        <v>0.18</v>
      </c>
      <c r="CQ52" s="103">
        <f t="shared" si="52"/>
        <v>0</v>
      </c>
      <c r="CR52" s="409">
        <f t="shared" si="53"/>
        <v>0.18</v>
      </c>
      <c r="CS52" s="103">
        <f t="shared" si="54"/>
        <v>1</v>
      </c>
      <c r="CT52" s="103"/>
    </row>
    <row r="53" spans="1:98">
      <c r="A53" s="183">
        <v>17</v>
      </c>
      <c r="B53" s="184">
        <f ca="1">RESUMEN!J20</f>
        <v>0</v>
      </c>
      <c r="C53" s="184">
        <f ca="1">+RESUMEN!K20</f>
        <v>0</v>
      </c>
      <c r="D53" s="185">
        <f t="shared" ca="1" si="83"/>
        <v>0</v>
      </c>
      <c r="E53" s="187" t="s">
        <v>37</v>
      </c>
      <c r="F53" s="181" t="s">
        <v>38</v>
      </c>
      <c r="G53" s="182" t="s">
        <v>36</v>
      </c>
      <c r="H53" s="176"/>
      <c r="I53" s="176"/>
      <c r="J53" s="175">
        <v>50</v>
      </c>
      <c r="K53" s="67">
        <v>45129.32</v>
      </c>
      <c r="L53" s="67">
        <v>63133.42</v>
      </c>
      <c r="M53" s="67">
        <v>40059.31</v>
      </c>
      <c r="N53" s="67">
        <v>56040.76</v>
      </c>
      <c r="O53" s="67">
        <v>35469.18</v>
      </c>
      <c r="P53" s="67">
        <v>49619.43</v>
      </c>
      <c r="Q53" s="147">
        <f t="shared" si="67"/>
        <v>0</v>
      </c>
      <c r="R53" s="147">
        <f t="shared" si="68"/>
        <v>0</v>
      </c>
      <c r="S53" s="147">
        <f t="shared" si="69"/>
        <v>0</v>
      </c>
      <c r="T53" s="147">
        <f t="shared" si="70"/>
        <v>0</v>
      </c>
      <c r="U53" s="147">
        <f t="shared" si="71"/>
        <v>0</v>
      </c>
      <c r="V53" s="147">
        <f t="shared" si="72"/>
        <v>0</v>
      </c>
      <c r="W53" s="103"/>
      <c r="X53" s="148"/>
      <c r="Y53" s="148"/>
      <c r="Z53" s="147">
        <f t="shared" si="16"/>
        <v>0</v>
      </c>
      <c r="AA53" s="147">
        <f t="shared" si="17"/>
        <v>0</v>
      </c>
      <c r="AB53" s="147">
        <f t="shared" si="18"/>
        <v>0</v>
      </c>
      <c r="AC53" s="147">
        <f t="shared" si="19"/>
        <v>0</v>
      </c>
      <c r="AD53" s="149"/>
      <c r="AE53" s="149"/>
      <c r="AF53" s="147">
        <f t="shared" si="20"/>
        <v>0</v>
      </c>
      <c r="AG53" s="147">
        <f t="shared" si="21"/>
        <v>0</v>
      </c>
      <c r="AH53" s="147">
        <f t="shared" si="22"/>
        <v>0</v>
      </c>
      <c r="AI53" s="147">
        <f t="shared" si="23"/>
        <v>0</v>
      </c>
      <c r="AJ53" s="148"/>
      <c r="AK53" s="150"/>
      <c r="AL53" s="147">
        <f t="shared" si="24"/>
        <v>0</v>
      </c>
      <c r="AM53" s="147">
        <f t="shared" si="25"/>
        <v>0</v>
      </c>
      <c r="AN53" s="147">
        <f t="shared" si="26"/>
        <v>0</v>
      </c>
      <c r="AO53" s="147">
        <f t="shared" si="27"/>
        <v>0</v>
      </c>
      <c r="AP53" s="103"/>
      <c r="AQ53" s="151">
        <v>50</v>
      </c>
      <c r="AR53" s="152">
        <f ca="1">+RESUMEN!F53</f>
        <v>0</v>
      </c>
      <c r="AS53" s="152">
        <f ca="1">+RESUMEN!G53</f>
        <v>0</v>
      </c>
      <c r="AT53" s="153">
        <f t="shared" ca="1" si="73"/>
        <v>0</v>
      </c>
      <c r="AU53" s="154">
        <f t="shared" si="28"/>
        <v>0</v>
      </c>
      <c r="AV53" s="154">
        <f t="shared" si="29"/>
        <v>0</v>
      </c>
      <c r="AW53" s="154">
        <f t="shared" ca="1" si="74"/>
        <v>0</v>
      </c>
      <c r="AX53" s="153"/>
      <c r="AY53" s="154">
        <f t="shared" ca="1" si="75"/>
        <v>0</v>
      </c>
      <c r="AZ53" s="154">
        <f t="shared" ca="1" si="76"/>
        <v>0</v>
      </c>
      <c r="BA53" s="155"/>
      <c r="BB53" s="156">
        <f t="shared" ca="1" si="30"/>
        <v>0</v>
      </c>
      <c r="BC53" s="156">
        <f t="shared" ca="1" si="84"/>
        <v>0</v>
      </c>
      <c r="BD53" s="157" t="str">
        <f t="shared" ca="1" si="77"/>
        <v/>
      </c>
      <c r="BE53" s="103"/>
      <c r="BF53" s="106">
        <f t="shared" ca="1" si="32"/>
        <v>0</v>
      </c>
      <c r="BG53" s="106">
        <f t="shared" ca="1" si="33"/>
        <v>0</v>
      </c>
      <c r="BH53" s="155"/>
      <c r="BI53" s="158">
        <f t="shared" ca="1" si="34"/>
        <v>0</v>
      </c>
      <c r="BJ53" s="158">
        <f t="shared" ca="1" si="85"/>
        <v>0</v>
      </c>
      <c r="BK53" s="159" t="str">
        <f t="shared" ca="1" si="78"/>
        <v/>
      </c>
      <c r="BL53" s="103"/>
      <c r="BM53" s="160">
        <f t="shared" ca="1" si="36"/>
        <v>0</v>
      </c>
      <c r="BN53" s="160">
        <f t="shared" ca="1" si="37"/>
        <v>0</v>
      </c>
      <c r="BO53" s="155"/>
      <c r="BP53" s="161">
        <f t="shared" ca="1" si="38"/>
        <v>0</v>
      </c>
      <c r="BQ53" s="161">
        <f t="shared" ca="1" si="86"/>
        <v>0</v>
      </c>
      <c r="BR53" s="162" t="str">
        <f t="shared" ca="1" si="79"/>
        <v/>
      </c>
      <c r="BS53" s="221"/>
      <c r="BT53" s="163">
        <f t="shared" ca="1" si="40"/>
        <v>0</v>
      </c>
      <c r="BU53" s="163">
        <f t="shared" ca="1" si="41"/>
        <v>0</v>
      </c>
      <c r="BV53" s="155"/>
      <c r="BW53" s="164">
        <f t="shared" ca="1" si="42"/>
        <v>0</v>
      </c>
      <c r="BX53" s="164">
        <f t="shared" ca="1" si="87"/>
        <v>0</v>
      </c>
      <c r="BY53" s="165" t="str">
        <f t="shared" ca="1" si="80"/>
        <v/>
      </c>
      <c r="BZ53" s="103"/>
      <c r="CA53" s="166">
        <f t="shared" ca="1" si="44"/>
        <v>0</v>
      </c>
      <c r="CB53" s="166">
        <f t="shared" ca="1" si="45"/>
        <v>0</v>
      </c>
      <c r="CC53" s="155"/>
      <c r="CD53" s="167">
        <f t="shared" ca="1" si="46"/>
        <v>0</v>
      </c>
      <c r="CE53" s="167">
        <f t="shared" ca="1" si="88"/>
        <v>0</v>
      </c>
      <c r="CF53" s="168" t="str">
        <f t="shared" ca="1" si="81"/>
        <v/>
      </c>
      <c r="CG53" s="103"/>
      <c r="CH53" s="169">
        <f t="shared" ca="1" si="48"/>
        <v>0</v>
      </c>
      <c r="CI53" s="169">
        <f t="shared" ca="1" si="49"/>
        <v>0</v>
      </c>
      <c r="CJ53" s="155"/>
      <c r="CK53" s="170">
        <f t="shared" ca="1" si="50"/>
        <v>0</v>
      </c>
      <c r="CL53" s="170">
        <f t="shared" ca="1" si="89"/>
        <v>0</v>
      </c>
      <c r="CM53" s="171" t="str">
        <f t="shared" ca="1" si="82"/>
        <v/>
      </c>
      <c r="CN53" s="103"/>
      <c r="CO53" s="151">
        <v>50</v>
      </c>
      <c r="CP53" s="403">
        <v>0.15</v>
      </c>
      <c r="CQ53" s="103">
        <f t="shared" si="52"/>
        <v>0</v>
      </c>
      <c r="CR53" s="409">
        <f t="shared" si="53"/>
        <v>0.15</v>
      </c>
      <c r="CS53" s="103">
        <f t="shared" si="54"/>
        <v>1</v>
      </c>
      <c r="CT53" s="103"/>
    </row>
    <row r="54" spans="1:98">
      <c r="A54" s="183">
        <v>18</v>
      </c>
      <c r="B54" s="184">
        <f ca="1">RESUMEN!J21</f>
        <v>0</v>
      </c>
      <c r="C54" s="184">
        <f ca="1">+RESUMEN!K21</f>
        <v>0</v>
      </c>
      <c r="D54" s="185">
        <f t="shared" ca="1" si="83"/>
        <v>0</v>
      </c>
      <c r="E54" s="188">
        <f ca="1">+RESUMEN!T3</f>
        <v>0</v>
      </c>
      <c r="F54" s="184">
        <f ca="1">RESUMEN!P3</f>
        <v>0</v>
      </c>
      <c r="G54" s="185">
        <f t="shared" ref="G54:G80" ca="1" si="90">E54+F54</f>
        <v>0</v>
      </c>
      <c r="H54" s="176"/>
      <c r="I54" s="176"/>
      <c r="J54" s="175">
        <v>51</v>
      </c>
      <c r="K54" s="67">
        <v>47898.68</v>
      </c>
      <c r="L54" s="67">
        <v>63823.37</v>
      </c>
      <c r="M54" s="67">
        <v>42517.56</v>
      </c>
      <c r="N54" s="67">
        <v>56653.19</v>
      </c>
      <c r="O54" s="67">
        <v>37645.75</v>
      </c>
      <c r="P54" s="67">
        <v>50161.68</v>
      </c>
      <c r="Q54" s="147">
        <f t="shared" si="67"/>
        <v>0</v>
      </c>
      <c r="R54" s="147">
        <f t="shared" si="68"/>
        <v>0</v>
      </c>
      <c r="S54" s="147">
        <f t="shared" si="69"/>
        <v>0</v>
      </c>
      <c r="T54" s="147">
        <f t="shared" si="70"/>
        <v>0</v>
      </c>
      <c r="U54" s="147">
        <f t="shared" si="71"/>
        <v>0</v>
      </c>
      <c r="V54" s="147">
        <f t="shared" si="72"/>
        <v>0</v>
      </c>
      <c r="W54" s="103"/>
      <c r="X54" s="148"/>
      <c r="Y54" s="148"/>
      <c r="Z54" s="147">
        <f t="shared" si="16"/>
        <v>0</v>
      </c>
      <c r="AA54" s="147">
        <f t="shared" si="17"/>
        <v>0</v>
      </c>
      <c r="AB54" s="147">
        <f t="shared" si="18"/>
        <v>0</v>
      </c>
      <c r="AC54" s="147">
        <f t="shared" si="19"/>
        <v>0</v>
      </c>
      <c r="AD54" s="149"/>
      <c r="AE54" s="149"/>
      <c r="AF54" s="147">
        <f t="shared" si="20"/>
        <v>0</v>
      </c>
      <c r="AG54" s="147">
        <f t="shared" si="21"/>
        <v>0</v>
      </c>
      <c r="AH54" s="147">
        <f t="shared" si="22"/>
        <v>0</v>
      </c>
      <c r="AI54" s="147">
        <f t="shared" si="23"/>
        <v>0</v>
      </c>
      <c r="AJ54" s="148"/>
      <c r="AK54" s="150"/>
      <c r="AL54" s="147">
        <f t="shared" si="24"/>
        <v>0</v>
      </c>
      <c r="AM54" s="147">
        <f t="shared" si="25"/>
        <v>0</v>
      </c>
      <c r="AN54" s="147">
        <f t="shared" si="26"/>
        <v>0</v>
      </c>
      <c r="AO54" s="147">
        <f t="shared" si="27"/>
        <v>0</v>
      </c>
      <c r="AP54" s="103"/>
      <c r="AQ54" s="151">
        <v>51</v>
      </c>
      <c r="AR54" s="152">
        <f ca="1">+RESUMEN!F54</f>
        <v>0</v>
      </c>
      <c r="AS54" s="152">
        <f ca="1">+RESUMEN!G54</f>
        <v>0</v>
      </c>
      <c r="AT54" s="153">
        <f t="shared" ca="1" si="73"/>
        <v>0</v>
      </c>
      <c r="AU54" s="154">
        <f t="shared" si="28"/>
        <v>0</v>
      </c>
      <c r="AV54" s="154">
        <f t="shared" si="29"/>
        <v>0</v>
      </c>
      <c r="AW54" s="154">
        <f t="shared" ca="1" si="74"/>
        <v>0</v>
      </c>
      <c r="AX54" s="153"/>
      <c r="AY54" s="154">
        <f t="shared" ca="1" si="75"/>
        <v>0</v>
      </c>
      <c r="AZ54" s="154">
        <f t="shared" ca="1" si="76"/>
        <v>0</v>
      </c>
      <c r="BA54" s="155"/>
      <c r="BB54" s="156">
        <f t="shared" ca="1" si="30"/>
        <v>0</v>
      </c>
      <c r="BC54" s="156">
        <f t="shared" ca="1" si="84"/>
        <v>0</v>
      </c>
      <c r="BD54" s="157" t="str">
        <f t="shared" ca="1" si="77"/>
        <v/>
      </c>
      <c r="BE54" s="103"/>
      <c r="BF54" s="106">
        <f t="shared" ca="1" si="32"/>
        <v>0</v>
      </c>
      <c r="BG54" s="106">
        <f t="shared" ca="1" si="33"/>
        <v>0</v>
      </c>
      <c r="BH54" s="155"/>
      <c r="BI54" s="158">
        <f t="shared" ca="1" si="34"/>
        <v>0</v>
      </c>
      <c r="BJ54" s="158">
        <f t="shared" ca="1" si="85"/>
        <v>0</v>
      </c>
      <c r="BK54" s="159" t="str">
        <f t="shared" ca="1" si="78"/>
        <v/>
      </c>
      <c r="BL54" s="103"/>
      <c r="BM54" s="160">
        <f t="shared" ca="1" si="36"/>
        <v>0</v>
      </c>
      <c r="BN54" s="160">
        <f t="shared" ca="1" si="37"/>
        <v>0</v>
      </c>
      <c r="BO54" s="155"/>
      <c r="BP54" s="161">
        <f t="shared" ca="1" si="38"/>
        <v>0</v>
      </c>
      <c r="BQ54" s="161">
        <f t="shared" ca="1" si="86"/>
        <v>0</v>
      </c>
      <c r="BR54" s="162" t="str">
        <f t="shared" ca="1" si="79"/>
        <v/>
      </c>
      <c r="BS54" s="103"/>
      <c r="BT54" s="163">
        <f t="shared" ca="1" si="40"/>
        <v>0</v>
      </c>
      <c r="BU54" s="163">
        <f t="shared" ca="1" si="41"/>
        <v>0</v>
      </c>
      <c r="BV54" s="155"/>
      <c r="BW54" s="164">
        <f t="shared" ca="1" si="42"/>
        <v>0</v>
      </c>
      <c r="BX54" s="164">
        <f t="shared" ca="1" si="87"/>
        <v>0</v>
      </c>
      <c r="BY54" s="165" t="str">
        <f t="shared" ca="1" si="80"/>
        <v/>
      </c>
      <c r="BZ54" s="103"/>
      <c r="CA54" s="166">
        <f t="shared" ca="1" si="44"/>
        <v>0</v>
      </c>
      <c r="CB54" s="166">
        <f t="shared" ca="1" si="45"/>
        <v>0</v>
      </c>
      <c r="CC54" s="155"/>
      <c r="CD54" s="167">
        <f t="shared" ca="1" si="46"/>
        <v>0</v>
      </c>
      <c r="CE54" s="167">
        <f t="shared" ca="1" si="88"/>
        <v>0</v>
      </c>
      <c r="CF54" s="168" t="str">
        <f t="shared" ca="1" si="81"/>
        <v/>
      </c>
      <c r="CG54" s="103"/>
      <c r="CH54" s="169">
        <f t="shared" ca="1" si="48"/>
        <v>0</v>
      </c>
      <c r="CI54" s="169">
        <f t="shared" ca="1" si="49"/>
        <v>0</v>
      </c>
      <c r="CJ54" s="155"/>
      <c r="CK54" s="170">
        <f t="shared" ca="1" si="50"/>
        <v>0</v>
      </c>
      <c r="CL54" s="170">
        <f t="shared" ca="1" si="89"/>
        <v>0</v>
      </c>
      <c r="CM54" s="171" t="str">
        <f t="shared" ca="1" si="82"/>
        <v/>
      </c>
      <c r="CN54" s="103"/>
      <c r="CO54" s="151">
        <v>51</v>
      </c>
      <c r="CP54" s="403">
        <v>0.15</v>
      </c>
      <c r="CQ54" s="103">
        <f t="shared" si="52"/>
        <v>0</v>
      </c>
      <c r="CR54" s="409">
        <f t="shared" si="53"/>
        <v>0.15</v>
      </c>
      <c r="CS54" s="103">
        <f t="shared" si="54"/>
        <v>1</v>
      </c>
      <c r="CT54" s="103"/>
    </row>
    <row r="55" spans="1:98">
      <c r="A55" s="183">
        <v>19</v>
      </c>
      <c r="B55" s="184">
        <f ca="1">RESUMEN!J22</f>
        <v>0</v>
      </c>
      <c r="C55" s="184">
        <f ca="1">+RESUMEN!K22</f>
        <v>0</v>
      </c>
      <c r="D55" s="185">
        <f t="shared" ca="1" si="83"/>
        <v>0</v>
      </c>
      <c r="E55" s="188">
        <f ca="1">+RESUMEN!T4</f>
        <v>0</v>
      </c>
      <c r="F55" s="184">
        <f ca="1">RESUMEN!P4</f>
        <v>0</v>
      </c>
      <c r="G55" s="185">
        <f t="shared" ca="1" si="90"/>
        <v>0</v>
      </c>
      <c r="H55" s="176"/>
      <c r="I55" s="176"/>
      <c r="J55" s="175">
        <v>52</v>
      </c>
      <c r="K55" s="67">
        <v>50261.74</v>
      </c>
      <c r="L55" s="67">
        <v>65939.7</v>
      </c>
      <c r="M55" s="67">
        <v>44615.14</v>
      </c>
      <c r="N55" s="67">
        <v>58531.77</v>
      </c>
      <c r="O55" s="67">
        <v>39502.99</v>
      </c>
      <c r="P55" s="67">
        <v>51825</v>
      </c>
      <c r="Q55" s="147">
        <f t="shared" si="67"/>
        <v>0</v>
      </c>
      <c r="R55" s="147">
        <f t="shared" si="68"/>
        <v>0</v>
      </c>
      <c r="S55" s="147">
        <f t="shared" si="69"/>
        <v>0</v>
      </c>
      <c r="T55" s="147">
        <f t="shared" si="70"/>
        <v>0</v>
      </c>
      <c r="U55" s="147">
        <f t="shared" si="71"/>
        <v>0</v>
      </c>
      <c r="V55" s="147">
        <f t="shared" si="72"/>
        <v>0</v>
      </c>
      <c r="W55" s="103"/>
      <c r="X55" s="148"/>
      <c r="Y55" s="148"/>
      <c r="Z55" s="147">
        <f t="shared" si="16"/>
        <v>0</v>
      </c>
      <c r="AA55" s="147">
        <f t="shared" si="17"/>
        <v>0</v>
      </c>
      <c r="AB55" s="147">
        <f t="shared" si="18"/>
        <v>0</v>
      </c>
      <c r="AC55" s="147">
        <f t="shared" si="19"/>
        <v>0</v>
      </c>
      <c r="AD55" s="149"/>
      <c r="AE55" s="149"/>
      <c r="AF55" s="147">
        <f t="shared" si="20"/>
        <v>0</v>
      </c>
      <c r="AG55" s="147">
        <f t="shared" si="21"/>
        <v>0</v>
      </c>
      <c r="AH55" s="147">
        <f t="shared" si="22"/>
        <v>0</v>
      </c>
      <c r="AI55" s="147">
        <f t="shared" si="23"/>
        <v>0</v>
      </c>
      <c r="AJ55" s="148"/>
      <c r="AK55" s="150"/>
      <c r="AL55" s="147">
        <f t="shared" si="24"/>
        <v>0</v>
      </c>
      <c r="AM55" s="147">
        <f t="shared" si="25"/>
        <v>0</v>
      </c>
      <c r="AN55" s="147">
        <f t="shared" si="26"/>
        <v>0</v>
      </c>
      <c r="AO55" s="147">
        <f t="shared" si="27"/>
        <v>0</v>
      </c>
      <c r="AP55" s="103"/>
      <c r="AQ55" s="151">
        <v>52</v>
      </c>
      <c r="AR55" s="152">
        <f ca="1">+RESUMEN!F55</f>
        <v>0</v>
      </c>
      <c r="AS55" s="152">
        <f ca="1">+RESUMEN!G55</f>
        <v>0</v>
      </c>
      <c r="AT55" s="153">
        <f t="shared" ca="1" si="73"/>
        <v>0</v>
      </c>
      <c r="AU55" s="154">
        <f t="shared" si="28"/>
        <v>0</v>
      </c>
      <c r="AV55" s="154">
        <f t="shared" si="29"/>
        <v>0</v>
      </c>
      <c r="AW55" s="154">
        <f t="shared" ca="1" si="74"/>
        <v>0</v>
      </c>
      <c r="AX55" s="153"/>
      <c r="AY55" s="154">
        <f t="shared" ca="1" si="75"/>
        <v>0</v>
      </c>
      <c r="AZ55" s="154">
        <f t="shared" ca="1" si="76"/>
        <v>0</v>
      </c>
      <c r="BA55" s="155"/>
      <c r="BB55" s="156">
        <f t="shared" ca="1" si="30"/>
        <v>0</v>
      </c>
      <c r="BC55" s="156">
        <f t="shared" ca="1" si="84"/>
        <v>0</v>
      </c>
      <c r="BD55" s="157" t="str">
        <f t="shared" ca="1" si="77"/>
        <v/>
      </c>
      <c r="BE55" s="103"/>
      <c r="BF55" s="106">
        <f t="shared" ca="1" si="32"/>
        <v>0</v>
      </c>
      <c r="BG55" s="106">
        <f t="shared" ca="1" si="33"/>
        <v>0</v>
      </c>
      <c r="BH55" s="155"/>
      <c r="BI55" s="158">
        <f t="shared" ca="1" si="34"/>
        <v>0</v>
      </c>
      <c r="BJ55" s="158">
        <f t="shared" ca="1" si="85"/>
        <v>0</v>
      </c>
      <c r="BK55" s="159" t="str">
        <f t="shared" ca="1" si="78"/>
        <v/>
      </c>
      <c r="BL55" s="103"/>
      <c r="BM55" s="160">
        <f t="shared" ca="1" si="36"/>
        <v>0</v>
      </c>
      <c r="BN55" s="160">
        <f t="shared" ca="1" si="37"/>
        <v>0</v>
      </c>
      <c r="BO55" s="155"/>
      <c r="BP55" s="161">
        <f t="shared" ca="1" si="38"/>
        <v>0</v>
      </c>
      <c r="BQ55" s="161">
        <f t="shared" ca="1" si="86"/>
        <v>0</v>
      </c>
      <c r="BR55" s="162" t="str">
        <f t="shared" ca="1" si="79"/>
        <v/>
      </c>
      <c r="BS55" s="103"/>
      <c r="BT55" s="163">
        <f t="shared" ca="1" si="40"/>
        <v>0</v>
      </c>
      <c r="BU55" s="163">
        <f t="shared" ca="1" si="41"/>
        <v>0</v>
      </c>
      <c r="BV55" s="155"/>
      <c r="BW55" s="164">
        <f t="shared" ca="1" si="42"/>
        <v>0</v>
      </c>
      <c r="BX55" s="164">
        <f t="shared" ca="1" si="87"/>
        <v>0</v>
      </c>
      <c r="BY55" s="165" t="str">
        <f t="shared" ca="1" si="80"/>
        <v/>
      </c>
      <c r="BZ55" s="103"/>
      <c r="CA55" s="166">
        <f t="shared" ca="1" si="44"/>
        <v>0</v>
      </c>
      <c r="CB55" s="166">
        <f t="shared" ca="1" si="45"/>
        <v>0</v>
      </c>
      <c r="CC55" s="155"/>
      <c r="CD55" s="167">
        <f t="shared" ca="1" si="46"/>
        <v>0</v>
      </c>
      <c r="CE55" s="167">
        <f t="shared" ca="1" si="88"/>
        <v>0</v>
      </c>
      <c r="CF55" s="168" t="str">
        <f t="shared" ca="1" si="81"/>
        <v/>
      </c>
      <c r="CG55" s="103"/>
      <c r="CH55" s="169">
        <f t="shared" ca="1" si="48"/>
        <v>0</v>
      </c>
      <c r="CI55" s="169">
        <f t="shared" ca="1" si="49"/>
        <v>0</v>
      </c>
      <c r="CJ55" s="155"/>
      <c r="CK55" s="170">
        <f t="shared" ca="1" si="50"/>
        <v>0</v>
      </c>
      <c r="CL55" s="170">
        <f t="shared" ca="1" si="89"/>
        <v>0</v>
      </c>
      <c r="CM55" s="171" t="str">
        <f t="shared" ca="1" si="82"/>
        <v/>
      </c>
      <c r="CN55" s="103"/>
      <c r="CO55" s="151">
        <v>52</v>
      </c>
      <c r="CP55" s="403">
        <v>0.15</v>
      </c>
      <c r="CQ55" s="103">
        <f t="shared" si="52"/>
        <v>0</v>
      </c>
      <c r="CR55" s="409">
        <f t="shared" si="53"/>
        <v>0.15</v>
      </c>
      <c r="CS55" s="103">
        <f t="shared" si="54"/>
        <v>1</v>
      </c>
      <c r="CT55" s="103"/>
    </row>
    <row r="56" spans="1:98">
      <c r="A56" s="189">
        <v>20</v>
      </c>
      <c r="B56" s="184">
        <f ca="1">RESUMEN!J23</f>
        <v>0</v>
      </c>
      <c r="C56" s="184">
        <f ca="1">+RESUMEN!K23</f>
        <v>0</v>
      </c>
      <c r="D56" s="185">
        <f t="shared" ca="1" si="83"/>
        <v>0</v>
      </c>
      <c r="E56" s="188">
        <f ca="1">+RESUMEN!T5</f>
        <v>0</v>
      </c>
      <c r="F56" s="184">
        <f ca="1">RESUMEN!P5</f>
        <v>0</v>
      </c>
      <c r="G56" s="185">
        <f t="shared" ca="1" si="90"/>
        <v>0</v>
      </c>
      <c r="H56" s="176"/>
      <c r="I56" s="176"/>
      <c r="J56" s="175">
        <v>53</v>
      </c>
      <c r="K56" s="67">
        <v>53851.48</v>
      </c>
      <c r="L56" s="67">
        <v>69505.990000000005</v>
      </c>
      <c r="M56" s="67">
        <v>47801.599999999999</v>
      </c>
      <c r="N56" s="67">
        <v>61697.41</v>
      </c>
      <c r="O56" s="67">
        <v>42324.33</v>
      </c>
      <c r="P56" s="67">
        <v>54627.91</v>
      </c>
      <c r="Q56" s="147">
        <f t="shared" si="67"/>
        <v>0</v>
      </c>
      <c r="R56" s="147">
        <f t="shared" si="68"/>
        <v>0</v>
      </c>
      <c r="S56" s="147">
        <f t="shared" si="69"/>
        <v>0</v>
      </c>
      <c r="T56" s="147">
        <f t="shared" si="70"/>
        <v>0</v>
      </c>
      <c r="U56" s="147">
        <f t="shared" si="71"/>
        <v>0</v>
      </c>
      <c r="V56" s="147">
        <f t="shared" si="72"/>
        <v>0</v>
      </c>
      <c r="W56" s="103"/>
      <c r="X56" s="148"/>
      <c r="Y56" s="148"/>
      <c r="Z56" s="147">
        <f t="shared" si="16"/>
        <v>0</v>
      </c>
      <c r="AA56" s="147">
        <f t="shared" si="17"/>
        <v>0</v>
      </c>
      <c r="AB56" s="147">
        <f t="shared" si="18"/>
        <v>0</v>
      </c>
      <c r="AC56" s="147">
        <f t="shared" si="19"/>
        <v>0</v>
      </c>
      <c r="AD56" s="149"/>
      <c r="AE56" s="149"/>
      <c r="AF56" s="147">
        <f t="shared" si="20"/>
        <v>0</v>
      </c>
      <c r="AG56" s="147">
        <f t="shared" si="21"/>
        <v>0</v>
      </c>
      <c r="AH56" s="147">
        <f t="shared" si="22"/>
        <v>0</v>
      </c>
      <c r="AI56" s="147">
        <f t="shared" si="23"/>
        <v>0</v>
      </c>
      <c r="AJ56" s="148"/>
      <c r="AK56" s="150"/>
      <c r="AL56" s="147">
        <f t="shared" si="24"/>
        <v>0</v>
      </c>
      <c r="AM56" s="147">
        <f t="shared" si="25"/>
        <v>0</v>
      </c>
      <c r="AN56" s="147">
        <f t="shared" si="26"/>
        <v>0</v>
      </c>
      <c r="AO56" s="147">
        <f t="shared" si="27"/>
        <v>0</v>
      </c>
      <c r="AP56" s="103"/>
      <c r="AQ56" s="151">
        <v>53</v>
      </c>
      <c r="AR56" s="152">
        <f ca="1">+RESUMEN!F56</f>
        <v>0</v>
      </c>
      <c r="AS56" s="152">
        <f ca="1">+RESUMEN!G56</f>
        <v>0</v>
      </c>
      <c r="AT56" s="153">
        <f t="shared" ca="1" si="73"/>
        <v>0</v>
      </c>
      <c r="AU56" s="154">
        <f t="shared" si="28"/>
        <v>0</v>
      </c>
      <c r="AV56" s="154">
        <f t="shared" si="29"/>
        <v>0</v>
      </c>
      <c r="AW56" s="154">
        <f t="shared" ca="1" si="74"/>
        <v>0</v>
      </c>
      <c r="AX56" s="153"/>
      <c r="AY56" s="154">
        <f t="shared" ca="1" si="75"/>
        <v>0</v>
      </c>
      <c r="AZ56" s="154">
        <f t="shared" ca="1" si="76"/>
        <v>0</v>
      </c>
      <c r="BA56" s="155"/>
      <c r="BB56" s="156">
        <f t="shared" ca="1" si="30"/>
        <v>0</v>
      </c>
      <c r="BC56" s="156">
        <f t="shared" ca="1" si="84"/>
        <v>0</v>
      </c>
      <c r="BD56" s="157" t="str">
        <f t="shared" ca="1" si="77"/>
        <v/>
      </c>
      <c r="BE56" s="103"/>
      <c r="BF56" s="106">
        <f t="shared" ca="1" si="32"/>
        <v>0</v>
      </c>
      <c r="BG56" s="106">
        <f t="shared" ca="1" si="33"/>
        <v>0</v>
      </c>
      <c r="BH56" s="155"/>
      <c r="BI56" s="158">
        <f t="shared" ca="1" si="34"/>
        <v>0</v>
      </c>
      <c r="BJ56" s="158">
        <f t="shared" ca="1" si="85"/>
        <v>0</v>
      </c>
      <c r="BK56" s="159" t="str">
        <f t="shared" ca="1" si="78"/>
        <v/>
      </c>
      <c r="BL56" s="103"/>
      <c r="BM56" s="160">
        <f t="shared" ca="1" si="36"/>
        <v>0</v>
      </c>
      <c r="BN56" s="160">
        <f t="shared" ca="1" si="37"/>
        <v>0</v>
      </c>
      <c r="BO56" s="155"/>
      <c r="BP56" s="161">
        <f t="shared" ca="1" si="38"/>
        <v>0</v>
      </c>
      <c r="BQ56" s="161">
        <f t="shared" ca="1" si="86"/>
        <v>0</v>
      </c>
      <c r="BR56" s="162" t="str">
        <f t="shared" ca="1" si="79"/>
        <v/>
      </c>
      <c r="BS56" s="103"/>
      <c r="BT56" s="163">
        <f t="shared" ca="1" si="40"/>
        <v>0</v>
      </c>
      <c r="BU56" s="163">
        <f t="shared" ca="1" si="41"/>
        <v>0</v>
      </c>
      <c r="BV56" s="155"/>
      <c r="BW56" s="164">
        <f t="shared" ca="1" si="42"/>
        <v>0</v>
      </c>
      <c r="BX56" s="164">
        <f t="shared" ca="1" si="87"/>
        <v>0</v>
      </c>
      <c r="BY56" s="165" t="str">
        <f t="shared" ca="1" si="80"/>
        <v/>
      </c>
      <c r="BZ56" s="103"/>
      <c r="CA56" s="166">
        <f t="shared" ca="1" si="44"/>
        <v>0</v>
      </c>
      <c r="CB56" s="166">
        <f t="shared" ca="1" si="45"/>
        <v>0</v>
      </c>
      <c r="CC56" s="155"/>
      <c r="CD56" s="167">
        <f t="shared" ca="1" si="46"/>
        <v>0</v>
      </c>
      <c r="CE56" s="167">
        <f t="shared" ca="1" si="88"/>
        <v>0</v>
      </c>
      <c r="CF56" s="168" t="str">
        <f t="shared" ca="1" si="81"/>
        <v/>
      </c>
      <c r="CG56" s="103"/>
      <c r="CH56" s="169">
        <f t="shared" ca="1" si="48"/>
        <v>0</v>
      </c>
      <c r="CI56" s="169">
        <f t="shared" ca="1" si="49"/>
        <v>0</v>
      </c>
      <c r="CJ56" s="155"/>
      <c r="CK56" s="170">
        <f t="shared" ca="1" si="50"/>
        <v>0</v>
      </c>
      <c r="CL56" s="170">
        <f t="shared" ca="1" si="89"/>
        <v>0</v>
      </c>
      <c r="CM56" s="171" t="str">
        <f t="shared" ca="1" si="82"/>
        <v/>
      </c>
      <c r="CN56" s="103"/>
      <c r="CO56" s="151">
        <v>53</v>
      </c>
      <c r="CP56" s="403">
        <v>0.15</v>
      </c>
      <c r="CQ56" s="103">
        <f t="shared" si="52"/>
        <v>0</v>
      </c>
      <c r="CR56" s="409">
        <f t="shared" si="53"/>
        <v>0.15</v>
      </c>
      <c r="CS56" s="103">
        <f t="shared" si="54"/>
        <v>1</v>
      </c>
      <c r="CT56" s="103"/>
    </row>
    <row r="57" spans="1:98">
      <c r="A57" s="189">
        <v>21</v>
      </c>
      <c r="B57" s="184">
        <f ca="1">RESUMEN!J24</f>
        <v>0</v>
      </c>
      <c r="C57" s="184">
        <f ca="1">+RESUMEN!K24</f>
        <v>0</v>
      </c>
      <c r="D57" s="185">
        <f t="shared" ca="1" si="83"/>
        <v>0</v>
      </c>
      <c r="E57" s="188">
        <f ca="1">+RESUMEN!T6</f>
        <v>0</v>
      </c>
      <c r="F57" s="184">
        <f ca="1">RESUMEN!P6</f>
        <v>0</v>
      </c>
      <c r="G57" s="185">
        <f t="shared" ca="1" si="90"/>
        <v>0</v>
      </c>
      <c r="H57" s="176"/>
      <c r="I57" s="176"/>
      <c r="J57" s="175">
        <v>54</v>
      </c>
      <c r="K57" s="67">
        <v>58826.559999999998</v>
      </c>
      <c r="L57" s="67">
        <v>72219.94</v>
      </c>
      <c r="M57" s="67">
        <v>52217.75</v>
      </c>
      <c r="N57" s="67">
        <v>64106.47</v>
      </c>
      <c r="O57" s="67">
        <v>46234.47</v>
      </c>
      <c r="P57" s="67">
        <v>56760.94</v>
      </c>
      <c r="Q57" s="147">
        <f t="shared" si="67"/>
        <v>0</v>
      </c>
      <c r="R57" s="147">
        <f t="shared" si="68"/>
        <v>0</v>
      </c>
      <c r="S57" s="147">
        <f t="shared" si="69"/>
        <v>0</v>
      </c>
      <c r="T57" s="147">
        <f t="shared" si="70"/>
        <v>0</v>
      </c>
      <c r="U57" s="147">
        <f t="shared" si="71"/>
        <v>0</v>
      </c>
      <c r="V57" s="147">
        <f t="shared" si="72"/>
        <v>0</v>
      </c>
      <c r="W57" s="103"/>
      <c r="X57" s="148"/>
      <c r="Y57" s="148"/>
      <c r="Z57" s="147">
        <f t="shared" si="16"/>
        <v>0</v>
      </c>
      <c r="AA57" s="147">
        <f t="shared" si="17"/>
        <v>0</v>
      </c>
      <c r="AB57" s="147">
        <f t="shared" si="18"/>
        <v>0</v>
      </c>
      <c r="AC57" s="147">
        <f t="shared" si="19"/>
        <v>0</v>
      </c>
      <c r="AD57" s="149"/>
      <c r="AE57" s="149"/>
      <c r="AF57" s="147">
        <f t="shared" si="20"/>
        <v>0</v>
      </c>
      <c r="AG57" s="147">
        <f t="shared" si="21"/>
        <v>0</v>
      </c>
      <c r="AH57" s="147">
        <f t="shared" si="22"/>
        <v>0</v>
      </c>
      <c r="AI57" s="147">
        <f t="shared" si="23"/>
        <v>0</v>
      </c>
      <c r="AJ57" s="148"/>
      <c r="AK57" s="150"/>
      <c r="AL57" s="147">
        <f t="shared" si="24"/>
        <v>0</v>
      </c>
      <c r="AM57" s="147">
        <f t="shared" si="25"/>
        <v>0</v>
      </c>
      <c r="AN57" s="147">
        <f t="shared" si="26"/>
        <v>0</v>
      </c>
      <c r="AO57" s="147">
        <f t="shared" si="27"/>
        <v>0</v>
      </c>
      <c r="AP57" s="103"/>
      <c r="AQ57" s="151">
        <v>54</v>
      </c>
      <c r="AR57" s="152">
        <f ca="1">+RESUMEN!F57</f>
        <v>0</v>
      </c>
      <c r="AS57" s="152">
        <f ca="1">+RESUMEN!G57</f>
        <v>0</v>
      </c>
      <c r="AT57" s="153">
        <f t="shared" ca="1" si="73"/>
        <v>0</v>
      </c>
      <c r="AU57" s="154">
        <f t="shared" si="28"/>
        <v>0</v>
      </c>
      <c r="AV57" s="154">
        <f t="shared" si="29"/>
        <v>0</v>
      </c>
      <c r="AW57" s="154">
        <f t="shared" ca="1" si="74"/>
        <v>0</v>
      </c>
      <c r="AX57" s="153"/>
      <c r="AY57" s="154">
        <f t="shared" ca="1" si="75"/>
        <v>0</v>
      </c>
      <c r="AZ57" s="154">
        <f t="shared" ca="1" si="76"/>
        <v>0</v>
      </c>
      <c r="BA57" s="155"/>
      <c r="BB57" s="156">
        <f t="shared" ca="1" si="30"/>
        <v>0</v>
      </c>
      <c r="BC57" s="156">
        <f t="shared" ca="1" si="84"/>
        <v>0</v>
      </c>
      <c r="BD57" s="157" t="str">
        <f t="shared" ca="1" si="77"/>
        <v/>
      </c>
      <c r="BE57" s="103"/>
      <c r="BF57" s="106">
        <f t="shared" ca="1" si="32"/>
        <v>0</v>
      </c>
      <c r="BG57" s="106">
        <f t="shared" ca="1" si="33"/>
        <v>0</v>
      </c>
      <c r="BH57" s="155"/>
      <c r="BI57" s="158">
        <f t="shared" ca="1" si="34"/>
        <v>0</v>
      </c>
      <c r="BJ57" s="158">
        <f t="shared" ca="1" si="85"/>
        <v>0</v>
      </c>
      <c r="BK57" s="159" t="str">
        <f t="shared" ca="1" si="78"/>
        <v/>
      </c>
      <c r="BL57" s="103"/>
      <c r="BM57" s="160">
        <f t="shared" ca="1" si="36"/>
        <v>0</v>
      </c>
      <c r="BN57" s="160">
        <f t="shared" ca="1" si="37"/>
        <v>0</v>
      </c>
      <c r="BO57" s="155"/>
      <c r="BP57" s="161">
        <f t="shared" ca="1" si="38"/>
        <v>0</v>
      </c>
      <c r="BQ57" s="161">
        <f t="shared" ca="1" si="86"/>
        <v>0</v>
      </c>
      <c r="BR57" s="162" t="str">
        <f t="shared" ca="1" si="79"/>
        <v/>
      </c>
      <c r="BS57" s="103"/>
      <c r="BT57" s="163">
        <f t="shared" ca="1" si="40"/>
        <v>0</v>
      </c>
      <c r="BU57" s="163">
        <f t="shared" ca="1" si="41"/>
        <v>0</v>
      </c>
      <c r="BV57" s="155"/>
      <c r="BW57" s="164">
        <f t="shared" ca="1" si="42"/>
        <v>0</v>
      </c>
      <c r="BX57" s="164">
        <f t="shared" ca="1" si="87"/>
        <v>0</v>
      </c>
      <c r="BY57" s="165" t="str">
        <f t="shared" ca="1" si="80"/>
        <v/>
      </c>
      <c r="BZ57" s="103"/>
      <c r="CA57" s="166">
        <f t="shared" ca="1" si="44"/>
        <v>0</v>
      </c>
      <c r="CB57" s="166">
        <f t="shared" ca="1" si="45"/>
        <v>0</v>
      </c>
      <c r="CC57" s="155"/>
      <c r="CD57" s="167">
        <f t="shared" ca="1" si="46"/>
        <v>0</v>
      </c>
      <c r="CE57" s="167">
        <f t="shared" ca="1" si="88"/>
        <v>0</v>
      </c>
      <c r="CF57" s="168" t="str">
        <f t="shared" ca="1" si="81"/>
        <v/>
      </c>
      <c r="CG57" s="103"/>
      <c r="CH57" s="169">
        <f t="shared" ca="1" si="48"/>
        <v>0</v>
      </c>
      <c r="CI57" s="169">
        <f t="shared" ca="1" si="49"/>
        <v>0</v>
      </c>
      <c r="CJ57" s="155"/>
      <c r="CK57" s="170">
        <f t="shared" ca="1" si="50"/>
        <v>0</v>
      </c>
      <c r="CL57" s="170">
        <f t="shared" ca="1" si="89"/>
        <v>0</v>
      </c>
      <c r="CM57" s="171" t="str">
        <f t="shared" ca="1" si="82"/>
        <v/>
      </c>
      <c r="CN57" s="103"/>
      <c r="CO57" s="151">
        <v>54</v>
      </c>
      <c r="CP57" s="403">
        <v>0.15</v>
      </c>
      <c r="CQ57" s="103">
        <f t="shared" si="52"/>
        <v>0</v>
      </c>
      <c r="CR57" s="409">
        <f t="shared" si="53"/>
        <v>0.15</v>
      </c>
      <c r="CS57" s="103">
        <f t="shared" si="54"/>
        <v>1</v>
      </c>
      <c r="CT57" s="103"/>
    </row>
    <row r="58" spans="1:98">
      <c r="A58" s="189">
        <v>22</v>
      </c>
      <c r="B58" s="184">
        <f ca="1">RESUMEN!J25</f>
        <v>0</v>
      </c>
      <c r="C58" s="184">
        <f ca="1">+RESUMEN!K25</f>
        <v>0</v>
      </c>
      <c r="D58" s="185">
        <f t="shared" ca="1" si="83"/>
        <v>0</v>
      </c>
      <c r="E58" s="188">
        <f ca="1">+RESUMEN!T7</f>
        <v>0</v>
      </c>
      <c r="F58" s="184">
        <f ca="1">RESUMEN!P7</f>
        <v>0</v>
      </c>
      <c r="G58" s="185">
        <f t="shared" ca="1" si="90"/>
        <v>0</v>
      </c>
      <c r="H58" s="176"/>
      <c r="I58" s="176"/>
      <c r="J58" s="175">
        <v>55</v>
      </c>
      <c r="K58" s="67">
        <v>58837.5</v>
      </c>
      <c r="L58" s="67">
        <v>73437.570000000007</v>
      </c>
      <c r="M58" s="67">
        <v>52227.46</v>
      </c>
      <c r="N58" s="67">
        <v>65187.3</v>
      </c>
      <c r="O58" s="67">
        <v>46243.06</v>
      </c>
      <c r="P58" s="67">
        <v>57717.919999999998</v>
      </c>
      <c r="Q58" s="147">
        <f t="shared" si="67"/>
        <v>0</v>
      </c>
      <c r="R58" s="147">
        <f t="shared" si="68"/>
        <v>0</v>
      </c>
      <c r="S58" s="147">
        <f t="shared" si="69"/>
        <v>0</v>
      </c>
      <c r="T58" s="147">
        <f t="shared" si="70"/>
        <v>0</v>
      </c>
      <c r="U58" s="147">
        <f t="shared" si="71"/>
        <v>0</v>
      </c>
      <c r="V58" s="147">
        <f t="shared" si="72"/>
        <v>0</v>
      </c>
      <c r="W58" s="103"/>
      <c r="X58" s="148"/>
      <c r="Y58" s="148"/>
      <c r="Z58" s="147">
        <f t="shared" si="16"/>
        <v>0</v>
      </c>
      <c r="AA58" s="147">
        <f t="shared" si="17"/>
        <v>0</v>
      </c>
      <c r="AB58" s="147">
        <f t="shared" si="18"/>
        <v>0</v>
      </c>
      <c r="AC58" s="147">
        <f t="shared" si="19"/>
        <v>0</v>
      </c>
      <c r="AD58" s="149"/>
      <c r="AE58" s="149"/>
      <c r="AF58" s="147">
        <f t="shared" si="20"/>
        <v>0</v>
      </c>
      <c r="AG58" s="147">
        <f t="shared" si="21"/>
        <v>0</v>
      </c>
      <c r="AH58" s="147">
        <f t="shared" si="22"/>
        <v>0</v>
      </c>
      <c r="AI58" s="147">
        <f t="shared" si="23"/>
        <v>0</v>
      </c>
      <c r="AJ58" s="148"/>
      <c r="AK58" s="150"/>
      <c r="AL58" s="147">
        <f t="shared" si="24"/>
        <v>0</v>
      </c>
      <c r="AM58" s="147">
        <f t="shared" si="25"/>
        <v>0</v>
      </c>
      <c r="AN58" s="147">
        <f t="shared" si="26"/>
        <v>0</v>
      </c>
      <c r="AO58" s="147">
        <f t="shared" si="27"/>
        <v>0</v>
      </c>
      <c r="AP58" s="103"/>
      <c r="AQ58" s="151">
        <v>55</v>
      </c>
      <c r="AR58" s="152">
        <f ca="1">+RESUMEN!F58</f>
        <v>0</v>
      </c>
      <c r="AS58" s="152">
        <f ca="1">+RESUMEN!G58</f>
        <v>0</v>
      </c>
      <c r="AT58" s="153">
        <f t="shared" ca="1" si="73"/>
        <v>0</v>
      </c>
      <c r="AU58" s="154">
        <f t="shared" si="28"/>
        <v>0</v>
      </c>
      <c r="AV58" s="154">
        <f t="shared" si="29"/>
        <v>0</v>
      </c>
      <c r="AW58" s="154">
        <f t="shared" ca="1" si="74"/>
        <v>0</v>
      </c>
      <c r="AX58" s="153"/>
      <c r="AY58" s="154">
        <f t="shared" ca="1" si="75"/>
        <v>0</v>
      </c>
      <c r="AZ58" s="154">
        <f t="shared" ca="1" si="76"/>
        <v>0</v>
      </c>
      <c r="BA58" s="155"/>
      <c r="BB58" s="156">
        <f t="shared" ca="1" si="30"/>
        <v>0</v>
      </c>
      <c r="BC58" s="156">
        <f t="shared" ca="1" si="84"/>
        <v>0</v>
      </c>
      <c r="BD58" s="157" t="str">
        <f t="shared" ca="1" si="77"/>
        <v/>
      </c>
      <c r="BE58" s="103"/>
      <c r="BF58" s="106">
        <f t="shared" ca="1" si="32"/>
        <v>0</v>
      </c>
      <c r="BG58" s="106">
        <f t="shared" ca="1" si="33"/>
        <v>0</v>
      </c>
      <c r="BH58" s="155"/>
      <c r="BI58" s="158">
        <f t="shared" ca="1" si="34"/>
        <v>0</v>
      </c>
      <c r="BJ58" s="158">
        <f t="shared" ca="1" si="85"/>
        <v>0</v>
      </c>
      <c r="BK58" s="159" t="str">
        <f t="shared" ca="1" si="78"/>
        <v/>
      </c>
      <c r="BL58" s="103"/>
      <c r="BM58" s="160">
        <f t="shared" ca="1" si="36"/>
        <v>0</v>
      </c>
      <c r="BN58" s="160">
        <f t="shared" ca="1" si="37"/>
        <v>0</v>
      </c>
      <c r="BO58" s="155"/>
      <c r="BP58" s="161">
        <f t="shared" ca="1" si="38"/>
        <v>0</v>
      </c>
      <c r="BQ58" s="161">
        <f t="shared" ca="1" si="86"/>
        <v>0</v>
      </c>
      <c r="BR58" s="162" t="str">
        <f t="shared" ca="1" si="79"/>
        <v/>
      </c>
      <c r="BS58" s="103"/>
      <c r="BT58" s="163">
        <f t="shared" ca="1" si="40"/>
        <v>0</v>
      </c>
      <c r="BU58" s="163">
        <f t="shared" ca="1" si="41"/>
        <v>0</v>
      </c>
      <c r="BV58" s="155"/>
      <c r="BW58" s="164">
        <f t="shared" ca="1" si="42"/>
        <v>0</v>
      </c>
      <c r="BX58" s="164">
        <f t="shared" ca="1" si="87"/>
        <v>0</v>
      </c>
      <c r="BY58" s="165" t="str">
        <f t="shared" ca="1" si="80"/>
        <v/>
      </c>
      <c r="BZ58" s="103"/>
      <c r="CA58" s="166">
        <f t="shared" ca="1" si="44"/>
        <v>0</v>
      </c>
      <c r="CB58" s="166">
        <f t="shared" ca="1" si="45"/>
        <v>0</v>
      </c>
      <c r="CC58" s="155"/>
      <c r="CD58" s="167">
        <f t="shared" ca="1" si="46"/>
        <v>0</v>
      </c>
      <c r="CE58" s="167">
        <f t="shared" ca="1" si="88"/>
        <v>0</v>
      </c>
      <c r="CF58" s="168" t="str">
        <f t="shared" ca="1" si="81"/>
        <v/>
      </c>
      <c r="CG58" s="103"/>
      <c r="CH58" s="169">
        <f t="shared" ca="1" si="48"/>
        <v>0</v>
      </c>
      <c r="CI58" s="169">
        <f t="shared" ca="1" si="49"/>
        <v>0</v>
      </c>
      <c r="CJ58" s="155"/>
      <c r="CK58" s="170">
        <f t="shared" ca="1" si="50"/>
        <v>0</v>
      </c>
      <c r="CL58" s="170">
        <f t="shared" ca="1" si="89"/>
        <v>0</v>
      </c>
      <c r="CM58" s="171" t="str">
        <f t="shared" ca="1" si="82"/>
        <v/>
      </c>
      <c r="CN58" s="103"/>
      <c r="CO58" s="151">
        <v>55</v>
      </c>
      <c r="CP58" s="403">
        <v>0.15</v>
      </c>
      <c r="CQ58" s="103">
        <f t="shared" si="52"/>
        <v>0</v>
      </c>
      <c r="CR58" s="409">
        <f t="shared" si="53"/>
        <v>0.15</v>
      </c>
      <c r="CS58" s="103">
        <f t="shared" si="54"/>
        <v>1</v>
      </c>
      <c r="CT58" s="103"/>
    </row>
    <row r="59" spans="1:98">
      <c r="A59" s="189">
        <v>23</v>
      </c>
      <c r="B59" s="184">
        <f ca="1">RESUMEN!J26</f>
        <v>0</v>
      </c>
      <c r="C59" s="184">
        <f ca="1">+RESUMEN!K26</f>
        <v>0</v>
      </c>
      <c r="D59" s="185">
        <f t="shared" ca="1" si="83"/>
        <v>0</v>
      </c>
      <c r="E59" s="188">
        <f ca="1">+RESUMEN!T8</f>
        <v>0</v>
      </c>
      <c r="F59" s="184">
        <f ca="1">RESUMEN!P8</f>
        <v>0</v>
      </c>
      <c r="G59" s="185">
        <f t="shared" ca="1" si="90"/>
        <v>0</v>
      </c>
      <c r="H59" s="176"/>
      <c r="I59" s="176"/>
      <c r="J59" s="175">
        <v>56</v>
      </c>
      <c r="K59" s="67">
        <v>60662.6</v>
      </c>
      <c r="L59" s="67">
        <v>74143.09</v>
      </c>
      <c r="M59" s="67">
        <v>53847.519999999997</v>
      </c>
      <c r="N59" s="67">
        <v>65813.56</v>
      </c>
      <c r="O59" s="67">
        <v>47677.49</v>
      </c>
      <c r="P59" s="67">
        <v>58272.43</v>
      </c>
      <c r="Q59" s="147">
        <f t="shared" si="67"/>
        <v>0</v>
      </c>
      <c r="R59" s="147">
        <f t="shared" si="68"/>
        <v>0</v>
      </c>
      <c r="S59" s="147">
        <f t="shared" si="69"/>
        <v>0</v>
      </c>
      <c r="T59" s="147">
        <f t="shared" si="70"/>
        <v>0</v>
      </c>
      <c r="U59" s="147">
        <f t="shared" si="71"/>
        <v>0</v>
      </c>
      <c r="V59" s="147">
        <f t="shared" si="72"/>
        <v>0</v>
      </c>
      <c r="W59" s="103"/>
      <c r="X59" s="148"/>
      <c r="Y59" s="148"/>
      <c r="Z59" s="147">
        <f t="shared" si="16"/>
        <v>0</v>
      </c>
      <c r="AA59" s="147">
        <f t="shared" si="17"/>
        <v>0</v>
      </c>
      <c r="AB59" s="147">
        <f t="shared" si="18"/>
        <v>0</v>
      </c>
      <c r="AC59" s="147">
        <f t="shared" si="19"/>
        <v>0</v>
      </c>
      <c r="AD59" s="149"/>
      <c r="AE59" s="149"/>
      <c r="AF59" s="147">
        <f t="shared" si="20"/>
        <v>0</v>
      </c>
      <c r="AG59" s="147">
        <f t="shared" si="21"/>
        <v>0</v>
      </c>
      <c r="AH59" s="147">
        <f t="shared" si="22"/>
        <v>0</v>
      </c>
      <c r="AI59" s="147">
        <f t="shared" si="23"/>
        <v>0</v>
      </c>
      <c r="AJ59" s="148"/>
      <c r="AK59" s="150"/>
      <c r="AL59" s="147">
        <f t="shared" si="24"/>
        <v>0</v>
      </c>
      <c r="AM59" s="147">
        <f t="shared" si="25"/>
        <v>0</v>
      </c>
      <c r="AN59" s="147">
        <f t="shared" si="26"/>
        <v>0</v>
      </c>
      <c r="AO59" s="147">
        <f t="shared" si="27"/>
        <v>0</v>
      </c>
      <c r="AP59" s="103"/>
      <c r="AQ59" s="151">
        <v>56</v>
      </c>
      <c r="AR59" s="152">
        <f ca="1">+RESUMEN!F59</f>
        <v>0</v>
      </c>
      <c r="AS59" s="152">
        <f ca="1">+RESUMEN!G59</f>
        <v>0</v>
      </c>
      <c r="AT59" s="153">
        <f t="shared" ca="1" si="73"/>
        <v>0</v>
      </c>
      <c r="AU59" s="154">
        <f t="shared" si="28"/>
        <v>0</v>
      </c>
      <c r="AV59" s="154">
        <f t="shared" si="29"/>
        <v>0</v>
      </c>
      <c r="AW59" s="154">
        <f t="shared" ca="1" si="74"/>
        <v>0</v>
      </c>
      <c r="AX59" s="153"/>
      <c r="AY59" s="154">
        <f t="shared" ca="1" si="75"/>
        <v>0</v>
      </c>
      <c r="AZ59" s="154">
        <f t="shared" ca="1" si="76"/>
        <v>0</v>
      </c>
      <c r="BA59" s="155"/>
      <c r="BB59" s="156">
        <f t="shared" ca="1" si="30"/>
        <v>0</v>
      </c>
      <c r="BC59" s="156">
        <f t="shared" ca="1" si="84"/>
        <v>0</v>
      </c>
      <c r="BD59" s="157" t="str">
        <f t="shared" ca="1" si="77"/>
        <v/>
      </c>
      <c r="BE59" s="103"/>
      <c r="BF59" s="106">
        <f t="shared" ca="1" si="32"/>
        <v>0</v>
      </c>
      <c r="BG59" s="106">
        <f t="shared" ca="1" si="33"/>
        <v>0</v>
      </c>
      <c r="BH59" s="155"/>
      <c r="BI59" s="158">
        <f t="shared" ca="1" si="34"/>
        <v>0</v>
      </c>
      <c r="BJ59" s="158">
        <f t="shared" ca="1" si="85"/>
        <v>0</v>
      </c>
      <c r="BK59" s="159" t="str">
        <f t="shared" ca="1" si="78"/>
        <v/>
      </c>
      <c r="BL59" s="103"/>
      <c r="BM59" s="160">
        <f t="shared" ca="1" si="36"/>
        <v>0</v>
      </c>
      <c r="BN59" s="160">
        <f t="shared" ca="1" si="37"/>
        <v>0</v>
      </c>
      <c r="BO59" s="155"/>
      <c r="BP59" s="161">
        <f t="shared" ca="1" si="38"/>
        <v>0</v>
      </c>
      <c r="BQ59" s="161">
        <f t="shared" ca="1" si="86"/>
        <v>0</v>
      </c>
      <c r="BR59" s="162" t="str">
        <f t="shared" ca="1" si="79"/>
        <v/>
      </c>
      <c r="BS59" s="103"/>
      <c r="BT59" s="163">
        <f t="shared" ca="1" si="40"/>
        <v>0</v>
      </c>
      <c r="BU59" s="163">
        <f t="shared" ca="1" si="41"/>
        <v>0</v>
      </c>
      <c r="BV59" s="155"/>
      <c r="BW59" s="164">
        <f t="shared" ca="1" si="42"/>
        <v>0</v>
      </c>
      <c r="BX59" s="164">
        <f t="shared" ca="1" si="87"/>
        <v>0</v>
      </c>
      <c r="BY59" s="165" t="str">
        <f t="shared" ca="1" si="80"/>
        <v/>
      </c>
      <c r="BZ59" s="103"/>
      <c r="CA59" s="166">
        <f t="shared" ca="1" si="44"/>
        <v>0</v>
      </c>
      <c r="CB59" s="166">
        <f t="shared" ca="1" si="45"/>
        <v>0</v>
      </c>
      <c r="CC59" s="155"/>
      <c r="CD59" s="167">
        <f t="shared" ca="1" si="46"/>
        <v>0</v>
      </c>
      <c r="CE59" s="167">
        <f t="shared" ca="1" si="88"/>
        <v>0</v>
      </c>
      <c r="CF59" s="168" t="str">
        <f t="shared" ca="1" si="81"/>
        <v/>
      </c>
      <c r="CG59" s="103"/>
      <c r="CH59" s="169">
        <f t="shared" ca="1" si="48"/>
        <v>0</v>
      </c>
      <c r="CI59" s="169">
        <f t="shared" ca="1" si="49"/>
        <v>0</v>
      </c>
      <c r="CJ59" s="155"/>
      <c r="CK59" s="170">
        <f t="shared" ca="1" si="50"/>
        <v>0</v>
      </c>
      <c r="CL59" s="170">
        <f t="shared" ca="1" si="89"/>
        <v>0</v>
      </c>
      <c r="CM59" s="171" t="str">
        <f t="shared" ca="1" si="82"/>
        <v/>
      </c>
      <c r="CN59" s="103"/>
      <c r="CO59" s="151">
        <v>56</v>
      </c>
      <c r="CP59" s="403">
        <v>0.15</v>
      </c>
      <c r="CQ59" s="103">
        <f t="shared" si="52"/>
        <v>0</v>
      </c>
      <c r="CR59" s="409">
        <f t="shared" si="53"/>
        <v>0.15</v>
      </c>
      <c r="CS59" s="103">
        <f t="shared" si="54"/>
        <v>1</v>
      </c>
      <c r="CT59" s="103"/>
    </row>
    <row r="60" spans="1:98">
      <c r="A60" s="189">
        <v>24</v>
      </c>
      <c r="B60" s="184">
        <f ca="1">RESUMEN!J27</f>
        <v>0</v>
      </c>
      <c r="C60" s="184">
        <f ca="1">+RESUMEN!K27</f>
        <v>0</v>
      </c>
      <c r="D60" s="185">
        <f t="shared" ca="1" si="83"/>
        <v>0</v>
      </c>
      <c r="E60" s="188">
        <f ca="1">+RESUMEN!T9</f>
        <v>0</v>
      </c>
      <c r="F60" s="184">
        <f ca="1">RESUMEN!P9</f>
        <v>0</v>
      </c>
      <c r="G60" s="185">
        <f t="shared" ca="1" si="90"/>
        <v>0</v>
      </c>
      <c r="H60" s="176"/>
      <c r="I60" s="176"/>
      <c r="J60" s="175">
        <v>57</v>
      </c>
      <c r="K60" s="67">
        <v>63541.5</v>
      </c>
      <c r="L60" s="67">
        <v>79749.7</v>
      </c>
      <c r="M60" s="67">
        <v>56402.99</v>
      </c>
      <c r="N60" s="67">
        <v>70790.3</v>
      </c>
      <c r="O60" s="67">
        <v>49940.160000000003</v>
      </c>
      <c r="P60" s="67">
        <v>62678.91</v>
      </c>
      <c r="Q60" s="147">
        <f t="shared" si="67"/>
        <v>0</v>
      </c>
      <c r="R60" s="147">
        <f t="shared" si="68"/>
        <v>0</v>
      </c>
      <c r="S60" s="147">
        <f t="shared" si="69"/>
        <v>0</v>
      </c>
      <c r="T60" s="147">
        <f t="shared" si="70"/>
        <v>0</v>
      </c>
      <c r="U60" s="147">
        <f t="shared" si="71"/>
        <v>0</v>
      </c>
      <c r="V60" s="147">
        <f t="shared" si="72"/>
        <v>0</v>
      </c>
      <c r="W60" s="103"/>
      <c r="X60" s="148"/>
      <c r="Y60" s="148"/>
      <c r="Z60" s="147">
        <f t="shared" si="16"/>
        <v>0</v>
      </c>
      <c r="AA60" s="147">
        <f t="shared" si="17"/>
        <v>0</v>
      </c>
      <c r="AB60" s="147">
        <f t="shared" si="18"/>
        <v>0</v>
      </c>
      <c r="AC60" s="147">
        <f t="shared" si="19"/>
        <v>0</v>
      </c>
      <c r="AD60" s="149"/>
      <c r="AE60" s="149"/>
      <c r="AF60" s="147">
        <f t="shared" si="20"/>
        <v>0</v>
      </c>
      <c r="AG60" s="147">
        <f t="shared" si="21"/>
        <v>0</v>
      </c>
      <c r="AH60" s="147">
        <f t="shared" si="22"/>
        <v>0</v>
      </c>
      <c r="AI60" s="147">
        <f t="shared" si="23"/>
        <v>0</v>
      </c>
      <c r="AJ60" s="148"/>
      <c r="AK60" s="150"/>
      <c r="AL60" s="147">
        <f t="shared" si="24"/>
        <v>0</v>
      </c>
      <c r="AM60" s="147">
        <f t="shared" si="25"/>
        <v>0</v>
      </c>
      <c r="AN60" s="147">
        <f t="shared" si="26"/>
        <v>0</v>
      </c>
      <c r="AO60" s="147">
        <f t="shared" si="27"/>
        <v>0</v>
      </c>
      <c r="AP60" s="103"/>
      <c r="AQ60" s="151">
        <v>57</v>
      </c>
      <c r="AR60" s="152">
        <f ca="1">+RESUMEN!F60</f>
        <v>0</v>
      </c>
      <c r="AS60" s="152">
        <f ca="1">+RESUMEN!G60</f>
        <v>0</v>
      </c>
      <c r="AT60" s="153">
        <f t="shared" ca="1" si="73"/>
        <v>0</v>
      </c>
      <c r="AU60" s="154">
        <f t="shared" si="28"/>
        <v>0</v>
      </c>
      <c r="AV60" s="154">
        <f t="shared" si="29"/>
        <v>0</v>
      </c>
      <c r="AW60" s="154">
        <f t="shared" ca="1" si="74"/>
        <v>0</v>
      </c>
      <c r="AX60" s="153"/>
      <c r="AY60" s="154">
        <f t="shared" ca="1" si="75"/>
        <v>0</v>
      </c>
      <c r="AZ60" s="154">
        <f t="shared" ca="1" si="76"/>
        <v>0</v>
      </c>
      <c r="BA60" s="155"/>
      <c r="BB60" s="156">
        <f t="shared" ca="1" si="30"/>
        <v>0</v>
      </c>
      <c r="BC60" s="156">
        <f t="shared" ca="1" si="84"/>
        <v>0</v>
      </c>
      <c r="BD60" s="157" t="str">
        <f t="shared" ca="1" si="77"/>
        <v/>
      </c>
      <c r="BE60" s="103"/>
      <c r="BF60" s="106">
        <f t="shared" ca="1" si="32"/>
        <v>0</v>
      </c>
      <c r="BG60" s="106">
        <f t="shared" ca="1" si="33"/>
        <v>0</v>
      </c>
      <c r="BH60" s="155"/>
      <c r="BI60" s="158">
        <f t="shared" ca="1" si="34"/>
        <v>0</v>
      </c>
      <c r="BJ60" s="158">
        <f t="shared" ca="1" si="85"/>
        <v>0</v>
      </c>
      <c r="BK60" s="159" t="str">
        <f t="shared" ca="1" si="78"/>
        <v/>
      </c>
      <c r="BL60" s="103"/>
      <c r="BM60" s="160">
        <f t="shared" ca="1" si="36"/>
        <v>0</v>
      </c>
      <c r="BN60" s="160">
        <f t="shared" ca="1" si="37"/>
        <v>0</v>
      </c>
      <c r="BO60" s="155"/>
      <c r="BP60" s="161">
        <f t="shared" ca="1" si="38"/>
        <v>0</v>
      </c>
      <c r="BQ60" s="161">
        <f t="shared" ca="1" si="86"/>
        <v>0</v>
      </c>
      <c r="BR60" s="162" t="str">
        <f t="shared" ca="1" si="79"/>
        <v/>
      </c>
      <c r="BS60" s="103"/>
      <c r="BT60" s="163">
        <f t="shared" ca="1" si="40"/>
        <v>0</v>
      </c>
      <c r="BU60" s="163">
        <f t="shared" ca="1" si="41"/>
        <v>0</v>
      </c>
      <c r="BV60" s="155"/>
      <c r="BW60" s="164">
        <f t="shared" ca="1" si="42"/>
        <v>0</v>
      </c>
      <c r="BX60" s="164">
        <f t="shared" ca="1" si="87"/>
        <v>0</v>
      </c>
      <c r="BY60" s="165" t="str">
        <f t="shared" ca="1" si="80"/>
        <v/>
      </c>
      <c r="BZ60" s="103"/>
      <c r="CA60" s="166">
        <f t="shared" ca="1" si="44"/>
        <v>0</v>
      </c>
      <c r="CB60" s="166">
        <f t="shared" ca="1" si="45"/>
        <v>0</v>
      </c>
      <c r="CC60" s="155"/>
      <c r="CD60" s="167">
        <f t="shared" ca="1" si="46"/>
        <v>0</v>
      </c>
      <c r="CE60" s="167">
        <f t="shared" ca="1" si="88"/>
        <v>0</v>
      </c>
      <c r="CF60" s="168" t="str">
        <f t="shared" ca="1" si="81"/>
        <v/>
      </c>
      <c r="CG60" s="103"/>
      <c r="CH60" s="169">
        <f t="shared" ca="1" si="48"/>
        <v>0</v>
      </c>
      <c r="CI60" s="169">
        <f t="shared" ca="1" si="49"/>
        <v>0</v>
      </c>
      <c r="CJ60" s="155"/>
      <c r="CK60" s="170">
        <f t="shared" ca="1" si="50"/>
        <v>0</v>
      </c>
      <c r="CL60" s="170">
        <f t="shared" ca="1" si="89"/>
        <v>0</v>
      </c>
      <c r="CM60" s="171" t="str">
        <f t="shared" ca="1" si="82"/>
        <v/>
      </c>
      <c r="CN60" s="103"/>
      <c r="CO60" s="151">
        <v>57</v>
      </c>
      <c r="CP60" s="403">
        <v>0.15</v>
      </c>
      <c r="CQ60" s="103">
        <f t="shared" si="52"/>
        <v>0</v>
      </c>
      <c r="CR60" s="409">
        <f t="shared" si="53"/>
        <v>0.15</v>
      </c>
      <c r="CS60" s="103">
        <f t="shared" si="54"/>
        <v>1</v>
      </c>
      <c r="CT60" s="103"/>
    </row>
    <row r="61" spans="1:98">
      <c r="A61" s="189">
        <v>25</v>
      </c>
      <c r="B61" s="184">
        <f ca="1">RESUMEN!J28</f>
        <v>0</v>
      </c>
      <c r="C61" s="184">
        <f ca="1">+RESUMEN!K28</f>
        <v>0</v>
      </c>
      <c r="D61" s="185">
        <f t="shared" ca="1" si="83"/>
        <v>0</v>
      </c>
      <c r="E61" s="188">
        <f ca="1">+RESUMEN!T10</f>
        <v>0</v>
      </c>
      <c r="F61" s="184">
        <f ca="1">RESUMEN!P10</f>
        <v>0</v>
      </c>
      <c r="G61" s="185">
        <f t="shared" ca="1" si="90"/>
        <v>0</v>
      </c>
      <c r="H61" s="176"/>
      <c r="I61" s="176"/>
      <c r="J61" s="175">
        <v>58</v>
      </c>
      <c r="K61" s="67">
        <v>66083.16</v>
      </c>
      <c r="L61" s="67">
        <v>83460.800000000003</v>
      </c>
      <c r="M61" s="67">
        <v>58659.12</v>
      </c>
      <c r="N61" s="67">
        <v>74084.490000000005</v>
      </c>
      <c r="O61" s="67">
        <v>51937.760000000002</v>
      </c>
      <c r="P61" s="67">
        <v>65595.64</v>
      </c>
      <c r="Q61" s="147">
        <f t="shared" si="67"/>
        <v>0</v>
      </c>
      <c r="R61" s="147">
        <f t="shared" si="68"/>
        <v>0</v>
      </c>
      <c r="S61" s="147">
        <f t="shared" si="69"/>
        <v>0</v>
      </c>
      <c r="T61" s="147">
        <f t="shared" si="70"/>
        <v>0</v>
      </c>
      <c r="U61" s="147">
        <f t="shared" si="71"/>
        <v>0</v>
      </c>
      <c r="V61" s="147">
        <f t="shared" si="72"/>
        <v>0</v>
      </c>
      <c r="W61" s="103"/>
      <c r="X61" s="148"/>
      <c r="Y61" s="148"/>
      <c r="Z61" s="147">
        <f t="shared" si="16"/>
        <v>0</v>
      </c>
      <c r="AA61" s="147">
        <f t="shared" si="17"/>
        <v>0</v>
      </c>
      <c r="AB61" s="147">
        <f t="shared" si="18"/>
        <v>0</v>
      </c>
      <c r="AC61" s="147">
        <f t="shared" si="19"/>
        <v>0</v>
      </c>
      <c r="AD61" s="149"/>
      <c r="AE61" s="149"/>
      <c r="AF61" s="147">
        <f t="shared" si="20"/>
        <v>0</v>
      </c>
      <c r="AG61" s="147">
        <f t="shared" si="21"/>
        <v>0</v>
      </c>
      <c r="AH61" s="147">
        <f t="shared" si="22"/>
        <v>0</v>
      </c>
      <c r="AI61" s="147">
        <f t="shared" si="23"/>
        <v>0</v>
      </c>
      <c r="AJ61" s="148"/>
      <c r="AK61" s="150"/>
      <c r="AL61" s="147">
        <f t="shared" si="24"/>
        <v>0</v>
      </c>
      <c r="AM61" s="147">
        <f t="shared" si="25"/>
        <v>0</v>
      </c>
      <c r="AN61" s="147">
        <f t="shared" si="26"/>
        <v>0</v>
      </c>
      <c r="AO61" s="147">
        <f t="shared" si="27"/>
        <v>0</v>
      </c>
      <c r="AP61" s="103"/>
      <c r="AQ61" s="151">
        <v>58</v>
      </c>
      <c r="AR61" s="152">
        <f ca="1">+RESUMEN!F61</f>
        <v>0</v>
      </c>
      <c r="AS61" s="152">
        <f ca="1">+RESUMEN!G61</f>
        <v>0</v>
      </c>
      <c r="AT61" s="153">
        <f t="shared" ca="1" si="73"/>
        <v>0</v>
      </c>
      <c r="AU61" s="154">
        <f t="shared" si="28"/>
        <v>0</v>
      </c>
      <c r="AV61" s="154">
        <f t="shared" si="29"/>
        <v>0</v>
      </c>
      <c r="AW61" s="154">
        <f t="shared" ca="1" si="74"/>
        <v>0</v>
      </c>
      <c r="AX61" s="153"/>
      <c r="AY61" s="154">
        <f t="shared" ca="1" si="75"/>
        <v>0</v>
      </c>
      <c r="AZ61" s="154">
        <f t="shared" ca="1" si="76"/>
        <v>0</v>
      </c>
      <c r="BA61" s="155"/>
      <c r="BB61" s="156">
        <f t="shared" ca="1" si="30"/>
        <v>0</v>
      </c>
      <c r="BC61" s="156">
        <f t="shared" ca="1" si="84"/>
        <v>0</v>
      </c>
      <c r="BD61" s="157" t="str">
        <f t="shared" ca="1" si="77"/>
        <v/>
      </c>
      <c r="BE61" s="103"/>
      <c r="BF61" s="106">
        <f t="shared" ca="1" si="32"/>
        <v>0</v>
      </c>
      <c r="BG61" s="106">
        <f t="shared" ca="1" si="33"/>
        <v>0</v>
      </c>
      <c r="BH61" s="155"/>
      <c r="BI61" s="158">
        <f t="shared" ca="1" si="34"/>
        <v>0</v>
      </c>
      <c r="BJ61" s="158">
        <f t="shared" ca="1" si="85"/>
        <v>0</v>
      </c>
      <c r="BK61" s="159" t="str">
        <f t="shared" ca="1" si="78"/>
        <v/>
      </c>
      <c r="BL61" s="103"/>
      <c r="BM61" s="160">
        <f t="shared" ca="1" si="36"/>
        <v>0</v>
      </c>
      <c r="BN61" s="160">
        <f t="shared" ca="1" si="37"/>
        <v>0</v>
      </c>
      <c r="BO61" s="155"/>
      <c r="BP61" s="161">
        <f t="shared" ca="1" si="38"/>
        <v>0</v>
      </c>
      <c r="BQ61" s="161">
        <f t="shared" ca="1" si="86"/>
        <v>0</v>
      </c>
      <c r="BR61" s="162" t="str">
        <f t="shared" ca="1" si="79"/>
        <v/>
      </c>
      <c r="BS61" s="103"/>
      <c r="BT61" s="163">
        <f t="shared" ca="1" si="40"/>
        <v>0</v>
      </c>
      <c r="BU61" s="163">
        <f t="shared" ca="1" si="41"/>
        <v>0</v>
      </c>
      <c r="BV61" s="155"/>
      <c r="BW61" s="164">
        <f t="shared" ca="1" si="42"/>
        <v>0</v>
      </c>
      <c r="BX61" s="164">
        <f t="shared" ca="1" si="87"/>
        <v>0</v>
      </c>
      <c r="BY61" s="165" t="str">
        <f t="shared" ca="1" si="80"/>
        <v/>
      </c>
      <c r="BZ61" s="103"/>
      <c r="CA61" s="166">
        <f t="shared" ca="1" si="44"/>
        <v>0</v>
      </c>
      <c r="CB61" s="166">
        <f t="shared" ca="1" si="45"/>
        <v>0</v>
      </c>
      <c r="CC61" s="155"/>
      <c r="CD61" s="167">
        <f t="shared" ca="1" si="46"/>
        <v>0</v>
      </c>
      <c r="CE61" s="167">
        <f t="shared" ca="1" si="88"/>
        <v>0</v>
      </c>
      <c r="CF61" s="168" t="str">
        <f t="shared" ca="1" si="81"/>
        <v/>
      </c>
      <c r="CG61" s="103"/>
      <c r="CH61" s="169">
        <f t="shared" ca="1" si="48"/>
        <v>0</v>
      </c>
      <c r="CI61" s="169">
        <f t="shared" ca="1" si="49"/>
        <v>0</v>
      </c>
      <c r="CJ61" s="155"/>
      <c r="CK61" s="170">
        <f t="shared" ca="1" si="50"/>
        <v>0</v>
      </c>
      <c r="CL61" s="170">
        <f t="shared" ca="1" si="89"/>
        <v>0</v>
      </c>
      <c r="CM61" s="171" t="str">
        <f t="shared" ca="1" si="82"/>
        <v/>
      </c>
      <c r="CN61" s="103"/>
      <c r="CO61" s="151">
        <v>58</v>
      </c>
      <c r="CP61" s="403">
        <v>0.15</v>
      </c>
      <c r="CQ61" s="103">
        <f t="shared" si="52"/>
        <v>0</v>
      </c>
      <c r="CR61" s="409">
        <f t="shared" si="53"/>
        <v>0.15</v>
      </c>
      <c r="CS61" s="103">
        <f t="shared" si="54"/>
        <v>1</v>
      </c>
      <c r="CT61" s="103"/>
    </row>
    <row r="62" spans="1:98">
      <c r="A62" s="189">
        <v>26</v>
      </c>
      <c r="B62" s="184">
        <f ca="1">RESUMEN!J29</f>
        <v>0</v>
      </c>
      <c r="C62" s="184">
        <f ca="1">+RESUMEN!K29</f>
        <v>0</v>
      </c>
      <c r="D62" s="185">
        <f t="shared" ca="1" si="83"/>
        <v>0</v>
      </c>
      <c r="E62" s="188">
        <f ca="1">+RESUMEN!T11</f>
        <v>0</v>
      </c>
      <c r="F62" s="184">
        <f ca="1">RESUMEN!P11</f>
        <v>0</v>
      </c>
      <c r="G62" s="185">
        <f t="shared" ca="1" si="90"/>
        <v>0</v>
      </c>
      <c r="H62" s="176"/>
      <c r="I62" s="176"/>
      <c r="J62" s="175">
        <v>59</v>
      </c>
      <c r="K62" s="67">
        <v>69387.31</v>
      </c>
      <c r="L62" s="67">
        <v>87526.04</v>
      </c>
      <c r="M62" s="67">
        <v>61592.07</v>
      </c>
      <c r="N62" s="67">
        <v>77693.009999999995</v>
      </c>
      <c r="O62" s="67">
        <v>54534.64</v>
      </c>
      <c r="P62" s="67">
        <v>68790.69</v>
      </c>
      <c r="Q62" s="147">
        <f t="shared" si="67"/>
        <v>0</v>
      </c>
      <c r="R62" s="147">
        <f t="shared" si="68"/>
        <v>0</v>
      </c>
      <c r="S62" s="147">
        <f t="shared" si="69"/>
        <v>0</v>
      </c>
      <c r="T62" s="147">
        <f t="shared" si="70"/>
        <v>0</v>
      </c>
      <c r="U62" s="147">
        <f t="shared" si="71"/>
        <v>0</v>
      </c>
      <c r="V62" s="147">
        <f t="shared" si="72"/>
        <v>0</v>
      </c>
      <c r="W62" s="103"/>
      <c r="X62" s="148"/>
      <c r="Y62" s="148"/>
      <c r="Z62" s="147">
        <f t="shared" si="16"/>
        <v>0</v>
      </c>
      <c r="AA62" s="147">
        <f t="shared" si="17"/>
        <v>0</v>
      </c>
      <c r="AB62" s="147">
        <f t="shared" si="18"/>
        <v>0</v>
      </c>
      <c r="AC62" s="147">
        <f t="shared" si="19"/>
        <v>0</v>
      </c>
      <c r="AD62" s="149"/>
      <c r="AE62" s="149"/>
      <c r="AF62" s="147">
        <f t="shared" si="20"/>
        <v>0</v>
      </c>
      <c r="AG62" s="147">
        <f t="shared" si="21"/>
        <v>0</v>
      </c>
      <c r="AH62" s="147">
        <f t="shared" si="22"/>
        <v>0</v>
      </c>
      <c r="AI62" s="147">
        <f t="shared" si="23"/>
        <v>0</v>
      </c>
      <c r="AJ62" s="148"/>
      <c r="AK62" s="150"/>
      <c r="AL62" s="147">
        <f t="shared" si="24"/>
        <v>0</v>
      </c>
      <c r="AM62" s="147">
        <f t="shared" si="25"/>
        <v>0</v>
      </c>
      <c r="AN62" s="147">
        <f t="shared" si="26"/>
        <v>0</v>
      </c>
      <c r="AO62" s="147">
        <f t="shared" si="27"/>
        <v>0</v>
      </c>
      <c r="AP62" s="103"/>
      <c r="AQ62" s="151">
        <v>59</v>
      </c>
      <c r="AR62" s="152">
        <f ca="1">+RESUMEN!F62</f>
        <v>0</v>
      </c>
      <c r="AS62" s="152">
        <f ca="1">+RESUMEN!G62</f>
        <v>0</v>
      </c>
      <c r="AT62" s="153">
        <f t="shared" ca="1" si="73"/>
        <v>0</v>
      </c>
      <c r="AU62" s="154">
        <f t="shared" si="28"/>
        <v>0</v>
      </c>
      <c r="AV62" s="154">
        <f t="shared" si="29"/>
        <v>0</v>
      </c>
      <c r="AW62" s="154">
        <f t="shared" ca="1" si="74"/>
        <v>0</v>
      </c>
      <c r="AX62" s="153"/>
      <c r="AY62" s="154">
        <f t="shared" ca="1" si="75"/>
        <v>0</v>
      </c>
      <c r="AZ62" s="154">
        <f t="shared" ca="1" si="76"/>
        <v>0</v>
      </c>
      <c r="BA62" s="155"/>
      <c r="BB62" s="156">
        <f t="shared" ca="1" si="30"/>
        <v>0</v>
      </c>
      <c r="BC62" s="156">
        <f t="shared" ca="1" si="84"/>
        <v>0</v>
      </c>
      <c r="BD62" s="157" t="str">
        <f t="shared" ca="1" si="77"/>
        <v/>
      </c>
      <c r="BE62" s="103"/>
      <c r="BF62" s="106">
        <f t="shared" ca="1" si="32"/>
        <v>0</v>
      </c>
      <c r="BG62" s="106">
        <f t="shared" ca="1" si="33"/>
        <v>0</v>
      </c>
      <c r="BH62" s="155"/>
      <c r="BI62" s="158">
        <f t="shared" ca="1" si="34"/>
        <v>0</v>
      </c>
      <c r="BJ62" s="158">
        <f t="shared" ca="1" si="85"/>
        <v>0</v>
      </c>
      <c r="BK62" s="159" t="str">
        <f t="shared" ca="1" si="78"/>
        <v/>
      </c>
      <c r="BL62" s="103"/>
      <c r="BM62" s="160">
        <f t="shared" ca="1" si="36"/>
        <v>0</v>
      </c>
      <c r="BN62" s="160">
        <f t="shared" ca="1" si="37"/>
        <v>0</v>
      </c>
      <c r="BO62" s="155"/>
      <c r="BP62" s="161">
        <f t="shared" ca="1" si="38"/>
        <v>0</v>
      </c>
      <c r="BQ62" s="161">
        <f t="shared" ca="1" si="86"/>
        <v>0</v>
      </c>
      <c r="BR62" s="162" t="str">
        <f t="shared" ca="1" si="79"/>
        <v/>
      </c>
      <c r="BS62" s="249"/>
      <c r="BT62" s="163">
        <f t="shared" ca="1" si="40"/>
        <v>0</v>
      </c>
      <c r="BU62" s="163">
        <f t="shared" ca="1" si="41"/>
        <v>0</v>
      </c>
      <c r="BV62" s="155"/>
      <c r="BW62" s="164">
        <f t="shared" ca="1" si="42"/>
        <v>0</v>
      </c>
      <c r="BX62" s="164">
        <f t="shared" ca="1" si="87"/>
        <v>0</v>
      </c>
      <c r="BY62" s="165" t="str">
        <f t="shared" ca="1" si="80"/>
        <v/>
      </c>
      <c r="BZ62" s="103"/>
      <c r="CA62" s="166">
        <f t="shared" ca="1" si="44"/>
        <v>0</v>
      </c>
      <c r="CB62" s="166">
        <f t="shared" ca="1" si="45"/>
        <v>0</v>
      </c>
      <c r="CC62" s="155"/>
      <c r="CD62" s="167">
        <f t="shared" ca="1" si="46"/>
        <v>0</v>
      </c>
      <c r="CE62" s="167">
        <f t="shared" ca="1" si="88"/>
        <v>0</v>
      </c>
      <c r="CF62" s="168" t="str">
        <f t="shared" ca="1" si="81"/>
        <v/>
      </c>
      <c r="CG62" s="103"/>
      <c r="CH62" s="169">
        <f t="shared" ca="1" si="48"/>
        <v>0</v>
      </c>
      <c r="CI62" s="169">
        <f t="shared" ca="1" si="49"/>
        <v>0</v>
      </c>
      <c r="CJ62" s="155"/>
      <c r="CK62" s="170">
        <f t="shared" ca="1" si="50"/>
        <v>0</v>
      </c>
      <c r="CL62" s="170">
        <f t="shared" ca="1" si="89"/>
        <v>0</v>
      </c>
      <c r="CM62" s="171" t="str">
        <f t="shared" ca="1" si="82"/>
        <v/>
      </c>
      <c r="CN62" s="103"/>
      <c r="CO62" s="151">
        <v>59</v>
      </c>
      <c r="CP62" s="403">
        <v>0.15</v>
      </c>
      <c r="CQ62" s="103">
        <f t="shared" si="52"/>
        <v>0</v>
      </c>
      <c r="CR62" s="409">
        <f t="shared" si="53"/>
        <v>0.15</v>
      </c>
      <c r="CS62" s="103">
        <f t="shared" si="54"/>
        <v>1</v>
      </c>
      <c r="CT62" s="103"/>
    </row>
    <row r="63" spans="1:98">
      <c r="A63" s="189">
        <v>27</v>
      </c>
      <c r="B63" s="184">
        <f ca="1">RESUMEN!J30</f>
        <v>0</v>
      </c>
      <c r="C63" s="184">
        <f ca="1">+RESUMEN!K30</f>
        <v>0</v>
      </c>
      <c r="D63" s="185">
        <f t="shared" ca="1" si="83"/>
        <v>0</v>
      </c>
      <c r="E63" s="188">
        <f ca="1">+RESUMEN!T12</f>
        <v>0</v>
      </c>
      <c r="F63" s="184">
        <f ca="1">RESUMEN!P12</f>
        <v>0</v>
      </c>
      <c r="G63" s="185">
        <f t="shared" ca="1" si="90"/>
        <v>0</v>
      </c>
      <c r="H63" s="176"/>
      <c r="I63" s="176"/>
      <c r="J63" s="175">
        <v>60</v>
      </c>
      <c r="K63" s="67">
        <v>70271.33</v>
      </c>
      <c r="L63" s="67">
        <v>91369.29</v>
      </c>
      <c r="M63" s="67">
        <v>62376.77</v>
      </c>
      <c r="N63" s="67">
        <v>81104.5</v>
      </c>
      <c r="O63" s="67">
        <v>55229.43</v>
      </c>
      <c r="P63" s="67">
        <v>71811.28</v>
      </c>
      <c r="Q63" s="147">
        <f t="shared" si="67"/>
        <v>0</v>
      </c>
      <c r="R63" s="147">
        <f t="shared" si="68"/>
        <v>0</v>
      </c>
      <c r="S63" s="147">
        <f t="shared" si="69"/>
        <v>0</v>
      </c>
      <c r="T63" s="147">
        <f t="shared" si="70"/>
        <v>0</v>
      </c>
      <c r="U63" s="147">
        <f t="shared" si="71"/>
        <v>0</v>
      </c>
      <c r="V63" s="147">
        <f t="shared" si="72"/>
        <v>0</v>
      </c>
      <c r="W63" s="103"/>
      <c r="X63" s="148"/>
      <c r="Y63" s="148"/>
      <c r="Z63" s="147">
        <f t="shared" si="16"/>
        <v>0</v>
      </c>
      <c r="AA63" s="147">
        <f t="shared" si="17"/>
        <v>0</v>
      </c>
      <c r="AB63" s="147">
        <f t="shared" si="18"/>
        <v>0</v>
      </c>
      <c r="AC63" s="147">
        <f t="shared" si="19"/>
        <v>0</v>
      </c>
      <c r="AD63" s="149"/>
      <c r="AE63" s="149"/>
      <c r="AF63" s="147">
        <f t="shared" si="20"/>
        <v>0</v>
      </c>
      <c r="AG63" s="147">
        <f t="shared" si="21"/>
        <v>0</v>
      </c>
      <c r="AH63" s="147">
        <f t="shared" si="22"/>
        <v>0</v>
      </c>
      <c r="AI63" s="147">
        <f t="shared" si="23"/>
        <v>0</v>
      </c>
      <c r="AJ63" s="148"/>
      <c r="AK63" s="150"/>
      <c r="AL63" s="147">
        <f t="shared" si="24"/>
        <v>0</v>
      </c>
      <c r="AM63" s="147">
        <f t="shared" si="25"/>
        <v>0</v>
      </c>
      <c r="AN63" s="147">
        <f t="shared" si="26"/>
        <v>0</v>
      </c>
      <c r="AO63" s="147">
        <f t="shared" si="27"/>
        <v>0</v>
      </c>
      <c r="AP63" s="103"/>
      <c r="AQ63" s="151">
        <v>60</v>
      </c>
      <c r="AR63" s="152">
        <f ca="1">+RESUMEN!F63</f>
        <v>0</v>
      </c>
      <c r="AS63" s="152">
        <f ca="1">+RESUMEN!G63</f>
        <v>0</v>
      </c>
      <c r="AT63" s="153">
        <f t="shared" ca="1" si="73"/>
        <v>0</v>
      </c>
      <c r="AU63" s="154">
        <f t="shared" si="28"/>
        <v>0</v>
      </c>
      <c r="AV63" s="154">
        <f t="shared" si="29"/>
        <v>0</v>
      </c>
      <c r="AW63" s="154">
        <f t="shared" ca="1" si="74"/>
        <v>0</v>
      </c>
      <c r="AX63" s="153"/>
      <c r="AY63" s="154">
        <f t="shared" ca="1" si="75"/>
        <v>0</v>
      </c>
      <c r="AZ63" s="154">
        <f t="shared" ca="1" si="76"/>
        <v>0</v>
      </c>
      <c r="BA63" s="155"/>
      <c r="BB63" s="156">
        <f t="shared" ca="1" si="30"/>
        <v>0</v>
      </c>
      <c r="BC63" s="156">
        <f t="shared" ca="1" si="84"/>
        <v>0</v>
      </c>
      <c r="BD63" s="157" t="str">
        <f t="shared" ca="1" si="77"/>
        <v/>
      </c>
      <c r="BE63" s="103"/>
      <c r="BF63" s="106">
        <f t="shared" ca="1" si="32"/>
        <v>0</v>
      </c>
      <c r="BG63" s="106">
        <f t="shared" ca="1" si="33"/>
        <v>0</v>
      </c>
      <c r="BH63" s="155"/>
      <c r="BI63" s="158">
        <f t="shared" ca="1" si="34"/>
        <v>0</v>
      </c>
      <c r="BJ63" s="158">
        <f t="shared" ca="1" si="85"/>
        <v>0</v>
      </c>
      <c r="BK63" s="159" t="str">
        <f t="shared" ca="1" si="78"/>
        <v/>
      </c>
      <c r="BL63" s="103"/>
      <c r="BM63" s="160">
        <f ca="1">K63*$B$27</f>
        <v>0</v>
      </c>
      <c r="BN63" s="160">
        <f t="shared" ca="1" si="37"/>
        <v>0</v>
      </c>
      <c r="BO63" s="155"/>
      <c r="BP63" s="161">
        <f t="shared" ca="1" si="38"/>
        <v>0</v>
      </c>
      <c r="BQ63" s="161">
        <f t="shared" ca="1" si="86"/>
        <v>0</v>
      </c>
      <c r="BR63" s="162" t="str">
        <f t="shared" ca="1" si="79"/>
        <v/>
      </c>
      <c r="BS63" s="103"/>
      <c r="BT63" s="163">
        <f t="shared" ca="1" si="40"/>
        <v>0</v>
      </c>
      <c r="BU63" s="163">
        <f t="shared" ca="1" si="41"/>
        <v>0</v>
      </c>
      <c r="BV63" s="155"/>
      <c r="BW63" s="164">
        <f t="shared" ca="1" si="42"/>
        <v>0</v>
      </c>
      <c r="BX63" s="164">
        <f t="shared" ca="1" si="87"/>
        <v>0</v>
      </c>
      <c r="BY63" s="165" t="str">
        <f t="shared" ca="1" si="80"/>
        <v/>
      </c>
      <c r="BZ63" s="103"/>
      <c r="CA63" s="166">
        <f t="shared" ca="1" si="44"/>
        <v>0</v>
      </c>
      <c r="CB63" s="166">
        <f t="shared" ca="1" si="45"/>
        <v>0</v>
      </c>
      <c r="CC63" s="155"/>
      <c r="CD63" s="167">
        <f t="shared" ca="1" si="46"/>
        <v>0</v>
      </c>
      <c r="CE63" s="167">
        <f t="shared" ca="1" si="88"/>
        <v>0</v>
      </c>
      <c r="CF63" s="168" t="str">
        <f t="shared" ca="1" si="81"/>
        <v/>
      </c>
      <c r="CG63" s="103"/>
      <c r="CH63" s="169">
        <f t="shared" ca="1" si="48"/>
        <v>0</v>
      </c>
      <c r="CI63" s="169">
        <f t="shared" ca="1" si="49"/>
        <v>0</v>
      </c>
      <c r="CJ63" s="155"/>
      <c r="CK63" s="170">
        <f t="shared" ca="1" si="50"/>
        <v>0</v>
      </c>
      <c r="CL63" s="170">
        <f t="shared" ca="1" si="89"/>
        <v>0</v>
      </c>
      <c r="CM63" s="171" t="str">
        <f t="shared" ca="1" si="82"/>
        <v/>
      </c>
      <c r="CN63" s="103"/>
      <c r="CO63" s="151">
        <v>60</v>
      </c>
      <c r="CP63" s="403">
        <v>0.12</v>
      </c>
      <c r="CQ63" s="103">
        <f t="shared" si="52"/>
        <v>0</v>
      </c>
      <c r="CR63" s="409">
        <f t="shared" si="53"/>
        <v>0.12</v>
      </c>
      <c r="CS63" s="103">
        <f t="shared" si="54"/>
        <v>1</v>
      </c>
      <c r="CT63" s="103"/>
    </row>
    <row r="64" spans="1:98">
      <c r="A64" s="189">
        <v>28</v>
      </c>
      <c r="B64" s="184">
        <f ca="1">RESUMEN!J31</f>
        <v>0</v>
      </c>
      <c r="C64" s="184">
        <f ca="1">+RESUMEN!K31</f>
        <v>0</v>
      </c>
      <c r="D64" s="185">
        <f t="shared" ca="1" si="83"/>
        <v>0</v>
      </c>
      <c r="E64" s="188">
        <f ca="1">+RESUMEN!T13</f>
        <v>0</v>
      </c>
      <c r="F64" s="184">
        <f ca="1">RESUMEN!P13</f>
        <v>0</v>
      </c>
      <c r="G64" s="185">
        <f t="shared" ca="1" si="90"/>
        <v>0</v>
      </c>
      <c r="H64" s="176"/>
      <c r="I64" s="176"/>
      <c r="J64" s="175">
        <v>61</v>
      </c>
      <c r="K64" s="67">
        <v>78291.3</v>
      </c>
      <c r="L64" s="67">
        <v>99118.94</v>
      </c>
      <c r="M64" s="67">
        <v>69495.75</v>
      </c>
      <c r="N64" s="67">
        <v>87983.53</v>
      </c>
      <c r="O64" s="67">
        <v>61532.7</v>
      </c>
      <c r="P64" s="67">
        <v>77902.080000000002</v>
      </c>
      <c r="Q64" s="147">
        <f t="shared" si="67"/>
        <v>0</v>
      </c>
      <c r="R64" s="147">
        <f t="shared" si="68"/>
        <v>0</v>
      </c>
      <c r="S64" s="147">
        <f t="shared" si="69"/>
        <v>0</v>
      </c>
      <c r="T64" s="147">
        <f t="shared" si="70"/>
        <v>0</v>
      </c>
      <c r="U64" s="147">
        <f t="shared" si="71"/>
        <v>0</v>
      </c>
      <c r="V64" s="147">
        <f t="shared" si="72"/>
        <v>0</v>
      </c>
      <c r="W64" s="103"/>
      <c r="X64" s="148"/>
      <c r="Y64" s="148"/>
      <c r="Z64" s="147">
        <f t="shared" si="16"/>
        <v>0</v>
      </c>
      <c r="AA64" s="147">
        <f t="shared" si="17"/>
        <v>0</v>
      </c>
      <c r="AB64" s="147">
        <f t="shared" si="18"/>
        <v>0</v>
      </c>
      <c r="AC64" s="147">
        <f t="shared" si="19"/>
        <v>0</v>
      </c>
      <c r="AD64" s="149"/>
      <c r="AE64" s="149"/>
      <c r="AF64" s="147">
        <f t="shared" si="20"/>
        <v>0</v>
      </c>
      <c r="AG64" s="147">
        <f t="shared" si="21"/>
        <v>0</v>
      </c>
      <c r="AH64" s="147">
        <f t="shared" si="22"/>
        <v>0</v>
      </c>
      <c r="AI64" s="147">
        <f t="shared" si="23"/>
        <v>0</v>
      </c>
      <c r="AJ64" s="148"/>
      <c r="AK64" s="150"/>
      <c r="AL64" s="147">
        <f t="shared" si="24"/>
        <v>0</v>
      </c>
      <c r="AM64" s="147">
        <f t="shared" si="25"/>
        <v>0</v>
      </c>
      <c r="AN64" s="147">
        <f t="shared" si="26"/>
        <v>0</v>
      </c>
      <c r="AO64" s="147">
        <f t="shared" si="27"/>
        <v>0</v>
      </c>
      <c r="AP64" s="103"/>
      <c r="AQ64" s="151">
        <v>61</v>
      </c>
      <c r="AR64" s="152">
        <f ca="1">+RESUMEN!F64</f>
        <v>0</v>
      </c>
      <c r="AS64" s="152">
        <f ca="1">+RESUMEN!G64</f>
        <v>0</v>
      </c>
      <c r="AT64" s="153">
        <f t="shared" ca="1" si="73"/>
        <v>0</v>
      </c>
      <c r="AU64" s="154">
        <f t="shared" si="28"/>
        <v>0</v>
      </c>
      <c r="AV64" s="154">
        <f t="shared" si="29"/>
        <v>0</v>
      </c>
      <c r="AW64" s="154">
        <f t="shared" ca="1" si="74"/>
        <v>0</v>
      </c>
      <c r="AX64" s="153"/>
      <c r="AY64" s="154">
        <f t="shared" ca="1" si="75"/>
        <v>0</v>
      </c>
      <c r="AZ64" s="154">
        <f t="shared" ca="1" si="76"/>
        <v>0</v>
      </c>
      <c r="BA64" s="155"/>
      <c r="BB64" s="156">
        <f t="shared" ca="1" si="30"/>
        <v>0</v>
      </c>
      <c r="BC64" s="156">
        <f t="shared" ca="1" si="84"/>
        <v>0</v>
      </c>
      <c r="BD64" s="157" t="str">
        <f t="shared" ca="1" si="77"/>
        <v/>
      </c>
      <c r="BE64" s="103"/>
      <c r="BF64" s="106">
        <f t="shared" ca="1" si="32"/>
        <v>0</v>
      </c>
      <c r="BG64" s="106">
        <f t="shared" ca="1" si="33"/>
        <v>0</v>
      </c>
      <c r="BH64" s="155"/>
      <c r="BI64" s="158">
        <f t="shared" ca="1" si="34"/>
        <v>0</v>
      </c>
      <c r="BJ64" s="158">
        <f t="shared" ca="1" si="85"/>
        <v>0</v>
      </c>
      <c r="BK64" s="159" t="str">
        <f t="shared" ca="1" si="78"/>
        <v/>
      </c>
      <c r="BL64" s="103"/>
      <c r="BM64" s="160">
        <f t="shared" ca="1" si="36"/>
        <v>0</v>
      </c>
      <c r="BN64" s="160">
        <f t="shared" ca="1" si="37"/>
        <v>0</v>
      </c>
      <c r="BO64" s="155"/>
      <c r="BP64" s="161">
        <f t="shared" ca="1" si="38"/>
        <v>0</v>
      </c>
      <c r="BQ64" s="161">
        <f t="shared" ca="1" si="86"/>
        <v>0</v>
      </c>
      <c r="BR64" s="162" t="str">
        <f t="shared" ca="1" si="79"/>
        <v/>
      </c>
      <c r="BS64" s="103"/>
      <c r="BT64" s="163">
        <f t="shared" ca="1" si="40"/>
        <v>0</v>
      </c>
      <c r="BU64" s="163">
        <f t="shared" ca="1" si="41"/>
        <v>0</v>
      </c>
      <c r="BV64" s="155"/>
      <c r="BW64" s="164">
        <f t="shared" ca="1" si="42"/>
        <v>0</v>
      </c>
      <c r="BX64" s="164">
        <f t="shared" ca="1" si="87"/>
        <v>0</v>
      </c>
      <c r="BY64" s="165" t="str">
        <f t="shared" ca="1" si="80"/>
        <v/>
      </c>
      <c r="BZ64" s="103"/>
      <c r="CA64" s="166">
        <f t="shared" ca="1" si="44"/>
        <v>0</v>
      </c>
      <c r="CB64" s="166">
        <f t="shared" ca="1" si="45"/>
        <v>0</v>
      </c>
      <c r="CC64" s="155"/>
      <c r="CD64" s="167">
        <f t="shared" ca="1" si="46"/>
        <v>0</v>
      </c>
      <c r="CE64" s="167">
        <f t="shared" ca="1" si="88"/>
        <v>0</v>
      </c>
      <c r="CF64" s="168" t="str">
        <f t="shared" ca="1" si="81"/>
        <v/>
      </c>
      <c r="CG64" s="103"/>
      <c r="CH64" s="169">
        <f t="shared" ca="1" si="48"/>
        <v>0</v>
      </c>
      <c r="CI64" s="169">
        <f t="shared" ca="1" si="49"/>
        <v>0</v>
      </c>
      <c r="CJ64" s="155"/>
      <c r="CK64" s="170">
        <f t="shared" ca="1" si="50"/>
        <v>0</v>
      </c>
      <c r="CL64" s="170">
        <f t="shared" ca="1" si="89"/>
        <v>0</v>
      </c>
      <c r="CM64" s="171" t="str">
        <f t="shared" ca="1" si="82"/>
        <v/>
      </c>
      <c r="CN64" s="103"/>
      <c r="CO64" s="151">
        <v>61</v>
      </c>
      <c r="CP64" s="403">
        <v>0.12</v>
      </c>
      <c r="CQ64" s="103">
        <f t="shared" si="52"/>
        <v>0</v>
      </c>
      <c r="CR64" s="409">
        <f t="shared" si="53"/>
        <v>0.12</v>
      </c>
      <c r="CS64" s="103">
        <f t="shared" si="54"/>
        <v>1</v>
      </c>
      <c r="CT64" s="103"/>
    </row>
    <row r="65" spans="1:98">
      <c r="A65" s="189">
        <v>29</v>
      </c>
      <c r="B65" s="184">
        <f ca="1">RESUMEN!J32</f>
        <v>0</v>
      </c>
      <c r="C65" s="184">
        <f ca="1">+RESUMEN!K32</f>
        <v>0</v>
      </c>
      <c r="D65" s="185">
        <f t="shared" ca="1" si="83"/>
        <v>0</v>
      </c>
      <c r="E65" s="188">
        <f ca="1">+RESUMEN!T14</f>
        <v>0</v>
      </c>
      <c r="F65" s="184">
        <f ca="1">RESUMEN!P14</f>
        <v>0</v>
      </c>
      <c r="G65" s="185">
        <f t="shared" ca="1" si="90"/>
        <v>0</v>
      </c>
      <c r="H65" s="176"/>
      <c r="I65" s="176"/>
      <c r="J65" s="175">
        <v>62</v>
      </c>
      <c r="K65" s="67">
        <v>87199.82</v>
      </c>
      <c r="L65" s="67">
        <v>102244.73</v>
      </c>
      <c r="M65" s="67">
        <v>77403.45</v>
      </c>
      <c r="N65" s="67">
        <v>90758.16</v>
      </c>
      <c r="O65" s="67">
        <v>68534.3</v>
      </c>
      <c r="P65" s="67">
        <v>80358.789999999994</v>
      </c>
      <c r="Q65" s="147">
        <f t="shared" si="67"/>
        <v>0</v>
      </c>
      <c r="R65" s="147">
        <f t="shared" si="68"/>
        <v>0</v>
      </c>
      <c r="S65" s="147">
        <f t="shared" si="69"/>
        <v>0</v>
      </c>
      <c r="T65" s="147">
        <f t="shared" si="70"/>
        <v>0</v>
      </c>
      <c r="U65" s="147">
        <f t="shared" si="71"/>
        <v>0</v>
      </c>
      <c r="V65" s="147">
        <f t="shared" si="72"/>
        <v>0</v>
      </c>
      <c r="W65" s="103"/>
      <c r="X65" s="148"/>
      <c r="Y65" s="148"/>
      <c r="Z65" s="147">
        <f t="shared" si="16"/>
        <v>0</v>
      </c>
      <c r="AA65" s="147">
        <f t="shared" si="17"/>
        <v>0</v>
      </c>
      <c r="AB65" s="147">
        <f t="shared" si="18"/>
        <v>0</v>
      </c>
      <c r="AC65" s="147">
        <f t="shared" si="19"/>
        <v>0</v>
      </c>
      <c r="AD65" s="149"/>
      <c r="AE65" s="149"/>
      <c r="AF65" s="147">
        <f t="shared" si="20"/>
        <v>0</v>
      </c>
      <c r="AG65" s="147">
        <f t="shared" si="21"/>
        <v>0</v>
      </c>
      <c r="AH65" s="147">
        <f t="shared" si="22"/>
        <v>0</v>
      </c>
      <c r="AI65" s="147">
        <f t="shared" si="23"/>
        <v>0</v>
      </c>
      <c r="AJ65" s="148"/>
      <c r="AK65" s="150"/>
      <c r="AL65" s="147">
        <f t="shared" si="24"/>
        <v>0</v>
      </c>
      <c r="AM65" s="147">
        <f t="shared" si="25"/>
        <v>0</v>
      </c>
      <c r="AN65" s="147">
        <f t="shared" si="26"/>
        <v>0</v>
      </c>
      <c r="AO65" s="147">
        <f t="shared" si="27"/>
        <v>0</v>
      </c>
      <c r="AP65" s="103"/>
      <c r="AQ65" s="151">
        <v>62</v>
      </c>
      <c r="AR65" s="152">
        <f ca="1">+RESUMEN!F65</f>
        <v>0</v>
      </c>
      <c r="AS65" s="152">
        <f ca="1">+RESUMEN!G65</f>
        <v>0</v>
      </c>
      <c r="AT65" s="153">
        <f t="shared" ca="1" si="73"/>
        <v>0</v>
      </c>
      <c r="AU65" s="154">
        <f t="shared" si="28"/>
        <v>0</v>
      </c>
      <c r="AV65" s="154">
        <f t="shared" si="29"/>
        <v>0</v>
      </c>
      <c r="AW65" s="154">
        <f t="shared" ca="1" si="74"/>
        <v>0</v>
      </c>
      <c r="AX65" s="153"/>
      <c r="AY65" s="154">
        <f t="shared" ca="1" si="75"/>
        <v>0</v>
      </c>
      <c r="AZ65" s="154">
        <f t="shared" ca="1" si="76"/>
        <v>0</v>
      </c>
      <c r="BA65" s="155"/>
      <c r="BB65" s="156">
        <f t="shared" ca="1" si="30"/>
        <v>0</v>
      </c>
      <c r="BC65" s="156">
        <f t="shared" ca="1" si="84"/>
        <v>0</v>
      </c>
      <c r="BD65" s="157" t="str">
        <f t="shared" ca="1" si="77"/>
        <v/>
      </c>
      <c r="BE65" s="103"/>
      <c r="BF65" s="106">
        <f t="shared" ca="1" si="32"/>
        <v>0</v>
      </c>
      <c r="BG65" s="106">
        <f t="shared" ca="1" si="33"/>
        <v>0</v>
      </c>
      <c r="BH65" s="155"/>
      <c r="BI65" s="158">
        <f t="shared" ca="1" si="34"/>
        <v>0</v>
      </c>
      <c r="BJ65" s="158">
        <f t="shared" ca="1" si="85"/>
        <v>0</v>
      </c>
      <c r="BK65" s="159" t="str">
        <f t="shared" ca="1" si="78"/>
        <v/>
      </c>
      <c r="BL65" s="103"/>
      <c r="BM65" s="160">
        <f t="shared" ca="1" si="36"/>
        <v>0</v>
      </c>
      <c r="BN65" s="160">
        <f t="shared" ca="1" si="37"/>
        <v>0</v>
      </c>
      <c r="BO65" s="155"/>
      <c r="BP65" s="161">
        <f t="shared" ca="1" si="38"/>
        <v>0</v>
      </c>
      <c r="BQ65" s="161">
        <f t="shared" ca="1" si="86"/>
        <v>0</v>
      </c>
      <c r="BR65" s="162" t="str">
        <f t="shared" ca="1" si="79"/>
        <v/>
      </c>
      <c r="BS65" s="103"/>
      <c r="BT65" s="163">
        <f t="shared" ca="1" si="40"/>
        <v>0</v>
      </c>
      <c r="BU65" s="163">
        <f t="shared" ca="1" si="41"/>
        <v>0</v>
      </c>
      <c r="BV65" s="155"/>
      <c r="BW65" s="164">
        <f t="shared" ca="1" si="42"/>
        <v>0</v>
      </c>
      <c r="BX65" s="164">
        <f t="shared" ca="1" si="87"/>
        <v>0</v>
      </c>
      <c r="BY65" s="165" t="str">
        <f t="shared" ca="1" si="80"/>
        <v/>
      </c>
      <c r="BZ65" s="103"/>
      <c r="CA65" s="166">
        <f t="shared" ca="1" si="44"/>
        <v>0</v>
      </c>
      <c r="CB65" s="166">
        <f t="shared" ca="1" si="45"/>
        <v>0</v>
      </c>
      <c r="CC65" s="155"/>
      <c r="CD65" s="167">
        <f t="shared" ca="1" si="46"/>
        <v>0</v>
      </c>
      <c r="CE65" s="167">
        <f t="shared" ca="1" si="88"/>
        <v>0</v>
      </c>
      <c r="CF65" s="168" t="str">
        <f t="shared" ca="1" si="81"/>
        <v/>
      </c>
      <c r="CG65" s="103"/>
      <c r="CH65" s="169">
        <f t="shared" ca="1" si="48"/>
        <v>0</v>
      </c>
      <c r="CI65" s="169">
        <f t="shared" ca="1" si="49"/>
        <v>0</v>
      </c>
      <c r="CJ65" s="155"/>
      <c r="CK65" s="170">
        <f t="shared" ca="1" si="50"/>
        <v>0</v>
      </c>
      <c r="CL65" s="170">
        <f t="shared" ca="1" si="89"/>
        <v>0</v>
      </c>
      <c r="CM65" s="171" t="str">
        <f t="shared" ca="1" si="82"/>
        <v/>
      </c>
      <c r="CN65" s="103"/>
      <c r="CO65" s="151">
        <v>62</v>
      </c>
      <c r="CP65" s="403">
        <v>0.12</v>
      </c>
      <c r="CQ65" s="103">
        <f t="shared" si="52"/>
        <v>0</v>
      </c>
      <c r="CR65" s="409">
        <f t="shared" si="53"/>
        <v>0.12</v>
      </c>
      <c r="CS65" s="103">
        <f t="shared" si="54"/>
        <v>1</v>
      </c>
      <c r="CT65" s="103"/>
    </row>
    <row r="66" spans="1:98">
      <c r="A66" s="189">
        <v>30</v>
      </c>
      <c r="B66" s="184">
        <f ca="1">RESUMEN!J33</f>
        <v>0</v>
      </c>
      <c r="C66" s="184">
        <f ca="1">+RESUMEN!K33</f>
        <v>0</v>
      </c>
      <c r="D66" s="185">
        <f t="shared" ca="1" si="83"/>
        <v>0</v>
      </c>
      <c r="E66" s="188">
        <f ca="1">+RESUMEN!T15</f>
        <v>0</v>
      </c>
      <c r="F66" s="184">
        <f ca="1">RESUMEN!P15</f>
        <v>0</v>
      </c>
      <c r="G66" s="185">
        <f t="shared" ca="1" si="90"/>
        <v>0</v>
      </c>
      <c r="H66" s="176"/>
      <c r="I66" s="176"/>
      <c r="J66" s="175">
        <v>63</v>
      </c>
      <c r="K66" s="67">
        <v>94510.86</v>
      </c>
      <c r="L66" s="67">
        <v>108773.11</v>
      </c>
      <c r="M66" s="67">
        <v>83893.13</v>
      </c>
      <c r="N66" s="67">
        <v>96553.12</v>
      </c>
      <c r="O66" s="67">
        <v>74280.38</v>
      </c>
      <c r="P66" s="67">
        <v>85489.73</v>
      </c>
      <c r="Q66" s="147">
        <f t="shared" si="67"/>
        <v>0</v>
      </c>
      <c r="R66" s="147">
        <f t="shared" si="68"/>
        <v>0</v>
      </c>
      <c r="S66" s="147">
        <f t="shared" si="69"/>
        <v>0</v>
      </c>
      <c r="T66" s="147">
        <f t="shared" si="70"/>
        <v>0</v>
      </c>
      <c r="U66" s="147">
        <f t="shared" si="71"/>
        <v>0</v>
      </c>
      <c r="V66" s="147">
        <f t="shared" si="72"/>
        <v>0</v>
      </c>
      <c r="W66" s="103"/>
      <c r="X66" s="148"/>
      <c r="Y66" s="148"/>
      <c r="Z66" s="147">
        <f t="shared" si="16"/>
        <v>0</v>
      </c>
      <c r="AA66" s="147">
        <f t="shared" si="17"/>
        <v>0</v>
      </c>
      <c r="AB66" s="147">
        <f t="shared" si="18"/>
        <v>0</v>
      </c>
      <c r="AC66" s="147">
        <f t="shared" si="19"/>
        <v>0</v>
      </c>
      <c r="AD66" s="149"/>
      <c r="AE66" s="149"/>
      <c r="AF66" s="147">
        <f t="shared" si="20"/>
        <v>0</v>
      </c>
      <c r="AG66" s="147">
        <f t="shared" si="21"/>
        <v>0</v>
      </c>
      <c r="AH66" s="147">
        <f t="shared" si="22"/>
        <v>0</v>
      </c>
      <c r="AI66" s="147">
        <f t="shared" si="23"/>
        <v>0</v>
      </c>
      <c r="AJ66" s="148"/>
      <c r="AK66" s="150"/>
      <c r="AL66" s="147">
        <f t="shared" si="24"/>
        <v>0</v>
      </c>
      <c r="AM66" s="147">
        <f t="shared" si="25"/>
        <v>0</v>
      </c>
      <c r="AN66" s="147">
        <f t="shared" si="26"/>
        <v>0</v>
      </c>
      <c r="AO66" s="147">
        <f t="shared" si="27"/>
        <v>0</v>
      </c>
      <c r="AP66" s="103"/>
      <c r="AQ66" s="151">
        <v>63</v>
      </c>
      <c r="AR66" s="152">
        <f ca="1">+RESUMEN!F66</f>
        <v>0</v>
      </c>
      <c r="AS66" s="152">
        <f ca="1">+RESUMEN!G66</f>
        <v>0</v>
      </c>
      <c r="AT66" s="153">
        <f t="shared" ca="1" si="73"/>
        <v>0</v>
      </c>
      <c r="AU66" s="154">
        <f t="shared" si="28"/>
        <v>0</v>
      </c>
      <c r="AV66" s="154">
        <f t="shared" si="29"/>
        <v>0</v>
      </c>
      <c r="AW66" s="154">
        <f t="shared" ca="1" si="74"/>
        <v>0</v>
      </c>
      <c r="AX66" s="153"/>
      <c r="AY66" s="154">
        <f t="shared" ca="1" si="75"/>
        <v>0</v>
      </c>
      <c r="AZ66" s="154">
        <f t="shared" ca="1" si="76"/>
        <v>0</v>
      </c>
      <c r="BA66" s="155"/>
      <c r="BB66" s="156">
        <f t="shared" ca="1" si="30"/>
        <v>0</v>
      </c>
      <c r="BC66" s="156">
        <f t="shared" ca="1" si="84"/>
        <v>0</v>
      </c>
      <c r="BD66" s="157" t="str">
        <f t="shared" ca="1" si="77"/>
        <v/>
      </c>
      <c r="BE66" s="103"/>
      <c r="BF66" s="106">
        <f t="shared" ca="1" si="32"/>
        <v>0</v>
      </c>
      <c r="BG66" s="106">
        <f t="shared" ca="1" si="33"/>
        <v>0</v>
      </c>
      <c r="BH66" s="155"/>
      <c r="BI66" s="158">
        <f t="shared" ca="1" si="34"/>
        <v>0</v>
      </c>
      <c r="BJ66" s="158">
        <f t="shared" ca="1" si="85"/>
        <v>0</v>
      </c>
      <c r="BK66" s="159" t="str">
        <f t="shared" ca="1" si="78"/>
        <v/>
      </c>
      <c r="BL66" s="103"/>
      <c r="BM66" s="160">
        <f t="shared" ca="1" si="36"/>
        <v>0</v>
      </c>
      <c r="BN66" s="160">
        <f t="shared" ca="1" si="37"/>
        <v>0</v>
      </c>
      <c r="BO66" s="155"/>
      <c r="BP66" s="161">
        <f t="shared" ca="1" si="38"/>
        <v>0</v>
      </c>
      <c r="BQ66" s="161">
        <f t="shared" ca="1" si="86"/>
        <v>0</v>
      </c>
      <c r="BR66" s="162" t="str">
        <f t="shared" ca="1" si="79"/>
        <v/>
      </c>
      <c r="BS66" s="103"/>
      <c r="BT66" s="163">
        <f t="shared" ca="1" si="40"/>
        <v>0</v>
      </c>
      <c r="BU66" s="163">
        <f t="shared" ca="1" si="41"/>
        <v>0</v>
      </c>
      <c r="BV66" s="155"/>
      <c r="BW66" s="164">
        <f t="shared" ca="1" si="42"/>
        <v>0</v>
      </c>
      <c r="BX66" s="164">
        <f t="shared" ca="1" si="87"/>
        <v>0</v>
      </c>
      <c r="BY66" s="165" t="str">
        <f t="shared" ca="1" si="80"/>
        <v/>
      </c>
      <c r="BZ66" s="103"/>
      <c r="CA66" s="166">
        <f t="shared" ca="1" si="44"/>
        <v>0</v>
      </c>
      <c r="CB66" s="166">
        <f t="shared" ca="1" si="45"/>
        <v>0</v>
      </c>
      <c r="CC66" s="155"/>
      <c r="CD66" s="167">
        <f t="shared" ca="1" si="46"/>
        <v>0</v>
      </c>
      <c r="CE66" s="167">
        <f t="shared" ca="1" si="88"/>
        <v>0</v>
      </c>
      <c r="CF66" s="168" t="str">
        <f t="shared" ca="1" si="81"/>
        <v/>
      </c>
      <c r="CG66" s="103"/>
      <c r="CH66" s="169">
        <f t="shared" ca="1" si="48"/>
        <v>0</v>
      </c>
      <c r="CI66" s="169">
        <f t="shared" ca="1" si="49"/>
        <v>0</v>
      </c>
      <c r="CJ66" s="155"/>
      <c r="CK66" s="170">
        <f t="shared" ca="1" si="50"/>
        <v>0</v>
      </c>
      <c r="CL66" s="170">
        <f t="shared" ca="1" si="89"/>
        <v>0</v>
      </c>
      <c r="CM66" s="171" t="str">
        <f t="shared" ca="1" si="82"/>
        <v/>
      </c>
      <c r="CN66" s="103"/>
      <c r="CO66" s="151">
        <v>63</v>
      </c>
      <c r="CP66" s="403">
        <v>0.12</v>
      </c>
      <c r="CQ66" s="103">
        <f t="shared" si="52"/>
        <v>0</v>
      </c>
      <c r="CR66" s="409">
        <f t="shared" si="53"/>
        <v>0.12</v>
      </c>
      <c r="CS66" s="103">
        <f t="shared" si="54"/>
        <v>1</v>
      </c>
      <c r="CT66" s="103"/>
    </row>
    <row r="67" spans="1:98">
      <c r="A67" s="189">
        <v>31</v>
      </c>
      <c r="B67" s="184">
        <f ca="1">RESUMEN!J34</f>
        <v>0</v>
      </c>
      <c r="C67" s="184">
        <f ca="1">+RESUMEN!K34</f>
        <v>0</v>
      </c>
      <c r="D67" s="185">
        <f t="shared" ca="1" si="83"/>
        <v>0</v>
      </c>
      <c r="E67" s="188">
        <f ca="1">+RESUMEN!T16</f>
        <v>0</v>
      </c>
      <c r="F67" s="184">
        <f ca="1">RESUMEN!P16</f>
        <v>0</v>
      </c>
      <c r="G67" s="185">
        <f t="shared" ca="1" si="90"/>
        <v>0</v>
      </c>
      <c r="H67" s="176"/>
      <c r="I67" s="176"/>
      <c r="J67" s="175">
        <v>64</v>
      </c>
      <c r="K67" s="67">
        <v>105921.53</v>
      </c>
      <c r="L67" s="67">
        <v>117997.68</v>
      </c>
      <c r="M67" s="67">
        <v>94021.88</v>
      </c>
      <c r="N67" s="67">
        <v>104741.36</v>
      </c>
      <c r="O67" s="67">
        <v>83248.539999999994</v>
      </c>
      <c r="P67" s="67">
        <v>92739.74</v>
      </c>
      <c r="Q67" s="147">
        <f t="shared" ref="Q67:Q103" si="91">(IF($C$11="A",AB67,IF($C$11="B",Z67,IF($C$11="C",X67," "))))</f>
        <v>0</v>
      </c>
      <c r="R67" s="147">
        <f t="shared" ref="R67:R103" si="92">(IF($C$11="A",AC67,IF($C$11="B",AA67,IF($C$11="C",Y67," "))))</f>
        <v>0</v>
      </c>
      <c r="S67" s="147">
        <f t="shared" ref="S67:S103" si="93">(IF($C$11="A",AH67,IF($C$11="B",AF67,IF($C$11="C",AD67," "))))</f>
        <v>0</v>
      </c>
      <c r="T67" s="147">
        <f t="shared" ref="T67:T103" si="94">(IF($C$11="A",AI67,IF($C$11="B",AG67,IF($C$11="C",AE67," "))))</f>
        <v>0</v>
      </c>
      <c r="U67" s="147">
        <f t="shared" ref="U67:U103" si="95">(IF($C$11="A",AN67,IF($C$11="B",AL67,IF($C$11="C",AJ67," "))))</f>
        <v>0</v>
      </c>
      <c r="V67" s="147">
        <f t="shared" ref="V67:V103" si="96">(IF($C$11="A",AO67,IF($C$11="B",AM67,IF($C$11="C",AK67," "))))</f>
        <v>0</v>
      </c>
      <c r="W67" s="103"/>
      <c r="X67" s="148"/>
      <c r="Y67" s="148"/>
      <c r="Z67" s="147">
        <f t="shared" si="16"/>
        <v>0</v>
      </c>
      <c r="AA67" s="147">
        <f t="shared" si="17"/>
        <v>0</v>
      </c>
      <c r="AB67" s="147">
        <f t="shared" si="18"/>
        <v>0</v>
      </c>
      <c r="AC67" s="147">
        <f t="shared" si="19"/>
        <v>0</v>
      </c>
      <c r="AD67" s="149"/>
      <c r="AE67" s="149"/>
      <c r="AF67" s="147">
        <f t="shared" si="20"/>
        <v>0</v>
      </c>
      <c r="AG67" s="147">
        <f t="shared" si="21"/>
        <v>0</v>
      </c>
      <c r="AH67" s="147">
        <f t="shared" si="22"/>
        <v>0</v>
      </c>
      <c r="AI67" s="147">
        <f t="shared" si="23"/>
        <v>0</v>
      </c>
      <c r="AJ67" s="148"/>
      <c r="AK67" s="150"/>
      <c r="AL67" s="147">
        <f t="shared" si="24"/>
        <v>0</v>
      </c>
      <c r="AM67" s="147">
        <f t="shared" si="25"/>
        <v>0</v>
      </c>
      <c r="AN67" s="147">
        <f t="shared" si="26"/>
        <v>0</v>
      </c>
      <c r="AO67" s="147">
        <f t="shared" si="27"/>
        <v>0</v>
      </c>
      <c r="AP67" s="103"/>
      <c r="AQ67" s="151">
        <v>64</v>
      </c>
      <c r="AR67" s="152">
        <f ca="1">+RESUMEN!F67</f>
        <v>0</v>
      </c>
      <c r="AS67" s="152">
        <f ca="1">+RESUMEN!G67</f>
        <v>0</v>
      </c>
      <c r="AT67" s="153">
        <f t="shared" ref="AT67:AT98" ca="1" si="97">AR67+AS67</f>
        <v>0</v>
      </c>
      <c r="AU67" s="154">
        <f t="shared" si="28"/>
        <v>0</v>
      </c>
      <c r="AV67" s="154">
        <f t="shared" si="29"/>
        <v>0</v>
      </c>
      <c r="AW67" s="154">
        <f t="shared" ca="1" si="74"/>
        <v>0</v>
      </c>
      <c r="AX67" s="153"/>
      <c r="AY67" s="154">
        <f t="shared" ref="AY67:AY103" ca="1" si="98">+O67*$B$27</f>
        <v>0</v>
      </c>
      <c r="AZ67" s="154">
        <f t="shared" ref="AZ67:AZ103" ca="1" si="99">+P67*$B$27</f>
        <v>0</v>
      </c>
      <c r="BA67" s="155"/>
      <c r="BB67" s="156">
        <f t="shared" ca="1" si="30"/>
        <v>0</v>
      </c>
      <c r="BC67" s="156">
        <f t="shared" ca="1" si="84"/>
        <v>0</v>
      </c>
      <c r="BD67" s="157" t="str">
        <f t="shared" ref="BD67:BD98" ca="1" si="100">IF(AY67=0,"",(SUM(BB67:BC67)))</f>
        <v/>
      </c>
      <c r="BE67" s="103"/>
      <c r="BF67" s="106">
        <f t="shared" ca="1" si="32"/>
        <v>0</v>
      </c>
      <c r="BG67" s="106">
        <f t="shared" ca="1" si="33"/>
        <v>0</v>
      </c>
      <c r="BH67" s="155"/>
      <c r="BI67" s="158">
        <f t="shared" ca="1" si="34"/>
        <v>0</v>
      </c>
      <c r="BJ67" s="158">
        <f t="shared" ca="1" si="85"/>
        <v>0</v>
      </c>
      <c r="BK67" s="159" t="str">
        <f t="shared" ref="BK67:BK98" ca="1" si="101">IF(BF67=0,"",(SUM(BI67:BJ67)))</f>
        <v/>
      </c>
      <c r="BL67" s="103"/>
      <c r="BM67" s="160">
        <f t="shared" ca="1" si="36"/>
        <v>0</v>
      </c>
      <c r="BN67" s="160">
        <f t="shared" ca="1" si="37"/>
        <v>0</v>
      </c>
      <c r="BO67" s="155"/>
      <c r="BP67" s="161">
        <f t="shared" ca="1" si="38"/>
        <v>0</v>
      </c>
      <c r="BQ67" s="161">
        <f t="shared" ca="1" si="86"/>
        <v>0</v>
      </c>
      <c r="BR67" s="162" t="str">
        <f t="shared" ref="BR67:BR98" ca="1" si="102">IF(BM67=0,"",(SUM(BP67:BQ67)))</f>
        <v/>
      </c>
      <c r="BS67" s="103"/>
      <c r="BT67" s="163">
        <f t="shared" ca="1" si="40"/>
        <v>0</v>
      </c>
      <c r="BU67" s="163">
        <f t="shared" ca="1" si="41"/>
        <v>0</v>
      </c>
      <c r="BV67" s="155"/>
      <c r="BW67" s="164">
        <f t="shared" ca="1" si="42"/>
        <v>0</v>
      </c>
      <c r="BX67" s="164">
        <f t="shared" ca="1" si="87"/>
        <v>0</v>
      </c>
      <c r="BY67" s="165" t="str">
        <f t="shared" ref="BY67:BY98" ca="1" si="103">IF(BT67=0,"",(SUM(BW67:BX67)))</f>
        <v/>
      </c>
      <c r="BZ67" s="103"/>
      <c r="CA67" s="166">
        <f t="shared" ca="1" si="44"/>
        <v>0</v>
      </c>
      <c r="CB67" s="166">
        <f t="shared" ca="1" si="45"/>
        <v>0</v>
      </c>
      <c r="CC67" s="155"/>
      <c r="CD67" s="167">
        <f t="shared" ca="1" si="46"/>
        <v>0</v>
      </c>
      <c r="CE67" s="167">
        <f t="shared" ca="1" si="88"/>
        <v>0</v>
      </c>
      <c r="CF67" s="168" t="str">
        <f t="shared" ref="CF67:CF98" ca="1" si="104">IF(CA67=0,"",(SUM(CD67:CE67)))</f>
        <v/>
      </c>
      <c r="CG67" s="103"/>
      <c r="CH67" s="169">
        <f t="shared" ca="1" si="48"/>
        <v>0</v>
      </c>
      <c r="CI67" s="169">
        <f t="shared" ca="1" si="49"/>
        <v>0</v>
      </c>
      <c r="CJ67" s="155"/>
      <c r="CK67" s="170">
        <f t="shared" ca="1" si="50"/>
        <v>0</v>
      </c>
      <c r="CL67" s="170">
        <f t="shared" ca="1" si="89"/>
        <v>0</v>
      </c>
      <c r="CM67" s="171" t="str">
        <f t="shared" ref="CM67:CM98" ca="1" si="105">IF(CH67=0,"",(SUM(CK67:CL67)))</f>
        <v/>
      </c>
      <c r="CN67" s="103"/>
      <c r="CO67" s="151">
        <v>64</v>
      </c>
      <c r="CP67" s="403">
        <v>0.12</v>
      </c>
      <c r="CQ67" s="103">
        <f t="shared" si="52"/>
        <v>0</v>
      </c>
      <c r="CR67" s="409">
        <f t="shared" si="53"/>
        <v>0.12</v>
      </c>
      <c r="CS67" s="103">
        <f t="shared" si="54"/>
        <v>1</v>
      </c>
      <c r="CT67" s="103"/>
    </row>
    <row r="68" spans="1:98">
      <c r="A68" s="189">
        <v>32</v>
      </c>
      <c r="B68" s="184">
        <f ca="1">RESUMEN!J35</f>
        <v>0</v>
      </c>
      <c r="C68" s="184">
        <f ca="1">+RESUMEN!K35</f>
        <v>0</v>
      </c>
      <c r="D68" s="185">
        <f t="shared" ref="D68:D99" ca="1" si="106">B68+C68</f>
        <v>0</v>
      </c>
      <c r="E68" s="188">
        <f ca="1">+RESUMEN!T17</f>
        <v>0</v>
      </c>
      <c r="F68" s="184">
        <f ca="1">RESUMEN!P17</f>
        <v>0</v>
      </c>
      <c r="G68" s="185">
        <f t="shared" ca="1" si="90"/>
        <v>0</v>
      </c>
      <c r="H68" s="176"/>
      <c r="I68" s="176"/>
      <c r="J68" s="175">
        <v>65</v>
      </c>
      <c r="K68" s="67">
        <v>111612.66</v>
      </c>
      <c r="L68" s="67">
        <v>124259.42</v>
      </c>
      <c r="M68" s="67">
        <v>99073.65</v>
      </c>
      <c r="N68" s="67">
        <v>110299.62</v>
      </c>
      <c r="O68" s="67">
        <v>87721.46</v>
      </c>
      <c r="P68" s="67">
        <v>97661.119999999995</v>
      </c>
      <c r="Q68" s="147">
        <f t="shared" si="91"/>
        <v>0</v>
      </c>
      <c r="R68" s="147">
        <f t="shared" si="92"/>
        <v>0</v>
      </c>
      <c r="S68" s="147">
        <f t="shared" si="93"/>
        <v>0</v>
      </c>
      <c r="T68" s="147">
        <f t="shared" si="94"/>
        <v>0</v>
      </c>
      <c r="U68" s="147">
        <f t="shared" si="95"/>
        <v>0</v>
      </c>
      <c r="V68" s="147">
        <f t="shared" si="96"/>
        <v>0</v>
      </c>
      <c r="W68" s="103"/>
      <c r="X68" s="148"/>
      <c r="Y68" s="148"/>
      <c r="Z68" s="147">
        <f t="shared" ref="Z68:Z103" si="107">X68*1.043</f>
        <v>0</v>
      </c>
      <c r="AA68" s="147">
        <f t="shared" ref="AA68:AA103" si="108">Y68*1.043</f>
        <v>0</v>
      </c>
      <c r="AB68" s="147">
        <f t="shared" ref="AB68:AB103" si="109">X68*1.12</f>
        <v>0</v>
      </c>
      <c r="AC68" s="147">
        <f t="shared" ref="AC68:AC103" si="110">Y68*1.12</f>
        <v>0</v>
      </c>
      <c r="AD68" s="149"/>
      <c r="AE68" s="149"/>
      <c r="AF68" s="147">
        <f t="shared" ref="AF68:AF103" si="111">AD68*1.043</f>
        <v>0</v>
      </c>
      <c r="AG68" s="147">
        <f t="shared" ref="AG68:AG103" si="112">AE68*1.043</f>
        <v>0</v>
      </c>
      <c r="AH68" s="147">
        <f t="shared" ref="AH68:AH103" si="113">AD68*1.12</f>
        <v>0</v>
      </c>
      <c r="AI68" s="147">
        <f t="shared" ref="AI68:AI103" si="114">AE68*1.12</f>
        <v>0</v>
      </c>
      <c r="AJ68" s="148"/>
      <c r="AK68" s="150"/>
      <c r="AL68" s="147">
        <f t="shared" ref="AL68:AL103" si="115">AJ68*1.043</f>
        <v>0</v>
      </c>
      <c r="AM68" s="147">
        <f t="shared" ref="AM68:AM103" si="116">AK68*1.043</f>
        <v>0</v>
      </c>
      <c r="AN68" s="147">
        <f t="shared" ref="AN68:AN103" si="117">AJ68*1.12</f>
        <v>0</v>
      </c>
      <c r="AO68" s="147">
        <f t="shared" ref="AO68:AO103" si="118">AK68*1.12</f>
        <v>0</v>
      </c>
      <c r="AP68" s="103"/>
      <c r="AQ68" s="151">
        <v>65</v>
      </c>
      <c r="AR68" s="152">
        <f ca="1">+RESUMEN!F68</f>
        <v>0</v>
      </c>
      <c r="AS68" s="152">
        <f ca="1">+RESUMEN!G68</f>
        <v>0</v>
      </c>
      <c r="AT68" s="153">
        <f t="shared" ca="1" si="97"/>
        <v>0</v>
      </c>
      <c r="AU68" s="154">
        <f t="shared" ref="AU68:AU103" si="119">+((IF($G$9="SI",$K172*$B$25,0))*(VLOOKUP($F$10,$L$107:$N$123,3,0)))</f>
        <v>0</v>
      </c>
      <c r="AV68" s="154">
        <f t="shared" ref="AV68:AV103" si="120">((IF($G$12="SI",$K172*$B$25,0))*(VLOOKUP($F$13,$L$107:$N$123,3,0)))</f>
        <v>0</v>
      </c>
      <c r="AW68" s="154">
        <f t="shared" ref="AW68:AW103" ca="1" si="121">+$AI$107</f>
        <v>0</v>
      </c>
      <c r="AX68" s="153"/>
      <c r="AY68" s="154">
        <f t="shared" ca="1" si="98"/>
        <v>0</v>
      </c>
      <c r="AZ68" s="154">
        <f t="shared" ca="1" si="99"/>
        <v>0</v>
      </c>
      <c r="BA68" s="155"/>
      <c r="BB68" s="156">
        <f t="shared" ref="BB68:BB103" ca="1" si="122">(($AY68*$AR68)+($AU68*$B207)+($AV68*$B101)+($AR68*$AW68))*CS68</f>
        <v>0</v>
      </c>
      <c r="BC68" s="156">
        <f t="shared" ca="1" si="84"/>
        <v>0</v>
      </c>
      <c r="BD68" s="157" t="str">
        <f t="shared" ca="1" si="100"/>
        <v/>
      </c>
      <c r="BE68" s="103"/>
      <c r="BF68" s="106">
        <f t="shared" ref="BF68:BF103" ca="1" si="123">M68*$B$27</f>
        <v>0</v>
      </c>
      <c r="BG68" s="106">
        <f t="shared" ref="BG68:BG103" ca="1" si="124">N68*$B$27</f>
        <v>0</v>
      </c>
      <c r="BH68" s="155"/>
      <c r="BI68" s="158">
        <f t="shared" ref="BI68:BI103" ca="1" si="125">(($BF68*$AR68)+($AU68*$B207)+($AV68*$B101)+($AR68*$AW68))*CS68</f>
        <v>0</v>
      </c>
      <c r="BJ68" s="158">
        <f t="shared" ca="1" si="85"/>
        <v>0</v>
      </c>
      <c r="BK68" s="159" t="str">
        <f t="shared" ca="1" si="101"/>
        <v/>
      </c>
      <c r="BL68" s="103"/>
      <c r="BM68" s="160">
        <f t="shared" ref="BM68:BM103" ca="1" si="126">K68*$B$27</f>
        <v>0</v>
      </c>
      <c r="BN68" s="160">
        <f t="shared" ref="BN68:BN103" ca="1" si="127">L68*$B$27</f>
        <v>0</v>
      </c>
      <c r="BO68" s="155"/>
      <c r="BP68" s="161">
        <f t="shared" ref="BP68:BP103" ca="1" si="128">(($BM68*$AR68)+($AU68*$B207)+($AV68*$B101)+($AR68*$AW68))*CS68</f>
        <v>0</v>
      </c>
      <c r="BQ68" s="161">
        <f t="shared" ca="1" si="86"/>
        <v>0</v>
      </c>
      <c r="BR68" s="162" t="str">
        <f t="shared" ca="1" si="102"/>
        <v/>
      </c>
      <c r="BS68" s="103"/>
      <c r="BT68" s="163">
        <f t="shared" ref="BT68:BT103" ca="1" si="129">Q68*$B$27</f>
        <v>0</v>
      </c>
      <c r="BU68" s="163">
        <f t="shared" ref="BU68:BU103" ca="1" si="130">R68*$B$27</f>
        <v>0</v>
      </c>
      <c r="BV68" s="155"/>
      <c r="BW68" s="164">
        <f t="shared" ref="BW68:BW103" ca="1" si="131">(($BT68*$AR68)+($AU68*$B207)+($AV68*$B101)+($AR68*$AW68))*CS68</f>
        <v>0</v>
      </c>
      <c r="BX68" s="164">
        <f t="shared" ca="1" si="87"/>
        <v>0</v>
      </c>
      <c r="BY68" s="165" t="str">
        <f t="shared" ca="1" si="103"/>
        <v/>
      </c>
      <c r="BZ68" s="103"/>
      <c r="CA68" s="166">
        <f t="shared" ref="CA68:CA103" ca="1" si="132">S68*$B$27</f>
        <v>0</v>
      </c>
      <c r="CB68" s="166">
        <f t="shared" ref="CB68:CB103" ca="1" si="133">T68*$B$27</f>
        <v>0</v>
      </c>
      <c r="CC68" s="155"/>
      <c r="CD68" s="167">
        <f t="shared" ref="CD68:CD103" ca="1" si="134">(($CA68*$AR68)+($AU68*$B207)+($AV68*$B101)+($AR68*$AW68))*CS68</f>
        <v>0</v>
      </c>
      <c r="CE68" s="167">
        <f t="shared" ca="1" si="88"/>
        <v>0</v>
      </c>
      <c r="CF68" s="168" t="str">
        <f t="shared" ca="1" si="104"/>
        <v/>
      </c>
      <c r="CG68" s="103"/>
      <c r="CH68" s="169">
        <f t="shared" ref="CH68:CH103" ca="1" si="135">U68*$B$27</f>
        <v>0</v>
      </c>
      <c r="CI68" s="169">
        <f t="shared" ref="CI68:CI103" ca="1" si="136">V68*$B$27</f>
        <v>0</v>
      </c>
      <c r="CJ68" s="155"/>
      <c r="CK68" s="170">
        <f t="shared" ref="CK68:CK103" ca="1" si="137">(($CH68*$AR68)+($AU68*$B207)+($AV68*$B101)+($AR68*$AW68))*CS68</f>
        <v>0</v>
      </c>
      <c r="CL68" s="170">
        <f t="shared" ca="1" si="89"/>
        <v>0</v>
      </c>
      <c r="CM68" s="171" t="str">
        <f t="shared" ca="1" si="105"/>
        <v/>
      </c>
      <c r="CN68" s="103"/>
      <c r="CO68" s="151">
        <v>65</v>
      </c>
      <c r="CP68" s="403">
        <v>0.12</v>
      </c>
      <c r="CQ68" s="103">
        <f t="shared" ref="CQ68:CQ103" si="138">+CP68*$CQ$2</f>
        <v>0</v>
      </c>
      <c r="CR68" s="409">
        <f t="shared" ref="CR68:CR103" si="139">ROUND(CP68-CQ68,4)</f>
        <v>0.12</v>
      </c>
      <c r="CS68" s="103">
        <f t="shared" ref="CS68:CS103" si="140">1-CQ68</f>
        <v>1</v>
      </c>
      <c r="CT68" s="103"/>
    </row>
    <row r="69" spans="1:98">
      <c r="A69" s="189">
        <v>33</v>
      </c>
      <c r="B69" s="184">
        <f ca="1">RESUMEN!J36</f>
        <v>0</v>
      </c>
      <c r="C69" s="184">
        <f ca="1">+RESUMEN!K36</f>
        <v>0</v>
      </c>
      <c r="D69" s="185">
        <f t="shared" ca="1" si="106"/>
        <v>0</v>
      </c>
      <c r="E69" s="188">
        <f ca="1">+RESUMEN!T18</f>
        <v>0</v>
      </c>
      <c r="F69" s="184">
        <f ca="1">RESUMEN!P18</f>
        <v>0</v>
      </c>
      <c r="G69" s="185">
        <f t="shared" ca="1" si="90"/>
        <v>0</v>
      </c>
      <c r="H69" s="176"/>
      <c r="I69" s="176"/>
      <c r="J69" s="175">
        <v>66</v>
      </c>
      <c r="K69" s="67">
        <v>114550.31</v>
      </c>
      <c r="L69" s="67">
        <v>126543.28</v>
      </c>
      <c r="M69" s="67">
        <v>101681.28</v>
      </c>
      <c r="N69" s="67">
        <v>112326.91</v>
      </c>
      <c r="O69" s="67">
        <v>90030.3</v>
      </c>
      <c r="P69" s="67">
        <v>99456.11</v>
      </c>
      <c r="Q69" s="147">
        <f t="shared" si="91"/>
        <v>0</v>
      </c>
      <c r="R69" s="147">
        <f t="shared" si="92"/>
        <v>0</v>
      </c>
      <c r="S69" s="147">
        <f t="shared" si="93"/>
        <v>0</v>
      </c>
      <c r="T69" s="147">
        <f t="shared" si="94"/>
        <v>0</v>
      </c>
      <c r="U69" s="147">
        <f t="shared" si="95"/>
        <v>0</v>
      </c>
      <c r="V69" s="147">
        <f t="shared" si="96"/>
        <v>0</v>
      </c>
      <c r="W69" s="103"/>
      <c r="X69" s="148"/>
      <c r="Y69" s="148"/>
      <c r="Z69" s="147">
        <f t="shared" si="107"/>
        <v>0</v>
      </c>
      <c r="AA69" s="147">
        <f t="shared" si="108"/>
        <v>0</v>
      </c>
      <c r="AB69" s="147">
        <f t="shared" si="109"/>
        <v>0</v>
      </c>
      <c r="AC69" s="147">
        <f t="shared" si="110"/>
        <v>0</v>
      </c>
      <c r="AD69" s="149"/>
      <c r="AE69" s="149"/>
      <c r="AF69" s="147">
        <f t="shared" si="111"/>
        <v>0</v>
      </c>
      <c r="AG69" s="147">
        <f t="shared" si="112"/>
        <v>0</v>
      </c>
      <c r="AH69" s="147">
        <f t="shared" si="113"/>
        <v>0</v>
      </c>
      <c r="AI69" s="147">
        <f t="shared" si="114"/>
        <v>0</v>
      </c>
      <c r="AJ69" s="148"/>
      <c r="AK69" s="150"/>
      <c r="AL69" s="147">
        <f t="shared" si="115"/>
        <v>0</v>
      </c>
      <c r="AM69" s="147">
        <f t="shared" si="116"/>
        <v>0</v>
      </c>
      <c r="AN69" s="147">
        <f t="shared" si="117"/>
        <v>0</v>
      </c>
      <c r="AO69" s="147">
        <f t="shared" si="118"/>
        <v>0</v>
      </c>
      <c r="AP69" s="103"/>
      <c r="AQ69" s="151">
        <v>66</v>
      </c>
      <c r="AR69" s="152">
        <f ca="1">+RESUMEN!F69</f>
        <v>0</v>
      </c>
      <c r="AS69" s="152">
        <f ca="1">+RESUMEN!G69</f>
        <v>0</v>
      </c>
      <c r="AT69" s="153">
        <f t="shared" ca="1" si="97"/>
        <v>0</v>
      </c>
      <c r="AU69" s="154">
        <f t="shared" si="119"/>
        <v>0</v>
      </c>
      <c r="AV69" s="154">
        <f t="shared" si="120"/>
        <v>0</v>
      </c>
      <c r="AW69" s="154">
        <f t="shared" ca="1" si="121"/>
        <v>0</v>
      </c>
      <c r="AX69" s="153"/>
      <c r="AY69" s="154">
        <f t="shared" ca="1" si="98"/>
        <v>0</v>
      </c>
      <c r="AZ69" s="154">
        <f t="shared" ca="1" si="99"/>
        <v>0</v>
      </c>
      <c r="BA69" s="155"/>
      <c r="BB69" s="156">
        <f t="shared" ca="1" si="122"/>
        <v>0</v>
      </c>
      <c r="BC69" s="156">
        <f t="shared" ca="1" si="84"/>
        <v>0</v>
      </c>
      <c r="BD69" s="157" t="str">
        <f t="shared" ca="1" si="100"/>
        <v/>
      </c>
      <c r="BE69" s="103"/>
      <c r="BF69" s="106">
        <f t="shared" ca="1" si="123"/>
        <v>0</v>
      </c>
      <c r="BG69" s="106">
        <f t="shared" ca="1" si="124"/>
        <v>0</v>
      </c>
      <c r="BH69" s="155"/>
      <c r="BI69" s="158">
        <f t="shared" ca="1" si="125"/>
        <v>0</v>
      </c>
      <c r="BJ69" s="158">
        <f t="shared" ca="1" si="85"/>
        <v>0</v>
      </c>
      <c r="BK69" s="159" t="str">
        <f t="shared" ca="1" si="101"/>
        <v/>
      </c>
      <c r="BL69" s="103"/>
      <c r="BM69" s="160">
        <f t="shared" ca="1" si="126"/>
        <v>0</v>
      </c>
      <c r="BN69" s="160">
        <f t="shared" ca="1" si="127"/>
        <v>0</v>
      </c>
      <c r="BO69" s="155"/>
      <c r="BP69" s="161">
        <f t="shared" ca="1" si="128"/>
        <v>0</v>
      </c>
      <c r="BQ69" s="161">
        <f t="shared" ca="1" si="86"/>
        <v>0</v>
      </c>
      <c r="BR69" s="162" t="str">
        <f t="shared" ca="1" si="102"/>
        <v/>
      </c>
      <c r="BS69" s="103"/>
      <c r="BT69" s="163">
        <f t="shared" ca="1" si="129"/>
        <v>0</v>
      </c>
      <c r="BU69" s="163">
        <f t="shared" ca="1" si="130"/>
        <v>0</v>
      </c>
      <c r="BV69" s="155"/>
      <c r="BW69" s="164">
        <f t="shared" ca="1" si="131"/>
        <v>0</v>
      </c>
      <c r="BX69" s="164">
        <f t="shared" ca="1" si="87"/>
        <v>0</v>
      </c>
      <c r="BY69" s="165" t="str">
        <f t="shared" ca="1" si="103"/>
        <v/>
      </c>
      <c r="BZ69" s="103"/>
      <c r="CA69" s="166">
        <f t="shared" ca="1" si="132"/>
        <v>0</v>
      </c>
      <c r="CB69" s="166">
        <f t="shared" ca="1" si="133"/>
        <v>0</v>
      </c>
      <c r="CC69" s="155"/>
      <c r="CD69" s="167">
        <f t="shared" ca="1" si="134"/>
        <v>0</v>
      </c>
      <c r="CE69" s="167">
        <f t="shared" ca="1" si="88"/>
        <v>0</v>
      </c>
      <c r="CF69" s="168" t="str">
        <f t="shared" ca="1" si="104"/>
        <v/>
      </c>
      <c r="CG69" s="103"/>
      <c r="CH69" s="169">
        <f t="shared" ca="1" si="135"/>
        <v>0</v>
      </c>
      <c r="CI69" s="169">
        <f t="shared" ca="1" si="136"/>
        <v>0</v>
      </c>
      <c r="CJ69" s="155"/>
      <c r="CK69" s="170">
        <f t="shared" ca="1" si="137"/>
        <v>0</v>
      </c>
      <c r="CL69" s="170">
        <f t="shared" ca="1" si="89"/>
        <v>0</v>
      </c>
      <c r="CM69" s="171" t="str">
        <f t="shared" ca="1" si="105"/>
        <v/>
      </c>
      <c r="CN69" s="103"/>
      <c r="CO69" s="151">
        <v>66</v>
      </c>
      <c r="CP69" s="403">
        <v>0.12</v>
      </c>
      <c r="CQ69" s="103">
        <f t="shared" si="138"/>
        <v>0</v>
      </c>
      <c r="CR69" s="409">
        <f t="shared" si="139"/>
        <v>0.12</v>
      </c>
      <c r="CS69" s="103">
        <f t="shared" si="140"/>
        <v>1</v>
      </c>
      <c r="CT69" s="103"/>
    </row>
    <row r="70" spans="1:98">
      <c r="A70" s="189">
        <v>34</v>
      </c>
      <c r="B70" s="184">
        <f ca="1">RESUMEN!J37</f>
        <v>0</v>
      </c>
      <c r="C70" s="184">
        <f ca="1">+RESUMEN!K37</f>
        <v>0</v>
      </c>
      <c r="D70" s="185">
        <f t="shared" ca="1" si="106"/>
        <v>0</v>
      </c>
      <c r="E70" s="188">
        <f ca="1">+RESUMEN!T19</f>
        <v>0</v>
      </c>
      <c r="F70" s="184">
        <f ca="1">RESUMEN!P19</f>
        <v>0</v>
      </c>
      <c r="G70" s="185">
        <f t="shared" ca="1" si="90"/>
        <v>0</v>
      </c>
      <c r="H70" s="176"/>
      <c r="I70" s="176"/>
      <c r="J70" s="175">
        <v>67</v>
      </c>
      <c r="K70" s="67">
        <v>121019.25</v>
      </c>
      <c r="L70" s="67">
        <v>129781.22</v>
      </c>
      <c r="M70" s="67">
        <v>107423.46</v>
      </c>
      <c r="N70" s="67">
        <v>115201.08</v>
      </c>
      <c r="O70" s="67">
        <v>95114.52</v>
      </c>
      <c r="P70" s="67">
        <v>102000.95</v>
      </c>
      <c r="Q70" s="147">
        <f t="shared" si="91"/>
        <v>0</v>
      </c>
      <c r="R70" s="147">
        <f t="shared" si="92"/>
        <v>0</v>
      </c>
      <c r="S70" s="147">
        <f t="shared" si="93"/>
        <v>0</v>
      </c>
      <c r="T70" s="147">
        <f t="shared" si="94"/>
        <v>0</v>
      </c>
      <c r="U70" s="147">
        <f t="shared" si="95"/>
        <v>0</v>
      </c>
      <c r="V70" s="147">
        <f t="shared" si="96"/>
        <v>0</v>
      </c>
      <c r="W70" s="103"/>
      <c r="X70" s="148"/>
      <c r="Y70" s="148"/>
      <c r="Z70" s="147">
        <f t="shared" si="107"/>
        <v>0</v>
      </c>
      <c r="AA70" s="147">
        <f t="shared" si="108"/>
        <v>0</v>
      </c>
      <c r="AB70" s="147">
        <f t="shared" si="109"/>
        <v>0</v>
      </c>
      <c r="AC70" s="147">
        <f t="shared" si="110"/>
        <v>0</v>
      </c>
      <c r="AD70" s="149"/>
      <c r="AE70" s="149"/>
      <c r="AF70" s="147">
        <f t="shared" si="111"/>
        <v>0</v>
      </c>
      <c r="AG70" s="147">
        <f t="shared" si="112"/>
        <v>0</v>
      </c>
      <c r="AH70" s="147">
        <f t="shared" si="113"/>
        <v>0</v>
      </c>
      <c r="AI70" s="147">
        <f t="shared" si="114"/>
        <v>0</v>
      </c>
      <c r="AJ70" s="148"/>
      <c r="AK70" s="150"/>
      <c r="AL70" s="147">
        <f t="shared" si="115"/>
        <v>0</v>
      </c>
      <c r="AM70" s="147">
        <f t="shared" si="116"/>
        <v>0</v>
      </c>
      <c r="AN70" s="147">
        <f t="shared" si="117"/>
        <v>0</v>
      </c>
      <c r="AO70" s="147">
        <f t="shared" si="118"/>
        <v>0</v>
      </c>
      <c r="AP70" s="103"/>
      <c r="AQ70" s="151">
        <v>67</v>
      </c>
      <c r="AR70" s="152">
        <f ca="1">+RESUMEN!F70</f>
        <v>0</v>
      </c>
      <c r="AS70" s="152">
        <f ca="1">+RESUMEN!G70</f>
        <v>0</v>
      </c>
      <c r="AT70" s="153">
        <f t="shared" ca="1" si="97"/>
        <v>0</v>
      </c>
      <c r="AU70" s="154">
        <f t="shared" si="119"/>
        <v>0</v>
      </c>
      <c r="AV70" s="154">
        <f t="shared" si="120"/>
        <v>0</v>
      </c>
      <c r="AW70" s="154">
        <f t="shared" ca="1" si="121"/>
        <v>0</v>
      </c>
      <c r="AX70" s="153"/>
      <c r="AY70" s="154">
        <f t="shared" ca="1" si="98"/>
        <v>0</v>
      </c>
      <c r="AZ70" s="154">
        <f t="shared" ca="1" si="99"/>
        <v>0</v>
      </c>
      <c r="BA70" s="155"/>
      <c r="BB70" s="156">
        <f t="shared" ca="1" si="122"/>
        <v>0</v>
      </c>
      <c r="BC70" s="156">
        <f t="shared" ca="1" si="84"/>
        <v>0</v>
      </c>
      <c r="BD70" s="157" t="str">
        <f t="shared" ca="1" si="100"/>
        <v/>
      </c>
      <c r="BE70" s="103"/>
      <c r="BF70" s="106">
        <f t="shared" ca="1" si="123"/>
        <v>0</v>
      </c>
      <c r="BG70" s="106">
        <f t="shared" ca="1" si="124"/>
        <v>0</v>
      </c>
      <c r="BH70" s="155"/>
      <c r="BI70" s="158">
        <f t="shared" ca="1" si="125"/>
        <v>0</v>
      </c>
      <c r="BJ70" s="158">
        <f t="shared" ca="1" si="85"/>
        <v>0</v>
      </c>
      <c r="BK70" s="159" t="str">
        <f t="shared" ca="1" si="101"/>
        <v/>
      </c>
      <c r="BL70" s="103"/>
      <c r="BM70" s="160">
        <f t="shared" ca="1" si="126"/>
        <v>0</v>
      </c>
      <c r="BN70" s="160">
        <f t="shared" ca="1" si="127"/>
        <v>0</v>
      </c>
      <c r="BO70" s="155"/>
      <c r="BP70" s="161">
        <f t="shared" ca="1" si="128"/>
        <v>0</v>
      </c>
      <c r="BQ70" s="161">
        <f t="shared" ca="1" si="86"/>
        <v>0</v>
      </c>
      <c r="BR70" s="162" t="str">
        <f t="shared" ca="1" si="102"/>
        <v/>
      </c>
      <c r="BS70" s="103"/>
      <c r="BT70" s="163">
        <f t="shared" ca="1" si="129"/>
        <v>0</v>
      </c>
      <c r="BU70" s="163">
        <f t="shared" ca="1" si="130"/>
        <v>0</v>
      </c>
      <c r="BV70" s="155"/>
      <c r="BW70" s="164">
        <f t="shared" ca="1" si="131"/>
        <v>0</v>
      </c>
      <c r="BX70" s="164">
        <f t="shared" ca="1" si="87"/>
        <v>0</v>
      </c>
      <c r="BY70" s="165" t="str">
        <f t="shared" ca="1" si="103"/>
        <v/>
      </c>
      <c r="BZ70" s="103"/>
      <c r="CA70" s="166">
        <f t="shared" ca="1" si="132"/>
        <v>0</v>
      </c>
      <c r="CB70" s="166">
        <f t="shared" ca="1" si="133"/>
        <v>0</v>
      </c>
      <c r="CC70" s="155"/>
      <c r="CD70" s="167">
        <f t="shared" ca="1" si="134"/>
        <v>0</v>
      </c>
      <c r="CE70" s="167">
        <f t="shared" ca="1" si="88"/>
        <v>0</v>
      </c>
      <c r="CF70" s="168" t="str">
        <f t="shared" ca="1" si="104"/>
        <v/>
      </c>
      <c r="CG70" s="103"/>
      <c r="CH70" s="169">
        <f t="shared" ca="1" si="135"/>
        <v>0</v>
      </c>
      <c r="CI70" s="169">
        <f t="shared" ca="1" si="136"/>
        <v>0</v>
      </c>
      <c r="CJ70" s="155"/>
      <c r="CK70" s="170">
        <f t="shared" ca="1" si="137"/>
        <v>0</v>
      </c>
      <c r="CL70" s="170">
        <f t="shared" ca="1" si="89"/>
        <v>0</v>
      </c>
      <c r="CM70" s="171" t="str">
        <f t="shared" ca="1" si="105"/>
        <v/>
      </c>
      <c r="CN70" s="103"/>
      <c r="CO70" s="151">
        <v>67</v>
      </c>
      <c r="CP70" s="403">
        <v>0.12</v>
      </c>
      <c r="CQ70" s="103">
        <f t="shared" si="138"/>
        <v>0</v>
      </c>
      <c r="CR70" s="409">
        <f t="shared" si="139"/>
        <v>0.12</v>
      </c>
      <c r="CS70" s="103">
        <f t="shared" si="140"/>
        <v>1</v>
      </c>
      <c r="CT70" s="103"/>
    </row>
    <row r="71" spans="1:98">
      <c r="A71" s="189">
        <v>35</v>
      </c>
      <c r="B71" s="184">
        <f ca="1">RESUMEN!J38</f>
        <v>0</v>
      </c>
      <c r="C71" s="184">
        <f ca="1">+RESUMEN!K38</f>
        <v>0</v>
      </c>
      <c r="D71" s="185">
        <f t="shared" ca="1" si="106"/>
        <v>0</v>
      </c>
      <c r="E71" s="188">
        <f ca="1">+RESUMEN!T20</f>
        <v>0</v>
      </c>
      <c r="F71" s="184">
        <f ca="1">RESUMEN!P20</f>
        <v>0</v>
      </c>
      <c r="G71" s="185">
        <f t="shared" ca="1" si="90"/>
        <v>0</v>
      </c>
      <c r="H71" s="176"/>
      <c r="I71" s="176"/>
      <c r="J71" s="175">
        <v>68</v>
      </c>
      <c r="K71" s="67">
        <v>128961.89</v>
      </c>
      <c r="L71" s="67">
        <v>135143.26999999999</v>
      </c>
      <c r="M71" s="67">
        <v>114473.8</v>
      </c>
      <c r="N71" s="67">
        <v>119960.74</v>
      </c>
      <c r="O71" s="67">
        <v>101357.01</v>
      </c>
      <c r="P71" s="67">
        <v>106215.23</v>
      </c>
      <c r="Q71" s="147">
        <f t="shared" si="91"/>
        <v>0</v>
      </c>
      <c r="R71" s="147">
        <f t="shared" si="92"/>
        <v>0</v>
      </c>
      <c r="S71" s="147">
        <f t="shared" si="93"/>
        <v>0</v>
      </c>
      <c r="T71" s="147">
        <f t="shared" si="94"/>
        <v>0</v>
      </c>
      <c r="U71" s="147">
        <f t="shared" si="95"/>
        <v>0</v>
      </c>
      <c r="V71" s="147">
        <f t="shared" si="96"/>
        <v>0</v>
      </c>
      <c r="W71" s="103"/>
      <c r="X71" s="148"/>
      <c r="Y71" s="148"/>
      <c r="Z71" s="147">
        <f t="shared" si="107"/>
        <v>0</v>
      </c>
      <c r="AA71" s="147">
        <f t="shared" si="108"/>
        <v>0</v>
      </c>
      <c r="AB71" s="147">
        <f t="shared" si="109"/>
        <v>0</v>
      </c>
      <c r="AC71" s="147">
        <f t="shared" si="110"/>
        <v>0</v>
      </c>
      <c r="AD71" s="149"/>
      <c r="AE71" s="149"/>
      <c r="AF71" s="147">
        <f t="shared" si="111"/>
        <v>0</v>
      </c>
      <c r="AG71" s="147">
        <f t="shared" si="112"/>
        <v>0</v>
      </c>
      <c r="AH71" s="147">
        <f t="shared" si="113"/>
        <v>0</v>
      </c>
      <c r="AI71" s="147">
        <f t="shared" si="114"/>
        <v>0</v>
      </c>
      <c r="AJ71" s="148"/>
      <c r="AK71" s="150"/>
      <c r="AL71" s="147">
        <f t="shared" si="115"/>
        <v>0</v>
      </c>
      <c r="AM71" s="147">
        <f t="shared" si="116"/>
        <v>0</v>
      </c>
      <c r="AN71" s="147">
        <f t="shared" si="117"/>
        <v>0</v>
      </c>
      <c r="AO71" s="147">
        <f t="shared" si="118"/>
        <v>0</v>
      </c>
      <c r="AP71" s="103"/>
      <c r="AQ71" s="151">
        <v>68</v>
      </c>
      <c r="AR71" s="152">
        <f ca="1">+RESUMEN!F71</f>
        <v>0</v>
      </c>
      <c r="AS71" s="152">
        <f ca="1">+RESUMEN!G71</f>
        <v>0</v>
      </c>
      <c r="AT71" s="153">
        <f t="shared" ca="1" si="97"/>
        <v>0</v>
      </c>
      <c r="AU71" s="154">
        <f t="shared" si="119"/>
        <v>0</v>
      </c>
      <c r="AV71" s="154">
        <f t="shared" si="120"/>
        <v>0</v>
      </c>
      <c r="AW71" s="154">
        <f t="shared" ca="1" si="121"/>
        <v>0</v>
      </c>
      <c r="AX71" s="153"/>
      <c r="AY71" s="154">
        <f t="shared" ca="1" si="98"/>
        <v>0</v>
      </c>
      <c r="AZ71" s="154">
        <f t="shared" ca="1" si="99"/>
        <v>0</v>
      </c>
      <c r="BA71" s="155"/>
      <c r="BB71" s="156">
        <f t="shared" ca="1" si="122"/>
        <v>0</v>
      </c>
      <c r="BC71" s="156">
        <f t="shared" ca="1" si="84"/>
        <v>0</v>
      </c>
      <c r="BD71" s="157" t="str">
        <f t="shared" ca="1" si="100"/>
        <v/>
      </c>
      <c r="BE71" s="103"/>
      <c r="BF71" s="106">
        <f t="shared" ca="1" si="123"/>
        <v>0</v>
      </c>
      <c r="BG71" s="106">
        <f t="shared" ca="1" si="124"/>
        <v>0</v>
      </c>
      <c r="BH71" s="155"/>
      <c r="BI71" s="158">
        <f t="shared" ca="1" si="125"/>
        <v>0</v>
      </c>
      <c r="BJ71" s="158">
        <f t="shared" ca="1" si="85"/>
        <v>0</v>
      </c>
      <c r="BK71" s="159" t="str">
        <f t="shared" ca="1" si="101"/>
        <v/>
      </c>
      <c r="BL71" s="103"/>
      <c r="BM71" s="160">
        <f t="shared" ca="1" si="126"/>
        <v>0</v>
      </c>
      <c r="BN71" s="160">
        <f t="shared" ca="1" si="127"/>
        <v>0</v>
      </c>
      <c r="BO71" s="155"/>
      <c r="BP71" s="161">
        <f t="shared" ca="1" si="128"/>
        <v>0</v>
      </c>
      <c r="BQ71" s="161">
        <f t="shared" ca="1" si="86"/>
        <v>0</v>
      </c>
      <c r="BR71" s="162" t="str">
        <f t="shared" ca="1" si="102"/>
        <v/>
      </c>
      <c r="BS71" s="103"/>
      <c r="BT71" s="163">
        <f t="shared" ca="1" si="129"/>
        <v>0</v>
      </c>
      <c r="BU71" s="163">
        <f t="shared" ca="1" si="130"/>
        <v>0</v>
      </c>
      <c r="BV71" s="155"/>
      <c r="BW71" s="164">
        <f t="shared" ca="1" si="131"/>
        <v>0</v>
      </c>
      <c r="BX71" s="164">
        <f t="shared" ca="1" si="87"/>
        <v>0</v>
      </c>
      <c r="BY71" s="165" t="str">
        <f t="shared" ca="1" si="103"/>
        <v/>
      </c>
      <c r="BZ71" s="103"/>
      <c r="CA71" s="166">
        <f t="shared" ca="1" si="132"/>
        <v>0</v>
      </c>
      <c r="CB71" s="166">
        <f t="shared" ca="1" si="133"/>
        <v>0</v>
      </c>
      <c r="CC71" s="155"/>
      <c r="CD71" s="167">
        <f t="shared" ca="1" si="134"/>
        <v>0</v>
      </c>
      <c r="CE71" s="167">
        <f t="shared" ca="1" si="88"/>
        <v>0</v>
      </c>
      <c r="CF71" s="168" t="str">
        <f t="shared" ca="1" si="104"/>
        <v/>
      </c>
      <c r="CG71" s="103"/>
      <c r="CH71" s="169">
        <f t="shared" ca="1" si="135"/>
        <v>0</v>
      </c>
      <c r="CI71" s="169">
        <f t="shared" ca="1" si="136"/>
        <v>0</v>
      </c>
      <c r="CJ71" s="155"/>
      <c r="CK71" s="170">
        <f t="shared" ca="1" si="137"/>
        <v>0</v>
      </c>
      <c r="CL71" s="170">
        <f t="shared" ca="1" si="89"/>
        <v>0</v>
      </c>
      <c r="CM71" s="171" t="str">
        <f t="shared" ca="1" si="105"/>
        <v/>
      </c>
      <c r="CN71" s="103"/>
      <c r="CO71" s="151">
        <v>68</v>
      </c>
      <c r="CP71" s="403">
        <v>0.12</v>
      </c>
      <c r="CQ71" s="103">
        <f t="shared" si="138"/>
        <v>0</v>
      </c>
      <c r="CR71" s="409">
        <f t="shared" si="139"/>
        <v>0.12</v>
      </c>
      <c r="CS71" s="103">
        <f t="shared" si="140"/>
        <v>1</v>
      </c>
      <c r="CT71" s="103"/>
    </row>
    <row r="72" spans="1:98">
      <c r="A72" s="189">
        <v>36</v>
      </c>
      <c r="B72" s="184">
        <f ca="1">RESUMEN!J39</f>
        <v>0</v>
      </c>
      <c r="C72" s="184">
        <f ca="1">+RESUMEN!K39</f>
        <v>0</v>
      </c>
      <c r="D72" s="185">
        <f t="shared" ca="1" si="106"/>
        <v>0</v>
      </c>
      <c r="E72" s="188">
        <f ca="1">+RESUMEN!T21</f>
        <v>0</v>
      </c>
      <c r="F72" s="184">
        <f ca="1">RESUMEN!P21</f>
        <v>0</v>
      </c>
      <c r="G72" s="185">
        <f t="shared" ca="1" si="90"/>
        <v>0</v>
      </c>
      <c r="H72" s="176"/>
      <c r="I72" s="176"/>
      <c r="J72" s="175">
        <v>69</v>
      </c>
      <c r="K72" s="67">
        <v>136155.41</v>
      </c>
      <c r="L72" s="67">
        <v>141186.5</v>
      </c>
      <c r="M72" s="67">
        <v>120859.18</v>
      </c>
      <c r="N72" s="67">
        <v>125325.06</v>
      </c>
      <c r="O72" s="67">
        <v>107010.72</v>
      </c>
      <c r="P72" s="67">
        <v>110964.89</v>
      </c>
      <c r="Q72" s="147">
        <f t="shared" si="91"/>
        <v>0</v>
      </c>
      <c r="R72" s="147">
        <f t="shared" si="92"/>
        <v>0</v>
      </c>
      <c r="S72" s="147">
        <f t="shared" si="93"/>
        <v>0</v>
      </c>
      <c r="T72" s="147">
        <f t="shared" si="94"/>
        <v>0</v>
      </c>
      <c r="U72" s="147">
        <f t="shared" si="95"/>
        <v>0</v>
      </c>
      <c r="V72" s="147">
        <f t="shared" si="96"/>
        <v>0</v>
      </c>
      <c r="W72" s="103"/>
      <c r="X72" s="148"/>
      <c r="Y72" s="148"/>
      <c r="Z72" s="147">
        <f t="shared" si="107"/>
        <v>0</v>
      </c>
      <c r="AA72" s="147">
        <f t="shared" si="108"/>
        <v>0</v>
      </c>
      <c r="AB72" s="147">
        <f t="shared" si="109"/>
        <v>0</v>
      </c>
      <c r="AC72" s="147">
        <f t="shared" si="110"/>
        <v>0</v>
      </c>
      <c r="AD72" s="149"/>
      <c r="AE72" s="149"/>
      <c r="AF72" s="147">
        <f t="shared" si="111"/>
        <v>0</v>
      </c>
      <c r="AG72" s="147">
        <f t="shared" si="112"/>
        <v>0</v>
      </c>
      <c r="AH72" s="147">
        <f t="shared" si="113"/>
        <v>0</v>
      </c>
      <c r="AI72" s="147">
        <f t="shared" si="114"/>
        <v>0</v>
      </c>
      <c r="AJ72" s="148"/>
      <c r="AK72" s="150"/>
      <c r="AL72" s="147">
        <f t="shared" si="115"/>
        <v>0</v>
      </c>
      <c r="AM72" s="147">
        <f t="shared" si="116"/>
        <v>0</v>
      </c>
      <c r="AN72" s="147">
        <f t="shared" si="117"/>
        <v>0</v>
      </c>
      <c r="AO72" s="147">
        <f t="shared" si="118"/>
        <v>0</v>
      </c>
      <c r="AP72" s="103"/>
      <c r="AQ72" s="151">
        <v>69</v>
      </c>
      <c r="AR72" s="152">
        <f ca="1">+RESUMEN!F72</f>
        <v>0</v>
      </c>
      <c r="AS72" s="152">
        <f ca="1">+RESUMEN!G72</f>
        <v>0</v>
      </c>
      <c r="AT72" s="153">
        <f t="shared" ca="1" si="97"/>
        <v>0</v>
      </c>
      <c r="AU72" s="154">
        <f t="shared" si="119"/>
        <v>0</v>
      </c>
      <c r="AV72" s="154">
        <f t="shared" si="120"/>
        <v>0</v>
      </c>
      <c r="AW72" s="154">
        <f t="shared" ca="1" si="121"/>
        <v>0</v>
      </c>
      <c r="AX72" s="153"/>
      <c r="AY72" s="154">
        <f t="shared" ca="1" si="98"/>
        <v>0</v>
      </c>
      <c r="AZ72" s="154">
        <f t="shared" ca="1" si="99"/>
        <v>0</v>
      </c>
      <c r="BA72" s="155"/>
      <c r="BB72" s="156">
        <f t="shared" ca="1" si="122"/>
        <v>0</v>
      </c>
      <c r="BC72" s="156">
        <f t="shared" ca="1" si="84"/>
        <v>0</v>
      </c>
      <c r="BD72" s="157" t="str">
        <f t="shared" ca="1" si="100"/>
        <v/>
      </c>
      <c r="BE72" s="103"/>
      <c r="BF72" s="106">
        <f t="shared" ca="1" si="123"/>
        <v>0</v>
      </c>
      <c r="BG72" s="106">
        <f t="shared" ca="1" si="124"/>
        <v>0</v>
      </c>
      <c r="BH72" s="155"/>
      <c r="BI72" s="158">
        <f t="shared" ca="1" si="125"/>
        <v>0</v>
      </c>
      <c r="BJ72" s="158">
        <f t="shared" ca="1" si="85"/>
        <v>0</v>
      </c>
      <c r="BK72" s="159" t="str">
        <f t="shared" ca="1" si="101"/>
        <v/>
      </c>
      <c r="BL72" s="103"/>
      <c r="BM72" s="160">
        <f t="shared" ca="1" si="126"/>
        <v>0</v>
      </c>
      <c r="BN72" s="160">
        <f t="shared" ca="1" si="127"/>
        <v>0</v>
      </c>
      <c r="BO72" s="155"/>
      <c r="BP72" s="161">
        <f t="shared" ca="1" si="128"/>
        <v>0</v>
      </c>
      <c r="BQ72" s="161">
        <f t="shared" ca="1" si="86"/>
        <v>0</v>
      </c>
      <c r="BR72" s="162" t="str">
        <f t="shared" ca="1" si="102"/>
        <v/>
      </c>
      <c r="BS72" s="103"/>
      <c r="BT72" s="163">
        <f t="shared" ca="1" si="129"/>
        <v>0</v>
      </c>
      <c r="BU72" s="163">
        <f t="shared" ca="1" si="130"/>
        <v>0</v>
      </c>
      <c r="BV72" s="155"/>
      <c r="BW72" s="164">
        <f t="shared" ca="1" si="131"/>
        <v>0</v>
      </c>
      <c r="BX72" s="164">
        <f t="shared" ca="1" si="87"/>
        <v>0</v>
      </c>
      <c r="BY72" s="165" t="str">
        <f t="shared" ca="1" si="103"/>
        <v/>
      </c>
      <c r="BZ72" s="103"/>
      <c r="CA72" s="166">
        <f t="shared" ca="1" si="132"/>
        <v>0</v>
      </c>
      <c r="CB72" s="166">
        <f t="shared" ca="1" si="133"/>
        <v>0</v>
      </c>
      <c r="CC72" s="155"/>
      <c r="CD72" s="167">
        <f t="shared" ca="1" si="134"/>
        <v>0</v>
      </c>
      <c r="CE72" s="167">
        <f t="shared" ca="1" si="88"/>
        <v>0</v>
      </c>
      <c r="CF72" s="168" t="str">
        <f t="shared" ca="1" si="104"/>
        <v/>
      </c>
      <c r="CG72" s="103"/>
      <c r="CH72" s="169">
        <f t="shared" ca="1" si="135"/>
        <v>0</v>
      </c>
      <c r="CI72" s="169">
        <f t="shared" ca="1" si="136"/>
        <v>0</v>
      </c>
      <c r="CJ72" s="155"/>
      <c r="CK72" s="170">
        <f t="shared" ca="1" si="137"/>
        <v>0</v>
      </c>
      <c r="CL72" s="170">
        <f t="shared" ca="1" si="89"/>
        <v>0</v>
      </c>
      <c r="CM72" s="171" t="str">
        <f t="shared" ca="1" si="105"/>
        <v/>
      </c>
      <c r="CN72" s="103"/>
      <c r="CO72" s="151">
        <v>69</v>
      </c>
      <c r="CP72" s="403">
        <v>0.12</v>
      </c>
      <c r="CQ72" s="103">
        <f t="shared" si="138"/>
        <v>0</v>
      </c>
      <c r="CR72" s="409">
        <f t="shared" si="139"/>
        <v>0.12</v>
      </c>
      <c r="CS72" s="103">
        <f t="shared" si="140"/>
        <v>1</v>
      </c>
      <c r="CT72" s="103"/>
    </row>
    <row r="73" spans="1:98">
      <c r="A73" s="189">
        <v>37</v>
      </c>
      <c r="B73" s="184">
        <f ca="1">RESUMEN!J40</f>
        <v>0</v>
      </c>
      <c r="C73" s="184">
        <f ca="1">+RESUMEN!K40</f>
        <v>0</v>
      </c>
      <c r="D73" s="185">
        <f t="shared" ca="1" si="106"/>
        <v>0</v>
      </c>
      <c r="E73" s="188">
        <f ca="1">+RESUMEN!T22</f>
        <v>0</v>
      </c>
      <c r="F73" s="184">
        <f ca="1">RESUMEN!P22</f>
        <v>0</v>
      </c>
      <c r="G73" s="185">
        <f t="shared" ca="1" si="90"/>
        <v>0</v>
      </c>
      <c r="H73" s="176"/>
      <c r="I73" s="176"/>
      <c r="J73" s="175">
        <v>70</v>
      </c>
      <c r="K73" s="67">
        <v>143945.70000000001</v>
      </c>
      <c r="L73" s="67">
        <v>145988.29999999999</v>
      </c>
      <c r="M73" s="67">
        <v>127774.27</v>
      </c>
      <c r="N73" s="67">
        <v>129587.4</v>
      </c>
      <c r="O73" s="67">
        <v>113133.46</v>
      </c>
      <c r="P73" s="67">
        <v>114738.84</v>
      </c>
      <c r="Q73" s="147">
        <f t="shared" si="91"/>
        <v>0</v>
      </c>
      <c r="R73" s="147">
        <f t="shared" si="92"/>
        <v>0</v>
      </c>
      <c r="S73" s="147">
        <f t="shared" si="93"/>
        <v>0</v>
      </c>
      <c r="T73" s="147">
        <f t="shared" si="94"/>
        <v>0</v>
      </c>
      <c r="U73" s="147">
        <f t="shared" si="95"/>
        <v>0</v>
      </c>
      <c r="V73" s="147">
        <f t="shared" si="96"/>
        <v>0</v>
      </c>
      <c r="W73" s="103"/>
      <c r="X73" s="148"/>
      <c r="Y73" s="148"/>
      <c r="Z73" s="147">
        <f t="shared" si="107"/>
        <v>0</v>
      </c>
      <c r="AA73" s="147">
        <f t="shared" si="108"/>
        <v>0</v>
      </c>
      <c r="AB73" s="147">
        <f t="shared" si="109"/>
        <v>0</v>
      </c>
      <c r="AC73" s="147">
        <f t="shared" si="110"/>
        <v>0</v>
      </c>
      <c r="AD73" s="149"/>
      <c r="AE73" s="149"/>
      <c r="AF73" s="147">
        <f t="shared" si="111"/>
        <v>0</v>
      </c>
      <c r="AG73" s="147">
        <f t="shared" si="112"/>
        <v>0</v>
      </c>
      <c r="AH73" s="147">
        <f t="shared" si="113"/>
        <v>0</v>
      </c>
      <c r="AI73" s="147">
        <f t="shared" si="114"/>
        <v>0</v>
      </c>
      <c r="AJ73" s="148"/>
      <c r="AK73" s="150"/>
      <c r="AL73" s="147">
        <f t="shared" si="115"/>
        <v>0</v>
      </c>
      <c r="AM73" s="147">
        <f t="shared" si="116"/>
        <v>0</v>
      </c>
      <c r="AN73" s="147">
        <f t="shared" si="117"/>
        <v>0</v>
      </c>
      <c r="AO73" s="147">
        <f t="shared" si="118"/>
        <v>0</v>
      </c>
      <c r="AP73" s="103"/>
      <c r="AQ73" s="151">
        <v>70</v>
      </c>
      <c r="AR73" s="152">
        <f ca="1">+RESUMEN!F73</f>
        <v>0</v>
      </c>
      <c r="AS73" s="152">
        <f ca="1">+RESUMEN!G73</f>
        <v>0</v>
      </c>
      <c r="AT73" s="153">
        <f t="shared" ca="1" si="97"/>
        <v>0</v>
      </c>
      <c r="AU73" s="154">
        <f t="shared" si="119"/>
        <v>0</v>
      </c>
      <c r="AV73" s="154">
        <f t="shared" si="120"/>
        <v>0</v>
      </c>
      <c r="AW73" s="154">
        <f t="shared" ca="1" si="121"/>
        <v>0</v>
      </c>
      <c r="AX73" s="153"/>
      <c r="AY73" s="154">
        <f t="shared" ca="1" si="98"/>
        <v>0</v>
      </c>
      <c r="AZ73" s="154">
        <f t="shared" ca="1" si="99"/>
        <v>0</v>
      </c>
      <c r="BA73" s="155"/>
      <c r="BB73" s="156">
        <f t="shared" ca="1" si="122"/>
        <v>0</v>
      </c>
      <c r="BC73" s="156">
        <f t="shared" ca="1" si="84"/>
        <v>0</v>
      </c>
      <c r="BD73" s="157" t="str">
        <f t="shared" ca="1" si="100"/>
        <v/>
      </c>
      <c r="BE73" s="103"/>
      <c r="BF73" s="106">
        <f t="shared" ca="1" si="123"/>
        <v>0</v>
      </c>
      <c r="BG73" s="106">
        <f t="shared" ca="1" si="124"/>
        <v>0</v>
      </c>
      <c r="BH73" s="155"/>
      <c r="BI73" s="158">
        <f t="shared" ca="1" si="125"/>
        <v>0</v>
      </c>
      <c r="BJ73" s="158">
        <f t="shared" ca="1" si="85"/>
        <v>0</v>
      </c>
      <c r="BK73" s="159" t="str">
        <f t="shared" ca="1" si="101"/>
        <v/>
      </c>
      <c r="BL73" s="103"/>
      <c r="BM73" s="160">
        <f t="shared" ca="1" si="126"/>
        <v>0</v>
      </c>
      <c r="BN73" s="160">
        <f t="shared" ca="1" si="127"/>
        <v>0</v>
      </c>
      <c r="BO73" s="155"/>
      <c r="BP73" s="161">
        <f t="shared" ca="1" si="128"/>
        <v>0</v>
      </c>
      <c r="BQ73" s="161">
        <f t="shared" ca="1" si="86"/>
        <v>0</v>
      </c>
      <c r="BR73" s="162" t="str">
        <f t="shared" ca="1" si="102"/>
        <v/>
      </c>
      <c r="BS73" s="103"/>
      <c r="BT73" s="163">
        <f t="shared" ca="1" si="129"/>
        <v>0</v>
      </c>
      <c r="BU73" s="163">
        <f t="shared" ca="1" si="130"/>
        <v>0</v>
      </c>
      <c r="BV73" s="155"/>
      <c r="BW73" s="164">
        <f t="shared" ca="1" si="131"/>
        <v>0</v>
      </c>
      <c r="BX73" s="164">
        <f t="shared" ca="1" si="87"/>
        <v>0</v>
      </c>
      <c r="BY73" s="165" t="str">
        <f t="shared" ca="1" si="103"/>
        <v/>
      </c>
      <c r="BZ73" s="103"/>
      <c r="CA73" s="166">
        <f t="shared" ca="1" si="132"/>
        <v>0</v>
      </c>
      <c r="CB73" s="166">
        <f t="shared" ca="1" si="133"/>
        <v>0</v>
      </c>
      <c r="CC73" s="155"/>
      <c r="CD73" s="167">
        <f t="shared" ca="1" si="134"/>
        <v>0</v>
      </c>
      <c r="CE73" s="167">
        <f t="shared" ca="1" si="88"/>
        <v>0</v>
      </c>
      <c r="CF73" s="168" t="str">
        <f t="shared" ca="1" si="104"/>
        <v/>
      </c>
      <c r="CG73" s="103"/>
      <c r="CH73" s="169">
        <f t="shared" ca="1" si="135"/>
        <v>0</v>
      </c>
      <c r="CI73" s="169">
        <f t="shared" ca="1" si="136"/>
        <v>0</v>
      </c>
      <c r="CJ73" s="155"/>
      <c r="CK73" s="170">
        <f t="shared" ca="1" si="137"/>
        <v>0</v>
      </c>
      <c r="CL73" s="170">
        <f t="shared" ca="1" si="89"/>
        <v>0</v>
      </c>
      <c r="CM73" s="171" t="str">
        <f t="shared" ca="1" si="105"/>
        <v/>
      </c>
      <c r="CN73" s="103"/>
      <c r="CO73" s="151">
        <v>70</v>
      </c>
      <c r="CP73" s="403">
        <v>0.12</v>
      </c>
      <c r="CQ73" s="103">
        <f t="shared" si="138"/>
        <v>0</v>
      </c>
      <c r="CR73" s="409">
        <f t="shared" si="139"/>
        <v>0.12</v>
      </c>
      <c r="CS73" s="103">
        <f t="shared" si="140"/>
        <v>1</v>
      </c>
      <c r="CT73" s="103"/>
    </row>
    <row r="74" spans="1:98">
      <c r="A74" s="189">
        <v>38</v>
      </c>
      <c r="B74" s="184">
        <f ca="1">RESUMEN!J41</f>
        <v>0</v>
      </c>
      <c r="C74" s="184">
        <f ca="1">+RESUMEN!K41</f>
        <v>0</v>
      </c>
      <c r="D74" s="185">
        <f t="shared" ca="1" si="106"/>
        <v>0</v>
      </c>
      <c r="E74" s="188">
        <f ca="1">+RESUMEN!T23</f>
        <v>0</v>
      </c>
      <c r="F74" s="184">
        <f ca="1">RESUMEN!P23</f>
        <v>0</v>
      </c>
      <c r="G74" s="185">
        <f t="shared" ca="1" si="90"/>
        <v>0</v>
      </c>
      <c r="H74" s="176"/>
      <c r="I74" s="176"/>
      <c r="J74" s="175">
        <v>71</v>
      </c>
      <c r="K74" s="67">
        <v>153545.49</v>
      </c>
      <c r="L74" s="67">
        <v>153712.81</v>
      </c>
      <c r="M74" s="67">
        <v>136295.57999999999</v>
      </c>
      <c r="N74" s="67">
        <v>136444.1</v>
      </c>
      <c r="O74" s="67">
        <v>120678.38</v>
      </c>
      <c r="P74" s="67">
        <v>120809.88</v>
      </c>
      <c r="Q74" s="147">
        <f t="shared" si="91"/>
        <v>0</v>
      </c>
      <c r="R74" s="147">
        <f t="shared" si="92"/>
        <v>0</v>
      </c>
      <c r="S74" s="147">
        <f t="shared" si="93"/>
        <v>0</v>
      </c>
      <c r="T74" s="147">
        <f t="shared" si="94"/>
        <v>0</v>
      </c>
      <c r="U74" s="147">
        <f t="shared" si="95"/>
        <v>0</v>
      </c>
      <c r="V74" s="147">
        <f t="shared" si="96"/>
        <v>0</v>
      </c>
      <c r="W74" s="103"/>
      <c r="X74" s="148"/>
      <c r="Y74" s="148"/>
      <c r="Z74" s="147">
        <f t="shared" si="107"/>
        <v>0</v>
      </c>
      <c r="AA74" s="147">
        <f t="shared" si="108"/>
        <v>0</v>
      </c>
      <c r="AB74" s="147">
        <f t="shared" si="109"/>
        <v>0</v>
      </c>
      <c r="AC74" s="147">
        <f t="shared" si="110"/>
        <v>0</v>
      </c>
      <c r="AD74" s="149"/>
      <c r="AE74" s="149"/>
      <c r="AF74" s="147">
        <f t="shared" si="111"/>
        <v>0</v>
      </c>
      <c r="AG74" s="147">
        <f t="shared" si="112"/>
        <v>0</v>
      </c>
      <c r="AH74" s="147">
        <f t="shared" si="113"/>
        <v>0</v>
      </c>
      <c r="AI74" s="147">
        <f t="shared" si="114"/>
        <v>0</v>
      </c>
      <c r="AJ74" s="148"/>
      <c r="AK74" s="150"/>
      <c r="AL74" s="147">
        <f t="shared" si="115"/>
        <v>0</v>
      </c>
      <c r="AM74" s="147">
        <f t="shared" si="116"/>
        <v>0</v>
      </c>
      <c r="AN74" s="147">
        <f t="shared" si="117"/>
        <v>0</v>
      </c>
      <c r="AO74" s="147">
        <f t="shared" si="118"/>
        <v>0</v>
      </c>
      <c r="AP74" s="103"/>
      <c r="AQ74" s="151">
        <v>71</v>
      </c>
      <c r="AR74" s="152">
        <f ca="1">+RESUMEN!F74</f>
        <v>0</v>
      </c>
      <c r="AS74" s="152">
        <f ca="1">+RESUMEN!G74</f>
        <v>0</v>
      </c>
      <c r="AT74" s="153">
        <f t="shared" ca="1" si="97"/>
        <v>0</v>
      </c>
      <c r="AU74" s="154">
        <f t="shared" si="119"/>
        <v>0</v>
      </c>
      <c r="AV74" s="154">
        <f t="shared" si="120"/>
        <v>0</v>
      </c>
      <c r="AW74" s="154">
        <f t="shared" ca="1" si="121"/>
        <v>0</v>
      </c>
      <c r="AX74" s="153"/>
      <c r="AY74" s="154">
        <f t="shared" ca="1" si="98"/>
        <v>0</v>
      </c>
      <c r="AZ74" s="154">
        <f t="shared" ca="1" si="99"/>
        <v>0</v>
      </c>
      <c r="BA74" s="155"/>
      <c r="BB74" s="156">
        <f t="shared" ca="1" si="122"/>
        <v>0</v>
      </c>
      <c r="BC74" s="156">
        <f t="shared" ca="1" si="84"/>
        <v>0</v>
      </c>
      <c r="BD74" s="157" t="str">
        <f t="shared" ca="1" si="100"/>
        <v/>
      </c>
      <c r="BE74" s="103"/>
      <c r="BF74" s="106">
        <f t="shared" ca="1" si="123"/>
        <v>0</v>
      </c>
      <c r="BG74" s="106">
        <f t="shared" ca="1" si="124"/>
        <v>0</v>
      </c>
      <c r="BH74" s="155"/>
      <c r="BI74" s="158">
        <f t="shared" ca="1" si="125"/>
        <v>0</v>
      </c>
      <c r="BJ74" s="158">
        <f t="shared" ca="1" si="85"/>
        <v>0</v>
      </c>
      <c r="BK74" s="159" t="str">
        <f t="shared" ca="1" si="101"/>
        <v/>
      </c>
      <c r="BL74" s="103"/>
      <c r="BM74" s="160">
        <f t="shared" ca="1" si="126"/>
        <v>0</v>
      </c>
      <c r="BN74" s="160">
        <f t="shared" ca="1" si="127"/>
        <v>0</v>
      </c>
      <c r="BO74" s="155"/>
      <c r="BP74" s="161">
        <f t="shared" ca="1" si="128"/>
        <v>0</v>
      </c>
      <c r="BQ74" s="161">
        <f t="shared" ca="1" si="86"/>
        <v>0</v>
      </c>
      <c r="BR74" s="162" t="str">
        <f t="shared" ca="1" si="102"/>
        <v/>
      </c>
      <c r="BS74" s="103"/>
      <c r="BT74" s="163">
        <f t="shared" ca="1" si="129"/>
        <v>0</v>
      </c>
      <c r="BU74" s="163">
        <f t="shared" ca="1" si="130"/>
        <v>0</v>
      </c>
      <c r="BV74" s="155"/>
      <c r="BW74" s="164">
        <f t="shared" ca="1" si="131"/>
        <v>0</v>
      </c>
      <c r="BX74" s="164">
        <f t="shared" ca="1" si="87"/>
        <v>0</v>
      </c>
      <c r="BY74" s="165" t="str">
        <f t="shared" ca="1" si="103"/>
        <v/>
      </c>
      <c r="BZ74" s="103"/>
      <c r="CA74" s="166">
        <f t="shared" ca="1" si="132"/>
        <v>0</v>
      </c>
      <c r="CB74" s="166">
        <f t="shared" ca="1" si="133"/>
        <v>0</v>
      </c>
      <c r="CC74" s="155"/>
      <c r="CD74" s="167">
        <f t="shared" ca="1" si="134"/>
        <v>0</v>
      </c>
      <c r="CE74" s="167">
        <f t="shared" ca="1" si="88"/>
        <v>0</v>
      </c>
      <c r="CF74" s="168" t="str">
        <f t="shared" ca="1" si="104"/>
        <v/>
      </c>
      <c r="CG74" s="103"/>
      <c r="CH74" s="169">
        <f t="shared" ca="1" si="135"/>
        <v>0</v>
      </c>
      <c r="CI74" s="169">
        <f t="shared" ca="1" si="136"/>
        <v>0</v>
      </c>
      <c r="CJ74" s="155"/>
      <c r="CK74" s="170">
        <f t="shared" ca="1" si="137"/>
        <v>0</v>
      </c>
      <c r="CL74" s="170">
        <f t="shared" ca="1" si="89"/>
        <v>0</v>
      </c>
      <c r="CM74" s="171" t="str">
        <f t="shared" ca="1" si="105"/>
        <v/>
      </c>
      <c r="CN74" s="103"/>
      <c r="CO74" s="151">
        <v>71</v>
      </c>
      <c r="CP74" s="403">
        <v>0.12</v>
      </c>
      <c r="CQ74" s="103">
        <f t="shared" si="138"/>
        <v>0</v>
      </c>
      <c r="CR74" s="409">
        <f t="shared" si="139"/>
        <v>0.12</v>
      </c>
      <c r="CS74" s="103">
        <f t="shared" si="140"/>
        <v>1</v>
      </c>
      <c r="CT74" s="103"/>
    </row>
    <row r="75" spans="1:98">
      <c r="A75" s="189">
        <v>39</v>
      </c>
      <c r="B75" s="184">
        <f ca="1">RESUMEN!J42</f>
        <v>0</v>
      </c>
      <c r="C75" s="184">
        <f ca="1">+RESUMEN!K42</f>
        <v>0</v>
      </c>
      <c r="D75" s="185">
        <f t="shared" ca="1" si="106"/>
        <v>0</v>
      </c>
      <c r="E75" s="188">
        <f ca="1">+RESUMEN!T24</f>
        <v>0</v>
      </c>
      <c r="F75" s="184">
        <f ca="1">RESUMEN!P24</f>
        <v>0</v>
      </c>
      <c r="G75" s="185">
        <f t="shared" ca="1" si="90"/>
        <v>0</v>
      </c>
      <c r="H75" s="176"/>
      <c r="I75" s="176"/>
      <c r="J75" s="175">
        <v>72</v>
      </c>
      <c r="K75" s="67">
        <v>163957.28</v>
      </c>
      <c r="L75" s="67">
        <v>159418.54</v>
      </c>
      <c r="M75" s="67">
        <v>145537.68</v>
      </c>
      <c r="N75" s="67">
        <v>141508.82999999999</v>
      </c>
      <c r="O75" s="67">
        <v>128861.48</v>
      </c>
      <c r="P75" s="67">
        <v>125294.28</v>
      </c>
      <c r="Q75" s="147">
        <f t="shared" si="91"/>
        <v>0</v>
      </c>
      <c r="R75" s="147">
        <f t="shared" si="92"/>
        <v>0</v>
      </c>
      <c r="S75" s="147">
        <f t="shared" si="93"/>
        <v>0</v>
      </c>
      <c r="T75" s="147">
        <f t="shared" si="94"/>
        <v>0</v>
      </c>
      <c r="U75" s="147">
        <f t="shared" si="95"/>
        <v>0</v>
      </c>
      <c r="V75" s="147">
        <f t="shared" si="96"/>
        <v>0</v>
      </c>
      <c r="W75" s="103"/>
      <c r="X75" s="148"/>
      <c r="Y75" s="148"/>
      <c r="Z75" s="147">
        <f t="shared" si="107"/>
        <v>0</v>
      </c>
      <c r="AA75" s="147">
        <f t="shared" si="108"/>
        <v>0</v>
      </c>
      <c r="AB75" s="147">
        <f t="shared" si="109"/>
        <v>0</v>
      </c>
      <c r="AC75" s="147">
        <f t="shared" si="110"/>
        <v>0</v>
      </c>
      <c r="AD75" s="149"/>
      <c r="AE75" s="149"/>
      <c r="AF75" s="147">
        <f t="shared" si="111"/>
        <v>0</v>
      </c>
      <c r="AG75" s="147">
        <f t="shared" si="112"/>
        <v>0</v>
      </c>
      <c r="AH75" s="147">
        <f t="shared" si="113"/>
        <v>0</v>
      </c>
      <c r="AI75" s="147">
        <f t="shared" si="114"/>
        <v>0</v>
      </c>
      <c r="AJ75" s="148"/>
      <c r="AK75" s="150"/>
      <c r="AL75" s="147">
        <f t="shared" si="115"/>
        <v>0</v>
      </c>
      <c r="AM75" s="147">
        <f t="shared" si="116"/>
        <v>0</v>
      </c>
      <c r="AN75" s="147">
        <f t="shared" si="117"/>
        <v>0</v>
      </c>
      <c r="AO75" s="147">
        <f t="shared" si="118"/>
        <v>0</v>
      </c>
      <c r="AP75" s="103"/>
      <c r="AQ75" s="151">
        <v>72</v>
      </c>
      <c r="AR75" s="152">
        <f ca="1">+RESUMEN!F75</f>
        <v>0</v>
      </c>
      <c r="AS75" s="152">
        <f ca="1">+RESUMEN!G75</f>
        <v>0</v>
      </c>
      <c r="AT75" s="153">
        <f t="shared" ca="1" si="97"/>
        <v>0</v>
      </c>
      <c r="AU75" s="154">
        <f t="shared" si="119"/>
        <v>0</v>
      </c>
      <c r="AV75" s="154">
        <f t="shared" si="120"/>
        <v>0</v>
      </c>
      <c r="AW75" s="154">
        <f t="shared" ca="1" si="121"/>
        <v>0</v>
      </c>
      <c r="AX75" s="153"/>
      <c r="AY75" s="154">
        <f t="shared" ca="1" si="98"/>
        <v>0</v>
      </c>
      <c r="AZ75" s="154">
        <f t="shared" ca="1" si="99"/>
        <v>0</v>
      </c>
      <c r="BA75" s="155"/>
      <c r="BB75" s="156">
        <f t="shared" ca="1" si="122"/>
        <v>0</v>
      </c>
      <c r="BC75" s="156">
        <f t="shared" ca="1" si="84"/>
        <v>0</v>
      </c>
      <c r="BD75" s="157" t="str">
        <f t="shared" ca="1" si="100"/>
        <v/>
      </c>
      <c r="BE75" s="103"/>
      <c r="BF75" s="106">
        <f t="shared" ca="1" si="123"/>
        <v>0</v>
      </c>
      <c r="BG75" s="106">
        <f t="shared" ca="1" si="124"/>
        <v>0</v>
      </c>
      <c r="BH75" s="155"/>
      <c r="BI75" s="158">
        <f t="shared" ca="1" si="125"/>
        <v>0</v>
      </c>
      <c r="BJ75" s="158">
        <f t="shared" ca="1" si="85"/>
        <v>0</v>
      </c>
      <c r="BK75" s="159" t="str">
        <f t="shared" ca="1" si="101"/>
        <v/>
      </c>
      <c r="BL75" s="103"/>
      <c r="BM75" s="160">
        <f t="shared" ca="1" si="126"/>
        <v>0</v>
      </c>
      <c r="BN75" s="160">
        <f t="shared" ca="1" si="127"/>
        <v>0</v>
      </c>
      <c r="BO75" s="155"/>
      <c r="BP75" s="161">
        <f t="shared" ca="1" si="128"/>
        <v>0</v>
      </c>
      <c r="BQ75" s="161">
        <f t="shared" ca="1" si="86"/>
        <v>0</v>
      </c>
      <c r="BR75" s="162" t="str">
        <f t="shared" ca="1" si="102"/>
        <v/>
      </c>
      <c r="BS75" s="103"/>
      <c r="BT75" s="163">
        <f t="shared" ca="1" si="129"/>
        <v>0</v>
      </c>
      <c r="BU75" s="163">
        <f t="shared" ca="1" si="130"/>
        <v>0</v>
      </c>
      <c r="BV75" s="155"/>
      <c r="BW75" s="164">
        <f t="shared" ca="1" si="131"/>
        <v>0</v>
      </c>
      <c r="BX75" s="164">
        <f t="shared" ca="1" si="87"/>
        <v>0</v>
      </c>
      <c r="BY75" s="165" t="str">
        <f t="shared" ca="1" si="103"/>
        <v/>
      </c>
      <c r="BZ75" s="103"/>
      <c r="CA75" s="166">
        <f t="shared" ca="1" si="132"/>
        <v>0</v>
      </c>
      <c r="CB75" s="166">
        <f t="shared" ca="1" si="133"/>
        <v>0</v>
      </c>
      <c r="CC75" s="155"/>
      <c r="CD75" s="167">
        <f t="shared" ca="1" si="134"/>
        <v>0</v>
      </c>
      <c r="CE75" s="167">
        <f t="shared" ca="1" si="88"/>
        <v>0</v>
      </c>
      <c r="CF75" s="168" t="str">
        <f t="shared" ca="1" si="104"/>
        <v/>
      </c>
      <c r="CG75" s="103"/>
      <c r="CH75" s="169">
        <f t="shared" ca="1" si="135"/>
        <v>0</v>
      </c>
      <c r="CI75" s="169">
        <f t="shared" ca="1" si="136"/>
        <v>0</v>
      </c>
      <c r="CJ75" s="155"/>
      <c r="CK75" s="170">
        <f t="shared" ca="1" si="137"/>
        <v>0</v>
      </c>
      <c r="CL75" s="170">
        <f t="shared" ca="1" si="89"/>
        <v>0</v>
      </c>
      <c r="CM75" s="171" t="str">
        <f t="shared" ca="1" si="105"/>
        <v/>
      </c>
      <c r="CN75" s="103"/>
      <c r="CO75" s="151">
        <v>72</v>
      </c>
      <c r="CP75" s="403">
        <v>0.12</v>
      </c>
      <c r="CQ75" s="103">
        <f t="shared" si="138"/>
        <v>0</v>
      </c>
      <c r="CR75" s="409">
        <f t="shared" si="139"/>
        <v>0.12</v>
      </c>
      <c r="CS75" s="103">
        <f t="shared" si="140"/>
        <v>1</v>
      </c>
      <c r="CT75" s="103"/>
    </row>
    <row r="76" spans="1:98">
      <c r="A76" s="189">
        <v>40</v>
      </c>
      <c r="B76" s="184">
        <f ca="1">RESUMEN!J43</f>
        <v>0</v>
      </c>
      <c r="C76" s="184">
        <f ca="1">+RESUMEN!K43</f>
        <v>0</v>
      </c>
      <c r="D76" s="185">
        <f t="shared" ca="1" si="106"/>
        <v>0</v>
      </c>
      <c r="E76" s="188">
        <f ca="1">+RESUMEN!T25</f>
        <v>0</v>
      </c>
      <c r="F76" s="184">
        <f ca="1">RESUMEN!P25</f>
        <v>0</v>
      </c>
      <c r="G76" s="185">
        <f t="shared" ca="1" si="90"/>
        <v>0</v>
      </c>
      <c r="H76" s="176"/>
      <c r="I76" s="176"/>
      <c r="J76" s="175">
        <v>73</v>
      </c>
      <c r="K76" s="67">
        <v>175006.35</v>
      </c>
      <c r="L76" s="67">
        <v>165146.04</v>
      </c>
      <c r="M76" s="67">
        <v>155345.44</v>
      </c>
      <c r="N76" s="67">
        <v>146592.87</v>
      </c>
      <c r="O76" s="67">
        <v>137545.45000000001</v>
      </c>
      <c r="P76" s="67">
        <v>129795.77</v>
      </c>
      <c r="Q76" s="147">
        <f t="shared" si="91"/>
        <v>0</v>
      </c>
      <c r="R76" s="147">
        <f t="shared" si="92"/>
        <v>0</v>
      </c>
      <c r="S76" s="147">
        <f t="shared" si="93"/>
        <v>0</v>
      </c>
      <c r="T76" s="147">
        <f t="shared" si="94"/>
        <v>0</v>
      </c>
      <c r="U76" s="147">
        <f t="shared" si="95"/>
        <v>0</v>
      </c>
      <c r="V76" s="147">
        <f t="shared" si="96"/>
        <v>0</v>
      </c>
      <c r="W76" s="103"/>
      <c r="X76" s="148"/>
      <c r="Y76" s="148"/>
      <c r="Z76" s="147">
        <f t="shared" si="107"/>
        <v>0</v>
      </c>
      <c r="AA76" s="147">
        <f t="shared" si="108"/>
        <v>0</v>
      </c>
      <c r="AB76" s="147">
        <f t="shared" si="109"/>
        <v>0</v>
      </c>
      <c r="AC76" s="147">
        <f t="shared" si="110"/>
        <v>0</v>
      </c>
      <c r="AD76" s="149"/>
      <c r="AE76" s="149"/>
      <c r="AF76" s="147">
        <f t="shared" si="111"/>
        <v>0</v>
      </c>
      <c r="AG76" s="147">
        <f t="shared" si="112"/>
        <v>0</v>
      </c>
      <c r="AH76" s="147">
        <f t="shared" si="113"/>
        <v>0</v>
      </c>
      <c r="AI76" s="147">
        <f t="shared" si="114"/>
        <v>0</v>
      </c>
      <c r="AJ76" s="148"/>
      <c r="AK76" s="150"/>
      <c r="AL76" s="147">
        <f t="shared" si="115"/>
        <v>0</v>
      </c>
      <c r="AM76" s="147">
        <f t="shared" si="116"/>
        <v>0</v>
      </c>
      <c r="AN76" s="147">
        <f t="shared" si="117"/>
        <v>0</v>
      </c>
      <c r="AO76" s="147">
        <f t="shared" si="118"/>
        <v>0</v>
      </c>
      <c r="AP76" s="103"/>
      <c r="AQ76" s="151">
        <v>73</v>
      </c>
      <c r="AR76" s="152">
        <f ca="1">+RESUMEN!F76</f>
        <v>0</v>
      </c>
      <c r="AS76" s="152">
        <f ca="1">+RESUMEN!G76</f>
        <v>0</v>
      </c>
      <c r="AT76" s="153">
        <f t="shared" ca="1" si="97"/>
        <v>0</v>
      </c>
      <c r="AU76" s="154">
        <f t="shared" si="119"/>
        <v>0</v>
      </c>
      <c r="AV76" s="154">
        <f t="shared" si="120"/>
        <v>0</v>
      </c>
      <c r="AW76" s="154">
        <f t="shared" ca="1" si="121"/>
        <v>0</v>
      </c>
      <c r="AX76" s="153"/>
      <c r="AY76" s="154">
        <f t="shared" ca="1" si="98"/>
        <v>0</v>
      </c>
      <c r="AZ76" s="154">
        <f t="shared" ca="1" si="99"/>
        <v>0</v>
      </c>
      <c r="BA76" s="155"/>
      <c r="BB76" s="156">
        <f t="shared" ca="1" si="122"/>
        <v>0</v>
      </c>
      <c r="BC76" s="156">
        <f t="shared" ca="1" si="84"/>
        <v>0</v>
      </c>
      <c r="BD76" s="157" t="str">
        <f t="shared" ca="1" si="100"/>
        <v/>
      </c>
      <c r="BE76" s="103"/>
      <c r="BF76" s="106">
        <f t="shared" ca="1" si="123"/>
        <v>0</v>
      </c>
      <c r="BG76" s="106">
        <f t="shared" ca="1" si="124"/>
        <v>0</v>
      </c>
      <c r="BH76" s="155"/>
      <c r="BI76" s="158">
        <f t="shared" ca="1" si="125"/>
        <v>0</v>
      </c>
      <c r="BJ76" s="158">
        <f t="shared" ca="1" si="85"/>
        <v>0</v>
      </c>
      <c r="BK76" s="159" t="str">
        <f t="shared" ca="1" si="101"/>
        <v/>
      </c>
      <c r="BL76" s="103"/>
      <c r="BM76" s="160">
        <f t="shared" ca="1" si="126"/>
        <v>0</v>
      </c>
      <c r="BN76" s="160">
        <f t="shared" ca="1" si="127"/>
        <v>0</v>
      </c>
      <c r="BO76" s="155"/>
      <c r="BP76" s="161">
        <f t="shared" ca="1" si="128"/>
        <v>0</v>
      </c>
      <c r="BQ76" s="161">
        <f t="shared" ca="1" si="86"/>
        <v>0</v>
      </c>
      <c r="BR76" s="162" t="str">
        <f t="shared" ca="1" si="102"/>
        <v/>
      </c>
      <c r="BS76" s="103"/>
      <c r="BT76" s="163">
        <f t="shared" ca="1" si="129"/>
        <v>0</v>
      </c>
      <c r="BU76" s="163">
        <f t="shared" ca="1" si="130"/>
        <v>0</v>
      </c>
      <c r="BV76" s="155"/>
      <c r="BW76" s="164">
        <f t="shared" ca="1" si="131"/>
        <v>0</v>
      </c>
      <c r="BX76" s="164">
        <f t="shared" ca="1" si="87"/>
        <v>0</v>
      </c>
      <c r="BY76" s="165" t="str">
        <f t="shared" ca="1" si="103"/>
        <v/>
      </c>
      <c r="BZ76" s="103"/>
      <c r="CA76" s="166">
        <f t="shared" ca="1" si="132"/>
        <v>0</v>
      </c>
      <c r="CB76" s="166">
        <f t="shared" ca="1" si="133"/>
        <v>0</v>
      </c>
      <c r="CC76" s="155"/>
      <c r="CD76" s="167">
        <f t="shared" ca="1" si="134"/>
        <v>0</v>
      </c>
      <c r="CE76" s="167">
        <f t="shared" ca="1" si="88"/>
        <v>0</v>
      </c>
      <c r="CF76" s="168" t="str">
        <f t="shared" ca="1" si="104"/>
        <v/>
      </c>
      <c r="CG76" s="103"/>
      <c r="CH76" s="169">
        <f t="shared" ca="1" si="135"/>
        <v>0</v>
      </c>
      <c r="CI76" s="169">
        <f t="shared" ca="1" si="136"/>
        <v>0</v>
      </c>
      <c r="CJ76" s="155"/>
      <c r="CK76" s="170">
        <f t="shared" ca="1" si="137"/>
        <v>0</v>
      </c>
      <c r="CL76" s="170">
        <f t="shared" ca="1" si="89"/>
        <v>0</v>
      </c>
      <c r="CM76" s="171" t="str">
        <f t="shared" ca="1" si="105"/>
        <v/>
      </c>
      <c r="CN76" s="103"/>
      <c r="CO76" s="151">
        <v>73</v>
      </c>
      <c r="CP76" s="403">
        <v>0.12</v>
      </c>
      <c r="CQ76" s="103">
        <f t="shared" si="138"/>
        <v>0</v>
      </c>
      <c r="CR76" s="409">
        <f t="shared" si="139"/>
        <v>0.12</v>
      </c>
      <c r="CS76" s="103">
        <f t="shared" si="140"/>
        <v>1</v>
      </c>
      <c r="CT76" s="103"/>
    </row>
    <row r="77" spans="1:98">
      <c r="A77" s="189">
        <v>41</v>
      </c>
      <c r="B77" s="184">
        <f ca="1">RESUMEN!J44</f>
        <v>0</v>
      </c>
      <c r="C77" s="184">
        <f ca="1">+RESUMEN!K44</f>
        <v>0</v>
      </c>
      <c r="D77" s="185">
        <f t="shared" ca="1" si="106"/>
        <v>0</v>
      </c>
      <c r="E77" s="188">
        <f ca="1">+RESUMEN!T26</f>
        <v>0</v>
      </c>
      <c r="F77" s="184">
        <f ca="1">RESUMEN!P26</f>
        <v>0</v>
      </c>
      <c r="G77" s="185">
        <f t="shared" ca="1" si="90"/>
        <v>0</v>
      </c>
      <c r="H77" s="176"/>
      <c r="I77" s="176"/>
      <c r="J77" s="175">
        <v>74</v>
      </c>
      <c r="K77" s="67">
        <v>185626.46</v>
      </c>
      <c r="L77" s="67">
        <v>170887.56</v>
      </c>
      <c r="M77" s="67">
        <v>164772.45000000001</v>
      </c>
      <c r="N77" s="67">
        <v>151689.37</v>
      </c>
      <c r="O77" s="67">
        <v>145892.28</v>
      </c>
      <c r="P77" s="67">
        <v>134308.29999999999</v>
      </c>
      <c r="Q77" s="147">
        <f t="shared" si="91"/>
        <v>0</v>
      </c>
      <c r="R77" s="147">
        <f t="shared" si="92"/>
        <v>0</v>
      </c>
      <c r="S77" s="147">
        <f t="shared" si="93"/>
        <v>0</v>
      </c>
      <c r="T77" s="147">
        <f t="shared" si="94"/>
        <v>0</v>
      </c>
      <c r="U77" s="147">
        <f t="shared" si="95"/>
        <v>0</v>
      </c>
      <c r="V77" s="147">
        <f t="shared" si="96"/>
        <v>0</v>
      </c>
      <c r="W77" s="103"/>
      <c r="X77" s="148"/>
      <c r="Y77" s="148"/>
      <c r="Z77" s="147">
        <f t="shared" si="107"/>
        <v>0</v>
      </c>
      <c r="AA77" s="147">
        <f t="shared" si="108"/>
        <v>0</v>
      </c>
      <c r="AB77" s="147">
        <f t="shared" si="109"/>
        <v>0</v>
      </c>
      <c r="AC77" s="147">
        <f t="shared" si="110"/>
        <v>0</v>
      </c>
      <c r="AD77" s="149"/>
      <c r="AE77" s="149"/>
      <c r="AF77" s="147">
        <f t="shared" si="111"/>
        <v>0</v>
      </c>
      <c r="AG77" s="147">
        <f t="shared" si="112"/>
        <v>0</v>
      </c>
      <c r="AH77" s="147">
        <f t="shared" si="113"/>
        <v>0</v>
      </c>
      <c r="AI77" s="147">
        <f t="shared" si="114"/>
        <v>0</v>
      </c>
      <c r="AJ77" s="148"/>
      <c r="AK77" s="150"/>
      <c r="AL77" s="147">
        <f t="shared" si="115"/>
        <v>0</v>
      </c>
      <c r="AM77" s="147">
        <f t="shared" si="116"/>
        <v>0</v>
      </c>
      <c r="AN77" s="147">
        <f t="shared" si="117"/>
        <v>0</v>
      </c>
      <c r="AO77" s="147">
        <f t="shared" si="118"/>
        <v>0</v>
      </c>
      <c r="AP77" s="103"/>
      <c r="AQ77" s="151">
        <v>74</v>
      </c>
      <c r="AR77" s="152">
        <f ca="1">+RESUMEN!F77</f>
        <v>0</v>
      </c>
      <c r="AS77" s="152">
        <f ca="1">+RESUMEN!G77</f>
        <v>0</v>
      </c>
      <c r="AT77" s="153">
        <f t="shared" ca="1" si="97"/>
        <v>0</v>
      </c>
      <c r="AU77" s="154">
        <f t="shared" si="119"/>
        <v>0</v>
      </c>
      <c r="AV77" s="154">
        <f t="shared" si="120"/>
        <v>0</v>
      </c>
      <c r="AW77" s="154">
        <f t="shared" ca="1" si="121"/>
        <v>0</v>
      </c>
      <c r="AX77" s="153"/>
      <c r="AY77" s="154">
        <f t="shared" ca="1" si="98"/>
        <v>0</v>
      </c>
      <c r="AZ77" s="154">
        <f t="shared" ca="1" si="99"/>
        <v>0</v>
      </c>
      <c r="BA77" s="155"/>
      <c r="BB77" s="156">
        <f t="shared" ca="1" si="122"/>
        <v>0</v>
      </c>
      <c r="BC77" s="156">
        <f t="shared" ca="1" si="84"/>
        <v>0</v>
      </c>
      <c r="BD77" s="157" t="str">
        <f t="shared" ca="1" si="100"/>
        <v/>
      </c>
      <c r="BE77" s="103"/>
      <c r="BF77" s="106">
        <f t="shared" ca="1" si="123"/>
        <v>0</v>
      </c>
      <c r="BG77" s="106">
        <f t="shared" ca="1" si="124"/>
        <v>0</v>
      </c>
      <c r="BH77" s="155"/>
      <c r="BI77" s="158">
        <f t="shared" ca="1" si="125"/>
        <v>0</v>
      </c>
      <c r="BJ77" s="158">
        <f t="shared" ca="1" si="85"/>
        <v>0</v>
      </c>
      <c r="BK77" s="159" t="str">
        <f t="shared" ca="1" si="101"/>
        <v/>
      </c>
      <c r="BL77" s="103"/>
      <c r="BM77" s="160">
        <f t="shared" ca="1" si="126"/>
        <v>0</v>
      </c>
      <c r="BN77" s="160">
        <f t="shared" ca="1" si="127"/>
        <v>0</v>
      </c>
      <c r="BO77" s="155"/>
      <c r="BP77" s="161">
        <f t="shared" ca="1" si="128"/>
        <v>0</v>
      </c>
      <c r="BQ77" s="161">
        <f t="shared" ca="1" si="86"/>
        <v>0</v>
      </c>
      <c r="BR77" s="162" t="str">
        <f t="shared" ca="1" si="102"/>
        <v/>
      </c>
      <c r="BS77" s="103"/>
      <c r="BT77" s="163">
        <f t="shared" ca="1" si="129"/>
        <v>0</v>
      </c>
      <c r="BU77" s="163">
        <f t="shared" ca="1" si="130"/>
        <v>0</v>
      </c>
      <c r="BV77" s="155"/>
      <c r="BW77" s="164">
        <f t="shared" ca="1" si="131"/>
        <v>0</v>
      </c>
      <c r="BX77" s="164">
        <f t="shared" ca="1" si="87"/>
        <v>0</v>
      </c>
      <c r="BY77" s="165" t="str">
        <f t="shared" ca="1" si="103"/>
        <v/>
      </c>
      <c r="BZ77" s="103"/>
      <c r="CA77" s="166">
        <f t="shared" ca="1" si="132"/>
        <v>0</v>
      </c>
      <c r="CB77" s="166">
        <f t="shared" ca="1" si="133"/>
        <v>0</v>
      </c>
      <c r="CC77" s="155"/>
      <c r="CD77" s="167">
        <f t="shared" ca="1" si="134"/>
        <v>0</v>
      </c>
      <c r="CE77" s="167">
        <f t="shared" ca="1" si="88"/>
        <v>0</v>
      </c>
      <c r="CF77" s="168" t="str">
        <f t="shared" ca="1" si="104"/>
        <v/>
      </c>
      <c r="CG77" s="103"/>
      <c r="CH77" s="169">
        <f t="shared" ca="1" si="135"/>
        <v>0</v>
      </c>
      <c r="CI77" s="169">
        <f t="shared" ca="1" si="136"/>
        <v>0</v>
      </c>
      <c r="CJ77" s="155"/>
      <c r="CK77" s="170">
        <f t="shared" ca="1" si="137"/>
        <v>0</v>
      </c>
      <c r="CL77" s="170">
        <f t="shared" ca="1" si="89"/>
        <v>0</v>
      </c>
      <c r="CM77" s="171" t="str">
        <f t="shared" ca="1" si="105"/>
        <v/>
      </c>
      <c r="CN77" s="103"/>
      <c r="CO77" s="151">
        <v>74</v>
      </c>
      <c r="CP77" s="403">
        <v>0.12</v>
      </c>
      <c r="CQ77" s="103">
        <f t="shared" si="138"/>
        <v>0</v>
      </c>
      <c r="CR77" s="409">
        <f t="shared" si="139"/>
        <v>0.12</v>
      </c>
      <c r="CS77" s="103">
        <f t="shared" si="140"/>
        <v>1</v>
      </c>
      <c r="CT77" s="103"/>
    </row>
    <row r="78" spans="1:98">
      <c r="A78" s="189">
        <v>42</v>
      </c>
      <c r="B78" s="184">
        <f ca="1">RESUMEN!J45</f>
        <v>0</v>
      </c>
      <c r="C78" s="184">
        <f ca="1">+RESUMEN!K45</f>
        <v>0</v>
      </c>
      <c r="D78" s="185">
        <f t="shared" ca="1" si="106"/>
        <v>0</v>
      </c>
      <c r="E78" s="188">
        <f ca="1">+RESUMEN!T27</f>
        <v>0</v>
      </c>
      <c r="F78" s="184">
        <f ca="1">RESUMEN!P27</f>
        <v>0</v>
      </c>
      <c r="G78" s="185">
        <f t="shared" ca="1" si="90"/>
        <v>0</v>
      </c>
      <c r="H78" s="176"/>
      <c r="I78" s="176"/>
      <c r="J78" s="175">
        <v>75</v>
      </c>
      <c r="K78" s="67">
        <v>199611.13</v>
      </c>
      <c r="L78" s="67">
        <v>176980.39</v>
      </c>
      <c r="M78" s="67">
        <v>177186.02</v>
      </c>
      <c r="N78" s="67">
        <v>157097.71</v>
      </c>
      <c r="O78" s="67">
        <v>156883.46</v>
      </c>
      <c r="P78" s="67">
        <v>139096.93</v>
      </c>
      <c r="Q78" s="147">
        <f t="shared" si="91"/>
        <v>0</v>
      </c>
      <c r="R78" s="147">
        <f t="shared" si="92"/>
        <v>0</v>
      </c>
      <c r="S78" s="147">
        <f t="shared" si="93"/>
        <v>0</v>
      </c>
      <c r="T78" s="147">
        <f t="shared" si="94"/>
        <v>0</v>
      </c>
      <c r="U78" s="147">
        <f t="shared" si="95"/>
        <v>0</v>
      </c>
      <c r="V78" s="147">
        <f t="shared" si="96"/>
        <v>0</v>
      </c>
      <c r="W78" s="103"/>
      <c r="X78" s="148"/>
      <c r="Y78" s="148"/>
      <c r="Z78" s="147">
        <f t="shared" si="107"/>
        <v>0</v>
      </c>
      <c r="AA78" s="147">
        <f t="shared" si="108"/>
        <v>0</v>
      </c>
      <c r="AB78" s="147">
        <f t="shared" si="109"/>
        <v>0</v>
      </c>
      <c r="AC78" s="147">
        <f t="shared" si="110"/>
        <v>0</v>
      </c>
      <c r="AD78" s="149"/>
      <c r="AE78" s="149"/>
      <c r="AF78" s="147">
        <f t="shared" si="111"/>
        <v>0</v>
      </c>
      <c r="AG78" s="147">
        <f t="shared" si="112"/>
        <v>0</v>
      </c>
      <c r="AH78" s="147">
        <f t="shared" si="113"/>
        <v>0</v>
      </c>
      <c r="AI78" s="147">
        <f t="shared" si="114"/>
        <v>0</v>
      </c>
      <c r="AJ78" s="148"/>
      <c r="AK78" s="150"/>
      <c r="AL78" s="147">
        <f t="shared" si="115"/>
        <v>0</v>
      </c>
      <c r="AM78" s="147">
        <f t="shared" si="116"/>
        <v>0</v>
      </c>
      <c r="AN78" s="147">
        <f t="shared" si="117"/>
        <v>0</v>
      </c>
      <c r="AO78" s="147">
        <f t="shared" si="118"/>
        <v>0</v>
      </c>
      <c r="AP78" s="103"/>
      <c r="AQ78" s="151">
        <v>75</v>
      </c>
      <c r="AR78" s="152">
        <f ca="1">+RESUMEN!F78</f>
        <v>0</v>
      </c>
      <c r="AS78" s="152">
        <f ca="1">+RESUMEN!G78</f>
        <v>0</v>
      </c>
      <c r="AT78" s="153">
        <f t="shared" ca="1" si="97"/>
        <v>0</v>
      </c>
      <c r="AU78" s="154">
        <f t="shared" si="119"/>
        <v>0</v>
      </c>
      <c r="AV78" s="154">
        <f t="shared" si="120"/>
        <v>0</v>
      </c>
      <c r="AW78" s="154">
        <f t="shared" ca="1" si="121"/>
        <v>0</v>
      </c>
      <c r="AX78" s="153"/>
      <c r="AY78" s="154">
        <f t="shared" ca="1" si="98"/>
        <v>0</v>
      </c>
      <c r="AZ78" s="154">
        <f t="shared" ca="1" si="99"/>
        <v>0</v>
      </c>
      <c r="BA78" s="155"/>
      <c r="BB78" s="156">
        <f t="shared" ca="1" si="122"/>
        <v>0</v>
      </c>
      <c r="BC78" s="156">
        <f t="shared" ca="1" si="84"/>
        <v>0</v>
      </c>
      <c r="BD78" s="157" t="str">
        <f t="shared" ca="1" si="100"/>
        <v/>
      </c>
      <c r="BE78" s="103"/>
      <c r="BF78" s="106">
        <f t="shared" ca="1" si="123"/>
        <v>0</v>
      </c>
      <c r="BG78" s="106">
        <f t="shared" ca="1" si="124"/>
        <v>0</v>
      </c>
      <c r="BH78" s="155"/>
      <c r="BI78" s="158">
        <f t="shared" ca="1" si="125"/>
        <v>0</v>
      </c>
      <c r="BJ78" s="158">
        <f t="shared" ca="1" si="85"/>
        <v>0</v>
      </c>
      <c r="BK78" s="159" t="str">
        <f t="shared" ca="1" si="101"/>
        <v/>
      </c>
      <c r="BL78" s="103"/>
      <c r="BM78" s="160">
        <f t="shared" ca="1" si="126"/>
        <v>0</v>
      </c>
      <c r="BN78" s="160">
        <f t="shared" ca="1" si="127"/>
        <v>0</v>
      </c>
      <c r="BO78" s="155"/>
      <c r="BP78" s="161">
        <f t="shared" ca="1" si="128"/>
        <v>0</v>
      </c>
      <c r="BQ78" s="161">
        <f t="shared" ca="1" si="86"/>
        <v>0</v>
      </c>
      <c r="BR78" s="162" t="str">
        <f t="shared" ca="1" si="102"/>
        <v/>
      </c>
      <c r="BS78" s="103"/>
      <c r="BT78" s="163">
        <f t="shared" ca="1" si="129"/>
        <v>0</v>
      </c>
      <c r="BU78" s="163">
        <f t="shared" ca="1" si="130"/>
        <v>0</v>
      </c>
      <c r="BV78" s="155"/>
      <c r="BW78" s="164">
        <f t="shared" ca="1" si="131"/>
        <v>0</v>
      </c>
      <c r="BX78" s="164">
        <f t="shared" ca="1" si="87"/>
        <v>0</v>
      </c>
      <c r="BY78" s="165" t="str">
        <f t="shared" ca="1" si="103"/>
        <v/>
      </c>
      <c r="BZ78" s="103"/>
      <c r="CA78" s="166">
        <f t="shared" ca="1" si="132"/>
        <v>0</v>
      </c>
      <c r="CB78" s="166">
        <f t="shared" ca="1" si="133"/>
        <v>0</v>
      </c>
      <c r="CC78" s="155"/>
      <c r="CD78" s="167">
        <f t="shared" ca="1" si="134"/>
        <v>0</v>
      </c>
      <c r="CE78" s="167">
        <f t="shared" ca="1" si="88"/>
        <v>0</v>
      </c>
      <c r="CF78" s="168" t="str">
        <f t="shared" ca="1" si="104"/>
        <v/>
      </c>
      <c r="CG78" s="103"/>
      <c r="CH78" s="169">
        <f t="shared" ca="1" si="135"/>
        <v>0</v>
      </c>
      <c r="CI78" s="169">
        <f t="shared" ca="1" si="136"/>
        <v>0</v>
      </c>
      <c r="CJ78" s="155"/>
      <c r="CK78" s="170">
        <f t="shared" ca="1" si="137"/>
        <v>0</v>
      </c>
      <c r="CL78" s="170">
        <f t="shared" ca="1" si="89"/>
        <v>0</v>
      </c>
      <c r="CM78" s="171" t="str">
        <f t="shared" ca="1" si="105"/>
        <v/>
      </c>
      <c r="CN78" s="103"/>
      <c r="CO78" s="151">
        <v>75</v>
      </c>
      <c r="CP78" s="403">
        <v>0.12</v>
      </c>
      <c r="CQ78" s="103">
        <f t="shared" si="138"/>
        <v>0</v>
      </c>
      <c r="CR78" s="409">
        <f t="shared" si="139"/>
        <v>0.12</v>
      </c>
      <c r="CS78" s="103">
        <f t="shared" si="140"/>
        <v>1</v>
      </c>
      <c r="CT78" s="103"/>
    </row>
    <row r="79" spans="1:98">
      <c r="A79" s="189">
        <v>43</v>
      </c>
      <c r="B79" s="184">
        <f ca="1">RESUMEN!J46</f>
        <v>0</v>
      </c>
      <c r="C79" s="184">
        <f ca="1">+RESUMEN!K46</f>
        <v>0</v>
      </c>
      <c r="D79" s="185">
        <f t="shared" ca="1" si="106"/>
        <v>0</v>
      </c>
      <c r="E79" s="188">
        <f ca="1">+RESUMEN!T28</f>
        <v>0</v>
      </c>
      <c r="F79" s="184">
        <f ca="1">RESUMEN!P28</f>
        <v>0</v>
      </c>
      <c r="G79" s="185">
        <f t="shared" ca="1" si="90"/>
        <v>0</v>
      </c>
      <c r="H79" s="176"/>
      <c r="I79" s="176"/>
      <c r="J79" s="175">
        <v>76</v>
      </c>
      <c r="K79" s="67">
        <v>231365.8</v>
      </c>
      <c r="L79" s="67">
        <v>182880.72</v>
      </c>
      <c r="M79" s="67">
        <v>205373.25</v>
      </c>
      <c r="N79" s="67">
        <v>162335.17000000001</v>
      </c>
      <c r="O79" s="67">
        <v>181840.9</v>
      </c>
      <c r="P79" s="67">
        <v>143734.26</v>
      </c>
      <c r="Q79" s="147">
        <f t="shared" si="91"/>
        <v>0</v>
      </c>
      <c r="R79" s="147">
        <f t="shared" si="92"/>
        <v>0</v>
      </c>
      <c r="S79" s="147">
        <f t="shared" si="93"/>
        <v>0</v>
      </c>
      <c r="T79" s="147">
        <f t="shared" si="94"/>
        <v>0</v>
      </c>
      <c r="U79" s="147">
        <f t="shared" si="95"/>
        <v>0</v>
      </c>
      <c r="V79" s="147">
        <f t="shared" si="96"/>
        <v>0</v>
      </c>
      <c r="W79" s="103"/>
      <c r="X79" s="148"/>
      <c r="Y79" s="148"/>
      <c r="Z79" s="147">
        <f t="shared" si="107"/>
        <v>0</v>
      </c>
      <c r="AA79" s="147">
        <f t="shared" si="108"/>
        <v>0</v>
      </c>
      <c r="AB79" s="147">
        <f t="shared" si="109"/>
        <v>0</v>
      </c>
      <c r="AC79" s="147">
        <f t="shared" si="110"/>
        <v>0</v>
      </c>
      <c r="AD79" s="149"/>
      <c r="AE79" s="149"/>
      <c r="AF79" s="147">
        <f t="shared" si="111"/>
        <v>0</v>
      </c>
      <c r="AG79" s="147">
        <f t="shared" si="112"/>
        <v>0</v>
      </c>
      <c r="AH79" s="147">
        <f t="shared" si="113"/>
        <v>0</v>
      </c>
      <c r="AI79" s="147">
        <f t="shared" si="114"/>
        <v>0</v>
      </c>
      <c r="AJ79" s="148"/>
      <c r="AK79" s="150"/>
      <c r="AL79" s="147">
        <f t="shared" si="115"/>
        <v>0</v>
      </c>
      <c r="AM79" s="147">
        <f t="shared" si="116"/>
        <v>0</v>
      </c>
      <c r="AN79" s="147">
        <f t="shared" si="117"/>
        <v>0</v>
      </c>
      <c r="AO79" s="147">
        <f t="shared" si="118"/>
        <v>0</v>
      </c>
      <c r="AP79" s="103"/>
      <c r="AQ79" s="151">
        <v>76</v>
      </c>
      <c r="AR79" s="152">
        <f ca="1">+RESUMEN!F79</f>
        <v>0</v>
      </c>
      <c r="AS79" s="152">
        <f ca="1">+RESUMEN!G79</f>
        <v>0</v>
      </c>
      <c r="AT79" s="153">
        <f t="shared" ca="1" si="97"/>
        <v>0</v>
      </c>
      <c r="AU79" s="154">
        <f t="shared" si="119"/>
        <v>0</v>
      </c>
      <c r="AV79" s="154">
        <f t="shared" si="120"/>
        <v>0</v>
      </c>
      <c r="AW79" s="154">
        <f t="shared" ca="1" si="121"/>
        <v>0</v>
      </c>
      <c r="AX79" s="153"/>
      <c r="AY79" s="154">
        <f t="shared" ca="1" si="98"/>
        <v>0</v>
      </c>
      <c r="AZ79" s="154">
        <f t="shared" ca="1" si="99"/>
        <v>0</v>
      </c>
      <c r="BA79" s="155"/>
      <c r="BB79" s="156">
        <f t="shared" ca="1" si="122"/>
        <v>0</v>
      </c>
      <c r="BC79" s="156">
        <f t="shared" ca="1" si="84"/>
        <v>0</v>
      </c>
      <c r="BD79" s="157" t="str">
        <f t="shared" ca="1" si="100"/>
        <v/>
      </c>
      <c r="BE79" s="103"/>
      <c r="BF79" s="106">
        <f t="shared" ca="1" si="123"/>
        <v>0</v>
      </c>
      <c r="BG79" s="106">
        <f t="shared" ca="1" si="124"/>
        <v>0</v>
      </c>
      <c r="BH79" s="155"/>
      <c r="BI79" s="158">
        <f t="shared" ca="1" si="125"/>
        <v>0</v>
      </c>
      <c r="BJ79" s="158">
        <f t="shared" ca="1" si="85"/>
        <v>0</v>
      </c>
      <c r="BK79" s="159" t="str">
        <f t="shared" ca="1" si="101"/>
        <v/>
      </c>
      <c r="BL79" s="103"/>
      <c r="BM79" s="160">
        <f t="shared" ca="1" si="126"/>
        <v>0</v>
      </c>
      <c r="BN79" s="160">
        <f t="shared" ca="1" si="127"/>
        <v>0</v>
      </c>
      <c r="BO79" s="155"/>
      <c r="BP79" s="161">
        <f t="shared" ca="1" si="128"/>
        <v>0</v>
      </c>
      <c r="BQ79" s="161">
        <f t="shared" ca="1" si="86"/>
        <v>0</v>
      </c>
      <c r="BR79" s="162" t="str">
        <f t="shared" ca="1" si="102"/>
        <v/>
      </c>
      <c r="BS79" s="103"/>
      <c r="BT79" s="163">
        <f t="shared" ca="1" si="129"/>
        <v>0</v>
      </c>
      <c r="BU79" s="163">
        <f t="shared" ca="1" si="130"/>
        <v>0</v>
      </c>
      <c r="BV79" s="155"/>
      <c r="BW79" s="164">
        <f t="shared" ca="1" si="131"/>
        <v>0</v>
      </c>
      <c r="BX79" s="164">
        <f t="shared" ca="1" si="87"/>
        <v>0</v>
      </c>
      <c r="BY79" s="165" t="str">
        <f t="shared" ca="1" si="103"/>
        <v/>
      </c>
      <c r="BZ79" s="103"/>
      <c r="CA79" s="166">
        <f t="shared" ca="1" si="132"/>
        <v>0</v>
      </c>
      <c r="CB79" s="166">
        <f t="shared" ca="1" si="133"/>
        <v>0</v>
      </c>
      <c r="CC79" s="155"/>
      <c r="CD79" s="167">
        <f t="shared" ca="1" si="134"/>
        <v>0</v>
      </c>
      <c r="CE79" s="167">
        <f t="shared" ca="1" si="88"/>
        <v>0</v>
      </c>
      <c r="CF79" s="168" t="str">
        <f t="shared" ca="1" si="104"/>
        <v/>
      </c>
      <c r="CG79" s="103"/>
      <c r="CH79" s="169">
        <f t="shared" ca="1" si="135"/>
        <v>0</v>
      </c>
      <c r="CI79" s="169">
        <f t="shared" ca="1" si="136"/>
        <v>0</v>
      </c>
      <c r="CJ79" s="155"/>
      <c r="CK79" s="170">
        <f t="shared" ca="1" si="137"/>
        <v>0</v>
      </c>
      <c r="CL79" s="170">
        <f t="shared" ca="1" si="89"/>
        <v>0</v>
      </c>
      <c r="CM79" s="171" t="str">
        <f t="shared" ca="1" si="105"/>
        <v/>
      </c>
      <c r="CN79" s="103"/>
      <c r="CO79" s="151">
        <v>76</v>
      </c>
      <c r="CP79" s="403">
        <v>0.12</v>
      </c>
      <c r="CQ79" s="103">
        <f t="shared" si="138"/>
        <v>0</v>
      </c>
      <c r="CR79" s="409">
        <f t="shared" si="139"/>
        <v>0.12</v>
      </c>
      <c r="CS79" s="103">
        <f t="shared" si="140"/>
        <v>1</v>
      </c>
      <c r="CT79" s="103"/>
    </row>
    <row r="80" spans="1:98">
      <c r="A80" s="189">
        <v>44</v>
      </c>
      <c r="B80" s="184">
        <f ca="1">RESUMEN!J47</f>
        <v>0</v>
      </c>
      <c r="C80" s="184">
        <f ca="1">+RESUMEN!K47</f>
        <v>0</v>
      </c>
      <c r="D80" s="185">
        <f t="shared" ca="1" si="106"/>
        <v>0</v>
      </c>
      <c r="E80" s="188">
        <f ca="1">+RESUMEN!T29</f>
        <v>0</v>
      </c>
      <c r="F80" s="184">
        <f ca="1">RESUMEN!P29</f>
        <v>0</v>
      </c>
      <c r="G80" s="185">
        <f t="shared" ca="1" si="90"/>
        <v>0</v>
      </c>
      <c r="H80" s="176"/>
      <c r="I80" s="176"/>
      <c r="J80" s="175">
        <v>77</v>
      </c>
      <c r="K80" s="67">
        <v>242546.17</v>
      </c>
      <c r="L80" s="67">
        <v>187933.38</v>
      </c>
      <c r="M80" s="67">
        <v>215297.57</v>
      </c>
      <c r="N80" s="67">
        <v>166820.20000000001</v>
      </c>
      <c r="O80" s="67">
        <v>190628.06</v>
      </c>
      <c r="P80" s="67">
        <v>147705.38</v>
      </c>
      <c r="Q80" s="147">
        <f t="shared" si="91"/>
        <v>0</v>
      </c>
      <c r="R80" s="147">
        <f t="shared" si="92"/>
        <v>0</v>
      </c>
      <c r="S80" s="147">
        <f t="shared" si="93"/>
        <v>0</v>
      </c>
      <c r="T80" s="147">
        <f t="shared" si="94"/>
        <v>0</v>
      </c>
      <c r="U80" s="147">
        <f t="shared" si="95"/>
        <v>0</v>
      </c>
      <c r="V80" s="147">
        <f t="shared" si="96"/>
        <v>0</v>
      </c>
      <c r="W80" s="103"/>
      <c r="X80" s="148"/>
      <c r="Y80" s="148"/>
      <c r="Z80" s="147">
        <f t="shared" si="107"/>
        <v>0</v>
      </c>
      <c r="AA80" s="147">
        <f t="shared" si="108"/>
        <v>0</v>
      </c>
      <c r="AB80" s="147">
        <f t="shared" si="109"/>
        <v>0</v>
      </c>
      <c r="AC80" s="147">
        <f t="shared" si="110"/>
        <v>0</v>
      </c>
      <c r="AD80" s="149"/>
      <c r="AE80" s="149"/>
      <c r="AF80" s="147">
        <f t="shared" si="111"/>
        <v>0</v>
      </c>
      <c r="AG80" s="147">
        <f t="shared" si="112"/>
        <v>0</v>
      </c>
      <c r="AH80" s="147">
        <f t="shared" si="113"/>
        <v>0</v>
      </c>
      <c r="AI80" s="147">
        <f t="shared" si="114"/>
        <v>0</v>
      </c>
      <c r="AJ80" s="148"/>
      <c r="AK80" s="150"/>
      <c r="AL80" s="147">
        <f t="shared" si="115"/>
        <v>0</v>
      </c>
      <c r="AM80" s="147">
        <f t="shared" si="116"/>
        <v>0</v>
      </c>
      <c r="AN80" s="147">
        <f t="shared" si="117"/>
        <v>0</v>
      </c>
      <c r="AO80" s="147">
        <f t="shared" si="118"/>
        <v>0</v>
      </c>
      <c r="AP80" s="103"/>
      <c r="AQ80" s="151">
        <v>77</v>
      </c>
      <c r="AR80" s="152">
        <f ca="1">+RESUMEN!F80</f>
        <v>0</v>
      </c>
      <c r="AS80" s="152">
        <f ca="1">+RESUMEN!G80</f>
        <v>0</v>
      </c>
      <c r="AT80" s="153">
        <f t="shared" ca="1" si="97"/>
        <v>0</v>
      </c>
      <c r="AU80" s="154">
        <f t="shared" si="119"/>
        <v>0</v>
      </c>
      <c r="AV80" s="154">
        <f t="shared" si="120"/>
        <v>0</v>
      </c>
      <c r="AW80" s="154">
        <f t="shared" ca="1" si="121"/>
        <v>0</v>
      </c>
      <c r="AX80" s="153"/>
      <c r="AY80" s="154">
        <f t="shared" ca="1" si="98"/>
        <v>0</v>
      </c>
      <c r="AZ80" s="154">
        <f t="shared" ca="1" si="99"/>
        <v>0</v>
      </c>
      <c r="BA80" s="155"/>
      <c r="BB80" s="156">
        <f t="shared" ca="1" si="122"/>
        <v>0</v>
      </c>
      <c r="BC80" s="156">
        <f t="shared" ca="1" si="84"/>
        <v>0</v>
      </c>
      <c r="BD80" s="157" t="str">
        <f t="shared" ca="1" si="100"/>
        <v/>
      </c>
      <c r="BE80" s="103"/>
      <c r="BF80" s="106">
        <f t="shared" ca="1" si="123"/>
        <v>0</v>
      </c>
      <c r="BG80" s="106">
        <f t="shared" ca="1" si="124"/>
        <v>0</v>
      </c>
      <c r="BH80" s="155"/>
      <c r="BI80" s="158">
        <f t="shared" ca="1" si="125"/>
        <v>0</v>
      </c>
      <c r="BJ80" s="158">
        <f t="shared" ca="1" si="85"/>
        <v>0</v>
      </c>
      <c r="BK80" s="159" t="str">
        <f t="shared" ca="1" si="101"/>
        <v/>
      </c>
      <c r="BL80" s="103"/>
      <c r="BM80" s="160">
        <f t="shared" ca="1" si="126"/>
        <v>0</v>
      </c>
      <c r="BN80" s="160">
        <f t="shared" ca="1" si="127"/>
        <v>0</v>
      </c>
      <c r="BO80" s="155"/>
      <c r="BP80" s="161">
        <f t="shared" ca="1" si="128"/>
        <v>0</v>
      </c>
      <c r="BQ80" s="161">
        <f t="shared" ca="1" si="86"/>
        <v>0</v>
      </c>
      <c r="BR80" s="162" t="str">
        <f t="shared" ca="1" si="102"/>
        <v/>
      </c>
      <c r="BS80" s="103"/>
      <c r="BT80" s="163">
        <f t="shared" ca="1" si="129"/>
        <v>0</v>
      </c>
      <c r="BU80" s="163">
        <f t="shared" ca="1" si="130"/>
        <v>0</v>
      </c>
      <c r="BV80" s="155"/>
      <c r="BW80" s="164">
        <f t="shared" ca="1" si="131"/>
        <v>0</v>
      </c>
      <c r="BX80" s="164">
        <f t="shared" ca="1" si="87"/>
        <v>0</v>
      </c>
      <c r="BY80" s="165" t="str">
        <f t="shared" ca="1" si="103"/>
        <v/>
      </c>
      <c r="BZ80" s="103"/>
      <c r="CA80" s="166">
        <f t="shared" ca="1" si="132"/>
        <v>0</v>
      </c>
      <c r="CB80" s="166">
        <f t="shared" ca="1" si="133"/>
        <v>0</v>
      </c>
      <c r="CC80" s="155"/>
      <c r="CD80" s="167">
        <f t="shared" ca="1" si="134"/>
        <v>0</v>
      </c>
      <c r="CE80" s="167">
        <f t="shared" ca="1" si="88"/>
        <v>0</v>
      </c>
      <c r="CF80" s="168" t="str">
        <f t="shared" ca="1" si="104"/>
        <v/>
      </c>
      <c r="CG80" s="103"/>
      <c r="CH80" s="169">
        <f t="shared" ca="1" si="135"/>
        <v>0</v>
      </c>
      <c r="CI80" s="169">
        <f t="shared" ca="1" si="136"/>
        <v>0</v>
      </c>
      <c r="CJ80" s="155"/>
      <c r="CK80" s="170">
        <f t="shared" ca="1" si="137"/>
        <v>0</v>
      </c>
      <c r="CL80" s="170">
        <f t="shared" ca="1" si="89"/>
        <v>0</v>
      </c>
      <c r="CM80" s="171" t="str">
        <f t="shared" ca="1" si="105"/>
        <v/>
      </c>
      <c r="CN80" s="103"/>
      <c r="CO80" s="151">
        <v>77</v>
      </c>
      <c r="CP80" s="403">
        <v>0.12</v>
      </c>
      <c r="CQ80" s="103">
        <f t="shared" si="138"/>
        <v>0</v>
      </c>
      <c r="CR80" s="409">
        <f t="shared" si="139"/>
        <v>0.12</v>
      </c>
      <c r="CS80" s="103">
        <f t="shared" si="140"/>
        <v>1</v>
      </c>
      <c r="CT80" s="103"/>
    </row>
    <row r="81" spans="1:98" ht="16" thickBot="1">
      <c r="A81" s="189">
        <v>45</v>
      </c>
      <c r="B81" s="184">
        <f ca="1">RESUMEN!J48</f>
        <v>0</v>
      </c>
      <c r="C81" s="184">
        <f ca="1">+RESUMEN!K48</f>
        <v>0</v>
      </c>
      <c r="D81" s="185">
        <f t="shared" ca="1" si="106"/>
        <v>0</v>
      </c>
      <c r="E81" s="190">
        <f ca="1">SUM(E54:E80)</f>
        <v>0</v>
      </c>
      <c r="F81" s="190">
        <f ca="1">SUM(F54:F80)</f>
        <v>0</v>
      </c>
      <c r="G81" s="191">
        <f ca="1">SUM(G54:G80)</f>
        <v>0</v>
      </c>
      <c r="H81" s="176"/>
      <c r="I81" s="176"/>
      <c r="J81" s="175">
        <v>78</v>
      </c>
      <c r="K81" s="67">
        <v>253768.73</v>
      </c>
      <c r="L81" s="67">
        <v>197779.24</v>
      </c>
      <c r="M81" s="67">
        <v>225259.35</v>
      </c>
      <c r="N81" s="67">
        <v>175559.93</v>
      </c>
      <c r="O81" s="67">
        <v>199448.37</v>
      </c>
      <c r="P81" s="67">
        <v>155443.70000000001</v>
      </c>
      <c r="Q81" s="147">
        <f t="shared" si="91"/>
        <v>0</v>
      </c>
      <c r="R81" s="147">
        <f t="shared" si="92"/>
        <v>0</v>
      </c>
      <c r="S81" s="147">
        <f t="shared" si="93"/>
        <v>0</v>
      </c>
      <c r="T81" s="147">
        <f t="shared" si="94"/>
        <v>0</v>
      </c>
      <c r="U81" s="147">
        <f t="shared" si="95"/>
        <v>0</v>
      </c>
      <c r="V81" s="147">
        <f t="shared" si="96"/>
        <v>0</v>
      </c>
      <c r="W81" s="103"/>
      <c r="X81" s="148"/>
      <c r="Y81" s="148"/>
      <c r="Z81" s="147">
        <f t="shared" si="107"/>
        <v>0</v>
      </c>
      <c r="AA81" s="147">
        <f t="shared" si="108"/>
        <v>0</v>
      </c>
      <c r="AB81" s="147">
        <f t="shared" si="109"/>
        <v>0</v>
      </c>
      <c r="AC81" s="147">
        <f t="shared" si="110"/>
        <v>0</v>
      </c>
      <c r="AD81" s="149"/>
      <c r="AE81" s="149"/>
      <c r="AF81" s="147">
        <f t="shared" si="111"/>
        <v>0</v>
      </c>
      <c r="AG81" s="147">
        <f t="shared" si="112"/>
        <v>0</v>
      </c>
      <c r="AH81" s="147">
        <f t="shared" si="113"/>
        <v>0</v>
      </c>
      <c r="AI81" s="147">
        <f t="shared" si="114"/>
        <v>0</v>
      </c>
      <c r="AJ81" s="148"/>
      <c r="AK81" s="150"/>
      <c r="AL81" s="147">
        <f t="shared" si="115"/>
        <v>0</v>
      </c>
      <c r="AM81" s="147">
        <f t="shared" si="116"/>
        <v>0</v>
      </c>
      <c r="AN81" s="147">
        <f t="shared" si="117"/>
        <v>0</v>
      </c>
      <c r="AO81" s="147">
        <f t="shared" si="118"/>
        <v>0</v>
      </c>
      <c r="AP81" s="103"/>
      <c r="AQ81" s="151">
        <v>78</v>
      </c>
      <c r="AR81" s="152">
        <f ca="1">+RESUMEN!F81</f>
        <v>0</v>
      </c>
      <c r="AS81" s="152">
        <f ca="1">+RESUMEN!G81</f>
        <v>0</v>
      </c>
      <c r="AT81" s="153">
        <f t="shared" ca="1" si="97"/>
        <v>0</v>
      </c>
      <c r="AU81" s="154">
        <f t="shared" si="119"/>
        <v>0</v>
      </c>
      <c r="AV81" s="154">
        <f t="shared" si="120"/>
        <v>0</v>
      </c>
      <c r="AW81" s="154">
        <f t="shared" ca="1" si="121"/>
        <v>0</v>
      </c>
      <c r="AX81" s="153"/>
      <c r="AY81" s="154">
        <f t="shared" ca="1" si="98"/>
        <v>0</v>
      </c>
      <c r="AZ81" s="154">
        <f t="shared" ca="1" si="99"/>
        <v>0</v>
      </c>
      <c r="BA81" s="155"/>
      <c r="BB81" s="156">
        <f t="shared" ca="1" si="122"/>
        <v>0</v>
      </c>
      <c r="BC81" s="156">
        <f t="shared" ca="1" si="84"/>
        <v>0</v>
      </c>
      <c r="BD81" s="157" t="str">
        <f t="shared" ca="1" si="100"/>
        <v/>
      </c>
      <c r="BE81" s="103"/>
      <c r="BF81" s="106">
        <f t="shared" ca="1" si="123"/>
        <v>0</v>
      </c>
      <c r="BG81" s="106">
        <f t="shared" ca="1" si="124"/>
        <v>0</v>
      </c>
      <c r="BH81" s="155"/>
      <c r="BI81" s="158">
        <f t="shared" ca="1" si="125"/>
        <v>0</v>
      </c>
      <c r="BJ81" s="158">
        <f t="shared" ca="1" si="85"/>
        <v>0</v>
      </c>
      <c r="BK81" s="159" t="str">
        <f t="shared" ca="1" si="101"/>
        <v/>
      </c>
      <c r="BL81" s="103"/>
      <c r="BM81" s="160">
        <f t="shared" ca="1" si="126"/>
        <v>0</v>
      </c>
      <c r="BN81" s="160">
        <f t="shared" ca="1" si="127"/>
        <v>0</v>
      </c>
      <c r="BO81" s="155"/>
      <c r="BP81" s="161">
        <f t="shared" ca="1" si="128"/>
        <v>0</v>
      </c>
      <c r="BQ81" s="161">
        <f t="shared" ca="1" si="86"/>
        <v>0</v>
      </c>
      <c r="BR81" s="162" t="str">
        <f t="shared" ca="1" si="102"/>
        <v/>
      </c>
      <c r="BS81" s="103"/>
      <c r="BT81" s="163">
        <f t="shared" ca="1" si="129"/>
        <v>0</v>
      </c>
      <c r="BU81" s="163">
        <f t="shared" ca="1" si="130"/>
        <v>0</v>
      </c>
      <c r="BV81" s="155"/>
      <c r="BW81" s="164">
        <f t="shared" ca="1" si="131"/>
        <v>0</v>
      </c>
      <c r="BX81" s="164">
        <f t="shared" ca="1" si="87"/>
        <v>0</v>
      </c>
      <c r="BY81" s="165" t="str">
        <f t="shared" ca="1" si="103"/>
        <v/>
      </c>
      <c r="BZ81" s="103"/>
      <c r="CA81" s="166">
        <f t="shared" ca="1" si="132"/>
        <v>0</v>
      </c>
      <c r="CB81" s="166">
        <f t="shared" ca="1" si="133"/>
        <v>0</v>
      </c>
      <c r="CC81" s="155"/>
      <c r="CD81" s="167">
        <f t="shared" ca="1" si="134"/>
        <v>0</v>
      </c>
      <c r="CE81" s="167">
        <f t="shared" ca="1" si="88"/>
        <v>0</v>
      </c>
      <c r="CF81" s="168" t="str">
        <f t="shared" ca="1" si="104"/>
        <v/>
      </c>
      <c r="CG81" s="103"/>
      <c r="CH81" s="169">
        <f t="shared" ca="1" si="135"/>
        <v>0</v>
      </c>
      <c r="CI81" s="169">
        <f t="shared" ca="1" si="136"/>
        <v>0</v>
      </c>
      <c r="CJ81" s="155"/>
      <c r="CK81" s="170">
        <f t="shared" ca="1" si="137"/>
        <v>0</v>
      </c>
      <c r="CL81" s="170">
        <f t="shared" ca="1" si="89"/>
        <v>0</v>
      </c>
      <c r="CM81" s="171" t="str">
        <f t="shared" ca="1" si="105"/>
        <v/>
      </c>
      <c r="CN81" s="103"/>
      <c r="CO81" s="151">
        <v>78</v>
      </c>
      <c r="CP81" s="403">
        <v>0.12</v>
      </c>
      <c r="CQ81" s="103">
        <f t="shared" si="138"/>
        <v>0</v>
      </c>
      <c r="CR81" s="409">
        <f t="shared" si="139"/>
        <v>0.12</v>
      </c>
      <c r="CS81" s="103">
        <f t="shared" si="140"/>
        <v>1</v>
      </c>
      <c r="CT81" s="103"/>
    </row>
    <row r="82" spans="1:98">
      <c r="A82" s="189">
        <v>46</v>
      </c>
      <c r="B82" s="184">
        <f ca="1">RESUMEN!J49</f>
        <v>0</v>
      </c>
      <c r="C82" s="184">
        <f ca="1">+RESUMEN!K49</f>
        <v>0</v>
      </c>
      <c r="D82" s="185">
        <f t="shared" ca="1" si="106"/>
        <v>0</v>
      </c>
      <c r="E82" s="102"/>
      <c r="F82" s="102"/>
      <c r="G82" s="102"/>
      <c r="H82" s="176"/>
      <c r="I82" s="176"/>
      <c r="J82" s="175">
        <v>79</v>
      </c>
      <c r="K82" s="67">
        <v>264973.28000000003</v>
      </c>
      <c r="L82" s="67">
        <v>203074.27</v>
      </c>
      <c r="M82" s="67">
        <v>235205.13</v>
      </c>
      <c r="N82" s="67">
        <v>180260.1</v>
      </c>
      <c r="O82" s="67">
        <v>208254.54</v>
      </c>
      <c r="P82" s="67">
        <v>159605.29999999999</v>
      </c>
      <c r="Q82" s="147">
        <f t="shared" si="91"/>
        <v>0</v>
      </c>
      <c r="R82" s="147">
        <f t="shared" si="92"/>
        <v>0</v>
      </c>
      <c r="S82" s="147">
        <f t="shared" si="93"/>
        <v>0</v>
      </c>
      <c r="T82" s="147">
        <f t="shared" si="94"/>
        <v>0</v>
      </c>
      <c r="U82" s="147">
        <f t="shared" si="95"/>
        <v>0</v>
      </c>
      <c r="V82" s="147">
        <f t="shared" si="96"/>
        <v>0</v>
      </c>
      <c r="W82" s="103"/>
      <c r="X82" s="148"/>
      <c r="Y82" s="148"/>
      <c r="Z82" s="147">
        <f t="shared" si="107"/>
        <v>0</v>
      </c>
      <c r="AA82" s="147">
        <f t="shared" si="108"/>
        <v>0</v>
      </c>
      <c r="AB82" s="147">
        <f t="shared" si="109"/>
        <v>0</v>
      </c>
      <c r="AC82" s="147">
        <f t="shared" si="110"/>
        <v>0</v>
      </c>
      <c r="AD82" s="149"/>
      <c r="AE82" s="149"/>
      <c r="AF82" s="147">
        <f t="shared" si="111"/>
        <v>0</v>
      </c>
      <c r="AG82" s="147">
        <f t="shared" si="112"/>
        <v>0</v>
      </c>
      <c r="AH82" s="147">
        <f t="shared" si="113"/>
        <v>0</v>
      </c>
      <c r="AI82" s="147">
        <f t="shared" si="114"/>
        <v>0</v>
      </c>
      <c r="AJ82" s="148"/>
      <c r="AK82" s="150"/>
      <c r="AL82" s="147">
        <f t="shared" si="115"/>
        <v>0</v>
      </c>
      <c r="AM82" s="147">
        <f t="shared" si="116"/>
        <v>0</v>
      </c>
      <c r="AN82" s="147">
        <f t="shared" si="117"/>
        <v>0</v>
      </c>
      <c r="AO82" s="147">
        <f t="shared" si="118"/>
        <v>0</v>
      </c>
      <c r="AP82" s="103"/>
      <c r="AQ82" s="151">
        <v>79</v>
      </c>
      <c r="AR82" s="152">
        <f ca="1">+RESUMEN!F82</f>
        <v>0</v>
      </c>
      <c r="AS82" s="152">
        <f ca="1">+RESUMEN!G82</f>
        <v>0</v>
      </c>
      <c r="AT82" s="153">
        <f t="shared" ca="1" si="97"/>
        <v>0</v>
      </c>
      <c r="AU82" s="154">
        <f t="shared" si="119"/>
        <v>0</v>
      </c>
      <c r="AV82" s="154">
        <f t="shared" si="120"/>
        <v>0</v>
      </c>
      <c r="AW82" s="154">
        <f t="shared" ca="1" si="121"/>
        <v>0</v>
      </c>
      <c r="AX82" s="153"/>
      <c r="AY82" s="154">
        <f t="shared" ca="1" si="98"/>
        <v>0</v>
      </c>
      <c r="AZ82" s="154">
        <f t="shared" ca="1" si="99"/>
        <v>0</v>
      </c>
      <c r="BA82" s="155"/>
      <c r="BB82" s="156">
        <f t="shared" ca="1" si="122"/>
        <v>0</v>
      </c>
      <c r="BC82" s="156">
        <f t="shared" ca="1" si="84"/>
        <v>0</v>
      </c>
      <c r="BD82" s="157" t="str">
        <f t="shared" ca="1" si="100"/>
        <v/>
      </c>
      <c r="BE82" s="103"/>
      <c r="BF82" s="106">
        <f t="shared" ca="1" si="123"/>
        <v>0</v>
      </c>
      <c r="BG82" s="106">
        <f t="shared" ca="1" si="124"/>
        <v>0</v>
      </c>
      <c r="BH82" s="155"/>
      <c r="BI82" s="158">
        <f t="shared" ca="1" si="125"/>
        <v>0</v>
      </c>
      <c r="BJ82" s="158">
        <f t="shared" ca="1" si="85"/>
        <v>0</v>
      </c>
      <c r="BK82" s="159" t="str">
        <f t="shared" ca="1" si="101"/>
        <v/>
      </c>
      <c r="BL82" s="103"/>
      <c r="BM82" s="160">
        <f t="shared" ca="1" si="126"/>
        <v>0</v>
      </c>
      <c r="BN82" s="160">
        <f t="shared" ca="1" si="127"/>
        <v>0</v>
      </c>
      <c r="BO82" s="155"/>
      <c r="BP82" s="161">
        <f t="shared" ca="1" si="128"/>
        <v>0</v>
      </c>
      <c r="BQ82" s="161">
        <f t="shared" ca="1" si="86"/>
        <v>0</v>
      </c>
      <c r="BR82" s="162" t="str">
        <f t="shared" ca="1" si="102"/>
        <v/>
      </c>
      <c r="BS82" s="103"/>
      <c r="BT82" s="163">
        <f t="shared" ca="1" si="129"/>
        <v>0</v>
      </c>
      <c r="BU82" s="163">
        <f t="shared" ca="1" si="130"/>
        <v>0</v>
      </c>
      <c r="BV82" s="155"/>
      <c r="BW82" s="164">
        <f t="shared" ca="1" si="131"/>
        <v>0</v>
      </c>
      <c r="BX82" s="164">
        <f t="shared" ca="1" si="87"/>
        <v>0</v>
      </c>
      <c r="BY82" s="165" t="str">
        <f t="shared" ca="1" si="103"/>
        <v/>
      </c>
      <c r="BZ82" s="103"/>
      <c r="CA82" s="166">
        <f t="shared" ca="1" si="132"/>
        <v>0</v>
      </c>
      <c r="CB82" s="166">
        <f t="shared" ca="1" si="133"/>
        <v>0</v>
      </c>
      <c r="CC82" s="155"/>
      <c r="CD82" s="167">
        <f t="shared" ca="1" si="134"/>
        <v>0</v>
      </c>
      <c r="CE82" s="167">
        <f t="shared" ca="1" si="88"/>
        <v>0</v>
      </c>
      <c r="CF82" s="168" t="str">
        <f t="shared" ca="1" si="104"/>
        <v/>
      </c>
      <c r="CG82" s="103"/>
      <c r="CH82" s="169">
        <f t="shared" ca="1" si="135"/>
        <v>0</v>
      </c>
      <c r="CI82" s="169">
        <f t="shared" ca="1" si="136"/>
        <v>0</v>
      </c>
      <c r="CJ82" s="155"/>
      <c r="CK82" s="170">
        <f t="shared" ca="1" si="137"/>
        <v>0</v>
      </c>
      <c r="CL82" s="170">
        <f t="shared" ca="1" si="89"/>
        <v>0</v>
      </c>
      <c r="CM82" s="171" t="str">
        <f t="shared" ca="1" si="105"/>
        <v/>
      </c>
      <c r="CN82" s="103"/>
      <c r="CO82" s="151">
        <v>79</v>
      </c>
      <c r="CP82" s="403">
        <v>0.12</v>
      </c>
      <c r="CQ82" s="103">
        <f t="shared" si="138"/>
        <v>0</v>
      </c>
      <c r="CR82" s="409">
        <f t="shared" si="139"/>
        <v>0.12</v>
      </c>
      <c r="CS82" s="103">
        <f t="shared" si="140"/>
        <v>1</v>
      </c>
      <c r="CT82" s="103"/>
    </row>
    <row r="83" spans="1:98">
      <c r="A83" s="189">
        <v>47</v>
      </c>
      <c r="B83" s="184">
        <f ca="1">RESUMEN!J50</f>
        <v>0</v>
      </c>
      <c r="C83" s="184">
        <f ca="1">+RESUMEN!K50</f>
        <v>0</v>
      </c>
      <c r="D83" s="185">
        <f t="shared" ca="1" si="106"/>
        <v>0</v>
      </c>
      <c r="E83" s="102"/>
      <c r="F83" s="102"/>
      <c r="G83" s="102"/>
      <c r="H83" s="176"/>
      <c r="I83" s="176"/>
      <c r="J83" s="175">
        <v>80</v>
      </c>
      <c r="K83" s="67">
        <v>276964.07</v>
      </c>
      <c r="L83" s="67">
        <v>207850.72</v>
      </c>
      <c r="M83" s="67">
        <v>245848.82</v>
      </c>
      <c r="N83" s="67">
        <v>184499.95</v>
      </c>
      <c r="O83" s="67">
        <v>217678.65</v>
      </c>
      <c r="P83" s="67">
        <v>163359.32999999999</v>
      </c>
      <c r="Q83" s="147">
        <f t="shared" si="91"/>
        <v>0</v>
      </c>
      <c r="R83" s="147">
        <f t="shared" si="92"/>
        <v>0</v>
      </c>
      <c r="S83" s="147">
        <f t="shared" si="93"/>
        <v>0</v>
      </c>
      <c r="T83" s="147">
        <f t="shared" si="94"/>
        <v>0</v>
      </c>
      <c r="U83" s="147">
        <f t="shared" si="95"/>
        <v>0</v>
      </c>
      <c r="V83" s="147">
        <f t="shared" si="96"/>
        <v>0</v>
      </c>
      <c r="W83" s="103"/>
      <c r="X83" s="148"/>
      <c r="Y83" s="148"/>
      <c r="Z83" s="147">
        <f t="shared" si="107"/>
        <v>0</v>
      </c>
      <c r="AA83" s="147">
        <f t="shared" si="108"/>
        <v>0</v>
      </c>
      <c r="AB83" s="147">
        <f t="shared" si="109"/>
        <v>0</v>
      </c>
      <c r="AC83" s="147">
        <f t="shared" si="110"/>
        <v>0</v>
      </c>
      <c r="AD83" s="149"/>
      <c r="AE83" s="149"/>
      <c r="AF83" s="147">
        <f t="shared" si="111"/>
        <v>0</v>
      </c>
      <c r="AG83" s="147">
        <f t="shared" si="112"/>
        <v>0</v>
      </c>
      <c r="AH83" s="147">
        <f t="shared" si="113"/>
        <v>0</v>
      </c>
      <c r="AI83" s="147">
        <f t="shared" si="114"/>
        <v>0</v>
      </c>
      <c r="AJ83" s="148"/>
      <c r="AK83" s="150"/>
      <c r="AL83" s="147">
        <f t="shared" si="115"/>
        <v>0</v>
      </c>
      <c r="AM83" s="147">
        <f t="shared" si="116"/>
        <v>0</v>
      </c>
      <c r="AN83" s="147">
        <f t="shared" si="117"/>
        <v>0</v>
      </c>
      <c r="AO83" s="147">
        <f t="shared" si="118"/>
        <v>0</v>
      </c>
      <c r="AP83" s="103"/>
      <c r="AQ83" s="151">
        <v>80</v>
      </c>
      <c r="AR83" s="152">
        <f ca="1">+RESUMEN!F83</f>
        <v>0</v>
      </c>
      <c r="AS83" s="152">
        <f ca="1">+RESUMEN!G83</f>
        <v>0</v>
      </c>
      <c r="AT83" s="153">
        <f t="shared" ca="1" si="97"/>
        <v>0</v>
      </c>
      <c r="AU83" s="154">
        <f t="shared" si="119"/>
        <v>0</v>
      </c>
      <c r="AV83" s="154">
        <f t="shared" si="120"/>
        <v>0</v>
      </c>
      <c r="AW83" s="154">
        <f t="shared" ca="1" si="121"/>
        <v>0</v>
      </c>
      <c r="AX83" s="153"/>
      <c r="AY83" s="154">
        <f t="shared" ca="1" si="98"/>
        <v>0</v>
      </c>
      <c r="AZ83" s="154">
        <f t="shared" ca="1" si="99"/>
        <v>0</v>
      </c>
      <c r="BA83" s="155"/>
      <c r="BB83" s="156">
        <f t="shared" ca="1" si="122"/>
        <v>0</v>
      </c>
      <c r="BC83" s="156">
        <f t="shared" ca="1" si="84"/>
        <v>0</v>
      </c>
      <c r="BD83" s="157" t="str">
        <f t="shared" ca="1" si="100"/>
        <v/>
      </c>
      <c r="BE83" s="103"/>
      <c r="BF83" s="106">
        <f t="shared" ca="1" si="123"/>
        <v>0</v>
      </c>
      <c r="BG83" s="106">
        <f t="shared" ca="1" si="124"/>
        <v>0</v>
      </c>
      <c r="BH83" s="155"/>
      <c r="BI83" s="158">
        <f t="shared" ca="1" si="125"/>
        <v>0</v>
      </c>
      <c r="BJ83" s="158">
        <f t="shared" ca="1" si="85"/>
        <v>0</v>
      </c>
      <c r="BK83" s="159" t="str">
        <f t="shared" ca="1" si="101"/>
        <v/>
      </c>
      <c r="BL83" s="103"/>
      <c r="BM83" s="160">
        <f t="shared" ca="1" si="126"/>
        <v>0</v>
      </c>
      <c r="BN83" s="160">
        <f t="shared" ca="1" si="127"/>
        <v>0</v>
      </c>
      <c r="BO83" s="155"/>
      <c r="BP83" s="161">
        <f t="shared" ca="1" si="128"/>
        <v>0</v>
      </c>
      <c r="BQ83" s="161">
        <f t="shared" ca="1" si="86"/>
        <v>0</v>
      </c>
      <c r="BR83" s="162" t="str">
        <f t="shared" ca="1" si="102"/>
        <v/>
      </c>
      <c r="BS83" s="103"/>
      <c r="BT83" s="163">
        <f t="shared" ca="1" si="129"/>
        <v>0</v>
      </c>
      <c r="BU83" s="163">
        <f t="shared" ca="1" si="130"/>
        <v>0</v>
      </c>
      <c r="BV83" s="155"/>
      <c r="BW83" s="164">
        <f t="shared" ca="1" si="131"/>
        <v>0</v>
      </c>
      <c r="BX83" s="164">
        <f t="shared" ca="1" si="87"/>
        <v>0</v>
      </c>
      <c r="BY83" s="165" t="str">
        <f t="shared" ca="1" si="103"/>
        <v/>
      </c>
      <c r="BZ83" s="103"/>
      <c r="CA83" s="166">
        <f t="shared" ca="1" si="132"/>
        <v>0</v>
      </c>
      <c r="CB83" s="166">
        <f t="shared" ca="1" si="133"/>
        <v>0</v>
      </c>
      <c r="CC83" s="155"/>
      <c r="CD83" s="167">
        <f t="shared" ca="1" si="134"/>
        <v>0</v>
      </c>
      <c r="CE83" s="167">
        <f t="shared" ca="1" si="88"/>
        <v>0</v>
      </c>
      <c r="CF83" s="168" t="str">
        <f t="shared" ca="1" si="104"/>
        <v/>
      </c>
      <c r="CG83" s="103"/>
      <c r="CH83" s="169">
        <f t="shared" ca="1" si="135"/>
        <v>0</v>
      </c>
      <c r="CI83" s="169">
        <f t="shared" ca="1" si="136"/>
        <v>0</v>
      </c>
      <c r="CJ83" s="155"/>
      <c r="CK83" s="170">
        <f t="shared" ca="1" si="137"/>
        <v>0</v>
      </c>
      <c r="CL83" s="170">
        <f t="shared" ca="1" si="89"/>
        <v>0</v>
      </c>
      <c r="CM83" s="171" t="str">
        <f t="shared" ca="1" si="105"/>
        <v/>
      </c>
      <c r="CN83" s="103"/>
      <c r="CO83" s="151">
        <v>80</v>
      </c>
      <c r="CP83" s="403">
        <v>0.12</v>
      </c>
      <c r="CQ83" s="103">
        <f t="shared" si="138"/>
        <v>0</v>
      </c>
      <c r="CR83" s="409">
        <f t="shared" si="139"/>
        <v>0.12</v>
      </c>
      <c r="CS83" s="103">
        <f t="shared" si="140"/>
        <v>1</v>
      </c>
      <c r="CT83" s="103"/>
    </row>
    <row r="84" spans="1:98">
      <c r="A84" s="189">
        <v>48</v>
      </c>
      <c r="B84" s="184">
        <f ca="1">RESUMEN!J51</f>
        <v>0</v>
      </c>
      <c r="C84" s="184">
        <f ca="1">+RESUMEN!K51</f>
        <v>0</v>
      </c>
      <c r="D84" s="185">
        <f t="shared" ca="1" si="106"/>
        <v>0</v>
      </c>
      <c r="E84" s="102"/>
      <c r="F84" s="102"/>
      <c r="G84" s="102"/>
      <c r="H84" s="176"/>
      <c r="I84" s="176"/>
      <c r="J84" s="175">
        <v>81</v>
      </c>
      <c r="K84" s="67">
        <v>280716.23</v>
      </c>
      <c r="L84" s="67">
        <v>214704.25</v>
      </c>
      <c r="M84" s="67">
        <v>249179.46</v>
      </c>
      <c r="N84" s="67">
        <v>190583.53</v>
      </c>
      <c r="O84" s="67">
        <v>220627.64</v>
      </c>
      <c r="P84" s="67">
        <v>168745.83</v>
      </c>
      <c r="Q84" s="147">
        <f t="shared" si="91"/>
        <v>0</v>
      </c>
      <c r="R84" s="147">
        <f t="shared" si="92"/>
        <v>0</v>
      </c>
      <c r="S84" s="147">
        <f t="shared" si="93"/>
        <v>0</v>
      </c>
      <c r="T84" s="147">
        <f t="shared" si="94"/>
        <v>0</v>
      </c>
      <c r="U84" s="147">
        <f t="shared" si="95"/>
        <v>0</v>
      </c>
      <c r="V84" s="147">
        <f t="shared" si="96"/>
        <v>0</v>
      </c>
      <c r="W84" s="103"/>
      <c r="X84" s="148"/>
      <c r="Y84" s="148"/>
      <c r="Z84" s="147">
        <f t="shared" si="107"/>
        <v>0</v>
      </c>
      <c r="AA84" s="147">
        <f t="shared" si="108"/>
        <v>0</v>
      </c>
      <c r="AB84" s="147">
        <f t="shared" si="109"/>
        <v>0</v>
      </c>
      <c r="AC84" s="147">
        <f t="shared" si="110"/>
        <v>0</v>
      </c>
      <c r="AD84" s="149"/>
      <c r="AE84" s="149"/>
      <c r="AF84" s="147">
        <f t="shared" si="111"/>
        <v>0</v>
      </c>
      <c r="AG84" s="147">
        <f t="shared" si="112"/>
        <v>0</v>
      </c>
      <c r="AH84" s="147">
        <f t="shared" si="113"/>
        <v>0</v>
      </c>
      <c r="AI84" s="147">
        <f t="shared" si="114"/>
        <v>0</v>
      </c>
      <c r="AJ84" s="148"/>
      <c r="AK84" s="150"/>
      <c r="AL84" s="147">
        <f t="shared" si="115"/>
        <v>0</v>
      </c>
      <c r="AM84" s="147">
        <f t="shared" si="116"/>
        <v>0</v>
      </c>
      <c r="AN84" s="147">
        <f t="shared" si="117"/>
        <v>0</v>
      </c>
      <c r="AO84" s="147">
        <f t="shared" si="118"/>
        <v>0</v>
      </c>
      <c r="AP84" s="103"/>
      <c r="AQ84" s="151">
        <v>81</v>
      </c>
      <c r="AR84" s="152">
        <f ca="1">+RESUMEN!F84</f>
        <v>0</v>
      </c>
      <c r="AS84" s="152">
        <f ca="1">+RESUMEN!G84</f>
        <v>0</v>
      </c>
      <c r="AT84" s="153">
        <f t="shared" ca="1" si="97"/>
        <v>0</v>
      </c>
      <c r="AU84" s="154">
        <f t="shared" si="119"/>
        <v>0</v>
      </c>
      <c r="AV84" s="154">
        <f t="shared" si="120"/>
        <v>0</v>
      </c>
      <c r="AW84" s="154">
        <f t="shared" ca="1" si="121"/>
        <v>0</v>
      </c>
      <c r="AX84" s="153"/>
      <c r="AY84" s="154">
        <f t="shared" ca="1" si="98"/>
        <v>0</v>
      </c>
      <c r="AZ84" s="154">
        <f t="shared" ca="1" si="99"/>
        <v>0</v>
      </c>
      <c r="BA84" s="155"/>
      <c r="BB84" s="156">
        <f t="shared" ca="1" si="122"/>
        <v>0</v>
      </c>
      <c r="BC84" s="156">
        <f t="shared" ca="1" si="84"/>
        <v>0</v>
      </c>
      <c r="BD84" s="157" t="str">
        <f t="shared" ca="1" si="100"/>
        <v/>
      </c>
      <c r="BE84" s="103"/>
      <c r="BF84" s="106">
        <f t="shared" ca="1" si="123"/>
        <v>0</v>
      </c>
      <c r="BG84" s="106">
        <f t="shared" ca="1" si="124"/>
        <v>0</v>
      </c>
      <c r="BH84" s="155"/>
      <c r="BI84" s="158">
        <f t="shared" ca="1" si="125"/>
        <v>0</v>
      </c>
      <c r="BJ84" s="158">
        <f t="shared" ca="1" si="85"/>
        <v>0</v>
      </c>
      <c r="BK84" s="159" t="str">
        <f t="shared" ca="1" si="101"/>
        <v/>
      </c>
      <c r="BL84" s="103"/>
      <c r="BM84" s="160">
        <f t="shared" ca="1" si="126"/>
        <v>0</v>
      </c>
      <c r="BN84" s="160">
        <f t="shared" ca="1" si="127"/>
        <v>0</v>
      </c>
      <c r="BO84" s="155"/>
      <c r="BP84" s="161">
        <f t="shared" ca="1" si="128"/>
        <v>0</v>
      </c>
      <c r="BQ84" s="161">
        <f t="shared" ca="1" si="86"/>
        <v>0</v>
      </c>
      <c r="BR84" s="162" t="str">
        <f t="shared" ca="1" si="102"/>
        <v/>
      </c>
      <c r="BS84" s="103"/>
      <c r="BT84" s="163">
        <f t="shared" ca="1" si="129"/>
        <v>0</v>
      </c>
      <c r="BU84" s="163">
        <f t="shared" ca="1" si="130"/>
        <v>0</v>
      </c>
      <c r="BV84" s="155"/>
      <c r="BW84" s="164">
        <f t="shared" ca="1" si="131"/>
        <v>0</v>
      </c>
      <c r="BX84" s="164">
        <f t="shared" ca="1" si="87"/>
        <v>0</v>
      </c>
      <c r="BY84" s="165" t="str">
        <f t="shared" ca="1" si="103"/>
        <v/>
      </c>
      <c r="BZ84" s="103"/>
      <c r="CA84" s="166">
        <f t="shared" ca="1" si="132"/>
        <v>0</v>
      </c>
      <c r="CB84" s="166">
        <f t="shared" ca="1" si="133"/>
        <v>0</v>
      </c>
      <c r="CC84" s="155"/>
      <c r="CD84" s="167">
        <f t="shared" ca="1" si="134"/>
        <v>0</v>
      </c>
      <c r="CE84" s="167">
        <f t="shared" ca="1" si="88"/>
        <v>0</v>
      </c>
      <c r="CF84" s="168" t="str">
        <f t="shared" ca="1" si="104"/>
        <v/>
      </c>
      <c r="CG84" s="103"/>
      <c r="CH84" s="169">
        <f t="shared" ca="1" si="135"/>
        <v>0</v>
      </c>
      <c r="CI84" s="169">
        <f t="shared" ca="1" si="136"/>
        <v>0</v>
      </c>
      <c r="CJ84" s="155"/>
      <c r="CK84" s="170">
        <f t="shared" ca="1" si="137"/>
        <v>0</v>
      </c>
      <c r="CL84" s="170">
        <f t="shared" ca="1" si="89"/>
        <v>0</v>
      </c>
      <c r="CM84" s="171" t="str">
        <f t="shared" ca="1" si="105"/>
        <v/>
      </c>
      <c r="CN84" s="103"/>
      <c r="CO84" s="151">
        <v>81</v>
      </c>
      <c r="CP84" s="403">
        <v>0.12</v>
      </c>
      <c r="CQ84" s="103">
        <f t="shared" si="138"/>
        <v>0</v>
      </c>
      <c r="CR84" s="409">
        <f t="shared" si="139"/>
        <v>0.12</v>
      </c>
      <c r="CS84" s="103">
        <f t="shared" si="140"/>
        <v>1</v>
      </c>
      <c r="CT84" s="103"/>
    </row>
    <row r="85" spans="1:98">
      <c r="A85" s="189">
        <v>49</v>
      </c>
      <c r="B85" s="184">
        <f ca="1">RESUMEN!J52</f>
        <v>0</v>
      </c>
      <c r="C85" s="184">
        <f ca="1">+RESUMEN!K52</f>
        <v>0</v>
      </c>
      <c r="D85" s="185">
        <f t="shared" ca="1" si="106"/>
        <v>0</v>
      </c>
      <c r="E85" s="102"/>
      <c r="F85" s="102"/>
      <c r="G85" s="102"/>
      <c r="H85" s="176"/>
      <c r="I85" s="176"/>
      <c r="J85" s="175">
        <v>82</v>
      </c>
      <c r="K85" s="67">
        <v>296390.93</v>
      </c>
      <c r="L85" s="67">
        <v>220491.71</v>
      </c>
      <c r="M85" s="67">
        <v>263093.19</v>
      </c>
      <c r="N85" s="67">
        <v>195720.8</v>
      </c>
      <c r="O85" s="67">
        <v>232947.1</v>
      </c>
      <c r="P85" s="67">
        <v>173294.46</v>
      </c>
      <c r="Q85" s="147">
        <f t="shared" si="91"/>
        <v>0</v>
      </c>
      <c r="R85" s="147">
        <f t="shared" si="92"/>
        <v>0</v>
      </c>
      <c r="S85" s="147">
        <f t="shared" si="93"/>
        <v>0</v>
      </c>
      <c r="T85" s="147">
        <f t="shared" si="94"/>
        <v>0</v>
      </c>
      <c r="U85" s="147">
        <f t="shared" si="95"/>
        <v>0</v>
      </c>
      <c r="V85" s="147">
        <f t="shared" si="96"/>
        <v>0</v>
      </c>
      <c r="W85" s="103"/>
      <c r="X85" s="148"/>
      <c r="Y85" s="148"/>
      <c r="Z85" s="147">
        <f t="shared" si="107"/>
        <v>0</v>
      </c>
      <c r="AA85" s="147">
        <f t="shared" si="108"/>
        <v>0</v>
      </c>
      <c r="AB85" s="147">
        <f t="shared" si="109"/>
        <v>0</v>
      </c>
      <c r="AC85" s="147">
        <f t="shared" si="110"/>
        <v>0</v>
      </c>
      <c r="AD85" s="149"/>
      <c r="AE85" s="149"/>
      <c r="AF85" s="147">
        <f t="shared" si="111"/>
        <v>0</v>
      </c>
      <c r="AG85" s="147">
        <f t="shared" si="112"/>
        <v>0</v>
      </c>
      <c r="AH85" s="147">
        <f t="shared" si="113"/>
        <v>0</v>
      </c>
      <c r="AI85" s="147">
        <f t="shared" si="114"/>
        <v>0</v>
      </c>
      <c r="AJ85" s="148"/>
      <c r="AK85" s="150"/>
      <c r="AL85" s="147">
        <f t="shared" si="115"/>
        <v>0</v>
      </c>
      <c r="AM85" s="147">
        <f t="shared" si="116"/>
        <v>0</v>
      </c>
      <c r="AN85" s="147">
        <f t="shared" si="117"/>
        <v>0</v>
      </c>
      <c r="AO85" s="147">
        <f t="shared" si="118"/>
        <v>0</v>
      </c>
      <c r="AP85" s="103"/>
      <c r="AQ85" s="151">
        <v>82</v>
      </c>
      <c r="AR85" s="152">
        <f ca="1">+RESUMEN!F85</f>
        <v>0</v>
      </c>
      <c r="AS85" s="152">
        <f ca="1">+RESUMEN!G85</f>
        <v>0</v>
      </c>
      <c r="AT85" s="153">
        <f t="shared" ca="1" si="97"/>
        <v>0</v>
      </c>
      <c r="AU85" s="154">
        <f t="shared" si="119"/>
        <v>0</v>
      </c>
      <c r="AV85" s="154">
        <f t="shared" si="120"/>
        <v>0</v>
      </c>
      <c r="AW85" s="154">
        <f t="shared" ca="1" si="121"/>
        <v>0</v>
      </c>
      <c r="AX85" s="153"/>
      <c r="AY85" s="154">
        <f t="shared" ca="1" si="98"/>
        <v>0</v>
      </c>
      <c r="AZ85" s="154">
        <f t="shared" ca="1" si="99"/>
        <v>0</v>
      </c>
      <c r="BA85" s="155"/>
      <c r="BB85" s="156">
        <f t="shared" ca="1" si="122"/>
        <v>0</v>
      </c>
      <c r="BC85" s="156">
        <f t="shared" ca="1" si="84"/>
        <v>0</v>
      </c>
      <c r="BD85" s="157" t="str">
        <f t="shared" ca="1" si="100"/>
        <v/>
      </c>
      <c r="BE85" s="103"/>
      <c r="BF85" s="106">
        <f t="shared" ca="1" si="123"/>
        <v>0</v>
      </c>
      <c r="BG85" s="106">
        <f t="shared" ca="1" si="124"/>
        <v>0</v>
      </c>
      <c r="BH85" s="155"/>
      <c r="BI85" s="158">
        <f t="shared" ca="1" si="125"/>
        <v>0</v>
      </c>
      <c r="BJ85" s="158">
        <f t="shared" ca="1" si="85"/>
        <v>0</v>
      </c>
      <c r="BK85" s="159" t="str">
        <f t="shared" ca="1" si="101"/>
        <v/>
      </c>
      <c r="BL85" s="103"/>
      <c r="BM85" s="160">
        <f t="shared" ca="1" si="126"/>
        <v>0</v>
      </c>
      <c r="BN85" s="160">
        <f t="shared" ca="1" si="127"/>
        <v>0</v>
      </c>
      <c r="BO85" s="155"/>
      <c r="BP85" s="161">
        <f t="shared" ca="1" si="128"/>
        <v>0</v>
      </c>
      <c r="BQ85" s="161">
        <f t="shared" ca="1" si="86"/>
        <v>0</v>
      </c>
      <c r="BR85" s="162" t="str">
        <f t="shared" ca="1" si="102"/>
        <v/>
      </c>
      <c r="BS85" s="103"/>
      <c r="BT85" s="163">
        <f t="shared" ca="1" si="129"/>
        <v>0</v>
      </c>
      <c r="BU85" s="163">
        <f t="shared" ca="1" si="130"/>
        <v>0</v>
      </c>
      <c r="BV85" s="155"/>
      <c r="BW85" s="164">
        <f t="shared" ca="1" si="131"/>
        <v>0</v>
      </c>
      <c r="BX85" s="164">
        <f t="shared" ca="1" si="87"/>
        <v>0</v>
      </c>
      <c r="BY85" s="165" t="str">
        <f t="shared" ca="1" si="103"/>
        <v/>
      </c>
      <c r="BZ85" s="103"/>
      <c r="CA85" s="166">
        <f t="shared" ca="1" si="132"/>
        <v>0</v>
      </c>
      <c r="CB85" s="166">
        <f t="shared" ca="1" si="133"/>
        <v>0</v>
      </c>
      <c r="CC85" s="155"/>
      <c r="CD85" s="167">
        <f t="shared" ca="1" si="134"/>
        <v>0</v>
      </c>
      <c r="CE85" s="167">
        <f t="shared" ca="1" si="88"/>
        <v>0</v>
      </c>
      <c r="CF85" s="168" t="str">
        <f t="shared" ca="1" si="104"/>
        <v/>
      </c>
      <c r="CG85" s="103"/>
      <c r="CH85" s="169">
        <f t="shared" ca="1" si="135"/>
        <v>0</v>
      </c>
      <c r="CI85" s="169">
        <f t="shared" ca="1" si="136"/>
        <v>0</v>
      </c>
      <c r="CJ85" s="155"/>
      <c r="CK85" s="170">
        <f t="shared" ca="1" si="137"/>
        <v>0</v>
      </c>
      <c r="CL85" s="170">
        <f t="shared" ca="1" si="89"/>
        <v>0</v>
      </c>
      <c r="CM85" s="171" t="str">
        <f t="shared" ca="1" si="105"/>
        <v/>
      </c>
      <c r="CN85" s="103"/>
      <c r="CO85" s="151">
        <v>82</v>
      </c>
      <c r="CP85" s="403">
        <v>0.12</v>
      </c>
      <c r="CQ85" s="103">
        <f t="shared" si="138"/>
        <v>0</v>
      </c>
      <c r="CR85" s="409">
        <f t="shared" si="139"/>
        <v>0.12</v>
      </c>
      <c r="CS85" s="103">
        <f t="shared" si="140"/>
        <v>1</v>
      </c>
      <c r="CT85" s="103"/>
    </row>
    <row r="86" spans="1:98">
      <c r="A86" s="189">
        <v>50</v>
      </c>
      <c r="B86" s="184">
        <f ca="1">RESUMEN!J53</f>
        <v>0</v>
      </c>
      <c r="C86" s="184">
        <f ca="1">+RESUMEN!K53</f>
        <v>0</v>
      </c>
      <c r="D86" s="185">
        <f t="shared" ca="1" si="106"/>
        <v>0</v>
      </c>
      <c r="E86" s="102"/>
      <c r="F86" s="102"/>
      <c r="G86" s="102"/>
      <c r="H86" s="176"/>
      <c r="I86" s="176"/>
      <c r="J86" s="175">
        <v>83</v>
      </c>
      <c r="K86" s="67">
        <v>312901.94</v>
      </c>
      <c r="L86" s="67">
        <v>226565.11</v>
      </c>
      <c r="M86" s="67">
        <v>277749.3</v>
      </c>
      <c r="N86" s="67">
        <v>201111.89</v>
      </c>
      <c r="O86" s="67">
        <v>245923.86</v>
      </c>
      <c r="P86" s="67">
        <v>178067.82</v>
      </c>
      <c r="Q86" s="147">
        <f t="shared" si="91"/>
        <v>0</v>
      </c>
      <c r="R86" s="147">
        <f t="shared" si="92"/>
        <v>0</v>
      </c>
      <c r="S86" s="147">
        <f t="shared" si="93"/>
        <v>0</v>
      </c>
      <c r="T86" s="147">
        <f t="shared" si="94"/>
        <v>0</v>
      </c>
      <c r="U86" s="147">
        <f t="shared" si="95"/>
        <v>0</v>
      </c>
      <c r="V86" s="147">
        <f t="shared" si="96"/>
        <v>0</v>
      </c>
      <c r="W86" s="103"/>
      <c r="X86" s="148"/>
      <c r="Y86" s="148"/>
      <c r="Z86" s="147">
        <f t="shared" si="107"/>
        <v>0</v>
      </c>
      <c r="AA86" s="147">
        <f t="shared" si="108"/>
        <v>0</v>
      </c>
      <c r="AB86" s="147">
        <f t="shared" si="109"/>
        <v>0</v>
      </c>
      <c r="AC86" s="147">
        <f t="shared" si="110"/>
        <v>0</v>
      </c>
      <c r="AD86" s="149"/>
      <c r="AE86" s="149"/>
      <c r="AF86" s="147">
        <f t="shared" si="111"/>
        <v>0</v>
      </c>
      <c r="AG86" s="147">
        <f t="shared" si="112"/>
        <v>0</v>
      </c>
      <c r="AH86" s="147">
        <f t="shared" si="113"/>
        <v>0</v>
      </c>
      <c r="AI86" s="147">
        <f t="shared" si="114"/>
        <v>0</v>
      </c>
      <c r="AJ86" s="148"/>
      <c r="AK86" s="150"/>
      <c r="AL86" s="147">
        <f t="shared" si="115"/>
        <v>0</v>
      </c>
      <c r="AM86" s="147">
        <f t="shared" si="116"/>
        <v>0</v>
      </c>
      <c r="AN86" s="147">
        <f t="shared" si="117"/>
        <v>0</v>
      </c>
      <c r="AO86" s="147">
        <f t="shared" si="118"/>
        <v>0</v>
      </c>
      <c r="AP86" s="103"/>
      <c r="AQ86" s="151">
        <v>83</v>
      </c>
      <c r="AR86" s="152">
        <f ca="1">+RESUMEN!F86</f>
        <v>0</v>
      </c>
      <c r="AS86" s="152">
        <f ca="1">+RESUMEN!G86</f>
        <v>0</v>
      </c>
      <c r="AT86" s="153">
        <f t="shared" ca="1" si="97"/>
        <v>0</v>
      </c>
      <c r="AU86" s="154">
        <f t="shared" si="119"/>
        <v>0</v>
      </c>
      <c r="AV86" s="154">
        <f t="shared" si="120"/>
        <v>0</v>
      </c>
      <c r="AW86" s="154">
        <f t="shared" ca="1" si="121"/>
        <v>0</v>
      </c>
      <c r="AX86" s="153"/>
      <c r="AY86" s="154">
        <f t="shared" ca="1" si="98"/>
        <v>0</v>
      </c>
      <c r="AZ86" s="154">
        <f t="shared" ca="1" si="99"/>
        <v>0</v>
      </c>
      <c r="BA86" s="155"/>
      <c r="BB86" s="156">
        <f t="shared" ca="1" si="122"/>
        <v>0</v>
      </c>
      <c r="BC86" s="156">
        <f t="shared" ca="1" si="84"/>
        <v>0</v>
      </c>
      <c r="BD86" s="157" t="str">
        <f t="shared" ca="1" si="100"/>
        <v/>
      </c>
      <c r="BE86" s="103"/>
      <c r="BF86" s="106">
        <f t="shared" ca="1" si="123"/>
        <v>0</v>
      </c>
      <c r="BG86" s="106">
        <f t="shared" ca="1" si="124"/>
        <v>0</v>
      </c>
      <c r="BH86" s="155"/>
      <c r="BI86" s="158">
        <f t="shared" ca="1" si="125"/>
        <v>0</v>
      </c>
      <c r="BJ86" s="158">
        <f t="shared" ca="1" si="85"/>
        <v>0</v>
      </c>
      <c r="BK86" s="159" t="str">
        <f t="shared" ca="1" si="101"/>
        <v/>
      </c>
      <c r="BL86" s="103"/>
      <c r="BM86" s="160">
        <f t="shared" ca="1" si="126"/>
        <v>0</v>
      </c>
      <c r="BN86" s="160">
        <f t="shared" ca="1" si="127"/>
        <v>0</v>
      </c>
      <c r="BO86" s="155"/>
      <c r="BP86" s="161">
        <f t="shared" ca="1" si="128"/>
        <v>0</v>
      </c>
      <c r="BQ86" s="161">
        <f t="shared" ca="1" si="86"/>
        <v>0</v>
      </c>
      <c r="BR86" s="162" t="str">
        <f t="shared" ca="1" si="102"/>
        <v/>
      </c>
      <c r="BS86" s="103"/>
      <c r="BT86" s="163">
        <f t="shared" ca="1" si="129"/>
        <v>0</v>
      </c>
      <c r="BU86" s="163">
        <f t="shared" ca="1" si="130"/>
        <v>0</v>
      </c>
      <c r="BV86" s="155"/>
      <c r="BW86" s="164">
        <f t="shared" ca="1" si="131"/>
        <v>0</v>
      </c>
      <c r="BX86" s="164">
        <f t="shared" ca="1" si="87"/>
        <v>0</v>
      </c>
      <c r="BY86" s="165" t="str">
        <f t="shared" ca="1" si="103"/>
        <v/>
      </c>
      <c r="BZ86" s="103"/>
      <c r="CA86" s="166">
        <f t="shared" ca="1" si="132"/>
        <v>0</v>
      </c>
      <c r="CB86" s="166">
        <f t="shared" ca="1" si="133"/>
        <v>0</v>
      </c>
      <c r="CC86" s="155"/>
      <c r="CD86" s="167">
        <f t="shared" ca="1" si="134"/>
        <v>0</v>
      </c>
      <c r="CE86" s="167">
        <f t="shared" ca="1" si="88"/>
        <v>0</v>
      </c>
      <c r="CF86" s="168" t="str">
        <f t="shared" ca="1" si="104"/>
        <v/>
      </c>
      <c r="CG86" s="103"/>
      <c r="CH86" s="169">
        <f t="shared" ca="1" si="135"/>
        <v>0</v>
      </c>
      <c r="CI86" s="169">
        <f t="shared" ca="1" si="136"/>
        <v>0</v>
      </c>
      <c r="CJ86" s="155"/>
      <c r="CK86" s="170">
        <f t="shared" ca="1" si="137"/>
        <v>0</v>
      </c>
      <c r="CL86" s="170">
        <f t="shared" ca="1" si="89"/>
        <v>0</v>
      </c>
      <c r="CM86" s="171" t="str">
        <f t="shared" ca="1" si="105"/>
        <v/>
      </c>
      <c r="CN86" s="103"/>
      <c r="CO86" s="151">
        <v>83</v>
      </c>
      <c r="CP86" s="403">
        <v>0.12</v>
      </c>
      <c r="CQ86" s="103">
        <f t="shared" si="138"/>
        <v>0</v>
      </c>
      <c r="CR86" s="409">
        <f t="shared" si="139"/>
        <v>0.12</v>
      </c>
      <c r="CS86" s="103">
        <f t="shared" si="140"/>
        <v>1</v>
      </c>
      <c r="CT86" s="103"/>
    </row>
    <row r="87" spans="1:98">
      <c r="A87" s="189">
        <v>51</v>
      </c>
      <c r="B87" s="184">
        <f ca="1">RESUMEN!J54</f>
        <v>0</v>
      </c>
      <c r="C87" s="184">
        <f ca="1">+RESUMEN!K54</f>
        <v>0</v>
      </c>
      <c r="D87" s="185">
        <f t="shared" ca="1" si="106"/>
        <v>0</v>
      </c>
      <c r="E87" s="102"/>
      <c r="F87" s="102"/>
      <c r="G87" s="102"/>
      <c r="H87" s="176"/>
      <c r="I87" s="176"/>
      <c r="J87" s="175">
        <v>84</v>
      </c>
      <c r="K87" s="67">
        <v>331478.53000000003</v>
      </c>
      <c r="L87" s="67">
        <v>232980.07</v>
      </c>
      <c r="M87" s="67">
        <v>294238.90999999997</v>
      </c>
      <c r="N87" s="67">
        <v>206806.17</v>
      </c>
      <c r="O87" s="67">
        <v>260524.03</v>
      </c>
      <c r="P87" s="67">
        <v>183109.63</v>
      </c>
      <c r="Q87" s="147">
        <f t="shared" si="91"/>
        <v>0</v>
      </c>
      <c r="R87" s="147">
        <f t="shared" si="92"/>
        <v>0</v>
      </c>
      <c r="S87" s="147">
        <f t="shared" si="93"/>
        <v>0</v>
      </c>
      <c r="T87" s="147">
        <f t="shared" si="94"/>
        <v>0</v>
      </c>
      <c r="U87" s="147">
        <f t="shared" si="95"/>
        <v>0</v>
      </c>
      <c r="V87" s="147">
        <f t="shared" si="96"/>
        <v>0</v>
      </c>
      <c r="W87" s="103"/>
      <c r="X87" s="148"/>
      <c r="Y87" s="148"/>
      <c r="Z87" s="147">
        <f t="shared" si="107"/>
        <v>0</v>
      </c>
      <c r="AA87" s="147">
        <f t="shared" si="108"/>
        <v>0</v>
      </c>
      <c r="AB87" s="147">
        <f t="shared" si="109"/>
        <v>0</v>
      </c>
      <c r="AC87" s="147">
        <f t="shared" si="110"/>
        <v>0</v>
      </c>
      <c r="AD87" s="149"/>
      <c r="AE87" s="149"/>
      <c r="AF87" s="147">
        <f t="shared" si="111"/>
        <v>0</v>
      </c>
      <c r="AG87" s="147">
        <f t="shared" si="112"/>
        <v>0</v>
      </c>
      <c r="AH87" s="147">
        <f t="shared" si="113"/>
        <v>0</v>
      </c>
      <c r="AI87" s="147">
        <f t="shared" si="114"/>
        <v>0</v>
      </c>
      <c r="AJ87" s="148"/>
      <c r="AK87" s="150"/>
      <c r="AL87" s="147">
        <f t="shared" si="115"/>
        <v>0</v>
      </c>
      <c r="AM87" s="147">
        <f t="shared" si="116"/>
        <v>0</v>
      </c>
      <c r="AN87" s="147">
        <f t="shared" si="117"/>
        <v>0</v>
      </c>
      <c r="AO87" s="147">
        <f t="shared" si="118"/>
        <v>0</v>
      </c>
      <c r="AP87" s="103"/>
      <c r="AQ87" s="151">
        <v>84</v>
      </c>
      <c r="AR87" s="152">
        <f ca="1">+RESUMEN!F87</f>
        <v>0</v>
      </c>
      <c r="AS87" s="152">
        <f ca="1">+RESUMEN!G87</f>
        <v>0</v>
      </c>
      <c r="AT87" s="153">
        <f t="shared" ca="1" si="97"/>
        <v>0</v>
      </c>
      <c r="AU87" s="154">
        <f t="shared" si="119"/>
        <v>0</v>
      </c>
      <c r="AV87" s="154">
        <f t="shared" si="120"/>
        <v>0</v>
      </c>
      <c r="AW87" s="154">
        <f t="shared" ca="1" si="121"/>
        <v>0</v>
      </c>
      <c r="AX87" s="153"/>
      <c r="AY87" s="154">
        <f t="shared" ca="1" si="98"/>
        <v>0</v>
      </c>
      <c r="AZ87" s="154">
        <f t="shared" ca="1" si="99"/>
        <v>0</v>
      </c>
      <c r="BA87" s="155"/>
      <c r="BB87" s="156">
        <f t="shared" ca="1" si="122"/>
        <v>0</v>
      </c>
      <c r="BC87" s="156">
        <f t="shared" ca="1" si="84"/>
        <v>0</v>
      </c>
      <c r="BD87" s="157" t="str">
        <f t="shared" ca="1" si="100"/>
        <v/>
      </c>
      <c r="BE87" s="103"/>
      <c r="BF87" s="106">
        <f t="shared" ca="1" si="123"/>
        <v>0</v>
      </c>
      <c r="BG87" s="106">
        <f t="shared" ca="1" si="124"/>
        <v>0</v>
      </c>
      <c r="BH87" s="155"/>
      <c r="BI87" s="158">
        <f t="shared" ca="1" si="125"/>
        <v>0</v>
      </c>
      <c r="BJ87" s="158">
        <f t="shared" ca="1" si="85"/>
        <v>0</v>
      </c>
      <c r="BK87" s="159" t="str">
        <f t="shared" ca="1" si="101"/>
        <v/>
      </c>
      <c r="BL87" s="103"/>
      <c r="BM87" s="160">
        <f t="shared" ca="1" si="126"/>
        <v>0</v>
      </c>
      <c r="BN87" s="160">
        <f t="shared" ca="1" si="127"/>
        <v>0</v>
      </c>
      <c r="BO87" s="155"/>
      <c r="BP87" s="161">
        <f t="shared" ca="1" si="128"/>
        <v>0</v>
      </c>
      <c r="BQ87" s="161">
        <f t="shared" ca="1" si="86"/>
        <v>0</v>
      </c>
      <c r="BR87" s="162" t="str">
        <f t="shared" ca="1" si="102"/>
        <v/>
      </c>
      <c r="BS87" s="103"/>
      <c r="BT87" s="163">
        <f t="shared" ca="1" si="129"/>
        <v>0</v>
      </c>
      <c r="BU87" s="163">
        <f t="shared" ca="1" si="130"/>
        <v>0</v>
      </c>
      <c r="BV87" s="155"/>
      <c r="BW87" s="164">
        <f t="shared" ca="1" si="131"/>
        <v>0</v>
      </c>
      <c r="BX87" s="164">
        <f t="shared" ca="1" si="87"/>
        <v>0</v>
      </c>
      <c r="BY87" s="165" t="str">
        <f t="shared" ca="1" si="103"/>
        <v/>
      </c>
      <c r="BZ87" s="103"/>
      <c r="CA87" s="166">
        <f t="shared" ca="1" si="132"/>
        <v>0</v>
      </c>
      <c r="CB87" s="166">
        <f t="shared" ca="1" si="133"/>
        <v>0</v>
      </c>
      <c r="CC87" s="155"/>
      <c r="CD87" s="167">
        <f t="shared" ca="1" si="134"/>
        <v>0</v>
      </c>
      <c r="CE87" s="167">
        <f t="shared" ca="1" si="88"/>
        <v>0</v>
      </c>
      <c r="CF87" s="168" t="str">
        <f t="shared" ca="1" si="104"/>
        <v/>
      </c>
      <c r="CG87" s="103"/>
      <c r="CH87" s="169">
        <f t="shared" ca="1" si="135"/>
        <v>0</v>
      </c>
      <c r="CI87" s="169">
        <f t="shared" ca="1" si="136"/>
        <v>0</v>
      </c>
      <c r="CJ87" s="155"/>
      <c r="CK87" s="170">
        <f t="shared" ca="1" si="137"/>
        <v>0</v>
      </c>
      <c r="CL87" s="170">
        <f t="shared" ca="1" si="89"/>
        <v>0</v>
      </c>
      <c r="CM87" s="171" t="str">
        <f t="shared" ca="1" si="105"/>
        <v/>
      </c>
      <c r="CN87" s="103"/>
      <c r="CO87" s="151">
        <v>84</v>
      </c>
      <c r="CP87" s="403">
        <v>0.12</v>
      </c>
      <c r="CQ87" s="103">
        <f t="shared" si="138"/>
        <v>0</v>
      </c>
      <c r="CR87" s="409">
        <f t="shared" si="139"/>
        <v>0.12</v>
      </c>
      <c r="CS87" s="103">
        <f t="shared" si="140"/>
        <v>1</v>
      </c>
      <c r="CT87" s="103"/>
    </row>
    <row r="88" spans="1:98">
      <c r="A88" s="189">
        <v>52</v>
      </c>
      <c r="B88" s="184">
        <f ca="1">RESUMEN!J55</f>
        <v>0</v>
      </c>
      <c r="C88" s="184">
        <f ca="1">+RESUMEN!K55</f>
        <v>0</v>
      </c>
      <c r="D88" s="185">
        <f t="shared" ca="1" si="106"/>
        <v>0</v>
      </c>
      <c r="E88" s="102"/>
      <c r="F88" s="102"/>
      <c r="G88" s="102"/>
      <c r="H88" s="176"/>
      <c r="I88" s="176"/>
      <c r="J88" s="175">
        <v>85</v>
      </c>
      <c r="K88" s="67">
        <v>344492.44</v>
      </c>
      <c r="L88" s="67">
        <v>240434.65</v>
      </c>
      <c r="M88" s="67">
        <v>305790.8</v>
      </c>
      <c r="N88" s="67">
        <v>213423.27</v>
      </c>
      <c r="O88" s="67">
        <v>270752.27</v>
      </c>
      <c r="P88" s="67">
        <v>188968.52</v>
      </c>
      <c r="Q88" s="147">
        <f t="shared" si="91"/>
        <v>0</v>
      </c>
      <c r="R88" s="147">
        <f t="shared" si="92"/>
        <v>0</v>
      </c>
      <c r="S88" s="147">
        <f t="shared" si="93"/>
        <v>0</v>
      </c>
      <c r="T88" s="147">
        <f t="shared" si="94"/>
        <v>0</v>
      </c>
      <c r="U88" s="147">
        <f t="shared" si="95"/>
        <v>0</v>
      </c>
      <c r="V88" s="147">
        <f t="shared" si="96"/>
        <v>0</v>
      </c>
      <c r="W88" s="103"/>
      <c r="X88" s="148"/>
      <c r="Y88" s="148"/>
      <c r="Z88" s="147">
        <f t="shared" si="107"/>
        <v>0</v>
      </c>
      <c r="AA88" s="147">
        <f t="shared" si="108"/>
        <v>0</v>
      </c>
      <c r="AB88" s="147">
        <f t="shared" si="109"/>
        <v>0</v>
      </c>
      <c r="AC88" s="147">
        <f t="shared" si="110"/>
        <v>0</v>
      </c>
      <c r="AD88" s="149"/>
      <c r="AE88" s="149"/>
      <c r="AF88" s="147">
        <f t="shared" si="111"/>
        <v>0</v>
      </c>
      <c r="AG88" s="147">
        <f t="shared" si="112"/>
        <v>0</v>
      </c>
      <c r="AH88" s="147">
        <f t="shared" si="113"/>
        <v>0</v>
      </c>
      <c r="AI88" s="147">
        <f t="shared" si="114"/>
        <v>0</v>
      </c>
      <c r="AJ88" s="148"/>
      <c r="AK88" s="150"/>
      <c r="AL88" s="147">
        <f t="shared" si="115"/>
        <v>0</v>
      </c>
      <c r="AM88" s="147">
        <f t="shared" si="116"/>
        <v>0</v>
      </c>
      <c r="AN88" s="147">
        <f t="shared" si="117"/>
        <v>0</v>
      </c>
      <c r="AO88" s="147">
        <f t="shared" si="118"/>
        <v>0</v>
      </c>
      <c r="AP88" s="103"/>
      <c r="AQ88" s="151">
        <v>85</v>
      </c>
      <c r="AR88" s="152">
        <f ca="1">+RESUMEN!F88</f>
        <v>0</v>
      </c>
      <c r="AS88" s="152">
        <f ca="1">+RESUMEN!G88</f>
        <v>0</v>
      </c>
      <c r="AT88" s="153">
        <f t="shared" ca="1" si="97"/>
        <v>0</v>
      </c>
      <c r="AU88" s="154">
        <f t="shared" si="119"/>
        <v>0</v>
      </c>
      <c r="AV88" s="154">
        <f t="shared" si="120"/>
        <v>0</v>
      </c>
      <c r="AW88" s="154">
        <f t="shared" ca="1" si="121"/>
        <v>0</v>
      </c>
      <c r="AX88" s="153"/>
      <c r="AY88" s="154">
        <f t="shared" ca="1" si="98"/>
        <v>0</v>
      </c>
      <c r="AZ88" s="154">
        <f t="shared" ca="1" si="99"/>
        <v>0</v>
      </c>
      <c r="BA88" s="155"/>
      <c r="BB88" s="156">
        <f t="shared" ca="1" si="122"/>
        <v>0</v>
      </c>
      <c r="BC88" s="156">
        <f t="shared" ca="1" si="84"/>
        <v>0</v>
      </c>
      <c r="BD88" s="157" t="str">
        <f t="shared" ca="1" si="100"/>
        <v/>
      </c>
      <c r="BE88" s="103"/>
      <c r="BF88" s="106">
        <f t="shared" ca="1" si="123"/>
        <v>0</v>
      </c>
      <c r="BG88" s="106">
        <f t="shared" ca="1" si="124"/>
        <v>0</v>
      </c>
      <c r="BH88" s="155"/>
      <c r="BI88" s="158">
        <f t="shared" ca="1" si="125"/>
        <v>0</v>
      </c>
      <c r="BJ88" s="158">
        <f t="shared" ca="1" si="85"/>
        <v>0</v>
      </c>
      <c r="BK88" s="159" t="str">
        <f t="shared" ca="1" si="101"/>
        <v/>
      </c>
      <c r="BL88" s="103"/>
      <c r="BM88" s="160">
        <f t="shared" ca="1" si="126"/>
        <v>0</v>
      </c>
      <c r="BN88" s="160">
        <f t="shared" ca="1" si="127"/>
        <v>0</v>
      </c>
      <c r="BO88" s="155"/>
      <c r="BP88" s="161">
        <f t="shared" ca="1" si="128"/>
        <v>0</v>
      </c>
      <c r="BQ88" s="161">
        <f t="shared" ca="1" si="86"/>
        <v>0</v>
      </c>
      <c r="BR88" s="162" t="str">
        <f t="shared" ca="1" si="102"/>
        <v/>
      </c>
      <c r="BS88" s="103"/>
      <c r="BT88" s="163">
        <f t="shared" ca="1" si="129"/>
        <v>0</v>
      </c>
      <c r="BU88" s="163">
        <f t="shared" ca="1" si="130"/>
        <v>0</v>
      </c>
      <c r="BV88" s="155"/>
      <c r="BW88" s="164">
        <f t="shared" ca="1" si="131"/>
        <v>0</v>
      </c>
      <c r="BX88" s="164">
        <f t="shared" ca="1" si="87"/>
        <v>0</v>
      </c>
      <c r="BY88" s="165" t="str">
        <f t="shared" ca="1" si="103"/>
        <v/>
      </c>
      <c r="BZ88" s="103"/>
      <c r="CA88" s="166">
        <f t="shared" ca="1" si="132"/>
        <v>0</v>
      </c>
      <c r="CB88" s="166">
        <f t="shared" ca="1" si="133"/>
        <v>0</v>
      </c>
      <c r="CC88" s="155"/>
      <c r="CD88" s="167">
        <f t="shared" ca="1" si="134"/>
        <v>0</v>
      </c>
      <c r="CE88" s="167">
        <f t="shared" ca="1" si="88"/>
        <v>0</v>
      </c>
      <c r="CF88" s="168" t="str">
        <f t="shared" ca="1" si="104"/>
        <v/>
      </c>
      <c r="CG88" s="103"/>
      <c r="CH88" s="169">
        <f t="shared" ca="1" si="135"/>
        <v>0</v>
      </c>
      <c r="CI88" s="169">
        <f t="shared" ca="1" si="136"/>
        <v>0</v>
      </c>
      <c r="CJ88" s="155"/>
      <c r="CK88" s="170">
        <f t="shared" ca="1" si="137"/>
        <v>0</v>
      </c>
      <c r="CL88" s="170">
        <f t="shared" ca="1" si="89"/>
        <v>0</v>
      </c>
      <c r="CM88" s="171" t="str">
        <f t="shared" ca="1" si="105"/>
        <v/>
      </c>
      <c r="CN88" s="103"/>
      <c r="CO88" s="151">
        <v>85</v>
      </c>
      <c r="CP88" s="403">
        <v>0.12</v>
      </c>
      <c r="CQ88" s="103">
        <f t="shared" si="138"/>
        <v>0</v>
      </c>
      <c r="CR88" s="409">
        <f t="shared" si="139"/>
        <v>0.12</v>
      </c>
      <c r="CS88" s="103">
        <f t="shared" si="140"/>
        <v>1</v>
      </c>
      <c r="CT88" s="103"/>
    </row>
    <row r="89" spans="1:98">
      <c r="A89" s="189">
        <v>53</v>
      </c>
      <c r="B89" s="184">
        <f ca="1">RESUMEN!J56</f>
        <v>0</v>
      </c>
      <c r="C89" s="184">
        <f ca="1">+RESUMEN!K56</f>
        <v>0</v>
      </c>
      <c r="D89" s="185">
        <f t="shared" ca="1" si="106"/>
        <v>0</v>
      </c>
      <c r="E89" s="102"/>
      <c r="F89" s="102"/>
      <c r="G89" s="102"/>
      <c r="H89" s="176"/>
      <c r="I89" s="176"/>
      <c r="J89" s="175">
        <v>86</v>
      </c>
      <c r="K89" s="67">
        <v>344492.44</v>
      </c>
      <c r="L89" s="67">
        <v>240434.65</v>
      </c>
      <c r="M89" s="67">
        <v>305790.8</v>
      </c>
      <c r="N89" s="67">
        <v>213423.27</v>
      </c>
      <c r="O89" s="67">
        <v>270752.27</v>
      </c>
      <c r="P89" s="67">
        <v>188968.52</v>
      </c>
      <c r="Q89" s="147">
        <f t="shared" si="91"/>
        <v>0</v>
      </c>
      <c r="R89" s="147">
        <f t="shared" si="92"/>
        <v>0</v>
      </c>
      <c r="S89" s="147">
        <f t="shared" si="93"/>
        <v>0</v>
      </c>
      <c r="T89" s="147">
        <f t="shared" si="94"/>
        <v>0</v>
      </c>
      <c r="U89" s="147">
        <f t="shared" si="95"/>
        <v>0</v>
      </c>
      <c r="V89" s="147">
        <f t="shared" si="96"/>
        <v>0</v>
      </c>
      <c r="W89" s="103"/>
      <c r="X89" s="148"/>
      <c r="Y89" s="148"/>
      <c r="Z89" s="147">
        <f t="shared" si="107"/>
        <v>0</v>
      </c>
      <c r="AA89" s="147">
        <f t="shared" si="108"/>
        <v>0</v>
      </c>
      <c r="AB89" s="147">
        <f t="shared" si="109"/>
        <v>0</v>
      </c>
      <c r="AC89" s="147">
        <f t="shared" si="110"/>
        <v>0</v>
      </c>
      <c r="AD89" s="149"/>
      <c r="AE89" s="149"/>
      <c r="AF89" s="147">
        <f t="shared" si="111"/>
        <v>0</v>
      </c>
      <c r="AG89" s="147">
        <f t="shared" si="112"/>
        <v>0</v>
      </c>
      <c r="AH89" s="147">
        <f t="shared" si="113"/>
        <v>0</v>
      </c>
      <c r="AI89" s="147">
        <f t="shared" si="114"/>
        <v>0</v>
      </c>
      <c r="AJ89" s="148"/>
      <c r="AK89" s="150"/>
      <c r="AL89" s="147">
        <f t="shared" si="115"/>
        <v>0</v>
      </c>
      <c r="AM89" s="147">
        <f t="shared" si="116"/>
        <v>0</v>
      </c>
      <c r="AN89" s="147">
        <f t="shared" si="117"/>
        <v>0</v>
      </c>
      <c r="AO89" s="147">
        <f t="shared" si="118"/>
        <v>0</v>
      </c>
      <c r="AP89" s="103"/>
      <c r="AQ89" s="151">
        <v>86</v>
      </c>
      <c r="AR89" s="152">
        <f ca="1">+RESUMEN!F89</f>
        <v>0</v>
      </c>
      <c r="AS89" s="152">
        <f ca="1">+RESUMEN!G89</f>
        <v>0</v>
      </c>
      <c r="AT89" s="153">
        <f t="shared" ca="1" si="97"/>
        <v>0</v>
      </c>
      <c r="AU89" s="154">
        <f t="shared" si="119"/>
        <v>0</v>
      </c>
      <c r="AV89" s="154">
        <f t="shared" si="120"/>
        <v>0</v>
      </c>
      <c r="AW89" s="154">
        <f t="shared" ca="1" si="121"/>
        <v>0</v>
      </c>
      <c r="AX89" s="153"/>
      <c r="AY89" s="154">
        <f t="shared" ca="1" si="98"/>
        <v>0</v>
      </c>
      <c r="AZ89" s="154">
        <f t="shared" ca="1" si="99"/>
        <v>0</v>
      </c>
      <c r="BA89" s="155"/>
      <c r="BB89" s="156">
        <f t="shared" ca="1" si="122"/>
        <v>0</v>
      </c>
      <c r="BC89" s="156">
        <f t="shared" ca="1" si="84"/>
        <v>0</v>
      </c>
      <c r="BD89" s="157" t="str">
        <f t="shared" ca="1" si="100"/>
        <v/>
      </c>
      <c r="BE89" s="103"/>
      <c r="BF89" s="106">
        <f t="shared" ca="1" si="123"/>
        <v>0</v>
      </c>
      <c r="BG89" s="106">
        <f t="shared" ca="1" si="124"/>
        <v>0</v>
      </c>
      <c r="BH89" s="155"/>
      <c r="BI89" s="158">
        <f t="shared" ca="1" si="125"/>
        <v>0</v>
      </c>
      <c r="BJ89" s="158">
        <f t="shared" ca="1" si="85"/>
        <v>0</v>
      </c>
      <c r="BK89" s="159" t="str">
        <f t="shared" ca="1" si="101"/>
        <v/>
      </c>
      <c r="BL89" s="103"/>
      <c r="BM89" s="160">
        <f t="shared" ca="1" si="126"/>
        <v>0</v>
      </c>
      <c r="BN89" s="160">
        <f t="shared" ca="1" si="127"/>
        <v>0</v>
      </c>
      <c r="BO89" s="155"/>
      <c r="BP89" s="161">
        <f t="shared" ca="1" si="128"/>
        <v>0</v>
      </c>
      <c r="BQ89" s="161">
        <f t="shared" ca="1" si="86"/>
        <v>0</v>
      </c>
      <c r="BR89" s="162" t="str">
        <f t="shared" ca="1" si="102"/>
        <v/>
      </c>
      <c r="BS89" s="103"/>
      <c r="BT89" s="163">
        <f t="shared" ca="1" si="129"/>
        <v>0</v>
      </c>
      <c r="BU89" s="163">
        <f t="shared" ca="1" si="130"/>
        <v>0</v>
      </c>
      <c r="BV89" s="155"/>
      <c r="BW89" s="164">
        <f t="shared" ca="1" si="131"/>
        <v>0</v>
      </c>
      <c r="BX89" s="164">
        <f t="shared" ca="1" si="87"/>
        <v>0</v>
      </c>
      <c r="BY89" s="165" t="str">
        <f t="shared" ca="1" si="103"/>
        <v/>
      </c>
      <c r="BZ89" s="103"/>
      <c r="CA89" s="166">
        <f t="shared" ca="1" si="132"/>
        <v>0</v>
      </c>
      <c r="CB89" s="166">
        <f t="shared" ca="1" si="133"/>
        <v>0</v>
      </c>
      <c r="CC89" s="155"/>
      <c r="CD89" s="167">
        <f t="shared" ca="1" si="134"/>
        <v>0</v>
      </c>
      <c r="CE89" s="167">
        <f t="shared" ca="1" si="88"/>
        <v>0</v>
      </c>
      <c r="CF89" s="168" t="str">
        <f t="shared" ca="1" si="104"/>
        <v/>
      </c>
      <c r="CG89" s="103"/>
      <c r="CH89" s="169">
        <f t="shared" ca="1" si="135"/>
        <v>0</v>
      </c>
      <c r="CI89" s="169">
        <f t="shared" ca="1" si="136"/>
        <v>0</v>
      </c>
      <c r="CJ89" s="155"/>
      <c r="CK89" s="170">
        <f t="shared" ca="1" si="137"/>
        <v>0</v>
      </c>
      <c r="CL89" s="170">
        <f t="shared" ca="1" si="89"/>
        <v>0</v>
      </c>
      <c r="CM89" s="171" t="str">
        <f t="shared" ca="1" si="105"/>
        <v/>
      </c>
      <c r="CN89" s="103"/>
      <c r="CO89" s="151">
        <v>86</v>
      </c>
      <c r="CP89" s="403">
        <v>0.12</v>
      </c>
      <c r="CQ89" s="103">
        <f t="shared" si="138"/>
        <v>0</v>
      </c>
      <c r="CR89" s="409">
        <f t="shared" si="139"/>
        <v>0.12</v>
      </c>
      <c r="CS89" s="103">
        <f t="shared" si="140"/>
        <v>1</v>
      </c>
      <c r="CT89" s="103"/>
    </row>
    <row r="90" spans="1:98">
      <c r="A90" s="189">
        <v>54</v>
      </c>
      <c r="B90" s="184">
        <f ca="1">RESUMEN!J57</f>
        <v>0</v>
      </c>
      <c r="C90" s="184">
        <f ca="1">+RESUMEN!K57</f>
        <v>0</v>
      </c>
      <c r="D90" s="185">
        <f t="shared" ca="1" si="106"/>
        <v>0</v>
      </c>
      <c r="E90" s="102"/>
      <c r="F90" s="102"/>
      <c r="G90" s="102"/>
      <c r="H90" s="176"/>
      <c r="I90" s="176"/>
      <c r="J90" s="175">
        <v>87</v>
      </c>
      <c r="K90" s="67">
        <v>344492.44</v>
      </c>
      <c r="L90" s="67">
        <v>240434.65</v>
      </c>
      <c r="M90" s="67">
        <v>305790.8</v>
      </c>
      <c r="N90" s="67">
        <v>213423.27</v>
      </c>
      <c r="O90" s="67">
        <v>270752.27</v>
      </c>
      <c r="P90" s="67">
        <v>188968.52</v>
      </c>
      <c r="Q90" s="147">
        <f t="shared" si="91"/>
        <v>0</v>
      </c>
      <c r="R90" s="147">
        <f t="shared" si="92"/>
        <v>0</v>
      </c>
      <c r="S90" s="147">
        <f t="shared" si="93"/>
        <v>0</v>
      </c>
      <c r="T90" s="147">
        <f t="shared" si="94"/>
        <v>0</v>
      </c>
      <c r="U90" s="147">
        <f t="shared" si="95"/>
        <v>0</v>
      </c>
      <c r="V90" s="147">
        <f t="shared" si="96"/>
        <v>0</v>
      </c>
      <c r="W90" s="103"/>
      <c r="X90" s="148"/>
      <c r="Y90" s="148"/>
      <c r="Z90" s="147">
        <f t="shared" si="107"/>
        <v>0</v>
      </c>
      <c r="AA90" s="147">
        <f t="shared" si="108"/>
        <v>0</v>
      </c>
      <c r="AB90" s="147">
        <f t="shared" si="109"/>
        <v>0</v>
      </c>
      <c r="AC90" s="147">
        <f t="shared" si="110"/>
        <v>0</v>
      </c>
      <c r="AD90" s="149"/>
      <c r="AE90" s="149"/>
      <c r="AF90" s="147">
        <f t="shared" si="111"/>
        <v>0</v>
      </c>
      <c r="AG90" s="147">
        <f t="shared" si="112"/>
        <v>0</v>
      </c>
      <c r="AH90" s="147">
        <f t="shared" si="113"/>
        <v>0</v>
      </c>
      <c r="AI90" s="147">
        <f t="shared" si="114"/>
        <v>0</v>
      </c>
      <c r="AJ90" s="148"/>
      <c r="AK90" s="150"/>
      <c r="AL90" s="147">
        <f t="shared" si="115"/>
        <v>0</v>
      </c>
      <c r="AM90" s="147">
        <f t="shared" si="116"/>
        <v>0</v>
      </c>
      <c r="AN90" s="147">
        <f t="shared" si="117"/>
        <v>0</v>
      </c>
      <c r="AO90" s="147">
        <f t="shared" si="118"/>
        <v>0</v>
      </c>
      <c r="AP90" s="103"/>
      <c r="AQ90" s="151">
        <v>87</v>
      </c>
      <c r="AR90" s="152">
        <f ca="1">+RESUMEN!F90</f>
        <v>0</v>
      </c>
      <c r="AS90" s="152">
        <f ca="1">+RESUMEN!G90</f>
        <v>0</v>
      </c>
      <c r="AT90" s="153">
        <f t="shared" ca="1" si="97"/>
        <v>0</v>
      </c>
      <c r="AU90" s="154">
        <f t="shared" si="119"/>
        <v>0</v>
      </c>
      <c r="AV90" s="154">
        <f t="shared" si="120"/>
        <v>0</v>
      </c>
      <c r="AW90" s="154">
        <f t="shared" ca="1" si="121"/>
        <v>0</v>
      </c>
      <c r="AX90" s="153"/>
      <c r="AY90" s="154">
        <f t="shared" ca="1" si="98"/>
        <v>0</v>
      </c>
      <c r="AZ90" s="154">
        <f t="shared" ca="1" si="99"/>
        <v>0</v>
      </c>
      <c r="BA90" s="155"/>
      <c r="BB90" s="156">
        <f t="shared" ca="1" si="122"/>
        <v>0</v>
      </c>
      <c r="BC90" s="156">
        <f t="shared" ca="1" si="84"/>
        <v>0</v>
      </c>
      <c r="BD90" s="157" t="str">
        <f t="shared" ca="1" si="100"/>
        <v/>
      </c>
      <c r="BE90" s="103"/>
      <c r="BF90" s="106">
        <f t="shared" ca="1" si="123"/>
        <v>0</v>
      </c>
      <c r="BG90" s="106">
        <f t="shared" ca="1" si="124"/>
        <v>0</v>
      </c>
      <c r="BH90" s="155"/>
      <c r="BI90" s="158">
        <f t="shared" ca="1" si="125"/>
        <v>0</v>
      </c>
      <c r="BJ90" s="158">
        <f t="shared" ca="1" si="85"/>
        <v>0</v>
      </c>
      <c r="BK90" s="159" t="str">
        <f t="shared" ca="1" si="101"/>
        <v/>
      </c>
      <c r="BL90" s="103"/>
      <c r="BM90" s="160">
        <f t="shared" ca="1" si="126"/>
        <v>0</v>
      </c>
      <c r="BN90" s="160">
        <f t="shared" ca="1" si="127"/>
        <v>0</v>
      </c>
      <c r="BO90" s="155"/>
      <c r="BP90" s="161">
        <f t="shared" ca="1" si="128"/>
        <v>0</v>
      </c>
      <c r="BQ90" s="161">
        <f t="shared" ca="1" si="86"/>
        <v>0</v>
      </c>
      <c r="BR90" s="162" t="str">
        <f t="shared" ca="1" si="102"/>
        <v/>
      </c>
      <c r="BS90" s="103"/>
      <c r="BT90" s="163">
        <f t="shared" ca="1" si="129"/>
        <v>0</v>
      </c>
      <c r="BU90" s="163">
        <f t="shared" ca="1" si="130"/>
        <v>0</v>
      </c>
      <c r="BV90" s="155"/>
      <c r="BW90" s="164">
        <f t="shared" ca="1" si="131"/>
        <v>0</v>
      </c>
      <c r="BX90" s="164">
        <f t="shared" ca="1" si="87"/>
        <v>0</v>
      </c>
      <c r="BY90" s="165" t="str">
        <f t="shared" ca="1" si="103"/>
        <v/>
      </c>
      <c r="BZ90" s="103"/>
      <c r="CA90" s="166">
        <f t="shared" ca="1" si="132"/>
        <v>0</v>
      </c>
      <c r="CB90" s="166">
        <f t="shared" ca="1" si="133"/>
        <v>0</v>
      </c>
      <c r="CC90" s="155"/>
      <c r="CD90" s="167">
        <f t="shared" ca="1" si="134"/>
        <v>0</v>
      </c>
      <c r="CE90" s="167">
        <f t="shared" ca="1" si="88"/>
        <v>0</v>
      </c>
      <c r="CF90" s="168" t="str">
        <f t="shared" ca="1" si="104"/>
        <v/>
      </c>
      <c r="CG90" s="103"/>
      <c r="CH90" s="169">
        <f t="shared" ca="1" si="135"/>
        <v>0</v>
      </c>
      <c r="CI90" s="169">
        <f t="shared" ca="1" si="136"/>
        <v>0</v>
      </c>
      <c r="CJ90" s="155"/>
      <c r="CK90" s="170">
        <f t="shared" ca="1" si="137"/>
        <v>0</v>
      </c>
      <c r="CL90" s="170">
        <f t="shared" ca="1" si="89"/>
        <v>0</v>
      </c>
      <c r="CM90" s="171" t="str">
        <f t="shared" ca="1" si="105"/>
        <v/>
      </c>
      <c r="CN90" s="103"/>
      <c r="CO90" s="151">
        <v>87</v>
      </c>
      <c r="CP90" s="403">
        <v>0.12</v>
      </c>
      <c r="CQ90" s="103">
        <f t="shared" si="138"/>
        <v>0</v>
      </c>
      <c r="CR90" s="409">
        <f t="shared" si="139"/>
        <v>0.12</v>
      </c>
      <c r="CS90" s="103">
        <f t="shared" si="140"/>
        <v>1</v>
      </c>
      <c r="CT90" s="103"/>
    </row>
    <row r="91" spans="1:98">
      <c r="A91" s="189">
        <v>55</v>
      </c>
      <c r="B91" s="184">
        <f ca="1">RESUMEN!J58</f>
        <v>0</v>
      </c>
      <c r="C91" s="184">
        <f ca="1">+RESUMEN!K58</f>
        <v>0</v>
      </c>
      <c r="D91" s="185">
        <f t="shared" ca="1" si="106"/>
        <v>0</v>
      </c>
      <c r="E91" s="102"/>
      <c r="F91" s="102"/>
      <c r="G91" s="102"/>
      <c r="H91" s="176"/>
      <c r="I91" s="176"/>
      <c r="J91" s="175">
        <v>88</v>
      </c>
      <c r="K91" s="67">
        <v>344492.44</v>
      </c>
      <c r="L91" s="67">
        <v>240434.65</v>
      </c>
      <c r="M91" s="67">
        <v>305790.8</v>
      </c>
      <c r="N91" s="67">
        <v>213423.27</v>
      </c>
      <c r="O91" s="67">
        <v>270752.27</v>
      </c>
      <c r="P91" s="67">
        <v>188968.52</v>
      </c>
      <c r="Q91" s="147">
        <f t="shared" si="91"/>
        <v>0</v>
      </c>
      <c r="R91" s="147">
        <f t="shared" si="92"/>
        <v>0</v>
      </c>
      <c r="S91" s="147">
        <f t="shared" si="93"/>
        <v>0</v>
      </c>
      <c r="T91" s="147">
        <f t="shared" si="94"/>
        <v>0</v>
      </c>
      <c r="U91" s="147">
        <f t="shared" si="95"/>
        <v>0</v>
      </c>
      <c r="V91" s="147">
        <f t="shared" si="96"/>
        <v>0</v>
      </c>
      <c r="W91" s="103"/>
      <c r="X91" s="148"/>
      <c r="Y91" s="148"/>
      <c r="Z91" s="147">
        <f t="shared" si="107"/>
        <v>0</v>
      </c>
      <c r="AA91" s="147">
        <f t="shared" si="108"/>
        <v>0</v>
      </c>
      <c r="AB91" s="147">
        <f t="shared" si="109"/>
        <v>0</v>
      </c>
      <c r="AC91" s="147">
        <f t="shared" si="110"/>
        <v>0</v>
      </c>
      <c r="AD91" s="149"/>
      <c r="AE91" s="149"/>
      <c r="AF91" s="147">
        <f t="shared" si="111"/>
        <v>0</v>
      </c>
      <c r="AG91" s="147">
        <f t="shared" si="112"/>
        <v>0</v>
      </c>
      <c r="AH91" s="147">
        <f t="shared" si="113"/>
        <v>0</v>
      </c>
      <c r="AI91" s="147">
        <f t="shared" si="114"/>
        <v>0</v>
      </c>
      <c r="AJ91" s="148"/>
      <c r="AK91" s="150"/>
      <c r="AL91" s="147">
        <f t="shared" si="115"/>
        <v>0</v>
      </c>
      <c r="AM91" s="147">
        <f t="shared" si="116"/>
        <v>0</v>
      </c>
      <c r="AN91" s="147">
        <f t="shared" si="117"/>
        <v>0</v>
      </c>
      <c r="AO91" s="147">
        <f t="shared" si="118"/>
        <v>0</v>
      </c>
      <c r="AP91" s="103"/>
      <c r="AQ91" s="151">
        <v>88</v>
      </c>
      <c r="AR91" s="152">
        <f ca="1">+RESUMEN!F91</f>
        <v>0</v>
      </c>
      <c r="AS91" s="152">
        <f ca="1">+RESUMEN!G91</f>
        <v>0</v>
      </c>
      <c r="AT91" s="153">
        <f t="shared" ca="1" si="97"/>
        <v>0</v>
      </c>
      <c r="AU91" s="154">
        <f t="shared" si="119"/>
        <v>0</v>
      </c>
      <c r="AV91" s="154">
        <f t="shared" si="120"/>
        <v>0</v>
      </c>
      <c r="AW91" s="154">
        <f t="shared" ca="1" si="121"/>
        <v>0</v>
      </c>
      <c r="AX91" s="153"/>
      <c r="AY91" s="154">
        <f t="shared" ca="1" si="98"/>
        <v>0</v>
      </c>
      <c r="AZ91" s="154">
        <f t="shared" ca="1" si="99"/>
        <v>0</v>
      </c>
      <c r="BA91" s="155"/>
      <c r="BB91" s="156">
        <f t="shared" ca="1" si="122"/>
        <v>0</v>
      </c>
      <c r="BC91" s="156">
        <f t="shared" ca="1" si="84"/>
        <v>0</v>
      </c>
      <c r="BD91" s="157" t="str">
        <f t="shared" ca="1" si="100"/>
        <v/>
      </c>
      <c r="BE91" s="103"/>
      <c r="BF91" s="106">
        <f t="shared" ca="1" si="123"/>
        <v>0</v>
      </c>
      <c r="BG91" s="106">
        <f t="shared" ca="1" si="124"/>
        <v>0</v>
      </c>
      <c r="BH91" s="155"/>
      <c r="BI91" s="158">
        <f t="shared" ca="1" si="125"/>
        <v>0</v>
      </c>
      <c r="BJ91" s="158">
        <f t="shared" ca="1" si="85"/>
        <v>0</v>
      </c>
      <c r="BK91" s="159" t="str">
        <f t="shared" ca="1" si="101"/>
        <v/>
      </c>
      <c r="BL91" s="103"/>
      <c r="BM91" s="160">
        <f t="shared" ca="1" si="126"/>
        <v>0</v>
      </c>
      <c r="BN91" s="160">
        <f t="shared" ca="1" si="127"/>
        <v>0</v>
      </c>
      <c r="BO91" s="155"/>
      <c r="BP91" s="161">
        <f t="shared" ca="1" si="128"/>
        <v>0</v>
      </c>
      <c r="BQ91" s="161">
        <f t="shared" ca="1" si="86"/>
        <v>0</v>
      </c>
      <c r="BR91" s="162" t="str">
        <f t="shared" ca="1" si="102"/>
        <v/>
      </c>
      <c r="BS91" s="103"/>
      <c r="BT91" s="163">
        <f t="shared" ca="1" si="129"/>
        <v>0</v>
      </c>
      <c r="BU91" s="163">
        <f t="shared" ca="1" si="130"/>
        <v>0</v>
      </c>
      <c r="BV91" s="155"/>
      <c r="BW91" s="164">
        <f t="shared" ca="1" si="131"/>
        <v>0</v>
      </c>
      <c r="BX91" s="164">
        <f t="shared" ca="1" si="87"/>
        <v>0</v>
      </c>
      <c r="BY91" s="165" t="str">
        <f t="shared" ca="1" si="103"/>
        <v/>
      </c>
      <c r="BZ91" s="103"/>
      <c r="CA91" s="166">
        <f t="shared" ca="1" si="132"/>
        <v>0</v>
      </c>
      <c r="CB91" s="166">
        <f t="shared" ca="1" si="133"/>
        <v>0</v>
      </c>
      <c r="CC91" s="155"/>
      <c r="CD91" s="167">
        <f t="shared" ca="1" si="134"/>
        <v>0</v>
      </c>
      <c r="CE91" s="167">
        <f t="shared" ca="1" si="88"/>
        <v>0</v>
      </c>
      <c r="CF91" s="168" t="str">
        <f t="shared" ca="1" si="104"/>
        <v/>
      </c>
      <c r="CG91" s="103"/>
      <c r="CH91" s="169">
        <f t="shared" ca="1" si="135"/>
        <v>0</v>
      </c>
      <c r="CI91" s="169">
        <f t="shared" ca="1" si="136"/>
        <v>0</v>
      </c>
      <c r="CJ91" s="155"/>
      <c r="CK91" s="170">
        <f t="shared" ca="1" si="137"/>
        <v>0</v>
      </c>
      <c r="CL91" s="170">
        <f t="shared" ca="1" si="89"/>
        <v>0</v>
      </c>
      <c r="CM91" s="171" t="str">
        <f t="shared" ca="1" si="105"/>
        <v/>
      </c>
      <c r="CN91" s="103"/>
      <c r="CO91" s="151">
        <v>88</v>
      </c>
      <c r="CP91" s="403">
        <v>0.12</v>
      </c>
      <c r="CQ91" s="103">
        <f t="shared" si="138"/>
        <v>0</v>
      </c>
      <c r="CR91" s="409">
        <f t="shared" si="139"/>
        <v>0.12</v>
      </c>
      <c r="CS91" s="103">
        <f t="shared" si="140"/>
        <v>1</v>
      </c>
      <c r="CT91" s="103"/>
    </row>
    <row r="92" spans="1:98">
      <c r="A92" s="189">
        <v>56</v>
      </c>
      <c r="B92" s="184">
        <f ca="1">RESUMEN!J59</f>
        <v>0</v>
      </c>
      <c r="C92" s="184">
        <f ca="1">+RESUMEN!K59</f>
        <v>0</v>
      </c>
      <c r="D92" s="185">
        <f t="shared" ca="1" si="106"/>
        <v>0</v>
      </c>
      <c r="E92" s="102"/>
      <c r="F92" s="102"/>
      <c r="G92" s="102"/>
      <c r="H92" s="176"/>
      <c r="I92" s="176"/>
      <c r="J92" s="175">
        <v>89</v>
      </c>
      <c r="K92" s="67">
        <v>344492.44</v>
      </c>
      <c r="L92" s="67">
        <v>240434.65</v>
      </c>
      <c r="M92" s="67">
        <v>305790.8</v>
      </c>
      <c r="N92" s="67">
        <v>213423.27</v>
      </c>
      <c r="O92" s="67">
        <v>270752.27</v>
      </c>
      <c r="P92" s="67">
        <v>188968.52</v>
      </c>
      <c r="Q92" s="147">
        <f t="shared" si="91"/>
        <v>0</v>
      </c>
      <c r="R92" s="147">
        <f t="shared" si="92"/>
        <v>0</v>
      </c>
      <c r="S92" s="147">
        <f t="shared" si="93"/>
        <v>0</v>
      </c>
      <c r="T92" s="147">
        <f t="shared" si="94"/>
        <v>0</v>
      </c>
      <c r="U92" s="147">
        <f t="shared" si="95"/>
        <v>0</v>
      </c>
      <c r="V92" s="147">
        <f t="shared" si="96"/>
        <v>0</v>
      </c>
      <c r="W92" s="103"/>
      <c r="X92" s="148"/>
      <c r="Y92" s="148"/>
      <c r="Z92" s="147">
        <f t="shared" si="107"/>
        <v>0</v>
      </c>
      <c r="AA92" s="147">
        <f t="shared" si="108"/>
        <v>0</v>
      </c>
      <c r="AB92" s="147">
        <f t="shared" si="109"/>
        <v>0</v>
      </c>
      <c r="AC92" s="147">
        <f t="shared" si="110"/>
        <v>0</v>
      </c>
      <c r="AD92" s="149"/>
      <c r="AE92" s="149"/>
      <c r="AF92" s="147">
        <f t="shared" si="111"/>
        <v>0</v>
      </c>
      <c r="AG92" s="147">
        <f t="shared" si="112"/>
        <v>0</v>
      </c>
      <c r="AH92" s="147">
        <f t="shared" si="113"/>
        <v>0</v>
      </c>
      <c r="AI92" s="147">
        <f t="shared" si="114"/>
        <v>0</v>
      </c>
      <c r="AJ92" s="148"/>
      <c r="AK92" s="150"/>
      <c r="AL92" s="147">
        <f t="shared" si="115"/>
        <v>0</v>
      </c>
      <c r="AM92" s="147">
        <f t="shared" si="116"/>
        <v>0</v>
      </c>
      <c r="AN92" s="147">
        <f t="shared" si="117"/>
        <v>0</v>
      </c>
      <c r="AO92" s="147">
        <f t="shared" si="118"/>
        <v>0</v>
      </c>
      <c r="AP92" s="103"/>
      <c r="AQ92" s="151">
        <v>89</v>
      </c>
      <c r="AR92" s="152">
        <f ca="1">+RESUMEN!F92</f>
        <v>0</v>
      </c>
      <c r="AS92" s="152">
        <f ca="1">+RESUMEN!G92</f>
        <v>0</v>
      </c>
      <c r="AT92" s="153">
        <f t="shared" ca="1" si="97"/>
        <v>0</v>
      </c>
      <c r="AU92" s="154">
        <f t="shared" si="119"/>
        <v>0</v>
      </c>
      <c r="AV92" s="154">
        <f t="shared" si="120"/>
        <v>0</v>
      </c>
      <c r="AW92" s="154">
        <f t="shared" ca="1" si="121"/>
        <v>0</v>
      </c>
      <c r="AX92" s="153"/>
      <c r="AY92" s="154">
        <f t="shared" ca="1" si="98"/>
        <v>0</v>
      </c>
      <c r="AZ92" s="154">
        <f t="shared" ca="1" si="99"/>
        <v>0</v>
      </c>
      <c r="BA92" s="155"/>
      <c r="BB92" s="156">
        <f t="shared" ca="1" si="122"/>
        <v>0</v>
      </c>
      <c r="BC92" s="156">
        <f t="shared" ca="1" si="84"/>
        <v>0</v>
      </c>
      <c r="BD92" s="157" t="str">
        <f t="shared" ca="1" si="100"/>
        <v/>
      </c>
      <c r="BE92" s="103"/>
      <c r="BF92" s="106">
        <f t="shared" ca="1" si="123"/>
        <v>0</v>
      </c>
      <c r="BG92" s="106">
        <f t="shared" ca="1" si="124"/>
        <v>0</v>
      </c>
      <c r="BH92" s="155"/>
      <c r="BI92" s="158">
        <f t="shared" ca="1" si="125"/>
        <v>0</v>
      </c>
      <c r="BJ92" s="158">
        <f t="shared" ca="1" si="85"/>
        <v>0</v>
      </c>
      <c r="BK92" s="159" t="str">
        <f t="shared" ca="1" si="101"/>
        <v/>
      </c>
      <c r="BL92" s="103"/>
      <c r="BM92" s="160">
        <f t="shared" ca="1" si="126"/>
        <v>0</v>
      </c>
      <c r="BN92" s="160">
        <f t="shared" ca="1" si="127"/>
        <v>0</v>
      </c>
      <c r="BO92" s="155"/>
      <c r="BP92" s="161">
        <f t="shared" ca="1" si="128"/>
        <v>0</v>
      </c>
      <c r="BQ92" s="161">
        <f t="shared" ca="1" si="86"/>
        <v>0</v>
      </c>
      <c r="BR92" s="162" t="str">
        <f t="shared" ca="1" si="102"/>
        <v/>
      </c>
      <c r="BS92" s="103"/>
      <c r="BT92" s="163">
        <f t="shared" ca="1" si="129"/>
        <v>0</v>
      </c>
      <c r="BU92" s="163">
        <f t="shared" ca="1" si="130"/>
        <v>0</v>
      </c>
      <c r="BV92" s="155"/>
      <c r="BW92" s="164">
        <f t="shared" ca="1" si="131"/>
        <v>0</v>
      </c>
      <c r="BX92" s="164">
        <f t="shared" ca="1" si="87"/>
        <v>0</v>
      </c>
      <c r="BY92" s="165" t="str">
        <f t="shared" ca="1" si="103"/>
        <v/>
      </c>
      <c r="BZ92" s="103"/>
      <c r="CA92" s="166">
        <f t="shared" ca="1" si="132"/>
        <v>0</v>
      </c>
      <c r="CB92" s="166">
        <f t="shared" ca="1" si="133"/>
        <v>0</v>
      </c>
      <c r="CC92" s="155"/>
      <c r="CD92" s="167">
        <f t="shared" ca="1" si="134"/>
        <v>0</v>
      </c>
      <c r="CE92" s="167">
        <f t="shared" ca="1" si="88"/>
        <v>0</v>
      </c>
      <c r="CF92" s="168" t="str">
        <f t="shared" ca="1" si="104"/>
        <v/>
      </c>
      <c r="CG92" s="103"/>
      <c r="CH92" s="169">
        <f t="shared" ca="1" si="135"/>
        <v>0</v>
      </c>
      <c r="CI92" s="169">
        <f t="shared" ca="1" si="136"/>
        <v>0</v>
      </c>
      <c r="CJ92" s="155"/>
      <c r="CK92" s="170">
        <f t="shared" ca="1" si="137"/>
        <v>0</v>
      </c>
      <c r="CL92" s="170">
        <f t="shared" ca="1" si="89"/>
        <v>0</v>
      </c>
      <c r="CM92" s="171" t="str">
        <f t="shared" ca="1" si="105"/>
        <v/>
      </c>
      <c r="CN92" s="103"/>
      <c r="CO92" s="151">
        <v>89</v>
      </c>
      <c r="CP92" s="403">
        <v>0.12</v>
      </c>
      <c r="CQ92" s="103">
        <f t="shared" si="138"/>
        <v>0</v>
      </c>
      <c r="CR92" s="409">
        <f t="shared" si="139"/>
        <v>0.12</v>
      </c>
      <c r="CS92" s="103">
        <f t="shared" si="140"/>
        <v>1</v>
      </c>
      <c r="CT92" s="103"/>
    </row>
    <row r="93" spans="1:98">
      <c r="A93" s="189">
        <v>57</v>
      </c>
      <c r="B93" s="184">
        <f ca="1">RESUMEN!J60</f>
        <v>0</v>
      </c>
      <c r="C93" s="184">
        <f ca="1">+RESUMEN!K60</f>
        <v>0</v>
      </c>
      <c r="D93" s="185">
        <f t="shared" ca="1" si="106"/>
        <v>0</v>
      </c>
      <c r="E93" s="102"/>
      <c r="F93" s="102"/>
      <c r="G93" s="102"/>
      <c r="H93" s="176"/>
      <c r="I93" s="176"/>
      <c r="J93" s="175">
        <v>90</v>
      </c>
      <c r="K93" s="67">
        <v>344492.44</v>
      </c>
      <c r="L93" s="67">
        <v>240434.65</v>
      </c>
      <c r="M93" s="67">
        <v>305790.8</v>
      </c>
      <c r="N93" s="67">
        <v>213423.27</v>
      </c>
      <c r="O93" s="67">
        <v>270752.27</v>
      </c>
      <c r="P93" s="67">
        <v>188968.52</v>
      </c>
      <c r="Q93" s="147">
        <f t="shared" si="91"/>
        <v>0</v>
      </c>
      <c r="R93" s="147">
        <f t="shared" si="92"/>
        <v>0</v>
      </c>
      <c r="S93" s="147">
        <f t="shared" si="93"/>
        <v>0</v>
      </c>
      <c r="T93" s="147">
        <f t="shared" si="94"/>
        <v>0</v>
      </c>
      <c r="U93" s="147">
        <f t="shared" si="95"/>
        <v>0</v>
      </c>
      <c r="V93" s="147">
        <f t="shared" si="96"/>
        <v>0</v>
      </c>
      <c r="W93" s="103"/>
      <c r="X93" s="148"/>
      <c r="Y93" s="148"/>
      <c r="Z93" s="147">
        <f t="shared" si="107"/>
        <v>0</v>
      </c>
      <c r="AA93" s="147">
        <f t="shared" si="108"/>
        <v>0</v>
      </c>
      <c r="AB93" s="147">
        <f t="shared" si="109"/>
        <v>0</v>
      </c>
      <c r="AC93" s="147">
        <f t="shared" si="110"/>
        <v>0</v>
      </c>
      <c r="AD93" s="149"/>
      <c r="AE93" s="149"/>
      <c r="AF93" s="147">
        <f t="shared" si="111"/>
        <v>0</v>
      </c>
      <c r="AG93" s="147">
        <f t="shared" si="112"/>
        <v>0</v>
      </c>
      <c r="AH93" s="147">
        <f t="shared" si="113"/>
        <v>0</v>
      </c>
      <c r="AI93" s="147">
        <f t="shared" si="114"/>
        <v>0</v>
      </c>
      <c r="AJ93" s="148"/>
      <c r="AK93" s="150"/>
      <c r="AL93" s="147">
        <f t="shared" si="115"/>
        <v>0</v>
      </c>
      <c r="AM93" s="147">
        <f t="shared" si="116"/>
        <v>0</v>
      </c>
      <c r="AN93" s="147">
        <f t="shared" si="117"/>
        <v>0</v>
      </c>
      <c r="AO93" s="147">
        <f t="shared" si="118"/>
        <v>0</v>
      </c>
      <c r="AP93" s="103"/>
      <c r="AQ93" s="151">
        <v>90</v>
      </c>
      <c r="AR93" s="152">
        <f ca="1">+RESUMEN!F93</f>
        <v>0</v>
      </c>
      <c r="AS93" s="152">
        <f ca="1">+RESUMEN!G93</f>
        <v>0</v>
      </c>
      <c r="AT93" s="153">
        <f t="shared" ca="1" si="97"/>
        <v>0</v>
      </c>
      <c r="AU93" s="154">
        <f t="shared" si="119"/>
        <v>0</v>
      </c>
      <c r="AV93" s="154">
        <f t="shared" si="120"/>
        <v>0</v>
      </c>
      <c r="AW93" s="154">
        <f t="shared" ca="1" si="121"/>
        <v>0</v>
      </c>
      <c r="AX93" s="153"/>
      <c r="AY93" s="154">
        <f t="shared" ca="1" si="98"/>
        <v>0</v>
      </c>
      <c r="AZ93" s="154">
        <f t="shared" ca="1" si="99"/>
        <v>0</v>
      </c>
      <c r="BA93" s="155"/>
      <c r="BB93" s="156">
        <f t="shared" ca="1" si="122"/>
        <v>0</v>
      </c>
      <c r="BC93" s="156">
        <f t="shared" ca="1" si="84"/>
        <v>0</v>
      </c>
      <c r="BD93" s="157" t="str">
        <f t="shared" ca="1" si="100"/>
        <v/>
      </c>
      <c r="BE93" s="103"/>
      <c r="BF93" s="106">
        <f t="shared" ca="1" si="123"/>
        <v>0</v>
      </c>
      <c r="BG93" s="106">
        <f t="shared" ca="1" si="124"/>
        <v>0</v>
      </c>
      <c r="BH93" s="155"/>
      <c r="BI93" s="158">
        <f t="shared" ca="1" si="125"/>
        <v>0</v>
      </c>
      <c r="BJ93" s="158">
        <f t="shared" ca="1" si="85"/>
        <v>0</v>
      </c>
      <c r="BK93" s="159" t="str">
        <f t="shared" ca="1" si="101"/>
        <v/>
      </c>
      <c r="BL93" s="103"/>
      <c r="BM93" s="160">
        <f t="shared" ca="1" si="126"/>
        <v>0</v>
      </c>
      <c r="BN93" s="160">
        <f t="shared" ca="1" si="127"/>
        <v>0</v>
      </c>
      <c r="BO93" s="155"/>
      <c r="BP93" s="161">
        <f t="shared" ca="1" si="128"/>
        <v>0</v>
      </c>
      <c r="BQ93" s="161">
        <f t="shared" ca="1" si="86"/>
        <v>0</v>
      </c>
      <c r="BR93" s="162" t="str">
        <f t="shared" ca="1" si="102"/>
        <v/>
      </c>
      <c r="BS93" s="103"/>
      <c r="BT93" s="163">
        <f t="shared" ca="1" si="129"/>
        <v>0</v>
      </c>
      <c r="BU93" s="163">
        <f t="shared" ca="1" si="130"/>
        <v>0</v>
      </c>
      <c r="BV93" s="155"/>
      <c r="BW93" s="164">
        <f t="shared" ca="1" si="131"/>
        <v>0</v>
      </c>
      <c r="BX93" s="164">
        <f t="shared" ca="1" si="87"/>
        <v>0</v>
      </c>
      <c r="BY93" s="165" t="str">
        <f t="shared" ca="1" si="103"/>
        <v/>
      </c>
      <c r="BZ93" s="103"/>
      <c r="CA93" s="166">
        <f t="shared" ca="1" si="132"/>
        <v>0</v>
      </c>
      <c r="CB93" s="166">
        <f t="shared" ca="1" si="133"/>
        <v>0</v>
      </c>
      <c r="CC93" s="155"/>
      <c r="CD93" s="167">
        <f t="shared" ca="1" si="134"/>
        <v>0</v>
      </c>
      <c r="CE93" s="167">
        <f t="shared" ca="1" si="88"/>
        <v>0</v>
      </c>
      <c r="CF93" s="168" t="str">
        <f t="shared" ca="1" si="104"/>
        <v/>
      </c>
      <c r="CG93" s="103"/>
      <c r="CH93" s="169">
        <f t="shared" ca="1" si="135"/>
        <v>0</v>
      </c>
      <c r="CI93" s="169">
        <f t="shared" ca="1" si="136"/>
        <v>0</v>
      </c>
      <c r="CJ93" s="155"/>
      <c r="CK93" s="170">
        <f t="shared" ca="1" si="137"/>
        <v>0</v>
      </c>
      <c r="CL93" s="170">
        <f t="shared" ca="1" si="89"/>
        <v>0</v>
      </c>
      <c r="CM93" s="171" t="str">
        <f t="shared" ca="1" si="105"/>
        <v/>
      </c>
      <c r="CN93" s="103"/>
      <c r="CO93" s="151">
        <v>90</v>
      </c>
      <c r="CP93" s="403">
        <v>0.12</v>
      </c>
      <c r="CQ93" s="103">
        <f t="shared" si="138"/>
        <v>0</v>
      </c>
      <c r="CR93" s="409">
        <f t="shared" si="139"/>
        <v>0.12</v>
      </c>
      <c r="CS93" s="103">
        <f t="shared" si="140"/>
        <v>1</v>
      </c>
      <c r="CT93" s="103"/>
    </row>
    <row r="94" spans="1:98">
      <c r="A94" s="189">
        <v>58</v>
      </c>
      <c r="B94" s="184">
        <f ca="1">RESUMEN!J61</f>
        <v>0</v>
      </c>
      <c r="C94" s="184">
        <f ca="1">+RESUMEN!K61</f>
        <v>0</v>
      </c>
      <c r="D94" s="185">
        <f t="shared" ca="1" si="106"/>
        <v>0</v>
      </c>
      <c r="E94" s="102"/>
      <c r="F94" s="102"/>
      <c r="G94" s="102"/>
      <c r="H94" s="176"/>
      <c r="I94" s="176"/>
      <c r="J94" s="175">
        <v>91</v>
      </c>
      <c r="K94" s="67">
        <v>344492.44</v>
      </c>
      <c r="L94" s="67">
        <v>240434.65</v>
      </c>
      <c r="M94" s="67">
        <v>305790.8</v>
      </c>
      <c r="N94" s="67">
        <v>213423.27</v>
      </c>
      <c r="O94" s="67">
        <v>270752.27</v>
      </c>
      <c r="P94" s="67">
        <v>188968.52</v>
      </c>
      <c r="Q94" s="147">
        <f t="shared" si="91"/>
        <v>0</v>
      </c>
      <c r="R94" s="147">
        <f t="shared" si="92"/>
        <v>0</v>
      </c>
      <c r="S94" s="147">
        <f t="shared" si="93"/>
        <v>0</v>
      </c>
      <c r="T94" s="147">
        <f t="shared" si="94"/>
        <v>0</v>
      </c>
      <c r="U94" s="147">
        <f t="shared" si="95"/>
        <v>0</v>
      </c>
      <c r="V94" s="147">
        <f t="shared" si="96"/>
        <v>0</v>
      </c>
      <c r="W94" s="103"/>
      <c r="X94" s="148"/>
      <c r="Y94" s="148"/>
      <c r="Z94" s="147">
        <f t="shared" si="107"/>
        <v>0</v>
      </c>
      <c r="AA94" s="147">
        <f t="shared" si="108"/>
        <v>0</v>
      </c>
      <c r="AB94" s="147">
        <f t="shared" si="109"/>
        <v>0</v>
      </c>
      <c r="AC94" s="147">
        <f t="shared" si="110"/>
        <v>0</v>
      </c>
      <c r="AD94" s="149"/>
      <c r="AE94" s="149"/>
      <c r="AF94" s="147">
        <f t="shared" si="111"/>
        <v>0</v>
      </c>
      <c r="AG94" s="147">
        <f t="shared" si="112"/>
        <v>0</v>
      </c>
      <c r="AH94" s="147">
        <f t="shared" si="113"/>
        <v>0</v>
      </c>
      <c r="AI94" s="147">
        <f t="shared" si="114"/>
        <v>0</v>
      </c>
      <c r="AJ94" s="148"/>
      <c r="AK94" s="150"/>
      <c r="AL94" s="147">
        <f t="shared" si="115"/>
        <v>0</v>
      </c>
      <c r="AM94" s="147">
        <f t="shared" si="116"/>
        <v>0</v>
      </c>
      <c r="AN94" s="147">
        <f t="shared" si="117"/>
        <v>0</v>
      </c>
      <c r="AO94" s="147">
        <f t="shared" si="118"/>
        <v>0</v>
      </c>
      <c r="AP94" s="103"/>
      <c r="AQ94" s="151">
        <v>91</v>
      </c>
      <c r="AR94" s="152">
        <f ca="1">+RESUMEN!F94</f>
        <v>0</v>
      </c>
      <c r="AS94" s="152">
        <f ca="1">+RESUMEN!G94</f>
        <v>0</v>
      </c>
      <c r="AT94" s="153">
        <f t="shared" ca="1" si="97"/>
        <v>0</v>
      </c>
      <c r="AU94" s="154">
        <f t="shared" si="119"/>
        <v>0</v>
      </c>
      <c r="AV94" s="154">
        <f t="shared" si="120"/>
        <v>0</v>
      </c>
      <c r="AW94" s="154">
        <f t="shared" ca="1" si="121"/>
        <v>0</v>
      </c>
      <c r="AX94" s="153"/>
      <c r="AY94" s="154">
        <f t="shared" ca="1" si="98"/>
        <v>0</v>
      </c>
      <c r="AZ94" s="154">
        <f t="shared" ca="1" si="99"/>
        <v>0</v>
      </c>
      <c r="BA94" s="155"/>
      <c r="BB94" s="156">
        <f t="shared" ca="1" si="122"/>
        <v>0</v>
      </c>
      <c r="BC94" s="156">
        <f t="shared" ca="1" si="84"/>
        <v>0</v>
      </c>
      <c r="BD94" s="157" t="str">
        <f t="shared" ca="1" si="100"/>
        <v/>
      </c>
      <c r="BE94" s="103"/>
      <c r="BF94" s="106">
        <f t="shared" ca="1" si="123"/>
        <v>0</v>
      </c>
      <c r="BG94" s="106">
        <f t="shared" ca="1" si="124"/>
        <v>0</v>
      </c>
      <c r="BH94" s="155"/>
      <c r="BI94" s="158">
        <f t="shared" ca="1" si="125"/>
        <v>0</v>
      </c>
      <c r="BJ94" s="158">
        <f t="shared" ca="1" si="85"/>
        <v>0</v>
      </c>
      <c r="BK94" s="159" t="str">
        <f t="shared" ca="1" si="101"/>
        <v/>
      </c>
      <c r="BL94" s="103"/>
      <c r="BM94" s="160">
        <f t="shared" ca="1" si="126"/>
        <v>0</v>
      </c>
      <c r="BN94" s="160">
        <f t="shared" ca="1" si="127"/>
        <v>0</v>
      </c>
      <c r="BO94" s="155"/>
      <c r="BP94" s="161">
        <f t="shared" ca="1" si="128"/>
        <v>0</v>
      </c>
      <c r="BQ94" s="161">
        <f t="shared" ca="1" si="86"/>
        <v>0</v>
      </c>
      <c r="BR94" s="162" t="str">
        <f t="shared" ca="1" si="102"/>
        <v/>
      </c>
      <c r="BS94" s="103"/>
      <c r="BT94" s="163">
        <f t="shared" ca="1" si="129"/>
        <v>0</v>
      </c>
      <c r="BU94" s="163">
        <f t="shared" ca="1" si="130"/>
        <v>0</v>
      </c>
      <c r="BV94" s="155"/>
      <c r="BW94" s="164">
        <f t="shared" ca="1" si="131"/>
        <v>0</v>
      </c>
      <c r="BX94" s="164">
        <f t="shared" ca="1" si="87"/>
        <v>0</v>
      </c>
      <c r="BY94" s="165" t="str">
        <f t="shared" ca="1" si="103"/>
        <v/>
      </c>
      <c r="BZ94" s="103"/>
      <c r="CA94" s="166">
        <f t="shared" ca="1" si="132"/>
        <v>0</v>
      </c>
      <c r="CB94" s="166">
        <f t="shared" ca="1" si="133"/>
        <v>0</v>
      </c>
      <c r="CC94" s="155"/>
      <c r="CD94" s="167">
        <f t="shared" ca="1" si="134"/>
        <v>0</v>
      </c>
      <c r="CE94" s="167">
        <f t="shared" ca="1" si="88"/>
        <v>0</v>
      </c>
      <c r="CF94" s="168" t="str">
        <f t="shared" ca="1" si="104"/>
        <v/>
      </c>
      <c r="CG94" s="103"/>
      <c r="CH94" s="169">
        <f t="shared" ca="1" si="135"/>
        <v>0</v>
      </c>
      <c r="CI94" s="169">
        <f t="shared" ca="1" si="136"/>
        <v>0</v>
      </c>
      <c r="CJ94" s="155"/>
      <c r="CK94" s="170">
        <f t="shared" ca="1" si="137"/>
        <v>0</v>
      </c>
      <c r="CL94" s="170">
        <f t="shared" ca="1" si="89"/>
        <v>0</v>
      </c>
      <c r="CM94" s="171" t="str">
        <f t="shared" ca="1" si="105"/>
        <v/>
      </c>
      <c r="CN94" s="103"/>
      <c r="CO94" s="151">
        <v>91</v>
      </c>
      <c r="CP94" s="403">
        <v>0.12</v>
      </c>
      <c r="CQ94" s="103">
        <f t="shared" si="138"/>
        <v>0</v>
      </c>
      <c r="CR94" s="409">
        <f t="shared" si="139"/>
        <v>0.12</v>
      </c>
      <c r="CS94" s="103">
        <f t="shared" si="140"/>
        <v>1</v>
      </c>
      <c r="CT94" s="103"/>
    </row>
    <row r="95" spans="1:98">
      <c r="A95" s="189">
        <v>59</v>
      </c>
      <c r="B95" s="184">
        <f ca="1">RESUMEN!J62</f>
        <v>0</v>
      </c>
      <c r="C95" s="184">
        <f ca="1">+RESUMEN!K62</f>
        <v>0</v>
      </c>
      <c r="D95" s="185">
        <f t="shared" ca="1" si="106"/>
        <v>0</v>
      </c>
      <c r="E95" s="102"/>
      <c r="F95" s="102"/>
      <c r="G95" s="102"/>
      <c r="H95" s="176"/>
      <c r="I95" s="176"/>
      <c r="J95" s="175">
        <v>92</v>
      </c>
      <c r="K95" s="67">
        <v>344492.44</v>
      </c>
      <c r="L95" s="67">
        <v>240434.65</v>
      </c>
      <c r="M95" s="67">
        <v>305790.8</v>
      </c>
      <c r="N95" s="67">
        <v>213423.27</v>
      </c>
      <c r="O95" s="67">
        <v>270752.27</v>
      </c>
      <c r="P95" s="67">
        <v>188968.52</v>
      </c>
      <c r="Q95" s="147">
        <f t="shared" si="91"/>
        <v>0</v>
      </c>
      <c r="R95" s="147">
        <f t="shared" si="92"/>
        <v>0</v>
      </c>
      <c r="S95" s="147">
        <f t="shared" si="93"/>
        <v>0</v>
      </c>
      <c r="T95" s="147">
        <f t="shared" si="94"/>
        <v>0</v>
      </c>
      <c r="U95" s="147">
        <f t="shared" si="95"/>
        <v>0</v>
      </c>
      <c r="V95" s="147">
        <f t="shared" si="96"/>
        <v>0</v>
      </c>
      <c r="W95" s="103"/>
      <c r="X95" s="148"/>
      <c r="Y95" s="148"/>
      <c r="Z95" s="147">
        <f t="shared" si="107"/>
        <v>0</v>
      </c>
      <c r="AA95" s="147">
        <f t="shared" si="108"/>
        <v>0</v>
      </c>
      <c r="AB95" s="147">
        <f t="shared" si="109"/>
        <v>0</v>
      </c>
      <c r="AC95" s="147">
        <f t="shared" si="110"/>
        <v>0</v>
      </c>
      <c r="AD95" s="149"/>
      <c r="AE95" s="149"/>
      <c r="AF95" s="147">
        <f t="shared" si="111"/>
        <v>0</v>
      </c>
      <c r="AG95" s="147">
        <f t="shared" si="112"/>
        <v>0</v>
      </c>
      <c r="AH95" s="147">
        <f t="shared" si="113"/>
        <v>0</v>
      </c>
      <c r="AI95" s="147">
        <f t="shared" si="114"/>
        <v>0</v>
      </c>
      <c r="AJ95" s="148"/>
      <c r="AK95" s="150"/>
      <c r="AL95" s="147">
        <f t="shared" si="115"/>
        <v>0</v>
      </c>
      <c r="AM95" s="147">
        <f t="shared" si="116"/>
        <v>0</v>
      </c>
      <c r="AN95" s="147">
        <f t="shared" si="117"/>
        <v>0</v>
      </c>
      <c r="AO95" s="147">
        <f t="shared" si="118"/>
        <v>0</v>
      </c>
      <c r="AP95" s="103"/>
      <c r="AQ95" s="151">
        <v>92</v>
      </c>
      <c r="AR95" s="152">
        <f ca="1">+RESUMEN!F95</f>
        <v>0</v>
      </c>
      <c r="AS95" s="152">
        <f ca="1">+RESUMEN!G95</f>
        <v>0</v>
      </c>
      <c r="AT95" s="153">
        <f t="shared" ca="1" si="97"/>
        <v>0</v>
      </c>
      <c r="AU95" s="154">
        <f t="shared" si="119"/>
        <v>0</v>
      </c>
      <c r="AV95" s="154">
        <f t="shared" si="120"/>
        <v>0</v>
      </c>
      <c r="AW95" s="154">
        <f t="shared" ca="1" si="121"/>
        <v>0</v>
      </c>
      <c r="AX95" s="153"/>
      <c r="AY95" s="154">
        <f t="shared" ca="1" si="98"/>
        <v>0</v>
      </c>
      <c r="AZ95" s="154">
        <f t="shared" ca="1" si="99"/>
        <v>0</v>
      </c>
      <c r="BA95" s="155"/>
      <c r="BB95" s="156">
        <f t="shared" ca="1" si="122"/>
        <v>0</v>
      </c>
      <c r="BC95" s="156">
        <f t="shared" ca="1" si="84"/>
        <v>0</v>
      </c>
      <c r="BD95" s="157" t="str">
        <f t="shared" ca="1" si="100"/>
        <v/>
      </c>
      <c r="BE95" s="103"/>
      <c r="BF95" s="106">
        <f t="shared" ca="1" si="123"/>
        <v>0</v>
      </c>
      <c r="BG95" s="106">
        <f t="shared" ca="1" si="124"/>
        <v>0</v>
      </c>
      <c r="BH95" s="155"/>
      <c r="BI95" s="158">
        <f t="shared" ca="1" si="125"/>
        <v>0</v>
      </c>
      <c r="BJ95" s="158">
        <f t="shared" ca="1" si="85"/>
        <v>0</v>
      </c>
      <c r="BK95" s="159" t="str">
        <f t="shared" ca="1" si="101"/>
        <v/>
      </c>
      <c r="BL95" s="103"/>
      <c r="BM95" s="160">
        <f t="shared" ca="1" si="126"/>
        <v>0</v>
      </c>
      <c r="BN95" s="160">
        <f t="shared" ca="1" si="127"/>
        <v>0</v>
      </c>
      <c r="BO95" s="155"/>
      <c r="BP95" s="161">
        <f t="shared" ca="1" si="128"/>
        <v>0</v>
      </c>
      <c r="BQ95" s="161">
        <f t="shared" ca="1" si="86"/>
        <v>0</v>
      </c>
      <c r="BR95" s="162" t="str">
        <f t="shared" ca="1" si="102"/>
        <v/>
      </c>
      <c r="BS95" s="103"/>
      <c r="BT95" s="163">
        <f t="shared" ca="1" si="129"/>
        <v>0</v>
      </c>
      <c r="BU95" s="163">
        <f t="shared" ca="1" si="130"/>
        <v>0</v>
      </c>
      <c r="BV95" s="155"/>
      <c r="BW95" s="164">
        <f t="shared" ca="1" si="131"/>
        <v>0</v>
      </c>
      <c r="BX95" s="164">
        <f t="shared" ca="1" si="87"/>
        <v>0</v>
      </c>
      <c r="BY95" s="165" t="str">
        <f t="shared" ca="1" si="103"/>
        <v/>
      </c>
      <c r="BZ95" s="103"/>
      <c r="CA95" s="166">
        <f t="shared" ca="1" si="132"/>
        <v>0</v>
      </c>
      <c r="CB95" s="166">
        <f t="shared" ca="1" si="133"/>
        <v>0</v>
      </c>
      <c r="CC95" s="155"/>
      <c r="CD95" s="167">
        <f t="shared" ca="1" si="134"/>
        <v>0</v>
      </c>
      <c r="CE95" s="167">
        <f t="shared" ca="1" si="88"/>
        <v>0</v>
      </c>
      <c r="CF95" s="168" t="str">
        <f t="shared" ca="1" si="104"/>
        <v/>
      </c>
      <c r="CG95" s="103"/>
      <c r="CH95" s="169">
        <f t="shared" ca="1" si="135"/>
        <v>0</v>
      </c>
      <c r="CI95" s="169">
        <f t="shared" ca="1" si="136"/>
        <v>0</v>
      </c>
      <c r="CJ95" s="155"/>
      <c r="CK95" s="170">
        <f t="shared" ca="1" si="137"/>
        <v>0</v>
      </c>
      <c r="CL95" s="170">
        <f t="shared" ca="1" si="89"/>
        <v>0</v>
      </c>
      <c r="CM95" s="171" t="str">
        <f t="shared" ca="1" si="105"/>
        <v/>
      </c>
      <c r="CN95" s="103"/>
      <c r="CO95" s="151">
        <v>92</v>
      </c>
      <c r="CP95" s="403">
        <v>0.12</v>
      </c>
      <c r="CQ95" s="103">
        <f t="shared" si="138"/>
        <v>0</v>
      </c>
      <c r="CR95" s="409">
        <f t="shared" si="139"/>
        <v>0.12</v>
      </c>
      <c r="CS95" s="103">
        <f t="shared" si="140"/>
        <v>1</v>
      </c>
      <c r="CT95" s="103"/>
    </row>
    <row r="96" spans="1:98">
      <c r="A96" s="189">
        <v>60</v>
      </c>
      <c r="B96" s="184">
        <f ca="1">RESUMEN!J63</f>
        <v>0</v>
      </c>
      <c r="C96" s="184">
        <f ca="1">+RESUMEN!K63</f>
        <v>0</v>
      </c>
      <c r="D96" s="185">
        <f t="shared" ca="1" si="106"/>
        <v>0</v>
      </c>
      <c r="E96" s="102"/>
      <c r="F96" s="102"/>
      <c r="G96" s="102"/>
      <c r="H96" s="176"/>
      <c r="I96" s="176"/>
      <c r="J96" s="175">
        <v>93</v>
      </c>
      <c r="K96" s="67">
        <v>344492.44</v>
      </c>
      <c r="L96" s="67">
        <v>240434.65</v>
      </c>
      <c r="M96" s="67">
        <v>305790.8</v>
      </c>
      <c r="N96" s="67">
        <v>213423.27</v>
      </c>
      <c r="O96" s="67">
        <v>270752.27</v>
      </c>
      <c r="P96" s="67">
        <v>188968.52</v>
      </c>
      <c r="Q96" s="147">
        <f t="shared" si="91"/>
        <v>0</v>
      </c>
      <c r="R96" s="147">
        <f t="shared" si="92"/>
        <v>0</v>
      </c>
      <c r="S96" s="147">
        <f t="shared" si="93"/>
        <v>0</v>
      </c>
      <c r="T96" s="147">
        <f t="shared" si="94"/>
        <v>0</v>
      </c>
      <c r="U96" s="147">
        <f t="shared" si="95"/>
        <v>0</v>
      </c>
      <c r="V96" s="147">
        <f t="shared" si="96"/>
        <v>0</v>
      </c>
      <c r="W96" s="103"/>
      <c r="X96" s="148"/>
      <c r="Y96" s="148"/>
      <c r="Z96" s="147">
        <f t="shared" si="107"/>
        <v>0</v>
      </c>
      <c r="AA96" s="147">
        <f t="shared" si="108"/>
        <v>0</v>
      </c>
      <c r="AB96" s="147">
        <f t="shared" si="109"/>
        <v>0</v>
      </c>
      <c r="AC96" s="147">
        <f t="shared" si="110"/>
        <v>0</v>
      </c>
      <c r="AD96" s="149"/>
      <c r="AE96" s="149"/>
      <c r="AF96" s="147">
        <f t="shared" si="111"/>
        <v>0</v>
      </c>
      <c r="AG96" s="147">
        <f t="shared" si="112"/>
        <v>0</v>
      </c>
      <c r="AH96" s="147">
        <f t="shared" si="113"/>
        <v>0</v>
      </c>
      <c r="AI96" s="147">
        <f t="shared" si="114"/>
        <v>0</v>
      </c>
      <c r="AJ96" s="148"/>
      <c r="AK96" s="150"/>
      <c r="AL96" s="147">
        <f t="shared" si="115"/>
        <v>0</v>
      </c>
      <c r="AM96" s="147">
        <f t="shared" si="116"/>
        <v>0</v>
      </c>
      <c r="AN96" s="147">
        <f t="shared" si="117"/>
        <v>0</v>
      </c>
      <c r="AO96" s="147">
        <f t="shared" si="118"/>
        <v>0</v>
      </c>
      <c r="AP96" s="103"/>
      <c r="AQ96" s="151">
        <v>93</v>
      </c>
      <c r="AR96" s="152">
        <f ca="1">+RESUMEN!F96</f>
        <v>0</v>
      </c>
      <c r="AS96" s="152">
        <f ca="1">+RESUMEN!G96</f>
        <v>0</v>
      </c>
      <c r="AT96" s="153">
        <f t="shared" ca="1" si="97"/>
        <v>0</v>
      </c>
      <c r="AU96" s="154">
        <f t="shared" si="119"/>
        <v>0</v>
      </c>
      <c r="AV96" s="154">
        <f t="shared" si="120"/>
        <v>0</v>
      </c>
      <c r="AW96" s="154">
        <f t="shared" ca="1" si="121"/>
        <v>0</v>
      </c>
      <c r="AX96" s="153"/>
      <c r="AY96" s="154">
        <f t="shared" ca="1" si="98"/>
        <v>0</v>
      </c>
      <c r="AZ96" s="154">
        <f t="shared" ca="1" si="99"/>
        <v>0</v>
      </c>
      <c r="BA96" s="155"/>
      <c r="BB96" s="156">
        <f t="shared" ca="1" si="122"/>
        <v>0</v>
      </c>
      <c r="BC96" s="156">
        <f t="shared" ca="1" si="84"/>
        <v>0</v>
      </c>
      <c r="BD96" s="157" t="str">
        <f t="shared" ca="1" si="100"/>
        <v/>
      </c>
      <c r="BE96" s="103"/>
      <c r="BF96" s="106">
        <f t="shared" ca="1" si="123"/>
        <v>0</v>
      </c>
      <c r="BG96" s="106">
        <f t="shared" ca="1" si="124"/>
        <v>0</v>
      </c>
      <c r="BH96" s="155"/>
      <c r="BI96" s="158">
        <f t="shared" ca="1" si="125"/>
        <v>0</v>
      </c>
      <c r="BJ96" s="158">
        <f t="shared" ca="1" si="85"/>
        <v>0</v>
      </c>
      <c r="BK96" s="159" t="str">
        <f t="shared" ca="1" si="101"/>
        <v/>
      </c>
      <c r="BL96" s="103"/>
      <c r="BM96" s="160">
        <f t="shared" ca="1" si="126"/>
        <v>0</v>
      </c>
      <c r="BN96" s="160">
        <f t="shared" ca="1" si="127"/>
        <v>0</v>
      </c>
      <c r="BO96" s="155"/>
      <c r="BP96" s="161">
        <f t="shared" ca="1" si="128"/>
        <v>0</v>
      </c>
      <c r="BQ96" s="161">
        <f t="shared" ca="1" si="86"/>
        <v>0</v>
      </c>
      <c r="BR96" s="162" t="str">
        <f t="shared" ca="1" si="102"/>
        <v/>
      </c>
      <c r="BS96" s="103"/>
      <c r="BT96" s="163">
        <f t="shared" ca="1" si="129"/>
        <v>0</v>
      </c>
      <c r="BU96" s="163">
        <f t="shared" ca="1" si="130"/>
        <v>0</v>
      </c>
      <c r="BV96" s="155"/>
      <c r="BW96" s="164">
        <f t="shared" ca="1" si="131"/>
        <v>0</v>
      </c>
      <c r="BX96" s="164">
        <f t="shared" ca="1" si="87"/>
        <v>0</v>
      </c>
      <c r="BY96" s="165" t="str">
        <f t="shared" ca="1" si="103"/>
        <v/>
      </c>
      <c r="BZ96" s="103"/>
      <c r="CA96" s="166">
        <f t="shared" ca="1" si="132"/>
        <v>0</v>
      </c>
      <c r="CB96" s="166">
        <f t="shared" ca="1" si="133"/>
        <v>0</v>
      </c>
      <c r="CC96" s="155"/>
      <c r="CD96" s="167">
        <f t="shared" ca="1" si="134"/>
        <v>0</v>
      </c>
      <c r="CE96" s="167">
        <f t="shared" ca="1" si="88"/>
        <v>0</v>
      </c>
      <c r="CF96" s="168" t="str">
        <f t="shared" ca="1" si="104"/>
        <v/>
      </c>
      <c r="CG96" s="103"/>
      <c r="CH96" s="169">
        <f t="shared" ca="1" si="135"/>
        <v>0</v>
      </c>
      <c r="CI96" s="169">
        <f t="shared" ca="1" si="136"/>
        <v>0</v>
      </c>
      <c r="CJ96" s="155"/>
      <c r="CK96" s="170">
        <f t="shared" ca="1" si="137"/>
        <v>0</v>
      </c>
      <c r="CL96" s="170">
        <f t="shared" ca="1" si="89"/>
        <v>0</v>
      </c>
      <c r="CM96" s="171" t="str">
        <f t="shared" ca="1" si="105"/>
        <v/>
      </c>
      <c r="CN96" s="103"/>
      <c r="CO96" s="151">
        <v>93</v>
      </c>
      <c r="CP96" s="403">
        <v>0.12</v>
      </c>
      <c r="CQ96" s="103">
        <f t="shared" si="138"/>
        <v>0</v>
      </c>
      <c r="CR96" s="409">
        <f t="shared" si="139"/>
        <v>0.12</v>
      </c>
      <c r="CS96" s="103">
        <f t="shared" si="140"/>
        <v>1</v>
      </c>
      <c r="CT96" s="103"/>
    </row>
    <row r="97" spans="1:98">
      <c r="A97" s="189">
        <v>61</v>
      </c>
      <c r="B97" s="184">
        <f ca="1">RESUMEN!J64</f>
        <v>0</v>
      </c>
      <c r="C97" s="184">
        <f ca="1">+RESUMEN!K64</f>
        <v>0</v>
      </c>
      <c r="D97" s="185">
        <f t="shared" ca="1" si="106"/>
        <v>0</v>
      </c>
      <c r="E97" s="102"/>
      <c r="F97" s="102"/>
      <c r="G97" s="102"/>
      <c r="H97" s="176"/>
      <c r="I97" s="176"/>
      <c r="J97" s="175">
        <v>94</v>
      </c>
      <c r="K97" s="67">
        <v>344492.44</v>
      </c>
      <c r="L97" s="67">
        <v>240434.65</v>
      </c>
      <c r="M97" s="67">
        <v>305790.8</v>
      </c>
      <c r="N97" s="67">
        <v>213423.27</v>
      </c>
      <c r="O97" s="67">
        <v>270752.27</v>
      </c>
      <c r="P97" s="67">
        <v>188968.52</v>
      </c>
      <c r="Q97" s="147">
        <f t="shared" si="91"/>
        <v>0</v>
      </c>
      <c r="R97" s="147">
        <f t="shared" si="92"/>
        <v>0</v>
      </c>
      <c r="S97" s="147">
        <f t="shared" si="93"/>
        <v>0</v>
      </c>
      <c r="T97" s="147">
        <f t="shared" si="94"/>
        <v>0</v>
      </c>
      <c r="U97" s="147">
        <f t="shared" si="95"/>
        <v>0</v>
      </c>
      <c r="V97" s="147">
        <f t="shared" si="96"/>
        <v>0</v>
      </c>
      <c r="W97" s="103"/>
      <c r="X97" s="148"/>
      <c r="Y97" s="148"/>
      <c r="Z97" s="147">
        <f t="shared" si="107"/>
        <v>0</v>
      </c>
      <c r="AA97" s="147">
        <f t="shared" si="108"/>
        <v>0</v>
      </c>
      <c r="AB97" s="147">
        <f t="shared" si="109"/>
        <v>0</v>
      </c>
      <c r="AC97" s="147">
        <f t="shared" si="110"/>
        <v>0</v>
      </c>
      <c r="AD97" s="149"/>
      <c r="AE97" s="149"/>
      <c r="AF97" s="147">
        <f t="shared" si="111"/>
        <v>0</v>
      </c>
      <c r="AG97" s="147">
        <f t="shared" si="112"/>
        <v>0</v>
      </c>
      <c r="AH97" s="147">
        <f t="shared" si="113"/>
        <v>0</v>
      </c>
      <c r="AI97" s="147">
        <f t="shared" si="114"/>
        <v>0</v>
      </c>
      <c r="AJ97" s="148"/>
      <c r="AK97" s="150"/>
      <c r="AL97" s="147">
        <f t="shared" si="115"/>
        <v>0</v>
      </c>
      <c r="AM97" s="147">
        <f t="shared" si="116"/>
        <v>0</v>
      </c>
      <c r="AN97" s="147">
        <f t="shared" si="117"/>
        <v>0</v>
      </c>
      <c r="AO97" s="147">
        <f t="shared" si="118"/>
        <v>0</v>
      </c>
      <c r="AP97" s="103"/>
      <c r="AQ97" s="151">
        <v>94</v>
      </c>
      <c r="AR97" s="152">
        <f ca="1">+RESUMEN!F97</f>
        <v>0</v>
      </c>
      <c r="AS97" s="152">
        <f ca="1">+RESUMEN!G97</f>
        <v>0</v>
      </c>
      <c r="AT97" s="153">
        <f t="shared" ca="1" si="97"/>
        <v>0</v>
      </c>
      <c r="AU97" s="154">
        <f t="shared" si="119"/>
        <v>0</v>
      </c>
      <c r="AV97" s="154">
        <f t="shared" si="120"/>
        <v>0</v>
      </c>
      <c r="AW97" s="154">
        <f t="shared" ca="1" si="121"/>
        <v>0</v>
      </c>
      <c r="AX97" s="153"/>
      <c r="AY97" s="154">
        <f t="shared" ca="1" si="98"/>
        <v>0</v>
      </c>
      <c r="AZ97" s="154">
        <f t="shared" ca="1" si="99"/>
        <v>0</v>
      </c>
      <c r="BA97" s="155"/>
      <c r="BB97" s="156">
        <f t="shared" ca="1" si="122"/>
        <v>0</v>
      </c>
      <c r="BC97" s="156">
        <f t="shared" ca="1" si="84"/>
        <v>0</v>
      </c>
      <c r="BD97" s="157" t="str">
        <f t="shared" ca="1" si="100"/>
        <v/>
      </c>
      <c r="BE97" s="103"/>
      <c r="BF97" s="106">
        <f t="shared" ca="1" si="123"/>
        <v>0</v>
      </c>
      <c r="BG97" s="106">
        <f t="shared" ca="1" si="124"/>
        <v>0</v>
      </c>
      <c r="BH97" s="155"/>
      <c r="BI97" s="158">
        <f t="shared" ca="1" si="125"/>
        <v>0</v>
      </c>
      <c r="BJ97" s="158">
        <f t="shared" ca="1" si="85"/>
        <v>0</v>
      </c>
      <c r="BK97" s="159" t="str">
        <f t="shared" ca="1" si="101"/>
        <v/>
      </c>
      <c r="BL97" s="103"/>
      <c r="BM97" s="160">
        <f t="shared" ca="1" si="126"/>
        <v>0</v>
      </c>
      <c r="BN97" s="160">
        <f t="shared" ca="1" si="127"/>
        <v>0</v>
      </c>
      <c r="BO97" s="155"/>
      <c r="BP97" s="161">
        <f t="shared" ca="1" si="128"/>
        <v>0</v>
      </c>
      <c r="BQ97" s="161">
        <f t="shared" ca="1" si="86"/>
        <v>0</v>
      </c>
      <c r="BR97" s="162" t="str">
        <f t="shared" ca="1" si="102"/>
        <v/>
      </c>
      <c r="BS97" s="103"/>
      <c r="BT97" s="163">
        <f t="shared" ca="1" si="129"/>
        <v>0</v>
      </c>
      <c r="BU97" s="163">
        <f t="shared" ca="1" si="130"/>
        <v>0</v>
      </c>
      <c r="BV97" s="155"/>
      <c r="BW97" s="164">
        <f t="shared" ca="1" si="131"/>
        <v>0</v>
      </c>
      <c r="BX97" s="164">
        <f t="shared" ca="1" si="87"/>
        <v>0</v>
      </c>
      <c r="BY97" s="165" t="str">
        <f t="shared" ca="1" si="103"/>
        <v/>
      </c>
      <c r="BZ97" s="103"/>
      <c r="CA97" s="166">
        <f t="shared" ca="1" si="132"/>
        <v>0</v>
      </c>
      <c r="CB97" s="166">
        <f t="shared" ca="1" si="133"/>
        <v>0</v>
      </c>
      <c r="CC97" s="155"/>
      <c r="CD97" s="167">
        <f t="shared" ca="1" si="134"/>
        <v>0</v>
      </c>
      <c r="CE97" s="167">
        <f t="shared" ca="1" si="88"/>
        <v>0</v>
      </c>
      <c r="CF97" s="168" t="str">
        <f t="shared" ca="1" si="104"/>
        <v/>
      </c>
      <c r="CG97" s="103"/>
      <c r="CH97" s="169">
        <f t="shared" ca="1" si="135"/>
        <v>0</v>
      </c>
      <c r="CI97" s="169">
        <f t="shared" ca="1" si="136"/>
        <v>0</v>
      </c>
      <c r="CJ97" s="155"/>
      <c r="CK97" s="170">
        <f t="shared" ca="1" si="137"/>
        <v>0</v>
      </c>
      <c r="CL97" s="170">
        <f t="shared" ca="1" si="89"/>
        <v>0</v>
      </c>
      <c r="CM97" s="171" t="str">
        <f t="shared" ca="1" si="105"/>
        <v/>
      </c>
      <c r="CN97" s="103"/>
      <c r="CO97" s="151">
        <v>94</v>
      </c>
      <c r="CP97" s="403">
        <v>0.12</v>
      </c>
      <c r="CQ97" s="103">
        <f t="shared" si="138"/>
        <v>0</v>
      </c>
      <c r="CR97" s="409">
        <f t="shared" si="139"/>
        <v>0.12</v>
      </c>
      <c r="CS97" s="103">
        <f t="shared" si="140"/>
        <v>1</v>
      </c>
      <c r="CT97" s="103"/>
    </row>
    <row r="98" spans="1:98">
      <c r="A98" s="189">
        <v>62</v>
      </c>
      <c r="B98" s="184">
        <f ca="1">RESUMEN!J65</f>
        <v>0</v>
      </c>
      <c r="C98" s="184">
        <f ca="1">+RESUMEN!K65</f>
        <v>0</v>
      </c>
      <c r="D98" s="185">
        <f t="shared" ca="1" si="106"/>
        <v>0</v>
      </c>
      <c r="E98" s="102"/>
      <c r="F98" s="102"/>
      <c r="G98" s="102"/>
      <c r="H98" s="176"/>
      <c r="I98" s="176"/>
      <c r="J98" s="175">
        <v>95</v>
      </c>
      <c r="K98" s="67">
        <v>344492.44</v>
      </c>
      <c r="L98" s="67">
        <v>240434.65</v>
      </c>
      <c r="M98" s="67">
        <v>305790.8</v>
      </c>
      <c r="N98" s="67">
        <v>213423.27</v>
      </c>
      <c r="O98" s="67">
        <v>270752.27</v>
      </c>
      <c r="P98" s="67">
        <v>188968.52</v>
      </c>
      <c r="Q98" s="147">
        <f t="shared" si="91"/>
        <v>0</v>
      </c>
      <c r="R98" s="147">
        <f t="shared" si="92"/>
        <v>0</v>
      </c>
      <c r="S98" s="147">
        <f t="shared" si="93"/>
        <v>0</v>
      </c>
      <c r="T98" s="147">
        <f t="shared" si="94"/>
        <v>0</v>
      </c>
      <c r="U98" s="147">
        <f t="shared" si="95"/>
        <v>0</v>
      </c>
      <c r="V98" s="147">
        <f t="shared" si="96"/>
        <v>0</v>
      </c>
      <c r="W98" s="103"/>
      <c r="X98" s="148"/>
      <c r="Y98" s="148"/>
      <c r="Z98" s="147">
        <f t="shared" si="107"/>
        <v>0</v>
      </c>
      <c r="AA98" s="147">
        <f t="shared" si="108"/>
        <v>0</v>
      </c>
      <c r="AB98" s="147">
        <f t="shared" si="109"/>
        <v>0</v>
      </c>
      <c r="AC98" s="147">
        <f t="shared" si="110"/>
        <v>0</v>
      </c>
      <c r="AD98" s="149"/>
      <c r="AE98" s="149"/>
      <c r="AF98" s="147">
        <f t="shared" si="111"/>
        <v>0</v>
      </c>
      <c r="AG98" s="147">
        <f t="shared" si="112"/>
        <v>0</v>
      </c>
      <c r="AH98" s="147">
        <f t="shared" si="113"/>
        <v>0</v>
      </c>
      <c r="AI98" s="147">
        <f t="shared" si="114"/>
        <v>0</v>
      </c>
      <c r="AJ98" s="148"/>
      <c r="AK98" s="150"/>
      <c r="AL98" s="147">
        <f t="shared" si="115"/>
        <v>0</v>
      </c>
      <c r="AM98" s="147">
        <f t="shared" si="116"/>
        <v>0</v>
      </c>
      <c r="AN98" s="147">
        <f t="shared" si="117"/>
        <v>0</v>
      </c>
      <c r="AO98" s="147">
        <f t="shared" si="118"/>
        <v>0</v>
      </c>
      <c r="AP98" s="103"/>
      <c r="AQ98" s="151">
        <v>95</v>
      </c>
      <c r="AR98" s="152">
        <f ca="1">+RESUMEN!F98</f>
        <v>0</v>
      </c>
      <c r="AS98" s="152">
        <f ca="1">+RESUMEN!G98</f>
        <v>0</v>
      </c>
      <c r="AT98" s="153">
        <f t="shared" ca="1" si="97"/>
        <v>0</v>
      </c>
      <c r="AU98" s="154">
        <f t="shared" si="119"/>
        <v>0</v>
      </c>
      <c r="AV98" s="154">
        <f t="shared" si="120"/>
        <v>0</v>
      </c>
      <c r="AW98" s="154">
        <f t="shared" ca="1" si="121"/>
        <v>0</v>
      </c>
      <c r="AX98" s="153"/>
      <c r="AY98" s="154">
        <f t="shared" ca="1" si="98"/>
        <v>0</v>
      </c>
      <c r="AZ98" s="154">
        <f t="shared" ca="1" si="99"/>
        <v>0</v>
      </c>
      <c r="BA98" s="155"/>
      <c r="BB98" s="156">
        <f t="shared" ca="1" si="122"/>
        <v>0</v>
      </c>
      <c r="BC98" s="156">
        <f t="shared" ca="1" si="84"/>
        <v>0</v>
      </c>
      <c r="BD98" s="157" t="str">
        <f t="shared" ca="1" si="100"/>
        <v/>
      </c>
      <c r="BE98" s="103"/>
      <c r="BF98" s="106">
        <f t="shared" ca="1" si="123"/>
        <v>0</v>
      </c>
      <c r="BG98" s="106">
        <f t="shared" ca="1" si="124"/>
        <v>0</v>
      </c>
      <c r="BH98" s="155"/>
      <c r="BI98" s="158">
        <f t="shared" ca="1" si="125"/>
        <v>0</v>
      </c>
      <c r="BJ98" s="158">
        <f t="shared" ca="1" si="85"/>
        <v>0</v>
      </c>
      <c r="BK98" s="159" t="str">
        <f t="shared" ca="1" si="101"/>
        <v/>
      </c>
      <c r="BL98" s="103"/>
      <c r="BM98" s="160">
        <f t="shared" ca="1" si="126"/>
        <v>0</v>
      </c>
      <c r="BN98" s="160">
        <f t="shared" ca="1" si="127"/>
        <v>0</v>
      </c>
      <c r="BO98" s="155"/>
      <c r="BP98" s="161">
        <f t="shared" ca="1" si="128"/>
        <v>0</v>
      </c>
      <c r="BQ98" s="161">
        <f t="shared" ca="1" si="86"/>
        <v>0</v>
      </c>
      <c r="BR98" s="162" t="str">
        <f t="shared" ca="1" si="102"/>
        <v/>
      </c>
      <c r="BS98" s="103"/>
      <c r="BT98" s="163">
        <f t="shared" ca="1" si="129"/>
        <v>0</v>
      </c>
      <c r="BU98" s="163">
        <f t="shared" ca="1" si="130"/>
        <v>0</v>
      </c>
      <c r="BV98" s="155"/>
      <c r="BW98" s="164">
        <f t="shared" ca="1" si="131"/>
        <v>0</v>
      </c>
      <c r="BX98" s="164">
        <f t="shared" ca="1" si="87"/>
        <v>0</v>
      </c>
      <c r="BY98" s="165" t="str">
        <f t="shared" ca="1" si="103"/>
        <v/>
      </c>
      <c r="BZ98" s="103"/>
      <c r="CA98" s="166">
        <f t="shared" ca="1" si="132"/>
        <v>0</v>
      </c>
      <c r="CB98" s="166">
        <f t="shared" ca="1" si="133"/>
        <v>0</v>
      </c>
      <c r="CC98" s="155"/>
      <c r="CD98" s="167">
        <f t="shared" ca="1" si="134"/>
        <v>0</v>
      </c>
      <c r="CE98" s="167">
        <f t="shared" ca="1" si="88"/>
        <v>0</v>
      </c>
      <c r="CF98" s="168" t="str">
        <f t="shared" ca="1" si="104"/>
        <v/>
      </c>
      <c r="CG98" s="103"/>
      <c r="CH98" s="169">
        <f t="shared" ca="1" si="135"/>
        <v>0</v>
      </c>
      <c r="CI98" s="169">
        <f t="shared" ca="1" si="136"/>
        <v>0</v>
      </c>
      <c r="CJ98" s="155"/>
      <c r="CK98" s="170">
        <f t="shared" ca="1" si="137"/>
        <v>0</v>
      </c>
      <c r="CL98" s="170">
        <f t="shared" ca="1" si="89"/>
        <v>0</v>
      </c>
      <c r="CM98" s="171" t="str">
        <f t="shared" ca="1" si="105"/>
        <v/>
      </c>
      <c r="CN98" s="103"/>
      <c r="CO98" s="151">
        <v>95</v>
      </c>
      <c r="CP98" s="403">
        <v>0.12</v>
      </c>
      <c r="CQ98" s="103">
        <f t="shared" si="138"/>
        <v>0</v>
      </c>
      <c r="CR98" s="409">
        <f t="shared" si="139"/>
        <v>0.12</v>
      </c>
      <c r="CS98" s="103">
        <f t="shared" si="140"/>
        <v>1</v>
      </c>
      <c r="CT98" s="103"/>
    </row>
    <row r="99" spans="1:98">
      <c r="A99" s="189">
        <v>63</v>
      </c>
      <c r="B99" s="184">
        <f ca="1">RESUMEN!J66</f>
        <v>0</v>
      </c>
      <c r="C99" s="184">
        <f ca="1">+RESUMEN!K66</f>
        <v>0</v>
      </c>
      <c r="D99" s="185">
        <f t="shared" ca="1" si="106"/>
        <v>0</v>
      </c>
      <c r="E99" s="102"/>
      <c r="F99" s="102"/>
      <c r="G99" s="102"/>
      <c r="H99" s="176"/>
      <c r="I99" s="176"/>
      <c r="J99" s="175">
        <v>96</v>
      </c>
      <c r="K99" s="67">
        <v>344492.44</v>
      </c>
      <c r="L99" s="67">
        <v>240434.65</v>
      </c>
      <c r="M99" s="67">
        <v>305790.8</v>
      </c>
      <c r="N99" s="67">
        <v>213423.27</v>
      </c>
      <c r="O99" s="67">
        <v>270752.27</v>
      </c>
      <c r="P99" s="67">
        <v>188968.52</v>
      </c>
      <c r="Q99" s="147">
        <f t="shared" si="91"/>
        <v>0</v>
      </c>
      <c r="R99" s="147">
        <f t="shared" si="92"/>
        <v>0</v>
      </c>
      <c r="S99" s="147">
        <f t="shared" si="93"/>
        <v>0</v>
      </c>
      <c r="T99" s="147">
        <f t="shared" si="94"/>
        <v>0</v>
      </c>
      <c r="U99" s="147">
        <f t="shared" si="95"/>
        <v>0</v>
      </c>
      <c r="V99" s="147">
        <f t="shared" si="96"/>
        <v>0</v>
      </c>
      <c r="W99" s="103"/>
      <c r="X99" s="148"/>
      <c r="Y99" s="148"/>
      <c r="Z99" s="147">
        <f t="shared" si="107"/>
        <v>0</v>
      </c>
      <c r="AA99" s="147">
        <f t="shared" si="108"/>
        <v>0</v>
      </c>
      <c r="AB99" s="147">
        <f t="shared" si="109"/>
        <v>0</v>
      </c>
      <c r="AC99" s="147">
        <f t="shared" si="110"/>
        <v>0</v>
      </c>
      <c r="AD99" s="149"/>
      <c r="AE99" s="149"/>
      <c r="AF99" s="147">
        <f t="shared" si="111"/>
        <v>0</v>
      </c>
      <c r="AG99" s="147">
        <f t="shared" si="112"/>
        <v>0</v>
      </c>
      <c r="AH99" s="147">
        <f t="shared" si="113"/>
        <v>0</v>
      </c>
      <c r="AI99" s="147">
        <f t="shared" si="114"/>
        <v>0</v>
      </c>
      <c r="AJ99" s="148"/>
      <c r="AK99" s="150"/>
      <c r="AL99" s="147">
        <f t="shared" si="115"/>
        <v>0</v>
      </c>
      <c r="AM99" s="147">
        <f t="shared" si="116"/>
        <v>0</v>
      </c>
      <c r="AN99" s="147">
        <f t="shared" si="117"/>
        <v>0</v>
      </c>
      <c r="AO99" s="147">
        <f t="shared" si="118"/>
        <v>0</v>
      </c>
      <c r="AP99" s="103"/>
      <c r="AQ99" s="151">
        <v>96</v>
      </c>
      <c r="AR99" s="152">
        <f ca="1">+RESUMEN!F99</f>
        <v>0</v>
      </c>
      <c r="AS99" s="152">
        <f ca="1">+RESUMEN!G99</f>
        <v>0</v>
      </c>
      <c r="AT99" s="153">
        <f t="shared" ref="AT99:AT103" ca="1" si="141">AR99+AS99</f>
        <v>0</v>
      </c>
      <c r="AU99" s="154">
        <f t="shared" si="119"/>
        <v>0</v>
      </c>
      <c r="AV99" s="154">
        <f t="shared" si="120"/>
        <v>0</v>
      </c>
      <c r="AW99" s="154">
        <f t="shared" ca="1" si="121"/>
        <v>0</v>
      </c>
      <c r="AX99" s="153"/>
      <c r="AY99" s="154">
        <f t="shared" ca="1" si="98"/>
        <v>0</v>
      </c>
      <c r="AZ99" s="154">
        <f t="shared" ca="1" si="99"/>
        <v>0</v>
      </c>
      <c r="BA99" s="155"/>
      <c r="BB99" s="156">
        <f t="shared" ca="1" si="122"/>
        <v>0</v>
      </c>
      <c r="BC99" s="156">
        <f t="shared" ca="1" si="84"/>
        <v>0</v>
      </c>
      <c r="BD99" s="157" t="str">
        <f t="shared" ref="BD99:BD103" ca="1" si="142">IF(AY99=0,"",(SUM(BB99:BC99)))</f>
        <v/>
      </c>
      <c r="BE99" s="103"/>
      <c r="BF99" s="106">
        <f t="shared" ca="1" si="123"/>
        <v>0</v>
      </c>
      <c r="BG99" s="106">
        <f t="shared" ca="1" si="124"/>
        <v>0</v>
      </c>
      <c r="BH99" s="155"/>
      <c r="BI99" s="158">
        <f t="shared" ca="1" si="125"/>
        <v>0</v>
      </c>
      <c r="BJ99" s="158">
        <f t="shared" ca="1" si="85"/>
        <v>0</v>
      </c>
      <c r="BK99" s="159" t="str">
        <f t="shared" ref="BK99:BK103" ca="1" si="143">IF(BF99=0,"",(SUM(BI99:BJ99)))</f>
        <v/>
      </c>
      <c r="BL99" s="103"/>
      <c r="BM99" s="160">
        <f t="shared" ca="1" si="126"/>
        <v>0</v>
      </c>
      <c r="BN99" s="160">
        <f t="shared" ca="1" si="127"/>
        <v>0</v>
      </c>
      <c r="BO99" s="155"/>
      <c r="BP99" s="161">
        <f t="shared" ca="1" si="128"/>
        <v>0</v>
      </c>
      <c r="BQ99" s="161">
        <f t="shared" ca="1" si="86"/>
        <v>0</v>
      </c>
      <c r="BR99" s="162" t="str">
        <f t="shared" ref="BR99:BR103" ca="1" si="144">IF(BM99=0,"",(SUM(BP99:BQ99)))</f>
        <v/>
      </c>
      <c r="BS99" s="103"/>
      <c r="BT99" s="163">
        <f t="shared" ca="1" si="129"/>
        <v>0</v>
      </c>
      <c r="BU99" s="163">
        <f t="shared" ca="1" si="130"/>
        <v>0</v>
      </c>
      <c r="BV99" s="155"/>
      <c r="BW99" s="164">
        <f t="shared" ca="1" si="131"/>
        <v>0</v>
      </c>
      <c r="BX99" s="164">
        <f t="shared" ca="1" si="87"/>
        <v>0</v>
      </c>
      <c r="BY99" s="165" t="str">
        <f t="shared" ref="BY99:BY103" ca="1" si="145">IF(BT99=0,"",(SUM(BW99:BX99)))</f>
        <v/>
      </c>
      <c r="BZ99" s="103"/>
      <c r="CA99" s="166">
        <f t="shared" ca="1" si="132"/>
        <v>0</v>
      </c>
      <c r="CB99" s="166">
        <f t="shared" ca="1" si="133"/>
        <v>0</v>
      </c>
      <c r="CC99" s="155"/>
      <c r="CD99" s="167">
        <f t="shared" ca="1" si="134"/>
        <v>0</v>
      </c>
      <c r="CE99" s="167">
        <f t="shared" ca="1" si="88"/>
        <v>0</v>
      </c>
      <c r="CF99" s="168" t="str">
        <f t="shared" ref="CF99:CF103" ca="1" si="146">IF(CA99=0,"",(SUM(CD99:CE99)))</f>
        <v/>
      </c>
      <c r="CG99" s="103"/>
      <c r="CH99" s="169">
        <f t="shared" ca="1" si="135"/>
        <v>0</v>
      </c>
      <c r="CI99" s="169">
        <f t="shared" ca="1" si="136"/>
        <v>0</v>
      </c>
      <c r="CJ99" s="155"/>
      <c r="CK99" s="170">
        <f t="shared" ca="1" si="137"/>
        <v>0</v>
      </c>
      <c r="CL99" s="170">
        <f t="shared" ca="1" si="89"/>
        <v>0</v>
      </c>
      <c r="CM99" s="171" t="str">
        <f t="shared" ref="CM99:CM103" ca="1" si="147">IF(CH99=0,"",(SUM(CK99:CL99)))</f>
        <v/>
      </c>
      <c r="CN99" s="103"/>
      <c r="CO99" s="151">
        <v>96</v>
      </c>
      <c r="CP99" s="403">
        <v>0.12</v>
      </c>
      <c r="CQ99" s="103">
        <f t="shared" si="138"/>
        <v>0</v>
      </c>
      <c r="CR99" s="409">
        <f t="shared" si="139"/>
        <v>0.12</v>
      </c>
      <c r="CS99" s="103">
        <f t="shared" si="140"/>
        <v>1</v>
      </c>
      <c r="CT99" s="103"/>
    </row>
    <row r="100" spans="1:98">
      <c r="A100" s="189">
        <v>64</v>
      </c>
      <c r="B100" s="184">
        <f ca="1">RESUMEN!J67</f>
        <v>0</v>
      </c>
      <c r="C100" s="184">
        <f ca="1">+RESUMEN!K67</f>
        <v>0</v>
      </c>
      <c r="D100" s="185">
        <f t="shared" ref="D100:D131" ca="1" si="148">B100+C100</f>
        <v>0</v>
      </c>
      <c r="E100" s="102"/>
      <c r="F100" s="102"/>
      <c r="G100" s="102"/>
      <c r="H100" s="176"/>
      <c r="I100" s="176"/>
      <c r="J100" s="175">
        <v>97</v>
      </c>
      <c r="K100" s="67">
        <v>344492.44</v>
      </c>
      <c r="L100" s="67">
        <v>240434.65</v>
      </c>
      <c r="M100" s="67">
        <v>305790.8</v>
      </c>
      <c r="N100" s="67">
        <v>213423.27</v>
      </c>
      <c r="O100" s="67">
        <v>270752.27</v>
      </c>
      <c r="P100" s="67">
        <v>188968.52</v>
      </c>
      <c r="Q100" s="147">
        <f t="shared" si="91"/>
        <v>0</v>
      </c>
      <c r="R100" s="147">
        <f t="shared" si="92"/>
        <v>0</v>
      </c>
      <c r="S100" s="147">
        <f t="shared" si="93"/>
        <v>0</v>
      </c>
      <c r="T100" s="147">
        <f t="shared" si="94"/>
        <v>0</v>
      </c>
      <c r="U100" s="147">
        <f t="shared" si="95"/>
        <v>0</v>
      </c>
      <c r="V100" s="147">
        <f t="shared" si="96"/>
        <v>0</v>
      </c>
      <c r="W100" s="103"/>
      <c r="X100" s="148"/>
      <c r="Y100" s="148"/>
      <c r="Z100" s="147">
        <f t="shared" si="107"/>
        <v>0</v>
      </c>
      <c r="AA100" s="147">
        <f t="shared" si="108"/>
        <v>0</v>
      </c>
      <c r="AB100" s="147">
        <f t="shared" si="109"/>
        <v>0</v>
      </c>
      <c r="AC100" s="147">
        <f t="shared" si="110"/>
        <v>0</v>
      </c>
      <c r="AD100" s="149"/>
      <c r="AE100" s="149"/>
      <c r="AF100" s="147">
        <f t="shared" si="111"/>
        <v>0</v>
      </c>
      <c r="AG100" s="147">
        <f t="shared" si="112"/>
        <v>0</v>
      </c>
      <c r="AH100" s="147">
        <f t="shared" si="113"/>
        <v>0</v>
      </c>
      <c r="AI100" s="147">
        <f t="shared" si="114"/>
        <v>0</v>
      </c>
      <c r="AJ100" s="148"/>
      <c r="AK100" s="150"/>
      <c r="AL100" s="147">
        <f t="shared" si="115"/>
        <v>0</v>
      </c>
      <c r="AM100" s="147">
        <f t="shared" si="116"/>
        <v>0</v>
      </c>
      <c r="AN100" s="147">
        <f t="shared" si="117"/>
        <v>0</v>
      </c>
      <c r="AO100" s="147">
        <f t="shared" si="118"/>
        <v>0</v>
      </c>
      <c r="AP100" s="103"/>
      <c r="AQ100" s="151">
        <v>97</v>
      </c>
      <c r="AR100" s="152">
        <f ca="1">+RESUMEN!F100</f>
        <v>0</v>
      </c>
      <c r="AS100" s="152">
        <f ca="1">+RESUMEN!G100</f>
        <v>0</v>
      </c>
      <c r="AT100" s="153">
        <f t="shared" ca="1" si="141"/>
        <v>0</v>
      </c>
      <c r="AU100" s="154">
        <f t="shared" si="119"/>
        <v>0</v>
      </c>
      <c r="AV100" s="154">
        <f t="shared" si="120"/>
        <v>0</v>
      </c>
      <c r="AW100" s="154">
        <f t="shared" ca="1" si="121"/>
        <v>0</v>
      </c>
      <c r="AX100" s="153"/>
      <c r="AY100" s="154">
        <f t="shared" ca="1" si="98"/>
        <v>0</v>
      </c>
      <c r="AZ100" s="154">
        <f t="shared" ca="1" si="99"/>
        <v>0</v>
      </c>
      <c r="BA100" s="155"/>
      <c r="BB100" s="156">
        <f t="shared" ca="1" si="122"/>
        <v>0</v>
      </c>
      <c r="BC100" s="156">
        <f t="shared" ca="1" si="84"/>
        <v>0</v>
      </c>
      <c r="BD100" s="157" t="str">
        <f t="shared" ca="1" si="142"/>
        <v/>
      </c>
      <c r="BE100" s="103"/>
      <c r="BF100" s="106">
        <f t="shared" ca="1" si="123"/>
        <v>0</v>
      </c>
      <c r="BG100" s="106">
        <f t="shared" ca="1" si="124"/>
        <v>0</v>
      </c>
      <c r="BH100" s="155"/>
      <c r="BI100" s="158">
        <f t="shared" ca="1" si="125"/>
        <v>0</v>
      </c>
      <c r="BJ100" s="158">
        <f t="shared" ca="1" si="85"/>
        <v>0</v>
      </c>
      <c r="BK100" s="159" t="str">
        <f t="shared" ca="1" si="143"/>
        <v/>
      </c>
      <c r="BL100" s="103"/>
      <c r="BM100" s="160">
        <f t="shared" ca="1" si="126"/>
        <v>0</v>
      </c>
      <c r="BN100" s="160">
        <f t="shared" ca="1" si="127"/>
        <v>0</v>
      </c>
      <c r="BO100" s="155"/>
      <c r="BP100" s="161">
        <f t="shared" ca="1" si="128"/>
        <v>0</v>
      </c>
      <c r="BQ100" s="161">
        <f t="shared" ca="1" si="86"/>
        <v>0</v>
      </c>
      <c r="BR100" s="162" t="str">
        <f t="shared" ca="1" si="144"/>
        <v/>
      </c>
      <c r="BS100" s="103"/>
      <c r="BT100" s="163">
        <f t="shared" ca="1" si="129"/>
        <v>0</v>
      </c>
      <c r="BU100" s="163">
        <f t="shared" ca="1" si="130"/>
        <v>0</v>
      </c>
      <c r="BV100" s="155"/>
      <c r="BW100" s="164">
        <f t="shared" ca="1" si="131"/>
        <v>0</v>
      </c>
      <c r="BX100" s="164">
        <f t="shared" ca="1" si="87"/>
        <v>0</v>
      </c>
      <c r="BY100" s="165" t="str">
        <f t="shared" ca="1" si="145"/>
        <v/>
      </c>
      <c r="BZ100" s="103"/>
      <c r="CA100" s="166">
        <f t="shared" ca="1" si="132"/>
        <v>0</v>
      </c>
      <c r="CB100" s="166">
        <f t="shared" ca="1" si="133"/>
        <v>0</v>
      </c>
      <c r="CC100" s="155"/>
      <c r="CD100" s="167">
        <f t="shared" ca="1" si="134"/>
        <v>0</v>
      </c>
      <c r="CE100" s="167">
        <f t="shared" ca="1" si="88"/>
        <v>0</v>
      </c>
      <c r="CF100" s="168" t="str">
        <f t="shared" ca="1" si="146"/>
        <v/>
      </c>
      <c r="CG100" s="103"/>
      <c r="CH100" s="169">
        <f t="shared" ca="1" si="135"/>
        <v>0</v>
      </c>
      <c r="CI100" s="169">
        <f t="shared" ca="1" si="136"/>
        <v>0</v>
      </c>
      <c r="CJ100" s="155"/>
      <c r="CK100" s="170">
        <f t="shared" ca="1" si="137"/>
        <v>0</v>
      </c>
      <c r="CL100" s="170">
        <f t="shared" ca="1" si="89"/>
        <v>0</v>
      </c>
      <c r="CM100" s="171" t="str">
        <f t="shared" ca="1" si="147"/>
        <v/>
      </c>
      <c r="CN100" s="103"/>
      <c r="CO100" s="151">
        <v>97</v>
      </c>
      <c r="CP100" s="403">
        <v>0.12</v>
      </c>
      <c r="CQ100" s="103">
        <f t="shared" si="138"/>
        <v>0</v>
      </c>
      <c r="CR100" s="409">
        <f t="shared" si="139"/>
        <v>0.12</v>
      </c>
      <c r="CS100" s="103">
        <f t="shared" si="140"/>
        <v>1</v>
      </c>
      <c r="CT100" s="103"/>
    </row>
    <row r="101" spans="1:98">
      <c r="A101" s="189">
        <v>65</v>
      </c>
      <c r="B101" s="184">
        <f ca="1">RESUMEN!J68</f>
        <v>0</v>
      </c>
      <c r="C101" s="184">
        <f ca="1">+RESUMEN!K68</f>
        <v>0</v>
      </c>
      <c r="D101" s="185">
        <f t="shared" ca="1" si="148"/>
        <v>0</v>
      </c>
      <c r="E101" s="102"/>
      <c r="F101" s="102"/>
      <c r="G101" s="102"/>
      <c r="H101" s="176"/>
      <c r="I101" s="176"/>
      <c r="J101" s="175">
        <v>98</v>
      </c>
      <c r="K101" s="67">
        <v>344492.44</v>
      </c>
      <c r="L101" s="67">
        <v>240434.65</v>
      </c>
      <c r="M101" s="67">
        <v>305790.8</v>
      </c>
      <c r="N101" s="67">
        <v>213423.27</v>
      </c>
      <c r="O101" s="67">
        <v>270752.27</v>
      </c>
      <c r="P101" s="67">
        <v>188968.52</v>
      </c>
      <c r="Q101" s="147">
        <f t="shared" si="91"/>
        <v>0</v>
      </c>
      <c r="R101" s="147">
        <f t="shared" si="92"/>
        <v>0</v>
      </c>
      <c r="S101" s="147">
        <f t="shared" si="93"/>
        <v>0</v>
      </c>
      <c r="T101" s="147">
        <f t="shared" si="94"/>
        <v>0</v>
      </c>
      <c r="U101" s="147">
        <f t="shared" si="95"/>
        <v>0</v>
      </c>
      <c r="V101" s="147">
        <f t="shared" si="96"/>
        <v>0</v>
      </c>
      <c r="W101" s="103"/>
      <c r="X101" s="148"/>
      <c r="Y101" s="148"/>
      <c r="Z101" s="147">
        <f t="shared" si="107"/>
        <v>0</v>
      </c>
      <c r="AA101" s="147">
        <f t="shared" si="108"/>
        <v>0</v>
      </c>
      <c r="AB101" s="147">
        <f t="shared" si="109"/>
        <v>0</v>
      </c>
      <c r="AC101" s="147">
        <f t="shared" si="110"/>
        <v>0</v>
      </c>
      <c r="AD101" s="149"/>
      <c r="AE101" s="149"/>
      <c r="AF101" s="147">
        <f t="shared" si="111"/>
        <v>0</v>
      </c>
      <c r="AG101" s="147">
        <f t="shared" si="112"/>
        <v>0</v>
      </c>
      <c r="AH101" s="147">
        <f t="shared" si="113"/>
        <v>0</v>
      </c>
      <c r="AI101" s="147">
        <f t="shared" si="114"/>
        <v>0</v>
      </c>
      <c r="AJ101" s="148"/>
      <c r="AK101" s="150"/>
      <c r="AL101" s="147">
        <f t="shared" si="115"/>
        <v>0</v>
      </c>
      <c r="AM101" s="147">
        <f t="shared" si="116"/>
        <v>0</v>
      </c>
      <c r="AN101" s="147">
        <f t="shared" si="117"/>
        <v>0</v>
      </c>
      <c r="AO101" s="147">
        <f t="shared" si="118"/>
        <v>0</v>
      </c>
      <c r="AP101" s="103"/>
      <c r="AQ101" s="151">
        <v>98</v>
      </c>
      <c r="AR101" s="152">
        <f ca="1">+RESUMEN!F101</f>
        <v>0</v>
      </c>
      <c r="AS101" s="152">
        <f ca="1">+RESUMEN!G101</f>
        <v>0</v>
      </c>
      <c r="AT101" s="153">
        <f t="shared" ca="1" si="141"/>
        <v>0</v>
      </c>
      <c r="AU101" s="154">
        <f t="shared" si="119"/>
        <v>0</v>
      </c>
      <c r="AV101" s="154">
        <f t="shared" si="120"/>
        <v>0</v>
      </c>
      <c r="AW101" s="154">
        <f t="shared" ca="1" si="121"/>
        <v>0</v>
      </c>
      <c r="AX101" s="153"/>
      <c r="AY101" s="154">
        <f t="shared" ca="1" si="98"/>
        <v>0</v>
      </c>
      <c r="AZ101" s="154">
        <f t="shared" ca="1" si="99"/>
        <v>0</v>
      </c>
      <c r="BA101" s="155"/>
      <c r="BB101" s="156">
        <f t="shared" ca="1" si="122"/>
        <v>0</v>
      </c>
      <c r="BC101" s="156">
        <f t="shared" ca="1" si="84"/>
        <v>0</v>
      </c>
      <c r="BD101" s="157" t="str">
        <f t="shared" ca="1" si="142"/>
        <v/>
      </c>
      <c r="BE101" s="103"/>
      <c r="BF101" s="106">
        <f t="shared" ca="1" si="123"/>
        <v>0</v>
      </c>
      <c r="BG101" s="106">
        <f t="shared" ca="1" si="124"/>
        <v>0</v>
      </c>
      <c r="BH101" s="155"/>
      <c r="BI101" s="158">
        <f t="shared" ca="1" si="125"/>
        <v>0</v>
      </c>
      <c r="BJ101" s="158">
        <f t="shared" ca="1" si="85"/>
        <v>0</v>
      </c>
      <c r="BK101" s="159" t="str">
        <f t="shared" ca="1" si="143"/>
        <v/>
      </c>
      <c r="BL101" s="103"/>
      <c r="BM101" s="160">
        <f t="shared" ca="1" si="126"/>
        <v>0</v>
      </c>
      <c r="BN101" s="160">
        <f t="shared" ca="1" si="127"/>
        <v>0</v>
      </c>
      <c r="BO101" s="155"/>
      <c r="BP101" s="161">
        <f t="shared" ca="1" si="128"/>
        <v>0</v>
      </c>
      <c r="BQ101" s="161">
        <f t="shared" ca="1" si="86"/>
        <v>0</v>
      </c>
      <c r="BR101" s="162" t="str">
        <f t="shared" ca="1" si="144"/>
        <v/>
      </c>
      <c r="BS101" s="103"/>
      <c r="BT101" s="163">
        <f t="shared" ca="1" si="129"/>
        <v>0</v>
      </c>
      <c r="BU101" s="163">
        <f t="shared" ca="1" si="130"/>
        <v>0</v>
      </c>
      <c r="BV101" s="155"/>
      <c r="BW101" s="164">
        <f t="shared" ca="1" si="131"/>
        <v>0</v>
      </c>
      <c r="BX101" s="164">
        <f t="shared" ca="1" si="87"/>
        <v>0</v>
      </c>
      <c r="BY101" s="165" t="str">
        <f t="shared" ca="1" si="145"/>
        <v/>
      </c>
      <c r="BZ101" s="103"/>
      <c r="CA101" s="166">
        <f t="shared" ca="1" si="132"/>
        <v>0</v>
      </c>
      <c r="CB101" s="166">
        <f t="shared" ca="1" si="133"/>
        <v>0</v>
      </c>
      <c r="CC101" s="155"/>
      <c r="CD101" s="167">
        <f t="shared" ca="1" si="134"/>
        <v>0</v>
      </c>
      <c r="CE101" s="167">
        <f t="shared" ca="1" si="88"/>
        <v>0</v>
      </c>
      <c r="CF101" s="168" t="str">
        <f t="shared" ca="1" si="146"/>
        <v/>
      </c>
      <c r="CG101" s="103"/>
      <c r="CH101" s="169">
        <f t="shared" ca="1" si="135"/>
        <v>0</v>
      </c>
      <c r="CI101" s="169">
        <f t="shared" ca="1" si="136"/>
        <v>0</v>
      </c>
      <c r="CJ101" s="155"/>
      <c r="CK101" s="170">
        <f t="shared" ca="1" si="137"/>
        <v>0</v>
      </c>
      <c r="CL101" s="170">
        <f t="shared" ca="1" si="89"/>
        <v>0</v>
      </c>
      <c r="CM101" s="171" t="str">
        <f t="shared" ca="1" si="147"/>
        <v/>
      </c>
      <c r="CN101" s="103"/>
      <c r="CO101" s="151">
        <v>98</v>
      </c>
      <c r="CP101" s="403">
        <v>0.12</v>
      </c>
      <c r="CQ101" s="103">
        <f t="shared" si="138"/>
        <v>0</v>
      </c>
      <c r="CR101" s="409">
        <f t="shared" si="139"/>
        <v>0.12</v>
      </c>
      <c r="CS101" s="103">
        <f t="shared" si="140"/>
        <v>1</v>
      </c>
      <c r="CT101" s="103"/>
    </row>
    <row r="102" spans="1:98">
      <c r="A102" s="189">
        <v>66</v>
      </c>
      <c r="B102" s="184">
        <f ca="1">RESUMEN!J69</f>
        <v>0</v>
      </c>
      <c r="C102" s="184">
        <f ca="1">+RESUMEN!K69</f>
        <v>0</v>
      </c>
      <c r="D102" s="185">
        <f t="shared" ca="1" si="148"/>
        <v>0</v>
      </c>
      <c r="E102" s="102"/>
      <c r="F102" s="102"/>
      <c r="G102" s="102"/>
      <c r="H102" s="176"/>
      <c r="I102" s="176"/>
      <c r="J102" s="175">
        <v>99</v>
      </c>
      <c r="K102" s="67">
        <v>344492.44</v>
      </c>
      <c r="L102" s="67">
        <v>240434.65</v>
      </c>
      <c r="M102" s="67">
        <v>305790.8</v>
      </c>
      <c r="N102" s="67">
        <v>213423.27</v>
      </c>
      <c r="O102" s="67">
        <v>270752.27</v>
      </c>
      <c r="P102" s="67">
        <v>188968.52</v>
      </c>
      <c r="Q102" s="147">
        <f t="shared" si="91"/>
        <v>0</v>
      </c>
      <c r="R102" s="147">
        <f t="shared" si="92"/>
        <v>0</v>
      </c>
      <c r="S102" s="147">
        <f t="shared" si="93"/>
        <v>0</v>
      </c>
      <c r="T102" s="147">
        <f t="shared" si="94"/>
        <v>0</v>
      </c>
      <c r="U102" s="147">
        <f t="shared" si="95"/>
        <v>0</v>
      </c>
      <c r="V102" s="147">
        <f t="shared" si="96"/>
        <v>0</v>
      </c>
      <c r="W102" s="103"/>
      <c r="X102" s="148"/>
      <c r="Y102" s="148"/>
      <c r="Z102" s="147">
        <f t="shared" si="107"/>
        <v>0</v>
      </c>
      <c r="AA102" s="147">
        <f t="shared" si="108"/>
        <v>0</v>
      </c>
      <c r="AB102" s="147">
        <f t="shared" si="109"/>
        <v>0</v>
      </c>
      <c r="AC102" s="147">
        <f t="shared" si="110"/>
        <v>0</v>
      </c>
      <c r="AD102" s="149"/>
      <c r="AE102" s="149"/>
      <c r="AF102" s="147">
        <f t="shared" si="111"/>
        <v>0</v>
      </c>
      <c r="AG102" s="147">
        <f t="shared" si="112"/>
        <v>0</v>
      </c>
      <c r="AH102" s="147">
        <f t="shared" si="113"/>
        <v>0</v>
      </c>
      <c r="AI102" s="147">
        <f t="shared" si="114"/>
        <v>0</v>
      </c>
      <c r="AJ102" s="148"/>
      <c r="AK102" s="150"/>
      <c r="AL102" s="147">
        <f t="shared" si="115"/>
        <v>0</v>
      </c>
      <c r="AM102" s="147">
        <f t="shared" si="116"/>
        <v>0</v>
      </c>
      <c r="AN102" s="147">
        <f t="shared" si="117"/>
        <v>0</v>
      </c>
      <c r="AO102" s="147">
        <f t="shared" si="118"/>
        <v>0</v>
      </c>
      <c r="AP102" s="103"/>
      <c r="AQ102" s="151">
        <v>99</v>
      </c>
      <c r="AR102" s="152">
        <f ca="1">+RESUMEN!F102</f>
        <v>0</v>
      </c>
      <c r="AS102" s="152">
        <f ca="1">+RESUMEN!G102</f>
        <v>0</v>
      </c>
      <c r="AT102" s="153">
        <f t="shared" ca="1" si="141"/>
        <v>0</v>
      </c>
      <c r="AU102" s="154">
        <f t="shared" si="119"/>
        <v>0</v>
      </c>
      <c r="AV102" s="154">
        <f t="shared" si="120"/>
        <v>0</v>
      </c>
      <c r="AW102" s="154">
        <f t="shared" ca="1" si="121"/>
        <v>0</v>
      </c>
      <c r="AX102" s="153"/>
      <c r="AY102" s="154">
        <f t="shared" ca="1" si="98"/>
        <v>0</v>
      </c>
      <c r="AZ102" s="154">
        <f t="shared" ca="1" si="99"/>
        <v>0</v>
      </c>
      <c r="BA102" s="155"/>
      <c r="BB102" s="156">
        <f t="shared" ca="1" si="122"/>
        <v>0</v>
      </c>
      <c r="BC102" s="156">
        <f t="shared" ca="1" si="84"/>
        <v>0</v>
      </c>
      <c r="BD102" s="157" t="str">
        <f t="shared" ca="1" si="142"/>
        <v/>
      </c>
      <c r="BE102" s="103"/>
      <c r="BF102" s="106">
        <f t="shared" ca="1" si="123"/>
        <v>0</v>
      </c>
      <c r="BG102" s="106">
        <f t="shared" ca="1" si="124"/>
        <v>0</v>
      </c>
      <c r="BH102" s="155"/>
      <c r="BI102" s="158">
        <f t="shared" ca="1" si="125"/>
        <v>0</v>
      </c>
      <c r="BJ102" s="158">
        <f t="shared" ca="1" si="85"/>
        <v>0</v>
      </c>
      <c r="BK102" s="159" t="str">
        <f t="shared" ca="1" si="143"/>
        <v/>
      </c>
      <c r="BL102" s="103"/>
      <c r="BM102" s="160">
        <f t="shared" ca="1" si="126"/>
        <v>0</v>
      </c>
      <c r="BN102" s="160">
        <f t="shared" ca="1" si="127"/>
        <v>0</v>
      </c>
      <c r="BO102" s="155"/>
      <c r="BP102" s="161">
        <f t="shared" ca="1" si="128"/>
        <v>0</v>
      </c>
      <c r="BQ102" s="161">
        <f t="shared" ca="1" si="86"/>
        <v>0</v>
      </c>
      <c r="BR102" s="162" t="str">
        <f t="shared" ca="1" si="144"/>
        <v/>
      </c>
      <c r="BS102" s="103"/>
      <c r="BT102" s="163">
        <f t="shared" ca="1" si="129"/>
        <v>0</v>
      </c>
      <c r="BU102" s="163">
        <f t="shared" ca="1" si="130"/>
        <v>0</v>
      </c>
      <c r="BV102" s="155"/>
      <c r="BW102" s="164">
        <f t="shared" ca="1" si="131"/>
        <v>0</v>
      </c>
      <c r="BX102" s="164">
        <f t="shared" ca="1" si="87"/>
        <v>0</v>
      </c>
      <c r="BY102" s="165" t="str">
        <f t="shared" ca="1" si="145"/>
        <v/>
      </c>
      <c r="BZ102" s="103"/>
      <c r="CA102" s="166">
        <f t="shared" ca="1" si="132"/>
        <v>0</v>
      </c>
      <c r="CB102" s="166">
        <f t="shared" ca="1" si="133"/>
        <v>0</v>
      </c>
      <c r="CC102" s="155"/>
      <c r="CD102" s="167">
        <f t="shared" ca="1" si="134"/>
        <v>0</v>
      </c>
      <c r="CE102" s="167">
        <f t="shared" ca="1" si="88"/>
        <v>0</v>
      </c>
      <c r="CF102" s="168" t="str">
        <f t="shared" ca="1" si="146"/>
        <v/>
      </c>
      <c r="CG102" s="103"/>
      <c r="CH102" s="169">
        <f t="shared" ca="1" si="135"/>
        <v>0</v>
      </c>
      <c r="CI102" s="169">
        <f t="shared" ca="1" si="136"/>
        <v>0</v>
      </c>
      <c r="CJ102" s="155"/>
      <c r="CK102" s="170">
        <f t="shared" ca="1" si="137"/>
        <v>0</v>
      </c>
      <c r="CL102" s="170">
        <f t="shared" ca="1" si="89"/>
        <v>0</v>
      </c>
      <c r="CM102" s="171" t="str">
        <f t="shared" ca="1" si="147"/>
        <v/>
      </c>
      <c r="CN102" s="103"/>
      <c r="CO102" s="151">
        <v>99</v>
      </c>
      <c r="CP102" s="403">
        <v>0.12</v>
      </c>
      <c r="CQ102" s="103">
        <f t="shared" si="138"/>
        <v>0</v>
      </c>
      <c r="CR102" s="409">
        <f t="shared" si="139"/>
        <v>0.12</v>
      </c>
      <c r="CS102" s="103">
        <f t="shared" si="140"/>
        <v>1</v>
      </c>
      <c r="CT102" s="103"/>
    </row>
    <row r="103" spans="1:98">
      <c r="A103" s="189">
        <v>67</v>
      </c>
      <c r="B103" s="184">
        <f ca="1">RESUMEN!J70</f>
        <v>0</v>
      </c>
      <c r="C103" s="184">
        <f ca="1">+RESUMEN!K70</f>
        <v>0</v>
      </c>
      <c r="D103" s="185">
        <f t="shared" ca="1" si="148"/>
        <v>0</v>
      </c>
      <c r="E103" s="102"/>
      <c r="F103" s="102"/>
      <c r="G103" s="102"/>
      <c r="H103" s="176"/>
      <c r="I103" s="176"/>
      <c r="J103" s="175">
        <v>100</v>
      </c>
      <c r="K103" s="67">
        <v>344492.44</v>
      </c>
      <c r="L103" s="67">
        <v>240434.65</v>
      </c>
      <c r="M103" s="67">
        <v>305790.8</v>
      </c>
      <c r="N103" s="67">
        <v>213423.27</v>
      </c>
      <c r="O103" s="67">
        <v>270752.27</v>
      </c>
      <c r="P103" s="67">
        <v>188968.52</v>
      </c>
      <c r="Q103" s="147">
        <f t="shared" si="91"/>
        <v>0</v>
      </c>
      <c r="R103" s="147">
        <f t="shared" si="92"/>
        <v>0</v>
      </c>
      <c r="S103" s="147">
        <f t="shared" si="93"/>
        <v>0</v>
      </c>
      <c r="T103" s="147">
        <f t="shared" si="94"/>
        <v>0</v>
      </c>
      <c r="U103" s="147">
        <f t="shared" si="95"/>
        <v>0</v>
      </c>
      <c r="V103" s="147">
        <f t="shared" si="96"/>
        <v>0</v>
      </c>
      <c r="W103" s="103"/>
      <c r="X103" s="148"/>
      <c r="Y103" s="148"/>
      <c r="Z103" s="147">
        <f t="shared" si="107"/>
        <v>0</v>
      </c>
      <c r="AA103" s="147">
        <f t="shared" si="108"/>
        <v>0</v>
      </c>
      <c r="AB103" s="147">
        <f t="shared" si="109"/>
        <v>0</v>
      </c>
      <c r="AC103" s="147">
        <f t="shared" si="110"/>
        <v>0</v>
      </c>
      <c r="AD103" s="149"/>
      <c r="AE103" s="149"/>
      <c r="AF103" s="147">
        <f t="shared" si="111"/>
        <v>0</v>
      </c>
      <c r="AG103" s="147">
        <f t="shared" si="112"/>
        <v>0</v>
      </c>
      <c r="AH103" s="147">
        <f t="shared" si="113"/>
        <v>0</v>
      </c>
      <c r="AI103" s="147">
        <f t="shared" si="114"/>
        <v>0</v>
      </c>
      <c r="AJ103" s="148"/>
      <c r="AK103" s="150"/>
      <c r="AL103" s="147">
        <f t="shared" si="115"/>
        <v>0</v>
      </c>
      <c r="AM103" s="147">
        <f t="shared" si="116"/>
        <v>0</v>
      </c>
      <c r="AN103" s="147">
        <f t="shared" si="117"/>
        <v>0</v>
      </c>
      <c r="AO103" s="147">
        <f t="shared" si="118"/>
        <v>0</v>
      </c>
      <c r="AP103" s="103"/>
      <c r="AQ103" s="151">
        <v>100</v>
      </c>
      <c r="AR103" s="152">
        <f ca="1">+RESUMEN!F103</f>
        <v>0</v>
      </c>
      <c r="AS103" s="152">
        <f ca="1">+RESUMEN!G103</f>
        <v>0</v>
      </c>
      <c r="AT103" s="153">
        <f t="shared" ca="1" si="141"/>
        <v>0</v>
      </c>
      <c r="AU103" s="154">
        <f t="shared" si="119"/>
        <v>0</v>
      </c>
      <c r="AV103" s="154">
        <f t="shared" si="120"/>
        <v>0</v>
      </c>
      <c r="AW103" s="154">
        <f t="shared" ca="1" si="121"/>
        <v>0</v>
      </c>
      <c r="AX103" s="153"/>
      <c r="AY103" s="154">
        <f t="shared" ca="1" si="98"/>
        <v>0</v>
      </c>
      <c r="AZ103" s="154">
        <f t="shared" ca="1" si="99"/>
        <v>0</v>
      </c>
      <c r="BA103" s="155"/>
      <c r="BB103" s="156">
        <f t="shared" ca="1" si="122"/>
        <v>0</v>
      </c>
      <c r="BC103" s="156">
        <f t="shared" ca="1" si="84"/>
        <v>0</v>
      </c>
      <c r="BD103" s="157" t="str">
        <f t="shared" ca="1" si="142"/>
        <v/>
      </c>
      <c r="BE103" s="103"/>
      <c r="BF103" s="106">
        <f t="shared" ca="1" si="123"/>
        <v>0</v>
      </c>
      <c r="BG103" s="106">
        <f t="shared" ca="1" si="124"/>
        <v>0</v>
      </c>
      <c r="BH103" s="155"/>
      <c r="BI103" s="158">
        <f t="shared" ca="1" si="125"/>
        <v>0</v>
      </c>
      <c r="BJ103" s="158">
        <f t="shared" ca="1" si="85"/>
        <v>0</v>
      </c>
      <c r="BK103" s="159" t="str">
        <f t="shared" ca="1" si="143"/>
        <v/>
      </c>
      <c r="BL103" s="103"/>
      <c r="BM103" s="160">
        <f t="shared" ca="1" si="126"/>
        <v>0</v>
      </c>
      <c r="BN103" s="160">
        <f t="shared" ca="1" si="127"/>
        <v>0</v>
      </c>
      <c r="BO103" s="155"/>
      <c r="BP103" s="161">
        <f t="shared" ca="1" si="128"/>
        <v>0</v>
      </c>
      <c r="BQ103" s="161">
        <f t="shared" ca="1" si="86"/>
        <v>0</v>
      </c>
      <c r="BR103" s="162" t="str">
        <f t="shared" ca="1" si="144"/>
        <v/>
      </c>
      <c r="BS103" s="103"/>
      <c r="BT103" s="163">
        <f t="shared" ca="1" si="129"/>
        <v>0</v>
      </c>
      <c r="BU103" s="163">
        <f t="shared" ca="1" si="130"/>
        <v>0</v>
      </c>
      <c r="BV103" s="155"/>
      <c r="BW103" s="164">
        <f t="shared" ca="1" si="131"/>
        <v>0</v>
      </c>
      <c r="BX103" s="164">
        <f t="shared" ca="1" si="87"/>
        <v>0</v>
      </c>
      <c r="BY103" s="165" t="str">
        <f t="shared" ca="1" si="145"/>
        <v/>
      </c>
      <c r="BZ103" s="103"/>
      <c r="CA103" s="166">
        <f t="shared" ca="1" si="132"/>
        <v>0</v>
      </c>
      <c r="CB103" s="166">
        <f t="shared" ca="1" si="133"/>
        <v>0</v>
      </c>
      <c r="CC103" s="155"/>
      <c r="CD103" s="167">
        <f t="shared" ca="1" si="134"/>
        <v>0</v>
      </c>
      <c r="CE103" s="167">
        <f t="shared" ca="1" si="88"/>
        <v>0</v>
      </c>
      <c r="CF103" s="168" t="str">
        <f t="shared" ca="1" si="146"/>
        <v/>
      </c>
      <c r="CG103" s="103"/>
      <c r="CH103" s="169">
        <f t="shared" ca="1" si="135"/>
        <v>0</v>
      </c>
      <c r="CI103" s="169">
        <f t="shared" ca="1" si="136"/>
        <v>0</v>
      </c>
      <c r="CJ103" s="155"/>
      <c r="CK103" s="170">
        <f t="shared" ca="1" si="137"/>
        <v>0</v>
      </c>
      <c r="CL103" s="170">
        <f t="shared" ca="1" si="89"/>
        <v>0</v>
      </c>
      <c r="CM103" s="171" t="str">
        <f t="shared" ca="1" si="147"/>
        <v/>
      </c>
      <c r="CN103" s="103"/>
      <c r="CO103" s="151">
        <v>100</v>
      </c>
      <c r="CP103" s="403">
        <v>0.12</v>
      </c>
      <c r="CQ103" s="103">
        <f t="shared" si="138"/>
        <v>0</v>
      </c>
      <c r="CR103" s="409">
        <f t="shared" si="139"/>
        <v>0.12</v>
      </c>
      <c r="CS103" s="103">
        <f t="shared" si="140"/>
        <v>1</v>
      </c>
      <c r="CT103" s="103"/>
    </row>
    <row r="104" spans="1:98" ht="16" thickBot="1">
      <c r="A104" s="189">
        <v>68</v>
      </c>
      <c r="B104" s="184">
        <f ca="1">RESUMEN!J71</f>
        <v>0</v>
      </c>
      <c r="C104" s="184">
        <f ca="1">+RESUMEN!K71</f>
        <v>0</v>
      </c>
      <c r="D104" s="185">
        <f t="shared" ca="1" si="148"/>
        <v>0</v>
      </c>
      <c r="E104" s="102"/>
      <c r="F104" s="102"/>
      <c r="G104" s="102"/>
      <c r="H104" s="176"/>
      <c r="I104" s="176"/>
      <c r="J104" s="192"/>
      <c r="K104" s="193"/>
      <c r="L104" s="193"/>
      <c r="M104" s="193"/>
      <c r="N104" s="193"/>
      <c r="O104" s="380"/>
      <c r="P104" s="380"/>
      <c r="Q104" s="204" t="s">
        <v>348</v>
      </c>
      <c r="R104" s="204"/>
      <c r="S104" s="204"/>
      <c r="T104" s="204"/>
      <c r="U104" s="204"/>
      <c r="V104" s="204"/>
      <c r="W104" s="204"/>
      <c r="X104" s="204"/>
      <c r="Y104" s="204"/>
      <c r="Z104" s="204"/>
      <c r="AA104" s="204"/>
      <c r="AB104" s="204"/>
      <c r="AC104" s="204"/>
      <c r="AD104" s="204"/>
      <c r="AE104" s="204"/>
      <c r="AF104" s="103"/>
      <c r="AG104" s="103"/>
      <c r="AH104" s="103"/>
      <c r="AI104" s="103"/>
      <c r="AJ104" s="103"/>
      <c r="AK104" s="103"/>
      <c r="AL104" s="193"/>
      <c r="AM104" s="193"/>
      <c r="AN104" s="193"/>
      <c r="AO104" s="193"/>
      <c r="AP104" s="103"/>
      <c r="AQ104" s="194" t="s">
        <v>52</v>
      </c>
      <c r="AR104" s="190">
        <f ca="1">+SUM(AR3:AR103)</f>
        <v>0</v>
      </c>
      <c r="AS104" s="190">
        <f ca="1">+SUM(AS3:AS103)</f>
        <v>0</v>
      </c>
      <c r="AT104" s="190">
        <f ca="1">+SUM(AT3:AT103)</f>
        <v>0</v>
      </c>
      <c r="AU104" s="195"/>
      <c r="AV104" s="195"/>
      <c r="AW104" s="195"/>
      <c r="AX104" s="190"/>
      <c r="AY104" s="195"/>
      <c r="AZ104" s="195"/>
      <c r="BA104" s="195"/>
      <c r="BB104" s="195">
        <f ca="1">+SUM(BB3:BB103)</f>
        <v>0</v>
      </c>
      <c r="BC104" s="195">
        <f ca="1">+SUM(BC3:BC103)</f>
        <v>0</v>
      </c>
      <c r="BD104" s="195">
        <f ca="1">+SUM(BD3:BD103)</f>
        <v>0</v>
      </c>
      <c r="BE104" s="103"/>
      <c r="BF104" s="196"/>
      <c r="BG104" s="196"/>
      <c r="BH104" s="196"/>
      <c r="BI104" s="196">
        <f ca="1">+SUM(BI3:BI103)</f>
        <v>0</v>
      </c>
      <c r="BJ104" s="196">
        <f ca="1">+SUM(BJ3:BJ103)</f>
        <v>0</v>
      </c>
      <c r="BK104" s="196">
        <f ca="1">+SUM(BK3:BK103)</f>
        <v>0</v>
      </c>
      <c r="BL104" s="103"/>
      <c r="BM104" s="197"/>
      <c r="BN104" s="197"/>
      <c r="BO104" s="197"/>
      <c r="BP104" s="197">
        <f ca="1">+SUM(BP3:BP103)</f>
        <v>0</v>
      </c>
      <c r="BQ104" s="197">
        <f ca="1">+SUM(BQ3:BQ103)</f>
        <v>0</v>
      </c>
      <c r="BR104" s="197">
        <f ca="1">+SUM(BR3:BR103)</f>
        <v>0</v>
      </c>
      <c r="BS104" s="103"/>
      <c r="BT104" s="198"/>
      <c r="BU104" s="198"/>
      <c r="BV104" s="198"/>
      <c r="BW104" s="198">
        <f ca="1">+SUM(BW3:BW103)</f>
        <v>0</v>
      </c>
      <c r="BX104" s="198">
        <f ca="1">+SUM(BX3:BX103)</f>
        <v>0</v>
      </c>
      <c r="BY104" s="198">
        <f ca="1">+SUM(BY3:BY103)</f>
        <v>0</v>
      </c>
      <c r="BZ104" s="103"/>
      <c r="CA104" s="199"/>
      <c r="CB104" s="199"/>
      <c r="CC104" s="199"/>
      <c r="CD104" s="199">
        <f ca="1">+SUM(CD3:CD103)</f>
        <v>0</v>
      </c>
      <c r="CE104" s="199">
        <f ca="1">+SUM(CE3:CE103)</f>
        <v>0</v>
      </c>
      <c r="CF104" s="199">
        <f ca="1">+SUM(CF3:CF103)</f>
        <v>0</v>
      </c>
      <c r="CG104" s="103"/>
      <c r="CH104" s="200"/>
      <c r="CI104" s="200"/>
      <c r="CJ104" s="200"/>
      <c r="CK104" s="200">
        <f ca="1">+SUM(CK3:CK103)</f>
        <v>0</v>
      </c>
      <c r="CL104" s="200">
        <f ca="1">+SUM(CL3:CL103)</f>
        <v>0</v>
      </c>
      <c r="CM104" s="200">
        <f ca="1">+SUM(CM3:CM103)</f>
        <v>0</v>
      </c>
      <c r="CN104" s="103"/>
      <c r="CO104" s="103"/>
      <c r="CP104" s="200"/>
      <c r="CQ104" s="103"/>
      <c r="CR104" s="103"/>
      <c r="CS104" s="103"/>
      <c r="CT104" s="103"/>
    </row>
    <row r="105" spans="1:98">
      <c r="A105" s="189">
        <v>69</v>
      </c>
      <c r="B105" s="184">
        <f ca="1">RESUMEN!J72</f>
        <v>0</v>
      </c>
      <c r="C105" s="184">
        <f ca="1">+RESUMEN!K72</f>
        <v>0</v>
      </c>
      <c r="D105" s="185">
        <f t="shared" ca="1" si="148"/>
        <v>0</v>
      </c>
      <c r="E105" s="102"/>
      <c r="F105" s="102"/>
      <c r="G105" s="102"/>
      <c r="H105" s="176"/>
      <c r="I105" s="176"/>
      <c r="J105" s="201" t="s">
        <v>11</v>
      </c>
      <c r="K105" s="202"/>
      <c r="L105"/>
      <c r="M105" s="202"/>
      <c r="N105" s="202"/>
      <c r="O105" s="103"/>
      <c r="P105" s="103"/>
      <c r="Q105" s="203" t="s">
        <v>17</v>
      </c>
      <c r="R105" s="204" t="s">
        <v>246</v>
      </c>
      <c r="S105" s="204" t="s">
        <v>65</v>
      </c>
      <c r="T105" s="204" t="s">
        <v>247</v>
      </c>
      <c r="U105" s="204" t="s">
        <v>248</v>
      </c>
      <c r="V105" s="103"/>
      <c r="W105" s="203" t="s">
        <v>327</v>
      </c>
      <c r="X105" s="204" t="s">
        <v>247</v>
      </c>
      <c r="Y105" s="204" t="s">
        <v>65</v>
      </c>
      <c r="Z105" s="204" t="s">
        <v>246</v>
      </c>
      <c r="AA105" s="204" t="s">
        <v>62</v>
      </c>
      <c r="AB105" s="204" t="s">
        <v>247</v>
      </c>
      <c r="AC105" s="204" t="s">
        <v>65</v>
      </c>
      <c r="AD105" s="204" t="s">
        <v>246</v>
      </c>
      <c r="AE105" s="204" t="s">
        <v>62</v>
      </c>
      <c r="AF105" s="103"/>
      <c r="AG105" s="247" t="s">
        <v>345</v>
      </c>
      <c r="AH105" s="204"/>
      <c r="AI105" s="204"/>
      <c r="AJ105" s="103"/>
      <c r="AK105" s="103"/>
      <c r="AL105" s="193"/>
      <c r="AM105" s="193"/>
      <c r="AN105" s="193"/>
      <c r="AO105" s="193"/>
      <c r="AP105" s="103"/>
      <c r="AQ105" s="103">
        <v>1</v>
      </c>
      <c r="AR105" s="103">
        <v>2</v>
      </c>
      <c r="AS105" s="103">
        <v>3</v>
      </c>
      <c r="AT105" s="103">
        <v>4</v>
      </c>
      <c r="AU105" s="103">
        <v>5</v>
      </c>
      <c r="AV105" s="103">
        <v>6</v>
      </c>
      <c r="AW105" s="103">
        <v>7</v>
      </c>
      <c r="AX105" s="103">
        <v>8</v>
      </c>
      <c r="AY105" s="103">
        <v>9</v>
      </c>
      <c r="AZ105" s="103">
        <v>10</v>
      </c>
      <c r="BA105" s="103">
        <v>11</v>
      </c>
      <c r="BB105" s="103">
        <v>12</v>
      </c>
      <c r="BC105" s="103">
        <v>13</v>
      </c>
      <c r="BD105" s="103">
        <v>14</v>
      </c>
      <c r="BE105" s="103">
        <v>15</v>
      </c>
      <c r="BF105" s="103">
        <v>16</v>
      </c>
      <c r="BG105" s="103">
        <v>17</v>
      </c>
      <c r="BH105" s="103">
        <v>18</v>
      </c>
      <c r="BI105" s="103">
        <v>19</v>
      </c>
      <c r="BJ105" s="103">
        <v>20</v>
      </c>
      <c r="BK105" s="103">
        <v>21</v>
      </c>
      <c r="BL105" s="103">
        <v>22</v>
      </c>
      <c r="BM105" s="103">
        <v>23</v>
      </c>
      <c r="BN105" s="103">
        <v>24</v>
      </c>
      <c r="BO105" s="103">
        <v>25</v>
      </c>
      <c r="BP105" s="103">
        <v>26</v>
      </c>
      <c r="BQ105" s="103">
        <v>27</v>
      </c>
      <c r="BR105" s="103">
        <v>28</v>
      </c>
      <c r="BS105" s="103">
        <v>29</v>
      </c>
      <c r="BT105" s="103">
        <v>30</v>
      </c>
      <c r="BU105" s="103">
        <v>31</v>
      </c>
      <c r="BV105" s="103">
        <v>32</v>
      </c>
      <c r="BW105" s="103">
        <v>33</v>
      </c>
      <c r="BX105" s="103">
        <v>34</v>
      </c>
      <c r="BY105" s="103">
        <v>35</v>
      </c>
      <c r="BZ105" s="103">
        <v>36</v>
      </c>
      <c r="CA105" s="103">
        <v>37</v>
      </c>
      <c r="CB105" s="103">
        <v>38</v>
      </c>
      <c r="CC105" s="103">
        <v>39</v>
      </c>
      <c r="CD105" s="103">
        <v>40</v>
      </c>
      <c r="CE105" s="103">
        <v>41</v>
      </c>
      <c r="CF105" s="103">
        <v>42</v>
      </c>
      <c r="CG105" s="103">
        <v>43</v>
      </c>
      <c r="CH105" s="103">
        <v>44</v>
      </c>
      <c r="CI105" s="103">
        <v>45</v>
      </c>
      <c r="CJ105" s="103">
        <v>46</v>
      </c>
      <c r="CK105" s="103">
        <v>47</v>
      </c>
      <c r="CL105" s="103">
        <v>48</v>
      </c>
      <c r="CM105" s="103">
        <v>49</v>
      </c>
      <c r="CN105" s="103"/>
      <c r="CO105" s="103"/>
      <c r="CP105" s="103"/>
      <c r="CQ105" s="103"/>
      <c r="CR105" s="103"/>
      <c r="CS105" s="103"/>
      <c r="CT105" s="103"/>
    </row>
    <row r="106" spans="1:98">
      <c r="A106" s="189">
        <v>70</v>
      </c>
      <c r="B106" s="184">
        <f ca="1">RESUMEN!J73</f>
        <v>0</v>
      </c>
      <c r="C106" s="184">
        <f ca="1">+RESUMEN!K73</f>
        <v>0</v>
      </c>
      <c r="D106" s="185">
        <f t="shared" ca="1" si="148"/>
        <v>0</v>
      </c>
      <c r="E106" s="102"/>
      <c r="F106" s="102"/>
      <c r="G106" s="102"/>
      <c r="H106" s="176"/>
      <c r="I106" s="176"/>
      <c r="J106" s="202" t="s">
        <v>17</v>
      </c>
      <c r="K106" s="205" t="s">
        <v>144</v>
      </c>
      <c r="L106" s="206"/>
      <c r="M106" s="202" t="s">
        <v>88</v>
      </c>
      <c r="N106" s="205" t="s">
        <v>290</v>
      </c>
      <c r="O106" s="103"/>
      <c r="P106" s="103"/>
      <c r="Q106" s="207">
        <v>18</v>
      </c>
      <c r="R106" s="208">
        <v>41</v>
      </c>
      <c r="S106" s="208">
        <v>39</v>
      </c>
      <c r="T106" s="208">
        <v>37</v>
      </c>
      <c r="U106" s="208">
        <v>77.47821975085985</v>
      </c>
      <c r="V106" s="103"/>
      <c r="W106" s="209">
        <v>1</v>
      </c>
      <c r="X106" s="210">
        <v>1E-4</v>
      </c>
      <c r="Y106" s="210">
        <v>1E-4</v>
      </c>
      <c r="Z106" s="210">
        <v>1E-4</v>
      </c>
      <c r="AA106" s="210">
        <v>1E-4</v>
      </c>
      <c r="AB106" s="211">
        <v>18000</v>
      </c>
      <c r="AC106" s="211">
        <v>19000</v>
      </c>
      <c r="AD106" s="211">
        <v>20000</v>
      </c>
      <c r="AE106" s="211">
        <v>25000</v>
      </c>
      <c r="AF106" s="103"/>
      <c r="AG106" s="204" t="s">
        <v>89</v>
      </c>
      <c r="AH106" s="204" t="s">
        <v>88</v>
      </c>
      <c r="AI106" s="204" t="s">
        <v>346</v>
      </c>
      <c r="AJ106" s="103"/>
      <c r="AK106" s="103"/>
      <c r="AL106" s="193"/>
      <c r="AM106" s="193"/>
      <c r="AN106" s="193"/>
      <c r="AO106" s="19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3"/>
      <c r="BY106" s="103"/>
      <c r="BZ106" s="103"/>
      <c r="CA106" s="103"/>
      <c r="CB106" s="103"/>
      <c r="CC106" s="103"/>
      <c r="CD106" s="103"/>
      <c r="CE106" s="103"/>
      <c r="CF106" s="103"/>
      <c r="CG106" s="103"/>
      <c r="CH106" s="103"/>
      <c r="CI106" s="103"/>
      <c r="CJ106" s="103"/>
      <c r="CK106" s="103"/>
      <c r="CL106" s="103"/>
      <c r="CM106" s="103"/>
      <c r="CN106" s="103"/>
      <c r="CO106" s="103"/>
      <c r="CP106" s="103"/>
      <c r="CQ106" s="103"/>
      <c r="CR106" s="103"/>
      <c r="CS106" s="103"/>
      <c r="CT106" s="103"/>
    </row>
    <row r="107" spans="1:98">
      <c r="A107" s="189">
        <v>71</v>
      </c>
      <c r="B107" s="184">
        <f ca="1">RESUMEN!J74</f>
        <v>0</v>
      </c>
      <c r="C107" s="184">
        <f ca="1">+RESUMEN!K74</f>
        <v>0</v>
      </c>
      <c r="D107" s="185">
        <f t="shared" ca="1" si="148"/>
        <v>0</v>
      </c>
      <c r="E107" s="102"/>
      <c r="F107" s="102"/>
      <c r="G107" s="102"/>
      <c r="H107" s="408"/>
      <c r="I107" s="176"/>
      <c r="J107" s="212" t="s">
        <v>145</v>
      </c>
      <c r="K107" s="213">
        <v>17.32</v>
      </c>
      <c r="L107" s="103">
        <v>1</v>
      </c>
      <c r="M107" s="214" t="s">
        <v>249</v>
      </c>
      <c r="N107" s="215">
        <v>1</v>
      </c>
      <c r="O107" s="383"/>
      <c r="P107" s="384"/>
      <c r="Q107" s="216">
        <v>19</v>
      </c>
      <c r="R107" s="208">
        <v>84</v>
      </c>
      <c r="S107" s="208">
        <v>80</v>
      </c>
      <c r="T107" s="208">
        <v>76</v>
      </c>
      <c r="U107" s="208">
        <v>151.00909845754322</v>
      </c>
      <c r="V107" s="103"/>
      <c r="W107" s="217">
        <v>2</v>
      </c>
      <c r="X107" s="210">
        <v>0.1111</v>
      </c>
      <c r="Y107" s="210">
        <v>5.2600000000000001E-2</v>
      </c>
      <c r="Z107" s="210">
        <v>0.5</v>
      </c>
      <c r="AA107" s="210">
        <v>0.19999999999999996</v>
      </c>
      <c r="AB107" s="211">
        <v>20000</v>
      </c>
      <c r="AC107" s="211">
        <v>20000</v>
      </c>
      <c r="AD107" s="211">
        <v>30000</v>
      </c>
      <c r="AE107" s="211">
        <v>30000</v>
      </c>
      <c r="AF107" s="103"/>
      <c r="AG107" s="211" t="s">
        <v>347</v>
      </c>
      <c r="AH107" s="211" t="s">
        <v>347</v>
      </c>
      <c r="AI107" s="382">
        <f ca="1">+IF(B25=0,0,(97/(1-0.105-0.07-0.18)))</f>
        <v>0</v>
      </c>
      <c r="AJ107" s="103"/>
      <c r="AK107" s="103"/>
      <c r="AL107" s="206"/>
      <c r="AM107" s="206"/>
      <c r="AN107" s="206"/>
      <c r="AO107" s="206"/>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c r="BS107" s="103"/>
      <c r="BT107" s="103"/>
      <c r="BU107" s="103"/>
      <c r="BV107" s="103"/>
      <c r="BW107" s="103"/>
      <c r="BX107" s="103"/>
      <c r="BY107" s="103"/>
      <c r="BZ107" s="103"/>
      <c r="CA107" s="103"/>
      <c r="CB107" s="103"/>
      <c r="CC107" s="103"/>
      <c r="CD107" s="103"/>
      <c r="CE107" s="103"/>
      <c r="CF107" s="103"/>
      <c r="CG107" s="103"/>
      <c r="CH107" s="103"/>
      <c r="CI107" s="103"/>
      <c r="CJ107" s="103"/>
      <c r="CK107" s="103"/>
      <c r="CL107" s="103"/>
      <c r="CM107" s="103"/>
      <c r="CN107" s="103"/>
      <c r="CO107" s="103"/>
      <c r="CP107" s="103"/>
      <c r="CQ107" s="103"/>
      <c r="CR107" s="103"/>
      <c r="CS107" s="103"/>
      <c r="CT107" s="103"/>
    </row>
    <row r="108" spans="1:98">
      <c r="A108" s="189">
        <v>72</v>
      </c>
      <c r="B108" s="184">
        <f ca="1">RESUMEN!J75</f>
        <v>0</v>
      </c>
      <c r="C108" s="184">
        <f ca="1">+RESUMEN!K75</f>
        <v>0</v>
      </c>
      <c r="D108" s="185">
        <f t="shared" ca="1" si="148"/>
        <v>0</v>
      </c>
      <c r="E108" s="102"/>
      <c r="F108" s="102"/>
      <c r="G108" s="102"/>
      <c r="H108" s="408"/>
      <c r="I108" s="176"/>
      <c r="J108" s="212" t="s">
        <v>146</v>
      </c>
      <c r="K108" s="213">
        <v>17.32</v>
      </c>
      <c r="L108" s="103">
        <v>2</v>
      </c>
      <c r="M108" s="214" t="s">
        <v>250</v>
      </c>
      <c r="N108" s="215">
        <v>1.2186999999999999</v>
      </c>
      <c r="O108" s="383"/>
      <c r="P108" s="384"/>
      <c r="Q108" s="216">
        <v>20</v>
      </c>
      <c r="R108" s="208">
        <v>160</v>
      </c>
      <c r="S108" s="208">
        <v>152</v>
      </c>
      <c r="T108" s="208">
        <v>144</v>
      </c>
      <c r="U108" s="208">
        <v>275.77813988359367</v>
      </c>
      <c r="V108" s="103"/>
      <c r="W108" s="217">
        <v>3</v>
      </c>
      <c r="X108" s="210">
        <v>0.66659999999999997</v>
      </c>
      <c r="Y108" s="210">
        <v>0.57889999999999997</v>
      </c>
      <c r="Z108" s="210">
        <v>1</v>
      </c>
      <c r="AA108" s="210">
        <v>0.60000000000000009</v>
      </c>
      <c r="AB108" s="211">
        <v>30000</v>
      </c>
      <c r="AC108" s="211">
        <v>30000</v>
      </c>
      <c r="AD108" s="211">
        <v>40000</v>
      </c>
      <c r="AE108" s="211">
        <v>40000</v>
      </c>
      <c r="AF108" s="103"/>
      <c r="AJ108" s="218"/>
      <c r="AK108" s="218"/>
      <c r="AL108" s="219"/>
      <c r="AM108" s="219"/>
      <c r="AN108" s="219"/>
      <c r="AO108" s="219"/>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c r="BS108" s="103"/>
      <c r="BT108" s="103"/>
      <c r="BU108" s="103"/>
      <c r="BV108" s="103"/>
      <c r="BW108" s="103"/>
      <c r="BX108" s="103"/>
      <c r="BY108" s="103"/>
      <c r="BZ108" s="103"/>
      <c r="CA108" s="103"/>
      <c r="CB108" s="103"/>
      <c r="CC108" s="103"/>
      <c r="CD108" s="103"/>
      <c r="CE108" s="103"/>
      <c r="CF108" s="103"/>
      <c r="CG108" s="103"/>
      <c r="CH108" s="103"/>
      <c r="CI108" s="103"/>
      <c r="CJ108" s="103"/>
      <c r="CK108" s="103"/>
      <c r="CL108" s="103"/>
      <c r="CM108" s="103"/>
      <c r="CN108" s="103"/>
      <c r="CO108" s="103"/>
      <c r="CP108" s="103"/>
      <c r="CQ108" s="103"/>
      <c r="CR108" s="103"/>
      <c r="CS108" s="103"/>
      <c r="CT108" s="103"/>
    </row>
    <row r="109" spans="1:98">
      <c r="A109" s="189">
        <v>73</v>
      </c>
      <c r="B109" s="184">
        <f ca="1">RESUMEN!J76</f>
        <v>0</v>
      </c>
      <c r="C109" s="184">
        <f ca="1">+RESUMEN!K76</f>
        <v>0</v>
      </c>
      <c r="D109" s="185">
        <f t="shared" ca="1" si="148"/>
        <v>0</v>
      </c>
      <c r="E109" s="102"/>
      <c r="F109" s="102"/>
      <c r="G109" s="102"/>
      <c r="H109" s="408"/>
      <c r="I109" s="176"/>
      <c r="J109" s="212" t="s">
        <v>147</v>
      </c>
      <c r="K109" s="213">
        <v>17.36</v>
      </c>
      <c r="L109" s="103">
        <v>3</v>
      </c>
      <c r="M109" s="214" t="s">
        <v>251</v>
      </c>
      <c r="N109" s="215">
        <v>1.4249000000000001</v>
      </c>
      <c r="O109" s="383"/>
      <c r="P109" s="384"/>
      <c r="Q109" s="216">
        <v>21</v>
      </c>
      <c r="R109" s="208">
        <v>286</v>
      </c>
      <c r="S109" s="208">
        <v>271</v>
      </c>
      <c r="T109" s="208">
        <v>257</v>
      </c>
      <c r="U109" s="208">
        <v>472.9912583800014</v>
      </c>
      <c r="V109" s="103"/>
      <c r="W109" s="217">
        <v>4</v>
      </c>
      <c r="X109" s="210">
        <v>0.66659999999999997</v>
      </c>
      <c r="Y109" s="210">
        <v>1.1052</v>
      </c>
      <c r="Z109" s="210">
        <v>1.5</v>
      </c>
      <c r="AA109" s="210">
        <v>1</v>
      </c>
      <c r="AB109" s="211">
        <v>30000</v>
      </c>
      <c r="AC109" s="211">
        <v>40000</v>
      </c>
      <c r="AD109" s="211">
        <v>50000</v>
      </c>
      <c r="AE109" s="211">
        <v>50000</v>
      </c>
      <c r="AF109" s="103"/>
      <c r="AG109" s="220"/>
      <c r="AH109" s="220"/>
      <c r="AI109" s="103"/>
      <c r="AJ109" s="220"/>
      <c r="AK109" s="220"/>
      <c r="AL109" s="103"/>
      <c r="AM109" s="221"/>
      <c r="AN109" s="221"/>
      <c r="AO109" s="103"/>
      <c r="AP109" s="103"/>
      <c r="AQ109" s="103"/>
      <c r="AR109" s="103"/>
      <c r="AS109" s="103"/>
      <c r="AT109" s="103"/>
      <c r="AU109" s="218"/>
      <c r="AV109" s="218"/>
      <c r="AW109" s="218"/>
      <c r="AX109" s="103"/>
      <c r="AY109" s="218"/>
      <c r="AZ109" s="218"/>
      <c r="BA109" s="218"/>
      <c r="BB109" s="218"/>
      <c r="BC109" s="219"/>
      <c r="BD109" s="219"/>
      <c r="BE109" s="219"/>
      <c r="BF109" s="219"/>
      <c r="BG109" s="219"/>
      <c r="BH109" s="219"/>
      <c r="BI109" s="219"/>
      <c r="BJ109" s="219"/>
      <c r="BK109" s="219"/>
      <c r="BL109" s="219"/>
      <c r="BM109" s="219"/>
      <c r="BN109" s="219"/>
      <c r="BO109" s="219"/>
      <c r="BP109" s="219"/>
      <c r="BQ109" s="103"/>
      <c r="BR109" s="103"/>
      <c r="BS109" s="103"/>
      <c r="BT109" s="103"/>
      <c r="BU109" s="103"/>
      <c r="BV109" s="103"/>
      <c r="BW109" s="103"/>
      <c r="BX109" s="103"/>
      <c r="BY109" s="103"/>
      <c r="BZ109" s="103"/>
      <c r="CA109" s="103"/>
      <c r="CB109" s="103"/>
      <c r="CC109" s="103"/>
      <c r="CD109" s="103"/>
      <c r="CE109" s="103"/>
      <c r="CF109" s="103"/>
      <c r="CG109" s="103"/>
      <c r="CH109" s="103"/>
      <c r="CI109" s="103"/>
      <c r="CJ109" s="103"/>
      <c r="CK109" s="103"/>
      <c r="CL109" s="103"/>
      <c r="CM109" s="103"/>
      <c r="CN109" s="103"/>
      <c r="CO109" s="103"/>
      <c r="CP109" s="103"/>
      <c r="CQ109" s="103"/>
      <c r="CR109" s="103"/>
      <c r="CS109" s="103"/>
      <c r="CT109" s="103"/>
    </row>
    <row r="110" spans="1:98">
      <c r="A110" s="189">
        <v>74</v>
      </c>
      <c r="B110" s="184">
        <f ca="1">RESUMEN!J77</f>
        <v>0</v>
      </c>
      <c r="C110" s="184">
        <f ca="1">+RESUMEN!K77</f>
        <v>0</v>
      </c>
      <c r="D110" s="185">
        <f t="shared" ca="1" si="148"/>
        <v>0</v>
      </c>
      <c r="E110" s="102"/>
      <c r="F110" s="102"/>
      <c r="G110" s="102"/>
      <c r="H110" s="408"/>
      <c r="I110" s="176"/>
      <c r="J110" s="212" t="s">
        <v>148</v>
      </c>
      <c r="K110" s="213">
        <v>17.36</v>
      </c>
      <c r="L110" s="103">
        <v>4</v>
      </c>
      <c r="M110" s="214" t="s">
        <v>252</v>
      </c>
      <c r="N110" s="215">
        <v>1.6185</v>
      </c>
      <c r="O110" s="383"/>
      <c r="P110" s="384"/>
      <c r="Q110" s="216">
        <v>22</v>
      </c>
      <c r="R110" s="208">
        <v>479</v>
      </c>
      <c r="S110" s="208">
        <v>455</v>
      </c>
      <c r="T110" s="208">
        <v>431</v>
      </c>
      <c r="U110" s="208">
        <v>763.45368554182585</v>
      </c>
      <c r="V110" s="103"/>
      <c r="W110" s="217">
        <v>5</v>
      </c>
      <c r="X110" s="210">
        <v>0.66659999999999997</v>
      </c>
      <c r="Y110" s="210">
        <v>1.6315</v>
      </c>
      <c r="Z110" s="210">
        <v>1.5</v>
      </c>
      <c r="AA110" s="210">
        <v>1</v>
      </c>
      <c r="AB110" s="211">
        <v>30000</v>
      </c>
      <c r="AC110" s="211">
        <v>50000</v>
      </c>
      <c r="AD110" s="211">
        <v>50000</v>
      </c>
      <c r="AE110" s="211">
        <v>50000</v>
      </c>
      <c r="AF110" s="103"/>
      <c r="AG110" s="220"/>
      <c r="AH110" s="220" t="s">
        <v>346</v>
      </c>
      <c r="AI110" s="103">
        <v>97</v>
      </c>
      <c r="AJ110" s="220"/>
      <c r="AK110" s="220"/>
      <c r="AL110" s="103"/>
      <c r="AM110" s="221"/>
      <c r="AN110" s="221"/>
      <c r="AO110" s="103"/>
      <c r="AP110" s="103"/>
      <c r="AQ110" s="103"/>
      <c r="AR110" s="103"/>
      <c r="AS110" s="103"/>
      <c r="AT110" s="103"/>
      <c r="AU110" s="218"/>
      <c r="AV110" s="218"/>
      <c r="AW110" s="218"/>
      <c r="AX110" s="103"/>
      <c r="AY110" s="218"/>
      <c r="AZ110" s="218"/>
      <c r="BA110" s="218"/>
      <c r="BB110" s="218"/>
      <c r="BC110" s="219"/>
      <c r="BD110" s="219"/>
      <c r="BE110" s="219"/>
      <c r="BF110" s="219"/>
      <c r="BG110" s="219"/>
      <c r="BH110" s="219"/>
      <c r="BI110" s="219"/>
      <c r="BJ110" s="219"/>
      <c r="BK110" s="219"/>
      <c r="BL110" s="219"/>
      <c r="BM110" s="219"/>
      <c r="BN110" s="219"/>
      <c r="BO110" s="219"/>
      <c r="BP110" s="219"/>
      <c r="BQ110" s="103"/>
      <c r="BR110" s="103"/>
      <c r="BS110" s="103"/>
      <c r="BT110" s="103"/>
      <c r="BU110" s="103"/>
      <c r="BV110" s="103"/>
      <c r="BW110" s="103"/>
      <c r="BX110" s="103"/>
      <c r="BY110" s="103"/>
      <c r="BZ110" s="103"/>
      <c r="CA110" s="103"/>
      <c r="CB110" s="103"/>
      <c r="CC110" s="103"/>
      <c r="CD110" s="103"/>
      <c r="CE110" s="103"/>
      <c r="CF110" s="103"/>
      <c r="CG110" s="103"/>
      <c r="CH110" s="103"/>
      <c r="CI110" s="103"/>
      <c r="CJ110" s="103"/>
      <c r="CK110" s="103"/>
      <c r="CL110" s="103"/>
      <c r="CM110" s="103"/>
      <c r="CN110" s="103"/>
      <c r="CO110" s="103"/>
      <c r="CP110" s="103"/>
      <c r="CQ110" s="103"/>
      <c r="CR110" s="103"/>
      <c r="CS110" s="103"/>
      <c r="CT110" s="103"/>
    </row>
    <row r="111" spans="1:98">
      <c r="A111" s="189">
        <v>75</v>
      </c>
      <c r="B111" s="184">
        <f ca="1">RESUMEN!J78</f>
        <v>0</v>
      </c>
      <c r="C111" s="184">
        <f ca="1">+RESUMEN!K78</f>
        <v>0</v>
      </c>
      <c r="D111" s="185">
        <f t="shared" ca="1" si="148"/>
        <v>0</v>
      </c>
      <c r="E111" s="102"/>
      <c r="F111" s="102"/>
      <c r="G111" s="102"/>
      <c r="H111" s="408"/>
      <c r="I111" s="176"/>
      <c r="J111" s="212" t="s">
        <v>149</v>
      </c>
      <c r="K111" s="213">
        <v>17.399999999999999</v>
      </c>
      <c r="L111" s="103">
        <v>5</v>
      </c>
      <c r="M111" s="214" t="s">
        <v>253</v>
      </c>
      <c r="N111" s="215">
        <v>1.7997000000000001</v>
      </c>
      <c r="O111" s="383"/>
      <c r="P111" s="384"/>
      <c r="Q111" s="216">
        <v>23</v>
      </c>
      <c r="R111" s="208">
        <v>754</v>
      </c>
      <c r="S111" s="208">
        <v>717</v>
      </c>
      <c r="T111" s="208">
        <v>679</v>
      </c>
      <c r="U111" s="208">
        <v>1161.8716986623269</v>
      </c>
      <c r="V111" s="103"/>
      <c r="W111" s="103"/>
      <c r="X111" s="176"/>
      <c r="Y111" s="176"/>
      <c r="Z111" s="176"/>
      <c r="AA111" s="176"/>
      <c r="AB111" s="103"/>
      <c r="AC111" s="176"/>
      <c r="AD111" s="103"/>
      <c r="AE111" s="103"/>
      <c r="AF111" s="103"/>
      <c r="AG111" s="103"/>
      <c r="AH111" s="220"/>
      <c r="AI111" s="103">
        <f>97/(1-0.105-0.07-0.18)</f>
        <v>150.3875968992248</v>
      </c>
      <c r="AJ111" s="220">
        <f>+AI110/AI111</f>
        <v>0.64500000000000002</v>
      </c>
      <c r="AK111" s="220"/>
      <c r="AL111" s="103"/>
      <c r="AM111" s="221"/>
      <c r="AN111" s="221"/>
      <c r="AO111" s="103"/>
      <c r="AP111" s="103"/>
      <c r="AQ111" s="103"/>
      <c r="AR111" s="103"/>
      <c r="AS111" s="103"/>
      <c r="AT111" s="103"/>
      <c r="AU111" s="218"/>
      <c r="AV111" s="218"/>
      <c r="AW111" s="218"/>
      <c r="AX111" s="103"/>
      <c r="AY111" s="218"/>
      <c r="AZ111" s="218"/>
      <c r="BA111" s="218"/>
      <c r="BB111" s="218"/>
      <c r="BC111" s="219"/>
      <c r="BD111" s="219"/>
      <c r="BE111" s="219"/>
      <c r="BF111" s="219"/>
      <c r="BG111" s="219"/>
      <c r="BH111" s="219"/>
      <c r="BI111" s="219"/>
      <c r="BJ111" s="219"/>
      <c r="BK111" s="219"/>
      <c r="BL111" s="219"/>
      <c r="BM111" s="219"/>
      <c r="BN111" s="219"/>
      <c r="BO111" s="219"/>
      <c r="BP111" s="219"/>
      <c r="BQ111" s="103"/>
      <c r="BR111" s="103"/>
      <c r="BS111" s="103"/>
      <c r="BT111" s="103"/>
      <c r="BU111" s="103"/>
      <c r="BV111" s="103"/>
      <c r="BW111" s="103"/>
      <c r="BX111" s="103"/>
      <c r="BY111" s="103"/>
      <c r="BZ111" s="103"/>
      <c r="CA111" s="103"/>
      <c r="CB111" s="103"/>
      <c r="CC111" s="103"/>
      <c r="CD111" s="103"/>
      <c r="CE111" s="103"/>
      <c r="CF111" s="103"/>
      <c r="CG111" s="103"/>
      <c r="CH111" s="103"/>
      <c r="CI111" s="103"/>
      <c r="CJ111" s="103"/>
      <c r="CK111" s="103"/>
      <c r="CL111" s="103"/>
      <c r="CM111" s="103"/>
      <c r="CN111" s="103"/>
      <c r="CO111" s="103"/>
      <c r="CP111" s="103"/>
      <c r="CQ111" s="103"/>
      <c r="CR111" s="103"/>
      <c r="CS111" s="103"/>
      <c r="CT111" s="103"/>
    </row>
    <row r="112" spans="1:98">
      <c r="A112" s="189">
        <v>76</v>
      </c>
      <c r="B112" s="184">
        <f ca="1">RESUMEN!J79</f>
        <v>0</v>
      </c>
      <c r="C112" s="184">
        <f ca="1">+RESUMEN!K79</f>
        <v>0</v>
      </c>
      <c r="D112" s="185">
        <f t="shared" ca="1" si="148"/>
        <v>0</v>
      </c>
      <c r="E112" s="102"/>
      <c r="F112" s="102"/>
      <c r="G112" s="102"/>
      <c r="H112" s="408"/>
      <c r="I112" s="102"/>
      <c r="J112" s="212" t="s">
        <v>150</v>
      </c>
      <c r="K112" s="213">
        <v>17.440000000000001</v>
      </c>
      <c r="L112" s="103">
        <v>6</v>
      </c>
      <c r="M112" s="214" t="s">
        <v>254</v>
      </c>
      <c r="N112" s="215">
        <v>1.9682999999999999</v>
      </c>
      <c r="O112" s="383"/>
      <c r="P112" s="384"/>
      <c r="Q112" s="216">
        <v>24</v>
      </c>
      <c r="R112" s="208">
        <v>1120</v>
      </c>
      <c r="S112" s="208">
        <v>1064</v>
      </c>
      <c r="T112" s="208">
        <v>1008</v>
      </c>
      <c r="U112" s="208">
        <v>1669.9753723840431</v>
      </c>
      <c r="V112" s="103"/>
      <c r="W112" s="176"/>
      <c r="X112" s="176"/>
      <c r="Y112" s="176"/>
      <c r="Z112" s="176"/>
      <c r="AA112" s="176"/>
      <c r="AB112" s="222"/>
      <c r="AC112" s="103"/>
      <c r="AD112" s="103"/>
      <c r="AE112" s="103"/>
      <c r="AF112" s="103"/>
      <c r="AG112" s="103"/>
      <c r="AH112" s="220"/>
      <c r="AI112" s="103">
        <f>0.105+0.07+0.18</f>
        <v>0.35499999999999998</v>
      </c>
      <c r="AJ112" s="220"/>
      <c r="AK112" s="220"/>
      <c r="AL112" s="103"/>
      <c r="AM112" s="221"/>
      <c r="AN112" s="221"/>
      <c r="AO112" s="103"/>
      <c r="AP112" s="103"/>
      <c r="AQ112" s="103"/>
      <c r="AR112" s="103"/>
      <c r="AS112" s="103"/>
      <c r="AT112" s="103"/>
      <c r="AU112" s="218"/>
      <c r="AV112" s="218"/>
      <c r="AW112" s="218"/>
      <c r="AX112" s="103"/>
      <c r="AY112" s="218"/>
      <c r="AZ112" s="218"/>
      <c r="BA112" s="218"/>
      <c r="BB112" s="218"/>
      <c r="BC112" s="219"/>
      <c r="BD112" s="219"/>
      <c r="BE112" s="219"/>
      <c r="BF112" s="219"/>
      <c r="BG112" s="219"/>
      <c r="BH112" s="219"/>
      <c r="BI112" s="219"/>
      <c r="BJ112" s="219"/>
      <c r="BK112" s="219"/>
      <c r="BL112" s="219"/>
      <c r="BM112" s="219"/>
      <c r="BN112" s="219"/>
      <c r="BO112" s="219"/>
      <c r="BP112" s="219"/>
      <c r="BQ112" s="103"/>
      <c r="BR112" s="103"/>
      <c r="BS112" s="103"/>
      <c r="BT112" s="103"/>
      <c r="BU112" s="103"/>
      <c r="BV112" s="103"/>
      <c r="BW112" s="103"/>
      <c r="BX112" s="103"/>
      <c r="BY112" s="103"/>
      <c r="BZ112" s="103"/>
      <c r="CA112" s="103"/>
      <c r="CB112" s="103"/>
      <c r="CC112" s="103"/>
      <c r="CD112" s="103"/>
      <c r="CE112" s="103"/>
      <c r="CF112" s="103"/>
      <c r="CG112" s="103"/>
      <c r="CH112" s="103"/>
      <c r="CI112" s="103"/>
      <c r="CJ112" s="103"/>
      <c r="CK112" s="103"/>
      <c r="CL112" s="103"/>
      <c r="CM112" s="103"/>
      <c r="CN112" s="103"/>
      <c r="CO112" s="103"/>
      <c r="CP112" s="103"/>
      <c r="CQ112" s="103"/>
      <c r="CR112" s="103"/>
      <c r="CS112" s="103"/>
      <c r="CT112" s="103"/>
    </row>
    <row r="113" spans="1:98">
      <c r="A113" s="189">
        <v>77</v>
      </c>
      <c r="B113" s="184">
        <f ca="1">RESUMEN!J80</f>
        <v>0</v>
      </c>
      <c r="C113" s="184">
        <f ca="1">+RESUMEN!K80</f>
        <v>0</v>
      </c>
      <c r="D113" s="185">
        <f t="shared" ca="1" si="148"/>
        <v>0</v>
      </c>
      <c r="E113" s="102"/>
      <c r="F113" s="102"/>
      <c r="G113" s="102"/>
      <c r="H113" s="408"/>
      <c r="I113" s="102"/>
      <c r="J113" s="212" t="s">
        <v>151</v>
      </c>
      <c r="K113" s="213">
        <v>17.52</v>
      </c>
      <c r="L113" s="103">
        <v>7</v>
      </c>
      <c r="M113" s="214" t="s">
        <v>255</v>
      </c>
      <c r="N113" s="215">
        <v>2.1244000000000001</v>
      </c>
      <c r="O113" s="383"/>
      <c r="P113" s="384"/>
      <c r="Q113" s="216">
        <v>25</v>
      </c>
      <c r="R113" s="208">
        <v>1567</v>
      </c>
      <c r="S113" s="208">
        <v>1489</v>
      </c>
      <c r="T113" s="208">
        <v>1411</v>
      </c>
      <c r="U113" s="208">
        <v>2270.3827737650236</v>
      </c>
      <c r="V113" s="103"/>
      <c r="W113" s="176"/>
      <c r="X113" s="176"/>
      <c r="Y113" s="176"/>
      <c r="Z113" s="176"/>
      <c r="AA113" s="176"/>
      <c r="AB113" s="103"/>
      <c r="AC113" s="103"/>
      <c r="AD113" s="103"/>
      <c r="AE113" s="103"/>
      <c r="AF113" s="103"/>
      <c r="AG113" s="103"/>
      <c r="AH113" s="220"/>
      <c r="AI113" s="103"/>
      <c r="AJ113" s="220"/>
      <c r="AK113" s="220"/>
      <c r="AL113" s="103"/>
      <c r="AM113" s="221"/>
      <c r="AN113" s="221"/>
      <c r="AO113" s="103"/>
      <c r="AP113" s="103"/>
      <c r="AQ113" s="103"/>
      <c r="AR113" s="103"/>
      <c r="AS113" s="103"/>
      <c r="AT113" s="103"/>
      <c r="AU113" s="218"/>
      <c r="AV113" s="218"/>
      <c r="AW113" s="218"/>
      <c r="AX113" s="103"/>
      <c r="AY113" s="218"/>
      <c r="AZ113" s="218"/>
      <c r="BA113" s="218"/>
      <c r="BB113" s="218"/>
      <c r="BC113" s="219"/>
      <c r="BD113" s="219"/>
      <c r="BE113" s="219"/>
      <c r="BF113" s="219"/>
      <c r="BG113" s="219"/>
      <c r="BH113" s="219"/>
      <c r="BI113" s="219"/>
      <c r="BJ113" s="219"/>
      <c r="BK113" s="219"/>
      <c r="BL113" s="219"/>
      <c r="BM113" s="219"/>
      <c r="BN113" s="219"/>
      <c r="BO113" s="219"/>
      <c r="BP113" s="219"/>
      <c r="BQ113" s="103"/>
      <c r="BR113" s="103"/>
      <c r="BS113" s="103"/>
      <c r="BT113" s="103"/>
      <c r="BU113" s="103"/>
      <c r="BV113" s="103"/>
      <c r="BW113" s="103"/>
      <c r="BX113" s="103"/>
      <c r="BY113" s="103"/>
      <c r="BZ113" s="103"/>
      <c r="CA113" s="103"/>
      <c r="CB113" s="103"/>
      <c r="CC113" s="103"/>
      <c r="CD113" s="103"/>
      <c r="CE113" s="103"/>
      <c r="CF113" s="103"/>
      <c r="CG113" s="103"/>
      <c r="CH113" s="103"/>
      <c r="CI113" s="103"/>
      <c r="CJ113" s="103"/>
      <c r="CK113" s="103"/>
      <c r="CL113" s="103"/>
      <c r="CM113" s="103"/>
      <c r="CN113" s="103"/>
      <c r="CO113" s="103"/>
      <c r="CP113" s="103"/>
      <c r="CQ113" s="103"/>
      <c r="CR113" s="103"/>
      <c r="CS113" s="103"/>
      <c r="CT113" s="103"/>
    </row>
    <row r="114" spans="1:98">
      <c r="A114" s="189">
        <v>78</v>
      </c>
      <c r="B114" s="184">
        <f ca="1">RESUMEN!J81</f>
        <v>0</v>
      </c>
      <c r="C114" s="184">
        <f ca="1">+RESUMEN!K81</f>
        <v>0</v>
      </c>
      <c r="D114" s="185">
        <f t="shared" ca="1" si="148"/>
        <v>0</v>
      </c>
      <c r="E114" s="102"/>
      <c r="F114" s="102"/>
      <c r="G114" s="102"/>
      <c r="H114" s="408"/>
      <c r="I114" s="102"/>
      <c r="J114" s="212" t="s">
        <v>152</v>
      </c>
      <c r="K114" s="213">
        <v>17.600000000000001</v>
      </c>
      <c r="L114" s="103">
        <v>8</v>
      </c>
      <c r="M114" s="214" t="s">
        <v>256</v>
      </c>
      <c r="N114" s="215">
        <v>2.2679999999999998</v>
      </c>
      <c r="O114" s="383"/>
      <c r="P114" s="384"/>
      <c r="Q114" s="216">
        <v>26</v>
      </c>
      <c r="R114" s="208">
        <v>2072</v>
      </c>
      <c r="S114" s="208">
        <v>1969</v>
      </c>
      <c r="T114" s="208">
        <v>1865</v>
      </c>
      <c r="U114" s="208">
        <v>2923.6399857007091</v>
      </c>
      <c r="V114" s="103"/>
      <c r="W114" s="176"/>
      <c r="X114" s="103"/>
      <c r="Y114" s="103"/>
      <c r="Z114" s="103"/>
      <c r="AA114" s="103"/>
      <c r="AB114" s="103"/>
      <c r="AC114" s="103"/>
      <c r="AD114" s="103"/>
      <c r="AE114" s="103"/>
      <c r="AF114" s="103"/>
      <c r="AG114" s="103"/>
      <c r="AH114" s="220"/>
      <c r="AI114" s="103"/>
      <c r="AJ114" s="220"/>
      <c r="AK114" s="220"/>
      <c r="AL114" s="103"/>
      <c r="AM114" s="221"/>
      <c r="AN114" s="221"/>
      <c r="AO114" s="103"/>
      <c r="AP114" s="103"/>
      <c r="AQ114" s="103"/>
      <c r="AR114" s="103"/>
      <c r="AS114" s="103"/>
      <c r="AT114" s="103"/>
      <c r="AU114" s="218"/>
      <c r="AV114" s="218"/>
      <c r="AW114" s="218"/>
      <c r="AX114" s="103"/>
      <c r="AY114" s="218"/>
      <c r="AZ114" s="218"/>
      <c r="BA114" s="218"/>
      <c r="BB114" s="218"/>
      <c r="BC114" s="219"/>
      <c r="BD114" s="219"/>
      <c r="BE114" s="219"/>
      <c r="BF114" s="219"/>
      <c r="BG114" s="219"/>
      <c r="BH114" s="219"/>
      <c r="BI114" s="219"/>
      <c r="BJ114" s="219"/>
      <c r="BK114" s="219"/>
      <c r="BL114" s="219"/>
      <c r="BM114" s="219"/>
      <c r="BN114" s="219"/>
      <c r="BO114" s="219"/>
      <c r="BP114" s="219"/>
      <c r="BQ114" s="103"/>
      <c r="BR114" s="103"/>
      <c r="BS114" s="103"/>
      <c r="BT114" s="103"/>
      <c r="BU114" s="103"/>
      <c r="BV114" s="103"/>
      <c r="BW114" s="103"/>
      <c r="BX114" s="103"/>
      <c r="BY114" s="103"/>
      <c r="BZ114" s="103"/>
      <c r="CA114" s="103"/>
      <c r="CB114" s="103"/>
      <c r="CC114" s="103"/>
      <c r="CD114" s="103"/>
      <c r="CE114" s="103"/>
      <c r="CF114" s="103"/>
      <c r="CG114" s="103"/>
      <c r="CH114" s="103"/>
      <c r="CI114" s="103"/>
      <c r="CJ114" s="103"/>
      <c r="CK114" s="103"/>
      <c r="CL114" s="103"/>
      <c r="CM114" s="103"/>
      <c r="CN114" s="103"/>
      <c r="CO114" s="103"/>
      <c r="CP114" s="103"/>
      <c r="CQ114" s="103"/>
      <c r="CR114" s="103"/>
      <c r="CS114" s="103"/>
      <c r="CT114" s="103"/>
    </row>
    <row r="115" spans="1:98">
      <c r="A115" s="189">
        <v>79</v>
      </c>
      <c r="B115" s="184">
        <f ca="1">RESUMEN!J82</f>
        <v>0</v>
      </c>
      <c r="C115" s="184">
        <f ca="1">+RESUMEN!K82</f>
        <v>0</v>
      </c>
      <c r="D115" s="185">
        <f t="shared" ca="1" si="148"/>
        <v>0</v>
      </c>
      <c r="E115" s="102"/>
      <c r="F115" s="102"/>
      <c r="G115" s="102"/>
      <c r="H115" s="408"/>
      <c r="I115" s="102"/>
      <c r="J115" s="212" t="s">
        <v>153</v>
      </c>
      <c r="K115" s="213">
        <v>17.72</v>
      </c>
      <c r="L115" s="103">
        <v>9</v>
      </c>
      <c r="M115" s="214" t="s">
        <v>257</v>
      </c>
      <c r="N115" s="215">
        <v>2.3990999999999998</v>
      </c>
      <c r="O115" s="383"/>
      <c r="P115" s="384"/>
      <c r="Q115" s="216">
        <v>27</v>
      </c>
      <c r="R115" s="208">
        <v>2590</v>
      </c>
      <c r="S115" s="208">
        <v>2461</v>
      </c>
      <c r="T115" s="208">
        <v>2331</v>
      </c>
      <c r="U115" s="208">
        <v>3570.4890692911358</v>
      </c>
      <c r="V115" s="103"/>
      <c r="W115" s="176"/>
      <c r="X115" s="103"/>
      <c r="Y115" s="103"/>
      <c r="Z115" s="103"/>
      <c r="AA115" s="103"/>
      <c r="AB115" s="103"/>
      <c r="AC115" s="103"/>
      <c r="AD115" s="103"/>
      <c r="AE115" s="103"/>
      <c r="AF115" s="103"/>
      <c r="AG115" s="103"/>
      <c r="AH115" s="220"/>
      <c r="AI115" s="103"/>
      <c r="AJ115" s="220"/>
      <c r="AK115" s="220"/>
      <c r="AL115" s="103"/>
      <c r="AM115" s="221"/>
      <c r="AN115" s="221"/>
      <c r="AO115" s="103"/>
      <c r="AP115" s="103"/>
      <c r="AQ115" s="103"/>
      <c r="AR115" s="103"/>
      <c r="AS115" s="103"/>
      <c r="AT115" s="103"/>
      <c r="AU115" s="218"/>
      <c r="AV115" s="218"/>
      <c r="AW115" s="218"/>
      <c r="AX115" s="103"/>
      <c r="AY115" s="218"/>
      <c r="AZ115" s="218"/>
      <c r="BA115" s="218"/>
      <c r="BB115" s="218"/>
      <c r="BC115" s="219"/>
      <c r="BD115" s="219"/>
      <c r="BE115" s="219"/>
      <c r="BF115" s="219"/>
      <c r="BG115" s="219"/>
      <c r="BH115" s="219"/>
      <c r="BI115" s="219"/>
      <c r="BJ115" s="219"/>
      <c r="BK115" s="219"/>
      <c r="BL115" s="219"/>
      <c r="BM115" s="219"/>
      <c r="BN115" s="219"/>
      <c r="BO115" s="219"/>
      <c r="BP115" s="219"/>
      <c r="BQ115" s="103"/>
      <c r="BR115" s="103"/>
      <c r="BS115" s="103"/>
      <c r="BT115" s="103"/>
      <c r="BU115" s="103"/>
      <c r="BV115" s="103"/>
      <c r="BW115" s="103"/>
      <c r="BX115" s="103"/>
      <c r="BY115" s="103"/>
      <c r="BZ115" s="103"/>
      <c r="CA115" s="103"/>
      <c r="CB115" s="103"/>
      <c r="CC115" s="103"/>
      <c r="CD115" s="103"/>
      <c r="CE115" s="103"/>
      <c r="CF115" s="103"/>
      <c r="CG115" s="103"/>
      <c r="CH115" s="103"/>
      <c r="CI115" s="103"/>
      <c r="CJ115" s="103"/>
      <c r="CK115" s="103"/>
      <c r="CL115" s="103"/>
      <c r="CM115" s="103"/>
      <c r="CN115" s="103"/>
      <c r="CO115" s="103"/>
      <c r="CP115" s="103"/>
      <c r="CQ115" s="103"/>
      <c r="CR115" s="103"/>
      <c r="CS115" s="103"/>
      <c r="CT115" s="103"/>
    </row>
    <row r="116" spans="1:98">
      <c r="A116" s="189">
        <v>80</v>
      </c>
      <c r="B116" s="184">
        <f ca="1">RESUMEN!J83</f>
        <v>0</v>
      </c>
      <c r="C116" s="184">
        <f ca="1">+RESUMEN!K83</f>
        <v>0</v>
      </c>
      <c r="D116" s="185">
        <f t="shared" ca="1" si="148"/>
        <v>0</v>
      </c>
      <c r="E116" s="102"/>
      <c r="F116" s="102"/>
      <c r="G116" s="102"/>
      <c r="H116" s="408"/>
      <c r="I116" s="102"/>
      <c r="J116" s="212" t="s">
        <v>154</v>
      </c>
      <c r="K116" s="213">
        <v>17.84</v>
      </c>
      <c r="L116" s="103">
        <v>10</v>
      </c>
      <c r="M116" s="214" t="s">
        <v>258</v>
      </c>
      <c r="N116" s="215">
        <v>2.5177</v>
      </c>
      <c r="O116" s="383"/>
      <c r="P116" s="384"/>
      <c r="Q116" s="216">
        <v>28</v>
      </c>
      <c r="R116" s="208">
        <v>3064</v>
      </c>
      <c r="S116" s="208">
        <v>2911</v>
      </c>
      <c r="T116" s="208">
        <v>2757</v>
      </c>
      <c r="U116" s="208">
        <v>4140.0336677344321</v>
      </c>
      <c r="V116" s="103"/>
      <c r="W116" s="176"/>
      <c r="X116" s="176"/>
      <c r="Y116" s="176"/>
      <c r="Z116" s="176"/>
      <c r="AA116" s="176"/>
      <c r="AB116" s="103"/>
      <c r="AC116" s="103"/>
      <c r="AD116" s="103"/>
      <c r="AE116" s="103"/>
      <c r="AF116" s="103"/>
      <c r="AG116" s="103"/>
      <c r="AH116" s="220"/>
      <c r="AI116" s="103"/>
      <c r="AJ116" s="220"/>
      <c r="AK116" s="220"/>
      <c r="AL116" s="103"/>
      <c r="AM116" s="221"/>
      <c r="AN116" s="221"/>
      <c r="AO116" s="103"/>
      <c r="AP116" s="103"/>
      <c r="AQ116" s="103"/>
      <c r="AR116" s="103"/>
      <c r="AS116" s="103"/>
      <c r="AT116" s="103"/>
      <c r="AU116" s="218"/>
      <c r="AV116" s="218"/>
      <c r="AW116" s="218"/>
      <c r="AX116" s="103"/>
      <c r="AY116" s="218"/>
      <c r="AZ116" s="218"/>
      <c r="BA116" s="218"/>
      <c r="BB116" s="218"/>
      <c r="BC116" s="219"/>
      <c r="BD116" s="219"/>
      <c r="BE116" s="219"/>
      <c r="BF116" s="219"/>
      <c r="BG116" s="219"/>
      <c r="BH116" s="219"/>
      <c r="BI116" s="219"/>
      <c r="BJ116" s="219"/>
      <c r="BK116" s="219"/>
      <c r="BL116" s="219"/>
      <c r="BM116" s="219"/>
      <c r="BN116" s="219"/>
      <c r="BO116" s="219"/>
      <c r="BP116" s="219"/>
      <c r="BQ116" s="103"/>
      <c r="BR116" s="103"/>
      <c r="BS116" s="103"/>
      <c r="BT116" s="103"/>
      <c r="BU116" s="103"/>
      <c r="BV116" s="103"/>
      <c r="BW116" s="103"/>
      <c r="BX116" s="103"/>
      <c r="BY116" s="103"/>
      <c r="BZ116" s="103"/>
      <c r="CA116" s="103"/>
      <c r="CB116" s="103"/>
      <c r="CC116" s="103"/>
      <c r="CD116" s="103"/>
      <c r="CE116" s="103"/>
      <c r="CF116" s="103"/>
      <c r="CG116" s="103"/>
      <c r="CH116" s="103"/>
      <c r="CI116" s="103"/>
      <c r="CJ116" s="103"/>
      <c r="CK116" s="103"/>
      <c r="CL116" s="103"/>
      <c r="CM116" s="103"/>
      <c r="CN116" s="103"/>
      <c r="CO116" s="103"/>
      <c r="CP116" s="103"/>
      <c r="CQ116" s="103"/>
      <c r="CR116" s="103"/>
      <c r="CS116" s="103"/>
      <c r="CT116" s="103"/>
    </row>
    <row r="117" spans="1:98">
      <c r="A117" s="189">
        <v>81</v>
      </c>
      <c r="B117" s="184">
        <f ca="1">RESUMEN!J84</f>
        <v>0</v>
      </c>
      <c r="C117" s="184">
        <f ca="1">+RESUMEN!K84</f>
        <v>0</v>
      </c>
      <c r="D117" s="185">
        <f t="shared" ca="1" si="148"/>
        <v>0</v>
      </c>
      <c r="E117" s="102"/>
      <c r="F117" s="102"/>
      <c r="G117" s="102"/>
      <c r="H117" s="408"/>
      <c r="I117" s="102"/>
      <c r="J117" s="212" t="s">
        <v>155</v>
      </c>
      <c r="K117" s="213">
        <v>17.96</v>
      </c>
      <c r="L117" s="103">
        <v>11</v>
      </c>
      <c r="M117" s="214" t="s">
        <v>259</v>
      </c>
      <c r="N117" s="215">
        <v>2.6238000000000001</v>
      </c>
      <c r="O117" s="383"/>
      <c r="P117" s="384"/>
      <c r="Q117" s="216">
        <v>29</v>
      </c>
      <c r="R117" s="208">
        <v>3433</v>
      </c>
      <c r="S117" s="208">
        <v>3262</v>
      </c>
      <c r="T117" s="208">
        <v>3090</v>
      </c>
      <c r="U117" s="208">
        <v>4562.4765666878784</v>
      </c>
      <c r="V117" s="103"/>
      <c r="W117" s="176"/>
      <c r="X117" s="176"/>
      <c r="Y117" s="176"/>
      <c r="Z117" s="176"/>
      <c r="AA117" s="176"/>
      <c r="AB117" s="103"/>
      <c r="AC117" s="103"/>
      <c r="AD117" s="103"/>
      <c r="AE117" s="103"/>
      <c r="AF117" s="103"/>
      <c r="AG117" s="103"/>
      <c r="AH117" s="220"/>
      <c r="AI117" s="103"/>
      <c r="AJ117" s="220"/>
      <c r="AK117" s="220"/>
      <c r="AL117" s="103"/>
      <c r="AM117" s="221"/>
      <c r="AN117" s="221"/>
      <c r="AO117" s="103"/>
      <c r="AP117" s="103"/>
      <c r="AQ117" s="103"/>
      <c r="AR117" s="103"/>
      <c r="AS117" s="103"/>
      <c r="AT117" s="103"/>
      <c r="AU117" s="218"/>
      <c r="AV117" s="218"/>
      <c r="AW117" s="218"/>
      <c r="AX117" s="103"/>
      <c r="AY117" s="218"/>
      <c r="AZ117" s="218"/>
      <c r="BA117" s="218"/>
      <c r="BB117" s="218"/>
      <c r="BC117" s="219"/>
      <c r="BD117" s="219"/>
      <c r="BE117" s="219"/>
      <c r="BF117" s="219"/>
      <c r="BG117" s="219"/>
      <c r="BH117" s="219"/>
      <c r="BI117" s="219"/>
      <c r="BJ117" s="219"/>
      <c r="BK117" s="219"/>
      <c r="BL117" s="219"/>
      <c r="BM117" s="219"/>
      <c r="BN117" s="219"/>
      <c r="BO117" s="219"/>
      <c r="BP117" s="219"/>
      <c r="BQ117" s="103"/>
      <c r="BR117" s="103"/>
      <c r="BS117" s="103"/>
      <c r="BT117" s="103"/>
      <c r="BU117" s="103"/>
      <c r="BV117" s="103"/>
      <c r="BW117" s="103"/>
      <c r="BX117" s="103"/>
      <c r="BY117" s="103"/>
      <c r="BZ117" s="103"/>
      <c r="CA117" s="103"/>
      <c r="CB117" s="103"/>
      <c r="CC117" s="103"/>
      <c r="CD117" s="103"/>
      <c r="CE117" s="103"/>
      <c r="CF117" s="103"/>
      <c r="CG117" s="103"/>
      <c r="CH117" s="103"/>
      <c r="CI117" s="103"/>
      <c r="CJ117" s="103"/>
      <c r="CK117" s="103"/>
      <c r="CL117" s="103"/>
      <c r="CM117" s="103"/>
      <c r="CN117" s="103"/>
      <c r="CO117" s="103"/>
      <c r="CP117" s="103"/>
      <c r="CQ117" s="103"/>
      <c r="CR117" s="103"/>
      <c r="CS117" s="103"/>
      <c r="CT117" s="103"/>
    </row>
    <row r="118" spans="1:98">
      <c r="A118" s="189">
        <v>82</v>
      </c>
      <c r="B118" s="184">
        <f ca="1">RESUMEN!J85</f>
        <v>0</v>
      </c>
      <c r="C118" s="184">
        <f ca="1">+RESUMEN!K85</f>
        <v>0</v>
      </c>
      <c r="D118" s="185">
        <f t="shared" ca="1" si="148"/>
        <v>0</v>
      </c>
      <c r="E118" s="102"/>
      <c r="F118" s="102"/>
      <c r="G118" s="102"/>
      <c r="H118" s="408"/>
      <c r="I118" s="102"/>
      <c r="J118" s="212" t="s">
        <v>156</v>
      </c>
      <c r="K118" s="213">
        <v>18.12</v>
      </c>
      <c r="L118" s="103">
        <v>12</v>
      </c>
      <c r="M118" s="214" t="s">
        <v>260</v>
      </c>
      <c r="N118" s="215">
        <v>2.7172999999999998</v>
      </c>
      <c r="O118" s="383"/>
      <c r="P118" s="384"/>
      <c r="Q118" s="216">
        <v>30</v>
      </c>
      <c r="R118" s="208">
        <v>3648</v>
      </c>
      <c r="S118" s="208">
        <v>3465</v>
      </c>
      <c r="T118" s="208">
        <v>3283</v>
      </c>
      <c r="U118" s="208">
        <v>4783.2744938507612</v>
      </c>
      <c r="V118" s="103"/>
      <c r="W118" s="176"/>
      <c r="X118" s="176"/>
      <c r="Y118" s="176"/>
      <c r="Z118" s="176"/>
      <c r="AA118" s="176"/>
      <c r="AB118" s="103"/>
      <c r="AC118" s="103"/>
      <c r="AD118" s="103"/>
      <c r="AE118" s="103"/>
      <c r="AF118" s="103"/>
      <c r="AG118" s="103"/>
      <c r="AH118" s="220"/>
      <c r="AI118" s="103"/>
      <c r="AJ118" s="220"/>
      <c r="AK118" s="220"/>
      <c r="AL118" s="103"/>
      <c r="AM118" s="221"/>
      <c r="AN118" s="221"/>
      <c r="AO118" s="103"/>
      <c r="AP118" s="103"/>
      <c r="AQ118" s="103"/>
      <c r="AR118" s="103"/>
      <c r="AS118" s="103"/>
      <c r="AT118" s="103"/>
      <c r="AU118" s="218"/>
      <c r="AV118" s="218"/>
      <c r="AW118" s="218"/>
      <c r="AX118" s="103"/>
      <c r="AY118" s="218"/>
      <c r="AZ118" s="218"/>
      <c r="BA118" s="218"/>
      <c r="BB118" s="218"/>
      <c r="BC118" s="219"/>
      <c r="BD118" s="219"/>
      <c r="BE118" s="219"/>
      <c r="BF118" s="219"/>
      <c r="BG118" s="219"/>
      <c r="BH118" s="219"/>
      <c r="BI118" s="219"/>
      <c r="BJ118" s="219"/>
      <c r="BK118" s="219"/>
      <c r="BL118" s="219"/>
      <c r="BM118" s="219"/>
      <c r="BN118" s="219"/>
      <c r="BO118" s="219"/>
      <c r="BP118" s="219"/>
      <c r="BQ118" s="103"/>
      <c r="BR118" s="103"/>
      <c r="BS118" s="103"/>
      <c r="BT118" s="103"/>
      <c r="BU118" s="103"/>
      <c r="BV118" s="103"/>
      <c r="BW118" s="103"/>
      <c r="BX118" s="103"/>
      <c r="BY118" s="103"/>
      <c r="BZ118" s="103"/>
      <c r="CA118" s="103"/>
      <c r="CB118" s="103"/>
      <c r="CC118" s="103"/>
      <c r="CD118" s="103"/>
      <c r="CE118" s="103"/>
      <c r="CF118" s="103"/>
      <c r="CG118" s="103"/>
      <c r="CH118" s="103"/>
      <c r="CI118" s="103"/>
      <c r="CJ118" s="103"/>
      <c r="CK118" s="103"/>
      <c r="CL118" s="103"/>
      <c r="CM118" s="103"/>
      <c r="CN118" s="103"/>
      <c r="CO118" s="103"/>
      <c r="CP118" s="103"/>
      <c r="CQ118" s="103"/>
      <c r="CR118" s="103"/>
      <c r="CS118" s="103"/>
      <c r="CT118" s="103"/>
    </row>
    <row r="119" spans="1:98">
      <c r="A119" s="189">
        <v>83</v>
      </c>
      <c r="B119" s="184">
        <f ca="1">RESUMEN!J86</f>
        <v>0</v>
      </c>
      <c r="C119" s="184">
        <f ca="1">+RESUMEN!K86</f>
        <v>0</v>
      </c>
      <c r="D119" s="185">
        <f t="shared" ca="1" si="148"/>
        <v>0</v>
      </c>
      <c r="E119" s="102"/>
      <c r="F119" s="102"/>
      <c r="G119" s="102"/>
      <c r="H119" s="408"/>
      <c r="I119" s="102"/>
      <c r="J119" s="212" t="s">
        <v>157</v>
      </c>
      <c r="K119" s="213">
        <v>18.28</v>
      </c>
      <c r="L119" s="103">
        <v>13</v>
      </c>
      <c r="M119" s="214" t="s">
        <v>261</v>
      </c>
      <c r="N119" s="215">
        <v>2.7984</v>
      </c>
      <c r="O119" s="383"/>
      <c r="P119" s="384"/>
      <c r="Q119" s="216">
        <v>31</v>
      </c>
      <c r="R119" s="208">
        <v>3677</v>
      </c>
      <c r="S119" s="208">
        <v>3493</v>
      </c>
      <c r="T119" s="208">
        <v>3309</v>
      </c>
      <c r="U119" s="208">
        <v>4774.7173503070117</v>
      </c>
      <c r="V119" s="103"/>
      <c r="W119" s="176"/>
      <c r="X119" s="176"/>
      <c r="Y119" s="176"/>
      <c r="Z119" s="176"/>
      <c r="AA119" s="176"/>
      <c r="AB119" s="103"/>
      <c r="AC119" s="103"/>
      <c r="AD119" s="103"/>
      <c r="AE119" s="103"/>
      <c r="AF119" s="103"/>
      <c r="AG119" s="103"/>
      <c r="AH119" s="220"/>
      <c r="AI119" s="103"/>
      <c r="AJ119" s="220"/>
      <c r="AK119" s="220"/>
      <c r="AL119" s="103"/>
      <c r="AM119" s="221"/>
      <c r="AN119" s="221"/>
      <c r="AO119" s="103"/>
      <c r="AP119" s="103"/>
      <c r="AQ119" s="103"/>
      <c r="AR119" s="103"/>
      <c r="AS119" s="103"/>
      <c r="AT119" s="103"/>
      <c r="AU119" s="218"/>
      <c r="AV119" s="218"/>
      <c r="AW119" s="218"/>
      <c r="AX119" s="103"/>
      <c r="AY119" s="218"/>
      <c r="AZ119" s="218"/>
      <c r="BA119" s="218"/>
      <c r="BB119" s="218"/>
      <c r="BC119" s="219"/>
      <c r="BD119" s="219"/>
      <c r="BE119" s="219"/>
      <c r="BF119" s="219"/>
      <c r="BG119" s="219"/>
      <c r="BH119" s="219"/>
      <c r="BI119" s="219"/>
      <c r="BJ119" s="219"/>
      <c r="BK119" s="219"/>
      <c r="BL119" s="219"/>
      <c r="BM119" s="219"/>
      <c r="BN119" s="219"/>
      <c r="BO119" s="219"/>
      <c r="BP119" s="219"/>
      <c r="BQ119" s="103"/>
      <c r="BR119" s="103"/>
      <c r="BS119" s="103"/>
      <c r="BT119" s="103"/>
      <c r="BU119" s="103"/>
      <c r="BV119" s="103"/>
      <c r="BW119" s="103"/>
      <c r="BX119" s="103"/>
      <c r="BY119" s="103"/>
      <c r="BZ119" s="103"/>
      <c r="CA119" s="103"/>
      <c r="CB119" s="103"/>
      <c r="CC119" s="103"/>
      <c r="CD119" s="103"/>
      <c r="CE119" s="103"/>
      <c r="CF119" s="103"/>
      <c r="CG119" s="103"/>
      <c r="CH119" s="103"/>
      <c r="CI119" s="103"/>
      <c r="CJ119" s="103"/>
      <c r="CK119" s="103"/>
      <c r="CL119" s="103"/>
      <c r="CM119" s="103"/>
      <c r="CN119" s="103"/>
      <c r="CO119" s="103"/>
      <c r="CP119" s="103"/>
      <c r="CQ119" s="103"/>
      <c r="CR119" s="103"/>
      <c r="CS119" s="103"/>
      <c r="CT119" s="103"/>
    </row>
    <row r="120" spans="1:98">
      <c r="A120" s="189">
        <v>84</v>
      </c>
      <c r="B120" s="184">
        <f ca="1">RESUMEN!J87</f>
        <v>0</v>
      </c>
      <c r="C120" s="184">
        <f ca="1">+RESUMEN!K87</f>
        <v>0</v>
      </c>
      <c r="D120" s="185">
        <f t="shared" ca="1" si="148"/>
        <v>0</v>
      </c>
      <c r="E120" s="102"/>
      <c r="F120" s="102"/>
      <c r="G120" s="102"/>
      <c r="H120" s="408"/>
      <c r="I120" s="102"/>
      <c r="J120" s="212" t="s">
        <v>158</v>
      </c>
      <c r="K120" s="213">
        <v>18.52</v>
      </c>
      <c r="L120" s="103">
        <v>14</v>
      </c>
      <c r="M120" s="214" t="s">
        <v>262</v>
      </c>
      <c r="N120" s="215">
        <v>2.867</v>
      </c>
      <c r="O120" s="383"/>
      <c r="P120" s="384"/>
      <c r="Q120" s="216">
        <v>32</v>
      </c>
      <c r="R120" s="208">
        <v>3519</v>
      </c>
      <c r="S120" s="208">
        <v>3343</v>
      </c>
      <c r="T120" s="208">
        <v>3167</v>
      </c>
      <c r="U120" s="208">
        <v>4541.5401938368141</v>
      </c>
      <c r="V120" s="103"/>
      <c r="W120" s="176"/>
      <c r="X120" s="176"/>
      <c r="Y120" s="176"/>
      <c r="Z120" s="176"/>
      <c r="AA120" s="176"/>
      <c r="AB120" s="103"/>
      <c r="AC120" s="103"/>
      <c r="AD120" s="103"/>
      <c r="AE120" s="103"/>
      <c r="AF120" s="103"/>
      <c r="AG120" s="103"/>
      <c r="AH120" s="220"/>
      <c r="AI120" s="103"/>
      <c r="AJ120" s="220"/>
      <c r="AK120" s="220"/>
      <c r="AL120" s="103"/>
      <c r="AM120" s="221"/>
      <c r="AN120" s="221"/>
      <c r="AO120" s="103"/>
      <c r="AP120" s="103"/>
      <c r="AQ120" s="103"/>
      <c r="AR120" s="103"/>
      <c r="AS120" s="103"/>
      <c r="AT120" s="103"/>
      <c r="AU120" s="218"/>
      <c r="AV120" s="218"/>
      <c r="AW120" s="218"/>
      <c r="AX120" s="103"/>
      <c r="AY120" s="218"/>
      <c r="AZ120" s="218"/>
      <c r="BA120" s="218"/>
      <c r="BB120" s="218"/>
      <c r="BC120" s="219"/>
      <c r="BD120" s="219"/>
      <c r="BE120" s="219"/>
      <c r="BF120" s="219"/>
      <c r="BG120" s="219"/>
      <c r="BH120" s="219"/>
      <c r="BI120" s="219"/>
      <c r="BJ120" s="219"/>
      <c r="BK120" s="219"/>
      <c r="BL120" s="219"/>
      <c r="BM120" s="219"/>
      <c r="BN120" s="219"/>
      <c r="BO120" s="219"/>
      <c r="BP120" s="219"/>
      <c r="BQ120" s="103"/>
      <c r="BR120" s="103"/>
      <c r="BS120" s="103"/>
      <c r="BT120" s="103"/>
      <c r="BU120" s="103"/>
      <c r="BV120" s="103"/>
      <c r="BW120" s="103"/>
      <c r="BX120" s="103"/>
      <c r="BY120" s="103"/>
      <c r="BZ120" s="103"/>
      <c r="CA120" s="103"/>
      <c r="CB120" s="103"/>
      <c r="CC120" s="103"/>
      <c r="CD120" s="103"/>
      <c r="CE120" s="103"/>
      <c r="CF120" s="103"/>
      <c r="CG120" s="103"/>
      <c r="CH120" s="103"/>
      <c r="CI120" s="103"/>
      <c r="CJ120" s="103"/>
      <c r="CK120" s="103"/>
      <c r="CL120" s="103"/>
      <c r="CM120" s="103"/>
      <c r="CN120" s="103"/>
      <c r="CO120" s="103"/>
      <c r="CP120" s="103"/>
      <c r="CQ120" s="103"/>
      <c r="CR120" s="103"/>
      <c r="CS120" s="103"/>
      <c r="CT120" s="103"/>
    </row>
    <row r="121" spans="1:98">
      <c r="A121" s="189">
        <v>85</v>
      </c>
      <c r="B121" s="184">
        <f ca="1">RESUMEN!J88</f>
        <v>0</v>
      </c>
      <c r="C121" s="184">
        <f ca="1">+RESUMEN!K88</f>
        <v>0</v>
      </c>
      <c r="D121" s="185">
        <f t="shared" ca="1" si="148"/>
        <v>0</v>
      </c>
      <c r="E121" s="102"/>
      <c r="F121" s="102"/>
      <c r="G121" s="102"/>
      <c r="H121" s="408"/>
      <c r="I121" s="102"/>
      <c r="J121" s="212" t="s">
        <v>159</v>
      </c>
      <c r="K121" s="213">
        <v>18.72</v>
      </c>
      <c r="L121" s="103">
        <v>15</v>
      </c>
      <c r="M121" s="214" t="s">
        <v>263</v>
      </c>
      <c r="N121" s="215">
        <v>2.9230999999999998</v>
      </c>
      <c r="O121" s="383"/>
      <c r="P121" s="384"/>
      <c r="Q121" s="216">
        <v>33</v>
      </c>
      <c r="R121" s="208">
        <v>3199</v>
      </c>
      <c r="S121" s="208">
        <v>3039</v>
      </c>
      <c r="T121" s="208">
        <v>2879</v>
      </c>
      <c r="U121" s="208">
        <v>4119.0347544766682</v>
      </c>
      <c r="V121" s="103"/>
      <c r="W121" s="176"/>
      <c r="X121" s="176"/>
      <c r="Y121" s="176"/>
      <c r="Z121" s="176"/>
      <c r="AA121" s="176"/>
      <c r="AB121" s="103"/>
      <c r="AC121" s="103"/>
      <c r="AD121" s="103"/>
      <c r="AE121" s="103"/>
      <c r="AF121" s="103"/>
      <c r="AG121" s="103"/>
      <c r="AH121" s="220"/>
      <c r="AI121" s="103"/>
      <c r="AJ121" s="220"/>
      <c r="AK121" s="220"/>
      <c r="AL121" s="103"/>
      <c r="AM121" s="221"/>
      <c r="AN121" s="221"/>
      <c r="AO121" s="103"/>
      <c r="AP121" s="103"/>
      <c r="AQ121" s="103"/>
      <c r="AR121" s="103"/>
      <c r="AS121" s="103"/>
      <c r="AT121" s="103"/>
      <c r="AU121" s="218"/>
      <c r="AV121" s="218"/>
      <c r="AW121" s="218"/>
      <c r="AX121" s="103"/>
      <c r="AY121" s="218"/>
      <c r="AZ121" s="218"/>
      <c r="BA121" s="218"/>
      <c r="BB121" s="218"/>
      <c r="BC121" s="219"/>
      <c r="BD121" s="219"/>
      <c r="BE121" s="219"/>
      <c r="BF121" s="219"/>
      <c r="BG121" s="219"/>
      <c r="BH121" s="219"/>
      <c r="BI121" s="219"/>
      <c r="BJ121" s="219"/>
      <c r="BK121" s="219"/>
      <c r="BL121" s="219"/>
      <c r="BM121" s="219"/>
      <c r="BN121" s="219"/>
      <c r="BO121" s="219"/>
      <c r="BP121" s="219"/>
      <c r="BQ121" s="103"/>
      <c r="BR121" s="103"/>
      <c r="BS121" s="103"/>
      <c r="BT121" s="103"/>
      <c r="BU121" s="103"/>
      <c r="BV121" s="103"/>
      <c r="BW121" s="103"/>
      <c r="BX121" s="103"/>
      <c r="BY121" s="103"/>
      <c r="BZ121" s="103"/>
      <c r="CA121" s="103"/>
      <c r="CB121" s="103"/>
      <c r="CC121" s="103"/>
      <c r="CD121" s="103"/>
      <c r="CE121" s="103"/>
      <c r="CF121" s="103"/>
      <c r="CG121" s="103"/>
      <c r="CH121" s="103"/>
      <c r="CI121" s="103"/>
      <c r="CJ121" s="103"/>
      <c r="CK121" s="103"/>
      <c r="CL121" s="103"/>
      <c r="CM121" s="103"/>
      <c r="CN121" s="103"/>
      <c r="CO121" s="103"/>
      <c r="CP121" s="103"/>
      <c r="CQ121" s="103"/>
      <c r="CR121" s="103"/>
      <c r="CS121" s="103"/>
      <c r="CT121" s="103"/>
    </row>
    <row r="122" spans="1:98">
      <c r="A122" s="189">
        <v>86</v>
      </c>
      <c r="B122" s="184">
        <f ca="1">RESUMEN!J89</f>
        <v>0</v>
      </c>
      <c r="C122" s="184">
        <f ca="1">+RESUMEN!K89</f>
        <v>0</v>
      </c>
      <c r="D122" s="185">
        <f t="shared" ca="1" si="148"/>
        <v>0</v>
      </c>
      <c r="E122" s="102"/>
      <c r="F122" s="102"/>
      <c r="G122" s="102"/>
      <c r="H122" s="408"/>
      <c r="I122" s="102"/>
      <c r="J122" s="212" t="s">
        <v>160</v>
      </c>
      <c r="K122" s="213">
        <v>19</v>
      </c>
      <c r="L122" s="103">
        <v>16</v>
      </c>
      <c r="M122" s="214" t="s">
        <v>264</v>
      </c>
      <c r="N122" s="215">
        <v>2.9666999999999999</v>
      </c>
      <c r="O122" s="383"/>
      <c r="P122" s="384"/>
      <c r="Q122" s="216">
        <v>34</v>
      </c>
      <c r="R122" s="208">
        <v>2763</v>
      </c>
      <c r="S122" s="208">
        <v>2625</v>
      </c>
      <c r="T122" s="208">
        <v>2487</v>
      </c>
      <c r="U122" s="208">
        <v>3564.5011181424761</v>
      </c>
      <c r="V122" s="103"/>
      <c r="W122" s="176"/>
      <c r="X122" s="176"/>
      <c r="Y122" s="176"/>
      <c r="Z122" s="176"/>
      <c r="AA122" s="176"/>
      <c r="AB122" s="103"/>
      <c r="AC122" s="103"/>
      <c r="AD122" s="103"/>
      <c r="AE122" s="103"/>
      <c r="AF122" s="103"/>
      <c r="AG122" s="103"/>
      <c r="AH122" s="103"/>
      <c r="AI122" s="103"/>
      <c r="AJ122" s="103"/>
      <c r="AK122" s="103"/>
      <c r="AL122" s="103"/>
      <c r="AM122" s="103"/>
      <c r="AN122" s="103"/>
      <c r="AO122" s="103"/>
      <c r="AP122" s="103"/>
      <c r="AQ122" s="103"/>
      <c r="AR122" s="103"/>
      <c r="AS122" s="103"/>
      <c r="AT122" s="103"/>
      <c r="AU122" s="103"/>
      <c r="AV122" s="103"/>
      <c r="AW122" s="103"/>
      <c r="AX122" s="103"/>
      <c r="AY122" s="103"/>
      <c r="AZ122" s="103"/>
      <c r="BA122" s="103"/>
      <c r="BB122" s="103"/>
      <c r="BC122" s="103"/>
      <c r="BD122" s="103"/>
      <c r="BE122" s="103"/>
      <c r="BF122" s="103"/>
      <c r="BG122" s="103"/>
      <c r="BH122" s="103"/>
      <c r="BI122" s="103"/>
      <c r="BJ122" s="103"/>
      <c r="BK122" s="103"/>
      <c r="BL122" s="103"/>
      <c r="BM122" s="103"/>
      <c r="BN122" s="103"/>
      <c r="BO122" s="103"/>
      <c r="BP122" s="103"/>
      <c r="BQ122" s="103"/>
      <c r="BR122" s="103"/>
      <c r="BS122" s="103"/>
      <c r="BT122" s="103"/>
      <c r="BU122" s="103"/>
      <c r="BV122" s="103"/>
      <c r="BW122" s="103"/>
      <c r="BX122" s="103"/>
      <c r="BY122" s="103"/>
      <c r="BZ122" s="103"/>
      <c r="CA122" s="103"/>
      <c r="CB122" s="103"/>
      <c r="CC122" s="103"/>
      <c r="CD122" s="103"/>
      <c r="CE122" s="103"/>
      <c r="CF122" s="103"/>
      <c r="CG122" s="103"/>
      <c r="CH122" s="103"/>
      <c r="CI122" s="103"/>
      <c r="CJ122" s="103"/>
      <c r="CK122" s="103"/>
      <c r="CL122" s="103"/>
      <c r="CM122" s="103"/>
      <c r="CN122" s="103"/>
      <c r="CO122" s="103"/>
      <c r="CP122" s="103"/>
      <c r="CQ122" s="103"/>
      <c r="CR122" s="103"/>
      <c r="CS122" s="103"/>
      <c r="CT122" s="103"/>
    </row>
    <row r="123" spans="1:98">
      <c r="A123" s="189">
        <v>87</v>
      </c>
      <c r="B123" s="184">
        <f ca="1">RESUMEN!J90</f>
        <v>0</v>
      </c>
      <c r="C123" s="184">
        <f ca="1">+RESUMEN!K90</f>
        <v>0</v>
      </c>
      <c r="D123" s="185">
        <f t="shared" ca="1" si="148"/>
        <v>0</v>
      </c>
      <c r="E123" s="102"/>
      <c r="F123" s="102"/>
      <c r="G123" s="102"/>
      <c r="H123" s="408"/>
      <c r="I123" s="102"/>
      <c r="J123" s="212" t="s">
        <v>161</v>
      </c>
      <c r="K123" s="213">
        <v>19.28</v>
      </c>
      <c r="L123" s="103">
        <v>17</v>
      </c>
      <c r="M123" s="214" t="s">
        <v>265</v>
      </c>
      <c r="N123" s="223">
        <v>2.9977999999999998</v>
      </c>
      <c r="O123" s="383"/>
      <c r="P123" s="384"/>
      <c r="Q123" s="216">
        <v>35</v>
      </c>
      <c r="R123" s="208">
        <v>2270</v>
      </c>
      <c r="S123" s="208">
        <v>2156</v>
      </c>
      <c r="T123" s="208">
        <v>2043</v>
      </c>
      <c r="U123" s="208">
        <v>2944.8270181963135</v>
      </c>
      <c r="V123" s="103"/>
      <c r="W123" s="176"/>
      <c r="X123" s="176"/>
      <c r="Y123" s="176"/>
      <c r="Z123" s="176"/>
      <c r="AA123" s="176"/>
      <c r="AB123" s="103"/>
      <c r="AC123" s="103"/>
      <c r="AD123" s="103"/>
      <c r="AE123" s="103"/>
      <c r="AF123" s="103"/>
      <c r="AG123" s="103"/>
      <c r="AH123" s="176"/>
      <c r="AI123" s="176"/>
      <c r="AJ123" s="176"/>
      <c r="AK123" s="176"/>
      <c r="AL123" s="176"/>
      <c r="AM123" s="176"/>
      <c r="AN123" s="176"/>
      <c r="AO123" s="176"/>
      <c r="AP123" s="176"/>
      <c r="AQ123" s="176"/>
      <c r="AR123" s="176"/>
      <c r="AS123" s="176"/>
      <c r="AT123" s="176"/>
      <c r="AU123" s="176"/>
      <c r="AV123" s="176"/>
      <c r="AW123" s="176"/>
      <c r="AX123" s="176"/>
      <c r="AY123" s="176"/>
      <c r="AZ123" s="176"/>
      <c r="BA123" s="176"/>
      <c r="BB123" s="176"/>
      <c r="BC123" s="176"/>
      <c r="BD123" s="176"/>
      <c r="BE123" s="103"/>
      <c r="BF123" s="103"/>
      <c r="BG123" s="103"/>
      <c r="BH123" s="103"/>
      <c r="BI123" s="103"/>
      <c r="BJ123" s="103"/>
      <c r="BK123" s="103"/>
      <c r="BL123" s="103"/>
      <c r="BM123" s="103"/>
      <c r="BN123" s="103"/>
      <c r="BO123" s="103"/>
      <c r="BP123" s="103"/>
      <c r="BQ123" s="103"/>
      <c r="BR123" s="103"/>
      <c r="BS123" s="103"/>
      <c r="BT123" s="103"/>
      <c r="BU123" s="103"/>
      <c r="BV123" s="103"/>
      <c r="BW123" s="103"/>
      <c r="BX123" s="103"/>
      <c r="BY123" s="103"/>
      <c r="BZ123" s="103"/>
      <c r="CA123" s="103"/>
      <c r="CB123" s="103"/>
      <c r="CC123" s="103"/>
      <c r="CD123" s="103"/>
      <c r="CE123" s="103"/>
      <c r="CF123" s="103"/>
      <c r="CG123" s="103"/>
      <c r="CH123" s="103"/>
      <c r="CI123" s="103"/>
      <c r="CJ123" s="103"/>
      <c r="CK123" s="103"/>
      <c r="CL123" s="103"/>
      <c r="CM123" s="103"/>
      <c r="CN123" s="103"/>
      <c r="CO123" s="103"/>
      <c r="CP123" s="103"/>
      <c r="CQ123" s="103"/>
      <c r="CR123" s="103"/>
      <c r="CS123" s="103"/>
      <c r="CT123" s="103"/>
    </row>
    <row r="124" spans="1:98">
      <c r="A124" s="189">
        <v>88</v>
      </c>
      <c r="B124" s="184">
        <f ca="1">RESUMEN!J91</f>
        <v>0</v>
      </c>
      <c r="C124" s="184">
        <f ca="1">+RESUMEN!K91</f>
        <v>0</v>
      </c>
      <c r="D124" s="185">
        <f t="shared" ca="1" si="148"/>
        <v>0</v>
      </c>
      <c r="E124" s="102"/>
      <c r="F124" s="102"/>
      <c r="G124" s="102"/>
      <c r="H124" s="408"/>
      <c r="I124" s="102"/>
      <c r="J124" s="212" t="s">
        <v>162</v>
      </c>
      <c r="K124" s="213">
        <v>19.559999999999999</v>
      </c>
      <c r="L124" s="103"/>
      <c r="M124" s="103"/>
      <c r="N124" s="103"/>
      <c r="O124" s="103"/>
      <c r="P124" s="103"/>
      <c r="Q124" s="216">
        <v>36</v>
      </c>
      <c r="R124" s="208">
        <v>1773</v>
      </c>
      <c r="S124" s="208">
        <v>1684</v>
      </c>
      <c r="T124" s="208">
        <v>1596</v>
      </c>
      <c r="U124" s="208">
        <v>2323.8042287414173</v>
      </c>
      <c r="V124" s="103"/>
      <c r="W124" s="176"/>
      <c r="X124" s="103"/>
      <c r="Y124" s="103"/>
      <c r="Z124" s="103"/>
      <c r="AA124" s="103"/>
      <c r="AB124" s="103"/>
      <c r="AC124" s="103"/>
      <c r="AD124" s="103"/>
      <c r="AE124" s="103"/>
      <c r="AF124" s="103"/>
      <c r="AG124" s="103"/>
      <c r="AH124" s="176"/>
      <c r="AI124" s="176"/>
      <c r="AJ124" s="176"/>
      <c r="AK124" s="176"/>
      <c r="AL124" s="176"/>
      <c r="AM124" s="176"/>
      <c r="AN124" s="176"/>
      <c r="AO124" s="176"/>
      <c r="AP124" s="176"/>
      <c r="AQ124" s="176"/>
      <c r="AR124" s="176"/>
      <c r="AS124" s="176"/>
      <c r="AT124" s="176"/>
      <c r="AU124" s="176"/>
      <c r="AV124" s="176"/>
      <c r="AW124" s="176"/>
      <c r="AX124" s="176"/>
      <c r="AY124" s="176"/>
      <c r="AZ124" s="176"/>
      <c r="BA124" s="176"/>
      <c r="BB124" s="176"/>
      <c r="BC124" s="176"/>
      <c r="BD124" s="176"/>
      <c r="BE124" s="103"/>
      <c r="BF124" s="103"/>
      <c r="BG124" s="103"/>
      <c r="BH124" s="103"/>
      <c r="BI124" s="103"/>
      <c r="BJ124" s="103"/>
      <c r="BK124" s="103"/>
      <c r="BL124" s="103"/>
      <c r="BM124" s="103"/>
      <c r="BN124" s="103"/>
      <c r="BO124" s="103"/>
      <c r="BP124" s="103"/>
      <c r="BQ124" s="103"/>
      <c r="BR124" s="103"/>
      <c r="BS124" s="103"/>
      <c r="BT124" s="103"/>
      <c r="BU124" s="103"/>
      <c r="BV124" s="103"/>
      <c r="BW124" s="103"/>
      <c r="BX124" s="103"/>
      <c r="BY124" s="103"/>
      <c r="BZ124" s="103"/>
      <c r="CA124" s="103"/>
      <c r="CB124" s="103"/>
      <c r="CC124" s="103"/>
      <c r="CD124" s="103"/>
      <c r="CE124" s="103"/>
      <c r="CF124" s="103"/>
      <c r="CG124" s="103"/>
      <c r="CH124" s="103"/>
      <c r="CI124" s="103"/>
      <c r="CJ124" s="103"/>
      <c r="CK124" s="103"/>
      <c r="CL124" s="103"/>
      <c r="CM124" s="103"/>
      <c r="CN124" s="103"/>
      <c r="CO124" s="103"/>
      <c r="CP124" s="103"/>
      <c r="CQ124" s="103"/>
      <c r="CR124" s="103"/>
      <c r="CS124" s="103"/>
      <c r="CT124" s="103"/>
    </row>
    <row r="125" spans="1:98">
      <c r="A125" s="189">
        <v>89</v>
      </c>
      <c r="B125" s="184">
        <f ca="1">RESUMEN!J92</f>
        <v>0</v>
      </c>
      <c r="C125" s="184">
        <f ca="1">+RESUMEN!K92</f>
        <v>0</v>
      </c>
      <c r="D125" s="185">
        <f t="shared" ca="1" si="148"/>
        <v>0</v>
      </c>
      <c r="E125" s="102"/>
      <c r="F125" s="102"/>
      <c r="G125" s="102"/>
      <c r="H125" s="408"/>
      <c r="I125" s="102"/>
      <c r="J125" s="212" t="s">
        <v>163</v>
      </c>
      <c r="K125" s="213">
        <v>19.920000000000002</v>
      </c>
      <c r="L125" s="103"/>
      <c r="M125" s="103"/>
      <c r="N125" s="103"/>
      <c r="O125" s="103"/>
      <c r="P125" s="103"/>
      <c r="Q125" s="216">
        <v>37</v>
      </c>
      <c r="R125" s="208">
        <v>1318</v>
      </c>
      <c r="S125" s="208">
        <v>1252</v>
      </c>
      <c r="T125" s="208">
        <v>1186</v>
      </c>
      <c r="U125" s="208">
        <v>1752.325276563982</v>
      </c>
      <c r="V125" s="103"/>
      <c r="W125" s="176"/>
      <c r="X125" s="103"/>
      <c r="Y125" s="103"/>
      <c r="Z125" s="103"/>
      <c r="AA125" s="103"/>
      <c r="AB125" s="103"/>
      <c r="AC125" s="103"/>
      <c r="AD125" s="103"/>
      <c r="AE125" s="103"/>
      <c r="AF125" s="103"/>
      <c r="AG125" s="103"/>
      <c r="AH125" s="176"/>
      <c r="AI125" s="176"/>
      <c r="AJ125" s="176"/>
      <c r="AK125" s="176"/>
      <c r="AL125" s="176"/>
      <c r="AM125" s="176"/>
      <c r="AN125" s="176"/>
      <c r="AO125" s="176"/>
      <c r="AP125" s="176"/>
      <c r="AQ125" s="176"/>
      <c r="AR125" s="176"/>
      <c r="AS125" s="176"/>
      <c r="AT125" s="176"/>
      <c r="AU125" s="176"/>
      <c r="AV125" s="176"/>
      <c r="AW125" s="176"/>
      <c r="AX125" s="176"/>
      <c r="AY125" s="176"/>
      <c r="AZ125" s="176"/>
      <c r="BA125" s="176"/>
      <c r="BB125" s="176"/>
      <c r="BC125" s="176"/>
      <c r="BD125" s="176"/>
      <c r="BE125" s="103"/>
      <c r="BF125" s="103"/>
      <c r="BG125" s="103"/>
      <c r="BH125" s="103"/>
      <c r="BI125" s="103"/>
      <c r="BJ125" s="103"/>
      <c r="BK125" s="103"/>
      <c r="BL125" s="103"/>
      <c r="BM125" s="103"/>
      <c r="BN125" s="103"/>
      <c r="BO125" s="103"/>
      <c r="BP125" s="103"/>
      <c r="BQ125" s="103"/>
      <c r="BR125" s="103"/>
      <c r="BS125" s="103"/>
      <c r="BT125" s="481"/>
      <c r="BU125" s="481"/>
      <c r="BV125" s="206"/>
      <c r="BW125" s="481"/>
      <c r="BX125" s="481"/>
      <c r="BY125" s="103"/>
      <c r="BZ125" s="103"/>
      <c r="CA125" s="103"/>
      <c r="CB125" s="103"/>
      <c r="CC125" s="103"/>
      <c r="CD125" s="103"/>
      <c r="CE125" s="103"/>
      <c r="CF125" s="103"/>
      <c r="CG125" s="103"/>
      <c r="CH125" s="103"/>
      <c r="CI125" s="103"/>
      <c r="CJ125" s="103"/>
      <c r="CK125" s="103"/>
      <c r="CL125" s="103"/>
      <c r="CM125" s="103"/>
      <c r="CN125" s="103"/>
      <c r="CO125" s="103"/>
      <c r="CP125" s="103"/>
      <c r="CQ125" s="103"/>
      <c r="CR125" s="103"/>
      <c r="CS125" s="103"/>
      <c r="CT125" s="103"/>
    </row>
    <row r="126" spans="1:98">
      <c r="A126" s="189">
        <v>90</v>
      </c>
      <c r="B126" s="184">
        <f ca="1">RESUMEN!J93</f>
        <v>0</v>
      </c>
      <c r="C126" s="184">
        <f ca="1">+RESUMEN!K93</f>
        <v>0</v>
      </c>
      <c r="D126" s="185">
        <f t="shared" ca="1" si="148"/>
        <v>0</v>
      </c>
      <c r="E126" s="102"/>
      <c r="F126" s="102"/>
      <c r="G126" s="102"/>
      <c r="H126" s="408"/>
      <c r="I126" s="102"/>
      <c r="J126" s="212" t="s">
        <v>164</v>
      </c>
      <c r="K126" s="213">
        <v>20.28</v>
      </c>
      <c r="L126" s="103"/>
      <c r="M126" s="103"/>
      <c r="N126" s="103"/>
      <c r="O126" s="103"/>
      <c r="P126" s="103"/>
      <c r="Q126" s="216">
        <v>38</v>
      </c>
      <c r="R126" s="208">
        <v>932</v>
      </c>
      <c r="S126" s="208">
        <v>885</v>
      </c>
      <c r="T126" s="208">
        <v>839</v>
      </c>
      <c r="U126" s="208">
        <v>1263.2203435123859</v>
      </c>
      <c r="V126" s="103"/>
      <c r="W126" s="176"/>
      <c r="X126" s="103"/>
      <c r="Y126" s="103"/>
      <c r="Z126" s="103"/>
      <c r="AA126" s="103"/>
      <c r="AB126" s="103"/>
      <c r="AC126" s="103"/>
      <c r="AD126" s="103"/>
      <c r="AE126" s="103"/>
      <c r="AF126" s="103"/>
      <c r="AG126" s="103"/>
      <c r="AH126" s="176"/>
      <c r="AI126" s="176"/>
      <c r="AJ126" s="176"/>
      <c r="AK126" s="176"/>
      <c r="AL126" s="176"/>
      <c r="AM126" s="176"/>
      <c r="AN126" s="176"/>
      <c r="AO126" s="176"/>
      <c r="AP126" s="176"/>
      <c r="AQ126" s="176"/>
      <c r="AR126" s="176"/>
      <c r="AS126" s="176"/>
      <c r="AT126" s="176"/>
      <c r="AU126" s="176"/>
      <c r="AV126" s="176"/>
      <c r="AW126" s="176"/>
      <c r="AX126" s="176"/>
      <c r="AY126" s="176"/>
      <c r="AZ126" s="176"/>
      <c r="BA126" s="176"/>
      <c r="BB126" s="176"/>
      <c r="BC126" s="176"/>
      <c r="BD126" s="176"/>
      <c r="BE126" s="103"/>
      <c r="BF126" s="103"/>
      <c r="BG126" s="103"/>
      <c r="BH126" s="103"/>
      <c r="BI126" s="103"/>
      <c r="BJ126" s="103"/>
      <c r="BK126" s="103"/>
      <c r="BL126" s="103"/>
      <c r="BM126" s="103"/>
      <c r="BN126" s="103"/>
      <c r="BO126" s="103"/>
      <c r="BP126" s="103"/>
      <c r="BQ126" s="103"/>
      <c r="BR126" s="103"/>
      <c r="BS126" s="103"/>
      <c r="BT126" s="174"/>
      <c r="BU126" s="174"/>
      <c r="BV126" s="174"/>
      <c r="BW126" s="174"/>
      <c r="BX126" s="174"/>
      <c r="BY126" s="103"/>
      <c r="BZ126" s="103"/>
      <c r="CA126" s="103"/>
      <c r="CB126" s="103"/>
      <c r="CC126" s="103"/>
      <c r="CD126" s="103"/>
      <c r="CE126" s="103"/>
      <c r="CF126" s="103"/>
      <c r="CG126" s="103"/>
      <c r="CH126" s="103"/>
      <c r="CI126" s="103"/>
      <c r="CJ126" s="103"/>
      <c r="CK126" s="103"/>
      <c r="CL126" s="103"/>
      <c r="CM126" s="103"/>
      <c r="CN126" s="103"/>
      <c r="CO126" s="103"/>
      <c r="CP126" s="103"/>
      <c r="CQ126" s="103"/>
      <c r="CR126" s="103"/>
      <c r="CS126" s="103"/>
      <c r="CT126" s="103"/>
    </row>
    <row r="127" spans="1:98">
      <c r="A127" s="189">
        <v>91</v>
      </c>
      <c r="B127" s="184">
        <f ca="1">RESUMEN!J94</f>
        <v>0</v>
      </c>
      <c r="C127" s="184">
        <f ca="1">+RESUMEN!K94</f>
        <v>0</v>
      </c>
      <c r="D127" s="185">
        <f t="shared" ca="1" si="148"/>
        <v>0</v>
      </c>
      <c r="E127" s="102"/>
      <c r="F127" s="102"/>
      <c r="G127" s="102"/>
      <c r="H127" s="408"/>
      <c r="I127" s="102"/>
      <c r="J127" s="212" t="s">
        <v>165</v>
      </c>
      <c r="K127" s="224">
        <v>20.68</v>
      </c>
      <c r="L127" s="103"/>
      <c r="M127" s="103"/>
      <c r="N127" s="103"/>
      <c r="O127" s="103"/>
      <c r="P127" s="103"/>
      <c r="Q127" s="216">
        <v>39</v>
      </c>
      <c r="R127" s="208">
        <v>627</v>
      </c>
      <c r="S127" s="208">
        <v>596</v>
      </c>
      <c r="T127" s="208">
        <v>564</v>
      </c>
      <c r="U127" s="208">
        <v>870.85248638048324</v>
      </c>
      <c r="V127" s="103"/>
      <c r="W127" s="176"/>
      <c r="X127" s="103"/>
      <c r="Y127" s="103"/>
      <c r="Z127" s="103"/>
      <c r="AA127" s="103"/>
      <c r="AB127" s="103"/>
      <c r="AC127" s="103"/>
      <c r="AD127" s="103"/>
      <c r="AE127" s="103"/>
      <c r="AF127" s="103"/>
      <c r="AG127" s="103"/>
      <c r="AH127" s="176"/>
      <c r="AI127" s="176"/>
      <c r="AJ127" s="176"/>
      <c r="AK127" s="176"/>
      <c r="AL127" s="176"/>
      <c r="AM127" s="176"/>
      <c r="AN127" s="176"/>
      <c r="AO127" s="176"/>
      <c r="AP127" s="176"/>
      <c r="AQ127" s="176"/>
      <c r="AR127" s="176"/>
      <c r="AS127" s="176"/>
      <c r="AT127" s="176"/>
      <c r="AU127" s="176"/>
      <c r="AV127" s="176"/>
      <c r="AW127" s="176"/>
      <c r="AX127" s="176"/>
      <c r="AY127" s="176"/>
      <c r="AZ127" s="176"/>
      <c r="BA127" s="176"/>
      <c r="BB127" s="176"/>
      <c r="BC127" s="176"/>
      <c r="BD127" s="176"/>
      <c r="BE127" s="103"/>
      <c r="BF127" s="103"/>
      <c r="BG127" s="103"/>
      <c r="BH127" s="103"/>
      <c r="BI127" s="103"/>
      <c r="BJ127" s="103"/>
      <c r="BK127" s="103"/>
      <c r="BL127" s="103"/>
      <c r="BM127" s="103"/>
      <c r="BN127" s="103"/>
      <c r="BO127" s="103"/>
      <c r="BP127" s="103"/>
      <c r="BQ127" s="103"/>
      <c r="BR127" s="103"/>
      <c r="BS127" s="103"/>
      <c r="BT127" s="103"/>
      <c r="BU127" s="103"/>
      <c r="BV127" s="103"/>
      <c r="BW127" s="103"/>
      <c r="BX127" s="103"/>
      <c r="BY127" s="103"/>
      <c r="BZ127" s="103"/>
      <c r="CA127" s="103"/>
      <c r="CB127" s="103"/>
      <c r="CC127" s="103"/>
      <c r="CD127" s="103"/>
      <c r="CE127" s="103"/>
      <c r="CF127" s="103"/>
      <c r="CG127" s="103"/>
      <c r="CH127" s="103"/>
      <c r="CI127" s="103"/>
      <c r="CJ127" s="103"/>
      <c r="CK127" s="103"/>
      <c r="CL127" s="103"/>
      <c r="CM127" s="103"/>
      <c r="CN127" s="103"/>
      <c r="CO127" s="103"/>
      <c r="CP127" s="103"/>
      <c r="CQ127" s="103"/>
      <c r="CR127" s="103"/>
      <c r="CS127" s="103"/>
      <c r="CT127" s="103"/>
    </row>
    <row r="128" spans="1:98">
      <c r="A128" s="189">
        <v>92</v>
      </c>
      <c r="B128" s="184">
        <f ca="1">RESUMEN!J95</f>
        <v>0</v>
      </c>
      <c r="C128" s="184">
        <f ca="1">+RESUMEN!K95</f>
        <v>0</v>
      </c>
      <c r="D128" s="185">
        <f t="shared" ca="1" si="148"/>
        <v>0</v>
      </c>
      <c r="E128" s="102"/>
      <c r="F128" s="102"/>
      <c r="G128" s="102"/>
      <c r="H128" s="408"/>
      <c r="I128" s="102"/>
      <c r="J128" s="212" t="s">
        <v>166</v>
      </c>
      <c r="K128" s="224">
        <v>21.12</v>
      </c>
      <c r="L128" s="103"/>
      <c r="M128" s="103"/>
      <c r="N128" s="103"/>
      <c r="O128" s="103"/>
      <c r="P128" s="103"/>
      <c r="Q128" s="216">
        <v>40</v>
      </c>
      <c r="R128" s="208">
        <v>402</v>
      </c>
      <c r="S128" s="208">
        <v>382</v>
      </c>
      <c r="T128" s="208">
        <v>362</v>
      </c>
      <c r="U128" s="208">
        <v>574.30443602798869</v>
      </c>
      <c r="V128" s="103"/>
      <c r="W128" s="176"/>
      <c r="X128" s="103"/>
      <c r="Y128" s="103"/>
      <c r="Z128" s="103"/>
      <c r="AA128" s="103"/>
      <c r="AB128" s="103"/>
      <c r="AC128" s="103"/>
      <c r="AD128" s="103"/>
      <c r="AE128" s="103"/>
      <c r="AF128" s="103"/>
      <c r="AG128" s="103"/>
      <c r="AH128" s="176"/>
      <c r="AI128" s="176"/>
      <c r="AJ128" s="176"/>
      <c r="AK128" s="176"/>
      <c r="AL128" s="176"/>
      <c r="AM128" s="176"/>
      <c r="AN128" s="176"/>
      <c r="AO128" s="176"/>
      <c r="AP128" s="176"/>
      <c r="AQ128" s="176"/>
      <c r="AR128" s="176"/>
      <c r="AS128" s="176"/>
      <c r="AT128" s="176"/>
      <c r="AU128" s="176"/>
      <c r="AV128" s="176"/>
      <c r="AW128" s="176"/>
      <c r="AX128" s="176"/>
      <c r="AY128" s="176"/>
      <c r="AZ128" s="176"/>
      <c r="BA128" s="176"/>
      <c r="BB128" s="176"/>
      <c r="BC128" s="176"/>
      <c r="BD128" s="176"/>
      <c r="BE128" s="103"/>
      <c r="BF128" s="103"/>
      <c r="BG128" s="103"/>
      <c r="BH128" s="103"/>
      <c r="BI128" s="103"/>
      <c r="BJ128" s="103"/>
      <c r="BK128" s="103"/>
      <c r="BL128" s="103"/>
      <c r="BM128" s="103"/>
      <c r="BN128" s="103"/>
      <c r="BO128" s="103"/>
      <c r="BP128" s="103"/>
      <c r="BQ128" s="103"/>
      <c r="BR128" s="103"/>
      <c r="BS128" s="103"/>
      <c r="BT128" s="174"/>
      <c r="BU128" s="174"/>
      <c r="BV128" s="174"/>
      <c r="BW128" s="174"/>
      <c r="BX128" s="103"/>
      <c r="BY128" s="103"/>
      <c r="BZ128" s="103"/>
      <c r="CA128" s="103"/>
      <c r="CB128" s="103"/>
      <c r="CC128" s="103"/>
      <c r="CD128" s="103"/>
      <c r="CE128" s="103"/>
      <c r="CF128" s="103"/>
      <c r="CG128" s="103"/>
      <c r="CH128" s="103"/>
      <c r="CI128" s="103"/>
      <c r="CJ128" s="103"/>
      <c r="CK128" s="103"/>
      <c r="CL128" s="103"/>
      <c r="CM128" s="103"/>
      <c r="CN128" s="103"/>
      <c r="CO128" s="103"/>
      <c r="CP128" s="103"/>
      <c r="CQ128" s="103"/>
      <c r="CR128" s="103"/>
      <c r="CS128" s="103"/>
      <c r="CT128" s="103"/>
    </row>
    <row r="129" spans="1:98">
      <c r="A129" s="189">
        <v>93</v>
      </c>
      <c r="B129" s="184">
        <f ca="1">RESUMEN!J96</f>
        <v>0</v>
      </c>
      <c r="C129" s="184">
        <f ca="1">+RESUMEN!K96</f>
        <v>0</v>
      </c>
      <c r="D129" s="185">
        <f t="shared" ca="1" si="148"/>
        <v>0</v>
      </c>
      <c r="E129" s="102"/>
      <c r="F129" s="102"/>
      <c r="G129" s="102"/>
      <c r="H129" s="408"/>
      <c r="I129" s="102"/>
      <c r="J129" s="212" t="s">
        <v>167</v>
      </c>
      <c r="K129" s="224">
        <v>21.6</v>
      </c>
      <c r="L129" s="103"/>
      <c r="M129" s="103"/>
      <c r="N129" s="103"/>
      <c r="O129" s="103"/>
      <c r="P129" s="103"/>
      <c r="Q129" s="216">
        <v>41</v>
      </c>
      <c r="R129" s="208">
        <v>245</v>
      </c>
      <c r="S129" s="208">
        <v>233</v>
      </c>
      <c r="T129" s="208">
        <v>220</v>
      </c>
      <c r="U129" s="208">
        <v>362.39543025218876</v>
      </c>
      <c r="V129" s="103"/>
      <c r="W129" s="176"/>
      <c r="X129" s="103"/>
      <c r="Y129" s="103"/>
      <c r="Z129" s="103"/>
      <c r="AA129" s="103"/>
      <c r="AB129" s="103"/>
      <c r="AC129" s="103"/>
      <c r="AD129" s="103"/>
      <c r="AE129" s="103"/>
      <c r="AF129" s="103"/>
      <c r="AG129" s="103"/>
      <c r="AH129" s="176"/>
      <c r="AI129" s="176"/>
      <c r="AJ129" s="176"/>
      <c r="AK129" s="176"/>
      <c r="AL129" s="176"/>
      <c r="AM129" s="176"/>
      <c r="AN129" s="176"/>
      <c r="AO129" s="176"/>
      <c r="AP129" s="176"/>
      <c r="AQ129" s="176"/>
      <c r="AR129" s="176"/>
      <c r="AS129" s="176"/>
      <c r="AT129" s="176"/>
      <c r="AU129" s="176"/>
      <c r="AV129" s="176"/>
      <c r="AW129" s="176"/>
      <c r="AX129" s="176"/>
      <c r="AY129" s="176"/>
      <c r="AZ129" s="176"/>
      <c r="BA129" s="176"/>
      <c r="BB129" s="176"/>
      <c r="BC129" s="176"/>
      <c r="BD129" s="176"/>
      <c r="BE129" s="103"/>
      <c r="BF129" s="103"/>
      <c r="BG129" s="103"/>
      <c r="BH129" s="103"/>
      <c r="BI129" s="103"/>
      <c r="BJ129" s="103"/>
      <c r="BK129" s="103"/>
      <c r="BL129" s="103"/>
      <c r="BM129" s="103"/>
      <c r="BN129" s="103"/>
      <c r="BO129" s="103"/>
      <c r="BP129" s="103"/>
      <c r="BQ129" s="103"/>
      <c r="BR129" s="103"/>
      <c r="BS129" s="103"/>
      <c r="BT129" s="103"/>
      <c r="BU129" s="103"/>
      <c r="BV129" s="103"/>
      <c r="BW129" s="103"/>
      <c r="BX129" s="103"/>
      <c r="BY129" s="103"/>
      <c r="BZ129" s="103"/>
      <c r="CA129" s="103"/>
      <c r="CB129" s="103"/>
      <c r="CC129" s="103"/>
      <c r="CD129" s="103"/>
      <c r="CE129" s="103"/>
      <c r="CF129" s="103"/>
      <c r="CG129" s="103"/>
      <c r="CH129" s="103"/>
      <c r="CI129" s="103"/>
      <c r="CJ129" s="103"/>
      <c r="CK129" s="103"/>
      <c r="CL129" s="103"/>
      <c r="CM129" s="103"/>
      <c r="CN129" s="103"/>
      <c r="CO129" s="103"/>
      <c r="CP129" s="103"/>
      <c r="CQ129" s="103"/>
      <c r="CR129" s="103"/>
      <c r="CS129" s="103"/>
      <c r="CT129" s="103"/>
    </row>
    <row r="130" spans="1:98">
      <c r="A130" s="189">
        <v>94</v>
      </c>
      <c r="B130" s="184">
        <f ca="1">RESUMEN!J97</f>
        <v>0</v>
      </c>
      <c r="C130" s="184">
        <f ca="1">+RESUMEN!K97</f>
        <v>0</v>
      </c>
      <c r="D130" s="185">
        <f t="shared" ca="1" si="148"/>
        <v>0</v>
      </c>
      <c r="E130" s="102"/>
      <c r="F130" s="102"/>
      <c r="G130" s="102"/>
      <c r="H130" s="408"/>
      <c r="I130" s="102"/>
      <c r="J130" s="212" t="s">
        <v>168</v>
      </c>
      <c r="K130" s="224">
        <v>22.12</v>
      </c>
      <c r="L130" s="103"/>
      <c r="M130" s="103"/>
      <c r="N130" s="103"/>
      <c r="O130" s="103"/>
      <c r="P130" s="103"/>
      <c r="Q130" s="216">
        <v>42</v>
      </c>
      <c r="R130" s="208">
        <v>142</v>
      </c>
      <c r="S130" s="208">
        <v>135</v>
      </c>
      <c r="T130" s="208">
        <v>128</v>
      </c>
      <c r="U130" s="208">
        <v>218.85559261526132</v>
      </c>
      <c r="V130" s="103"/>
      <c r="W130" s="176"/>
      <c r="X130" s="103"/>
      <c r="Y130" s="103"/>
      <c r="Z130" s="103"/>
      <c r="AA130" s="103"/>
      <c r="AB130" s="103"/>
      <c r="AC130" s="103"/>
      <c r="AD130" s="103"/>
      <c r="AE130" s="103"/>
      <c r="AF130" s="103"/>
      <c r="AG130" s="103"/>
      <c r="AH130" s="176"/>
      <c r="AI130" s="176"/>
      <c r="AJ130" s="176"/>
      <c r="AK130" s="176"/>
      <c r="AL130" s="176"/>
      <c r="AM130" s="176"/>
      <c r="AN130" s="176"/>
      <c r="AO130" s="176"/>
      <c r="AP130" s="176"/>
      <c r="AQ130" s="176"/>
      <c r="AR130" s="176"/>
      <c r="AS130" s="176"/>
      <c r="AT130" s="176"/>
      <c r="AU130" s="176"/>
      <c r="AV130" s="176"/>
      <c r="AW130" s="176"/>
      <c r="AX130" s="176"/>
      <c r="AY130" s="176"/>
      <c r="AZ130" s="176"/>
      <c r="BA130" s="176"/>
      <c r="BB130" s="176"/>
      <c r="BC130" s="176"/>
      <c r="BD130" s="176"/>
      <c r="BE130" s="103"/>
      <c r="BF130" s="103"/>
      <c r="BG130" s="103"/>
      <c r="BH130" s="103"/>
      <c r="BI130" s="103"/>
      <c r="BJ130" s="103"/>
      <c r="BK130" s="103"/>
      <c r="BL130" s="103"/>
      <c r="BM130" s="103"/>
      <c r="BN130" s="103"/>
      <c r="BO130" s="103"/>
      <c r="BP130" s="103"/>
      <c r="BQ130" s="103"/>
      <c r="BR130" s="103"/>
      <c r="BS130" s="103"/>
      <c r="BT130" s="103"/>
      <c r="BU130" s="103"/>
      <c r="BV130" s="103"/>
      <c r="BW130" s="103"/>
      <c r="BX130" s="103"/>
      <c r="BY130" s="103"/>
      <c r="BZ130" s="103"/>
      <c r="CA130" s="103"/>
      <c r="CB130" s="103"/>
      <c r="CC130" s="103"/>
      <c r="CD130" s="103"/>
      <c r="CE130" s="103"/>
      <c r="CF130" s="103"/>
      <c r="CG130" s="103"/>
      <c r="CH130" s="103"/>
      <c r="CI130" s="103"/>
      <c r="CJ130" s="103"/>
      <c r="CK130" s="103"/>
      <c r="CL130" s="103"/>
      <c r="CM130" s="103"/>
      <c r="CN130" s="103"/>
      <c r="CO130" s="103"/>
      <c r="CP130" s="103"/>
      <c r="CQ130" s="103"/>
      <c r="CR130" s="103"/>
      <c r="CS130" s="103"/>
      <c r="CT130" s="103"/>
    </row>
    <row r="131" spans="1:98">
      <c r="A131" s="189">
        <v>95</v>
      </c>
      <c r="B131" s="184">
        <f ca="1">RESUMEN!J98</f>
        <v>0</v>
      </c>
      <c r="C131" s="184">
        <f ca="1">+RESUMEN!K98</f>
        <v>0</v>
      </c>
      <c r="D131" s="185">
        <f t="shared" ca="1" si="148"/>
        <v>0</v>
      </c>
      <c r="E131" s="102"/>
      <c r="F131" s="102"/>
      <c r="G131" s="102"/>
      <c r="H131" s="408"/>
      <c r="I131" s="102"/>
      <c r="J131" s="212" t="s">
        <v>169</v>
      </c>
      <c r="K131" s="224">
        <v>22.68</v>
      </c>
      <c r="L131" s="103"/>
      <c r="M131" s="103"/>
      <c r="N131" s="103"/>
      <c r="O131" s="103"/>
      <c r="P131" s="103"/>
      <c r="Q131" s="216">
        <v>43</v>
      </c>
      <c r="R131" s="208">
        <v>79</v>
      </c>
      <c r="S131" s="208">
        <v>75</v>
      </c>
      <c r="T131" s="208">
        <v>71</v>
      </c>
      <c r="U131" s="208">
        <v>126.51426474609394</v>
      </c>
      <c r="V131" s="103"/>
      <c r="W131" s="176"/>
      <c r="X131" s="103"/>
      <c r="Y131" s="103"/>
      <c r="Z131" s="103"/>
      <c r="AA131" s="103"/>
      <c r="AB131" s="103"/>
      <c r="AC131" s="103"/>
      <c r="AD131" s="103"/>
      <c r="AE131" s="103"/>
      <c r="AF131" s="103"/>
      <c r="AG131" s="103"/>
      <c r="AH131" s="176"/>
      <c r="AI131" s="176"/>
      <c r="AJ131" s="176"/>
      <c r="AK131" s="176"/>
      <c r="AL131" s="176"/>
      <c r="AM131" s="176"/>
      <c r="AN131" s="176"/>
      <c r="AO131" s="176"/>
      <c r="AP131" s="176"/>
      <c r="AQ131" s="176"/>
      <c r="AR131" s="176"/>
      <c r="AS131" s="176"/>
      <c r="AT131" s="176"/>
      <c r="AU131" s="176"/>
      <c r="AV131" s="176"/>
      <c r="AW131" s="176"/>
      <c r="AX131" s="176"/>
      <c r="AY131" s="176"/>
      <c r="AZ131" s="176"/>
      <c r="BA131" s="176"/>
      <c r="BB131" s="176"/>
      <c r="BC131" s="176"/>
      <c r="BD131" s="176"/>
      <c r="BE131" s="103"/>
      <c r="BF131" s="103"/>
      <c r="BG131" s="103"/>
      <c r="BH131" s="103"/>
      <c r="BI131" s="103"/>
      <c r="BJ131" s="103"/>
      <c r="BK131" s="103"/>
      <c r="BL131" s="103"/>
      <c r="BM131" s="103"/>
      <c r="BN131" s="103"/>
      <c r="BO131" s="103"/>
      <c r="BP131" s="103"/>
      <c r="BQ131" s="103"/>
      <c r="BR131" s="103"/>
      <c r="BS131" s="103"/>
      <c r="BT131" s="103"/>
      <c r="BU131" s="103"/>
      <c r="BV131" s="103"/>
      <c r="BW131" s="103"/>
      <c r="BX131" s="103"/>
      <c r="BY131" s="103"/>
      <c r="BZ131" s="103"/>
      <c r="CA131" s="103"/>
      <c r="CB131" s="103"/>
      <c r="CC131" s="103"/>
      <c r="CD131" s="103"/>
      <c r="CE131" s="103"/>
      <c r="CF131" s="103"/>
      <c r="CG131" s="103"/>
      <c r="CH131" s="103"/>
      <c r="CI131" s="103"/>
      <c r="CJ131" s="103"/>
      <c r="CK131" s="103"/>
      <c r="CL131" s="103"/>
      <c r="CM131" s="103"/>
      <c r="CN131" s="103"/>
      <c r="CO131" s="103"/>
      <c r="CP131" s="103"/>
      <c r="CQ131" s="103"/>
      <c r="CR131" s="103"/>
      <c r="CS131" s="103"/>
      <c r="CT131" s="103"/>
    </row>
    <row r="132" spans="1:98">
      <c r="A132" s="189">
        <v>96</v>
      </c>
      <c r="B132" s="184">
        <f ca="1">RESUMEN!J99</f>
        <v>0</v>
      </c>
      <c r="C132" s="184">
        <f ca="1">+RESUMEN!K99</f>
        <v>0</v>
      </c>
      <c r="D132" s="185">
        <f t="shared" ref="D132:D136" ca="1" si="149">B132+C132</f>
        <v>0</v>
      </c>
      <c r="E132" s="102"/>
      <c r="F132" s="102"/>
      <c r="G132" s="102"/>
      <c r="H132" s="408"/>
      <c r="I132" s="102"/>
      <c r="J132" s="212" t="s">
        <v>170</v>
      </c>
      <c r="K132" s="224">
        <v>23.28</v>
      </c>
      <c r="L132" s="103"/>
      <c r="M132" s="103"/>
      <c r="N132" s="103"/>
      <c r="O132" s="103"/>
      <c r="P132" s="103"/>
      <c r="Q132" s="216">
        <v>44</v>
      </c>
      <c r="R132" s="208">
        <v>41</v>
      </c>
      <c r="S132" s="208">
        <v>39</v>
      </c>
      <c r="T132" s="208">
        <v>37</v>
      </c>
      <c r="U132" s="208">
        <v>70.013579066858313</v>
      </c>
      <c r="V132" s="103"/>
      <c r="W132" s="176"/>
      <c r="X132" s="103"/>
      <c r="Y132" s="103"/>
      <c r="Z132" s="103"/>
      <c r="AA132" s="103"/>
      <c r="AB132" s="103"/>
      <c r="AC132" s="103"/>
      <c r="AD132" s="103"/>
      <c r="AE132" s="103"/>
      <c r="AF132" s="103"/>
      <c r="AG132" s="103"/>
      <c r="AH132" s="176"/>
      <c r="AI132" s="176"/>
      <c r="AJ132" s="176"/>
      <c r="AK132" s="176"/>
      <c r="AL132" s="176"/>
      <c r="AM132" s="176"/>
      <c r="AN132" s="176"/>
      <c r="AO132" s="176"/>
      <c r="AP132" s="176"/>
      <c r="AQ132" s="176"/>
      <c r="AR132" s="176"/>
      <c r="AS132" s="176"/>
      <c r="AT132" s="176"/>
      <c r="AU132" s="176"/>
      <c r="AV132" s="176"/>
      <c r="AW132" s="176"/>
      <c r="AX132" s="176"/>
      <c r="AY132" s="176"/>
      <c r="AZ132" s="176"/>
      <c r="BA132" s="176"/>
      <c r="BB132" s="176"/>
      <c r="BC132" s="176"/>
      <c r="BD132" s="176"/>
      <c r="BE132" s="103"/>
      <c r="BF132" s="103"/>
      <c r="BG132" s="103"/>
      <c r="BH132" s="103"/>
      <c r="BI132" s="103"/>
      <c r="BJ132" s="103"/>
      <c r="BK132" s="103"/>
      <c r="BL132" s="103"/>
      <c r="BM132" s="103"/>
      <c r="BN132" s="103"/>
      <c r="BO132" s="103"/>
      <c r="BP132" s="103"/>
      <c r="BQ132" s="103"/>
      <c r="BR132" s="103"/>
      <c r="BS132" s="103"/>
      <c r="BT132" s="103"/>
      <c r="BU132" s="103"/>
      <c r="BV132" s="103"/>
      <c r="BW132" s="103"/>
      <c r="BX132" s="103"/>
      <c r="BY132" s="103"/>
      <c r="BZ132" s="103"/>
      <c r="CA132" s="103"/>
      <c r="CB132" s="103"/>
      <c r="CC132" s="103"/>
      <c r="CD132" s="103"/>
      <c r="CE132" s="103"/>
      <c r="CF132" s="103"/>
      <c r="CG132" s="103"/>
      <c r="CH132" s="103"/>
      <c r="CI132" s="103"/>
      <c r="CJ132" s="103"/>
      <c r="CK132" s="103"/>
      <c r="CL132" s="103"/>
      <c r="CM132" s="103"/>
      <c r="CN132" s="103"/>
      <c r="CO132" s="103"/>
      <c r="CP132" s="103"/>
      <c r="CQ132" s="103"/>
      <c r="CR132" s="103"/>
      <c r="CS132" s="103"/>
      <c r="CT132" s="103"/>
    </row>
    <row r="133" spans="1:98">
      <c r="A133" s="189">
        <v>97</v>
      </c>
      <c r="B133" s="184">
        <f ca="1">RESUMEN!J100</f>
        <v>0</v>
      </c>
      <c r="C133" s="184">
        <f ca="1">+RESUMEN!K100</f>
        <v>0</v>
      </c>
      <c r="D133" s="185">
        <f t="shared" ca="1" si="149"/>
        <v>0</v>
      </c>
      <c r="E133" s="102"/>
      <c r="F133" s="102"/>
      <c r="G133" s="102"/>
      <c r="H133" s="408"/>
      <c r="I133" s="102"/>
      <c r="J133" s="212" t="s">
        <v>171</v>
      </c>
      <c r="K133" s="224">
        <v>23.92</v>
      </c>
      <c r="L133" s="103"/>
      <c r="M133" s="103"/>
      <c r="N133" s="103"/>
      <c r="O133" s="103"/>
      <c r="P133" s="103"/>
      <c r="Q133" s="103"/>
      <c r="R133" s="103"/>
      <c r="S133" s="103"/>
      <c r="T133" s="103"/>
      <c r="U133" s="103"/>
      <c r="V133" s="103"/>
      <c r="W133" s="176"/>
      <c r="X133" s="103"/>
      <c r="Y133" s="103"/>
      <c r="Z133" s="103"/>
      <c r="AA133" s="103"/>
      <c r="AB133" s="103"/>
      <c r="AC133" s="103"/>
      <c r="AD133" s="103"/>
      <c r="AE133" s="103"/>
      <c r="AF133" s="103"/>
      <c r="AG133" s="103"/>
      <c r="AH133" s="176"/>
      <c r="AI133" s="176"/>
      <c r="AJ133" s="176"/>
      <c r="AK133" s="176"/>
      <c r="AL133" s="176"/>
      <c r="AM133" s="176"/>
      <c r="AN133" s="176"/>
      <c r="AO133" s="176"/>
      <c r="AP133" s="176"/>
      <c r="AQ133" s="176"/>
      <c r="AR133" s="176"/>
      <c r="AS133" s="176"/>
      <c r="AT133" s="176"/>
      <c r="AU133" s="176"/>
      <c r="AV133" s="176"/>
      <c r="AW133" s="176"/>
      <c r="AX133" s="176"/>
      <c r="AY133" s="176"/>
      <c r="AZ133" s="176"/>
      <c r="BA133" s="176"/>
      <c r="BB133" s="176"/>
      <c r="BC133" s="176"/>
      <c r="BD133" s="176"/>
      <c r="BE133" s="103"/>
      <c r="BF133" s="103"/>
      <c r="BG133" s="103"/>
      <c r="BH133" s="103"/>
      <c r="BI133" s="103"/>
      <c r="BJ133" s="103"/>
      <c r="BK133" s="103"/>
      <c r="BL133" s="103"/>
      <c r="BM133" s="103"/>
      <c r="BN133" s="103"/>
      <c r="BO133" s="103"/>
      <c r="BP133" s="103"/>
      <c r="BQ133" s="103"/>
      <c r="BR133" s="103"/>
      <c r="BS133" s="103"/>
      <c r="BT133" s="103"/>
      <c r="BU133" s="103"/>
      <c r="BV133" s="103"/>
      <c r="BW133" s="103"/>
      <c r="BX133" s="103"/>
      <c r="BY133" s="103"/>
      <c r="BZ133" s="103"/>
      <c r="CA133" s="103"/>
      <c r="CB133" s="103"/>
      <c r="CC133" s="103"/>
      <c r="CD133" s="103"/>
      <c r="CE133" s="103"/>
      <c r="CF133" s="103"/>
      <c r="CG133" s="103"/>
      <c r="CH133" s="103"/>
      <c r="CI133" s="103"/>
      <c r="CJ133" s="103"/>
      <c r="CK133" s="103"/>
      <c r="CL133" s="103"/>
      <c r="CM133" s="103"/>
      <c r="CN133" s="103"/>
      <c r="CO133" s="103"/>
      <c r="CP133" s="103"/>
      <c r="CQ133" s="103"/>
      <c r="CR133" s="103"/>
      <c r="CS133" s="103"/>
      <c r="CT133" s="103"/>
    </row>
    <row r="134" spans="1:98">
      <c r="A134" s="189">
        <v>98</v>
      </c>
      <c r="B134" s="184">
        <f ca="1">RESUMEN!J101</f>
        <v>0</v>
      </c>
      <c r="C134" s="184">
        <f ca="1">+RESUMEN!K101</f>
        <v>0</v>
      </c>
      <c r="D134" s="185">
        <f t="shared" ca="1" si="149"/>
        <v>0</v>
      </c>
      <c r="E134" s="102"/>
      <c r="F134" s="102"/>
      <c r="G134" s="102"/>
      <c r="H134" s="408"/>
      <c r="I134" s="102"/>
      <c r="J134" s="212" t="s">
        <v>172</v>
      </c>
      <c r="K134" s="224">
        <v>24.64</v>
      </c>
      <c r="L134" s="103"/>
      <c r="M134" s="103"/>
      <c r="N134" s="103"/>
      <c r="O134" s="103"/>
      <c r="P134" s="103"/>
      <c r="Q134" s="103"/>
      <c r="R134" s="103"/>
      <c r="S134" s="103"/>
      <c r="T134" s="103"/>
      <c r="U134" s="103"/>
      <c r="V134" s="103"/>
      <c r="W134" s="176"/>
      <c r="X134" s="103"/>
      <c r="Y134" s="103"/>
      <c r="Z134" s="103"/>
      <c r="AA134" s="103"/>
      <c r="AB134" s="103"/>
      <c r="AC134" s="103"/>
      <c r="AD134" s="103"/>
      <c r="AE134" s="103"/>
      <c r="AF134" s="103"/>
      <c r="AG134" s="103"/>
      <c r="AH134" s="176"/>
      <c r="AI134" s="176"/>
      <c r="AJ134" s="176"/>
      <c r="AK134" s="176"/>
      <c r="AL134" s="176"/>
      <c r="AM134" s="176"/>
      <c r="AN134" s="176"/>
      <c r="AO134" s="176"/>
      <c r="AP134" s="176"/>
      <c r="AQ134" s="176"/>
      <c r="AR134" s="176"/>
      <c r="AS134" s="176"/>
      <c r="AT134" s="176"/>
      <c r="AU134" s="176"/>
      <c r="AV134" s="176"/>
      <c r="AW134" s="176"/>
      <c r="AX134" s="176"/>
      <c r="AY134" s="176"/>
      <c r="AZ134" s="176"/>
      <c r="BA134" s="176"/>
      <c r="BB134" s="176"/>
      <c r="BC134" s="176"/>
      <c r="BD134" s="176"/>
      <c r="BE134" s="103"/>
      <c r="BF134" s="103"/>
      <c r="BG134" s="103"/>
      <c r="BH134" s="103"/>
      <c r="BI134" s="103"/>
      <c r="BJ134" s="103"/>
      <c r="BK134" s="103"/>
      <c r="BL134" s="103"/>
      <c r="BM134" s="103"/>
      <c r="BN134" s="103"/>
      <c r="BO134" s="103"/>
      <c r="BP134" s="103"/>
      <c r="BQ134" s="103"/>
      <c r="BR134" s="103"/>
      <c r="BS134" s="103"/>
      <c r="BT134" s="103"/>
      <c r="BU134" s="103"/>
      <c r="BV134" s="103"/>
      <c r="BW134" s="103"/>
      <c r="BX134" s="103"/>
      <c r="BY134" s="103"/>
      <c r="BZ134" s="103"/>
      <c r="CA134" s="103"/>
      <c r="CB134" s="103"/>
      <c r="CC134" s="103"/>
      <c r="CD134" s="103"/>
      <c r="CE134" s="103"/>
      <c r="CF134" s="103"/>
      <c r="CG134" s="103"/>
      <c r="CH134" s="103"/>
      <c r="CI134" s="103"/>
      <c r="CJ134" s="103"/>
      <c r="CK134" s="103"/>
      <c r="CL134" s="103"/>
      <c r="CM134" s="103"/>
      <c r="CN134" s="103"/>
      <c r="CO134" s="103"/>
      <c r="CP134" s="103"/>
      <c r="CQ134" s="103"/>
      <c r="CR134" s="103"/>
      <c r="CS134" s="103"/>
      <c r="CT134" s="103"/>
    </row>
    <row r="135" spans="1:98">
      <c r="A135" s="189">
        <v>99</v>
      </c>
      <c r="B135" s="184">
        <f ca="1">RESUMEN!J102</f>
        <v>0</v>
      </c>
      <c r="C135" s="184">
        <f ca="1">+RESUMEN!K102</f>
        <v>0</v>
      </c>
      <c r="D135" s="185">
        <f t="shared" ca="1" si="149"/>
        <v>0</v>
      </c>
      <c r="E135" s="102"/>
      <c r="F135" s="102"/>
      <c r="G135" s="102"/>
      <c r="H135" s="408"/>
      <c r="I135" s="102"/>
      <c r="J135" s="212" t="s">
        <v>173</v>
      </c>
      <c r="K135" s="224">
        <v>25.4</v>
      </c>
      <c r="L135" s="103"/>
      <c r="M135" s="103"/>
      <c r="N135" s="103"/>
      <c r="O135" s="103"/>
      <c r="P135" s="103"/>
      <c r="Q135" s="103"/>
      <c r="R135" s="103"/>
      <c r="S135" s="103"/>
      <c r="T135" s="103"/>
      <c r="U135" s="103"/>
      <c r="V135" s="103"/>
      <c r="W135" s="176"/>
      <c r="X135" s="103"/>
      <c r="Y135" s="103"/>
      <c r="Z135" s="103"/>
      <c r="AA135" s="103"/>
      <c r="AB135" s="103"/>
      <c r="AC135" s="103"/>
      <c r="AD135" s="103"/>
      <c r="AE135" s="103"/>
      <c r="AF135" s="103"/>
      <c r="AG135" s="103"/>
      <c r="AH135" s="176"/>
      <c r="AI135" s="176"/>
      <c r="AJ135" s="176"/>
      <c r="AK135" s="176"/>
      <c r="AL135" s="176"/>
      <c r="AM135" s="176"/>
      <c r="AN135" s="176"/>
      <c r="AO135" s="176"/>
      <c r="AP135" s="176"/>
      <c r="AQ135" s="176"/>
      <c r="AR135" s="176"/>
      <c r="AS135" s="176"/>
      <c r="AT135" s="176"/>
      <c r="AU135" s="176"/>
      <c r="AV135" s="176"/>
      <c r="AW135" s="176"/>
      <c r="AX135" s="176"/>
      <c r="AY135" s="176"/>
      <c r="AZ135" s="176"/>
      <c r="BA135" s="176"/>
      <c r="BB135" s="176"/>
      <c r="BC135" s="176"/>
      <c r="BD135" s="176"/>
      <c r="BE135" s="103"/>
      <c r="BF135" s="103"/>
      <c r="BG135" s="103"/>
      <c r="BH135" s="103"/>
      <c r="BI135" s="103"/>
      <c r="BJ135" s="103"/>
      <c r="BK135" s="103"/>
      <c r="BL135" s="103"/>
      <c r="BM135" s="103"/>
      <c r="BN135" s="103"/>
      <c r="BO135" s="103"/>
      <c r="BP135" s="103"/>
      <c r="BQ135" s="103"/>
      <c r="BR135" s="103"/>
      <c r="BS135" s="103"/>
      <c r="BT135" s="103"/>
      <c r="BU135" s="103"/>
      <c r="BV135" s="103"/>
      <c r="BW135" s="103"/>
      <c r="BX135" s="103"/>
      <c r="BY135" s="103"/>
      <c r="BZ135" s="103"/>
      <c r="CA135" s="103"/>
      <c r="CB135" s="103"/>
      <c r="CC135" s="103"/>
      <c r="CD135" s="103"/>
      <c r="CE135" s="103"/>
      <c r="CF135" s="103"/>
      <c r="CG135" s="103"/>
      <c r="CH135" s="103"/>
      <c r="CI135" s="103"/>
      <c r="CJ135" s="103"/>
      <c r="CK135" s="103"/>
      <c r="CL135" s="103"/>
      <c r="CM135" s="103"/>
      <c r="CN135" s="103"/>
      <c r="CO135" s="103"/>
      <c r="CP135" s="103"/>
      <c r="CQ135" s="103"/>
      <c r="CR135" s="103"/>
      <c r="CS135" s="103"/>
      <c r="CT135" s="103"/>
    </row>
    <row r="136" spans="1:98" ht="16" thickBot="1">
      <c r="A136" s="225">
        <v>100</v>
      </c>
      <c r="B136" s="184">
        <f ca="1">RESUMEN!J103</f>
        <v>0</v>
      </c>
      <c r="C136" s="184">
        <f ca="1">+RESUMEN!K103</f>
        <v>0</v>
      </c>
      <c r="D136" s="226">
        <f t="shared" ca="1" si="149"/>
        <v>0</v>
      </c>
      <c r="E136" s="102"/>
      <c r="F136" s="102"/>
      <c r="G136" s="102"/>
      <c r="H136" s="408"/>
      <c r="I136" s="102"/>
      <c r="J136" s="212" t="s">
        <v>174</v>
      </c>
      <c r="K136" s="224">
        <v>26.24</v>
      </c>
      <c r="L136" s="103"/>
      <c r="M136" s="103"/>
      <c r="N136" s="103"/>
      <c r="O136" s="103"/>
      <c r="P136" s="103"/>
      <c r="Q136" s="103"/>
      <c r="R136" s="103"/>
      <c r="S136" s="103"/>
      <c r="T136" s="103"/>
      <c r="U136" s="103"/>
      <c r="V136" s="103"/>
      <c r="W136" s="176"/>
      <c r="X136" s="103"/>
      <c r="Y136" s="103"/>
      <c r="Z136" s="103"/>
      <c r="AA136" s="103"/>
      <c r="AB136" s="103"/>
      <c r="AC136" s="103"/>
      <c r="AD136" s="103"/>
      <c r="AE136" s="103"/>
      <c r="AF136" s="103"/>
      <c r="AG136" s="103"/>
      <c r="AH136" s="176"/>
      <c r="AI136" s="176"/>
      <c r="AJ136" s="176"/>
      <c r="AK136" s="176"/>
      <c r="AL136" s="176"/>
      <c r="AM136" s="176"/>
      <c r="AN136" s="176"/>
      <c r="AO136" s="176"/>
      <c r="AP136" s="176"/>
      <c r="AQ136" s="176"/>
      <c r="AR136" s="176"/>
      <c r="AS136" s="176"/>
      <c r="AT136" s="176"/>
      <c r="AU136" s="176"/>
      <c r="AV136" s="176"/>
      <c r="AW136" s="176"/>
      <c r="AX136" s="176"/>
      <c r="AY136" s="176"/>
      <c r="AZ136" s="176"/>
      <c r="BA136" s="176"/>
      <c r="BB136" s="176"/>
      <c r="BC136" s="176"/>
      <c r="BD136" s="176"/>
      <c r="BE136" s="103"/>
      <c r="BF136" s="103"/>
      <c r="BG136" s="103"/>
      <c r="BH136" s="103"/>
      <c r="BI136" s="103"/>
      <c r="BJ136" s="103"/>
      <c r="BK136" s="103"/>
      <c r="BL136" s="103"/>
      <c r="BM136" s="103"/>
      <c r="BN136" s="103"/>
      <c r="BO136" s="103"/>
      <c r="BP136" s="103"/>
      <c r="BQ136" s="103"/>
      <c r="BR136" s="103"/>
      <c r="BS136" s="103"/>
      <c r="BT136" s="103"/>
      <c r="BU136" s="103"/>
      <c r="BV136" s="103"/>
      <c r="BW136" s="103"/>
      <c r="BX136" s="103"/>
      <c r="BY136" s="103"/>
      <c r="BZ136" s="103"/>
      <c r="CA136" s="103"/>
      <c r="CB136" s="103"/>
      <c r="CC136" s="103"/>
      <c r="CD136" s="103"/>
      <c r="CE136" s="103"/>
      <c r="CF136" s="103"/>
      <c r="CG136" s="103"/>
      <c r="CH136" s="103"/>
      <c r="CI136" s="103"/>
      <c r="CJ136" s="103"/>
      <c r="CK136" s="103"/>
      <c r="CL136" s="103"/>
      <c r="CM136" s="103"/>
      <c r="CN136" s="103"/>
      <c r="CO136" s="103"/>
      <c r="CP136" s="103"/>
      <c r="CQ136" s="103"/>
      <c r="CR136" s="103"/>
      <c r="CS136" s="103"/>
      <c r="CT136" s="103"/>
    </row>
    <row r="137" spans="1:98" ht="16" thickBot="1">
      <c r="A137" s="227" t="s">
        <v>52</v>
      </c>
      <c r="B137" s="227">
        <f ca="1">SUM(B36:B136)</f>
        <v>0</v>
      </c>
      <c r="C137" s="227">
        <f ca="1">SUM(C36:C136)</f>
        <v>0</v>
      </c>
      <c r="D137" s="227">
        <f ca="1">SUM(D36:D136)</f>
        <v>0</v>
      </c>
      <c r="E137" s="102"/>
      <c r="F137" s="102"/>
      <c r="G137" s="102"/>
      <c r="H137" s="408"/>
      <c r="I137" s="102"/>
      <c r="J137" s="212" t="s">
        <v>175</v>
      </c>
      <c r="K137" s="224">
        <v>27.12</v>
      </c>
      <c r="L137" s="103"/>
      <c r="M137" s="103"/>
      <c r="N137" s="103"/>
      <c r="O137" s="103"/>
      <c r="P137" s="103"/>
      <c r="Q137" s="103"/>
      <c r="R137" s="103"/>
      <c r="S137" s="103"/>
      <c r="T137" s="103"/>
      <c r="U137" s="103"/>
      <c r="V137" s="103"/>
      <c r="W137" s="176"/>
      <c r="X137" s="103"/>
      <c r="Y137" s="103"/>
      <c r="Z137" s="103"/>
      <c r="AA137" s="103"/>
      <c r="AB137" s="103"/>
      <c r="AC137" s="103"/>
      <c r="AD137" s="103"/>
      <c r="AE137" s="103"/>
      <c r="AF137" s="103"/>
      <c r="AG137" s="103"/>
      <c r="AH137" s="176"/>
      <c r="AI137" s="176"/>
      <c r="AJ137" s="176"/>
      <c r="AK137" s="176"/>
      <c r="AL137" s="176"/>
      <c r="AM137" s="176"/>
      <c r="AN137" s="176"/>
      <c r="AO137" s="176"/>
      <c r="AP137" s="176"/>
      <c r="AQ137" s="176"/>
      <c r="AR137" s="176"/>
      <c r="AS137" s="176"/>
      <c r="AT137" s="176"/>
      <c r="AU137" s="176"/>
      <c r="AV137" s="176"/>
      <c r="AW137" s="176"/>
      <c r="AX137" s="176"/>
      <c r="AY137" s="176"/>
      <c r="AZ137" s="176"/>
      <c r="BA137" s="176"/>
      <c r="BB137" s="176"/>
      <c r="BC137" s="176"/>
      <c r="BD137" s="176"/>
      <c r="BE137" s="103"/>
      <c r="BF137" s="103"/>
      <c r="BG137" s="103"/>
      <c r="BH137" s="103"/>
      <c r="BI137" s="103"/>
      <c r="BJ137" s="103"/>
      <c r="BK137" s="103"/>
      <c r="BL137" s="103"/>
      <c r="BM137" s="103"/>
      <c r="BN137" s="103"/>
      <c r="BO137" s="103"/>
      <c r="BP137" s="103"/>
      <c r="BQ137" s="103"/>
      <c r="BR137" s="103"/>
      <c r="BS137" s="103"/>
      <c r="BT137" s="103"/>
      <c r="BU137" s="103"/>
      <c r="BV137" s="103"/>
      <c r="BW137" s="103"/>
      <c r="BX137" s="103"/>
      <c r="BY137" s="103"/>
      <c r="BZ137" s="103"/>
      <c r="CA137" s="103"/>
      <c r="CB137" s="103"/>
      <c r="CC137" s="103"/>
      <c r="CD137" s="103"/>
      <c r="CE137" s="103"/>
      <c r="CF137" s="103"/>
      <c r="CG137" s="103"/>
      <c r="CH137" s="103"/>
      <c r="CI137" s="103"/>
      <c r="CJ137" s="103"/>
      <c r="CK137" s="103"/>
      <c r="CL137" s="103"/>
      <c r="CM137" s="103"/>
      <c r="CN137" s="103"/>
      <c r="CO137" s="103"/>
      <c r="CP137" s="103"/>
      <c r="CQ137" s="103"/>
      <c r="CR137" s="103"/>
      <c r="CS137" s="103"/>
      <c r="CT137" s="103"/>
    </row>
    <row r="138" spans="1:98">
      <c r="A138" s="103"/>
      <c r="B138" s="176"/>
      <c r="C138" s="102"/>
      <c r="D138" s="102"/>
      <c r="E138" s="102"/>
      <c r="F138" s="102"/>
      <c r="G138" s="102"/>
      <c r="H138" s="408"/>
      <c r="I138" s="102"/>
      <c r="J138" s="212" t="s">
        <v>176</v>
      </c>
      <c r="K138" s="224">
        <v>28.12</v>
      </c>
      <c r="L138" s="103"/>
      <c r="M138" s="103"/>
      <c r="N138" s="103"/>
      <c r="O138" s="103"/>
      <c r="P138" s="103"/>
      <c r="Q138" s="103"/>
      <c r="R138" s="103"/>
      <c r="S138" s="103"/>
      <c r="T138" s="103"/>
      <c r="U138" s="103"/>
      <c r="V138" s="103"/>
      <c r="W138" s="176"/>
      <c r="X138" s="103"/>
      <c r="Y138" s="103"/>
      <c r="Z138" s="103"/>
      <c r="AA138" s="103"/>
      <c r="AB138" s="103"/>
      <c r="AC138" s="103"/>
      <c r="AD138" s="103"/>
      <c r="AE138" s="103"/>
      <c r="AF138" s="103"/>
      <c r="AG138" s="103"/>
      <c r="AH138" s="176"/>
      <c r="AI138" s="176"/>
      <c r="AJ138" s="176"/>
      <c r="AK138" s="176"/>
      <c r="AL138" s="176"/>
      <c r="AM138" s="176"/>
      <c r="AN138" s="176"/>
      <c r="AO138" s="176"/>
      <c r="AP138" s="176"/>
      <c r="AQ138" s="176"/>
      <c r="AR138" s="176"/>
      <c r="AS138" s="176"/>
      <c r="AT138" s="176"/>
      <c r="AU138" s="176"/>
      <c r="AV138" s="176"/>
      <c r="AW138" s="176"/>
      <c r="AX138" s="176"/>
      <c r="AY138" s="176"/>
      <c r="AZ138" s="176"/>
      <c r="BA138" s="176"/>
      <c r="BB138" s="176"/>
      <c r="BC138" s="176"/>
      <c r="BD138" s="176"/>
      <c r="BE138" s="103"/>
      <c r="BF138" s="103"/>
      <c r="BG138" s="103"/>
      <c r="BH138" s="103"/>
      <c r="BI138" s="103"/>
      <c r="BJ138" s="103"/>
      <c r="BK138" s="103"/>
      <c r="BL138" s="103"/>
      <c r="BM138" s="103"/>
      <c r="BN138" s="103"/>
      <c r="BO138" s="103"/>
      <c r="BP138" s="103"/>
      <c r="BQ138" s="103"/>
      <c r="BR138" s="103"/>
      <c r="BS138" s="103"/>
      <c r="BT138" s="103"/>
      <c r="BU138" s="103"/>
      <c r="BV138" s="103"/>
      <c r="BW138" s="103"/>
      <c r="BX138" s="103"/>
      <c r="BY138" s="103"/>
      <c r="BZ138" s="103"/>
      <c r="CA138" s="103"/>
      <c r="CB138" s="103"/>
      <c r="CC138" s="103"/>
      <c r="CD138" s="103"/>
      <c r="CE138" s="103"/>
      <c r="CF138" s="103"/>
      <c r="CG138" s="103"/>
      <c r="CH138" s="103"/>
      <c r="CI138" s="103"/>
      <c r="CJ138" s="103"/>
      <c r="CK138" s="103"/>
      <c r="CL138" s="103"/>
      <c r="CM138" s="103"/>
      <c r="CN138" s="103"/>
      <c r="CO138" s="103"/>
      <c r="CP138" s="103"/>
      <c r="CQ138" s="103"/>
      <c r="CR138" s="103"/>
      <c r="CS138" s="103"/>
      <c r="CT138" s="103"/>
    </row>
    <row r="139" spans="1:98" ht="16" thickBot="1">
      <c r="A139" s="103"/>
      <c r="B139" s="176"/>
      <c r="C139" s="102"/>
      <c r="D139" s="102"/>
      <c r="E139" s="102"/>
      <c r="F139" s="102"/>
      <c r="G139" s="102"/>
      <c r="H139" s="408"/>
      <c r="I139" s="102"/>
      <c r="J139" s="212" t="s">
        <v>177</v>
      </c>
      <c r="K139" s="224">
        <v>29.16</v>
      </c>
      <c r="L139" s="103"/>
      <c r="M139" s="103"/>
      <c r="N139" s="103"/>
      <c r="O139" s="103"/>
      <c r="P139" s="103"/>
      <c r="Q139" s="103"/>
      <c r="R139" s="103"/>
      <c r="S139" s="103"/>
      <c r="T139" s="103"/>
      <c r="U139" s="103"/>
      <c r="V139" s="103"/>
      <c r="W139" s="176"/>
      <c r="X139" s="103"/>
      <c r="Y139" s="103"/>
      <c r="Z139" s="103"/>
      <c r="AA139" s="103"/>
      <c r="AB139" s="103"/>
      <c r="AC139" s="103"/>
      <c r="AD139" s="103"/>
      <c r="AE139" s="103"/>
      <c r="AF139" s="103"/>
      <c r="AG139" s="103"/>
      <c r="AH139" s="176"/>
      <c r="AI139" s="176"/>
      <c r="AJ139" s="176"/>
      <c r="AK139" s="176"/>
      <c r="AL139" s="176"/>
      <c r="AM139" s="176"/>
      <c r="AN139" s="176"/>
      <c r="AO139" s="176"/>
      <c r="AP139" s="176"/>
      <c r="AQ139" s="176"/>
      <c r="AR139" s="176"/>
      <c r="AS139" s="176"/>
      <c r="AT139" s="176"/>
      <c r="AU139" s="176"/>
      <c r="AV139" s="176"/>
      <c r="AW139" s="176"/>
      <c r="AX139" s="176"/>
      <c r="AY139" s="176"/>
      <c r="AZ139" s="176"/>
      <c r="BA139" s="176"/>
      <c r="BB139" s="176"/>
      <c r="BC139" s="176"/>
      <c r="BD139" s="176"/>
      <c r="BE139" s="103"/>
      <c r="BF139" s="103"/>
      <c r="BG139" s="103"/>
      <c r="BH139" s="103"/>
      <c r="BI139" s="103"/>
      <c r="BJ139" s="103"/>
      <c r="BK139" s="103"/>
      <c r="BL139" s="103"/>
      <c r="BM139" s="103"/>
      <c r="BN139" s="103"/>
      <c r="BO139" s="103"/>
      <c r="BP139" s="103"/>
      <c r="BQ139" s="103"/>
      <c r="BR139" s="103"/>
      <c r="BS139" s="103"/>
      <c r="BT139" s="103"/>
      <c r="BU139" s="103"/>
      <c r="BV139" s="103"/>
      <c r="BW139" s="103"/>
      <c r="BX139" s="103"/>
      <c r="BY139" s="103"/>
      <c r="BZ139" s="103"/>
      <c r="CA139" s="103"/>
      <c r="CB139" s="103"/>
      <c r="CC139" s="103"/>
      <c r="CD139" s="103"/>
      <c r="CE139" s="103"/>
      <c r="CF139" s="103"/>
      <c r="CG139" s="103"/>
      <c r="CH139" s="103"/>
      <c r="CI139" s="103"/>
      <c r="CJ139" s="103"/>
      <c r="CK139" s="103"/>
      <c r="CL139" s="103"/>
      <c r="CM139" s="103"/>
      <c r="CN139" s="103"/>
      <c r="CO139" s="103"/>
      <c r="CP139" s="103"/>
      <c r="CQ139" s="103"/>
      <c r="CR139" s="103"/>
      <c r="CS139" s="103"/>
      <c r="CT139" s="103"/>
    </row>
    <row r="140" spans="1:98">
      <c r="A140" s="177" t="s">
        <v>4</v>
      </c>
      <c r="B140" s="178" t="s">
        <v>377</v>
      </c>
      <c r="C140" s="178"/>
      <c r="D140" s="179"/>
      <c r="E140" s="102"/>
      <c r="F140" s="102"/>
      <c r="G140" s="102"/>
      <c r="H140" s="408"/>
      <c r="I140" s="102"/>
      <c r="J140" s="212" t="s">
        <v>178</v>
      </c>
      <c r="K140" s="224">
        <v>30.28</v>
      </c>
      <c r="L140" s="103"/>
      <c r="M140" s="103"/>
      <c r="N140" s="103"/>
      <c r="O140" s="103"/>
      <c r="P140" s="103"/>
      <c r="Q140" s="103"/>
      <c r="R140" s="103"/>
      <c r="S140" s="103"/>
      <c r="T140" s="103"/>
      <c r="U140" s="103"/>
      <c r="V140" s="103"/>
      <c r="W140" s="176"/>
      <c r="X140" s="103"/>
      <c r="Y140" s="103"/>
      <c r="Z140" s="103"/>
      <c r="AA140" s="103"/>
      <c r="AB140" s="103"/>
      <c r="AC140" s="103"/>
      <c r="AD140" s="103"/>
      <c r="AE140" s="103"/>
      <c r="AF140" s="103"/>
      <c r="AG140" s="103"/>
      <c r="AH140" s="176"/>
      <c r="AI140" s="176"/>
      <c r="AJ140" s="176"/>
      <c r="AK140" s="176"/>
      <c r="AL140" s="176"/>
      <c r="AM140" s="176"/>
      <c r="AN140" s="176"/>
      <c r="AO140" s="176"/>
      <c r="AP140" s="176"/>
      <c r="AQ140" s="176"/>
      <c r="AR140" s="176"/>
      <c r="AS140" s="176"/>
      <c r="AT140" s="176"/>
      <c r="AU140" s="176"/>
      <c r="AV140" s="176"/>
      <c r="AW140" s="176"/>
      <c r="AX140" s="176"/>
      <c r="AY140" s="176"/>
      <c r="AZ140" s="176"/>
      <c r="BA140" s="176"/>
      <c r="BB140" s="176"/>
      <c r="BC140" s="176"/>
      <c r="BD140" s="176"/>
      <c r="BE140" s="103"/>
      <c r="BF140" s="103"/>
      <c r="BG140" s="103"/>
      <c r="BH140" s="103"/>
      <c r="BI140" s="103"/>
      <c r="BJ140" s="103"/>
      <c r="BK140" s="103"/>
      <c r="BL140" s="103"/>
      <c r="BM140" s="103"/>
      <c r="BN140" s="103"/>
      <c r="BO140" s="103"/>
      <c r="BP140" s="103"/>
      <c r="BQ140" s="103"/>
      <c r="BR140" s="103"/>
      <c r="BS140" s="103"/>
      <c r="BT140" s="103"/>
      <c r="BU140" s="103"/>
      <c r="BV140" s="103"/>
      <c r="BW140" s="103"/>
      <c r="BX140" s="103"/>
      <c r="BY140" s="103"/>
      <c r="BZ140" s="103"/>
      <c r="CA140" s="103"/>
      <c r="CB140" s="103"/>
      <c r="CC140" s="103"/>
      <c r="CD140" s="103"/>
      <c r="CE140" s="103"/>
      <c r="CF140" s="103"/>
      <c r="CG140" s="103"/>
      <c r="CH140" s="103"/>
      <c r="CI140" s="103"/>
      <c r="CJ140" s="103"/>
      <c r="CK140" s="103"/>
      <c r="CL140" s="103"/>
      <c r="CM140" s="103"/>
      <c r="CN140" s="103"/>
      <c r="CO140" s="103"/>
      <c r="CP140" s="103"/>
      <c r="CQ140" s="103"/>
      <c r="CR140" s="103"/>
      <c r="CS140" s="103"/>
      <c r="CT140" s="103"/>
    </row>
    <row r="141" spans="1:98">
      <c r="A141" s="180" t="s">
        <v>25</v>
      </c>
      <c r="B141" s="181" t="s">
        <v>5</v>
      </c>
      <c r="C141" s="181" t="s">
        <v>6</v>
      </c>
      <c r="D141" s="182" t="s">
        <v>36</v>
      </c>
      <c r="E141" s="102"/>
      <c r="F141" s="102"/>
      <c r="G141" s="102"/>
      <c r="H141" s="408"/>
      <c r="I141" s="102"/>
      <c r="J141" s="212" t="s">
        <v>179</v>
      </c>
      <c r="K141" s="224">
        <v>31.52</v>
      </c>
      <c r="L141" s="103"/>
      <c r="M141" s="103"/>
      <c r="N141" s="103"/>
      <c r="O141" s="103"/>
      <c r="P141" s="103"/>
      <c r="Q141" s="103"/>
      <c r="R141" s="103"/>
      <c r="S141" s="103"/>
      <c r="T141" s="103"/>
      <c r="U141" s="103"/>
      <c r="V141" s="103"/>
      <c r="W141" s="176"/>
      <c r="X141" s="103"/>
      <c r="Y141" s="103"/>
      <c r="Z141" s="103"/>
      <c r="AA141" s="103"/>
      <c r="AB141" s="103"/>
      <c r="AC141" s="103"/>
      <c r="AD141" s="103"/>
      <c r="AE141" s="103"/>
      <c r="AF141" s="103"/>
      <c r="AG141" s="103"/>
      <c r="AH141" s="176"/>
      <c r="AI141" s="176"/>
      <c r="AJ141" s="176"/>
      <c r="AK141" s="176"/>
      <c r="AL141" s="176"/>
      <c r="AM141" s="176"/>
      <c r="AN141" s="176"/>
      <c r="AO141" s="176"/>
      <c r="AP141" s="176"/>
      <c r="AQ141" s="176"/>
      <c r="AR141" s="176"/>
      <c r="AS141" s="176"/>
      <c r="AT141" s="176"/>
      <c r="AU141" s="176"/>
      <c r="AV141" s="176"/>
      <c r="AW141" s="176"/>
      <c r="AX141" s="176"/>
      <c r="AY141" s="176"/>
      <c r="AZ141" s="176"/>
      <c r="BA141" s="176"/>
      <c r="BB141" s="176"/>
      <c r="BC141" s="176"/>
      <c r="BD141" s="176"/>
      <c r="BE141" s="103"/>
      <c r="BF141" s="103"/>
      <c r="BG141" s="103"/>
      <c r="BH141" s="103"/>
      <c r="BI141" s="103"/>
      <c r="BJ141" s="103"/>
      <c r="BK141" s="103"/>
      <c r="BL141" s="103"/>
      <c r="BM141" s="103"/>
      <c r="BN141" s="103"/>
      <c r="BO141" s="103"/>
      <c r="BP141" s="103"/>
      <c r="BQ141" s="103"/>
      <c r="BR141" s="103"/>
      <c r="BS141" s="103"/>
      <c r="BT141" s="103"/>
      <c r="BU141" s="103"/>
      <c r="BV141" s="103"/>
      <c r="BW141" s="103"/>
      <c r="BX141" s="103"/>
      <c r="BY141" s="103"/>
      <c r="BZ141" s="103"/>
      <c r="CA141" s="103"/>
      <c r="CB141" s="103"/>
      <c r="CC141" s="103"/>
      <c r="CD141" s="103"/>
      <c r="CE141" s="103"/>
      <c r="CF141" s="103"/>
      <c r="CG141" s="103"/>
      <c r="CH141" s="103"/>
      <c r="CI141" s="103"/>
      <c r="CJ141" s="103"/>
      <c r="CK141" s="103"/>
      <c r="CL141" s="103"/>
      <c r="CM141" s="103"/>
      <c r="CN141" s="103"/>
      <c r="CO141" s="103"/>
      <c r="CP141" s="103"/>
      <c r="CQ141" s="103"/>
      <c r="CR141" s="103"/>
      <c r="CS141" s="103"/>
      <c r="CT141" s="103"/>
    </row>
    <row r="142" spans="1:98">
      <c r="A142" s="183">
        <v>0</v>
      </c>
      <c r="B142" s="184">
        <f ca="1">+RESUMEN!Y3</f>
        <v>0</v>
      </c>
      <c r="C142" s="184">
        <f ca="1">+RESUMEN!Z3</f>
        <v>0</v>
      </c>
      <c r="D142" s="185">
        <f t="shared" ref="D142:D205" ca="1" si="150">B142+C142</f>
        <v>0</v>
      </c>
      <c r="E142" s="102"/>
      <c r="F142" s="102"/>
      <c r="G142" s="102"/>
      <c r="H142" s="408"/>
      <c r="I142" s="102"/>
      <c r="J142" s="212" t="s">
        <v>180</v>
      </c>
      <c r="K142" s="228">
        <v>32.840000000000003</v>
      </c>
      <c r="L142" s="103"/>
      <c r="M142" s="103"/>
      <c r="N142" s="103"/>
      <c r="O142" s="103"/>
      <c r="P142" s="103"/>
      <c r="Q142" s="103"/>
      <c r="R142" s="103"/>
      <c r="S142" s="103"/>
      <c r="T142" s="103"/>
      <c r="U142" s="103"/>
      <c r="V142" s="103"/>
      <c r="W142" s="176"/>
      <c r="X142" s="103"/>
      <c r="Y142" s="103"/>
      <c r="Z142" s="103"/>
      <c r="AA142" s="103"/>
      <c r="AB142" s="103"/>
      <c r="AC142" s="103"/>
      <c r="AD142" s="103"/>
      <c r="AE142" s="103"/>
      <c r="AF142" s="103"/>
      <c r="AG142" s="103"/>
      <c r="AH142" s="176"/>
      <c r="AI142" s="176"/>
      <c r="AJ142" s="176"/>
      <c r="AK142" s="176"/>
      <c r="AL142" s="176"/>
      <c r="AM142" s="176"/>
      <c r="AN142" s="176"/>
      <c r="AO142" s="176"/>
      <c r="AP142" s="176"/>
      <c r="AQ142" s="176"/>
      <c r="AR142" s="176"/>
      <c r="AS142" s="176"/>
      <c r="AT142" s="176"/>
      <c r="AU142" s="176"/>
      <c r="AV142" s="176"/>
      <c r="AW142" s="176"/>
      <c r="AX142" s="176"/>
      <c r="AY142" s="176"/>
      <c r="AZ142" s="176"/>
      <c r="BA142" s="176"/>
      <c r="BB142" s="176"/>
      <c r="BC142" s="176"/>
      <c r="BD142" s="176"/>
      <c r="BE142" s="103"/>
      <c r="BF142" s="103"/>
      <c r="BG142" s="103"/>
      <c r="BH142" s="103"/>
      <c r="BI142" s="103"/>
      <c r="BJ142" s="103"/>
      <c r="BK142" s="103"/>
      <c r="BL142" s="103"/>
      <c r="BM142" s="103"/>
      <c r="BN142" s="103"/>
      <c r="BO142" s="103"/>
      <c r="BP142" s="103"/>
      <c r="BQ142" s="103"/>
      <c r="BR142" s="103"/>
      <c r="BS142" s="103"/>
      <c r="BT142" s="103"/>
      <c r="BU142" s="103"/>
      <c r="BV142" s="103"/>
      <c r="BW142" s="103"/>
      <c r="BX142" s="103"/>
      <c r="BY142" s="103"/>
      <c r="BZ142" s="103"/>
      <c r="CA142" s="103"/>
      <c r="CB142" s="103"/>
      <c r="CC142" s="103"/>
      <c r="CD142" s="103"/>
      <c r="CE142" s="103"/>
      <c r="CF142" s="103"/>
      <c r="CG142" s="103"/>
      <c r="CH142" s="103"/>
      <c r="CI142" s="103"/>
      <c r="CJ142" s="103"/>
      <c r="CK142" s="103"/>
      <c r="CL142" s="103"/>
      <c r="CM142" s="103"/>
      <c r="CN142" s="103"/>
      <c r="CO142" s="103"/>
      <c r="CP142" s="103"/>
      <c r="CQ142" s="103"/>
      <c r="CR142" s="103"/>
      <c r="CS142" s="103"/>
      <c r="CT142" s="103"/>
    </row>
    <row r="143" spans="1:98">
      <c r="A143" s="183">
        <v>1</v>
      </c>
      <c r="B143" s="184">
        <f ca="1">+RESUMEN!Y4</f>
        <v>0</v>
      </c>
      <c r="C143" s="184">
        <f ca="1">+RESUMEN!Z4</f>
        <v>0</v>
      </c>
      <c r="D143" s="185">
        <f t="shared" ca="1" si="150"/>
        <v>0</v>
      </c>
      <c r="E143" s="102"/>
      <c r="F143" s="102"/>
      <c r="G143" s="102"/>
      <c r="H143" s="408"/>
      <c r="I143" s="102"/>
      <c r="J143" s="212" t="s">
        <v>181</v>
      </c>
      <c r="K143" s="228">
        <v>34.28</v>
      </c>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76"/>
      <c r="AI143" s="176"/>
      <c r="AJ143" s="176"/>
      <c r="AK143" s="176"/>
      <c r="AL143" s="176"/>
      <c r="AM143" s="176"/>
      <c r="AN143" s="176"/>
      <c r="AO143" s="176"/>
      <c r="AP143" s="176"/>
      <c r="AQ143" s="176"/>
      <c r="AR143" s="176"/>
      <c r="AS143" s="176"/>
      <c r="AT143" s="176"/>
      <c r="AU143" s="176"/>
      <c r="AV143" s="176"/>
      <c r="AW143" s="176"/>
      <c r="AX143" s="176"/>
      <c r="AY143" s="176"/>
      <c r="AZ143" s="176"/>
      <c r="BA143" s="176"/>
      <c r="BB143" s="176"/>
      <c r="BC143" s="176"/>
      <c r="BD143" s="176"/>
      <c r="BE143" s="103"/>
      <c r="BF143" s="103"/>
      <c r="BG143" s="103"/>
      <c r="BH143" s="103"/>
      <c r="BI143" s="103"/>
      <c r="BJ143" s="103"/>
      <c r="BK143" s="103"/>
      <c r="BL143" s="103"/>
      <c r="BM143" s="103"/>
      <c r="BN143" s="103"/>
      <c r="BO143" s="103"/>
      <c r="BP143" s="103"/>
      <c r="BQ143" s="103"/>
      <c r="BR143" s="103"/>
      <c r="BS143" s="103"/>
      <c r="BT143" s="103"/>
      <c r="BU143" s="103"/>
      <c r="BV143" s="103"/>
      <c r="BW143" s="103"/>
      <c r="BX143" s="103"/>
      <c r="BY143" s="103"/>
      <c r="BZ143" s="103"/>
      <c r="CA143" s="103"/>
      <c r="CB143" s="103"/>
      <c r="CC143" s="103"/>
      <c r="CD143" s="103"/>
      <c r="CE143" s="103"/>
      <c r="CF143" s="103"/>
      <c r="CG143" s="103"/>
      <c r="CH143" s="103"/>
      <c r="CI143" s="103"/>
      <c r="CJ143" s="103"/>
      <c r="CK143" s="103"/>
      <c r="CL143" s="103"/>
      <c r="CM143" s="103"/>
      <c r="CN143" s="103"/>
      <c r="CO143" s="103"/>
      <c r="CP143" s="103"/>
      <c r="CQ143" s="103"/>
      <c r="CR143" s="103"/>
      <c r="CS143" s="103"/>
      <c r="CT143" s="103"/>
    </row>
    <row r="144" spans="1:98">
      <c r="A144" s="183">
        <v>2</v>
      </c>
      <c r="B144" s="184">
        <f ca="1">+RESUMEN!Y5</f>
        <v>0</v>
      </c>
      <c r="C144" s="184">
        <f ca="1">+RESUMEN!Z5</f>
        <v>0</v>
      </c>
      <c r="D144" s="185">
        <f t="shared" ca="1" si="150"/>
        <v>0</v>
      </c>
      <c r="E144" s="102"/>
      <c r="F144" s="102"/>
      <c r="G144" s="102"/>
      <c r="H144" s="408"/>
      <c r="I144" s="102"/>
      <c r="J144" s="212" t="s">
        <v>182</v>
      </c>
      <c r="K144" s="228">
        <v>35.840000000000003</v>
      </c>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76"/>
      <c r="AI144" s="176"/>
      <c r="AJ144" s="176"/>
      <c r="AK144" s="176"/>
      <c r="AL144" s="176"/>
      <c r="AM144" s="176"/>
      <c r="AN144" s="176"/>
      <c r="AO144" s="176"/>
      <c r="AP144" s="176"/>
      <c r="AQ144" s="176"/>
      <c r="AR144" s="176"/>
      <c r="AS144" s="176"/>
      <c r="AT144" s="176"/>
      <c r="AU144" s="176"/>
      <c r="AV144" s="176"/>
      <c r="AW144" s="176"/>
      <c r="AX144" s="176"/>
      <c r="AY144" s="176"/>
      <c r="AZ144" s="176"/>
      <c r="BA144" s="176"/>
      <c r="BB144" s="176"/>
      <c r="BC144" s="176"/>
      <c r="BD144" s="176"/>
      <c r="BE144" s="103"/>
      <c r="BF144" s="103"/>
      <c r="BG144" s="103"/>
      <c r="BH144" s="103"/>
      <c r="BI144" s="103"/>
      <c r="BJ144" s="103"/>
      <c r="BK144" s="103"/>
      <c r="BL144" s="103"/>
      <c r="BM144" s="103"/>
      <c r="BN144" s="103"/>
      <c r="BO144" s="103"/>
      <c r="BP144" s="103"/>
      <c r="BQ144" s="103"/>
      <c r="BR144" s="103"/>
      <c r="BS144" s="103"/>
      <c r="BT144" s="103"/>
      <c r="BU144" s="103"/>
      <c r="BV144" s="103"/>
      <c r="BW144" s="103"/>
      <c r="BX144" s="103"/>
      <c r="BY144" s="103"/>
      <c r="BZ144" s="103"/>
      <c r="CA144" s="103"/>
      <c r="CB144" s="103"/>
      <c r="CC144" s="103"/>
      <c r="CD144" s="103"/>
      <c r="CE144" s="103"/>
      <c r="CF144" s="103"/>
      <c r="CG144" s="103"/>
      <c r="CH144" s="103"/>
      <c r="CI144" s="103"/>
      <c r="CJ144" s="103"/>
      <c r="CK144" s="103"/>
      <c r="CL144" s="103"/>
      <c r="CM144" s="103"/>
      <c r="CN144" s="103"/>
      <c r="CO144" s="103"/>
      <c r="CP144" s="103"/>
      <c r="CQ144" s="103"/>
      <c r="CR144" s="103"/>
      <c r="CS144" s="103"/>
      <c r="CT144" s="103"/>
    </row>
    <row r="145" spans="1:98">
      <c r="A145" s="183">
        <v>3</v>
      </c>
      <c r="B145" s="184">
        <f ca="1">+RESUMEN!Y6</f>
        <v>0</v>
      </c>
      <c r="C145" s="184">
        <f ca="1">+RESUMEN!Z6</f>
        <v>0</v>
      </c>
      <c r="D145" s="185">
        <f t="shared" ca="1" si="150"/>
        <v>0</v>
      </c>
      <c r="E145" s="102"/>
      <c r="F145" s="102"/>
      <c r="G145" s="102"/>
      <c r="H145" s="408"/>
      <c r="I145" s="102"/>
      <c r="J145" s="212" t="s">
        <v>183</v>
      </c>
      <c r="K145" s="228">
        <v>37.520000000000003</v>
      </c>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76"/>
      <c r="AI145" s="176"/>
      <c r="AJ145" s="176"/>
      <c r="AK145" s="176"/>
      <c r="AL145" s="176"/>
      <c r="AM145" s="176"/>
      <c r="AN145" s="176"/>
      <c r="AO145" s="176"/>
      <c r="AP145" s="176"/>
      <c r="AQ145" s="176"/>
      <c r="AR145" s="176"/>
      <c r="AS145" s="176"/>
      <c r="AT145" s="176"/>
      <c r="AU145" s="176"/>
      <c r="AV145" s="176"/>
      <c r="AW145" s="176"/>
      <c r="AX145" s="176"/>
      <c r="AY145" s="176"/>
      <c r="AZ145" s="176"/>
      <c r="BA145" s="176"/>
      <c r="BB145" s="176"/>
      <c r="BC145" s="176"/>
      <c r="BD145" s="176"/>
      <c r="BE145" s="103"/>
      <c r="BF145" s="103"/>
      <c r="BG145" s="103"/>
      <c r="BH145" s="103"/>
      <c r="BI145" s="103"/>
      <c r="BJ145" s="103"/>
      <c r="BK145" s="103"/>
      <c r="BL145" s="103"/>
      <c r="BM145" s="103"/>
      <c r="BN145" s="103"/>
      <c r="BO145" s="103"/>
      <c r="BP145" s="103"/>
      <c r="BQ145" s="103"/>
      <c r="BR145" s="103"/>
      <c r="BS145" s="103"/>
      <c r="BT145" s="103"/>
      <c r="BU145" s="103"/>
      <c r="BV145" s="103"/>
      <c r="BW145" s="103"/>
      <c r="BX145" s="103"/>
      <c r="BY145" s="103"/>
      <c r="BZ145" s="103"/>
      <c r="CA145" s="103"/>
      <c r="CB145" s="103"/>
      <c r="CC145" s="103"/>
      <c r="CD145" s="103"/>
      <c r="CE145" s="103"/>
      <c r="CF145" s="103"/>
      <c r="CG145" s="103"/>
      <c r="CH145" s="103"/>
      <c r="CI145" s="103"/>
      <c r="CJ145" s="103"/>
      <c r="CK145" s="103"/>
      <c r="CL145" s="103"/>
      <c r="CM145" s="103"/>
      <c r="CN145" s="103"/>
      <c r="CO145" s="103"/>
      <c r="CP145" s="103"/>
      <c r="CQ145" s="103"/>
      <c r="CR145" s="103"/>
      <c r="CS145" s="103"/>
      <c r="CT145" s="103"/>
    </row>
    <row r="146" spans="1:98">
      <c r="A146" s="183">
        <v>4</v>
      </c>
      <c r="B146" s="184">
        <f ca="1">+RESUMEN!Y7</f>
        <v>0</v>
      </c>
      <c r="C146" s="184">
        <f ca="1">+RESUMEN!Z7</f>
        <v>0</v>
      </c>
      <c r="D146" s="185">
        <f t="shared" ca="1" si="150"/>
        <v>0</v>
      </c>
      <c r="E146" s="102"/>
      <c r="F146" s="102"/>
      <c r="G146" s="102"/>
      <c r="H146" s="408"/>
      <c r="I146" s="102"/>
      <c r="J146" s="212" t="s">
        <v>184</v>
      </c>
      <c r="K146" s="228">
        <v>39.32</v>
      </c>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76"/>
      <c r="AI146" s="176"/>
      <c r="AJ146" s="176"/>
      <c r="AK146" s="176"/>
      <c r="AL146" s="176"/>
      <c r="AM146" s="176"/>
      <c r="AN146" s="176"/>
      <c r="AO146" s="176"/>
      <c r="AP146" s="176"/>
      <c r="AQ146" s="176"/>
      <c r="AR146" s="176"/>
      <c r="AS146" s="176"/>
      <c r="AT146" s="176"/>
      <c r="AU146" s="176"/>
      <c r="AV146" s="176"/>
      <c r="AW146" s="176"/>
      <c r="AX146" s="176"/>
      <c r="AY146" s="176"/>
      <c r="AZ146" s="176"/>
      <c r="BA146" s="176"/>
      <c r="BB146" s="176"/>
      <c r="BC146" s="176"/>
      <c r="BD146" s="176"/>
      <c r="BE146" s="103"/>
      <c r="BF146" s="103"/>
      <c r="BG146" s="103"/>
      <c r="BH146" s="103"/>
      <c r="BI146" s="103"/>
      <c r="BJ146" s="103"/>
      <c r="BK146" s="103"/>
      <c r="BL146" s="103"/>
      <c r="BM146" s="103"/>
      <c r="BN146" s="103"/>
      <c r="BO146" s="103"/>
      <c r="BP146" s="103"/>
      <c r="BQ146" s="103"/>
      <c r="BR146" s="103"/>
      <c r="BS146" s="103"/>
      <c r="BT146" s="103"/>
      <c r="BU146" s="103"/>
      <c r="BV146" s="103"/>
      <c r="BW146" s="103"/>
      <c r="BX146" s="103"/>
      <c r="BY146" s="103"/>
      <c r="BZ146" s="103"/>
      <c r="CA146" s="103"/>
      <c r="CB146" s="103"/>
      <c r="CC146" s="103"/>
      <c r="CD146" s="103"/>
      <c r="CE146" s="103"/>
      <c r="CF146" s="103"/>
      <c r="CG146" s="103"/>
      <c r="CH146" s="103"/>
      <c r="CI146" s="103"/>
      <c r="CJ146" s="103"/>
      <c r="CK146" s="103"/>
      <c r="CL146" s="103"/>
      <c r="CM146" s="103"/>
      <c r="CN146" s="103"/>
      <c r="CO146" s="103"/>
      <c r="CP146" s="103"/>
      <c r="CQ146" s="103"/>
      <c r="CR146" s="103"/>
      <c r="CS146" s="103"/>
      <c r="CT146" s="103"/>
    </row>
    <row r="147" spans="1:98">
      <c r="A147" s="183">
        <v>5</v>
      </c>
      <c r="B147" s="184">
        <f ca="1">+RESUMEN!Y8</f>
        <v>0</v>
      </c>
      <c r="C147" s="184">
        <f ca="1">+RESUMEN!Z8</f>
        <v>0</v>
      </c>
      <c r="D147" s="185">
        <f t="shared" ca="1" si="150"/>
        <v>0</v>
      </c>
      <c r="E147" s="102"/>
      <c r="F147" s="102"/>
      <c r="G147" s="102"/>
      <c r="H147" s="408"/>
      <c r="I147" s="102"/>
      <c r="J147" s="212" t="s">
        <v>185</v>
      </c>
      <c r="K147" s="228">
        <v>41.32</v>
      </c>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76"/>
      <c r="AI147" s="176"/>
      <c r="AJ147" s="176"/>
      <c r="AK147" s="176"/>
      <c r="AL147" s="176"/>
      <c r="AM147" s="176"/>
      <c r="AN147" s="176"/>
      <c r="AO147" s="176"/>
      <c r="AP147" s="176"/>
      <c r="AQ147" s="176"/>
      <c r="AR147" s="176"/>
      <c r="AS147" s="176"/>
      <c r="AT147" s="176"/>
      <c r="AU147" s="176"/>
      <c r="AV147" s="176"/>
      <c r="AW147" s="176"/>
      <c r="AX147" s="176"/>
      <c r="AY147" s="176"/>
      <c r="AZ147" s="176"/>
      <c r="BA147" s="176"/>
      <c r="BB147" s="176"/>
      <c r="BC147" s="176"/>
      <c r="BD147" s="176"/>
      <c r="BE147" s="103"/>
      <c r="BF147" s="103"/>
      <c r="BG147" s="103"/>
      <c r="BH147" s="103"/>
      <c r="BI147" s="103"/>
      <c r="BJ147" s="103"/>
      <c r="BK147" s="103"/>
      <c r="BL147" s="103"/>
      <c r="BM147" s="103"/>
      <c r="BN147" s="103"/>
      <c r="BO147" s="103"/>
      <c r="BP147" s="103"/>
      <c r="BQ147" s="103"/>
      <c r="BR147" s="103"/>
      <c r="BS147" s="103"/>
      <c r="BT147" s="103"/>
      <c r="BU147" s="103"/>
      <c r="BV147" s="103"/>
      <c r="BW147" s="103"/>
      <c r="BX147" s="103"/>
      <c r="BY147" s="103"/>
      <c r="BZ147" s="103"/>
      <c r="CA147" s="103"/>
      <c r="CB147" s="103"/>
      <c r="CC147" s="103"/>
      <c r="CD147" s="103"/>
      <c r="CE147" s="103"/>
      <c r="CF147" s="103"/>
      <c r="CG147" s="103"/>
      <c r="CH147" s="103"/>
      <c r="CI147" s="103"/>
      <c r="CJ147" s="103"/>
      <c r="CK147" s="103"/>
      <c r="CL147" s="103"/>
      <c r="CM147" s="103"/>
      <c r="CN147" s="103"/>
      <c r="CO147" s="103"/>
      <c r="CP147" s="103"/>
      <c r="CQ147" s="103"/>
      <c r="CR147" s="103"/>
      <c r="CS147" s="103"/>
      <c r="CT147" s="103"/>
    </row>
    <row r="148" spans="1:98">
      <c r="A148" s="183">
        <v>6</v>
      </c>
      <c r="B148" s="184">
        <f ca="1">+RESUMEN!Y9</f>
        <v>0</v>
      </c>
      <c r="C148" s="184">
        <f ca="1">+RESUMEN!Z9</f>
        <v>0</v>
      </c>
      <c r="D148" s="185">
        <f t="shared" ca="1" si="150"/>
        <v>0</v>
      </c>
      <c r="E148" s="102"/>
      <c r="F148" s="102"/>
      <c r="G148" s="102"/>
      <c r="H148" s="408"/>
      <c r="I148" s="102"/>
      <c r="J148" s="212" t="s">
        <v>186</v>
      </c>
      <c r="K148" s="228">
        <v>43.48</v>
      </c>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76"/>
      <c r="AI148" s="176"/>
      <c r="AJ148" s="176"/>
      <c r="AK148" s="176"/>
      <c r="AL148" s="176"/>
      <c r="AM148" s="176"/>
      <c r="AN148" s="176"/>
      <c r="AO148" s="176"/>
      <c r="AP148" s="176"/>
      <c r="AQ148" s="176"/>
      <c r="AR148" s="176"/>
      <c r="AS148" s="176"/>
      <c r="AT148" s="176"/>
      <c r="AU148" s="176"/>
      <c r="AV148" s="176"/>
      <c r="AW148" s="176"/>
      <c r="AX148" s="176"/>
      <c r="AY148" s="176"/>
      <c r="AZ148" s="176"/>
      <c r="BA148" s="176"/>
      <c r="BB148" s="176"/>
      <c r="BC148" s="176"/>
      <c r="BD148" s="176"/>
      <c r="BE148" s="103"/>
      <c r="BF148" s="103"/>
      <c r="BG148" s="103"/>
      <c r="BH148" s="103"/>
      <c r="BI148" s="103"/>
      <c r="BJ148" s="103"/>
      <c r="BK148" s="103"/>
      <c r="BL148" s="103"/>
      <c r="BM148" s="103"/>
      <c r="BN148" s="103"/>
      <c r="BO148" s="103"/>
      <c r="BP148" s="103"/>
      <c r="BQ148" s="103"/>
      <c r="BR148" s="103"/>
      <c r="BS148" s="103"/>
      <c r="BT148" s="103"/>
      <c r="BU148" s="103"/>
      <c r="BV148" s="103"/>
      <c r="BW148" s="103"/>
      <c r="BX148" s="103"/>
      <c r="BY148" s="103"/>
      <c r="BZ148" s="103"/>
      <c r="CA148" s="103"/>
      <c r="CB148" s="103"/>
      <c r="CC148" s="103"/>
      <c r="CD148" s="103"/>
      <c r="CE148" s="103"/>
      <c r="CF148" s="103"/>
      <c r="CG148" s="103"/>
      <c r="CH148" s="103"/>
      <c r="CI148" s="103"/>
      <c r="CJ148" s="103"/>
      <c r="CK148" s="103"/>
      <c r="CL148" s="103"/>
      <c r="CM148" s="103"/>
      <c r="CN148" s="103"/>
      <c r="CO148" s="103"/>
      <c r="CP148" s="103"/>
      <c r="CQ148" s="103"/>
      <c r="CR148" s="103"/>
      <c r="CS148" s="103"/>
      <c r="CT148" s="103"/>
    </row>
    <row r="149" spans="1:98">
      <c r="A149" s="183">
        <v>7</v>
      </c>
      <c r="B149" s="184">
        <f ca="1">+RESUMEN!Y10</f>
        <v>0</v>
      </c>
      <c r="C149" s="184">
        <f ca="1">+RESUMEN!Z10</f>
        <v>0</v>
      </c>
      <c r="D149" s="185">
        <f t="shared" ca="1" si="150"/>
        <v>0</v>
      </c>
      <c r="E149" s="102"/>
      <c r="F149" s="102"/>
      <c r="G149" s="102"/>
      <c r="H149" s="408"/>
      <c r="I149" s="102"/>
      <c r="J149" s="212" t="s">
        <v>187</v>
      </c>
      <c r="K149" s="228">
        <v>45.8</v>
      </c>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76"/>
      <c r="AI149" s="176"/>
      <c r="AJ149" s="176"/>
      <c r="AK149" s="176"/>
      <c r="AL149" s="176"/>
      <c r="AM149" s="176"/>
      <c r="AN149" s="176"/>
      <c r="AO149" s="176"/>
      <c r="AP149" s="176"/>
      <c r="AQ149" s="176"/>
      <c r="AR149" s="176"/>
      <c r="AS149" s="176"/>
      <c r="AT149" s="176"/>
      <c r="AU149" s="176"/>
      <c r="AV149" s="176"/>
      <c r="AW149" s="176"/>
      <c r="AX149" s="176"/>
      <c r="AY149" s="176"/>
      <c r="AZ149" s="176"/>
      <c r="BA149" s="176"/>
      <c r="BB149" s="176"/>
      <c r="BC149" s="176"/>
      <c r="BD149" s="176"/>
      <c r="BE149" s="103"/>
      <c r="BF149" s="103"/>
      <c r="BG149" s="103"/>
      <c r="BH149" s="103"/>
      <c r="BI149" s="103"/>
      <c r="BJ149" s="103"/>
      <c r="BK149" s="103"/>
      <c r="BL149" s="103"/>
      <c r="BM149" s="103"/>
      <c r="BN149" s="103"/>
      <c r="BO149" s="103"/>
      <c r="BP149" s="103"/>
      <c r="BQ149" s="103"/>
      <c r="BR149" s="103"/>
      <c r="BS149" s="103"/>
      <c r="BT149" s="103"/>
      <c r="BU149" s="103"/>
      <c r="BV149" s="103"/>
      <c r="BW149" s="103"/>
      <c r="BX149" s="103"/>
      <c r="BY149" s="103"/>
      <c r="BZ149" s="103"/>
      <c r="CA149" s="103"/>
      <c r="CB149" s="103"/>
      <c r="CC149" s="103"/>
      <c r="CD149" s="103"/>
      <c r="CE149" s="103"/>
      <c r="CF149" s="103"/>
      <c r="CG149" s="103"/>
      <c r="CH149" s="103"/>
      <c r="CI149" s="103"/>
      <c r="CJ149" s="103"/>
      <c r="CK149" s="103"/>
      <c r="CL149" s="103"/>
      <c r="CM149" s="103"/>
      <c r="CN149" s="103"/>
      <c r="CO149" s="103"/>
      <c r="CP149" s="103"/>
      <c r="CQ149" s="103"/>
      <c r="CR149" s="103"/>
      <c r="CS149" s="103"/>
      <c r="CT149" s="103"/>
    </row>
    <row r="150" spans="1:98">
      <c r="A150" s="183">
        <v>8</v>
      </c>
      <c r="B150" s="184">
        <f ca="1">+RESUMEN!Y11</f>
        <v>0</v>
      </c>
      <c r="C150" s="184">
        <f ca="1">+RESUMEN!Z11</f>
        <v>0</v>
      </c>
      <c r="D150" s="185">
        <f t="shared" ca="1" si="150"/>
        <v>0</v>
      </c>
      <c r="E150" s="102"/>
      <c r="F150" s="102"/>
      <c r="G150" s="102"/>
      <c r="H150" s="408"/>
      <c r="I150" s="102"/>
      <c r="J150" s="212" t="s">
        <v>188</v>
      </c>
      <c r="K150" s="228">
        <v>48.32</v>
      </c>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76"/>
      <c r="AI150" s="176"/>
      <c r="AJ150" s="176"/>
      <c r="AK150" s="176"/>
      <c r="AL150" s="176"/>
      <c r="AM150" s="176"/>
      <c r="AN150" s="176"/>
      <c r="AO150" s="176"/>
      <c r="AP150" s="176"/>
      <c r="AQ150" s="176"/>
      <c r="AR150" s="176"/>
      <c r="AS150" s="176"/>
      <c r="AT150" s="176"/>
      <c r="AU150" s="176"/>
      <c r="AV150" s="176"/>
      <c r="AW150" s="176"/>
      <c r="AX150" s="176"/>
      <c r="AY150" s="176"/>
      <c r="AZ150" s="176"/>
      <c r="BA150" s="176"/>
      <c r="BB150" s="176"/>
      <c r="BC150" s="176"/>
      <c r="BD150" s="176"/>
      <c r="BE150" s="103"/>
      <c r="BF150" s="103"/>
      <c r="BG150" s="103"/>
      <c r="BH150" s="103"/>
      <c r="BI150" s="103"/>
      <c r="BJ150" s="103"/>
      <c r="BK150" s="103"/>
      <c r="BL150" s="103"/>
      <c r="BM150" s="103"/>
      <c r="BN150" s="103"/>
      <c r="BO150" s="103"/>
      <c r="BP150" s="103"/>
      <c r="BQ150" s="103"/>
      <c r="BR150" s="103"/>
      <c r="BS150" s="103"/>
      <c r="BT150" s="103"/>
      <c r="BU150" s="103"/>
      <c r="BV150" s="103"/>
      <c r="BW150" s="103"/>
      <c r="BX150" s="103"/>
      <c r="BY150" s="103"/>
      <c r="BZ150" s="103"/>
      <c r="CA150" s="103"/>
      <c r="CB150" s="103"/>
      <c r="CC150" s="103"/>
      <c r="CD150" s="103"/>
      <c r="CE150" s="103"/>
      <c r="CF150" s="103"/>
      <c r="CG150" s="103"/>
      <c r="CH150" s="103"/>
      <c r="CI150" s="103"/>
      <c r="CJ150" s="103"/>
      <c r="CK150" s="103"/>
      <c r="CL150" s="103"/>
      <c r="CM150" s="103"/>
      <c r="CN150" s="103"/>
      <c r="CO150" s="103"/>
      <c r="CP150" s="103"/>
      <c r="CQ150" s="103"/>
      <c r="CR150" s="103"/>
      <c r="CS150" s="103"/>
      <c r="CT150" s="103"/>
    </row>
    <row r="151" spans="1:98">
      <c r="A151" s="183">
        <v>9</v>
      </c>
      <c r="B151" s="184">
        <f ca="1">+RESUMEN!Y12</f>
        <v>0</v>
      </c>
      <c r="C151" s="184">
        <f ca="1">+RESUMEN!Z12</f>
        <v>0</v>
      </c>
      <c r="D151" s="185">
        <f t="shared" ca="1" si="150"/>
        <v>0</v>
      </c>
      <c r="E151" s="102"/>
      <c r="F151" s="102"/>
      <c r="G151" s="102"/>
      <c r="H151" s="408"/>
      <c r="I151" s="102"/>
      <c r="J151" s="212" t="s">
        <v>189</v>
      </c>
      <c r="K151" s="228">
        <v>51.12</v>
      </c>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76"/>
      <c r="AI151" s="176"/>
      <c r="AJ151" s="176"/>
      <c r="AK151" s="176"/>
      <c r="AL151" s="176"/>
      <c r="AM151" s="176"/>
      <c r="AN151" s="176"/>
      <c r="AO151" s="176"/>
      <c r="AP151" s="176"/>
      <c r="AQ151" s="176"/>
      <c r="AR151" s="176"/>
      <c r="AS151" s="176"/>
      <c r="AT151" s="176"/>
      <c r="AU151" s="176"/>
      <c r="AV151" s="176"/>
      <c r="AW151" s="176"/>
      <c r="AX151" s="176"/>
      <c r="AY151" s="176"/>
      <c r="AZ151" s="176"/>
      <c r="BA151" s="176"/>
      <c r="BB151" s="176"/>
      <c r="BC151" s="176"/>
      <c r="BD151" s="176"/>
      <c r="BE151" s="103"/>
      <c r="BF151" s="103"/>
      <c r="BG151" s="103"/>
      <c r="BH151" s="103"/>
      <c r="BI151" s="103"/>
      <c r="BJ151" s="103"/>
      <c r="BK151" s="103"/>
      <c r="BL151" s="103"/>
      <c r="BM151" s="103"/>
      <c r="BN151" s="103"/>
      <c r="BO151" s="103"/>
      <c r="BP151" s="103"/>
      <c r="BQ151" s="103"/>
      <c r="BR151" s="103"/>
      <c r="BS151" s="103"/>
      <c r="BT151" s="103"/>
      <c r="BU151" s="103"/>
      <c r="BV151" s="103"/>
      <c r="BW151" s="103"/>
      <c r="BX151" s="103"/>
      <c r="BY151" s="103"/>
      <c r="BZ151" s="103"/>
      <c r="CA151" s="103"/>
      <c r="CB151" s="103"/>
      <c r="CC151" s="103"/>
      <c r="CD151" s="103"/>
      <c r="CE151" s="103"/>
      <c r="CF151" s="103"/>
      <c r="CG151" s="103"/>
      <c r="CH151" s="103"/>
      <c r="CI151" s="103"/>
      <c r="CJ151" s="103"/>
      <c r="CK151" s="103"/>
      <c r="CL151" s="103"/>
      <c r="CM151" s="103"/>
      <c r="CN151" s="103"/>
      <c r="CO151" s="103"/>
      <c r="CP151" s="103"/>
      <c r="CQ151" s="103"/>
      <c r="CR151" s="103"/>
      <c r="CS151" s="103"/>
      <c r="CT151" s="103"/>
    </row>
    <row r="152" spans="1:98">
      <c r="A152" s="183">
        <v>10</v>
      </c>
      <c r="B152" s="184">
        <f ca="1">+RESUMEN!Y13</f>
        <v>0</v>
      </c>
      <c r="C152" s="184">
        <f ca="1">+RESUMEN!Z13</f>
        <v>0</v>
      </c>
      <c r="D152" s="185">
        <f t="shared" ca="1" si="150"/>
        <v>0</v>
      </c>
      <c r="E152" s="102"/>
      <c r="F152" s="102"/>
      <c r="G152" s="102"/>
      <c r="H152" s="408"/>
      <c r="I152" s="102"/>
      <c r="J152" s="212" t="s">
        <v>190</v>
      </c>
      <c r="K152" s="228">
        <v>54.12</v>
      </c>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76"/>
      <c r="AI152" s="176"/>
      <c r="AJ152" s="176"/>
      <c r="AK152" s="176"/>
      <c r="AL152" s="176"/>
      <c r="AM152" s="176"/>
      <c r="AN152" s="176"/>
      <c r="AO152" s="176"/>
      <c r="AP152" s="176"/>
      <c r="AQ152" s="176"/>
      <c r="AR152" s="176"/>
      <c r="AS152" s="176"/>
      <c r="AT152" s="176"/>
      <c r="AU152" s="176"/>
      <c r="AV152" s="176"/>
      <c r="AW152" s="176"/>
      <c r="AX152" s="176"/>
      <c r="AY152" s="176"/>
      <c r="AZ152" s="176"/>
      <c r="BA152" s="176"/>
      <c r="BB152" s="176"/>
      <c r="BC152" s="176"/>
      <c r="BD152" s="176"/>
      <c r="BE152" s="103"/>
      <c r="BF152" s="103"/>
      <c r="BG152" s="103"/>
      <c r="BH152" s="103"/>
      <c r="BI152" s="103"/>
      <c r="BJ152" s="103"/>
      <c r="BK152" s="103"/>
      <c r="BL152" s="103"/>
      <c r="BM152" s="103"/>
      <c r="BN152" s="103"/>
      <c r="BO152" s="103"/>
      <c r="BP152" s="103"/>
      <c r="BQ152" s="103"/>
      <c r="BR152" s="103"/>
      <c r="BS152" s="103"/>
      <c r="BT152" s="103"/>
      <c r="BU152" s="103"/>
      <c r="BV152" s="103"/>
      <c r="BW152" s="103"/>
      <c r="BX152" s="103"/>
      <c r="BY152" s="103"/>
      <c r="BZ152" s="103"/>
      <c r="CA152" s="103"/>
      <c r="CB152" s="103"/>
      <c r="CC152" s="103"/>
      <c r="CD152" s="103"/>
      <c r="CE152" s="103"/>
      <c r="CF152" s="103"/>
      <c r="CG152" s="103"/>
      <c r="CH152" s="103"/>
      <c r="CI152" s="103"/>
      <c r="CJ152" s="103"/>
      <c r="CK152" s="103"/>
      <c r="CL152" s="103"/>
      <c r="CM152" s="103"/>
      <c r="CN152" s="103"/>
      <c r="CO152" s="103"/>
      <c r="CP152" s="103"/>
      <c r="CQ152" s="103"/>
      <c r="CR152" s="103"/>
      <c r="CS152" s="103"/>
      <c r="CT152" s="103"/>
    </row>
    <row r="153" spans="1:98">
      <c r="A153" s="183">
        <v>11</v>
      </c>
      <c r="B153" s="184">
        <f ca="1">+RESUMEN!Y14</f>
        <v>0</v>
      </c>
      <c r="C153" s="184">
        <f ca="1">+RESUMEN!Z14</f>
        <v>0</v>
      </c>
      <c r="D153" s="185">
        <f t="shared" ca="1" si="150"/>
        <v>0</v>
      </c>
      <c r="E153" s="102"/>
      <c r="F153" s="102"/>
      <c r="G153" s="102"/>
      <c r="H153" s="408"/>
      <c r="I153" s="102"/>
      <c r="J153" s="212" t="s">
        <v>191</v>
      </c>
      <c r="K153" s="228">
        <v>57.4</v>
      </c>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76"/>
      <c r="AI153" s="176"/>
      <c r="AJ153" s="176"/>
      <c r="AK153" s="176"/>
      <c r="AL153" s="176"/>
      <c r="AM153" s="176"/>
      <c r="AN153" s="176"/>
      <c r="AO153" s="176"/>
      <c r="AP153" s="176"/>
      <c r="AQ153" s="176"/>
      <c r="AR153" s="176"/>
      <c r="AS153" s="176"/>
      <c r="AT153" s="176"/>
      <c r="AU153" s="176"/>
      <c r="AV153" s="176"/>
      <c r="AW153" s="176"/>
      <c r="AX153" s="176"/>
      <c r="AY153" s="176"/>
      <c r="AZ153" s="176"/>
      <c r="BA153" s="176"/>
      <c r="BB153" s="176"/>
      <c r="BC153" s="176"/>
      <c r="BD153" s="176"/>
      <c r="BE153" s="103"/>
      <c r="BF153" s="103"/>
      <c r="BG153" s="103"/>
      <c r="BH153" s="103"/>
      <c r="BI153" s="103"/>
      <c r="BJ153" s="103"/>
      <c r="BK153" s="103"/>
      <c r="BL153" s="103"/>
      <c r="BM153" s="103"/>
      <c r="BN153" s="103"/>
      <c r="BO153" s="103"/>
      <c r="BP153" s="103"/>
      <c r="BQ153" s="103"/>
      <c r="BR153" s="103"/>
      <c r="BS153" s="103"/>
      <c r="BT153" s="103"/>
      <c r="BU153" s="103"/>
      <c r="BV153" s="103"/>
      <c r="BW153" s="103"/>
      <c r="BX153" s="103"/>
      <c r="BY153" s="103"/>
      <c r="BZ153" s="103"/>
      <c r="CA153" s="103"/>
      <c r="CB153" s="103"/>
      <c r="CC153" s="103"/>
      <c r="CD153" s="103"/>
      <c r="CE153" s="103"/>
      <c r="CF153" s="103"/>
      <c r="CG153" s="103"/>
      <c r="CH153" s="103"/>
      <c r="CI153" s="103"/>
      <c r="CJ153" s="103"/>
      <c r="CK153" s="103"/>
      <c r="CL153" s="103"/>
      <c r="CM153" s="103"/>
      <c r="CN153" s="103"/>
      <c r="CO153" s="103"/>
      <c r="CP153" s="103"/>
      <c r="CQ153" s="103"/>
      <c r="CR153" s="103"/>
      <c r="CS153" s="103"/>
      <c r="CT153" s="103"/>
    </row>
    <row r="154" spans="1:98">
      <c r="A154" s="183">
        <v>12</v>
      </c>
      <c r="B154" s="184">
        <f ca="1">+RESUMEN!Y15</f>
        <v>0</v>
      </c>
      <c r="C154" s="184">
        <f ca="1">+RESUMEN!Z15</f>
        <v>0</v>
      </c>
      <c r="D154" s="185">
        <f t="shared" ca="1" si="150"/>
        <v>0</v>
      </c>
      <c r="E154" s="102"/>
      <c r="F154" s="102"/>
      <c r="G154" s="102"/>
      <c r="H154" s="408"/>
      <c r="I154" s="102"/>
      <c r="J154" s="212" t="s">
        <v>192</v>
      </c>
      <c r="K154" s="228">
        <v>61</v>
      </c>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222"/>
      <c r="AI154" s="222"/>
      <c r="AJ154" s="222"/>
      <c r="AK154" s="222"/>
      <c r="AL154" s="103"/>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c r="BS154" s="103"/>
      <c r="BT154" s="103"/>
      <c r="BU154" s="103"/>
      <c r="BV154" s="103"/>
      <c r="BW154" s="103"/>
      <c r="BX154" s="103"/>
      <c r="BY154" s="103"/>
      <c r="BZ154" s="103"/>
      <c r="CA154" s="103"/>
      <c r="CB154" s="103"/>
      <c r="CC154" s="103"/>
      <c r="CD154" s="103"/>
      <c r="CE154" s="103"/>
      <c r="CF154" s="103"/>
      <c r="CG154" s="103"/>
      <c r="CH154" s="103"/>
      <c r="CI154" s="103"/>
      <c r="CJ154" s="103"/>
      <c r="CK154" s="103"/>
      <c r="CL154" s="103"/>
      <c r="CM154" s="103"/>
      <c r="CN154" s="103"/>
      <c r="CO154" s="103"/>
      <c r="CP154" s="103"/>
      <c r="CQ154" s="103"/>
      <c r="CR154" s="103"/>
      <c r="CS154" s="103"/>
      <c r="CT154" s="103"/>
    </row>
    <row r="155" spans="1:98">
      <c r="A155" s="183">
        <v>13</v>
      </c>
      <c r="B155" s="184">
        <f ca="1">+RESUMEN!Y16</f>
        <v>0</v>
      </c>
      <c r="C155" s="184">
        <f ca="1">+RESUMEN!Z16</f>
        <v>0</v>
      </c>
      <c r="D155" s="185">
        <f t="shared" ca="1" si="150"/>
        <v>0</v>
      </c>
      <c r="E155" s="102"/>
      <c r="F155" s="102"/>
      <c r="G155" s="102"/>
      <c r="H155" s="408"/>
      <c r="I155" s="102"/>
      <c r="J155" s="212" t="s">
        <v>193</v>
      </c>
      <c r="K155" s="228">
        <v>64.92</v>
      </c>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222"/>
      <c r="AI155" s="222"/>
      <c r="AJ155" s="222"/>
      <c r="AK155" s="222"/>
      <c r="AL155" s="103"/>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c r="BS155" s="103"/>
      <c r="BT155" s="103"/>
      <c r="BU155" s="103"/>
      <c r="BV155" s="103"/>
      <c r="BW155" s="103"/>
      <c r="BX155" s="103"/>
      <c r="BY155" s="103"/>
      <c r="BZ155" s="103"/>
      <c r="CA155" s="103"/>
      <c r="CB155" s="103"/>
      <c r="CC155" s="103"/>
      <c r="CD155" s="103"/>
      <c r="CE155" s="103"/>
      <c r="CF155" s="103"/>
      <c r="CG155" s="103"/>
      <c r="CH155" s="103"/>
      <c r="CI155" s="103"/>
      <c r="CJ155" s="103"/>
      <c r="CK155" s="103"/>
      <c r="CL155" s="103"/>
      <c r="CM155" s="103"/>
      <c r="CN155" s="103"/>
      <c r="CO155" s="103"/>
      <c r="CP155" s="103"/>
      <c r="CQ155" s="103"/>
      <c r="CR155" s="103"/>
      <c r="CS155" s="103"/>
      <c r="CT155" s="103"/>
    </row>
    <row r="156" spans="1:98">
      <c r="A156" s="183">
        <v>14</v>
      </c>
      <c r="B156" s="184">
        <f ca="1">+RESUMEN!Y17</f>
        <v>0</v>
      </c>
      <c r="C156" s="184">
        <f ca="1">+RESUMEN!Z17</f>
        <v>0</v>
      </c>
      <c r="D156" s="185">
        <f t="shared" ca="1" si="150"/>
        <v>0</v>
      </c>
      <c r="E156" s="102"/>
      <c r="F156" s="102"/>
      <c r="G156" s="102"/>
      <c r="H156" s="408"/>
      <c r="I156" s="102"/>
      <c r="J156" s="212" t="s">
        <v>194</v>
      </c>
      <c r="K156" s="228">
        <v>69.2</v>
      </c>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222"/>
      <c r="AI156" s="222"/>
      <c r="AJ156" s="222"/>
      <c r="AK156" s="222"/>
      <c r="AL156" s="103"/>
      <c r="AM156" s="103"/>
      <c r="AN156" s="103"/>
      <c r="AO156" s="103"/>
      <c r="AP156" s="103"/>
      <c r="AQ156" s="103"/>
      <c r="AR156" s="103"/>
      <c r="AS156" s="103"/>
      <c r="AT156" s="103"/>
      <c r="AU156" s="103"/>
      <c r="AV156" s="103"/>
      <c r="AW156" s="103"/>
      <c r="AX156" s="103"/>
      <c r="AY156" s="103"/>
      <c r="AZ156" s="103"/>
      <c r="BA156" s="103"/>
      <c r="BB156" s="103"/>
      <c r="BC156" s="103"/>
      <c r="BD156" s="103"/>
      <c r="BE156" s="103"/>
      <c r="BF156" s="103"/>
      <c r="BG156" s="103"/>
      <c r="BH156" s="103"/>
      <c r="BI156" s="103"/>
      <c r="BJ156" s="103"/>
      <c r="BK156" s="103"/>
      <c r="BL156" s="103"/>
      <c r="BM156" s="103"/>
      <c r="BN156" s="103"/>
      <c r="BO156" s="103"/>
      <c r="BP156" s="103"/>
      <c r="BQ156" s="103"/>
      <c r="BR156" s="103"/>
      <c r="BS156" s="103"/>
      <c r="BT156" s="103"/>
      <c r="BU156" s="103"/>
      <c r="BV156" s="103"/>
      <c r="BW156" s="103"/>
      <c r="BX156" s="103"/>
      <c r="BY156" s="103"/>
      <c r="BZ156" s="103"/>
      <c r="CA156" s="103"/>
      <c r="CB156" s="103"/>
      <c r="CC156" s="103"/>
      <c r="CD156" s="103"/>
      <c r="CE156" s="103"/>
      <c r="CF156" s="103"/>
      <c r="CG156" s="103"/>
      <c r="CH156" s="103"/>
      <c r="CI156" s="103"/>
      <c r="CJ156" s="103"/>
      <c r="CK156" s="103"/>
      <c r="CL156" s="103"/>
      <c r="CM156" s="103"/>
      <c r="CN156" s="103"/>
      <c r="CO156" s="103"/>
      <c r="CP156" s="103"/>
      <c r="CQ156" s="103"/>
      <c r="CR156" s="103"/>
      <c r="CS156" s="103"/>
      <c r="CT156" s="103"/>
    </row>
    <row r="157" spans="1:98">
      <c r="A157" s="183">
        <v>15</v>
      </c>
      <c r="B157" s="184">
        <f ca="1">+RESUMEN!Y18</f>
        <v>0</v>
      </c>
      <c r="C157" s="184">
        <f ca="1">+RESUMEN!Z18</f>
        <v>0</v>
      </c>
      <c r="D157" s="185">
        <f t="shared" ca="1" si="150"/>
        <v>0</v>
      </c>
      <c r="E157" s="102"/>
      <c r="F157" s="102"/>
      <c r="G157" s="102"/>
      <c r="H157" s="408"/>
      <c r="I157" s="102"/>
      <c r="J157" s="212" t="s">
        <v>195</v>
      </c>
      <c r="K157" s="228">
        <v>69.739999999999995</v>
      </c>
      <c r="L157" s="250"/>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222"/>
      <c r="AI157" s="222"/>
      <c r="AJ157" s="222"/>
      <c r="AK157" s="222"/>
      <c r="AL157" s="103"/>
      <c r="AM157" s="103"/>
      <c r="AN157" s="103"/>
      <c r="AO157" s="103"/>
      <c r="AP157" s="103"/>
      <c r="AQ157" s="103"/>
      <c r="AR157" s="103"/>
      <c r="AS157" s="103"/>
      <c r="AT157" s="103"/>
      <c r="AU157" s="103"/>
      <c r="AV157" s="103"/>
      <c r="AW157" s="103"/>
      <c r="AX157" s="103"/>
      <c r="AY157" s="103"/>
      <c r="AZ157" s="103"/>
      <c r="BA157" s="103"/>
      <c r="BB157" s="103"/>
      <c r="BC157" s="103"/>
      <c r="BD157" s="103"/>
      <c r="BE157" s="103"/>
      <c r="BF157" s="103"/>
      <c r="BG157" s="103"/>
      <c r="BH157" s="103"/>
      <c r="BI157" s="103"/>
      <c r="BJ157" s="103"/>
      <c r="BK157" s="103"/>
      <c r="BL157" s="103"/>
      <c r="BM157" s="103"/>
      <c r="BN157" s="103"/>
      <c r="BO157" s="103"/>
      <c r="BP157" s="103"/>
      <c r="BQ157" s="103"/>
      <c r="BR157" s="103"/>
      <c r="BS157" s="103"/>
      <c r="BT157" s="103"/>
      <c r="BU157" s="103"/>
      <c r="BV157" s="103"/>
      <c r="BW157" s="103"/>
      <c r="BX157" s="103"/>
      <c r="BY157" s="103"/>
      <c r="BZ157" s="103"/>
      <c r="CA157" s="103"/>
      <c r="CB157" s="103"/>
      <c r="CC157" s="103"/>
      <c r="CD157" s="103"/>
      <c r="CE157" s="103"/>
      <c r="CF157" s="103"/>
      <c r="CG157" s="103"/>
      <c r="CH157" s="103"/>
      <c r="CI157" s="103"/>
      <c r="CJ157" s="103"/>
      <c r="CK157" s="103"/>
      <c r="CL157" s="103"/>
      <c r="CM157" s="103"/>
      <c r="CN157" s="103"/>
      <c r="CO157" s="103"/>
      <c r="CP157" s="103"/>
      <c r="CQ157" s="103"/>
      <c r="CR157" s="103"/>
      <c r="CS157" s="103"/>
      <c r="CT157" s="103"/>
    </row>
    <row r="158" spans="1:98">
      <c r="A158" s="183">
        <v>16</v>
      </c>
      <c r="B158" s="184">
        <f ca="1">+RESUMEN!Y19</f>
        <v>0</v>
      </c>
      <c r="C158" s="184">
        <f ca="1">+RESUMEN!Z19</f>
        <v>0</v>
      </c>
      <c r="D158" s="185">
        <f t="shared" ca="1" si="150"/>
        <v>0</v>
      </c>
      <c r="E158" s="102"/>
      <c r="F158" s="102"/>
      <c r="G158" s="102"/>
      <c r="H158" s="408"/>
      <c r="I158" s="102"/>
      <c r="J158" s="212" t="s">
        <v>196</v>
      </c>
      <c r="K158" s="228">
        <v>74.599999999999994</v>
      </c>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222"/>
      <c r="AI158" s="222"/>
      <c r="AJ158" s="222"/>
      <c r="AK158" s="222"/>
      <c r="AL158" s="103"/>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c r="BS158" s="103"/>
      <c r="BT158" s="103"/>
      <c r="BU158" s="103"/>
      <c r="BV158" s="103"/>
      <c r="BW158" s="103"/>
      <c r="BX158" s="103"/>
      <c r="BY158" s="103"/>
      <c r="BZ158" s="103"/>
      <c r="CA158" s="103"/>
      <c r="CB158" s="103"/>
      <c r="CC158" s="103"/>
      <c r="CD158" s="103"/>
      <c r="CE158" s="103"/>
      <c r="CF158" s="103"/>
      <c r="CG158" s="103"/>
      <c r="CH158" s="103"/>
      <c r="CI158" s="103"/>
      <c r="CJ158" s="103"/>
      <c r="CK158" s="103"/>
      <c r="CL158" s="103"/>
      <c r="CM158" s="103"/>
      <c r="CN158" s="103"/>
      <c r="CO158" s="103"/>
      <c r="CP158" s="103"/>
      <c r="CQ158" s="103"/>
      <c r="CR158" s="103"/>
      <c r="CS158" s="103"/>
      <c r="CT158" s="103"/>
    </row>
    <row r="159" spans="1:98">
      <c r="A159" s="183">
        <v>17</v>
      </c>
      <c r="B159" s="184">
        <f ca="1">+RESUMEN!Y20</f>
        <v>0</v>
      </c>
      <c r="C159" s="184">
        <f ca="1">+RESUMEN!Z20</f>
        <v>0</v>
      </c>
      <c r="D159" s="185">
        <f t="shared" ca="1" si="150"/>
        <v>0</v>
      </c>
      <c r="E159" s="102"/>
      <c r="F159" s="102"/>
      <c r="G159" s="102"/>
      <c r="H159" s="408"/>
      <c r="I159" s="102"/>
      <c r="J159" s="212" t="s">
        <v>197</v>
      </c>
      <c r="K159" s="228">
        <v>79.959999999999994</v>
      </c>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222"/>
      <c r="AI159" s="222"/>
      <c r="AJ159" s="222"/>
      <c r="AK159" s="222"/>
      <c r="AL159" s="103"/>
      <c r="AM159" s="103"/>
      <c r="AN159" s="103"/>
      <c r="AO159" s="103"/>
      <c r="AP159" s="103"/>
      <c r="AQ159" s="103"/>
      <c r="AR159" s="103"/>
      <c r="AS159" s="103"/>
      <c r="AT159" s="103"/>
      <c r="AU159" s="103"/>
      <c r="AV159" s="103"/>
      <c r="AW159" s="103"/>
      <c r="AX159" s="103"/>
      <c r="AY159" s="103"/>
      <c r="AZ159" s="103"/>
      <c r="BA159" s="103"/>
      <c r="BB159" s="103"/>
      <c r="BC159" s="103"/>
      <c r="BD159" s="103"/>
      <c r="BE159" s="103"/>
      <c r="BF159" s="103"/>
      <c r="BG159" s="103"/>
      <c r="BH159" s="103"/>
      <c r="BI159" s="103"/>
      <c r="BJ159" s="103"/>
      <c r="BK159" s="103"/>
      <c r="BL159" s="103"/>
      <c r="BM159" s="103"/>
      <c r="BN159" s="103"/>
      <c r="BO159" s="103"/>
      <c r="BP159" s="103"/>
      <c r="BQ159" s="103"/>
      <c r="BR159" s="103"/>
      <c r="BS159" s="103"/>
      <c r="BT159" s="103"/>
      <c r="BU159" s="103"/>
      <c r="BV159" s="103"/>
      <c r="BW159" s="103"/>
      <c r="BX159" s="103"/>
      <c r="BY159" s="103"/>
      <c r="BZ159" s="103"/>
      <c r="CA159" s="103"/>
      <c r="CB159" s="103"/>
      <c r="CC159" s="103"/>
      <c r="CD159" s="103"/>
      <c r="CE159" s="103"/>
      <c r="CF159" s="103"/>
      <c r="CG159" s="103"/>
      <c r="CH159" s="103"/>
      <c r="CI159" s="103"/>
      <c r="CJ159" s="103"/>
      <c r="CK159" s="103"/>
      <c r="CL159" s="103"/>
      <c r="CM159" s="103"/>
      <c r="CN159" s="103"/>
      <c r="CO159" s="103"/>
      <c r="CP159" s="103"/>
      <c r="CQ159" s="103"/>
      <c r="CR159" s="103"/>
      <c r="CS159" s="103"/>
      <c r="CT159" s="103"/>
    </row>
    <row r="160" spans="1:98">
      <c r="A160" s="183">
        <v>18</v>
      </c>
      <c r="B160" s="184">
        <f ca="1">+RESUMEN!Y21</f>
        <v>0</v>
      </c>
      <c r="C160" s="184">
        <f ca="1">+RESUMEN!Z21</f>
        <v>0</v>
      </c>
      <c r="D160" s="185">
        <f t="shared" ca="1" si="150"/>
        <v>0</v>
      </c>
      <c r="E160" s="102"/>
      <c r="F160" s="102"/>
      <c r="G160" s="102"/>
      <c r="H160" s="408"/>
      <c r="I160" s="102"/>
      <c r="J160" s="212" t="s">
        <v>198</v>
      </c>
      <c r="K160" s="228">
        <v>85.81</v>
      </c>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222"/>
      <c r="AI160" s="222"/>
      <c r="AJ160" s="222"/>
      <c r="AK160" s="222"/>
      <c r="AL160" s="103"/>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c r="BS160" s="103"/>
      <c r="BT160" s="103"/>
      <c r="BU160" s="103"/>
      <c r="BV160" s="103"/>
      <c r="BW160" s="103"/>
      <c r="BX160" s="103"/>
      <c r="BY160" s="103"/>
      <c r="BZ160" s="103"/>
      <c r="CA160" s="103"/>
      <c r="CB160" s="103"/>
      <c r="CC160" s="103"/>
      <c r="CD160" s="103"/>
      <c r="CE160" s="103"/>
      <c r="CF160" s="103"/>
      <c r="CG160" s="103"/>
      <c r="CH160" s="103"/>
      <c r="CI160" s="103"/>
      <c r="CJ160" s="103"/>
      <c r="CK160" s="103"/>
      <c r="CL160" s="103"/>
      <c r="CM160" s="103"/>
      <c r="CN160" s="103"/>
      <c r="CO160" s="103"/>
      <c r="CP160" s="103"/>
      <c r="CQ160" s="103"/>
      <c r="CR160" s="103"/>
      <c r="CS160" s="103"/>
      <c r="CT160" s="103"/>
    </row>
    <row r="161" spans="1:98">
      <c r="A161" s="183">
        <v>19</v>
      </c>
      <c r="B161" s="184">
        <f ca="1">+RESUMEN!Y22</f>
        <v>0</v>
      </c>
      <c r="C161" s="184">
        <f ca="1">+RESUMEN!Z22</f>
        <v>0</v>
      </c>
      <c r="D161" s="185">
        <f t="shared" ca="1" si="150"/>
        <v>0</v>
      </c>
      <c r="E161" s="102"/>
      <c r="F161" s="102"/>
      <c r="G161" s="102"/>
      <c r="H161" s="408"/>
      <c r="I161" s="102"/>
      <c r="J161" s="212" t="s">
        <v>199</v>
      </c>
      <c r="K161" s="228">
        <v>92.3</v>
      </c>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c r="BS161" s="103"/>
      <c r="BT161" s="103"/>
      <c r="BU161" s="103"/>
      <c r="BV161" s="103"/>
      <c r="BW161" s="103"/>
      <c r="BX161" s="103"/>
      <c r="BY161" s="103"/>
      <c r="BZ161" s="103"/>
      <c r="CA161" s="103"/>
      <c r="CB161" s="103"/>
      <c r="CC161" s="103"/>
      <c r="CD161" s="103"/>
      <c r="CE161" s="103"/>
      <c r="CF161" s="103"/>
      <c r="CG161" s="103"/>
      <c r="CH161" s="103"/>
      <c r="CI161" s="103"/>
      <c r="CJ161" s="103"/>
      <c r="CK161" s="103"/>
      <c r="CL161" s="103"/>
      <c r="CM161" s="103"/>
      <c r="CN161" s="103"/>
      <c r="CO161" s="103"/>
      <c r="CP161" s="103"/>
      <c r="CQ161" s="103"/>
      <c r="CR161" s="103"/>
      <c r="CS161" s="103"/>
      <c r="CT161" s="103"/>
    </row>
    <row r="162" spans="1:98">
      <c r="A162" s="189">
        <v>20</v>
      </c>
      <c r="B162" s="184">
        <f ca="1">+RESUMEN!Y23</f>
        <v>0</v>
      </c>
      <c r="C162" s="184">
        <f ca="1">+RESUMEN!Z23</f>
        <v>0</v>
      </c>
      <c r="D162" s="185">
        <f t="shared" ca="1" si="150"/>
        <v>0</v>
      </c>
      <c r="E162" s="102"/>
      <c r="F162" s="102"/>
      <c r="G162" s="102"/>
      <c r="H162" s="408"/>
      <c r="I162" s="102"/>
      <c r="J162" s="212" t="s">
        <v>200</v>
      </c>
      <c r="K162" s="228">
        <v>99.43</v>
      </c>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c r="AM162" s="103"/>
      <c r="AN162" s="103"/>
      <c r="AO162" s="103"/>
      <c r="AP162" s="103"/>
      <c r="AQ162" s="103"/>
      <c r="AR162" s="103"/>
      <c r="AS162" s="103"/>
      <c r="AT162" s="103"/>
      <c r="AU162" s="103"/>
      <c r="AV162" s="103"/>
      <c r="AW162" s="103"/>
      <c r="AX162" s="103"/>
      <c r="AY162" s="103"/>
      <c r="AZ162" s="103"/>
      <c r="BA162" s="103"/>
      <c r="BB162" s="103"/>
      <c r="BC162" s="103"/>
      <c r="BD162" s="103"/>
      <c r="BE162" s="103"/>
      <c r="BF162" s="103"/>
      <c r="BG162" s="103"/>
      <c r="BH162" s="103"/>
      <c r="BI162" s="103"/>
      <c r="BJ162" s="103"/>
      <c r="BK162" s="103"/>
      <c r="BL162" s="103"/>
      <c r="BM162" s="103"/>
      <c r="BN162" s="103"/>
      <c r="BO162" s="103"/>
      <c r="BP162" s="103"/>
      <c r="BQ162" s="103"/>
      <c r="BR162" s="103"/>
      <c r="BS162" s="103"/>
      <c r="BT162" s="103"/>
      <c r="BU162" s="103"/>
      <c r="BV162" s="103"/>
      <c r="BW162" s="103"/>
      <c r="BX162" s="103"/>
      <c r="BY162" s="103"/>
      <c r="BZ162" s="103"/>
      <c r="CA162" s="103"/>
      <c r="CB162" s="103"/>
      <c r="CC162" s="103"/>
      <c r="CD162" s="103"/>
      <c r="CE162" s="103"/>
      <c r="CF162" s="103"/>
      <c r="CG162" s="103"/>
      <c r="CH162" s="103"/>
      <c r="CI162" s="103"/>
      <c r="CJ162" s="103"/>
      <c r="CK162" s="103"/>
      <c r="CL162" s="103"/>
      <c r="CM162" s="103"/>
      <c r="CN162" s="103"/>
      <c r="CO162" s="103"/>
      <c r="CP162" s="103"/>
      <c r="CQ162" s="103"/>
      <c r="CR162" s="103"/>
      <c r="CS162" s="103"/>
      <c r="CT162" s="103"/>
    </row>
    <row r="163" spans="1:98">
      <c r="A163" s="189">
        <v>21</v>
      </c>
      <c r="B163" s="184">
        <f ca="1">+RESUMEN!Y24</f>
        <v>0</v>
      </c>
      <c r="C163" s="184">
        <f ca="1">+RESUMEN!Z24</f>
        <v>0</v>
      </c>
      <c r="D163" s="185">
        <f t="shared" ca="1" si="150"/>
        <v>0</v>
      </c>
      <c r="E163" s="102"/>
      <c r="F163" s="102"/>
      <c r="G163" s="102"/>
      <c r="H163" s="408"/>
      <c r="I163" s="102"/>
      <c r="J163" s="212" t="s">
        <v>201</v>
      </c>
      <c r="K163" s="228">
        <v>107.32</v>
      </c>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c r="BS163" s="103"/>
      <c r="BT163" s="103"/>
      <c r="BU163" s="103"/>
      <c r="BV163" s="103"/>
      <c r="BW163" s="103"/>
      <c r="BX163" s="103"/>
      <c r="BY163" s="103"/>
      <c r="BZ163" s="103"/>
      <c r="CA163" s="103"/>
      <c r="CB163" s="103"/>
      <c r="CC163" s="103"/>
      <c r="CD163" s="103"/>
      <c r="CE163" s="103"/>
      <c r="CF163" s="103"/>
      <c r="CG163" s="103"/>
      <c r="CH163" s="103"/>
      <c r="CI163" s="103"/>
      <c r="CJ163" s="103"/>
      <c r="CK163" s="103"/>
      <c r="CL163" s="103"/>
      <c r="CM163" s="103"/>
      <c r="CN163" s="103"/>
      <c r="CO163" s="103"/>
      <c r="CP163" s="103"/>
      <c r="CQ163" s="103"/>
      <c r="CR163" s="103"/>
      <c r="CS163" s="103"/>
      <c r="CT163" s="103"/>
    </row>
    <row r="164" spans="1:98">
      <c r="A164" s="189">
        <v>22</v>
      </c>
      <c r="B164" s="184">
        <f ca="1">+RESUMEN!Y25</f>
        <v>0</v>
      </c>
      <c r="C164" s="184">
        <f ca="1">+RESUMEN!Z25</f>
        <v>0</v>
      </c>
      <c r="D164" s="185">
        <f t="shared" ca="1" si="150"/>
        <v>0</v>
      </c>
      <c r="E164" s="102"/>
      <c r="F164" s="102"/>
      <c r="G164" s="102"/>
      <c r="H164" s="408"/>
      <c r="I164" s="102"/>
      <c r="J164" s="212" t="s">
        <v>202</v>
      </c>
      <c r="K164" s="228">
        <v>116</v>
      </c>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c r="BS164" s="103"/>
      <c r="BT164" s="103"/>
      <c r="BU164" s="103"/>
      <c r="BV164" s="103"/>
      <c r="BW164" s="103"/>
      <c r="BX164" s="103"/>
      <c r="BY164" s="103"/>
      <c r="BZ164" s="103"/>
      <c r="CA164" s="103"/>
      <c r="CB164" s="103"/>
      <c r="CC164" s="103"/>
      <c r="CD164" s="103"/>
      <c r="CE164" s="103"/>
      <c r="CF164" s="103"/>
      <c r="CG164" s="103"/>
      <c r="CH164" s="103"/>
      <c r="CI164" s="103"/>
      <c r="CJ164" s="103"/>
      <c r="CK164" s="103"/>
      <c r="CL164" s="103"/>
      <c r="CM164" s="103"/>
      <c r="CN164" s="103"/>
      <c r="CO164" s="103"/>
      <c r="CP164" s="103"/>
      <c r="CQ164" s="103"/>
      <c r="CR164" s="103"/>
      <c r="CS164" s="103"/>
      <c r="CT164" s="103"/>
    </row>
    <row r="165" spans="1:98">
      <c r="A165" s="189">
        <v>23</v>
      </c>
      <c r="B165" s="184">
        <f ca="1">+RESUMEN!Y26</f>
        <v>0</v>
      </c>
      <c r="C165" s="184">
        <f ca="1">+RESUMEN!Z26</f>
        <v>0</v>
      </c>
      <c r="D165" s="185">
        <f t="shared" ca="1" si="150"/>
        <v>0</v>
      </c>
      <c r="E165" s="102"/>
      <c r="F165" s="102"/>
      <c r="G165" s="102"/>
      <c r="H165" s="408"/>
      <c r="I165" s="102"/>
      <c r="J165" s="212" t="s">
        <v>203</v>
      </c>
      <c r="K165" s="228">
        <v>125.62</v>
      </c>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c r="BS165" s="103"/>
      <c r="BT165" s="103"/>
      <c r="BU165" s="103"/>
      <c r="BV165" s="103"/>
      <c r="BW165" s="103"/>
      <c r="BX165" s="103"/>
      <c r="BY165" s="103"/>
      <c r="BZ165" s="103"/>
      <c r="CA165" s="103"/>
      <c r="CB165" s="103"/>
      <c r="CC165" s="103"/>
      <c r="CD165" s="103"/>
      <c r="CE165" s="103"/>
      <c r="CF165" s="103"/>
      <c r="CG165" s="103"/>
      <c r="CH165" s="103"/>
      <c r="CI165" s="103"/>
      <c r="CJ165" s="103"/>
      <c r="CK165" s="103"/>
      <c r="CL165" s="103"/>
      <c r="CM165" s="103"/>
      <c r="CN165" s="103"/>
      <c r="CO165" s="103"/>
      <c r="CP165" s="103"/>
      <c r="CQ165" s="103"/>
      <c r="CR165" s="103"/>
      <c r="CS165" s="103"/>
      <c r="CT165" s="103"/>
    </row>
    <row r="166" spans="1:98">
      <c r="A166" s="189">
        <v>24</v>
      </c>
      <c r="B166" s="184">
        <f ca="1">+RESUMEN!Y27</f>
        <v>0</v>
      </c>
      <c r="C166" s="184">
        <f ca="1">+RESUMEN!Z27</f>
        <v>0</v>
      </c>
      <c r="D166" s="185">
        <f t="shared" ca="1" si="150"/>
        <v>0</v>
      </c>
      <c r="E166" s="102"/>
      <c r="F166" s="102"/>
      <c r="G166" s="102"/>
      <c r="H166" s="408"/>
      <c r="I166" s="102"/>
      <c r="J166" s="212" t="s">
        <v>204</v>
      </c>
      <c r="K166" s="228">
        <v>136.30000000000001</v>
      </c>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c r="BS166" s="103"/>
      <c r="BT166" s="103"/>
      <c r="BU166" s="103"/>
      <c r="BV166" s="103"/>
      <c r="BW166" s="103"/>
      <c r="BX166" s="103"/>
      <c r="BY166" s="103"/>
      <c r="BZ166" s="103"/>
      <c r="CA166" s="103"/>
      <c r="CB166" s="103"/>
      <c r="CC166" s="103"/>
      <c r="CD166" s="103"/>
      <c r="CE166" s="103"/>
      <c r="CF166" s="103"/>
      <c r="CG166" s="103"/>
      <c r="CH166" s="103"/>
      <c r="CI166" s="103"/>
      <c r="CJ166" s="103"/>
      <c r="CK166" s="103"/>
      <c r="CL166" s="103"/>
      <c r="CM166" s="103"/>
      <c r="CN166" s="103"/>
      <c r="CO166" s="103"/>
      <c r="CP166" s="103"/>
      <c r="CQ166" s="103"/>
      <c r="CR166" s="103"/>
      <c r="CS166" s="103"/>
      <c r="CT166" s="103"/>
    </row>
    <row r="167" spans="1:98">
      <c r="A167" s="189">
        <v>25</v>
      </c>
      <c r="B167" s="184">
        <f ca="1">+RESUMEN!Y28</f>
        <v>0</v>
      </c>
      <c r="C167" s="184">
        <f ca="1">+RESUMEN!Z28</f>
        <v>0</v>
      </c>
      <c r="D167" s="185">
        <f t="shared" ca="1" si="150"/>
        <v>0</v>
      </c>
      <c r="E167" s="102"/>
      <c r="F167" s="102"/>
      <c r="G167" s="102"/>
      <c r="H167" s="408"/>
      <c r="I167" s="102"/>
      <c r="J167" s="212" t="s">
        <v>205</v>
      </c>
      <c r="K167" s="228">
        <v>140.21</v>
      </c>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c r="BS167" s="103"/>
      <c r="BT167" s="103"/>
      <c r="BU167" s="103"/>
      <c r="BV167" s="103"/>
      <c r="BW167" s="103"/>
      <c r="BX167" s="103"/>
      <c r="BY167" s="103"/>
      <c r="BZ167" s="103"/>
      <c r="CA167" s="103"/>
      <c r="CB167" s="103"/>
      <c r="CC167" s="103"/>
      <c r="CD167" s="103"/>
      <c r="CE167" s="103"/>
      <c r="CF167" s="103"/>
      <c r="CG167" s="103"/>
      <c r="CH167" s="103"/>
      <c r="CI167" s="103"/>
      <c r="CJ167" s="103"/>
      <c r="CK167" s="103"/>
      <c r="CL167" s="103"/>
      <c r="CM167" s="103"/>
      <c r="CN167" s="103"/>
      <c r="CO167" s="103"/>
      <c r="CP167" s="103"/>
      <c r="CQ167" s="103"/>
      <c r="CR167" s="103"/>
      <c r="CS167" s="103"/>
      <c r="CT167" s="103"/>
    </row>
    <row r="168" spans="1:98">
      <c r="A168" s="189">
        <v>26</v>
      </c>
      <c r="B168" s="184">
        <f ca="1">+RESUMEN!Y29</f>
        <v>0</v>
      </c>
      <c r="C168" s="184">
        <f ca="1">+RESUMEN!Z29</f>
        <v>0</v>
      </c>
      <c r="D168" s="185">
        <f t="shared" ca="1" si="150"/>
        <v>0</v>
      </c>
      <c r="E168" s="102"/>
      <c r="F168" s="102"/>
      <c r="G168" s="102"/>
      <c r="H168" s="408"/>
      <c r="I168" s="102"/>
      <c r="J168" s="212" t="s">
        <v>206</v>
      </c>
      <c r="K168" s="228">
        <v>152.68</v>
      </c>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c r="AM168" s="103"/>
      <c r="AN168" s="103"/>
      <c r="AO168" s="103"/>
      <c r="AP168" s="103"/>
      <c r="AQ168" s="103"/>
      <c r="AR168" s="103"/>
      <c r="AS168" s="103"/>
      <c r="AT168" s="103"/>
      <c r="AU168" s="103"/>
      <c r="AV168" s="103"/>
      <c r="AW168" s="103"/>
      <c r="AX168" s="103"/>
      <c r="AY168" s="103"/>
      <c r="AZ168" s="103"/>
      <c r="BA168" s="103"/>
      <c r="BB168" s="103"/>
      <c r="BC168" s="103"/>
      <c r="BD168" s="103"/>
      <c r="BE168" s="103"/>
      <c r="BF168" s="103"/>
      <c r="BG168" s="103"/>
      <c r="BH168" s="103"/>
      <c r="BI168" s="103"/>
      <c r="BJ168" s="103"/>
      <c r="BK168" s="103"/>
      <c r="BL168" s="103"/>
      <c r="BM168" s="103"/>
      <c r="BN168" s="103"/>
      <c r="BO168" s="103"/>
      <c r="BP168" s="103"/>
      <c r="BQ168" s="103"/>
      <c r="BR168" s="103"/>
      <c r="BS168" s="103"/>
      <c r="BT168" s="103"/>
      <c r="BU168" s="103"/>
      <c r="BV168" s="103"/>
      <c r="BW168" s="103"/>
      <c r="BX168" s="103"/>
      <c r="BY168" s="103"/>
      <c r="BZ168" s="103"/>
      <c r="CA168" s="103"/>
      <c r="CB168" s="103"/>
      <c r="CC168" s="103"/>
      <c r="CD168" s="103"/>
      <c r="CE168" s="103"/>
      <c r="CF168" s="103"/>
      <c r="CG168" s="103"/>
      <c r="CH168" s="103"/>
      <c r="CI168" s="103"/>
      <c r="CJ168" s="103"/>
      <c r="CK168" s="103"/>
      <c r="CL168" s="103"/>
      <c r="CM168" s="103"/>
      <c r="CN168" s="103"/>
      <c r="CO168" s="103"/>
      <c r="CP168" s="103"/>
      <c r="CQ168" s="103"/>
      <c r="CR168" s="103"/>
      <c r="CS168" s="103"/>
      <c r="CT168" s="103"/>
    </row>
    <row r="169" spans="1:98">
      <c r="A169" s="189">
        <v>27</v>
      </c>
      <c r="B169" s="184">
        <f ca="1">+RESUMEN!Y30</f>
        <v>0</v>
      </c>
      <c r="C169" s="184">
        <f ca="1">+RESUMEN!Z30</f>
        <v>0</v>
      </c>
      <c r="D169" s="185">
        <f t="shared" ca="1" si="150"/>
        <v>0</v>
      </c>
      <c r="E169" s="102"/>
      <c r="F169" s="102"/>
      <c r="G169" s="102"/>
      <c r="H169" s="408"/>
      <c r="I169" s="102"/>
      <c r="J169" s="212" t="s">
        <v>207</v>
      </c>
      <c r="K169" s="228">
        <v>166.57</v>
      </c>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c r="BS169" s="103"/>
      <c r="BT169" s="103"/>
      <c r="BU169" s="103"/>
      <c r="BV169" s="103"/>
      <c r="BW169" s="103"/>
      <c r="BX169" s="103"/>
      <c r="BY169" s="103"/>
      <c r="BZ169" s="103"/>
      <c r="CA169" s="103"/>
      <c r="CB169" s="103"/>
      <c r="CC169" s="103"/>
      <c r="CD169" s="103"/>
      <c r="CE169" s="103"/>
      <c r="CF169" s="103"/>
      <c r="CG169" s="103"/>
      <c r="CH169" s="103"/>
      <c r="CI169" s="103"/>
      <c r="CJ169" s="103"/>
      <c r="CK169" s="103"/>
      <c r="CL169" s="103"/>
      <c r="CM169" s="103"/>
      <c r="CN169" s="103"/>
      <c r="CO169" s="103"/>
      <c r="CP169" s="103"/>
      <c r="CQ169" s="103"/>
      <c r="CR169" s="103"/>
      <c r="CS169" s="103"/>
      <c r="CT169" s="103"/>
    </row>
    <row r="170" spans="1:98">
      <c r="A170" s="189">
        <v>28</v>
      </c>
      <c r="B170" s="184">
        <f ca="1">+RESUMEN!Y31</f>
        <v>0</v>
      </c>
      <c r="C170" s="184">
        <f ca="1">+RESUMEN!Z31</f>
        <v>0</v>
      </c>
      <c r="D170" s="185">
        <f t="shared" ca="1" si="150"/>
        <v>0</v>
      </c>
      <c r="E170" s="102"/>
      <c r="F170" s="102"/>
      <c r="G170" s="102"/>
      <c r="H170" s="408"/>
      <c r="I170" s="102"/>
      <c r="J170" s="212" t="s">
        <v>208</v>
      </c>
      <c r="K170" s="228">
        <v>182</v>
      </c>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c r="BS170" s="103"/>
      <c r="BT170" s="103"/>
      <c r="BU170" s="103"/>
      <c r="BV170" s="103"/>
      <c r="BW170" s="103"/>
      <c r="BX170" s="103"/>
      <c r="BY170" s="103"/>
      <c r="BZ170" s="103"/>
      <c r="CA170" s="103"/>
      <c r="CB170" s="103"/>
      <c r="CC170" s="103"/>
      <c r="CD170" s="103"/>
      <c r="CE170" s="103"/>
      <c r="CF170" s="103"/>
      <c r="CG170" s="103"/>
      <c r="CH170" s="103"/>
      <c r="CI170" s="103"/>
      <c r="CJ170" s="103"/>
      <c r="CK170" s="103"/>
      <c r="CL170" s="103"/>
      <c r="CM170" s="103"/>
      <c r="CN170" s="103"/>
      <c r="CO170" s="103"/>
      <c r="CP170" s="103"/>
      <c r="CQ170" s="103"/>
      <c r="CR170" s="103"/>
      <c r="CS170" s="103"/>
      <c r="CT170" s="103"/>
    </row>
    <row r="171" spans="1:98">
      <c r="A171" s="189">
        <v>29</v>
      </c>
      <c r="B171" s="184">
        <f ca="1">+RESUMEN!Y32</f>
        <v>0</v>
      </c>
      <c r="C171" s="184">
        <f ca="1">+RESUMEN!Z32</f>
        <v>0</v>
      </c>
      <c r="D171" s="185">
        <f t="shared" ca="1" si="150"/>
        <v>0</v>
      </c>
      <c r="E171" s="102"/>
      <c r="F171" s="102"/>
      <c r="G171" s="102"/>
      <c r="H171" s="408"/>
      <c r="I171" s="102"/>
      <c r="J171" s="212" t="s">
        <v>209</v>
      </c>
      <c r="K171" s="228">
        <v>199.25</v>
      </c>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c r="BS171" s="103"/>
      <c r="BT171" s="103"/>
      <c r="BU171" s="103"/>
      <c r="BV171" s="103"/>
      <c r="BW171" s="103"/>
      <c r="BX171" s="103"/>
      <c r="BY171" s="103"/>
      <c r="BZ171" s="103"/>
      <c r="CA171" s="103"/>
      <c r="CB171" s="103"/>
      <c r="CC171" s="103"/>
      <c r="CD171" s="103"/>
      <c r="CE171" s="103"/>
      <c r="CF171" s="103"/>
      <c r="CG171" s="103"/>
      <c r="CH171" s="103"/>
      <c r="CI171" s="103"/>
      <c r="CJ171" s="103"/>
      <c r="CK171" s="103"/>
      <c r="CL171" s="103"/>
      <c r="CM171" s="103"/>
      <c r="CN171" s="103"/>
      <c r="CO171" s="103"/>
      <c r="CP171" s="103"/>
      <c r="CQ171" s="103"/>
      <c r="CR171" s="103"/>
      <c r="CS171" s="103"/>
      <c r="CT171" s="103"/>
    </row>
    <row r="172" spans="1:98">
      <c r="A172" s="189">
        <v>30</v>
      </c>
      <c r="B172" s="184">
        <f ca="1">+RESUMEN!Y33</f>
        <v>0</v>
      </c>
      <c r="C172" s="184">
        <f ca="1">+RESUMEN!Z33</f>
        <v>0</v>
      </c>
      <c r="D172" s="185">
        <f t="shared" ca="1" si="150"/>
        <v>0</v>
      </c>
      <c r="E172" s="102"/>
      <c r="F172" s="102"/>
      <c r="G172" s="102"/>
      <c r="H172" s="408"/>
      <c r="I172" s="102"/>
      <c r="J172" s="212" t="s">
        <v>210</v>
      </c>
      <c r="K172" s="228">
        <v>218.54</v>
      </c>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c r="BS172" s="103"/>
      <c r="BT172" s="103"/>
      <c r="BU172" s="103"/>
      <c r="BV172" s="103"/>
      <c r="BW172" s="103"/>
      <c r="BX172" s="103"/>
      <c r="BY172" s="103"/>
      <c r="BZ172" s="103"/>
      <c r="CA172" s="103"/>
      <c r="CB172" s="103"/>
      <c r="CC172" s="103"/>
      <c r="CD172" s="103"/>
      <c r="CE172" s="103"/>
      <c r="CF172" s="103"/>
      <c r="CG172" s="103"/>
      <c r="CH172" s="103"/>
      <c r="CI172" s="103"/>
      <c r="CJ172" s="103"/>
      <c r="CK172" s="103"/>
      <c r="CL172" s="103"/>
      <c r="CM172" s="103"/>
      <c r="CN172" s="103"/>
      <c r="CO172" s="103"/>
      <c r="CP172" s="103"/>
      <c r="CQ172" s="103"/>
      <c r="CR172" s="103"/>
      <c r="CS172" s="103"/>
      <c r="CT172" s="103"/>
    </row>
    <row r="173" spans="1:98">
      <c r="A173" s="189">
        <v>31</v>
      </c>
      <c r="B173" s="184">
        <f ca="1">+RESUMEN!Y34</f>
        <v>0</v>
      </c>
      <c r="C173" s="184">
        <f ca="1">+RESUMEN!Z34</f>
        <v>0</v>
      </c>
      <c r="D173" s="185">
        <f t="shared" ca="1" si="150"/>
        <v>0</v>
      </c>
      <c r="E173" s="102"/>
      <c r="F173" s="102"/>
      <c r="G173" s="102"/>
      <c r="H173" s="408"/>
      <c r="I173" s="102"/>
      <c r="J173" s="212" t="s">
        <v>211</v>
      </c>
      <c r="K173" s="228">
        <v>240.11</v>
      </c>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c r="AM173" s="103"/>
      <c r="AN173" s="103"/>
      <c r="AO173" s="103"/>
      <c r="AP173" s="103"/>
      <c r="AQ173" s="103"/>
      <c r="AR173" s="103"/>
      <c r="AS173" s="103"/>
      <c r="AT173" s="103"/>
      <c r="AU173" s="103"/>
      <c r="AV173" s="103"/>
      <c r="AW173" s="103"/>
      <c r="AX173" s="103"/>
      <c r="AY173" s="103"/>
      <c r="AZ173" s="103"/>
      <c r="BA173" s="103"/>
      <c r="BB173" s="103"/>
      <c r="BC173" s="103"/>
      <c r="BD173" s="103"/>
      <c r="BE173" s="103"/>
      <c r="BF173" s="103"/>
      <c r="BG173" s="103"/>
      <c r="BH173" s="103"/>
      <c r="BI173" s="103"/>
      <c r="BJ173" s="103"/>
      <c r="BK173" s="103"/>
      <c r="BL173" s="103"/>
      <c r="BM173" s="103"/>
      <c r="BN173" s="103"/>
      <c r="BO173" s="103"/>
      <c r="BP173" s="103"/>
      <c r="BQ173" s="103"/>
      <c r="BR173" s="103"/>
      <c r="BS173" s="103"/>
      <c r="BT173" s="103"/>
      <c r="BU173" s="103"/>
      <c r="BV173" s="103"/>
      <c r="BW173" s="103"/>
      <c r="BX173" s="103"/>
      <c r="BY173" s="103"/>
      <c r="BZ173" s="103"/>
      <c r="CA173" s="103"/>
      <c r="CB173" s="103"/>
      <c r="CC173" s="103"/>
      <c r="CD173" s="103"/>
      <c r="CE173" s="103"/>
      <c r="CF173" s="103"/>
      <c r="CG173" s="103"/>
      <c r="CH173" s="103"/>
      <c r="CI173" s="103"/>
      <c r="CJ173" s="103"/>
      <c r="CK173" s="103"/>
      <c r="CL173" s="103"/>
      <c r="CM173" s="103"/>
      <c r="CN173" s="103"/>
      <c r="CO173" s="103"/>
      <c r="CP173" s="103"/>
      <c r="CQ173" s="103"/>
      <c r="CR173" s="103"/>
      <c r="CS173" s="103"/>
      <c r="CT173" s="103"/>
    </row>
    <row r="174" spans="1:98">
      <c r="A174" s="189">
        <v>32</v>
      </c>
      <c r="B174" s="184">
        <f ca="1">+RESUMEN!Y35</f>
        <v>0</v>
      </c>
      <c r="C174" s="184">
        <f ca="1">+RESUMEN!Z35</f>
        <v>0</v>
      </c>
      <c r="D174" s="185">
        <f t="shared" ca="1" si="150"/>
        <v>0</v>
      </c>
      <c r="E174" s="102"/>
      <c r="F174" s="102"/>
      <c r="G174" s="102"/>
      <c r="H174" s="408"/>
      <c r="I174" s="102"/>
      <c r="J174" s="212" t="s">
        <v>212</v>
      </c>
      <c r="K174" s="228">
        <v>264.29000000000002</v>
      </c>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c r="AM174" s="103"/>
      <c r="AN174" s="103"/>
      <c r="AO174" s="103"/>
      <c r="AP174" s="103"/>
      <c r="AQ174" s="103"/>
      <c r="AR174" s="103"/>
      <c r="AS174" s="103"/>
      <c r="AT174" s="103"/>
      <c r="AU174" s="103"/>
      <c r="AV174" s="103"/>
      <c r="AW174" s="103"/>
      <c r="AX174" s="103"/>
      <c r="AY174" s="103"/>
      <c r="AZ174" s="103"/>
      <c r="BA174" s="103"/>
      <c r="BB174" s="103"/>
      <c r="BC174" s="103"/>
      <c r="BD174" s="103"/>
      <c r="BE174" s="103"/>
      <c r="BF174" s="103"/>
      <c r="BG174" s="103"/>
      <c r="BH174" s="103"/>
      <c r="BI174" s="103"/>
      <c r="BJ174" s="103"/>
      <c r="BK174" s="103"/>
      <c r="BL174" s="103"/>
      <c r="BM174" s="103"/>
      <c r="BN174" s="103"/>
      <c r="BO174" s="103"/>
      <c r="BP174" s="103"/>
      <c r="BQ174" s="103"/>
      <c r="BR174" s="103"/>
      <c r="BS174" s="103"/>
      <c r="BT174" s="103"/>
      <c r="BU174" s="103"/>
      <c r="BV174" s="103"/>
      <c r="BW174" s="103"/>
      <c r="BX174" s="103"/>
      <c r="BY174" s="103"/>
      <c r="BZ174" s="103"/>
      <c r="CA174" s="103"/>
      <c r="CB174" s="103"/>
      <c r="CC174" s="103"/>
      <c r="CD174" s="103"/>
      <c r="CE174" s="103"/>
      <c r="CF174" s="103"/>
      <c r="CG174" s="103"/>
      <c r="CH174" s="103"/>
      <c r="CI174" s="103"/>
      <c r="CJ174" s="103"/>
      <c r="CK174" s="103"/>
      <c r="CL174" s="103"/>
      <c r="CM174" s="103"/>
      <c r="CN174" s="103"/>
      <c r="CO174" s="103"/>
      <c r="CP174" s="103"/>
      <c r="CQ174" s="103"/>
      <c r="CR174" s="103"/>
      <c r="CS174" s="103"/>
      <c r="CT174" s="103"/>
    </row>
    <row r="175" spans="1:98">
      <c r="A175" s="189">
        <v>33</v>
      </c>
      <c r="B175" s="184">
        <f ca="1">+RESUMEN!Y36</f>
        <v>0</v>
      </c>
      <c r="C175" s="184">
        <f ca="1">+RESUMEN!Z36</f>
        <v>0</v>
      </c>
      <c r="D175" s="185">
        <f t="shared" ca="1" si="150"/>
        <v>0</v>
      </c>
      <c r="E175" s="102"/>
      <c r="F175" s="102"/>
      <c r="G175" s="102"/>
      <c r="H175" s="408"/>
      <c r="I175" s="102"/>
      <c r="J175" s="212" t="s">
        <v>213</v>
      </c>
      <c r="K175" s="228">
        <v>291.43</v>
      </c>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c r="BS175" s="103"/>
      <c r="BT175" s="103"/>
      <c r="BU175" s="103"/>
      <c r="BV175" s="103"/>
      <c r="BW175" s="103"/>
      <c r="BX175" s="103"/>
      <c r="BY175" s="103"/>
      <c r="BZ175" s="103"/>
      <c r="CA175" s="103"/>
      <c r="CB175" s="103"/>
      <c r="CC175" s="103"/>
      <c r="CD175" s="103"/>
      <c r="CE175" s="103"/>
      <c r="CF175" s="103"/>
      <c r="CG175" s="103"/>
      <c r="CH175" s="103"/>
      <c r="CI175" s="103"/>
      <c r="CJ175" s="103"/>
      <c r="CK175" s="103"/>
      <c r="CL175" s="103"/>
      <c r="CM175" s="103"/>
      <c r="CN175" s="103"/>
      <c r="CO175" s="103"/>
      <c r="CP175" s="103"/>
      <c r="CQ175" s="103"/>
      <c r="CR175" s="103"/>
      <c r="CS175" s="103"/>
      <c r="CT175" s="103"/>
    </row>
    <row r="176" spans="1:98">
      <c r="A176" s="189">
        <v>34</v>
      </c>
      <c r="B176" s="184">
        <f ca="1">+RESUMEN!Y37</f>
        <v>0</v>
      </c>
      <c r="C176" s="184">
        <f ca="1">+RESUMEN!Z37</f>
        <v>0</v>
      </c>
      <c r="D176" s="185">
        <f t="shared" ca="1" si="150"/>
        <v>0</v>
      </c>
      <c r="E176" s="102"/>
      <c r="F176" s="102"/>
      <c r="G176" s="102"/>
      <c r="H176" s="408"/>
      <c r="I176" s="102"/>
      <c r="J176" s="212" t="s">
        <v>214</v>
      </c>
      <c r="K176" s="228">
        <v>321.95999999999998</v>
      </c>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c r="AM176" s="103"/>
      <c r="AN176" s="103"/>
      <c r="AO176" s="103"/>
      <c r="AP176" s="103"/>
      <c r="AQ176" s="103"/>
      <c r="AR176" s="103"/>
      <c r="AS176" s="103"/>
      <c r="AT176" s="103"/>
      <c r="AU176" s="103"/>
      <c r="AV176" s="103"/>
      <c r="AW176" s="103"/>
      <c r="AX176" s="103"/>
      <c r="AY176" s="103"/>
      <c r="AZ176" s="103"/>
      <c r="BA176" s="103"/>
      <c r="BB176" s="103"/>
      <c r="BC176" s="103"/>
      <c r="BD176" s="103"/>
      <c r="BE176" s="103"/>
      <c r="BF176" s="103"/>
      <c r="BG176" s="103"/>
      <c r="BH176" s="103"/>
      <c r="BI176" s="103"/>
      <c r="BJ176" s="103"/>
      <c r="BK176" s="103"/>
      <c r="BL176" s="103"/>
      <c r="BM176" s="103"/>
      <c r="BN176" s="103"/>
      <c r="BO176" s="103"/>
      <c r="BP176" s="103"/>
      <c r="BQ176" s="103"/>
      <c r="BR176" s="103"/>
      <c r="BS176" s="103"/>
      <c r="BT176" s="103"/>
      <c r="BU176" s="103"/>
      <c r="BV176" s="103"/>
      <c r="BW176" s="103"/>
      <c r="BX176" s="103"/>
      <c r="BY176" s="103"/>
      <c r="BZ176" s="103"/>
      <c r="CA176" s="103"/>
      <c r="CB176" s="103"/>
      <c r="CC176" s="103"/>
      <c r="CD176" s="103"/>
      <c r="CE176" s="103"/>
      <c r="CF176" s="103"/>
      <c r="CG176" s="103"/>
      <c r="CH176" s="103"/>
      <c r="CI176" s="103"/>
      <c r="CJ176" s="103"/>
      <c r="CK176" s="103"/>
      <c r="CL176" s="103"/>
      <c r="CM176" s="103"/>
      <c r="CN176" s="103"/>
      <c r="CO176" s="103"/>
      <c r="CP176" s="103"/>
      <c r="CQ176" s="103"/>
      <c r="CR176" s="103"/>
      <c r="CS176" s="103"/>
      <c r="CT176" s="103"/>
    </row>
    <row r="177" spans="1:98">
      <c r="A177" s="189">
        <v>35</v>
      </c>
      <c r="B177" s="184">
        <f ca="1">+RESUMEN!Y38</f>
        <v>0</v>
      </c>
      <c r="C177" s="184">
        <f ca="1">+RESUMEN!Z38</f>
        <v>0</v>
      </c>
      <c r="D177" s="185">
        <f t="shared" ca="1" si="150"/>
        <v>0</v>
      </c>
      <c r="E177" s="102"/>
      <c r="F177" s="102"/>
      <c r="G177" s="102"/>
      <c r="H177" s="408"/>
      <c r="I177" s="102"/>
      <c r="J177" s="212" t="s">
        <v>215</v>
      </c>
      <c r="K177" s="228">
        <v>356.32</v>
      </c>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c r="BS177" s="103"/>
      <c r="BT177" s="103"/>
      <c r="BU177" s="103"/>
      <c r="BV177" s="103"/>
      <c r="BW177" s="103"/>
      <c r="BX177" s="103"/>
      <c r="BY177" s="103"/>
      <c r="BZ177" s="103"/>
      <c r="CA177" s="103"/>
      <c r="CB177" s="103"/>
      <c r="CC177" s="103"/>
      <c r="CD177" s="103"/>
      <c r="CE177" s="103"/>
      <c r="CF177" s="103"/>
      <c r="CG177" s="103"/>
      <c r="CH177" s="103"/>
      <c r="CI177" s="103"/>
      <c r="CJ177" s="103"/>
      <c r="CK177" s="103"/>
      <c r="CL177" s="103"/>
      <c r="CM177" s="103"/>
      <c r="CN177" s="103"/>
      <c r="CO177" s="103"/>
      <c r="CP177" s="103"/>
      <c r="CQ177" s="103"/>
      <c r="CR177" s="103"/>
      <c r="CS177" s="103"/>
      <c r="CT177" s="103"/>
    </row>
    <row r="178" spans="1:98">
      <c r="A178" s="189">
        <v>36</v>
      </c>
      <c r="B178" s="184">
        <f ca="1">+RESUMEN!Y39</f>
        <v>0</v>
      </c>
      <c r="C178" s="184">
        <f ca="1">+RESUMEN!Z39</f>
        <v>0</v>
      </c>
      <c r="D178" s="185">
        <f t="shared" ca="1" si="150"/>
        <v>0</v>
      </c>
      <c r="E178" s="102"/>
      <c r="F178" s="102"/>
      <c r="G178" s="102"/>
      <c r="H178" s="408"/>
      <c r="I178" s="102"/>
      <c r="J178" s="212" t="s">
        <v>216</v>
      </c>
      <c r="K178" s="228">
        <v>395.04</v>
      </c>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c r="BS178" s="103"/>
      <c r="BT178" s="103"/>
      <c r="BU178" s="103"/>
      <c r="BV178" s="103"/>
      <c r="BW178" s="103"/>
      <c r="BX178" s="103"/>
      <c r="BY178" s="103"/>
      <c r="BZ178" s="103"/>
      <c r="CA178" s="103"/>
      <c r="CB178" s="103"/>
      <c r="CC178" s="103"/>
      <c r="CD178" s="103"/>
      <c r="CE178" s="103"/>
      <c r="CF178" s="103"/>
      <c r="CG178" s="103"/>
      <c r="CH178" s="103"/>
      <c r="CI178" s="103"/>
      <c r="CJ178" s="103"/>
      <c r="CK178" s="103"/>
      <c r="CL178" s="103"/>
      <c r="CM178" s="103"/>
      <c r="CN178" s="103"/>
      <c r="CO178" s="103"/>
      <c r="CP178" s="103"/>
      <c r="CQ178" s="103"/>
      <c r="CR178" s="103"/>
      <c r="CS178" s="103"/>
      <c r="CT178" s="103"/>
    </row>
    <row r="179" spans="1:98">
      <c r="A179" s="189">
        <v>37</v>
      </c>
      <c r="B179" s="184">
        <f ca="1">+RESUMEN!Y40</f>
        <v>0</v>
      </c>
      <c r="C179" s="184">
        <f ca="1">+RESUMEN!Z40</f>
        <v>0</v>
      </c>
      <c r="D179" s="185">
        <f t="shared" ca="1" si="150"/>
        <v>0</v>
      </c>
      <c r="E179" s="102"/>
      <c r="F179" s="102"/>
      <c r="G179" s="102"/>
      <c r="H179" s="408"/>
      <c r="I179" s="102"/>
      <c r="J179" s="212" t="s">
        <v>217</v>
      </c>
      <c r="K179" s="228">
        <v>438.75</v>
      </c>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c r="BS179" s="103"/>
      <c r="BT179" s="103"/>
      <c r="BU179" s="103"/>
      <c r="BV179" s="103"/>
      <c r="BW179" s="103"/>
      <c r="BX179" s="103"/>
      <c r="BY179" s="103"/>
      <c r="BZ179" s="103"/>
      <c r="CA179" s="103"/>
      <c r="CB179" s="103"/>
      <c r="CC179" s="103"/>
      <c r="CD179" s="103"/>
      <c r="CE179" s="103"/>
      <c r="CF179" s="103"/>
      <c r="CG179" s="103"/>
      <c r="CH179" s="103"/>
      <c r="CI179" s="103"/>
      <c r="CJ179" s="103"/>
      <c r="CK179" s="103"/>
      <c r="CL179" s="103"/>
      <c r="CM179" s="103"/>
      <c r="CN179" s="103"/>
      <c r="CO179" s="103"/>
      <c r="CP179" s="103"/>
      <c r="CQ179" s="103"/>
      <c r="CR179" s="103"/>
      <c r="CS179" s="103"/>
      <c r="CT179" s="103"/>
    </row>
    <row r="180" spans="1:98">
      <c r="A180" s="189">
        <v>38</v>
      </c>
      <c r="B180" s="184">
        <f ca="1">+RESUMEN!Y41</f>
        <v>0</v>
      </c>
      <c r="C180" s="184">
        <f ca="1">+RESUMEN!Z41</f>
        <v>0</v>
      </c>
      <c r="D180" s="185">
        <f t="shared" ca="1" si="150"/>
        <v>0</v>
      </c>
      <c r="E180" s="102"/>
      <c r="F180" s="102"/>
      <c r="G180" s="102"/>
      <c r="H180" s="408"/>
      <c r="I180" s="102"/>
      <c r="J180" s="212" t="s">
        <v>218</v>
      </c>
      <c r="K180" s="228">
        <v>488.14</v>
      </c>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c r="AM180" s="103"/>
      <c r="AN180" s="103"/>
      <c r="AO180" s="103"/>
      <c r="AP180" s="103"/>
      <c r="AQ180" s="103"/>
      <c r="AR180" s="103"/>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c r="BS180" s="103"/>
      <c r="BT180" s="103"/>
      <c r="BU180" s="103"/>
      <c r="BV180" s="103"/>
      <c r="BW180" s="103"/>
      <c r="BX180" s="103"/>
      <c r="BY180" s="103"/>
      <c r="BZ180" s="103"/>
      <c r="CA180" s="103"/>
      <c r="CB180" s="103"/>
      <c r="CC180" s="103"/>
      <c r="CD180" s="103"/>
      <c r="CE180" s="103"/>
      <c r="CF180" s="103"/>
      <c r="CG180" s="103"/>
      <c r="CH180" s="103"/>
      <c r="CI180" s="103"/>
      <c r="CJ180" s="103"/>
      <c r="CK180" s="103"/>
      <c r="CL180" s="103"/>
      <c r="CM180" s="103"/>
      <c r="CN180" s="103"/>
      <c r="CO180" s="103"/>
      <c r="CP180" s="103"/>
      <c r="CQ180" s="103"/>
      <c r="CR180" s="103"/>
      <c r="CS180" s="103"/>
      <c r="CT180" s="103"/>
    </row>
    <row r="181" spans="1:98">
      <c r="A181" s="189">
        <v>39</v>
      </c>
      <c r="B181" s="184">
        <f ca="1">+RESUMEN!Y42</f>
        <v>0</v>
      </c>
      <c r="C181" s="184">
        <f ca="1">+RESUMEN!Z42</f>
        <v>0</v>
      </c>
      <c r="D181" s="185">
        <f t="shared" ca="1" si="150"/>
        <v>0</v>
      </c>
      <c r="E181" s="102"/>
      <c r="F181" s="102"/>
      <c r="G181" s="102"/>
      <c r="H181" s="408"/>
      <c r="I181" s="102"/>
      <c r="J181" s="212" t="s">
        <v>219</v>
      </c>
      <c r="K181" s="228">
        <v>544.11</v>
      </c>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c r="BS181" s="103"/>
      <c r="BT181" s="103"/>
      <c r="BU181" s="103"/>
      <c r="BV181" s="103"/>
      <c r="BW181" s="103"/>
      <c r="BX181" s="103"/>
      <c r="BY181" s="103"/>
      <c r="BZ181" s="103"/>
      <c r="CA181" s="103"/>
      <c r="CB181" s="103"/>
      <c r="CC181" s="103"/>
      <c r="CD181" s="103"/>
      <c r="CE181" s="103"/>
      <c r="CF181" s="103"/>
      <c r="CG181" s="103"/>
      <c r="CH181" s="103"/>
      <c r="CI181" s="103"/>
      <c r="CJ181" s="103"/>
      <c r="CK181" s="103"/>
      <c r="CL181" s="103"/>
      <c r="CM181" s="103"/>
      <c r="CN181" s="103"/>
      <c r="CO181" s="103"/>
      <c r="CP181" s="103"/>
      <c r="CQ181" s="103"/>
      <c r="CR181" s="103"/>
      <c r="CS181" s="103"/>
      <c r="CT181" s="103"/>
    </row>
    <row r="182" spans="1:98">
      <c r="A182" s="189">
        <v>40</v>
      </c>
      <c r="B182" s="184">
        <f ca="1">+RESUMEN!Y43</f>
        <v>0</v>
      </c>
      <c r="C182" s="184">
        <f ca="1">+RESUMEN!Z43</f>
        <v>0</v>
      </c>
      <c r="D182" s="185">
        <f t="shared" ca="1" si="150"/>
        <v>0</v>
      </c>
      <c r="E182" s="102"/>
      <c r="F182" s="102"/>
      <c r="G182" s="102"/>
      <c r="H182" s="408"/>
      <c r="I182" s="102"/>
      <c r="J182" s="212" t="s">
        <v>220</v>
      </c>
      <c r="K182" s="228">
        <v>607.46</v>
      </c>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c r="BS182" s="103"/>
      <c r="BT182" s="103"/>
      <c r="BU182" s="103"/>
      <c r="BV182" s="103"/>
      <c r="BW182" s="103"/>
      <c r="BX182" s="103"/>
      <c r="BY182" s="103"/>
      <c r="BZ182" s="103"/>
      <c r="CA182" s="103"/>
      <c r="CB182" s="103"/>
      <c r="CC182" s="103"/>
      <c r="CD182" s="103"/>
      <c r="CE182" s="103"/>
      <c r="CF182" s="103"/>
      <c r="CG182" s="103"/>
      <c r="CH182" s="103"/>
      <c r="CI182" s="103"/>
      <c r="CJ182" s="103"/>
      <c r="CK182" s="103"/>
      <c r="CL182" s="103"/>
      <c r="CM182" s="103"/>
      <c r="CN182" s="103"/>
      <c r="CO182" s="103"/>
      <c r="CP182" s="103"/>
      <c r="CQ182" s="103"/>
      <c r="CR182" s="103"/>
      <c r="CS182" s="103"/>
      <c r="CT182" s="103"/>
    </row>
    <row r="183" spans="1:98">
      <c r="A183" s="189">
        <v>41</v>
      </c>
      <c r="B183" s="184">
        <f ca="1">+RESUMEN!Y44</f>
        <v>0</v>
      </c>
      <c r="C183" s="184">
        <f ca="1">+RESUMEN!Z44</f>
        <v>0</v>
      </c>
      <c r="D183" s="185">
        <f t="shared" ca="1" si="150"/>
        <v>0</v>
      </c>
      <c r="E183" s="102"/>
      <c r="F183" s="102"/>
      <c r="G183" s="102"/>
      <c r="H183" s="408"/>
      <c r="I183" s="102"/>
      <c r="J183" s="212" t="s">
        <v>221</v>
      </c>
      <c r="K183" s="228">
        <v>679.43</v>
      </c>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c r="BS183" s="103"/>
      <c r="BT183" s="103"/>
      <c r="BU183" s="103"/>
      <c r="BV183" s="103"/>
      <c r="BW183" s="103"/>
      <c r="BX183" s="103"/>
      <c r="BY183" s="103"/>
      <c r="BZ183" s="103"/>
      <c r="CA183" s="103"/>
      <c r="CB183" s="103"/>
      <c r="CC183" s="103"/>
      <c r="CD183" s="103"/>
      <c r="CE183" s="103"/>
      <c r="CF183" s="103"/>
      <c r="CG183" s="103"/>
      <c r="CH183" s="103"/>
      <c r="CI183" s="103"/>
      <c r="CJ183" s="103"/>
      <c r="CK183" s="103"/>
      <c r="CL183" s="103"/>
      <c r="CM183" s="103"/>
      <c r="CN183" s="103"/>
      <c r="CO183" s="103"/>
      <c r="CP183" s="103"/>
      <c r="CQ183" s="103"/>
      <c r="CR183" s="103"/>
      <c r="CS183" s="103"/>
      <c r="CT183" s="103"/>
    </row>
    <row r="184" spans="1:98">
      <c r="A184" s="189">
        <v>42</v>
      </c>
      <c r="B184" s="184">
        <f ca="1">+RESUMEN!Y45</f>
        <v>0</v>
      </c>
      <c r="C184" s="184">
        <f ca="1">+RESUMEN!Z45</f>
        <v>0</v>
      </c>
      <c r="D184" s="185">
        <f t="shared" ca="1" si="150"/>
        <v>0</v>
      </c>
      <c r="E184" s="102"/>
      <c r="F184" s="102"/>
      <c r="G184" s="102"/>
      <c r="H184" s="408"/>
      <c r="I184" s="102"/>
      <c r="J184" s="212" t="s">
        <v>222</v>
      </c>
      <c r="K184" s="228">
        <v>761.14</v>
      </c>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c r="BS184" s="103"/>
      <c r="BT184" s="103"/>
      <c r="BU184" s="103"/>
      <c r="BV184" s="103"/>
      <c r="BW184" s="103"/>
      <c r="BX184" s="103"/>
      <c r="BY184" s="103"/>
      <c r="BZ184" s="103"/>
      <c r="CA184" s="103"/>
      <c r="CB184" s="103"/>
      <c r="CC184" s="103"/>
      <c r="CD184" s="103"/>
      <c r="CE184" s="103"/>
      <c r="CF184" s="103"/>
      <c r="CG184" s="103"/>
      <c r="CH184" s="103"/>
      <c r="CI184" s="103"/>
      <c r="CJ184" s="103"/>
      <c r="CK184" s="103"/>
      <c r="CL184" s="103"/>
      <c r="CM184" s="103"/>
      <c r="CN184" s="103"/>
      <c r="CO184" s="103"/>
      <c r="CP184" s="103"/>
      <c r="CQ184" s="103"/>
      <c r="CR184" s="103"/>
      <c r="CS184" s="103"/>
      <c r="CT184" s="103"/>
    </row>
    <row r="185" spans="1:98">
      <c r="A185" s="189">
        <v>43</v>
      </c>
      <c r="B185" s="184">
        <f ca="1">+RESUMEN!Y46</f>
        <v>0</v>
      </c>
      <c r="C185" s="184">
        <f ca="1">+RESUMEN!Z46</f>
        <v>0</v>
      </c>
      <c r="D185" s="185">
        <f t="shared" ca="1" si="150"/>
        <v>0</v>
      </c>
      <c r="E185" s="102"/>
      <c r="F185" s="102"/>
      <c r="G185" s="102"/>
      <c r="H185" s="408"/>
      <c r="I185" s="102"/>
      <c r="J185" s="212" t="s">
        <v>223</v>
      </c>
      <c r="K185" s="228">
        <v>854.11</v>
      </c>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c r="AM185" s="103"/>
      <c r="AN185" s="103"/>
      <c r="AO185" s="103"/>
      <c r="AP185" s="103"/>
      <c r="AQ185" s="103"/>
      <c r="AR185" s="103"/>
      <c r="AS185" s="103"/>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c r="BS185" s="103"/>
      <c r="BT185" s="103"/>
      <c r="BU185" s="103"/>
      <c r="BV185" s="103"/>
      <c r="BW185" s="103"/>
      <c r="BX185" s="103"/>
      <c r="BY185" s="103"/>
      <c r="BZ185" s="103"/>
      <c r="CA185" s="103"/>
      <c r="CB185" s="103"/>
      <c r="CC185" s="103"/>
      <c r="CD185" s="103"/>
      <c r="CE185" s="103"/>
      <c r="CF185" s="103"/>
      <c r="CG185" s="103"/>
      <c r="CH185" s="103"/>
      <c r="CI185" s="103"/>
      <c r="CJ185" s="103"/>
      <c r="CK185" s="103"/>
      <c r="CL185" s="103"/>
      <c r="CM185" s="103"/>
      <c r="CN185" s="103"/>
      <c r="CO185" s="103"/>
      <c r="CP185" s="103"/>
      <c r="CQ185" s="103"/>
      <c r="CR185" s="103"/>
      <c r="CS185" s="103"/>
      <c r="CT185" s="103"/>
    </row>
    <row r="186" spans="1:98">
      <c r="A186" s="189">
        <v>44</v>
      </c>
      <c r="B186" s="184">
        <f ca="1">+RESUMEN!Y47</f>
        <v>0</v>
      </c>
      <c r="C186" s="184">
        <f ca="1">+RESUMEN!Z47</f>
        <v>0</v>
      </c>
      <c r="D186" s="185">
        <f t="shared" ca="1" si="150"/>
        <v>0</v>
      </c>
      <c r="E186" s="102"/>
      <c r="F186" s="102"/>
      <c r="G186" s="102"/>
      <c r="H186" s="408"/>
      <c r="I186" s="102"/>
      <c r="J186" s="212" t="s">
        <v>224</v>
      </c>
      <c r="K186" s="228">
        <v>959.96</v>
      </c>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c r="BS186" s="103"/>
      <c r="BT186" s="103"/>
      <c r="BU186" s="103"/>
      <c r="BV186" s="103"/>
      <c r="BW186" s="103"/>
      <c r="BX186" s="103"/>
      <c r="BY186" s="103"/>
      <c r="BZ186" s="103"/>
      <c r="CA186" s="103"/>
      <c r="CB186" s="103"/>
      <c r="CC186" s="103"/>
      <c r="CD186" s="103"/>
      <c r="CE186" s="103"/>
      <c r="CF186" s="103"/>
      <c r="CG186" s="103"/>
      <c r="CH186" s="103"/>
      <c r="CI186" s="103"/>
      <c r="CJ186" s="103"/>
      <c r="CK186" s="103"/>
      <c r="CL186" s="103"/>
      <c r="CM186" s="103"/>
      <c r="CN186" s="103"/>
      <c r="CO186" s="103"/>
      <c r="CP186" s="103"/>
      <c r="CQ186" s="103"/>
      <c r="CR186" s="103"/>
      <c r="CS186" s="103"/>
      <c r="CT186" s="103"/>
    </row>
    <row r="187" spans="1:98">
      <c r="A187" s="189">
        <v>45</v>
      </c>
      <c r="B187" s="184">
        <f ca="1">+RESUMEN!Y48</f>
        <v>0</v>
      </c>
      <c r="C187" s="184">
        <f ca="1">+RESUMEN!Z48</f>
        <v>0</v>
      </c>
      <c r="D187" s="185">
        <f t="shared" ca="1" si="150"/>
        <v>0</v>
      </c>
      <c r="E187" s="102"/>
      <c r="F187" s="102"/>
      <c r="G187" s="102"/>
      <c r="H187" s="408"/>
      <c r="I187" s="102"/>
      <c r="J187" s="212" t="s">
        <v>225</v>
      </c>
      <c r="K187" s="228">
        <v>1080.6099999999999</v>
      </c>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c r="BS187" s="103"/>
      <c r="BT187" s="103"/>
      <c r="BU187" s="103"/>
      <c r="BV187" s="103"/>
      <c r="BW187" s="103"/>
      <c r="BX187" s="103"/>
      <c r="BY187" s="103"/>
      <c r="BZ187" s="103"/>
      <c r="CA187" s="103"/>
      <c r="CB187" s="103"/>
      <c r="CC187" s="103"/>
      <c r="CD187" s="103"/>
      <c r="CE187" s="103"/>
      <c r="CF187" s="103"/>
      <c r="CG187" s="103"/>
      <c r="CH187" s="103"/>
      <c r="CI187" s="103"/>
      <c r="CJ187" s="103"/>
      <c r="CK187" s="103"/>
      <c r="CL187" s="103"/>
      <c r="CM187" s="103"/>
      <c r="CN187" s="103"/>
      <c r="CO187" s="103"/>
      <c r="CP187" s="103"/>
      <c r="CQ187" s="103"/>
      <c r="CR187" s="103"/>
      <c r="CS187" s="103"/>
      <c r="CT187" s="103"/>
    </row>
    <row r="188" spans="1:98">
      <c r="A188" s="189">
        <v>46</v>
      </c>
      <c r="B188" s="184">
        <f ca="1">+RESUMEN!Y49</f>
        <v>0</v>
      </c>
      <c r="C188" s="184">
        <f ca="1">+RESUMEN!Z49</f>
        <v>0</v>
      </c>
      <c r="D188" s="185">
        <f t="shared" ca="1" si="150"/>
        <v>0</v>
      </c>
      <c r="E188" s="102"/>
      <c r="F188" s="102"/>
      <c r="G188" s="102"/>
      <c r="H188" s="408"/>
      <c r="I188" s="102"/>
      <c r="J188" s="212" t="s">
        <v>226</v>
      </c>
      <c r="K188" s="228">
        <v>1218.21</v>
      </c>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c r="BS188" s="103"/>
      <c r="BT188" s="103"/>
      <c r="BU188" s="103"/>
      <c r="BV188" s="103"/>
      <c r="BW188" s="103"/>
      <c r="BX188" s="103"/>
      <c r="BY188" s="103"/>
      <c r="BZ188" s="103"/>
      <c r="CA188" s="103"/>
      <c r="CB188" s="103"/>
      <c r="CC188" s="103"/>
      <c r="CD188" s="103"/>
      <c r="CE188" s="103"/>
      <c r="CF188" s="103"/>
      <c r="CG188" s="103"/>
      <c r="CH188" s="103"/>
      <c r="CI188" s="103"/>
      <c r="CJ188" s="103"/>
      <c r="CK188" s="103"/>
      <c r="CL188" s="103"/>
      <c r="CM188" s="103"/>
      <c r="CN188" s="103"/>
      <c r="CO188" s="103"/>
      <c r="CP188" s="103"/>
      <c r="CQ188" s="103"/>
      <c r="CR188" s="103"/>
      <c r="CS188" s="103"/>
      <c r="CT188" s="103"/>
    </row>
    <row r="189" spans="1:98">
      <c r="A189" s="189">
        <v>47</v>
      </c>
      <c r="B189" s="184">
        <f ca="1">+RESUMEN!Y50</f>
        <v>0</v>
      </c>
      <c r="C189" s="184">
        <f ca="1">+RESUMEN!Z50</f>
        <v>0</v>
      </c>
      <c r="D189" s="185">
        <f t="shared" ca="1" si="150"/>
        <v>0</v>
      </c>
      <c r="E189" s="102"/>
      <c r="F189" s="102"/>
      <c r="G189" s="102"/>
      <c r="H189" s="408"/>
      <c r="I189" s="102"/>
      <c r="J189" s="212" t="s">
        <v>227</v>
      </c>
      <c r="K189" s="228">
        <v>1375.32</v>
      </c>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c r="BS189" s="103"/>
      <c r="BT189" s="103"/>
      <c r="BU189" s="103"/>
      <c r="BV189" s="103"/>
      <c r="BW189" s="103"/>
      <c r="BX189" s="103"/>
      <c r="BY189" s="103"/>
      <c r="BZ189" s="103"/>
      <c r="CA189" s="103"/>
      <c r="CB189" s="103"/>
      <c r="CC189" s="103"/>
      <c r="CD189" s="103"/>
      <c r="CE189" s="103"/>
      <c r="CF189" s="103"/>
      <c r="CG189" s="103"/>
      <c r="CH189" s="103"/>
      <c r="CI189" s="103"/>
      <c r="CJ189" s="103"/>
      <c r="CK189" s="103"/>
      <c r="CL189" s="103"/>
      <c r="CM189" s="103"/>
      <c r="CN189" s="103"/>
      <c r="CO189" s="103"/>
      <c r="CP189" s="103"/>
      <c r="CQ189" s="103"/>
      <c r="CR189" s="103"/>
      <c r="CS189" s="103"/>
      <c r="CT189" s="103"/>
    </row>
    <row r="190" spans="1:98">
      <c r="A190" s="189">
        <v>48</v>
      </c>
      <c r="B190" s="184">
        <f ca="1">+RESUMEN!Y51</f>
        <v>0</v>
      </c>
      <c r="C190" s="184">
        <f ca="1">+RESUMEN!Z51</f>
        <v>0</v>
      </c>
      <c r="D190" s="185">
        <f t="shared" ca="1" si="150"/>
        <v>0</v>
      </c>
      <c r="E190" s="102"/>
      <c r="F190" s="102"/>
      <c r="G190" s="102"/>
      <c r="H190" s="408"/>
      <c r="I190" s="102"/>
      <c r="J190" s="212" t="s">
        <v>228</v>
      </c>
      <c r="K190" s="228">
        <v>1554.75</v>
      </c>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c r="AM190" s="103"/>
      <c r="AN190" s="103"/>
      <c r="AO190" s="103"/>
      <c r="AP190" s="103"/>
      <c r="AQ190" s="103"/>
      <c r="AR190" s="103"/>
      <c r="AS190" s="103"/>
      <c r="AT190" s="103"/>
      <c r="AU190" s="103"/>
      <c r="AV190" s="103"/>
      <c r="AW190" s="103"/>
      <c r="AX190" s="103"/>
      <c r="AY190" s="103"/>
      <c r="AZ190" s="103"/>
      <c r="BA190" s="103"/>
      <c r="BB190" s="103"/>
      <c r="BC190" s="103"/>
      <c r="BD190" s="103"/>
      <c r="BE190" s="103"/>
      <c r="BF190" s="103"/>
      <c r="BG190" s="103"/>
      <c r="BH190" s="103"/>
      <c r="BI190" s="103"/>
      <c r="BJ190" s="103"/>
      <c r="BK190" s="103"/>
      <c r="BL190" s="103"/>
      <c r="BM190" s="103"/>
      <c r="BN190" s="103"/>
      <c r="BO190" s="103"/>
      <c r="BP190" s="103"/>
      <c r="BQ190" s="103"/>
      <c r="BR190" s="103"/>
      <c r="BS190" s="103"/>
      <c r="BT190" s="103"/>
      <c r="BU190" s="103"/>
      <c r="BV190" s="103"/>
      <c r="BW190" s="103"/>
      <c r="BX190" s="103"/>
      <c r="BY190" s="103"/>
      <c r="BZ190" s="103"/>
      <c r="CA190" s="103"/>
      <c r="CB190" s="103"/>
      <c r="CC190" s="103"/>
      <c r="CD190" s="103"/>
      <c r="CE190" s="103"/>
      <c r="CF190" s="103"/>
      <c r="CG190" s="103"/>
      <c r="CH190" s="103"/>
      <c r="CI190" s="103"/>
      <c r="CJ190" s="103"/>
      <c r="CK190" s="103"/>
      <c r="CL190" s="103"/>
      <c r="CM190" s="103"/>
      <c r="CN190" s="103"/>
      <c r="CO190" s="103"/>
      <c r="CP190" s="103"/>
      <c r="CQ190" s="103"/>
      <c r="CR190" s="103"/>
      <c r="CS190" s="103"/>
      <c r="CT190" s="103"/>
    </row>
    <row r="191" spans="1:98">
      <c r="A191" s="189">
        <v>49</v>
      </c>
      <c r="B191" s="184">
        <f ca="1">+RESUMEN!Y52</f>
        <v>0</v>
      </c>
      <c r="C191" s="184">
        <f ca="1">+RESUMEN!Z52</f>
        <v>0</v>
      </c>
      <c r="D191" s="185">
        <f t="shared" ca="1" si="150"/>
        <v>0</v>
      </c>
      <c r="E191" s="102"/>
      <c r="F191" s="102"/>
      <c r="G191" s="102"/>
      <c r="H191" s="408"/>
      <c r="I191" s="102"/>
      <c r="J191" s="212" t="s">
        <v>229</v>
      </c>
      <c r="K191" s="228">
        <v>1759.79</v>
      </c>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c r="BS191" s="103"/>
      <c r="BT191" s="103"/>
      <c r="BU191" s="103"/>
      <c r="BV191" s="103"/>
      <c r="BW191" s="103"/>
      <c r="BX191" s="103"/>
      <c r="BY191" s="103"/>
      <c r="BZ191" s="103"/>
      <c r="CA191" s="103"/>
      <c r="CB191" s="103"/>
      <c r="CC191" s="103"/>
      <c r="CD191" s="103"/>
      <c r="CE191" s="103"/>
      <c r="CF191" s="103"/>
      <c r="CG191" s="103"/>
      <c r="CH191" s="103"/>
      <c r="CI191" s="103"/>
      <c r="CJ191" s="103"/>
      <c r="CK191" s="103"/>
      <c r="CL191" s="103"/>
      <c r="CM191" s="103"/>
      <c r="CN191" s="103"/>
      <c r="CO191" s="103"/>
      <c r="CP191" s="103"/>
      <c r="CQ191" s="103"/>
      <c r="CR191" s="103"/>
      <c r="CS191" s="103"/>
      <c r="CT191" s="103"/>
    </row>
    <row r="192" spans="1:98">
      <c r="A192" s="189">
        <v>50</v>
      </c>
      <c r="B192" s="184">
        <f ca="1">+RESUMEN!Y53</f>
        <v>0</v>
      </c>
      <c r="C192" s="184">
        <f ca="1">+RESUMEN!Z53</f>
        <v>0</v>
      </c>
      <c r="D192" s="185">
        <f t="shared" ca="1" si="150"/>
        <v>0</v>
      </c>
      <c r="E192" s="102"/>
      <c r="F192" s="102"/>
      <c r="G192" s="102"/>
      <c r="H192" s="408"/>
      <c r="I192" s="102"/>
      <c r="J192" s="212" t="s">
        <v>230</v>
      </c>
      <c r="K192" s="228">
        <v>1994.04</v>
      </c>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c r="BS192" s="103"/>
      <c r="BT192" s="103"/>
      <c r="BU192" s="103"/>
      <c r="BV192" s="103"/>
      <c r="BW192" s="103"/>
      <c r="BX192" s="103"/>
      <c r="BY192" s="103"/>
      <c r="BZ192" s="103"/>
      <c r="CA192" s="103"/>
      <c r="CB192" s="103"/>
      <c r="CC192" s="103"/>
      <c r="CD192" s="103"/>
      <c r="CE192" s="103"/>
      <c r="CF192" s="103"/>
      <c r="CG192" s="103"/>
      <c r="CH192" s="103"/>
      <c r="CI192" s="103"/>
      <c r="CJ192" s="103"/>
      <c r="CK192" s="103"/>
      <c r="CL192" s="103"/>
      <c r="CM192" s="103"/>
      <c r="CN192" s="103"/>
      <c r="CO192" s="103"/>
      <c r="CP192" s="103"/>
      <c r="CQ192" s="103"/>
      <c r="CR192" s="103"/>
      <c r="CS192" s="103"/>
      <c r="CT192" s="103"/>
    </row>
    <row r="193" spans="1:98">
      <c r="A193" s="189">
        <v>51</v>
      </c>
      <c r="B193" s="184">
        <f ca="1">+RESUMEN!Y54</f>
        <v>0</v>
      </c>
      <c r="C193" s="184">
        <f ca="1">+RESUMEN!Z54</f>
        <v>0</v>
      </c>
      <c r="D193" s="185">
        <f t="shared" ca="1" si="150"/>
        <v>0</v>
      </c>
      <c r="E193" s="102"/>
      <c r="F193" s="102"/>
      <c r="G193" s="102"/>
      <c r="H193" s="408"/>
      <c r="I193" s="102"/>
      <c r="J193" s="212" t="s">
        <v>231</v>
      </c>
      <c r="K193" s="228">
        <v>2261.75</v>
      </c>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c r="AM193" s="103"/>
      <c r="AN193" s="103"/>
      <c r="AO193" s="103"/>
      <c r="AP193" s="103"/>
      <c r="AQ193" s="103"/>
      <c r="AR193" s="103"/>
      <c r="AS193" s="103"/>
      <c r="AT193" s="103"/>
      <c r="AU193" s="103"/>
      <c r="AV193" s="103"/>
      <c r="AW193" s="103"/>
      <c r="AX193" s="103"/>
      <c r="AY193" s="103"/>
      <c r="AZ193" s="103"/>
      <c r="BA193" s="103"/>
      <c r="BB193" s="103"/>
      <c r="BC193" s="103"/>
      <c r="BD193" s="103"/>
      <c r="BE193" s="103"/>
      <c r="BF193" s="103"/>
      <c r="BG193" s="103"/>
      <c r="BH193" s="103"/>
      <c r="BI193" s="103"/>
      <c r="BJ193" s="103"/>
      <c r="BK193" s="103"/>
      <c r="BL193" s="103"/>
      <c r="BM193" s="103"/>
      <c r="BN193" s="103"/>
      <c r="BO193" s="103"/>
      <c r="BP193" s="103"/>
      <c r="BQ193" s="103"/>
      <c r="BR193" s="103"/>
      <c r="BS193" s="103"/>
      <c r="BT193" s="103"/>
      <c r="BU193" s="103"/>
      <c r="BV193" s="103"/>
      <c r="BW193" s="103"/>
      <c r="BX193" s="103"/>
      <c r="BY193" s="103"/>
      <c r="BZ193" s="103"/>
      <c r="CA193" s="103"/>
      <c r="CB193" s="103"/>
      <c r="CC193" s="103"/>
      <c r="CD193" s="103"/>
      <c r="CE193" s="103"/>
      <c r="CF193" s="103"/>
      <c r="CG193" s="103"/>
      <c r="CH193" s="103"/>
      <c r="CI193" s="103"/>
      <c r="CJ193" s="103"/>
      <c r="CK193" s="103"/>
      <c r="CL193" s="103"/>
      <c r="CM193" s="103"/>
      <c r="CN193" s="103"/>
      <c r="CO193" s="103"/>
      <c r="CP193" s="103"/>
      <c r="CQ193" s="103"/>
      <c r="CR193" s="103"/>
      <c r="CS193" s="103"/>
      <c r="CT193" s="103"/>
    </row>
    <row r="194" spans="1:98">
      <c r="A194" s="189">
        <v>52</v>
      </c>
      <c r="B194" s="184">
        <f ca="1">+RESUMEN!Y55</f>
        <v>0</v>
      </c>
      <c r="C194" s="184">
        <f ca="1">+RESUMEN!Z55</f>
        <v>0</v>
      </c>
      <c r="D194" s="185">
        <f t="shared" ca="1" si="150"/>
        <v>0</v>
      </c>
      <c r="E194" s="102"/>
      <c r="F194" s="102"/>
      <c r="G194" s="102"/>
      <c r="H194" s="408"/>
      <c r="I194" s="102"/>
      <c r="J194" s="212" t="s">
        <v>232</v>
      </c>
      <c r="K194" s="228">
        <v>2567.46</v>
      </c>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c r="BS194" s="103"/>
      <c r="BT194" s="103"/>
      <c r="BU194" s="103"/>
      <c r="BV194" s="103"/>
      <c r="BW194" s="103"/>
      <c r="BX194" s="103"/>
      <c r="BY194" s="103"/>
      <c r="BZ194" s="103"/>
      <c r="CA194" s="103"/>
      <c r="CB194" s="103"/>
      <c r="CC194" s="103"/>
      <c r="CD194" s="103"/>
      <c r="CE194" s="103"/>
      <c r="CF194" s="103"/>
      <c r="CG194" s="103"/>
      <c r="CH194" s="103"/>
      <c r="CI194" s="103"/>
      <c r="CJ194" s="103"/>
      <c r="CK194" s="103"/>
      <c r="CL194" s="103"/>
      <c r="CM194" s="103"/>
      <c r="CN194" s="103"/>
      <c r="CO194" s="103"/>
      <c r="CP194" s="103"/>
      <c r="CQ194" s="103"/>
      <c r="CR194" s="103"/>
      <c r="CS194" s="103"/>
      <c r="CT194" s="103"/>
    </row>
    <row r="195" spans="1:98">
      <c r="A195" s="189">
        <v>53</v>
      </c>
      <c r="B195" s="184">
        <f ca="1">+RESUMEN!Y56</f>
        <v>0</v>
      </c>
      <c r="C195" s="184">
        <f ca="1">+RESUMEN!Z56</f>
        <v>0</v>
      </c>
      <c r="D195" s="185">
        <f t="shared" ca="1" si="150"/>
        <v>0</v>
      </c>
      <c r="E195" s="102"/>
      <c r="F195" s="102"/>
      <c r="G195" s="102"/>
      <c r="H195" s="408"/>
      <c r="I195" s="102"/>
      <c r="J195" s="212" t="s">
        <v>233</v>
      </c>
      <c r="K195" s="228">
        <v>2916.43</v>
      </c>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c r="BS195" s="103"/>
      <c r="BT195" s="103"/>
      <c r="BU195" s="103"/>
      <c r="BV195" s="103"/>
      <c r="BW195" s="103"/>
      <c r="BX195" s="103"/>
      <c r="BY195" s="103"/>
      <c r="BZ195" s="103"/>
      <c r="CA195" s="103"/>
      <c r="CB195" s="103"/>
      <c r="CC195" s="103"/>
      <c r="CD195" s="103"/>
      <c r="CE195" s="103"/>
      <c r="CF195" s="103"/>
      <c r="CG195" s="103"/>
      <c r="CH195" s="103"/>
      <c r="CI195" s="103"/>
      <c r="CJ195" s="103"/>
      <c r="CK195" s="103"/>
      <c r="CL195" s="103"/>
      <c r="CM195" s="103"/>
      <c r="CN195" s="103"/>
      <c r="CO195" s="103"/>
      <c r="CP195" s="103"/>
      <c r="CQ195" s="103"/>
      <c r="CR195" s="103"/>
      <c r="CS195" s="103"/>
      <c r="CT195" s="103"/>
    </row>
    <row r="196" spans="1:98">
      <c r="A196" s="189">
        <v>54</v>
      </c>
      <c r="B196" s="184">
        <f ca="1">+RESUMEN!Y57</f>
        <v>0</v>
      </c>
      <c r="C196" s="184">
        <f ca="1">+RESUMEN!Z57</f>
        <v>0</v>
      </c>
      <c r="D196" s="185">
        <f t="shared" ca="1" si="150"/>
        <v>0</v>
      </c>
      <c r="E196" s="102"/>
      <c r="F196" s="102"/>
      <c r="G196" s="102"/>
      <c r="H196" s="408"/>
      <c r="I196" s="102"/>
      <c r="J196" s="212" t="s">
        <v>234</v>
      </c>
      <c r="K196" s="228">
        <v>3314.21</v>
      </c>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c r="BS196" s="103"/>
      <c r="BT196" s="103"/>
      <c r="BU196" s="103"/>
      <c r="BV196" s="103"/>
      <c r="BW196" s="103"/>
      <c r="BX196" s="103"/>
      <c r="BY196" s="103"/>
      <c r="BZ196" s="103"/>
      <c r="CA196" s="103"/>
      <c r="CB196" s="103"/>
      <c r="CC196" s="103"/>
      <c r="CD196" s="103"/>
      <c r="CE196" s="103"/>
      <c r="CF196" s="103"/>
      <c r="CG196" s="103"/>
      <c r="CH196" s="103"/>
      <c r="CI196" s="103"/>
      <c r="CJ196" s="103"/>
      <c r="CK196" s="103"/>
      <c r="CL196" s="103"/>
      <c r="CM196" s="103"/>
      <c r="CN196" s="103"/>
      <c r="CO196" s="103"/>
      <c r="CP196" s="103"/>
      <c r="CQ196" s="103"/>
      <c r="CR196" s="103"/>
      <c r="CS196" s="103"/>
      <c r="CT196" s="103"/>
    </row>
    <row r="197" spans="1:98">
      <c r="A197" s="189">
        <v>55</v>
      </c>
      <c r="B197" s="184">
        <f ca="1">+RESUMEN!Y58</f>
        <v>0</v>
      </c>
      <c r="C197" s="184">
        <f ca="1">+RESUMEN!Z58</f>
        <v>0</v>
      </c>
      <c r="D197" s="185">
        <f t="shared" ca="1" si="150"/>
        <v>0</v>
      </c>
      <c r="E197" s="102"/>
      <c r="F197" s="102"/>
      <c r="G197" s="102"/>
      <c r="H197" s="408"/>
      <c r="I197" s="102"/>
      <c r="J197" s="212" t="s">
        <v>235</v>
      </c>
      <c r="K197" s="228">
        <v>3767</v>
      </c>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c r="BS197" s="103"/>
      <c r="BT197" s="103"/>
      <c r="BU197" s="103"/>
      <c r="BV197" s="103"/>
      <c r="BW197" s="103"/>
      <c r="BX197" s="103"/>
      <c r="BY197" s="103"/>
      <c r="BZ197" s="103"/>
      <c r="CA197" s="103"/>
      <c r="CB197" s="103"/>
      <c r="CC197" s="103"/>
      <c r="CD197" s="103"/>
      <c r="CE197" s="103"/>
      <c r="CF197" s="103"/>
      <c r="CG197" s="103"/>
      <c r="CH197" s="103"/>
      <c r="CI197" s="103"/>
      <c r="CJ197" s="103"/>
      <c r="CK197" s="103"/>
      <c r="CL197" s="103"/>
      <c r="CM197" s="103"/>
      <c r="CN197" s="103"/>
      <c r="CO197" s="103"/>
      <c r="CP197" s="103"/>
      <c r="CQ197" s="103"/>
      <c r="CR197" s="103"/>
      <c r="CS197" s="103"/>
      <c r="CT197" s="103"/>
    </row>
    <row r="198" spans="1:98">
      <c r="A198" s="189">
        <v>56</v>
      </c>
      <c r="B198" s="184">
        <f ca="1">+RESUMEN!Y59</f>
        <v>0</v>
      </c>
      <c r="C198" s="184">
        <f ca="1">+RESUMEN!Z59</f>
        <v>0</v>
      </c>
      <c r="D198" s="185">
        <f t="shared" ca="1" si="150"/>
        <v>0</v>
      </c>
      <c r="E198" s="102"/>
      <c r="F198" s="102"/>
      <c r="G198" s="102"/>
      <c r="H198" s="408"/>
      <c r="I198" s="102"/>
      <c r="J198" s="212" t="s">
        <v>236</v>
      </c>
      <c r="K198" s="228">
        <v>4281.25</v>
      </c>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c r="BS198" s="103"/>
      <c r="BT198" s="103"/>
      <c r="BU198" s="103"/>
      <c r="BV198" s="103"/>
      <c r="BW198" s="103"/>
      <c r="BX198" s="103"/>
      <c r="BY198" s="103"/>
      <c r="BZ198" s="103"/>
      <c r="CA198" s="103"/>
      <c r="CB198" s="103"/>
      <c r="CC198" s="103"/>
      <c r="CD198" s="103"/>
      <c r="CE198" s="103"/>
      <c r="CF198" s="103"/>
      <c r="CG198" s="103"/>
      <c r="CH198" s="103"/>
      <c r="CI198" s="103"/>
      <c r="CJ198" s="103"/>
      <c r="CK198" s="103"/>
      <c r="CL198" s="103"/>
      <c r="CM198" s="103"/>
      <c r="CN198" s="103"/>
      <c r="CO198" s="103"/>
      <c r="CP198" s="103"/>
      <c r="CQ198" s="103"/>
      <c r="CR198" s="103"/>
      <c r="CS198" s="103"/>
      <c r="CT198" s="103"/>
    </row>
    <row r="199" spans="1:98">
      <c r="A199" s="189">
        <v>57</v>
      </c>
      <c r="B199" s="184">
        <f ca="1">+RESUMEN!Y60</f>
        <v>0</v>
      </c>
      <c r="C199" s="184">
        <f ca="1">+RESUMEN!Z60</f>
        <v>0</v>
      </c>
      <c r="D199" s="185">
        <f t="shared" ca="1" si="150"/>
        <v>0</v>
      </c>
      <c r="E199" s="102"/>
      <c r="F199" s="102"/>
      <c r="G199" s="102"/>
      <c r="H199" s="408"/>
      <c r="I199" s="102"/>
      <c r="J199" s="212" t="s">
        <v>237</v>
      </c>
      <c r="K199" s="228">
        <v>4863.71</v>
      </c>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c r="BS199" s="103"/>
      <c r="BT199" s="103"/>
      <c r="BU199" s="103"/>
      <c r="BV199" s="103"/>
      <c r="BW199" s="103"/>
      <c r="BX199" s="103"/>
      <c r="BY199" s="103"/>
      <c r="BZ199" s="103"/>
      <c r="CA199" s="103"/>
      <c r="CB199" s="103"/>
      <c r="CC199" s="103"/>
      <c r="CD199" s="103"/>
      <c r="CE199" s="103"/>
      <c r="CF199" s="103"/>
      <c r="CG199" s="103"/>
      <c r="CH199" s="103"/>
      <c r="CI199" s="103"/>
      <c r="CJ199" s="103"/>
      <c r="CK199" s="103"/>
      <c r="CL199" s="103"/>
      <c r="CM199" s="103"/>
      <c r="CN199" s="103"/>
      <c r="CO199" s="103"/>
      <c r="CP199" s="103"/>
      <c r="CQ199" s="103"/>
      <c r="CR199" s="103"/>
      <c r="CS199" s="103"/>
      <c r="CT199" s="103"/>
    </row>
    <row r="200" spans="1:98">
      <c r="A200" s="189">
        <v>58</v>
      </c>
      <c r="B200" s="184">
        <f ca="1">+RESUMEN!Y61</f>
        <v>0</v>
      </c>
      <c r="C200" s="184">
        <f ca="1">+RESUMEN!Z61</f>
        <v>0</v>
      </c>
      <c r="D200" s="185">
        <f t="shared" ca="1" si="150"/>
        <v>0</v>
      </c>
      <c r="E200" s="102"/>
      <c r="F200" s="102"/>
      <c r="G200" s="102"/>
      <c r="H200" s="408"/>
      <c r="I200" s="102"/>
      <c r="J200" s="212" t="s">
        <v>238</v>
      </c>
      <c r="K200" s="228">
        <v>5521.21</v>
      </c>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c r="BS200" s="103"/>
      <c r="BT200" s="103"/>
      <c r="BU200" s="103"/>
      <c r="BV200" s="103"/>
      <c r="BW200" s="103"/>
      <c r="BX200" s="103"/>
      <c r="BY200" s="103"/>
      <c r="BZ200" s="103"/>
      <c r="CA200" s="103"/>
      <c r="CB200" s="103"/>
      <c r="CC200" s="103"/>
      <c r="CD200" s="103"/>
      <c r="CE200" s="103"/>
      <c r="CF200" s="103"/>
      <c r="CG200" s="103"/>
      <c r="CH200" s="103"/>
      <c r="CI200" s="103"/>
      <c r="CJ200" s="103"/>
      <c r="CK200" s="103"/>
      <c r="CL200" s="103"/>
      <c r="CM200" s="103"/>
      <c r="CN200" s="103"/>
      <c r="CO200" s="103"/>
      <c r="CP200" s="103"/>
      <c r="CQ200" s="103"/>
      <c r="CR200" s="103"/>
      <c r="CS200" s="103"/>
      <c r="CT200" s="103"/>
    </row>
    <row r="201" spans="1:98">
      <c r="A201" s="189">
        <v>59</v>
      </c>
      <c r="B201" s="184">
        <f ca="1">+RESUMEN!Y62</f>
        <v>0</v>
      </c>
      <c r="C201" s="184">
        <f ca="1">+RESUMEN!Z62</f>
        <v>0</v>
      </c>
      <c r="D201" s="185">
        <f t="shared" ca="1" si="150"/>
        <v>0</v>
      </c>
      <c r="E201" s="102"/>
      <c r="F201" s="102"/>
      <c r="G201" s="102"/>
      <c r="H201" s="408"/>
      <c r="I201" s="102"/>
      <c r="J201" s="212" t="s">
        <v>239</v>
      </c>
      <c r="K201" s="228">
        <v>6260.39</v>
      </c>
      <c r="L201" s="103"/>
      <c r="M201" s="103"/>
      <c r="N201" s="103"/>
      <c r="O201" s="103"/>
      <c r="P201" s="103"/>
      <c r="Q201" s="103"/>
      <c r="R201" s="103"/>
      <c r="S201" s="103"/>
      <c r="T201" s="103"/>
      <c r="U201" s="103"/>
      <c r="V201" s="103"/>
      <c r="W201" s="103"/>
      <c r="X201" s="103"/>
      <c r="Y201" s="103"/>
      <c r="Z201" s="103"/>
      <c r="AA201" s="103"/>
      <c r="AB201" s="103"/>
      <c r="AC201" s="103"/>
      <c r="AD201" s="103"/>
      <c r="AE201" s="103"/>
      <c r="AF201" s="103"/>
      <c r="AG201" s="103"/>
      <c r="AH201" s="103"/>
      <c r="AI201" s="103"/>
      <c r="AJ201" s="103"/>
      <c r="AK201" s="103"/>
      <c r="AL201" s="103"/>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c r="BS201" s="103"/>
      <c r="BT201" s="103"/>
      <c r="BU201" s="103"/>
      <c r="BV201" s="103"/>
      <c r="BW201" s="103"/>
      <c r="BX201" s="103"/>
      <c r="BY201" s="103"/>
      <c r="BZ201" s="103"/>
      <c r="CA201" s="103"/>
      <c r="CB201" s="103"/>
      <c r="CC201" s="103"/>
      <c r="CD201" s="103"/>
      <c r="CE201" s="103"/>
      <c r="CF201" s="103"/>
      <c r="CG201" s="103"/>
      <c r="CH201" s="103"/>
      <c r="CI201" s="103"/>
      <c r="CJ201" s="103"/>
      <c r="CK201" s="103"/>
      <c r="CL201" s="103"/>
      <c r="CM201" s="103"/>
      <c r="CN201" s="103"/>
      <c r="CO201" s="103"/>
      <c r="CP201" s="103"/>
      <c r="CQ201" s="103"/>
      <c r="CR201" s="103"/>
      <c r="CS201" s="103"/>
      <c r="CT201" s="103"/>
    </row>
    <row r="202" spans="1:98">
      <c r="A202" s="189">
        <v>60</v>
      </c>
      <c r="B202" s="184">
        <f ca="1">+RESUMEN!Y63</f>
        <v>0</v>
      </c>
      <c r="C202" s="184">
        <f ca="1">+RESUMEN!Z63</f>
        <v>0</v>
      </c>
      <c r="D202" s="185">
        <f t="shared" ca="1" si="150"/>
        <v>0</v>
      </c>
      <c r="E202" s="102"/>
      <c r="F202" s="102"/>
      <c r="G202" s="102"/>
      <c r="H202" s="408"/>
      <c r="I202" s="102"/>
      <c r="J202" s="212" t="s">
        <v>240</v>
      </c>
      <c r="K202" s="228">
        <v>7087.18</v>
      </c>
      <c r="L202" s="103"/>
      <c r="M202" s="103"/>
      <c r="N202" s="103"/>
      <c r="O202" s="103"/>
      <c r="P202" s="103"/>
      <c r="Q202" s="103"/>
      <c r="R202" s="103"/>
      <c r="S202" s="103"/>
      <c r="T202" s="103"/>
      <c r="U202" s="103"/>
      <c r="V202" s="103"/>
      <c r="W202" s="103"/>
      <c r="X202" s="103"/>
      <c r="Y202" s="103"/>
      <c r="Z202" s="103"/>
      <c r="AA202" s="103"/>
      <c r="AB202" s="103"/>
      <c r="AC202" s="103"/>
      <c r="AD202" s="103"/>
      <c r="AE202" s="103"/>
      <c r="AF202" s="103"/>
      <c r="AG202" s="103"/>
      <c r="AH202" s="103"/>
      <c r="AI202" s="103"/>
      <c r="AJ202" s="103"/>
      <c r="AK202" s="103"/>
      <c r="AL202" s="103"/>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c r="BS202" s="103"/>
      <c r="BT202" s="103"/>
      <c r="BU202" s="103"/>
      <c r="BV202" s="103"/>
      <c r="BW202" s="103"/>
      <c r="BX202" s="103"/>
      <c r="BY202" s="103"/>
      <c r="BZ202" s="103"/>
      <c r="CA202" s="103"/>
      <c r="CB202" s="103"/>
      <c r="CC202" s="103"/>
      <c r="CD202" s="103"/>
      <c r="CE202" s="103"/>
      <c r="CF202" s="103"/>
      <c r="CG202" s="103"/>
      <c r="CH202" s="103"/>
      <c r="CI202" s="103"/>
      <c r="CJ202" s="103"/>
      <c r="CK202" s="103"/>
      <c r="CL202" s="103"/>
      <c r="CM202" s="103"/>
      <c r="CN202" s="103"/>
      <c r="CO202" s="103"/>
      <c r="CP202" s="103"/>
      <c r="CQ202" s="103"/>
      <c r="CR202" s="103"/>
      <c r="CS202" s="103"/>
      <c r="CT202" s="103"/>
    </row>
    <row r="203" spans="1:98">
      <c r="A203" s="189">
        <v>61</v>
      </c>
      <c r="B203" s="184">
        <f ca="1">+RESUMEN!Y64</f>
        <v>0</v>
      </c>
      <c r="C203" s="184">
        <f ca="1">+RESUMEN!Z64</f>
        <v>0</v>
      </c>
      <c r="D203" s="185">
        <f t="shared" ca="1" si="150"/>
        <v>0</v>
      </c>
      <c r="E203" s="102"/>
      <c r="F203" s="102"/>
      <c r="G203" s="102"/>
      <c r="H203" s="408"/>
      <c r="I203" s="102"/>
      <c r="J203" s="212" t="s">
        <v>241</v>
      </c>
      <c r="K203" s="228">
        <v>8006.57</v>
      </c>
      <c r="L203" s="103"/>
      <c r="M203" s="103"/>
      <c r="N203" s="103"/>
      <c r="O203" s="103"/>
      <c r="P203" s="103"/>
      <c r="Q203" s="103"/>
      <c r="R203" s="103"/>
      <c r="S203" s="103"/>
      <c r="T203" s="103"/>
      <c r="U203" s="103"/>
      <c r="V203" s="103"/>
      <c r="W203" s="103"/>
      <c r="X203" s="103"/>
      <c r="Y203" s="103"/>
      <c r="Z203" s="103"/>
      <c r="AA203" s="103"/>
      <c r="AB203" s="103"/>
      <c r="AC203" s="103"/>
      <c r="AD203" s="103"/>
      <c r="AE203" s="103"/>
      <c r="AF203" s="103"/>
      <c r="AG203" s="103"/>
      <c r="AH203" s="103"/>
      <c r="AI203" s="103"/>
      <c r="AJ203" s="103"/>
      <c r="AK203" s="103"/>
      <c r="AL203" s="103"/>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c r="BS203" s="103"/>
      <c r="BT203" s="103"/>
      <c r="BU203" s="103"/>
      <c r="BV203" s="103"/>
      <c r="BW203" s="103"/>
      <c r="BX203" s="103"/>
      <c r="BY203" s="103"/>
      <c r="BZ203" s="103"/>
      <c r="CA203" s="103"/>
      <c r="CB203" s="103"/>
      <c r="CC203" s="103"/>
      <c r="CD203" s="103"/>
      <c r="CE203" s="103"/>
      <c r="CF203" s="103"/>
      <c r="CG203" s="103"/>
      <c r="CH203" s="103"/>
      <c r="CI203" s="103"/>
      <c r="CJ203" s="103"/>
      <c r="CK203" s="103"/>
      <c r="CL203" s="103"/>
      <c r="CM203" s="103"/>
      <c r="CN203" s="103"/>
      <c r="CO203" s="103"/>
      <c r="CP203" s="103"/>
      <c r="CQ203" s="103"/>
      <c r="CR203" s="103"/>
      <c r="CS203" s="103"/>
      <c r="CT203" s="103"/>
    </row>
    <row r="204" spans="1:98">
      <c r="A204" s="189">
        <v>62</v>
      </c>
      <c r="B204" s="184">
        <f ca="1">+RESUMEN!Y65</f>
        <v>0</v>
      </c>
      <c r="C204" s="184">
        <f ca="1">+RESUMEN!Z65</f>
        <v>0</v>
      </c>
      <c r="D204" s="185">
        <f t="shared" ca="1" si="150"/>
        <v>0</v>
      </c>
      <c r="E204" s="102"/>
      <c r="F204" s="102"/>
      <c r="G204" s="102"/>
      <c r="H204" s="408"/>
      <c r="I204" s="102"/>
      <c r="J204" s="212" t="s">
        <v>242</v>
      </c>
      <c r="K204" s="228">
        <v>9021.89</v>
      </c>
      <c r="L204" s="103"/>
      <c r="M204" s="103"/>
      <c r="N204" s="103"/>
      <c r="O204" s="103"/>
      <c r="P204" s="103"/>
      <c r="Q204" s="103"/>
      <c r="R204" s="103"/>
      <c r="S204" s="103"/>
      <c r="T204" s="103"/>
      <c r="U204" s="103"/>
      <c r="V204" s="103"/>
      <c r="W204" s="103"/>
      <c r="X204" s="103"/>
      <c r="Y204" s="103"/>
      <c r="Z204" s="103"/>
      <c r="AA204" s="103"/>
      <c r="AB204" s="103"/>
      <c r="AC204" s="103"/>
      <c r="AD204" s="103"/>
      <c r="AE204" s="103"/>
      <c r="AF204" s="103"/>
      <c r="AG204" s="103"/>
      <c r="AH204" s="103"/>
      <c r="AI204" s="103"/>
      <c r="AJ204" s="103"/>
      <c r="AK204" s="103"/>
      <c r="AL204" s="103"/>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c r="BS204" s="103"/>
      <c r="BT204" s="103"/>
      <c r="BU204" s="103"/>
      <c r="BV204" s="103"/>
      <c r="BW204" s="103"/>
      <c r="BX204" s="103"/>
      <c r="BY204" s="103"/>
      <c r="BZ204" s="103"/>
      <c r="CA204" s="103"/>
      <c r="CB204" s="103"/>
      <c r="CC204" s="103"/>
      <c r="CD204" s="103"/>
      <c r="CE204" s="103"/>
      <c r="CF204" s="103"/>
      <c r="CG204" s="103"/>
      <c r="CH204" s="103"/>
      <c r="CI204" s="103"/>
      <c r="CJ204" s="103"/>
      <c r="CK204" s="103"/>
      <c r="CL204" s="103"/>
      <c r="CM204" s="103"/>
      <c r="CN204" s="103"/>
      <c r="CO204" s="103"/>
      <c r="CP204" s="103"/>
      <c r="CQ204" s="103"/>
      <c r="CR204" s="103"/>
      <c r="CS204" s="103"/>
      <c r="CT204" s="103"/>
    </row>
    <row r="205" spans="1:98">
      <c r="A205" s="189">
        <v>63</v>
      </c>
      <c r="B205" s="184">
        <f ca="1">+RESUMEN!Y66</f>
        <v>0</v>
      </c>
      <c r="C205" s="184">
        <f ca="1">+RESUMEN!Z66</f>
        <v>0</v>
      </c>
      <c r="D205" s="185">
        <f t="shared" ca="1" si="150"/>
        <v>0</v>
      </c>
      <c r="E205" s="102"/>
      <c r="F205" s="102"/>
      <c r="G205" s="102"/>
      <c r="H205" s="408"/>
      <c r="I205" s="102"/>
      <c r="J205" s="212" t="s">
        <v>243</v>
      </c>
      <c r="K205" s="228">
        <v>10134.290000000001</v>
      </c>
      <c r="L205" s="103"/>
      <c r="M205" s="103"/>
      <c r="N205" s="103"/>
      <c r="O205" s="103"/>
      <c r="P205" s="103"/>
      <c r="Q205" s="103"/>
      <c r="R205" s="103"/>
      <c r="S205" s="103"/>
      <c r="T205" s="103"/>
      <c r="U205" s="103"/>
      <c r="V205" s="103"/>
      <c r="W205" s="103"/>
      <c r="X205" s="103"/>
      <c r="Y205" s="103"/>
      <c r="Z205" s="103"/>
      <c r="AA205" s="103"/>
      <c r="AB205" s="103"/>
      <c r="AC205" s="103"/>
      <c r="AD205" s="103"/>
      <c r="AE205" s="103"/>
      <c r="AF205" s="103"/>
      <c r="AG205" s="103"/>
      <c r="AH205" s="103"/>
      <c r="AI205" s="103"/>
      <c r="AJ205" s="103"/>
      <c r="AK205" s="103"/>
      <c r="AL205" s="103"/>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c r="BS205" s="103"/>
      <c r="BT205" s="103"/>
      <c r="BU205" s="103"/>
      <c r="BV205" s="103"/>
      <c r="BW205" s="103"/>
      <c r="BX205" s="103"/>
      <c r="BY205" s="103"/>
      <c r="BZ205" s="103"/>
      <c r="CA205" s="103"/>
      <c r="CB205" s="103"/>
      <c r="CC205" s="103"/>
      <c r="CD205" s="103"/>
      <c r="CE205" s="103"/>
      <c r="CF205" s="103"/>
      <c r="CG205" s="103"/>
      <c r="CH205" s="103"/>
      <c r="CI205" s="103"/>
      <c r="CJ205" s="103"/>
      <c r="CK205" s="103"/>
      <c r="CL205" s="103"/>
      <c r="CM205" s="103"/>
      <c r="CN205" s="103"/>
      <c r="CO205" s="103"/>
      <c r="CP205" s="103"/>
      <c r="CQ205" s="103"/>
      <c r="CR205" s="103"/>
      <c r="CS205" s="103"/>
      <c r="CT205" s="103"/>
    </row>
    <row r="206" spans="1:98">
      <c r="A206" s="189">
        <v>64</v>
      </c>
      <c r="B206" s="184">
        <f ca="1">+RESUMEN!Y67</f>
        <v>0</v>
      </c>
      <c r="C206" s="184">
        <f ca="1">+RESUMEN!Z67</f>
        <v>0</v>
      </c>
      <c r="D206" s="185">
        <f t="shared" ref="D206:D242" ca="1" si="151">B206+C206</f>
        <v>0</v>
      </c>
      <c r="E206" s="102"/>
      <c r="F206" s="102"/>
      <c r="G206" s="102"/>
      <c r="H206" s="408"/>
      <c r="I206" s="102"/>
      <c r="J206" s="212" t="s">
        <v>244</v>
      </c>
      <c r="K206" s="228">
        <v>11342</v>
      </c>
      <c r="L206" s="103"/>
      <c r="M206" s="103"/>
      <c r="N206" s="103"/>
      <c r="O206" s="103"/>
      <c r="P206" s="103"/>
      <c r="Q206" s="103"/>
      <c r="R206" s="103"/>
      <c r="S206" s="103"/>
      <c r="T206" s="103"/>
      <c r="U206" s="103"/>
      <c r="V206" s="103"/>
      <c r="W206" s="103"/>
      <c r="X206" s="103"/>
      <c r="Y206" s="103"/>
      <c r="Z206" s="103"/>
      <c r="AA206" s="103"/>
      <c r="AB206" s="103"/>
      <c r="AC206" s="103"/>
      <c r="AD206" s="103"/>
      <c r="AE206" s="103"/>
      <c r="AF206" s="103"/>
      <c r="AG206" s="103"/>
      <c r="AH206" s="103"/>
      <c r="AI206" s="103"/>
      <c r="AJ206" s="103"/>
      <c r="AK206" s="103"/>
      <c r="AL206" s="103"/>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c r="BS206" s="103"/>
      <c r="BT206" s="103"/>
      <c r="BU206" s="103"/>
      <c r="BV206" s="103"/>
      <c r="BW206" s="103"/>
      <c r="BX206" s="103"/>
      <c r="BY206" s="103"/>
      <c r="BZ206" s="103"/>
      <c r="CA206" s="103"/>
      <c r="CB206" s="103"/>
      <c r="CC206" s="103"/>
      <c r="CD206" s="103"/>
      <c r="CE206" s="103"/>
      <c r="CF206" s="103"/>
      <c r="CG206" s="103"/>
      <c r="CH206" s="103"/>
      <c r="CI206" s="103"/>
      <c r="CJ206" s="103"/>
      <c r="CK206" s="103"/>
      <c r="CL206" s="103"/>
      <c r="CM206" s="103"/>
      <c r="CN206" s="103"/>
      <c r="CO206" s="103"/>
      <c r="CP206" s="103"/>
      <c r="CQ206" s="103"/>
      <c r="CR206" s="103"/>
      <c r="CS206" s="103"/>
      <c r="CT206" s="103"/>
    </row>
    <row r="207" spans="1:98">
      <c r="A207" s="189">
        <v>65</v>
      </c>
      <c r="B207" s="184">
        <f ca="1">+RESUMEN!Y68</f>
        <v>0</v>
      </c>
      <c r="C207" s="184">
        <f ca="1">+RESUMEN!Z68</f>
        <v>0</v>
      </c>
      <c r="D207" s="185">
        <f t="shared" ca="1" si="151"/>
        <v>0</v>
      </c>
      <c r="E207" s="102"/>
      <c r="F207" s="102"/>
      <c r="G207" s="102"/>
      <c r="H207" s="408"/>
      <c r="I207" s="102"/>
      <c r="J207" s="212" t="s">
        <v>245</v>
      </c>
      <c r="K207" s="228">
        <v>12639.96</v>
      </c>
      <c r="L207" s="412"/>
      <c r="M207" s="103"/>
      <c r="N207" s="103"/>
      <c r="O207" s="103"/>
      <c r="P207" s="103"/>
      <c r="Q207" s="103"/>
      <c r="R207" s="103"/>
      <c r="S207" s="103"/>
      <c r="T207" s="103"/>
      <c r="U207" s="103"/>
      <c r="V207" s="103"/>
      <c r="W207" s="103"/>
      <c r="X207" s="103"/>
      <c r="Y207" s="103"/>
      <c r="Z207" s="103"/>
      <c r="AA207" s="103"/>
      <c r="AB207" s="103"/>
      <c r="AC207" s="103"/>
      <c r="AD207" s="103"/>
      <c r="AE207" s="103"/>
      <c r="AF207" s="103"/>
      <c r="AG207" s="103"/>
      <c r="AH207" s="103"/>
      <c r="AI207" s="103"/>
      <c r="AJ207" s="103"/>
      <c r="AK207" s="103"/>
      <c r="AL207" s="103"/>
      <c r="AM207" s="103"/>
      <c r="AN207" s="103"/>
      <c r="AO207" s="103"/>
      <c r="AP207" s="103"/>
      <c r="AQ207" s="103"/>
      <c r="AR207" s="103"/>
      <c r="AS207" s="103"/>
      <c r="AT207" s="103"/>
      <c r="AU207" s="103"/>
      <c r="AV207" s="103"/>
      <c r="AW207" s="103"/>
      <c r="AX207" s="103"/>
      <c r="AY207" s="103"/>
      <c r="AZ207" s="103"/>
      <c r="BA207" s="103"/>
      <c r="BB207" s="103"/>
      <c r="BC207" s="103"/>
      <c r="BD207" s="103"/>
      <c r="BE207" s="103"/>
      <c r="BF207" s="103"/>
      <c r="BG207" s="103"/>
      <c r="BH207" s="103"/>
      <c r="BI207" s="103"/>
      <c r="BJ207" s="103"/>
      <c r="BK207" s="103"/>
      <c r="BL207" s="103"/>
      <c r="BM207" s="103"/>
      <c r="BN207" s="103"/>
      <c r="BO207" s="103"/>
      <c r="BP207" s="103"/>
      <c r="BQ207" s="103"/>
      <c r="BR207" s="103"/>
      <c r="BS207" s="103"/>
      <c r="BT207" s="103"/>
      <c r="BU207" s="103"/>
      <c r="BV207" s="103"/>
      <c r="BW207" s="103"/>
      <c r="BX207" s="103"/>
      <c r="BY207" s="103"/>
      <c r="BZ207" s="103"/>
      <c r="CA207" s="103"/>
      <c r="CB207" s="103"/>
      <c r="CC207" s="103"/>
      <c r="CD207" s="103"/>
      <c r="CE207" s="103"/>
      <c r="CF207" s="103"/>
      <c r="CG207" s="103"/>
      <c r="CH207" s="103"/>
      <c r="CI207" s="103"/>
      <c r="CJ207" s="103"/>
      <c r="CK207" s="103"/>
      <c r="CL207" s="103"/>
      <c r="CM207" s="103"/>
      <c r="CN207" s="103"/>
      <c r="CO207" s="103"/>
      <c r="CP207" s="103"/>
      <c r="CQ207" s="103"/>
      <c r="CR207" s="103"/>
      <c r="CS207" s="103"/>
      <c r="CT207" s="103"/>
    </row>
    <row r="208" spans="1:98">
      <c r="A208" s="189">
        <v>66</v>
      </c>
      <c r="B208" s="184">
        <f ca="1">+RESUMEN!Y69</f>
        <v>0</v>
      </c>
      <c r="C208" s="184">
        <f ca="1">+RESUMEN!Z69</f>
        <v>0</v>
      </c>
      <c r="D208" s="185">
        <f t="shared" ca="1" si="151"/>
        <v>0</v>
      </c>
      <c r="E208" s="102"/>
      <c r="F208" s="102"/>
      <c r="G208" s="102"/>
      <c r="H208" s="102"/>
      <c r="I208" s="102"/>
      <c r="J208" s="102"/>
      <c r="K208" s="103"/>
      <c r="L208" s="103"/>
      <c r="M208" s="103"/>
      <c r="N208" s="103"/>
      <c r="O208" s="103"/>
      <c r="P208" s="103"/>
      <c r="Q208" s="103"/>
      <c r="R208" s="103"/>
      <c r="S208" s="103"/>
      <c r="T208" s="103"/>
      <c r="U208" s="103"/>
      <c r="V208" s="103"/>
      <c r="W208" s="103"/>
      <c r="X208" s="103"/>
      <c r="Y208" s="103"/>
      <c r="Z208" s="103"/>
      <c r="AA208" s="103"/>
      <c r="AB208" s="103"/>
      <c r="AC208" s="103"/>
      <c r="AD208" s="103"/>
      <c r="AE208" s="103"/>
      <c r="AF208" s="103"/>
      <c r="AG208" s="103"/>
      <c r="AH208" s="103"/>
      <c r="AI208" s="103"/>
      <c r="AJ208" s="103"/>
      <c r="AK208" s="103"/>
      <c r="AL208" s="103"/>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c r="BS208" s="103"/>
      <c r="BT208" s="103"/>
      <c r="BU208" s="103"/>
      <c r="BV208" s="103"/>
      <c r="BW208" s="103"/>
      <c r="BX208" s="103"/>
      <c r="BY208" s="103"/>
      <c r="BZ208" s="103"/>
      <c r="CA208" s="103"/>
      <c r="CB208" s="103"/>
      <c r="CC208" s="103"/>
      <c r="CD208" s="103"/>
      <c r="CE208" s="103"/>
      <c r="CF208" s="103"/>
      <c r="CG208" s="103"/>
      <c r="CH208" s="103"/>
      <c r="CI208" s="103"/>
      <c r="CJ208" s="103"/>
      <c r="CK208" s="103"/>
      <c r="CL208" s="103"/>
      <c r="CM208" s="103"/>
      <c r="CN208" s="103"/>
      <c r="CO208" s="103"/>
      <c r="CP208" s="103"/>
      <c r="CQ208" s="103"/>
      <c r="CR208" s="103"/>
      <c r="CS208" s="103"/>
      <c r="CT208" s="103"/>
    </row>
    <row r="209" spans="1:98">
      <c r="A209" s="189">
        <v>67</v>
      </c>
      <c r="B209" s="184">
        <f ca="1">+RESUMEN!Y70</f>
        <v>0</v>
      </c>
      <c r="C209" s="184">
        <f ca="1">+RESUMEN!Z70</f>
        <v>0</v>
      </c>
      <c r="D209" s="185">
        <f t="shared" ca="1" si="151"/>
        <v>0</v>
      </c>
      <c r="E209" s="102"/>
      <c r="F209" s="102"/>
      <c r="G209" s="102"/>
      <c r="H209" s="102"/>
      <c r="I209" s="102"/>
      <c r="J209" s="102"/>
      <c r="K209" s="103"/>
      <c r="L209" s="103"/>
      <c r="M209" s="103"/>
      <c r="N209" s="103"/>
      <c r="O209" s="103"/>
      <c r="P209" s="103"/>
      <c r="Q209" s="103"/>
      <c r="R209" s="103"/>
      <c r="S209" s="103"/>
      <c r="T209" s="103"/>
      <c r="U209" s="103"/>
      <c r="V209" s="103"/>
      <c r="W209" s="103"/>
      <c r="X209" s="103"/>
      <c r="Y209" s="103"/>
      <c r="Z209" s="103"/>
      <c r="AA209" s="103"/>
      <c r="AB209" s="103"/>
      <c r="AC209" s="103"/>
      <c r="AD209" s="103"/>
      <c r="AE209" s="103"/>
      <c r="AF209" s="103"/>
      <c r="AG209" s="103"/>
      <c r="AH209" s="103"/>
      <c r="AI209" s="103"/>
      <c r="AJ209" s="103"/>
      <c r="AK209" s="103"/>
      <c r="AL209" s="103"/>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c r="BS209" s="103"/>
      <c r="BT209" s="103"/>
      <c r="BU209" s="103"/>
      <c r="BV209" s="103"/>
      <c r="BW209" s="103"/>
      <c r="BX209" s="103"/>
      <c r="BY209" s="103"/>
      <c r="BZ209" s="103"/>
      <c r="CA209" s="103"/>
      <c r="CB209" s="103"/>
      <c r="CC209" s="103"/>
      <c r="CD209" s="103"/>
      <c r="CE209" s="103"/>
      <c r="CF209" s="103"/>
      <c r="CG209" s="103"/>
      <c r="CH209" s="103"/>
      <c r="CI209" s="103"/>
      <c r="CJ209" s="103"/>
      <c r="CK209" s="103"/>
      <c r="CL209" s="103"/>
      <c r="CM209" s="103"/>
      <c r="CN209" s="103"/>
      <c r="CO209" s="103"/>
      <c r="CP209" s="103"/>
      <c r="CQ209" s="103"/>
      <c r="CR209" s="103"/>
      <c r="CS209" s="103"/>
      <c r="CT209" s="103"/>
    </row>
    <row r="210" spans="1:98">
      <c r="A210" s="189">
        <v>68</v>
      </c>
      <c r="B210" s="184">
        <f ca="1">+RESUMEN!Y71</f>
        <v>0</v>
      </c>
      <c r="C210" s="184">
        <f ca="1">+RESUMEN!Z71</f>
        <v>0</v>
      </c>
      <c r="D210" s="185">
        <f t="shared" ca="1" si="151"/>
        <v>0</v>
      </c>
      <c r="E210" s="102"/>
      <c r="F210" s="102"/>
      <c r="G210" s="102"/>
      <c r="H210" s="102"/>
      <c r="I210" s="102"/>
      <c r="J210" s="102"/>
      <c r="K210" s="103"/>
      <c r="L210" s="103"/>
      <c r="M210" s="103"/>
      <c r="N210" s="103"/>
      <c r="O210" s="103"/>
      <c r="P210" s="103"/>
      <c r="Q210" s="103"/>
      <c r="R210" s="103"/>
      <c r="S210" s="103"/>
      <c r="T210" s="103"/>
      <c r="U210" s="103"/>
      <c r="V210" s="103"/>
      <c r="W210" s="103"/>
      <c r="X210" s="103"/>
      <c r="Y210" s="103"/>
      <c r="Z210" s="103"/>
      <c r="AA210" s="103"/>
      <c r="AB210" s="103"/>
      <c r="AC210" s="103"/>
      <c r="AD210" s="103"/>
      <c r="AE210" s="103"/>
      <c r="AF210" s="103"/>
      <c r="AG210" s="103"/>
      <c r="AH210" s="103"/>
      <c r="AI210" s="103"/>
      <c r="AJ210" s="103"/>
      <c r="AK210" s="103"/>
      <c r="AL210" s="103"/>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c r="BS210" s="103"/>
      <c r="BT210" s="103"/>
      <c r="BU210" s="103"/>
      <c r="BV210" s="103"/>
      <c r="BW210" s="103"/>
      <c r="BX210" s="103"/>
      <c r="BY210" s="103"/>
      <c r="BZ210" s="103"/>
      <c r="CA210" s="103"/>
      <c r="CB210" s="103"/>
      <c r="CC210" s="103"/>
      <c r="CD210" s="103"/>
      <c r="CE210" s="103"/>
      <c r="CF210" s="103"/>
      <c r="CG210" s="103"/>
      <c r="CH210" s="103"/>
      <c r="CI210" s="103"/>
      <c r="CJ210" s="103"/>
      <c r="CK210" s="103"/>
      <c r="CL210" s="103"/>
      <c r="CM210" s="103"/>
      <c r="CN210" s="103"/>
      <c r="CO210" s="103"/>
      <c r="CP210" s="103"/>
      <c r="CQ210" s="103"/>
      <c r="CR210" s="103"/>
      <c r="CS210" s="103"/>
      <c r="CT210" s="103"/>
    </row>
    <row r="211" spans="1:98">
      <c r="A211" s="189">
        <v>69</v>
      </c>
      <c r="B211" s="184">
        <f ca="1">+RESUMEN!Y72</f>
        <v>0</v>
      </c>
      <c r="C211" s="184">
        <f ca="1">+RESUMEN!Z72</f>
        <v>0</v>
      </c>
      <c r="D211" s="185">
        <f t="shared" ca="1" si="151"/>
        <v>0</v>
      </c>
      <c r="E211" s="102"/>
      <c r="F211" s="102"/>
      <c r="G211" s="102"/>
      <c r="H211" s="102"/>
      <c r="I211" s="102"/>
      <c r="J211" s="102"/>
      <c r="K211" s="103"/>
      <c r="L211" s="103"/>
      <c r="M211" s="103"/>
      <c r="N211" s="103"/>
      <c r="O211" s="103"/>
      <c r="P211" s="103"/>
      <c r="Q211" s="103"/>
      <c r="R211" s="103"/>
      <c r="S211" s="103"/>
      <c r="T211" s="103"/>
      <c r="U211" s="103"/>
      <c r="V211" s="103"/>
      <c r="W211" s="103"/>
      <c r="X211" s="103"/>
      <c r="Y211" s="103"/>
      <c r="Z211" s="103"/>
      <c r="AA211" s="103"/>
      <c r="AB211" s="103"/>
      <c r="AC211" s="103"/>
      <c r="AD211" s="103"/>
      <c r="AE211" s="103"/>
      <c r="AF211" s="103"/>
      <c r="AG211" s="103"/>
      <c r="AH211" s="103"/>
      <c r="AI211" s="103"/>
      <c r="AJ211" s="103"/>
      <c r="AK211" s="103"/>
      <c r="AL211" s="103"/>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c r="BS211" s="103"/>
      <c r="BT211" s="103"/>
      <c r="BU211" s="103"/>
      <c r="BV211" s="103"/>
      <c r="BW211" s="103"/>
      <c r="BX211" s="103"/>
      <c r="BY211" s="103"/>
      <c r="BZ211" s="103"/>
      <c r="CA211" s="103"/>
      <c r="CB211" s="103"/>
      <c r="CC211" s="103"/>
      <c r="CD211" s="103"/>
      <c r="CE211" s="103"/>
      <c r="CF211" s="103"/>
      <c r="CG211" s="103"/>
      <c r="CH211" s="103"/>
      <c r="CI211" s="103"/>
      <c r="CJ211" s="103"/>
      <c r="CK211" s="103"/>
      <c r="CL211" s="103"/>
      <c r="CM211" s="103"/>
      <c r="CN211" s="103"/>
      <c r="CO211" s="103"/>
      <c r="CP211" s="103"/>
      <c r="CQ211" s="103"/>
      <c r="CR211" s="103"/>
      <c r="CS211" s="103"/>
      <c r="CT211" s="103"/>
    </row>
    <row r="212" spans="1:98">
      <c r="A212" s="189">
        <v>70</v>
      </c>
      <c r="B212" s="184">
        <f ca="1">+RESUMEN!Y73</f>
        <v>0</v>
      </c>
      <c r="C212" s="184">
        <f ca="1">+RESUMEN!Z73</f>
        <v>0</v>
      </c>
      <c r="D212" s="185">
        <f t="shared" ca="1" si="151"/>
        <v>0</v>
      </c>
      <c r="E212" s="102"/>
      <c r="F212" s="102"/>
      <c r="G212" s="102"/>
      <c r="H212" s="102"/>
      <c r="I212" s="102"/>
      <c r="J212" s="102"/>
      <c r="K212" s="103"/>
      <c r="L212" s="103"/>
      <c r="M212" s="103"/>
      <c r="N212" s="103"/>
      <c r="O212" s="103"/>
      <c r="P212" s="103"/>
      <c r="Q212" s="103"/>
      <c r="R212" s="103"/>
      <c r="S212" s="103"/>
      <c r="T212" s="103"/>
      <c r="U212" s="103"/>
      <c r="V212" s="103"/>
      <c r="W212" s="103"/>
      <c r="X212" s="103"/>
      <c r="Y212" s="103"/>
      <c r="Z212" s="103"/>
      <c r="AA212" s="103"/>
      <c r="AB212" s="103"/>
      <c r="AC212" s="103"/>
      <c r="AD212" s="103"/>
      <c r="AE212" s="103"/>
      <c r="AF212" s="103"/>
      <c r="AG212" s="103"/>
      <c r="AH212" s="103"/>
      <c r="AI212" s="103"/>
      <c r="AJ212" s="103"/>
      <c r="AK212" s="103"/>
      <c r="AL212" s="103"/>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c r="BS212" s="103"/>
      <c r="BT212" s="103"/>
      <c r="BU212" s="103"/>
      <c r="BV212" s="103"/>
      <c r="BW212" s="103"/>
      <c r="BX212" s="103"/>
      <c r="BY212" s="103"/>
      <c r="BZ212" s="103"/>
      <c r="CA212" s="103"/>
      <c r="CB212" s="103"/>
      <c r="CC212" s="103"/>
      <c r="CD212" s="103"/>
      <c r="CE212" s="103"/>
      <c r="CF212" s="103"/>
      <c r="CG212" s="103"/>
      <c r="CH212" s="103"/>
      <c r="CI212" s="103"/>
      <c r="CJ212" s="103"/>
      <c r="CK212" s="103"/>
      <c r="CL212" s="103"/>
      <c r="CM212" s="103"/>
      <c r="CN212" s="103"/>
      <c r="CO212" s="103"/>
      <c r="CP212" s="103"/>
      <c r="CQ212" s="103"/>
      <c r="CR212" s="103"/>
      <c r="CS212" s="103"/>
      <c r="CT212" s="103"/>
    </row>
    <row r="213" spans="1:98">
      <c r="A213" s="189">
        <v>71</v>
      </c>
      <c r="B213" s="184">
        <f ca="1">+RESUMEN!Y74</f>
        <v>0</v>
      </c>
      <c r="C213" s="184">
        <f ca="1">+RESUMEN!Z74</f>
        <v>0</v>
      </c>
      <c r="D213" s="185">
        <f t="shared" ca="1" si="151"/>
        <v>0</v>
      </c>
      <c r="E213" s="102"/>
      <c r="F213" s="102"/>
      <c r="G213" s="102"/>
      <c r="H213" s="102"/>
      <c r="I213" s="102"/>
      <c r="J213" s="102"/>
      <c r="K213" s="103"/>
      <c r="L213" s="103"/>
      <c r="M213" s="103"/>
      <c r="N213" s="103"/>
      <c r="O213" s="103"/>
      <c r="P213" s="103"/>
      <c r="Q213" s="103"/>
      <c r="R213" s="103"/>
      <c r="S213" s="103"/>
      <c r="T213" s="103"/>
      <c r="U213" s="103"/>
      <c r="V213" s="103"/>
      <c r="W213" s="103"/>
      <c r="X213" s="103"/>
      <c r="Y213" s="103"/>
      <c r="Z213" s="103"/>
      <c r="AA213" s="103"/>
      <c r="AB213" s="103"/>
      <c r="AC213" s="103"/>
      <c r="AD213" s="103"/>
      <c r="AE213" s="103"/>
      <c r="AF213" s="103"/>
      <c r="AG213" s="103"/>
      <c r="AH213" s="103"/>
      <c r="AI213" s="103"/>
      <c r="AJ213" s="103"/>
      <c r="AK213" s="103"/>
      <c r="AL213" s="103"/>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c r="BS213" s="103"/>
      <c r="BT213" s="103"/>
      <c r="BU213" s="103"/>
      <c r="BV213" s="103"/>
      <c r="BW213" s="103"/>
      <c r="BX213" s="103"/>
      <c r="BY213" s="103"/>
      <c r="BZ213" s="103"/>
      <c r="CA213" s="103"/>
      <c r="CB213" s="103"/>
      <c r="CC213" s="103"/>
      <c r="CD213" s="103"/>
      <c r="CE213" s="103"/>
      <c r="CF213" s="103"/>
      <c r="CG213" s="103"/>
      <c r="CH213" s="103"/>
      <c r="CI213" s="103"/>
      <c r="CJ213" s="103"/>
      <c r="CK213" s="103"/>
      <c r="CL213" s="103"/>
      <c r="CM213" s="103"/>
      <c r="CN213" s="103"/>
      <c r="CO213" s="103"/>
      <c r="CP213" s="103"/>
      <c r="CQ213" s="103"/>
      <c r="CR213" s="103"/>
      <c r="CS213" s="103"/>
      <c r="CT213" s="103"/>
    </row>
    <row r="214" spans="1:98">
      <c r="A214" s="189">
        <v>72</v>
      </c>
      <c r="B214" s="184">
        <f ca="1">+RESUMEN!Y75</f>
        <v>0</v>
      </c>
      <c r="C214" s="184">
        <f ca="1">+RESUMEN!Z75</f>
        <v>0</v>
      </c>
      <c r="D214" s="185">
        <f t="shared" ca="1" si="151"/>
        <v>0</v>
      </c>
      <c r="E214" s="102"/>
      <c r="F214" s="102"/>
      <c r="G214" s="102"/>
      <c r="H214" s="102"/>
      <c r="I214" s="102"/>
      <c r="J214" s="102"/>
      <c r="K214" s="103"/>
      <c r="L214" s="103"/>
      <c r="M214" s="103"/>
      <c r="N214" s="103"/>
      <c r="O214" s="103"/>
      <c r="P214" s="103"/>
      <c r="Q214" s="103"/>
      <c r="R214" s="103"/>
      <c r="S214" s="103"/>
      <c r="T214" s="103"/>
      <c r="U214" s="103"/>
      <c r="V214" s="103"/>
      <c r="W214" s="103"/>
      <c r="X214" s="103"/>
      <c r="Y214" s="103"/>
      <c r="Z214" s="103"/>
      <c r="AA214" s="103"/>
      <c r="AB214" s="103"/>
      <c r="AC214" s="103"/>
      <c r="AD214" s="103"/>
      <c r="AE214" s="103"/>
      <c r="AF214" s="103"/>
      <c r="AG214" s="103"/>
      <c r="AH214" s="103"/>
      <c r="AI214" s="103"/>
      <c r="AJ214" s="103"/>
      <c r="AK214" s="103"/>
      <c r="AL214" s="103"/>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c r="BS214" s="103"/>
      <c r="BT214" s="103"/>
      <c r="BU214" s="103"/>
      <c r="BV214" s="103"/>
      <c r="BW214" s="103"/>
      <c r="BX214" s="103"/>
      <c r="BY214" s="103"/>
      <c r="BZ214" s="103"/>
      <c r="CA214" s="103"/>
      <c r="CB214" s="103"/>
      <c r="CC214" s="103"/>
      <c r="CD214" s="103"/>
      <c r="CE214" s="103"/>
      <c r="CF214" s="103"/>
      <c r="CG214" s="103"/>
      <c r="CH214" s="103"/>
      <c r="CI214" s="103"/>
      <c r="CJ214" s="103"/>
      <c r="CK214" s="103"/>
      <c r="CL214" s="103"/>
      <c r="CM214" s="103"/>
      <c r="CN214" s="103"/>
      <c r="CO214" s="103"/>
      <c r="CP214" s="103"/>
      <c r="CQ214" s="103"/>
      <c r="CR214" s="103"/>
      <c r="CS214" s="103"/>
      <c r="CT214" s="103"/>
    </row>
    <row r="215" spans="1:98">
      <c r="A215" s="189">
        <v>73</v>
      </c>
      <c r="B215" s="184">
        <f ca="1">+RESUMEN!Y76</f>
        <v>0</v>
      </c>
      <c r="C215" s="184">
        <f ca="1">+RESUMEN!Z76</f>
        <v>0</v>
      </c>
      <c r="D215" s="185">
        <f t="shared" ca="1" si="151"/>
        <v>0</v>
      </c>
      <c r="E215" s="102"/>
      <c r="F215" s="102"/>
      <c r="G215" s="102"/>
      <c r="H215" s="102"/>
      <c r="I215" s="102"/>
      <c r="J215" s="102"/>
      <c r="K215" s="103"/>
      <c r="L215" s="103"/>
      <c r="M215" s="103"/>
      <c r="N215" s="103"/>
      <c r="O215" s="103"/>
      <c r="P215" s="103"/>
      <c r="Q215" s="103"/>
      <c r="R215" s="103"/>
      <c r="S215" s="103"/>
      <c r="T215" s="103"/>
      <c r="U215" s="103"/>
      <c r="V215" s="103"/>
      <c r="W215" s="103"/>
      <c r="X215" s="103"/>
      <c r="Y215" s="103"/>
      <c r="Z215" s="103"/>
      <c r="AA215" s="103"/>
      <c r="AB215" s="103"/>
      <c r="AC215" s="103"/>
      <c r="AD215" s="103"/>
      <c r="AE215" s="103"/>
      <c r="AF215" s="103"/>
      <c r="AG215" s="103"/>
      <c r="AH215" s="103"/>
      <c r="AI215" s="103"/>
      <c r="AJ215" s="103"/>
      <c r="AK215" s="103"/>
      <c r="AL215" s="103"/>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c r="BS215" s="103"/>
      <c r="BT215" s="103"/>
      <c r="BU215" s="103"/>
      <c r="BV215" s="103"/>
      <c r="BW215" s="103"/>
      <c r="BX215" s="103"/>
      <c r="BY215" s="103"/>
      <c r="BZ215" s="103"/>
      <c r="CA215" s="103"/>
      <c r="CB215" s="103"/>
      <c r="CC215" s="103"/>
      <c r="CD215" s="103"/>
      <c r="CE215" s="103"/>
      <c r="CF215" s="103"/>
      <c r="CG215" s="103"/>
      <c r="CH215" s="103"/>
      <c r="CI215" s="103"/>
      <c r="CJ215" s="103"/>
      <c r="CK215" s="103"/>
      <c r="CL215" s="103"/>
      <c r="CM215" s="103"/>
      <c r="CN215" s="103"/>
      <c r="CO215" s="103"/>
      <c r="CP215" s="103"/>
      <c r="CQ215" s="103"/>
      <c r="CR215" s="103"/>
      <c r="CS215" s="103"/>
      <c r="CT215" s="103"/>
    </row>
    <row r="216" spans="1:98">
      <c r="A216" s="189">
        <v>74</v>
      </c>
      <c r="B216" s="184">
        <f ca="1">+RESUMEN!Y77</f>
        <v>0</v>
      </c>
      <c r="C216" s="184">
        <f ca="1">+RESUMEN!Z77</f>
        <v>0</v>
      </c>
      <c r="D216" s="185">
        <f t="shared" ca="1" si="151"/>
        <v>0</v>
      </c>
      <c r="E216" s="102"/>
      <c r="F216" s="102"/>
      <c r="G216" s="102"/>
      <c r="H216" s="102"/>
      <c r="I216" s="102"/>
      <c r="J216" s="102"/>
      <c r="K216" s="103"/>
      <c r="L216" s="103"/>
      <c r="M216" s="103"/>
      <c r="N216" s="103"/>
      <c r="O216" s="103"/>
      <c r="P216" s="103"/>
      <c r="Q216" s="103"/>
      <c r="R216" s="103"/>
      <c r="S216" s="103"/>
      <c r="T216" s="103"/>
      <c r="U216" s="103"/>
      <c r="V216" s="103"/>
      <c r="W216" s="103"/>
      <c r="X216" s="103"/>
      <c r="Y216" s="103"/>
      <c r="Z216" s="103"/>
      <c r="AA216" s="103"/>
      <c r="AB216" s="103"/>
      <c r="AC216" s="103"/>
      <c r="AD216" s="103"/>
      <c r="AE216" s="103"/>
      <c r="AF216" s="103"/>
      <c r="AG216" s="103"/>
      <c r="AH216" s="103"/>
      <c r="AI216" s="103"/>
      <c r="AJ216" s="103"/>
      <c r="AK216" s="103"/>
      <c r="AL216" s="103"/>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c r="BS216" s="103"/>
      <c r="BT216" s="103"/>
      <c r="BU216" s="103"/>
      <c r="BV216" s="103"/>
      <c r="BW216" s="103"/>
      <c r="BX216" s="103"/>
      <c r="BY216" s="103"/>
      <c r="BZ216" s="103"/>
      <c r="CA216" s="103"/>
      <c r="CB216" s="103"/>
      <c r="CC216" s="103"/>
      <c r="CD216" s="103"/>
      <c r="CE216" s="103"/>
      <c r="CF216" s="103"/>
      <c r="CG216" s="103"/>
      <c r="CH216" s="103"/>
      <c r="CI216" s="103"/>
      <c r="CJ216" s="103"/>
      <c r="CK216" s="103"/>
      <c r="CL216" s="103"/>
      <c r="CM216" s="103"/>
      <c r="CN216" s="103"/>
      <c r="CO216" s="103"/>
      <c r="CP216" s="103"/>
      <c r="CQ216" s="103"/>
      <c r="CR216" s="103"/>
      <c r="CS216" s="103"/>
      <c r="CT216" s="103"/>
    </row>
    <row r="217" spans="1:98">
      <c r="A217" s="189">
        <v>75</v>
      </c>
      <c r="B217" s="184">
        <f ca="1">+RESUMEN!Y78</f>
        <v>0</v>
      </c>
      <c r="C217" s="184">
        <f ca="1">+RESUMEN!Z78</f>
        <v>0</v>
      </c>
      <c r="D217" s="185">
        <f t="shared" ca="1" si="151"/>
        <v>0</v>
      </c>
      <c r="E217" s="102"/>
      <c r="F217" s="102"/>
      <c r="G217" s="102"/>
      <c r="H217" s="102"/>
      <c r="I217" s="102"/>
      <c r="J217" s="102"/>
      <c r="K217" s="103"/>
      <c r="L217" s="103"/>
      <c r="M217" s="103"/>
      <c r="N217" s="103"/>
      <c r="O217" s="103"/>
      <c r="P217" s="103"/>
      <c r="Q217" s="103"/>
      <c r="R217" s="103"/>
      <c r="S217" s="103"/>
      <c r="T217" s="103"/>
      <c r="U217" s="103"/>
      <c r="V217" s="103"/>
      <c r="W217" s="103"/>
      <c r="X217" s="103"/>
      <c r="Y217" s="103"/>
      <c r="Z217" s="103"/>
      <c r="AA217" s="103"/>
      <c r="AB217" s="103"/>
      <c r="AC217" s="103"/>
      <c r="AD217" s="103"/>
      <c r="AE217" s="103"/>
      <c r="AF217" s="103"/>
      <c r="AG217" s="103"/>
      <c r="AH217" s="103"/>
      <c r="AI217" s="103"/>
      <c r="AJ217" s="103"/>
      <c r="AK217" s="103"/>
      <c r="AL217" s="103"/>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c r="BS217" s="103"/>
      <c r="BT217" s="103"/>
      <c r="BU217" s="103"/>
      <c r="BV217" s="103"/>
      <c r="BW217" s="103"/>
      <c r="BX217" s="103"/>
      <c r="BY217" s="103"/>
      <c r="BZ217" s="103"/>
      <c r="CA217" s="103"/>
      <c r="CB217" s="103"/>
      <c r="CC217" s="103"/>
      <c r="CD217" s="103"/>
      <c r="CE217" s="103"/>
      <c r="CF217" s="103"/>
      <c r="CG217" s="103"/>
      <c r="CH217" s="103"/>
      <c r="CI217" s="103"/>
      <c r="CJ217" s="103"/>
      <c r="CK217" s="103"/>
      <c r="CL217" s="103"/>
      <c r="CM217" s="103"/>
      <c r="CN217" s="103"/>
      <c r="CO217" s="103"/>
      <c r="CP217" s="103"/>
      <c r="CQ217" s="103"/>
      <c r="CR217" s="103"/>
      <c r="CS217" s="103"/>
      <c r="CT217" s="103"/>
    </row>
    <row r="218" spans="1:98">
      <c r="A218" s="189">
        <v>76</v>
      </c>
      <c r="B218" s="184">
        <f ca="1">+RESUMEN!Y79</f>
        <v>0</v>
      </c>
      <c r="C218" s="184">
        <f ca="1">+RESUMEN!Z79</f>
        <v>0</v>
      </c>
      <c r="D218" s="185">
        <f t="shared" ca="1" si="151"/>
        <v>0</v>
      </c>
      <c r="E218" s="102"/>
      <c r="F218" s="102"/>
      <c r="G218" s="102"/>
      <c r="H218" s="102"/>
      <c r="I218" s="102"/>
      <c r="J218" s="102"/>
      <c r="K218" s="103"/>
      <c r="L218" s="103"/>
      <c r="M218" s="103"/>
      <c r="N218" s="103"/>
      <c r="O218" s="103"/>
      <c r="P218" s="103"/>
      <c r="Q218" s="103"/>
      <c r="R218" s="103"/>
      <c r="S218" s="103"/>
      <c r="T218" s="103"/>
      <c r="U218" s="103"/>
      <c r="V218" s="103"/>
      <c r="W218" s="103"/>
      <c r="X218" s="103"/>
      <c r="Y218" s="103"/>
      <c r="Z218" s="103"/>
      <c r="AA218" s="103"/>
      <c r="AB218" s="103"/>
      <c r="AC218" s="103"/>
      <c r="AD218" s="103"/>
      <c r="AE218" s="103"/>
      <c r="AF218" s="103"/>
      <c r="AG218" s="103"/>
      <c r="AH218" s="103"/>
      <c r="AI218" s="103"/>
      <c r="AJ218" s="103"/>
      <c r="AK218" s="103"/>
      <c r="AL218" s="103"/>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c r="BS218" s="103"/>
      <c r="BT218" s="103"/>
      <c r="BU218" s="103"/>
      <c r="BV218" s="103"/>
      <c r="BW218" s="103"/>
      <c r="BX218" s="103"/>
      <c r="BY218" s="103"/>
      <c r="BZ218" s="103"/>
      <c r="CA218" s="103"/>
      <c r="CB218" s="103"/>
      <c r="CC218" s="103"/>
      <c r="CD218" s="103"/>
      <c r="CE218" s="103"/>
      <c r="CF218" s="103"/>
      <c r="CG218" s="103"/>
      <c r="CH218" s="103"/>
      <c r="CI218" s="103"/>
      <c r="CJ218" s="103"/>
      <c r="CK218" s="103"/>
      <c r="CL218" s="103"/>
      <c r="CM218" s="103"/>
      <c r="CN218" s="103"/>
      <c r="CO218" s="103"/>
      <c r="CP218" s="103"/>
      <c r="CQ218" s="103"/>
      <c r="CR218" s="103"/>
      <c r="CS218" s="103"/>
      <c r="CT218" s="103"/>
    </row>
    <row r="219" spans="1:98">
      <c r="A219" s="189">
        <v>77</v>
      </c>
      <c r="B219" s="184">
        <f ca="1">+RESUMEN!Y80</f>
        <v>0</v>
      </c>
      <c r="C219" s="184">
        <f ca="1">+RESUMEN!Z80</f>
        <v>0</v>
      </c>
      <c r="D219" s="185">
        <f t="shared" ca="1" si="151"/>
        <v>0</v>
      </c>
      <c r="E219" s="102"/>
      <c r="F219" s="102"/>
      <c r="G219" s="102"/>
      <c r="H219" s="102"/>
      <c r="I219" s="102"/>
      <c r="J219" s="102"/>
      <c r="K219" s="103"/>
      <c r="L219" s="103"/>
      <c r="M219" s="103"/>
      <c r="N219" s="103"/>
      <c r="O219" s="103"/>
      <c r="P219" s="103"/>
      <c r="Q219" s="103"/>
      <c r="R219" s="103"/>
      <c r="S219" s="103"/>
      <c r="T219" s="103"/>
      <c r="U219" s="103"/>
      <c r="V219" s="103"/>
      <c r="W219" s="103"/>
      <c r="X219" s="103"/>
      <c r="Y219" s="103"/>
      <c r="Z219" s="103"/>
      <c r="AA219" s="103"/>
      <c r="AB219" s="103"/>
      <c r="AC219" s="103"/>
      <c r="AD219" s="103"/>
      <c r="AE219" s="103"/>
      <c r="AF219" s="103"/>
      <c r="AG219" s="103"/>
      <c r="AH219" s="103"/>
      <c r="AI219" s="103"/>
      <c r="AJ219" s="103"/>
      <c r="AK219" s="103"/>
      <c r="AL219" s="103"/>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c r="BS219" s="103"/>
      <c r="BT219" s="103"/>
      <c r="BU219" s="103"/>
      <c r="BV219" s="103"/>
      <c r="BW219" s="103"/>
      <c r="BX219" s="103"/>
      <c r="BY219" s="103"/>
      <c r="BZ219" s="103"/>
      <c r="CA219" s="103"/>
      <c r="CB219" s="103"/>
      <c r="CC219" s="103"/>
      <c r="CD219" s="103"/>
      <c r="CE219" s="103"/>
      <c r="CF219" s="103"/>
      <c r="CG219" s="103"/>
      <c r="CH219" s="103"/>
      <c r="CI219" s="103"/>
      <c r="CJ219" s="103"/>
      <c r="CK219" s="103"/>
      <c r="CL219" s="103"/>
      <c r="CM219" s="103"/>
      <c r="CN219" s="103"/>
      <c r="CO219" s="103"/>
      <c r="CP219" s="103"/>
      <c r="CQ219" s="103"/>
      <c r="CR219" s="103"/>
      <c r="CS219" s="103"/>
      <c r="CT219" s="103"/>
    </row>
    <row r="220" spans="1:98">
      <c r="A220" s="189">
        <v>78</v>
      </c>
      <c r="B220" s="184">
        <f ca="1">+RESUMEN!Y81</f>
        <v>0</v>
      </c>
      <c r="C220" s="184">
        <f ca="1">+RESUMEN!Z81</f>
        <v>0</v>
      </c>
      <c r="D220" s="185">
        <f t="shared" ca="1" si="151"/>
        <v>0</v>
      </c>
      <c r="E220" s="102"/>
      <c r="F220" s="102"/>
      <c r="G220" s="102"/>
      <c r="H220" s="102"/>
      <c r="I220" s="102"/>
      <c r="J220" s="102"/>
      <c r="K220" s="103"/>
      <c r="L220" s="103"/>
      <c r="M220" s="103"/>
      <c r="N220" s="103"/>
      <c r="O220" s="103"/>
      <c r="P220" s="103"/>
      <c r="Q220" s="103"/>
      <c r="R220" s="103"/>
      <c r="S220" s="103"/>
      <c r="T220" s="103"/>
      <c r="U220" s="103"/>
      <c r="V220" s="103"/>
      <c r="W220" s="103"/>
      <c r="X220" s="103"/>
      <c r="Y220" s="103"/>
      <c r="Z220" s="103"/>
      <c r="AA220" s="103"/>
      <c r="AB220" s="103"/>
      <c r="AC220" s="103"/>
      <c r="AD220" s="103"/>
      <c r="AE220" s="103"/>
      <c r="AF220" s="103"/>
      <c r="AG220" s="103"/>
      <c r="AH220" s="103"/>
      <c r="AI220" s="103"/>
      <c r="AJ220" s="103"/>
      <c r="AK220" s="103"/>
      <c r="AL220" s="103"/>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c r="BS220" s="103"/>
      <c r="BT220" s="103"/>
      <c r="BU220" s="103"/>
      <c r="BV220" s="103"/>
      <c r="BW220" s="103"/>
      <c r="BX220" s="103"/>
      <c r="BY220" s="103"/>
      <c r="BZ220" s="103"/>
      <c r="CA220" s="103"/>
      <c r="CB220" s="103"/>
      <c r="CC220" s="103"/>
      <c r="CD220" s="103"/>
      <c r="CE220" s="103"/>
      <c r="CF220" s="103"/>
      <c r="CG220" s="103"/>
      <c r="CH220" s="103"/>
      <c r="CI220" s="103"/>
      <c r="CJ220" s="103"/>
      <c r="CK220" s="103"/>
      <c r="CL220" s="103"/>
      <c r="CM220" s="103"/>
      <c r="CN220" s="103"/>
      <c r="CO220" s="103"/>
      <c r="CP220" s="103"/>
      <c r="CQ220" s="103"/>
      <c r="CR220" s="103"/>
      <c r="CS220" s="103"/>
      <c r="CT220" s="103"/>
    </row>
    <row r="221" spans="1:98">
      <c r="A221" s="189">
        <v>79</v>
      </c>
      <c r="B221" s="184">
        <f ca="1">+RESUMEN!Y82</f>
        <v>0</v>
      </c>
      <c r="C221" s="184">
        <f ca="1">+RESUMEN!Z82</f>
        <v>0</v>
      </c>
      <c r="D221" s="185">
        <f t="shared" ca="1" si="151"/>
        <v>0</v>
      </c>
      <c r="E221" s="102"/>
      <c r="F221" s="102"/>
      <c r="G221" s="102"/>
      <c r="H221" s="102"/>
      <c r="I221" s="102"/>
      <c r="J221" s="102"/>
      <c r="K221" s="103"/>
      <c r="L221" s="103"/>
      <c r="M221" s="103"/>
      <c r="N221" s="103"/>
      <c r="O221" s="103"/>
      <c r="P221" s="103"/>
      <c r="Q221" s="103"/>
      <c r="R221" s="103"/>
      <c r="S221" s="103"/>
      <c r="T221" s="103"/>
      <c r="U221" s="103"/>
      <c r="V221" s="103"/>
      <c r="W221" s="103"/>
      <c r="X221" s="103"/>
      <c r="Y221" s="103"/>
      <c r="Z221" s="103"/>
      <c r="AA221" s="103"/>
      <c r="AB221" s="103"/>
      <c r="AC221" s="103"/>
      <c r="AD221" s="103"/>
      <c r="AE221" s="103"/>
      <c r="AF221" s="103"/>
      <c r="AG221" s="103"/>
      <c r="AH221" s="103"/>
      <c r="AI221" s="103"/>
      <c r="AJ221" s="103"/>
      <c r="AK221" s="103"/>
      <c r="AL221" s="103"/>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c r="BS221" s="103"/>
      <c r="BT221" s="103"/>
      <c r="BU221" s="103"/>
      <c r="BV221" s="103"/>
      <c r="BW221" s="103"/>
      <c r="BX221" s="103"/>
      <c r="BY221" s="103"/>
      <c r="BZ221" s="103"/>
      <c r="CA221" s="103"/>
      <c r="CB221" s="103"/>
      <c r="CC221" s="103"/>
      <c r="CD221" s="103"/>
      <c r="CE221" s="103"/>
      <c r="CF221" s="103"/>
      <c r="CG221" s="103"/>
      <c r="CH221" s="103"/>
      <c r="CI221" s="103"/>
      <c r="CJ221" s="103"/>
      <c r="CK221" s="103"/>
      <c r="CL221" s="103"/>
      <c r="CM221" s="103"/>
      <c r="CN221" s="103"/>
      <c r="CO221" s="103"/>
      <c r="CP221" s="103"/>
      <c r="CQ221" s="103"/>
      <c r="CR221" s="103"/>
      <c r="CS221" s="103"/>
      <c r="CT221" s="103"/>
    </row>
    <row r="222" spans="1:98">
      <c r="A222" s="189">
        <v>80</v>
      </c>
      <c r="B222" s="184">
        <f ca="1">+RESUMEN!Y83</f>
        <v>0</v>
      </c>
      <c r="C222" s="184">
        <f ca="1">+RESUMEN!Z83</f>
        <v>0</v>
      </c>
      <c r="D222" s="185">
        <f t="shared" ca="1" si="151"/>
        <v>0</v>
      </c>
      <c r="E222" s="102"/>
      <c r="F222" s="102"/>
      <c r="G222" s="102"/>
      <c r="H222" s="102"/>
      <c r="I222" s="102"/>
      <c r="J222" s="102"/>
      <c r="K222" s="103"/>
      <c r="L222" s="103"/>
      <c r="M222" s="103"/>
      <c r="N222" s="103"/>
      <c r="O222" s="103"/>
      <c r="P222" s="103"/>
      <c r="Q222" s="103"/>
      <c r="R222" s="103"/>
      <c r="S222" s="103"/>
      <c r="T222" s="103"/>
      <c r="U222" s="103"/>
      <c r="V222" s="103"/>
      <c r="W222" s="103"/>
      <c r="X222" s="103"/>
      <c r="Y222" s="103"/>
      <c r="Z222" s="103"/>
      <c r="AA222" s="103"/>
      <c r="AB222" s="103"/>
      <c r="AC222" s="103"/>
      <c r="AD222" s="103"/>
      <c r="AE222" s="103"/>
      <c r="AF222" s="103"/>
      <c r="AG222" s="103"/>
      <c r="AH222" s="103"/>
      <c r="AI222" s="103"/>
      <c r="AJ222" s="103"/>
      <c r="AK222" s="103"/>
      <c r="AL222" s="103"/>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c r="BS222" s="103"/>
      <c r="BT222" s="103"/>
      <c r="BU222" s="103"/>
      <c r="BV222" s="103"/>
      <c r="BW222" s="103"/>
      <c r="BX222" s="103"/>
      <c r="BY222" s="103"/>
      <c r="BZ222" s="103"/>
      <c r="CA222" s="103"/>
      <c r="CB222" s="103"/>
      <c r="CC222" s="103"/>
      <c r="CD222" s="103"/>
      <c r="CE222" s="103"/>
      <c r="CF222" s="103"/>
      <c r="CG222" s="103"/>
      <c r="CH222" s="103"/>
      <c r="CI222" s="103"/>
      <c r="CJ222" s="103"/>
      <c r="CK222" s="103"/>
      <c r="CL222" s="103"/>
      <c r="CM222" s="103"/>
      <c r="CN222" s="103"/>
      <c r="CO222" s="103"/>
      <c r="CP222" s="103"/>
      <c r="CQ222" s="103"/>
      <c r="CR222" s="103"/>
      <c r="CS222" s="103"/>
      <c r="CT222" s="103"/>
    </row>
    <row r="223" spans="1:98">
      <c r="A223" s="189">
        <v>81</v>
      </c>
      <c r="B223" s="184">
        <f ca="1">+RESUMEN!Y84</f>
        <v>0</v>
      </c>
      <c r="C223" s="184">
        <f ca="1">+RESUMEN!Z84</f>
        <v>0</v>
      </c>
      <c r="D223" s="185">
        <f t="shared" ca="1" si="151"/>
        <v>0</v>
      </c>
      <c r="E223" s="102"/>
      <c r="F223" s="102"/>
      <c r="G223" s="102"/>
      <c r="H223" s="102"/>
      <c r="I223" s="102"/>
      <c r="J223" s="102"/>
      <c r="K223" s="103"/>
      <c r="L223" s="103"/>
      <c r="M223" s="103"/>
      <c r="N223" s="103"/>
      <c r="O223" s="103"/>
      <c r="P223" s="103"/>
      <c r="Q223" s="103"/>
      <c r="R223" s="103"/>
      <c r="S223" s="103"/>
      <c r="T223" s="103"/>
      <c r="U223" s="103"/>
      <c r="V223" s="103"/>
      <c r="W223" s="103"/>
      <c r="X223" s="103"/>
      <c r="Y223" s="103"/>
      <c r="Z223" s="103"/>
      <c r="AA223" s="103"/>
      <c r="AB223" s="103"/>
      <c r="AC223" s="103"/>
      <c r="AD223" s="103"/>
      <c r="AE223" s="103"/>
      <c r="AF223" s="103"/>
      <c r="AG223" s="103"/>
      <c r="AH223" s="103"/>
      <c r="AI223" s="103"/>
      <c r="AJ223" s="103"/>
      <c r="AK223" s="103"/>
      <c r="AL223" s="103"/>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c r="BS223" s="103"/>
      <c r="BT223" s="103"/>
      <c r="BU223" s="103"/>
      <c r="BV223" s="103"/>
      <c r="BW223" s="103"/>
      <c r="BX223" s="103"/>
      <c r="BY223" s="103"/>
      <c r="BZ223" s="103"/>
      <c r="CA223" s="103"/>
      <c r="CB223" s="103"/>
      <c r="CC223" s="103"/>
      <c r="CD223" s="103"/>
      <c r="CE223" s="103"/>
      <c r="CF223" s="103"/>
      <c r="CG223" s="103"/>
      <c r="CH223" s="103"/>
      <c r="CI223" s="103"/>
      <c r="CJ223" s="103"/>
      <c r="CK223" s="103"/>
      <c r="CL223" s="103"/>
      <c r="CM223" s="103"/>
      <c r="CN223" s="103"/>
      <c r="CO223" s="103"/>
      <c r="CP223" s="103"/>
      <c r="CQ223" s="103"/>
      <c r="CR223" s="103"/>
      <c r="CS223" s="103"/>
      <c r="CT223" s="103"/>
    </row>
    <row r="224" spans="1:98">
      <c r="A224" s="189">
        <v>82</v>
      </c>
      <c r="B224" s="184">
        <f ca="1">+RESUMEN!Y85</f>
        <v>0</v>
      </c>
      <c r="C224" s="184">
        <f ca="1">+RESUMEN!Z85</f>
        <v>0</v>
      </c>
      <c r="D224" s="185">
        <f t="shared" ca="1" si="151"/>
        <v>0</v>
      </c>
      <c r="E224" s="102"/>
      <c r="F224" s="102"/>
      <c r="G224" s="102"/>
      <c r="H224" s="102"/>
      <c r="I224" s="102"/>
      <c r="J224" s="102"/>
      <c r="K224" s="103"/>
      <c r="L224" s="103"/>
      <c r="M224" s="103"/>
      <c r="N224" s="103"/>
      <c r="O224" s="103"/>
      <c r="P224" s="103"/>
      <c r="Q224" s="103"/>
      <c r="R224" s="103"/>
      <c r="S224" s="103"/>
      <c r="T224" s="103"/>
      <c r="U224" s="103"/>
      <c r="V224" s="103"/>
      <c r="W224" s="103"/>
      <c r="X224" s="103"/>
      <c r="Y224" s="103"/>
      <c r="Z224" s="103"/>
      <c r="AA224" s="103"/>
      <c r="AB224" s="103"/>
      <c r="AC224" s="103"/>
      <c r="AD224" s="103"/>
      <c r="AE224" s="103"/>
      <c r="AF224" s="103"/>
      <c r="AG224" s="103"/>
      <c r="AH224" s="103"/>
      <c r="AI224" s="103"/>
      <c r="AJ224" s="103"/>
      <c r="AK224" s="103"/>
      <c r="AL224" s="103"/>
      <c r="AM224" s="103"/>
      <c r="AN224" s="103"/>
      <c r="AO224" s="103"/>
      <c r="AP224" s="103"/>
      <c r="AQ224" s="103"/>
      <c r="AR224" s="103"/>
      <c r="AS224" s="103"/>
      <c r="AT224" s="103"/>
      <c r="AU224" s="103"/>
      <c r="AV224" s="103"/>
      <c r="AW224" s="103"/>
      <c r="AX224" s="103"/>
      <c r="AY224" s="103"/>
      <c r="AZ224" s="103"/>
      <c r="BA224" s="103"/>
      <c r="BB224" s="103"/>
      <c r="BC224" s="103"/>
      <c r="BD224" s="103"/>
      <c r="BE224" s="103"/>
      <c r="BF224" s="103"/>
      <c r="BG224" s="103"/>
      <c r="BH224" s="103"/>
      <c r="BI224" s="103"/>
      <c r="BJ224" s="103"/>
      <c r="BK224" s="103"/>
      <c r="BL224" s="103"/>
      <c r="BM224" s="103"/>
      <c r="BN224" s="103"/>
      <c r="BO224" s="103"/>
      <c r="BP224" s="103"/>
      <c r="BQ224" s="103"/>
      <c r="BR224" s="103"/>
      <c r="BS224" s="103"/>
      <c r="BT224" s="103"/>
      <c r="BU224" s="103"/>
      <c r="BV224" s="103"/>
      <c r="BW224" s="103"/>
      <c r="BX224" s="103"/>
      <c r="BY224" s="103"/>
      <c r="BZ224" s="103"/>
      <c r="CA224" s="103"/>
      <c r="CB224" s="103"/>
      <c r="CC224" s="103"/>
      <c r="CD224" s="103"/>
      <c r="CE224" s="103"/>
      <c r="CF224" s="103"/>
      <c r="CG224" s="103"/>
      <c r="CH224" s="103"/>
      <c r="CI224" s="103"/>
      <c r="CJ224" s="103"/>
      <c r="CK224" s="103"/>
      <c r="CL224" s="103"/>
      <c r="CM224" s="103"/>
      <c r="CN224" s="103"/>
      <c r="CO224" s="103"/>
      <c r="CP224" s="103"/>
      <c r="CQ224" s="103"/>
      <c r="CR224" s="103"/>
      <c r="CS224" s="103"/>
      <c r="CT224" s="103"/>
    </row>
    <row r="225" spans="1:98">
      <c r="A225" s="189">
        <v>83</v>
      </c>
      <c r="B225" s="184">
        <f ca="1">+RESUMEN!Y86</f>
        <v>0</v>
      </c>
      <c r="C225" s="184">
        <f ca="1">+RESUMEN!Z86</f>
        <v>0</v>
      </c>
      <c r="D225" s="185">
        <f t="shared" ca="1" si="151"/>
        <v>0</v>
      </c>
      <c r="E225" s="102"/>
      <c r="F225" s="102"/>
      <c r="G225" s="102"/>
      <c r="H225" s="102"/>
      <c r="I225" s="102"/>
      <c r="J225" s="102"/>
      <c r="K225" s="103"/>
      <c r="L225" s="103"/>
      <c r="M225" s="103"/>
      <c r="N225" s="103"/>
      <c r="O225" s="103"/>
      <c r="P225" s="103"/>
      <c r="Q225" s="103"/>
      <c r="R225" s="103"/>
      <c r="S225" s="103"/>
      <c r="T225" s="103"/>
      <c r="U225" s="103"/>
      <c r="V225" s="103"/>
      <c r="W225" s="103"/>
      <c r="X225" s="103"/>
      <c r="Y225" s="103"/>
      <c r="Z225" s="103"/>
      <c r="AA225" s="103"/>
      <c r="AB225" s="103"/>
      <c r="AC225" s="103"/>
      <c r="AD225" s="103"/>
      <c r="AE225" s="103"/>
      <c r="AF225" s="103"/>
      <c r="AG225" s="103"/>
      <c r="AH225" s="103"/>
      <c r="AI225" s="103"/>
      <c r="AJ225" s="103"/>
      <c r="AK225" s="103"/>
      <c r="AL225" s="103"/>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c r="BS225" s="103"/>
      <c r="BT225" s="103"/>
      <c r="BU225" s="103"/>
      <c r="BV225" s="103"/>
      <c r="BW225" s="103"/>
      <c r="BX225" s="103"/>
      <c r="BY225" s="103"/>
      <c r="BZ225" s="103"/>
      <c r="CA225" s="103"/>
      <c r="CB225" s="103"/>
      <c r="CC225" s="103"/>
      <c r="CD225" s="103"/>
      <c r="CE225" s="103"/>
      <c r="CF225" s="103"/>
      <c r="CG225" s="103"/>
      <c r="CH225" s="103"/>
      <c r="CI225" s="103"/>
      <c r="CJ225" s="103"/>
      <c r="CK225" s="103"/>
      <c r="CL225" s="103"/>
      <c r="CM225" s="103"/>
      <c r="CN225" s="103"/>
      <c r="CO225" s="103"/>
      <c r="CP225" s="103"/>
      <c r="CQ225" s="103"/>
      <c r="CR225" s="103"/>
      <c r="CS225" s="103"/>
      <c r="CT225" s="103"/>
    </row>
    <row r="226" spans="1:98">
      <c r="A226" s="189">
        <v>84</v>
      </c>
      <c r="B226" s="184">
        <f ca="1">+RESUMEN!Y87</f>
        <v>0</v>
      </c>
      <c r="C226" s="184">
        <f ca="1">+RESUMEN!Z87</f>
        <v>0</v>
      </c>
      <c r="D226" s="185">
        <f t="shared" ca="1" si="151"/>
        <v>0</v>
      </c>
      <c r="E226" s="102"/>
      <c r="F226" s="102"/>
      <c r="G226" s="102"/>
      <c r="H226" s="102"/>
      <c r="I226" s="102"/>
      <c r="J226" s="102"/>
      <c r="K226" s="103"/>
      <c r="L226" s="103"/>
      <c r="M226" s="103"/>
      <c r="N226" s="103"/>
      <c r="O226" s="103"/>
      <c r="P226" s="103"/>
      <c r="Q226" s="103"/>
      <c r="R226" s="103"/>
      <c r="S226" s="103"/>
      <c r="T226" s="103"/>
      <c r="U226" s="103"/>
      <c r="V226" s="103"/>
      <c r="W226" s="103"/>
      <c r="X226" s="103"/>
      <c r="Y226" s="103"/>
      <c r="Z226" s="103"/>
      <c r="AA226" s="103"/>
      <c r="AB226" s="103"/>
      <c r="AC226" s="103"/>
      <c r="AD226" s="103"/>
      <c r="AE226" s="103"/>
      <c r="AF226" s="103"/>
      <c r="AG226" s="103"/>
      <c r="AH226" s="103"/>
      <c r="AI226" s="103"/>
      <c r="AJ226" s="103"/>
      <c r="AK226" s="103"/>
      <c r="AL226" s="103"/>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c r="BS226" s="103"/>
      <c r="BT226" s="103"/>
      <c r="BU226" s="103"/>
      <c r="BV226" s="103"/>
      <c r="BW226" s="103"/>
      <c r="BX226" s="103"/>
      <c r="BY226" s="103"/>
      <c r="BZ226" s="103"/>
      <c r="CA226" s="103"/>
      <c r="CB226" s="103"/>
      <c r="CC226" s="103"/>
      <c r="CD226" s="103"/>
      <c r="CE226" s="103"/>
      <c r="CF226" s="103"/>
      <c r="CG226" s="103"/>
      <c r="CH226" s="103"/>
      <c r="CI226" s="103"/>
      <c r="CJ226" s="103"/>
      <c r="CK226" s="103"/>
      <c r="CL226" s="103"/>
      <c r="CM226" s="103"/>
      <c r="CN226" s="103"/>
      <c r="CO226" s="103"/>
      <c r="CP226" s="103"/>
      <c r="CQ226" s="103"/>
      <c r="CR226" s="103"/>
      <c r="CS226" s="103"/>
      <c r="CT226" s="103"/>
    </row>
    <row r="227" spans="1:98">
      <c r="A227" s="189">
        <v>85</v>
      </c>
      <c r="B227" s="184">
        <f ca="1">+RESUMEN!Y88</f>
        <v>0</v>
      </c>
      <c r="C227" s="184">
        <f ca="1">+RESUMEN!Z88</f>
        <v>0</v>
      </c>
      <c r="D227" s="185">
        <f t="shared" ca="1" si="151"/>
        <v>0</v>
      </c>
      <c r="E227" s="102"/>
      <c r="F227" s="102"/>
      <c r="G227" s="102"/>
      <c r="H227" s="102"/>
      <c r="I227" s="102"/>
      <c r="J227" s="102"/>
      <c r="K227" s="103"/>
      <c r="L227" s="103"/>
      <c r="M227" s="103"/>
      <c r="N227" s="103"/>
      <c r="O227" s="103"/>
      <c r="P227" s="103"/>
      <c r="Q227" s="103"/>
      <c r="R227" s="103"/>
      <c r="S227" s="103"/>
      <c r="T227" s="103"/>
      <c r="U227" s="103"/>
      <c r="V227" s="103"/>
      <c r="W227" s="103"/>
      <c r="X227" s="103"/>
      <c r="Y227" s="103"/>
      <c r="Z227" s="103"/>
      <c r="AA227" s="103"/>
      <c r="AB227" s="103"/>
      <c r="AC227" s="103"/>
      <c r="AD227" s="103"/>
      <c r="AE227" s="103"/>
      <c r="AF227" s="103"/>
      <c r="AG227" s="103"/>
      <c r="AH227" s="103"/>
      <c r="AI227" s="103"/>
      <c r="AJ227" s="103"/>
      <c r="AK227" s="103"/>
      <c r="AL227" s="103"/>
      <c r="AM227" s="103"/>
      <c r="AN227" s="103"/>
      <c r="AO227" s="103"/>
      <c r="AP227" s="103"/>
      <c r="AQ227" s="103"/>
      <c r="AR227" s="103"/>
      <c r="AS227" s="103"/>
      <c r="AT227" s="103"/>
      <c r="AU227" s="103"/>
      <c r="AV227" s="103"/>
      <c r="AW227" s="103"/>
      <c r="AX227" s="103"/>
      <c r="AY227" s="103"/>
      <c r="AZ227" s="103"/>
      <c r="BA227" s="103"/>
      <c r="BB227" s="103"/>
      <c r="BC227" s="103"/>
      <c r="BD227" s="103"/>
      <c r="BE227" s="103"/>
      <c r="BF227" s="103"/>
      <c r="BG227" s="103"/>
      <c r="BH227" s="103"/>
      <c r="BI227" s="103"/>
      <c r="BJ227" s="103"/>
      <c r="BK227" s="103"/>
      <c r="BL227" s="103"/>
      <c r="BM227" s="103"/>
      <c r="BN227" s="103"/>
      <c r="BO227" s="103"/>
      <c r="BP227" s="103"/>
      <c r="BQ227" s="103"/>
      <c r="BR227" s="103"/>
      <c r="BS227" s="103"/>
      <c r="BT227" s="103"/>
      <c r="BU227" s="103"/>
      <c r="BV227" s="103"/>
      <c r="BW227" s="103"/>
      <c r="BX227" s="103"/>
      <c r="BY227" s="103"/>
      <c r="BZ227" s="103"/>
      <c r="CA227" s="103"/>
      <c r="CB227" s="103"/>
      <c r="CC227" s="103"/>
      <c r="CD227" s="103"/>
      <c r="CE227" s="103"/>
      <c r="CF227" s="103"/>
      <c r="CG227" s="103"/>
      <c r="CH227" s="103"/>
      <c r="CI227" s="103"/>
      <c r="CJ227" s="103"/>
      <c r="CK227" s="103"/>
      <c r="CL227" s="103"/>
      <c r="CM227" s="103"/>
      <c r="CN227" s="103"/>
      <c r="CO227" s="103"/>
      <c r="CP227" s="103"/>
      <c r="CQ227" s="103"/>
      <c r="CR227" s="103"/>
      <c r="CS227" s="103"/>
      <c r="CT227" s="103"/>
    </row>
    <row r="228" spans="1:98">
      <c r="A228" s="189">
        <v>86</v>
      </c>
      <c r="B228" s="184">
        <f ca="1">+RESUMEN!Y89</f>
        <v>0</v>
      </c>
      <c r="C228" s="184">
        <f ca="1">+RESUMEN!Z89</f>
        <v>0</v>
      </c>
      <c r="D228" s="185">
        <f t="shared" ca="1" si="151"/>
        <v>0</v>
      </c>
      <c r="E228" s="102"/>
      <c r="F228" s="102"/>
      <c r="G228" s="102"/>
      <c r="H228" s="102"/>
      <c r="I228" s="102"/>
      <c r="J228" s="103"/>
      <c r="K228" s="103"/>
      <c r="L228" s="103"/>
      <c r="M228" s="103"/>
      <c r="N228" s="103"/>
      <c r="O228" s="103"/>
      <c r="P228" s="103"/>
      <c r="Q228" s="103"/>
      <c r="R228" s="103"/>
      <c r="S228" s="103"/>
      <c r="T228" s="103"/>
      <c r="U228" s="103"/>
      <c r="V228" s="103"/>
      <c r="W228" s="103"/>
      <c r="X228" s="103"/>
      <c r="Y228" s="103"/>
      <c r="Z228" s="103"/>
      <c r="AA228" s="103"/>
      <c r="AB228" s="103"/>
      <c r="AC228" s="103"/>
      <c r="AD228" s="103"/>
      <c r="AE228" s="103"/>
      <c r="AF228" s="103"/>
      <c r="AG228" s="103"/>
      <c r="AH228" s="103"/>
      <c r="AI228" s="103"/>
      <c r="AJ228" s="103"/>
      <c r="AK228" s="103"/>
      <c r="AL228" s="103"/>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c r="BS228" s="103"/>
      <c r="BT228" s="103"/>
      <c r="BU228" s="103"/>
      <c r="BV228" s="103"/>
      <c r="BW228" s="103"/>
      <c r="BX228" s="103"/>
      <c r="BY228" s="103"/>
      <c r="BZ228" s="103"/>
      <c r="CA228" s="103"/>
      <c r="CB228" s="103"/>
      <c r="CC228" s="103"/>
      <c r="CD228" s="103"/>
      <c r="CE228" s="103"/>
      <c r="CF228" s="103"/>
      <c r="CG228" s="103"/>
      <c r="CH228" s="103"/>
      <c r="CI228" s="103"/>
      <c r="CJ228" s="103"/>
      <c r="CK228" s="103"/>
      <c r="CL228" s="103"/>
      <c r="CM228" s="103"/>
      <c r="CN228" s="103"/>
      <c r="CO228" s="103"/>
      <c r="CP228" s="103"/>
      <c r="CQ228" s="103"/>
      <c r="CR228" s="103"/>
      <c r="CS228" s="103"/>
      <c r="CT228" s="103"/>
    </row>
    <row r="229" spans="1:98">
      <c r="A229" s="189">
        <v>87</v>
      </c>
      <c r="B229" s="184">
        <f ca="1">+RESUMEN!Y90</f>
        <v>0</v>
      </c>
      <c r="C229" s="184">
        <f ca="1">+RESUMEN!Z90</f>
        <v>0</v>
      </c>
      <c r="D229" s="185">
        <f t="shared" ca="1" si="151"/>
        <v>0</v>
      </c>
      <c r="E229" s="103"/>
      <c r="F229" s="103"/>
      <c r="G229" s="103"/>
      <c r="H229" s="103"/>
      <c r="I229" s="103"/>
      <c r="J229" s="103"/>
      <c r="K229" s="103"/>
      <c r="L229" s="103"/>
      <c r="M229" s="103"/>
      <c r="N229" s="103"/>
      <c r="O229" s="103"/>
      <c r="P229" s="103"/>
      <c r="Q229" s="103"/>
      <c r="R229" s="103"/>
      <c r="S229" s="103"/>
      <c r="T229" s="103"/>
      <c r="U229" s="103"/>
      <c r="V229" s="103"/>
      <c r="W229" s="103"/>
      <c r="X229" s="103"/>
      <c r="Y229" s="103"/>
      <c r="Z229" s="103"/>
      <c r="AA229" s="103"/>
      <c r="AB229" s="103"/>
      <c r="AC229" s="103"/>
      <c r="AD229" s="103"/>
      <c r="AE229" s="103"/>
      <c r="AF229" s="103"/>
      <c r="AG229" s="103"/>
      <c r="AH229" s="103"/>
      <c r="AI229" s="103"/>
      <c r="AJ229" s="103"/>
      <c r="AK229" s="103"/>
      <c r="AL229" s="103"/>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c r="BS229" s="103"/>
      <c r="BT229" s="103"/>
      <c r="BU229" s="103"/>
      <c r="BV229" s="103"/>
      <c r="BW229" s="103"/>
      <c r="BX229" s="103"/>
      <c r="BY229" s="103"/>
      <c r="BZ229" s="103"/>
      <c r="CA229" s="103"/>
      <c r="CB229" s="103"/>
      <c r="CC229" s="103"/>
      <c r="CD229" s="103"/>
      <c r="CE229" s="103"/>
      <c r="CF229" s="103"/>
      <c r="CG229" s="103"/>
      <c r="CH229" s="103"/>
      <c r="CI229" s="103"/>
      <c r="CJ229" s="103"/>
      <c r="CK229" s="103"/>
      <c r="CL229" s="103"/>
      <c r="CM229" s="103"/>
      <c r="CN229" s="103"/>
      <c r="CO229" s="103"/>
      <c r="CP229" s="103"/>
      <c r="CQ229" s="103"/>
      <c r="CR229" s="103"/>
      <c r="CS229" s="103"/>
      <c r="CT229" s="103"/>
    </row>
    <row r="230" spans="1:98">
      <c r="A230" s="189">
        <v>88</v>
      </c>
      <c r="B230" s="184">
        <f ca="1">+RESUMEN!Y91</f>
        <v>0</v>
      </c>
      <c r="C230" s="184">
        <f ca="1">+RESUMEN!Z91</f>
        <v>0</v>
      </c>
      <c r="D230" s="185">
        <f t="shared" ca="1" si="151"/>
        <v>0</v>
      </c>
      <c r="E230" s="103"/>
      <c r="F230" s="103"/>
      <c r="G230" s="103"/>
      <c r="H230" s="103"/>
      <c r="I230" s="103"/>
      <c r="J230" s="103"/>
      <c r="K230" s="103"/>
      <c r="L230" s="103"/>
      <c r="M230" s="103"/>
      <c r="N230" s="103"/>
      <c r="O230" s="103"/>
      <c r="P230" s="103"/>
      <c r="Q230" s="103"/>
      <c r="R230" s="103"/>
      <c r="S230" s="103"/>
      <c r="T230" s="103"/>
      <c r="U230" s="103"/>
      <c r="V230" s="103"/>
      <c r="W230" s="103"/>
      <c r="X230" s="103"/>
      <c r="Y230" s="103"/>
      <c r="Z230" s="103"/>
      <c r="AA230" s="103"/>
      <c r="AB230" s="103"/>
      <c r="AC230" s="103"/>
      <c r="AD230" s="103"/>
      <c r="AE230" s="103"/>
      <c r="AF230" s="103"/>
      <c r="AG230" s="103"/>
      <c r="AH230" s="103"/>
      <c r="AI230" s="103"/>
      <c r="AJ230" s="103"/>
      <c r="AK230" s="103"/>
      <c r="AL230" s="103"/>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c r="BS230" s="103"/>
      <c r="BT230" s="103"/>
      <c r="BU230" s="103"/>
      <c r="BV230" s="103"/>
      <c r="BW230" s="103"/>
      <c r="BX230" s="103"/>
      <c r="BY230" s="103"/>
      <c r="BZ230" s="103"/>
      <c r="CA230" s="103"/>
      <c r="CB230" s="103"/>
      <c r="CC230" s="103"/>
      <c r="CD230" s="103"/>
      <c r="CE230" s="103"/>
      <c r="CF230" s="103"/>
      <c r="CG230" s="103"/>
      <c r="CH230" s="103"/>
      <c r="CI230" s="103"/>
      <c r="CJ230" s="103"/>
      <c r="CK230" s="103"/>
      <c r="CL230" s="103"/>
      <c r="CM230" s="103"/>
      <c r="CN230" s="103"/>
      <c r="CO230" s="103"/>
      <c r="CP230" s="103"/>
      <c r="CQ230" s="103"/>
      <c r="CR230" s="103"/>
      <c r="CS230" s="103"/>
      <c r="CT230" s="103"/>
    </row>
    <row r="231" spans="1:98">
      <c r="A231" s="189">
        <v>89</v>
      </c>
      <c r="B231" s="184">
        <f ca="1">+RESUMEN!Y92</f>
        <v>0</v>
      </c>
      <c r="C231" s="184">
        <f ca="1">+RESUMEN!Z92</f>
        <v>0</v>
      </c>
      <c r="D231" s="185">
        <f t="shared" ca="1" si="151"/>
        <v>0</v>
      </c>
      <c r="E231" s="103"/>
      <c r="F231" s="103"/>
      <c r="G231" s="103"/>
      <c r="H231" s="103"/>
      <c r="I231" s="103"/>
      <c r="J231" s="103"/>
      <c r="K231" s="103"/>
      <c r="L231" s="103"/>
      <c r="M231" s="103"/>
      <c r="N231" s="103"/>
      <c r="O231" s="103"/>
      <c r="P231" s="103"/>
      <c r="Q231" s="103"/>
      <c r="R231" s="103"/>
      <c r="S231" s="103"/>
      <c r="T231" s="103"/>
      <c r="U231" s="103"/>
      <c r="V231" s="103"/>
      <c r="W231" s="103"/>
      <c r="X231" s="103"/>
      <c r="Y231" s="103"/>
      <c r="Z231" s="103"/>
      <c r="AA231" s="103"/>
      <c r="AB231" s="103"/>
      <c r="AC231" s="103"/>
      <c r="AD231" s="103"/>
      <c r="AE231" s="103"/>
      <c r="AF231" s="103"/>
      <c r="AG231" s="103"/>
      <c r="AH231" s="103"/>
      <c r="AI231" s="103"/>
      <c r="AJ231" s="103"/>
      <c r="AK231" s="103"/>
      <c r="AL231" s="103"/>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c r="BS231" s="103"/>
      <c r="BT231" s="103"/>
      <c r="BU231" s="103"/>
      <c r="BV231" s="103"/>
      <c r="BW231" s="103"/>
      <c r="BX231" s="103"/>
      <c r="BY231" s="103"/>
      <c r="BZ231" s="103"/>
      <c r="CA231" s="103"/>
      <c r="CB231" s="103"/>
      <c r="CC231" s="103"/>
      <c r="CD231" s="103"/>
      <c r="CE231" s="103"/>
      <c r="CF231" s="103"/>
      <c r="CG231" s="103"/>
      <c r="CH231" s="103"/>
      <c r="CI231" s="103"/>
      <c r="CJ231" s="103"/>
      <c r="CK231" s="103"/>
      <c r="CL231" s="103"/>
      <c r="CM231" s="103"/>
      <c r="CN231" s="103"/>
      <c r="CO231" s="103"/>
      <c r="CP231" s="103"/>
      <c r="CQ231" s="103"/>
      <c r="CR231" s="103"/>
      <c r="CS231" s="103"/>
      <c r="CT231" s="103"/>
    </row>
    <row r="232" spans="1:98">
      <c r="A232" s="189">
        <v>90</v>
      </c>
      <c r="B232" s="184">
        <f ca="1">+RESUMEN!Y93</f>
        <v>0</v>
      </c>
      <c r="C232" s="184">
        <f ca="1">+RESUMEN!Z93</f>
        <v>0</v>
      </c>
      <c r="D232" s="185">
        <f t="shared" ca="1" si="151"/>
        <v>0</v>
      </c>
      <c r="E232" s="103"/>
      <c r="F232" s="103"/>
      <c r="G232" s="103"/>
      <c r="H232" s="103"/>
      <c r="I232" s="103"/>
      <c r="J232" s="103"/>
      <c r="K232" s="103"/>
      <c r="L232" s="103"/>
      <c r="M232" s="103"/>
      <c r="N232" s="103"/>
      <c r="O232" s="103"/>
      <c r="P232" s="103"/>
      <c r="Q232" s="103"/>
      <c r="R232" s="103"/>
      <c r="S232" s="103"/>
      <c r="T232" s="103"/>
      <c r="U232" s="103"/>
      <c r="V232" s="103"/>
      <c r="W232" s="103"/>
      <c r="X232" s="103"/>
      <c r="Y232" s="103"/>
      <c r="Z232" s="103"/>
      <c r="AA232" s="103"/>
      <c r="AB232" s="103"/>
      <c r="AC232" s="103"/>
      <c r="AD232" s="103"/>
      <c r="AE232" s="103"/>
      <c r="AF232" s="103"/>
      <c r="AG232" s="103"/>
      <c r="AH232" s="103"/>
      <c r="AI232" s="103"/>
      <c r="AJ232" s="103"/>
      <c r="AK232" s="103"/>
      <c r="AL232" s="103"/>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c r="BS232" s="103"/>
      <c r="BT232" s="103"/>
      <c r="BU232" s="103"/>
      <c r="BV232" s="103"/>
      <c r="BW232" s="103"/>
      <c r="BX232" s="103"/>
      <c r="BY232" s="103"/>
      <c r="BZ232" s="103"/>
      <c r="CA232" s="103"/>
      <c r="CB232" s="103"/>
      <c r="CC232" s="103"/>
      <c r="CD232" s="103"/>
      <c r="CE232" s="103"/>
      <c r="CF232" s="103"/>
      <c r="CG232" s="103"/>
      <c r="CH232" s="103"/>
      <c r="CI232" s="103"/>
      <c r="CJ232" s="103"/>
      <c r="CK232" s="103"/>
      <c r="CL232" s="103"/>
      <c r="CM232" s="103"/>
      <c r="CN232" s="103"/>
      <c r="CO232" s="103"/>
      <c r="CP232" s="103"/>
      <c r="CQ232" s="103"/>
      <c r="CR232" s="103"/>
      <c r="CS232" s="103"/>
      <c r="CT232" s="103"/>
    </row>
    <row r="233" spans="1:98">
      <c r="A233" s="189">
        <v>91</v>
      </c>
      <c r="B233" s="184">
        <f ca="1">+RESUMEN!Y94</f>
        <v>0</v>
      </c>
      <c r="C233" s="184">
        <f ca="1">+RESUMEN!Z94</f>
        <v>0</v>
      </c>
      <c r="D233" s="185">
        <f t="shared" ca="1" si="151"/>
        <v>0</v>
      </c>
      <c r="E233" s="103"/>
      <c r="F233" s="103"/>
      <c r="G233" s="103"/>
      <c r="H233" s="103"/>
      <c r="I233" s="103"/>
      <c r="J233" s="103"/>
      <c r="K233" s="103"/>
      <c r="L233" s="103"/>
      <c r="M233" s="103"/>
      <c r="N233" s="103"/>
      <c r="O233" s="103"/>
      <c r="P233" s="103"/>
      <c r="Q233" s="103"/>
      <c r="R233" s="103"/>
      <c r="S233" s="103"/>
      <c r="T233" s="103"/>
      <c r="U233" s="103"/>
      <c r="V233" s="103"/>
      <c r="W233" s="103"/>
      <c r="X233" s="103"/>
      <c r="Y233" s="103"/>
      <c r="Z233" s="103"/>
      <c r="AA233" s="103"/>
      <c r="AB233" s="103"/>
      <c r="AC233" s="103"/>
      <c r="AD233" s="103"/>
      <c r="AE233" s="103"/>
      <c r="AF233" s="103"/>
      <c r="AG233" s="103"/>
      <c r="AH233" s="103"/>
      <c r="AI233" s="103"/>
      <c r="AJ233" s="103"/>
      <c r="AK233" s="103"/>
      <c r="AL233" s="103"/>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c r="BS233" s="103"/>
      <c r="BT233" s="103"/>
      <c r="BU233" s="103"/>
      <c r="BV233" s="103"/>
      <c r="BW233" s="103"/>
      <c r="BX233" s="103"/>
      <c r="BY233" s="103"/>
      <c r="BZ233" s="103"/>
      <c r="CA233" s="103"/>
      <c r="CB233" s="103"/>
      <c r="CC233" s="103"/>
      <c r="CD233" s="103"/>
      <c r="CE233" s="103"/>
      <c r="CF233" s="103"/>
      <c r="CG233" s="103"/>
      <c r="CH233" s="103"/>
      <c r="CI233" s="103"/>
      <c r="CJ233" s="103"/>
      <c r="CK233" s="103"/>
      <c r="CL233" s="103"/>
      <c r="CM233" s="103"/>
      <c r="CN233" s="103"/>
      <c r="CO233" s="103"/>
      <c r="CP233" s="103"/>
      <c r="CQ233" s="103"/>
      <c r="CR233" s="103"/>
      <c r="CS233" s="103"/>
      <c r="CT233" s="103"/>
    </row>
    <row r="234" spans="1:98">
      <c r="A234" s="189">
        <v>92</v>
      </c>
      <c r="B234" s="184">
        <f ca="1">+RESUMEN!Y95</f>
        <v>0</v>
      </c>
      <c r="C234" s="184">
        <f ca="1">+RESUMEN!Z95</f>
        <v>0</v>
      </c>
      <c r="D234" s="185">
        <f t="shared" ca="1" si="151"/>
        <v>0</v>
      </c>
      <c r="E234" s="103"/>
      <c r="F234" s="103"/>
      <c r="G234" s="103"/>
      <c r="H234" s="103"/>
      <c r="I234" s="103"/>
      <c r="J234" s="103"/>
      <c r="K234" s="103"/>
      <c r="L234" s="103"/>
      <c r="M234" s="103"/>
      <c r="N234" s="103"/>
      <c r="O234" s="103"/>
      <c r="P234" s="103"/>
      <c r="Q234" s="103"/>
      <c r="R234" s="103"/>
      <c r="S234" s="103"/>
      <c r="T234" s="103"/>
      <c r="U234" s="103"/>
      <c r="V234" s="103"/>
      <c r="W234" s="103"/>
      <c r="X234" s="103"/>
      <c r="Y234" s="103"/>
      <c r="Z234" s="103"/>
      <c r="AA234" s="103"/>
      <c r="AB234" s="103"/>
      <c r="AC234" s="103"/>
      <c r="AD234" s="103"/>
      <c r="AE234" s="103"/>
      <c r="AF234" s="103"/>
      <c r="AG234" s="103"/>
      <c r="AH234" s="103"/>
      <c r="AI234" s="103"/>
      <c r="AJ234" s="103"/>
      <c r="AK234" s="103"/>
      <c r="AL234" s="103"/>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c r="BS234" s="103"/>
      <c r="BT234" s="103"/>
      <c r="BU234" s="103"/>
      <c r="BV234" s="103"/>
      <c r="BW234" s="103"/>
      <c r="BX234" s="103"/>
      <c r="BY234" s="103"/>
      <c r="BZ234" s="103"/>
      <c r="CA234" s="103"/>
      <c r="CB234" s="103"/>
      <c r="CC234" s="103"/>
      <c r="CD234" s="103"/>
      <c r="CE234" s="103"/>
      <c r="CF234" s="103"/>
      <c r="CG234" s="103"/>
      <c r="CH234" s="103"/>
      <c r="CI234" s="103"/>
      <c r="CJ234" s="103"/>
      <c r="CK234" s="103"/>
      <c r="CL234" s="103"/>
      <c r="CM234" s="103"/>
      <c r="CN234" s="103"/>
      <c r="CO234" s="103"/>
      <c r="CP234" s="103"/>
      <c r="CQ234" s="103"/>
      <c r="CR234" s="103"/>
      <c r="CS234" s="103"/>
      <c r="CT234" s="103"/>
    </row>
    <row r="235" spans="1:98">
      <c r="A235" s="189">
        <v>93</v>
      </c>
      <c r="B235" s="184">
        <f ca="1">+RESUMEN!Y96</f>
        <v>0</v>
      </c>
      <c r="C235" s="184">
        <f ca="1">+RESUMEN!Z96</f>
        <v>0</v>
      </c>
      <c r="D235" s="185">
        <f t="shared" ca="1" si="151"/>
        <v>0</v>
      </c>
      <c r="E235" s="103"/>
      <c r="F235" s="103"/>
      <c r="G235" s="103"/>
      <c r="H235" s="103"/>
      <c r="I235" s="103"/>
      <c r="J235" s="103"/>
      <c r="K235" s="103"/>
      <c r="L235" s="103"/>
      <c r="M235" s="103"/>
      <c r="N235" s="103"/>
      <c r="O235" s="103"/>
      <c r="P235" s="103"/>
      <c r="Q235" s="103"/>
      <c r="R235" s="103"/>
      <c r="S235" s="103"/>
      <c r="T235" s="103"/>
      <c r="U235" s="103"/>
      <c r="V235" s="103"/>
      <c r="W235" s="103"/>
      <c r="X235" s="103"/>
      <c r="Y235" s="103"/>
      <c r="Z235" s="103"/>
      <c r="AA235" s="103"/>
      <c r="AB235" s="103"/>
      <c r="AC235" s="103"/>
      <c r="AD235" s="103"/>
      <c r="AE235" s="103"/>
      <c r="AF235" s="103"/>
      <c r="AG235" s="103"/>
      <c r="AH235" s="103"/>
      <c r="AI235" s="103"/>
      <c r="AJ235" s="103"/>
      <c r="AK235" s="103"/>
      <c r="AL235" s="103"/>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c r="BS235" s="103"/>
      <c r="BT235" s="103"/>
      <c r="BU235" s="103"/>
      <c r="BV235" s="103"/>
      <c r="BW235" s="103"/>
      <c r="BX235" s="103"/>
      <c r="BY235" s="103"/>
      <c r="BZ235" s="103"/>
      <c r="CA235" s="103"/>
      <c r="CB235" s="103"/>
      <c r="CC235" s="103"/>
      <c r="CD235" s="103"/>
      <c r="CE235" s="103"/>
      <c r="CF235" s="103"/>
      <c r="CG235" s="103"/>
      <c r="CH235" s="103"/>
      <c r="CI235" s="103"/>
      <c r="CJ235" s="103"/>
      <c r="CK235" s="103"/>
      <c r="CL235" s="103"/>
      <c r="CM235" s="103"/>
      <c r="CN235" s="103"/>
      <c r="CO235" s="103"/>
      <c r="CP235" s="103"/>
      <c r="CQ235" s="103"/>
      <c r="CR235" s="103"/>
      <c r="CS235" s="103"/>
      <c r="CT235" s="103"/>
    </row>
    <row r="236" spans="1:98">
      <c r="A236" s="189">
        <v>94</v>
      </c>
      <c r="B236" s="184">
        <f ca="1">+RESUMEN!Y97</f>
        <v>0</v>
      </c>
      <c r="C236" s="184">
        <f ca="1">+RESUMEN!Z97</f>
        <v>0</v>
      </c>
      <c r="D236" s="185">
        <f t="shared" ca="1" si="151"/>
        <v>0</v>
      </c>
      <c r="E236" s="103"/>
      <c r="F236" s="103"/>
      <c r="G236" s="103"/>
      <c r="H236" s="103"/>
      <c r="I236" s="103"/>
      <c r="J236" s="103"/>
      <c r="K236" s="103"/>
      <c r="L236" s="103"/>
      <c r="M236" s="103"/>
      <c r="N236" s="103"/>
      <c r="O236" s="103"/>
      <c r="P236" s="103"/>
      <c r="Q236" s="103"/>
      <c r="R236" s="103"/>
      <c r="S236" s="103"/>
      <c r="T236" s="103"/>
      <c r="U236" s="103"/>
      <c r="V236" s="103"/>
      <c r="W236" s="103"/>
      <c r="X236" s="103"/>
      <c r="Y236" s="103"/>
      <c r="Z236" s="103"/>
      <c r="AA236" s="103"/>
      <c r="AB236" s="103"/>
      <c r="AC236" s="103"/>
      <c r="AD236" s="103"/>
      <c r="AE236" s="103"/>
      <c r="AF236" s="103"/>
      <c r="AG236" s="103"/>
      <c r="AH236" s="103"/>
      <c r="AI236" s="103"/>
      <c r="AJ236" s="103"/>
      <c r="AK236" s="103"/>
      <c r="AL236" s="103"/>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c r="BS236" s="103"/>
      <c r="BT236" s="103"/>
      <c r="BU236" s="103"/>
      <c r="BV236" s="103"/>
      <c r="BW236" s="103"/>
      <c r="BX236" s="103"/>
      <c r="BY236" s="103"/>
      <c r="BZ236" s="103"/>
      <c r="CA236" s="103"/>
      <c r="CB236" s="103"/>
      <c r="CC236" s="103"/>
      <c r="CD236" s="103"/>
      <c r="CE236" s="103"/>
      <c r="CF236" s="103"/>
      <c r="CG236" s="103"/>
      <c r="CH236" s="103"/>
      <c r="CI236" s="103"/>
      <c r="CJ236" s="103"/>
      <c r="CK236" s="103"/>
      <c r="CL236" s="103"/>
      <c r="CM236" s="103"/>
      <c r="CN236" s="103"/>
      <c r="CO236" s="103"/>
      <c r="CP236" s="103"/>
      <c r="CQ236" s="103"/>
      <c r="CR236" s="103"/>
      <c r="CS236" s="103"/>
      <c r="CT236" s="103"/>
    </row>
    <row r="237" spans="1:98">
      <c r="A237" s="189">
        <v>95</v>
      </c>
      <c r="B237" s="184">
        <f ca="1">+RESUMEN!Y98</f>
        <v>0</v>
      </c>
      <c r="C237" s="184">
        <f ca="1">+RESUMEN!Z98</f>
        <v>0</v>
      </c>
      <c r="D237" s="185">
        <f t="shared" ca="1" si="151"/>
        <v>0</v>
      </c>
      <c r="E237" s="103"/>
      <c r="F237" s="103"/>
      <c r="G237" s="103"/>
      <c r="H237" s="103"/>
      <c r="I237" s="103"/>
      <c r="J237" s="103"/>
      <c r="K237" s="103"/>
      <c r="L237" s="103"/>
      <c r="M237" s="103"/>
      <c r="N237" s="103"/>
      <c r="O237" s="103"/>
      <c r="P237" s="103"/>
      <c r="Q237" s="103"/>
      <c r="R237" s="103"/>
      <c r="S237" s="103"/>
      <c r="T237" s="103"/>
      <c r="U237" s="103"/>
      <c r="V237" s="103"/>
      <c r="W237" s="103"/>
      <c r="X237" s="103"/>
      <c r="Y237" s="103"/>
      <c r="Z237" s="103"/>
      <c r="AA237" s="103"/>
      <c r="AB237" s="103"/>
      <c r="AC237" s="103"/>
      <c r="AD237" s="103"/>
      <c r="AE237" s="103"/>
      <c r="AF237" s="103"/>
      <c r="AG237" s="103"/>
      <c r="AH237" s="103"/>
      <c r="AI237" s="103"/>
      <c r="AJ237" s="103"/>
      <c r="AK237" s="103"/>
      <c r="AL237" s="103"/>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c r="BS237" s="103"/>
      <c r="BT237" s="103"/>
      <c r="BU237" s="103"/>
      <c r="BV237" s="103"/>
      <c r="BW237" s="103"/>
      <c r="BX237" s="103"/>
      <c r="BY237" s="103"/>
      <c r="BZ237" s="103"/>
      <c r="CA237" s="103"/>
      <c r="CB237" s="103"/>
      <c r="CC237" s="103"/>
      <c r="CD237" s="103"/>
      <c r="CE237" s="103"/>
      <c r="CF237" s="103"/>
      <c r="CG237" s="103"/>
      <c r="CH237" s="103"/>
      <c r="CI237" s="103"/>
      <c r="CJ237" s="103"/>
      <c r="CK237" s="103"/>
      <c r="CL237" s="103"/>
      <c r="CM237" s="103"/>
      <c r="CN237" s="103"/>
      <c r="CO237" s="103"/>
      <c r="CP237" s="103"/>
      <c r="CQ237" s="103"/>
      <c r="CR237" s="103"/>
      <c r="CS237" s="103"/>
      <c r="CT237" s="103"/>
    </row>
    <row r="238" spans="1:98">
      <c r="A238" s="189">
        <v>96</v>
      </c>
      <c r="B238" s="184">
        <f ca="1">+RESUMEN!Y99</f>
        <v>0</v>
      </c>
      <c r="C238" s="184">
        <f ca="1">+RESUMEN!Z99</f>
        <v>0</v>
      </c>
      <c r="D238" s="185">
        <f t="shared" ca="1" si="151"/>
        <v>0</v>
      </c>
      <c r="E238" s="103"/>
      <c r="F238" s="103"/>
      <c r="G238" s="103"/>
      <c r="H238" s="103"/>
      <c r="I238" s="103"/>
      <c r="J238" s="103"/>
      <c r="K238" s="103"/>
      <c r="L238" s="103"/>
      <c r="M238" s="103"/>
      <c r="N238" s="103"/>
      <c r="O238" s="103"/>
      <c r="P238" s="103"/>
      <c r="Q238" s="103"/>
      <c r="R238" s="103"/>
      <c r="S238" s="103"/>
      <c r="T238" s="103"/>
      <c r="U238" s="103"/>
      <c r="V238" s="103"/>
      <c r="W238" s="103"/>
      <c r="X238" s="103"/>
      <c r="Y238" s="103"/>
      <c r="Z238" s="103"/>
      <c r="AA238" s="103"/>
      <c r="AB238" s="103"/>
      <c r="AC238" s="103"/>
      <c r="AD238" s="103"/>
      <c r="AE238" s="103"/>
      <c r="AF238" s="103"/>
      <c r="AG238" s="103"/>
      <c r="AH238" s="103"/>
      <c r="AI238" s="103"/>
      <c r="AJ238" s="103"/>
      <c r="AK238" s="103"/>
      <c r="AL238" s="103"/>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c r="BS238" s="103"/>
      <c r="BT238" s="103"/>
      <c r="BU238" s="103"/>
      <c r="BV238" s="103"/>
      <c r="BW238" s="103"/>
      <c r="BX238" s="103"/>
      <c r="BY238" s="103"/>
      <c r="BZ238" s="103"/>
      <c r="CA238" s="103"/>
      <c r="CB238" s="103"/>
      <c r="CC238" s="103"/>
      <c r="CD238" s="103"/>
      <c r="CE238" s="103"/>
      <c r="CF238" s="103"/>
      <c r="CG238" s="103"/>
      <c r="CH238" s="103"/>
      <c r="CI238" s="103"/>
      <c r="CJ238" s="103"/>
      <c r="CK238" s="103"/>
      <c r="CL238" s="103"/>
      <c r="CM238" s="103"/>
      <c r="CN238" s="103"/>
      <c r="CO238" s="103"/>
      <c r="CP238" s="103"/>
      <c r="CQ238" s="103"/>
      <c r="CR238" s="103"/>
      <c r="CS238" s="103"/>
      <c r="CT238" s="103"/>
    </row>
    <row r="239" spans="1:98">
      <c r="A239" s="189">
        <v>97</v>
      </c>
      <c r="B239" s="184">
        <f ca="1">+RESUMEN!Y100</f>
        <v>0</v>
      </c>
      <c r="C239" s="184">
        <f ca="1">+RESUMEN!Z100</f>
        <v>0</v>
      </c>
      <c r="D239" s="185">
        <f t="shared" ca="1" si="151"/>
        <v>0</v>
      </c>
      <c r="E239" s="103"/>
      <c r="F239" s="103"/>
      <c r="G239" s="103"/>
      <c r="H239" s="103"/>
      <c r="I239" s="103"/>
      <c r="J239" s="103"/>
      <c r="K239" s="103"/>
      <c r="L239" s="103"/>
      <c r="M239" s="103"/>
      <c r="N239" s="103"/>
      <c r="O239" s="103"/>
      <c r="P239" s="103"/>
      <c r="Q239" s="103"/>
      <c r="R239" s="103"/>
      <c r="S239" s="103"/>
      <c r="T239" s="103"/>
      <c r="U239" s="103"/>
      <c r="V239" s="103"/>
      <c r="W239" s="103"/>
      <c r="X239" s="103"/>
      <c r="Y239" s="103"/>
      <c r="Z239" s="103"/>
      <c r="AA239" s="103"/>
      <c r="AB239" s="103"/>
      <c r="AC239" s="103"/>
      <c r="AD239" s="103"/>
      <c r="AE239" s="103"/>
      <c r="AF239" s="103"/>
      <c r="AG239" s="103"/>
      <c r="AH239" s="103"/>
      <c r="AI239" s="103"/>
      <c r="AJ239" s="103"/>
      <c r="AK239" s="103"/>
      <c r="AL239" s="103"/>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c r="BS239" s="103"/>
      <c r="BT239" s="103"/>
      <c r="BU239" s="103"/>
      <c r="BV239" s="103"/>
      <c r="BW239" s="103"/>
      <c r="BX239" s="103"/>
      <c r="BY239" s="103"/>
      <c r="BZ239" s="103"/>
      <c r="CA239" s="103"/>
      <c r="CB239" s="103"/>
      <c r="CC239" s="103"/>
      <c r="CD239" s="103"/>
      <c r="CE239" s="103"/>
      <c r="CF239" s="103"/>
      <c r="CG239" s="103"/>
      <c r="CH239" s="103"/>
      <c r="CI239" s="103"/>
      <c r="CJ239" s="103"/>
      <c r="CK239" s="103"/>
      <c r="CL239" s="103"/>
      <c r="CM239" s="103"/>
      <c r="CN239" s="103"/>
      <c r="CO239" s="103"/>
      <c r="CP239" s="103"/>
      <c r="CQ239" s="103"/>
      <c r="CR239" s="103"/>
      <c r="CS239" s="103"/>
      <c r="CT239" s="103"/>
    </row>
    <row r="240" spans="1:98">
      <c r="A240" s="189">
        <v>98</v>
      </c>
      <c r="B240" s="184">
        <f ca="1">+RESUMEN!Y101</f>
        <v>0</v>
      </c>
      <c r="C240" s="184">
        <f ca="1">+RESUMEN!Z101</f>
        <v>0</v>
      </c>
      <c r="D240" s="185">
        <f t="shared" ca="1" si="151"/>
        <v>0</v>
      </c>
      <c r="E240" s="103"/>
      <c r="F240" s="103"/>
      <c r="G240" s="103"/>
      <c r="H240" s="103"/>
      <c r="I240" s="103"/>
      <c r="J240" s="103"/>
      <c r="K240" s="103"/>
      <c r="L240" s="103"/>
      <c r="M240" s="103"/>
      <c r="N240" s="103"/>
      <c r="O240" s="103"/>
      <c r="P240" s="103"/>
      <c r="Q240" s="103"/>
      <c r="R240" s="103"/>
      <c r="S240" s="103"/>
      <c r="T240" s="103"/>
      <c r="U240" s="103"/>
      <c r="V240" s="103"/>
      <c r="W240" s="103"/>
      <c r="X240" s="103"/>
      <c r="Y240" s="103"/>
      <c r="Z240" s="103"/>
      <c r="AA240" s="103"/>
      <c r="AB240" s="103"/>
      <c r="AC240" s="103"/>
      <c r="AD240" s="103"/>
      <c r="AE240" s="103"/>
      <c r="AF240" s="103"/>
      <c r="AG240" s="103"/>
      <c r="AH240" s="103"/>
      <c r="AI240" s="103"/>
      <c r="AJ240" s="103"/>
      <c r="AK240" s="103"/>
      <c r="AL240" s="103"/>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c r="BS240" s="103"/>
      <c r="BT240" s="103"/>
      <c r="BU240" s="103"/>
      <c r="BV240" s="103"/>
      <c r="BW240" s="103"/>
      <c r="BX240" s="103"/>
      <c r="BY240" s="103"/>
      <c r="BZ240" s="103"/>
      <c r="CA240" s="103"/>
      <c r="CB240" s="103"/>
      <c r="CC240" s="103"/>
      <c r="CD240" s="103"/>
      <c r="CE240" s="103"/>
      <c r="CF240" s="103"/>
      <c r="CG240" s="103"/>
      <c r="CH240" s="103"/>
      <c r="CI240" s="103"/>
      <c r="CJ240" s="103"/>
      <c r="CK240" s="103"/>
      <c r="CL240" s="103"/>
      <c r="CM240" s="103"/>
      <c r="CN240" s="103"/>
      <c r="CO240" s="103"/>
      <c r="CP240" s="103"/>
      <c r="CQ240" s="103"/>
      <c r="CR240" s="103"/>
      <c r="CS240" s="103"/>
      <c r="CT240" s="103"/>
    </row>
    <row r="241" spans="1:98">
      <c r="A241" s="189">
        <v>99</v>
      </c>
      <c r="B241" s="184">
        <f ca="1">+RESUMEN!Y102</f>
        <v>0</v>
      </c>
      <c r="C241" s="184">
        <f ca="1">+RESUMEN!Z102</f>
        <v>0</v>
      </c>
      <c r="D241" s="185">
        <f t="shared" ca="1" si="151"/>
        <v>0</v>
      </c>
      <c r="E241" s="103"/>
      <c r="F241" s="103"/>
      <c r="G241" s="103"/>
      <c r="H241" s="103"/>
      <c r="I241" s="103"/>
      <c r="J241" s="103"/>
      <c r="K241" s="103"/>
      <c r="L241" s="103"/>
      <c r="M241" s="103"/>
      <c r="N241" s="103"/>
      <c r="O241" s="103"/>
      <c r="P241" s="103"/>
      <c r="Q241" s="103"/>
      <c r="R241" s="103"/>
      <c r="S241" s="103"/>
      <c r="T241" s="103"/>
      <c r="U241" s="103"/>
      <c r="V241" s="103"/>
      <c r="W241" s="103"/>
      <c r="X241" s="103"/>
      <c r="Y241" s="103"/>
      <c r="Z241" s="103"/>
      <c r="AA241" s="103"/>
      <c r="AB241" s="103"/>
      <c r="AC241" s="103"/>
      <c r="AD241" s="103"/>
      <c r="AE241" s="103"/>
      <c r="AF241" s="103"/>
      <c r="AG241" s="103"/>
      <c r="AH241" s="103"/>
      <c r="AI241" s="103"/>
      <c r="AJ241" s="103"/>
      <c r="AK241" s="103"/>
      <c r="AL241" s="103"/>
      <c r="AM241" s="103"/>
      <c r="AN241" s="103"/>
      <c r="AO241" s="103"/>
      <c r="AP241" s="103"/>
      <c r="AQ241" s="103"/>
      <c r="AR241" s="103"/>
      <c r="AS241" s="103"/>
      <c r="AT241" s="103"/>
      <c r="AU241" s="103"/>
      <c r="AV241" s="103"/>
      <c r="AW241" s="103"/>
      <c r="AX241" s="103"/>
      <c r="AY241" s="103"/>
      <c r="AZ241" s="103"/>
      <c r="BA241" s="103"/>
      <c r="BB241" s="103"/>
      <c r="BC241" s="103"/>
      <c r="BD241" s="103"/>
      <c r="BE241" s="103"/>
      <c r="BF241" s="103"/>
      <c r="BG241" s="103"/>
      <c r="BH241" s="103"/>
      <c r="BI241" s="103"/>
      <c r="BJ241" s="103"/>
      <c r="BK241" s="103"/>
      <c r="BL241" s="103"/>
      <c r="BM241" s="103"/>
      <c r="BN241" s="103"/>
      <c r="BO241" s="103"/>
      <c r="BP241" s="103"/>
      <c r="BQ241" s="103"/>
      <c r="BR241" s="103"/>
      <c r="BS241" s="103"/>
      <c r="BT241" s="103"/>
      <c r="BU241" s="103"/>
      <c r="BV241" s="103"/>
      <c r="BW241" s="103"/>
      <c r="BX241" s="103"/>
      <c r="BY241" s="103"/>
      <c r="BZ241" s="103"/>
      <c r="CA241" s="103"/>
      <c r="CB241" s="103"/>
      <c r="CC241" s="103"/>
      <c r="CD241" s="103"/>
      <c r="CE241" s="103"/>
      <c r="CF241" s="103"/>
      <c r="CG241" s="103"/>
      <c r="CH241" s="103"/>
      <c r="CI241" s="103"/>
      <c r="CJ241" s="103"/>
      <c r="CK241" s="103"/>
      <c r="CL241" s="103"/>
      <c r="CM241" s="103"/>
      <c r="CN241" s="103"/>
      <c r="CO241" s="103"/>
      <c r="CP241" s="103"/>
      <c r="CQ241" s="103"/>
      <c r="CR241" s="103"/>
      <c r="CS241" s="103"/>
      <c r="CT241" s="103"/>
    </row>
    <row r="242" spans="1:98" ht="16" thickBot="1">
      <c r="A242" s="225">
        <v>100</v>
      </c>
      <c r="B242" s="184">
        <f ca="1">+RESUMEN!Y103</f>
        <v>0</v>
      </c>
      <c r="C242" s="184">
        <f ca="1">+RESUMEN!Z103</f>
        <v>0</v>
      </c>
      <c r="D242" s="226">
        <f t="shared" ca="1" si="151"/>
        <v>0</v>
      </c>
      <c r="E242" s="103"/>
      <c r="F242" s="103"/>
      <c r="G242" s="103"/>
      <c r="H242" s="103"/>
      <c r="I242" s="103"/>
      <c r="J242" s="66"/>
    </row>
    <row r="243" spans="1:98" ht="16" thickBot="1">
      <c r="A243" s="227" t="s">
        <v>52</v>
      </c>
      <c r="B243" s="227">
        <f ca="1">SUM(B142:B242)</f>
        <v>0</v>
      </c>
      <c r="C243" s="227">
        <f ca="1">SUM(C142:C242)</f>
        <v>0</v>
      </c>
      <c r="D243" s="227">
        <f ca="1">SUM(D142:D242)</f>
        <v>0</v>
      </c>
      <c r="E243" s="66"/>
      <c r="F243" s="66"/>
      <c r="G243" s="66"/>
      <c r="H243" s="66"/>
      <c r="I243" s="66"/>
      <c r="J243" s="66"/>
    </row>
    <row r="244" spans="1:98">
      <c r="B244" s="66"/>
      <c r="C244" s="66"/>
      <c r="D244" s="66"/>
      <c r="E244" s="66"/>
      <c r="F244" s="66"/>
      <c r="G244" s="66"/>
      <c r="H244" s="66"/>
      <c r="I244" s="66"/>
      <c r="J244" s="66"/>
    </row>
    <row r="245" spans="1:98">
      <c r="B245" s="66"/>
      <c r="C245" s="66"/>
      <c r="D245" s="66"/>
      <c r="E245" s="66"/>
      <c r="F245" s="66"/>
      <c r="G245" s="66"/>
      <c r="H245" s="66"/>
      <c r="I245" s="66"/>
      <c r="J245" s="66"/>
    </row>
    <row r="246" spans="1:98">
      <c r="B246" s="66"/>
      <c r="C246" s="66"/>
      <c r="D246" s="66"/>
      <c r="E246" s="66"/>
      <c r="F246" s="66"/>
      <c r="G246" s="66"/>
      <c r="H246" s="66"/>
      <c r="I246" s="66"/>
      <c r="J246" s="66"/>
    </row>
    <row r="247" spans="1:98">
      <c r="B247" s="66"/>
      <c r="C247" s="66"/>
      <c r="D247" s="66"/>
      <c r="E247" s="66"/>
      <c r="F247" s="66"/>
      <c r="G247" s="66"/>
      <c r="H247" s="66"/>
      <c r="I247" s="66"/>
      <c r="J247" s="66"/>
    </row>
    <row r="248" spans="1:98">
      <c r="B248" s="66"/>
      <c r="C248" s="66"/>
      <c r="D248" s="66"/>
      <c r="E248" s="66"/>
      <c r="F248" s="66"/>
      <c r="G248" s="66"/>
      <c r="H248" s="66"/>
      <c r="I248" s="66"/>
      <c r="J248" s="66"/>
    </row>
    <row r="249" spans="1:98">
      <c r="B249" s="66"/>
      <c r="C249" s="66"/>
      <c r="D249" s="66"/>
      <c r="E249" s="66"/>
      <c r="F249" s="66"/>
      <c r="G249" s="66"/>
      <c r="H249" s="66"/>
      <c r="I249" s="66"/>
      <c r="J249" s="66"/>
    </row>
    <row r="250" spans="1:98">
      <c r="B250" s="66"/>
      <c r="C250" s="66"/>
      <c r="D250" s="66"/>
      <c r="E250" s="66"/>
      <c r="F250" s="66"/>
      <c r="G250" s="66"/>
      <c r="H250" s="66"/>
      <c r="I250" s="66"/>
      <c r="J250" s="66"/>
    </row>
    <row r="251" spans="1:98">
      <c r="B251" s="66"/>
      <c r="C251" s="66"/>
      <c r="D251" s="66"/>
      <c r="E251" s="66"/>
      <c r="F251" s="66"/>
      <c r="G251" s="66"/>
      <c r="H251" s="66"/>
      <c r="I251" s="66"/>
      <c r="J251" s="66"/>
    </row>
    <row r="252" spans="1:98">
      <c r="B252" s="66"/>
      <c r="C252" s="66"/>
      <c r="D252" s="66"/>
      <c r="E252" s="66"/>
      <c r="F252" s="66"/>
      <c r="G252" s="66"/>
      <c r="H252" s="66"/>
      <c r="I252" s="66"/>
      <c r="J252" s="66"/>
    </row>
    <row r="253" spans="1:98">
      <c r="B253" s="66"/>
      <c r="C253" s="66"/>
      <c r="D253" s="66"/>
      <c r="E253" s="66"/>
      <c r="F253" s="66"/>
      <c r="G253" s="66"/>
      <c r="H253" s="66"/>
      <c r="I253" s="66"/>
      <c r="J253" s="66"/>
    </row>
    <row r="254" spans="1:98">
      <c r="B254" s="66"/>
      <c r="C254" s="66"/>
      <c r="D254" s="66"/>
      <c r="E254" s="66"/>
      <c r="F254" s="66"/>
      <c r="G254" s="66"/>
      <c r="H254" s="66"/>
      <c r="I254" s="66"/>
      <c r="J254" s="66"/>
    </row>
    <row r="255" spans="1:98">
      <c r="B255" s="66"/>
      <c r="C255" s="66"/>
      <c r="D255" s="66"/>
      <c r="E255" s="66"/>
      <c r="F255" s="66"/>
      <c r="G255" s="66"/>
      <c r="H255" s="66"/>
      <c r="I255" s="66"/>
      <c r="J255" s="66"/>
    </row>
    <row r="256" spans="1:98">
      <c r="B256" s="66"/>
      <c r="C256" s="66"/>
      <c r="D256" s="66"/>
      <c r="E256" s="66"/>
      <c r="F256" s="66"/>
      <c r="G256" s="66"/>
      <c r="H256" s="66"/>
      <c r="I256" s="66"/>
      <c r="J256" s="66"/>
    </row>
    <row r="257" spans="2:10">
      <c r="B257" s="66"/>
      <c r="C257" s="66"/>
      <c r="D257" s="66"/>
      <c r="E257" s="66"/>
      <c r="F257" s="66"/>
      <c r="G257" s="66"/>
      <c r="H257" s="66"/>
      <c r="I257" s="66"/>
      <c r="J257" s="66"/>
    </row>
    <row r="258" spans="2:10">
      <c r="B258" s="66"/>
      <c r="C258" s="66"/>
      <c r="D258" s="66"/>
      <c r="E258" s="66"/>
      <c r="F258" s="66"/>
      <c r="G258" s="66"/>
      <c r="H258" s="66"/>
      <c r="I258" s="66"/>
      <c r="J258" s="66"/>
    </row>
    <row r="259" spans="2:10">
      <c r="B259" s="66"/>
      <c r="C259" s="66"/>
      <c r="D259" s="66"/>
      <c r="E259" s="66"/>
      <c r="F259" s="66"/>
      <c r="G259" s="66"/>
      <c r="H259" s="66"/>
      <c r="I259" s="66"/>
      <c r="J259" s="66"/>
    </row>
    <row r="260" spans="2:10">
      <c r="B260" s="66"/>
      <c r="C260" s="66"/>
      <c r="D260" s="66"/>
      <c r="E260" s="66"/>
      <c r="F260" s="66"/>
      <c r="G260" s="66"/>
      <c r="H260" s="66"/>
      <c r="I260" s="66"/>
      <c r="J260" s="66"/>
    </row>
    <row r="261" spans="2:10">
      <c r="B261" s="66"/>
      <c r="C261" s="66"/>
      <c r="D261" s="66"/>
      <c r="E261" s="66"/>
      <c r="F261" s="66"/>
      <c r="G261" s="66"/>
      <c r="H261" s="66"/>
      <c r="I261" s="66"/>
      <c r="J261" s="66"/>
    </row>
    <row r="262" spans="2:10">
      <c r="B262" s="66"/>
      <c r="C262" s="66"/>
      <c r="D262" s="66"/>
      <c r="E262" s="66"/>
      <c r="F262" s="66"/>
      <c r="G262" s="66"/>
      <c r="H262" s="66"/>
      <c r="I262" s="66"/>
      <c r="J262" s="66"/>
    </row>
    <row r="263" spans="2:10">
      <c r="B263" s="66"/>
      <c r="C263" s="66"/>
      <c r="D263" s="66"/>
      <c r="E263" s="66"/>
      <c r="F263" s="66"/>
      <c r="G263" s="66"/>
      <c r="H263" s="66"/>
      <c r="I263" s="66"/>
      <c r="J263" s="66"/>
    </row>
    <row r="264" spans="2:10">
      <c r="B264" s="66"/>
      <c r="C264" s="66"/>
      <c r="D264" s="66"/>
      <c r="E264" s="66"/>
      <c r="F264" s="66"/>
      <c r="G264" s="66"/>
      <c r="H264" s="66"/>
      <c r="I264" s="66"/>
      <c r="J264" s="66"/>
    </row>
    <row r="265" spans="2:10">
      <c r="B265" s="66"/>
      <c r="C265" s="66"/>
      <c r="D265" s="66"/>
      <c r="E265" s="66"/>
      <c r="F265" s="66"/>
      <c r="G265" s="66"/>
      <c r="H265" s="66"/>
      <c r="I265" s="66"/>
      <c r="J265" s="66"/>
    </row>
    <row r="266" spans="2:10">
      <c r="B266" s="66"/>
      <c r="C266" s="66"/>
      <c r="D266" s="66"/>
      <c r="E266" s="66"/>
      <c r="F266" s="66"/>
      <c r="G266" s="66"/>
      <c r="H266" s="66"/>
      <c r="I266" s="66"/>
      <c r="J266" s="66"/>
    </row>
    <row r="267" spans="2:10">
      <c r="B267" s="66"/>
      <c r="C267" s="66"/>
      <c r="D267" s="66"/>
      <c r="E267" s="66"/>
      <c r="F267" s="66"/>
      <c r="G267" s="66"/>
      <c r="H267" s="66"/>
      <c r="I267" s="66"/>
      <c r="J267" s="66"/>
    </row>
    <row r="268" spans="2:10">
      <c r="B268" s="66"/>
      <c r="C268" s="66"/>
      <c r="D268" s="66"/>
      <c r="E268" s="66"/>
      <c r="F268" s="66"/>
      <c r="G268" s="66"/>
      <c r="H268" s="66"/>
      <c r="I268" s="66"/>
      <c r="J268" s="66"/>
    </row>
    <row r="269" spans="2:10">
      <c r="B269" s="66"/>
      <c r="C269" s="66"/>
      <c r="D269" s="66"/>
      <c r="E269" s="66"/>
      <c r="F269" s="66"/>
      <c r="G269" s="66"/>
      <c r="H269" s="66"/>
      <c r="I269" s="66"/>
      <c r="J269" s="66"/>
    </row>
    <row r="270" spans="2:10">
      <c r="B270" s="66"/>
      <c r="C270" s="66"/>
      <c r="D270" s="66"/>
      <c r="E270" s="66"/>
      <c r="F270" s="66"/>
      <c r="G270" s="66"/>
      <c r="H270" s="66"/>
      <c r="I270" s="66"/>
      <c r="J270" s="66"/>
    </row>
    <row r="271" spans="2:10">
      <c r="B271" s="66"/>
      <c r="C271" s="66"/>
      <c r="D271" s="66"/>
      <c r="E271" s="66"/>
      <c r="F271" s="66"/>
      <c r="G271" s="66"/>
      <c r="H271" s="66"/>
      <c r="I271" s="66"/>
    </row>
  </sheetData>
  <sheetProtection selectLockedCells="1" selectUnlockedCells="1"/>
  <mergeCells count="8">
    <mergeCell ref="AR1:AT1"/>
    <mergeCell ref="CA1:CB1"/>
    <mergeCell ref="BT125:BU125"/>
    <mergeCell ref="BW125:BX125"/>
    <mergeCell ref="AY1:AZ1"/>
    <mergeCell ref="BB1:BD1"/>
    <mergeCell ref="BF1:BG1"/>
    <mergeCell ref="BM1:BN1"/>
  </mergeCells>
  <phoneticPr fontId="9" type="noConversion"/>
  <printOptions horizontalCentered="1" verticalCentered="1" gridLines="1" gridLinesSet="0"/>
  <pageMargins left="0.25" right="0.25" top="0.45" bottom="0.84" header="0.23622047244094491" footer="0.53"/>
  <pageSetup scale="85" orientation="portrait" r:id="rId1"/>
  <headerFooter alignWithMargins="0">
    <oddFooter>&amp;L&amp;"Comic Sans MS,Regular" Elaborado   por:    ______________________&amp;RFecha: &amp;D</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M18"/>
  <sheetViews>
    <sheetView showGridLines="0" topLeftCell="B1" zoomScaleNormal="100" workbookViewId="0">
      <pane ySplit="3" topLeftCell="A4" activePane="bottomLeft" state="frozen"/>
      <selection activeCell="H4" sqref="H4"/>
      <selection pane="bottomLeft" activeCell="B7" sqref="B7"/>
    </sheetView>
  </sheetViews>
  <sheetFormatPr baseColWidth="10" defaultColWidth="0" defaultRowHeight="12.5" zeroHeight="1"/>
  <cols>
    <col min="1" max="1" width="13.26953125" hidden="1" customWidth="1"/>
    <col min="2" max="3" width="21.7265625" style="50" customWidth="1"/>
    <col min="4" max="4" width="21.7265625" style="60" customWidth="1"/>
    <col min="5" max="5" width="32" style="48" bestFit="1" customWidth="1"/>
    <col min="6" max="7" width="5.453125" style="48" customWidth="1"/>
    <col min="8" max="8" width="11.26953125" style="48" hidden="1" customWidth="1"/>
    <col min="9" max="9" width="13.1796875" style="48" hidden="1" customWidth="1"/>
    <col min="10" max="13" width="11.453125" style="48" hidden="1" customWidth="1"/>
    <col min="14" max="16384" width="5.453125" style="48" hidden="1"/>
  </cols>
  <sheetData>
    <row r="1" spans="1:13" ht="31" customHeight="1" thickBot="1">
      <c r="A1" s="230"/>
      <c r="B1" s="489" t="s">
        <v>101</v>
      </c>
      <c r="C1" s="490"/>
      <c r="D1" s="490"/>
      <c r="E1" s="490"/>
      <c r="F1" s="231"/>
      <c r="G1" s="231"/>
    </row>
    <row r="2" spans="1:13" ht="18.5" hidden="1">
      <c r="A2" s="497" t="str">
        <f>IF(E3=1,"FALTAN DATOS","")</f>
        <v/>
      </c>
      <c r="B2" s="497"/>
      <c r="C2" s="497"/>
      <c r="D2" s="497"/>
      <c r="E2" s="497"/>
      <c r="F2" s="231"/>
      <c r="G2" s="231"/>
    </row>
    <row r="3" spans="1:13" ht="13" hidden="1" customHeight="1" thickBot="1">
      <c r="A3" s="232"/>
      <c r="B3" s="233"/>
      <c r="C3" s="234">
        <f>COUNTA(C7:C14)</f>
        <v>0</v>
      </c>
      <c r="D3" s="234">
        <f>COUNTA(D7:D14)</f>
        <v>0</v>
      </c>
      <c r="E3" s="235">
        <f>IF(C3=D3,0,1)</f>
        <v>0</v>
      </c>
      <c r="F3" s="231"/>
      <c r="G3" s="231"/>
    </row>
    <row r="4" spans="1:13" s="49" customFormat="1" ht="14.25" customHeight="1">
      <c r="A4" s="236" t="s">
        <v>40</v>
      </c>
      <c r="B4" s="491" t="s">
        <v>42</v>
      </c>
      <c r="C4" s="498" t="s">
        <v>70</v>
      </c>
      <c r="D4" s="501" t="s">
        <v>71</v>
      </c>
      <c r="E4" s="494" t="s">
        <v>69</v>
      </c>
      <c r="F4" s="237"/>
      <c r="G4" s="237"/>
    </row>
    <row r="5" spans="1:13" ht="12" customHeight="1">
      <c r="A5" s="238" t="s">
        <v>41</v>
      </c>
      <c r="B5" s="492"/>
      <c r="C5" s="499"/>
      <c r="D5" s="502"/>
      <c r="E5" s="495"/>
      <c r="F5" s="231"/>
      <c r="G5" s="231"/>
    </row>
    <row r="6" spans="1:13" ht="13" customHeight="1" thickBot="1">
      <c r="A6" s="239" t="s">
        <v>68</v>
      </c>
      <c r="B6" s="493"/>
      <c r="C6" s="500"/>
      <c r="D6" s="503"/>
      <c r="E6" s="496"/>
      <c r="F6" s="231"/>
      <c r="G6" s="231"/>
      <c r="H6" s="291" t="s">
        <v>352</v>
      </c>
      <c r="I6" s="291" t="s">
        <v>351</v>
      </c>
      <c r="J6" s="291" t="s">
        <v>353</v>
      </c>
      <c r="K6" s="291"/>
      <c r="L6" s="48" t="s">
        <v>56</v>
      </c>
      <c r="M6" s="48" t="s">
        <v>53</v>
      </c>
    </row>
    <row r="7" spans="1:13" ht="24.75" customHeight="1">
      <c r="A7" s="286"/>
      <c r="B7" s="85"/>
      <c r="C7" s="51"/>
      <c r="D7" s="51"/>
      <c r="E7" s="53" t="str">
        <f>IF(COUNTIF(C7:C14,"T")=0,"Debe existir un titular",IF(COUNTIF(C7:C14,"T")&gt;1,"Solo debe existir un titular",""))</f>
        <v>Debe existir un titular</v>
      </c>
      <c r="F7" s="240"/>
      <c r="G7" s="231"/>
      <c r="H7" s="289">
        <f>+IF('CAPTURA LISTADO'!B7&gt;59,1,0)</f>
        <v>0</v>
      </c>
      <c r="I7" s="289">
        <f>+IF(AND('CAPTURA DP'!$B$4&gt;=4,H7=1),1,0)</f>
        <v>0</v>
      </c>
      <c r="J7" s="289">
        <f>+IF(AND('CAPTURA DP'!$B$6&gt;61,H7=1),1,0)</f>
        <v>0</v>
      </c>
      <c r="K7" s="289">
        <f>+IF(E7="",0,1)+I7+J7</f>
        <v>1</v>
      </c>
      <c r="L7" s="48" t="s">
        <v>13</v>
      </c>
      <c r="M7" s="48" t="s">
        <v>55</v>
      </c>
    </row>
    <row r="8" spans="1:13" ht="24.75" customHeight="1">
      <c r="A8" s="287"/>
      <c r="B8" s="86"/>
      <c r="C8" s="52"/>
      <c r="D8" s="52"/>
      <c r="E8" s="54" t="str">
        <f t="shared" ref="E8:E14" ca="1" si="0">IF(A8&gt;TODAY(),"Error en la fecha de nacimiento.",IF(AND(OR(A8&lt;&gt;"",B8&lt;&gt;""),AND(C8&lt;&gt;"",D8&lt;&gt;"")),"",IF(AND(A8="",B8="",C8="",D8=""),"","FALTAN DATOS")))</f>
        <v/>
      </c>
      <c r="F8" s="240"/>
      <c r="G8" s="231"/>
      <c r="H8" s="289">
        <f>+IF('CAPTURA LISTADO'!B8&gt;59,1,0)</f>
        <v>0</v>
      </c>
      <c r="I8" s="289">
        <f>+IF(AND('CAPTURA DP'!$B$4&gt;=4,H8=1),1,0)</f>
        <v>0</v>
      </c>
      <c r="J8" s="289">
        <f>+IF(AND('CAPTURA DP'!$B$6&gt;61,H8=1),1,0)</f>
        <v>0</v>
      </c>
      <c r="K8" s="289">
        <f t="shared" ref="K8:K14" ca="1" si="1">+IF(E8="",0,1)+I8+J8</f>
        <v>0</v>
      </c>
      <c r="L8" s="48" t="s">
        <v>66</v>
      </c>
    </row>
    <row r="9" spans="1:13" ht="24.75" customHeight="1">
      <c r="A9" s="287"/>
      <c r="B9" s="86"/>
      <c r="C9" s="52"/>
      <c r="D9" s="52"/>
      <c r="E9" s="54" t="str">
        <f t="shared" ca="1" si="0"/>
        <v/>
      </c>
      <c r="F9" s="240"/>
      <c r="G9" s="231"/>
      <c r="H9" s="289">
        <f>+IF('CAPTURA LISTADO'!B9&gt;59,1,0)</f>
        <v>0</v>
      </c>
      <c r="I9" s="289">
        <f>+IF(AND('CAPTURA DP'!$B$4&gt;=4,H9=1),1,0)</f>
        <v>0</v>
      </c>
      <c r="J9" s="289">
        <f>+IF(AND('CAPTURA DP'!$B$6&gt;61,H9=1),1,0)</f>
        <v>0</v>
      </c>
      <c r="K9" s="289">
        <f t="shared" ca="1" si="1"/>
        <v>0</v>
      </c>
    </row>
    <row r="10" spans="1:13" ht="24.75" customHeight="1">
      <c r="A10" s="287"/>
      <c r="B10" s="86"/>
      <c r="C10" s="52"/>
      <c r="D10" s="52"/>
      <c r="E10" s="54" t="str">
        <f t="shared" ca="1" si="0"/>
        <v/>
      </c>
      <c r="F10" s="240"/>
      <c r="G10" s="231"/>
      <c r="H10" s="289">
        <f>+IF('CAPTURA LISTADO'!B10&gt;59,1,0)</f>
        <v>0</v>
      </c>
      <c r="I10" s="289">
        <f>+IF(AND('CAPTURA DP'!$B$4&gt;=4,H10=1),1,0)</f>
        <v>0</v>
      </c>
      <c r="J10" s="289">
        <f>+IF(AND('CAPTURA DP'!$B$6&gt;61,H10=1),1,0)</f>
        <v>0</v>
      </c>
      <c r="K10" s="289">
        <f t="shared" ca="1" si="1"/>
        <v>0</v>
      </c>
    </row>
    <row r="11" spans="1:13" ht="24.75" customHeight="1">
      <c r="A11" s="287"/>
      <c r="B11" s="86"/>
      <c r="C11" s="52"/>
      <c r="D11" s="52"/>
      <c r="E11" s="54" t="str">
        <f t="shared" ca="1" si="0"/>
        <v/>
      </c>
      <c r="F11" s="240"/>
      <c r="G11" s="231"/>
      <c r="H11" s="289">
        <f>+IF('CAPTURA LISTADO'!B11&gt;59,1,0)</f>
        <v>0</v>
      </c>
      <c r="I11" s="289">
        <f>+IF(AND('CAPTURA DP'!$B$4&gt;=4,H11=1),1,0)</f>
        <v>0</v>
      </c>
      <c r="J11" s="289">
        <f>+IF(AND('CAPTURA DP'!$B$6&gt;61,H11=1),1,0)</f>
        <v>0</v>
      </c>
      <c r="K11" s="289">
        <f t="shared" ca="1" si="1"/>
        <v>0</v>
      </c>
    </row>
    <row r="12" spans="1:13" ht="24.75" customHeight="1">
      <c r="A12" s="287"/>
      <c r="B12" s="86"/>
      <c r="C12" s="52"/>
      <c r="D12" s="52"/>
      <c r="E12" s="54" t="str">
        <f t="shared" ca="1" si="0"/>
        <v/>
      </c>
      <c r="F12" s="240"/>
      <c r="G12" s="231"/>
      <c r="H12" s="289">
        <f>+IF('CAPTURA LISTADO'!B12&gt;59,1,0)</f>
        <v>0</v>
      </c>
      <c r="I12" s="289">
        <f>+IF(AND('CAPTURA DP'!$B$4&gt;=4,H12=1),1,0)</f>
        <v>0</v>
      </c>
      <c r="J12" s="289">
        <f>+IF(AND('CAPTURA DP'!$B$6&gt;61,H12=1),1,0)</f>
        <v>0</v>
      </c>
      <c r="K12" s="289">
        <f t="shared" ca="1" si="1"/>
        <v>0</v>
      </c>
    </row>
    <row r="13" spans="1:13" ht="24.75" customHeight="1">
      <c r="A13" s="287"/>
      <c r="B13" s="86"/>
      <c r="C13" s="52"/>
      <c r="D13" s="52"/>
      <c r="E13" s="54" t="str">
        <f t="shared" ca="1" si="0"/>
        <v/>
      </c>
      <c r="F13" s="240"/>
      <c r="G13" s="231"/>
      <c r="H13" s="289">
        <f>+IF('CAPTURA LISTADO'!B13&gt;59,1,0)</f>
        <v>0</v>
      </c>
      <c r="I13" s="289">
        <f>+IF(AND('CAPTURA DP'!$B$4&gt;=4,H13=1),1,0)</f>
        <v>0</v>
      </c>
      <c r="J13" s="289">
        <f>+IF(AND('CAPTURA DP'!$B$6&gt;61,H13=1),1,0)</f>
        <v>0</v>
      </c>
      <c r="K13" s="289">
        <f t="shared" ca="1" si="1"/>
        <v>0</v>
      </c>
    </row>
    <row r="14" spans="1:13" ht="24.75" customHeight="1" thickBot="1">
      <c r="A14" s="287"/>
      <c r="B14" s="283"/>
      <c r="C14" s="284"/>
      <c r="D14" s="284"/>
      <c r="E14" s="87" t="str">
        <f t="shared" ca="1" si="0"/>
        <v/>
      </c>
      <c r="F14" s="240"/>
      <c r="G14" s="231"/>
      <c r="H14" s="289">
        <f>+IF('CAPTURA LISTADO'!B14&gt;59,1,0)</f>
        <v>0</v>
      </c>
      <c r="I14" s="289">
        <f>+IF(AND('CAPTURA DP'!$B$4&gt;=4,H14=1),1,0)</f>
        <v>0</v>
      </c>
      <c r="J14" s="289">
        <f>+IF(AND('CAPTURA DP'!$B$6&gt;61,H14=1),1,0)</f>
        <v>0</v>
      </c>
      <c r="K14" s="289">
        <f t="shared" ca="1" si="1"/>
        <v>0</v>
      </c>
    </row>
    <row r="15" spans="1:13" ht="12">
      <c r="A15" s="288"/>
      <c r="B15" s="59"/>
      <c r="C15" s="285"/>
      <c r="D15" s="59"/>
      <c r="E15" s="59"/>
      <c r="F15" s="240"/>
      <c r="G15" s="231"/>
    </row>
    <row r="16" spans="1:13" ht="12">
      <c r="A16" s="287"/>
      <c r="B16" s="59"/>
      <c r="C16" s="59"/>
      <c r="D16" s="59"/>
      <c r="E16" s="59"/>
      <c r="F16" s="240"/>
      <c r="G16" s="231"/>
      <c r="H16" s="290">
        <f>SUM(H7:H14)</f>
        <v>0</v>
      </c>
      <c r="I16" s="290">
        <f>SUM(I7:I14)</f>
        <v>0</v>
      </c>
      <c r="J16" s="290">
        <f>SUM(J7:J14)</f>
        <v>0</v>
      </c>
      <c r="K16" s="290">
        <f ca="1">SUM(K7:K14)</f>
        <v>1</v>
      </c>
    </row>
    <row r="17" spans="1:7" ht="12" hidden="1">
      <c r="A17" s="56"/>
      <c r="B17" s="57"/>
      <c r="C17" s="57"/>
      <c r="D17" s="58"/>
      <c r="E17" s="59"/>
      <c r="F17" s="240"/>
      <c r="G17" s="231"/>
    </row>
    <row r="18" spans="1:7" ht="12" hidden="1">
      <c r="A18" s="56"/>
      <c r="B18" s="57"/>
      <c r="C18" s="57"/>
      <c r="D18" s="58"/>
      <c r="E18" s="59"/>
      <c r="F18" s="240"/>
      <c r="G18" s="231"/>
    </row>
  </sheetData>
  <sheetProtection algorithmName="SHA-512" hashValue="ttFUYp2f7b5E0yJ0lmzY3T6GMpU1UjgHYt2z5A3VEF7R+bSaS9Hj728E2L4fgueblj6TrLCKjZirL5JtVoLGyQ==" saltValue="6Q9hUw6WxloI2fz3WO3Axg==" spinCount="100000" sheet="1" objects="1" scenarios="1"/>
  <dataConsolidate/>
  <mergeCells count="6">
    <mergeCell ref="B1:E1"/>
    <mergeCell ref="B4:B6"/>
    <mergeCell ref="E4:E6"/>
    <mergeCell ref="A2:E2"/>
    <mergeCell ref="C4:C6"/>
    <mergeCell ref="D4:D6"/>
  </mergeCells>
  <phoneticPr fontId="9" type="noConversion"/>
  <conditionalFormatting sqref="B15:E16 D15:D18">
    <cfRule type="expression" dxfId="31" priority="38" stopIfTrue="1">
      <formula>AND(OR(XFC15&lt;&gt;"",XFD15&lt;&gt;""),A15&lt;&gt;"",B15="")</formula>
    </cfRule>
  </conditionalFormatting>
  <conditionalFormatting sqref="C15:C18">
    <cfRule type="expression" dxfId="30" priority="39" stopIfTrue="1">
      <formula>AND(OR(A15&lt;&gt;"",B15&lt;&gt;""),D15&lt;&gt;"",C15="")</formula>
    </cfRule>
  </conditionalFormatting>
  <conditionalFormatting sqref="D9:D13">
    <cfRule type="expression" dxfId="29" priority="26" stopIfTrue="1">
      <formula>AND(OR(A9&lt;&gt;"",B9&lt;&gt;""),C9&lt;&gt;"",D9="")</formula>
    </cfRule>
  </conditionalFormatting>
  <conditionalFormatting sqref="D9:D13">
    <cfRule type="expression" dxfId="28" priority="25" stopIfTrue="1">
      <formula>AND(OR(A9&lt;&gt;"",B9&lt;&gt;""),C9&lt;&gt;"",D9="")</formula>
    </cfRule>
  </conditionalFormatting>
  <conditionalFormatting sqref="D9:D13">
    <cfRule type="expression" dxfId="27" priority="23" stopIfTrue="1">
      <formula>AND(OR(A9&lt;&gt;"",B9&lt;&gt;""),C9&lt;&gt;"",D9="")</formula>
    </cfRule>
  </conditionalFormatting>
  <conditionalFormatting sqref="D7:D8">
    <cfRule type="expression" dxfId="26" priority="20" stopIfTrue="1">
      <formula>AND(OR(A7&lt;&gt;"",B7&lt;&gt;""),C7&lt;&gt;"",D7="")</formula>
    </cfRule>
  </conditionalFormatting>
  <conditionalFormatting sqref="D7:D8">
    <cfRule type="expression" dxfId="25" priority="19" stopIfTrue="1">
      <formula>AND(OR(A7&lt;&gt;"",B7&lt;&gt;""),C7&lt;&gt;"",D7="")</formula>
    </cfRule>
  </conditionalFormatting>
  <conditionalFormatting sqref="D7:D8">
    <cfRule type="expression" dxfId="24" priority="17" stopIfTrue="1">
      <formula>AND(OR(A7&lt;&gt;"",B7&lt;&gt;""),C7&lt;&gt;"",D7="")</formula>
    </cfRule>
  </conditionalFormatting>
  <conditionalFormatting sqref="C7:C13">
    <cfRule type="expression" dxfId="23" priority="15" stopIfTrue="1">
      <formula>AND(OR(#REF!&lt;&gt;"",A7&lt;&gt;""),B7&lt;&gt;"",C7="")</formula>
    </cfRule>
  </conditionalFormatting>
  <conditionalFormatting sqref="C7:C13">
    <cfRule type="expression" dxfId="22" priority="14" stopIfTrue="1">
      <formula>AND(OR(#REF!&lt;&gt;"",A7&lt;&gt;""),B7&lt;&gt;"",C7="")</formula>
    </cfRule>
  </conditionalFormatting>
  <conditionalFormatting sqref="C7:C13">
    <cfRule type="expression" dxfId="21" priority="13" stopIfTrue="1">
      <formula>AND(OR(#REF!&lt;&gt;"",A7&lt;&gt;""),B7&lt;&gt;"",C7="")</formula>
    </cfRule>
  </conditionalFormatting>
  <conditionalFormatting sqref="D14">
    <cfRule type="expression" dxfId="20" priority="6" stopIfTrue="1">
      <formula>AND(OR(A14&lt;&gt;"",B14&lt;&gt;""),C14&lt;&gt;"",D14="")</formula>
    </cfRule>
  </conditionalFormatting>
  <conditionalFormatting sqref="D14">
    <cfRule type="expression" dxfId="19" priority="5" stopIfTrue="1">
      <formula>AND(OR(A14&lt;&gt;"",B14&lt;&gt;""),C14&lt;&gt;"",D14="")</formula>
    </cfRule>
  </conditionalFormatting>
  <conditionalFormatting sqref="D14">
    <cfRule type="expression" dxfId="18" priority="4" stopIfTrue="1">
      <formula>AND(OR(A14&lt;&gt;"",B14&lt;&gt;""),C14&lt;&gt;"",D14="")</formula>
    </cfRule>
  </conditionalFormatting>
  <conditionalFormatting sqref="C14">
    <cfRule type="expression" dxfId="17" priority="3" stopIfTrue="1">
      <formula>AND(OR(#REF!&lt;&gt;"",A14&lt;&gt;""),B14&lt;&gt;"",C14="")</formula>
    </cfRule>
  </conditionalFormatting>
  <conditionalFormatting sqref="C14">
    <cfRule type="expression" dxfId="16" priority="2" stopIfTrue="1">
      <formula>AND(OR(#REF!&lt;&gt;"",A14&lt;&gt;""),B14&lt;&gt;"",C14="")</formula>
    </cfRule>
  </conditionalFormatting>
  <conditionalFormatting sqref="C14">
    <cfRule type="expression" dxfId="15" priority="1" stopIfTrue="1">
      <formula>AND(OR(#REF!&lt;&gt;"",A14&lt;&gt;""),B14&lt;&gt;"",C14="")</formula>
    </cfRule>
  </conditionalFormatting>
  <dataValidations count="6">
    <dataValidation type="whole" operator="lessThanOrEqual" showInputMessage="1" showErrorMessage="1" error="SÓLO ACEPTA HASTA 69 AÑOS" sqref="B15:B18">
      <formula1>69</formula1>
    </dataValidation>
    <dataValidation type="custom" allowBlank="1" showInputMessage="1" showErrorMessage="1" error="Valores Permitidos: T,C o H_x000a__x000a_     Donde:_x000a_         T = Titular_x000a_         C = Cónyuge_x000a_         H = Hijo" sqref="C15:C18">
      <formula1>OR(C15="T",C15="C",C15="H")</formula1>
    </dataValidation>
    <dataValidation type="custom" allowBlank="1" showInputMessage="1" showErrorMessage="1" error="Valores Permitidos: M o F_x000a__x000a_     Donde:_x000a_         M = Masculino_x000a_         F = Femenino" sqref="D15:D18">
      <formula1>OR(D15="m",D15="f")</formula1>
    </dataValidation>
    <dataValidation type="whole" allowBlank="1" showInputMessage="1" showErrorMessage="1" errorTitle="Edad no permitida." error="Las edades permitidas son:_x000a_Mínima 0 y  máxima 64 años." sqref="B7:B14">
      <formula1>0</formula1>
      <formula2>64</formula2>
    </dataValidation>
    <dataValidation type="list" allowBlank="1" showInputMessage="1" showErrorMessage="1" error="Valores permitidos: T, C, H_x000a__x000a_Donde:_x000a_T= Titular_x000a_C= Cónyuge_x000a_H= Hijo" sqref="C7:C14">
      <formula1>$L$6:$L$8</formula1>
    </dataValidation>
    <dataValidation type="list" allowBlank="1" showInputMessage="1" showErrorMessage="1" error="Datos permitidos: M o F_x000a__x000a_Donde:_x000a_M= Masculino_x000a_F= Femenino" sqref="D7:D14">
      <formula1>$M$6:$M$7</formula1>
    </dataValidation>
  </dataValidations>
  <printOptions gridLinesSet="0"/>
  <pageMargins left="0.75" right="0.75" top="1" bottom="1" header="0.511811024" footer="0.511811024"/>
  <pageSetup orientation="portrait" horizontalDpi="300" verticalDpi="300" r:id="rId1"/>
  <headerFooter alignWithMargins="0">
    <oddHeader>&amp;A</oddHeader>
    <oddFooter>Página &amp;P</oddFooter>
  </headerFooter>
  <pictur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X123"/>
  <sheetViews>
    <sheetView showGridLines="0" showRuler="0" zoomScale="85" zoomScaleNormal="85" zoomScalePageLayoutView="70" workbookViewId="0">
      <selection activeCell="B4" sqref="B4"/>
    </sheetView>
  </sheetViews>
  <sheetFormatPr baseColWidth="10" defaultColWidth="0" defaultRowHeight="13" zeroHeight="1"/>
  <cols>
    <col min="1" max="1" width="7.7265625" style="229" customWidth="1"/>
    <col min="2" max="2" width="13.7265625" style="229" customWidth="1"/>
    <col min="3" max="3" width="15" style="229" customWidth="1"/>
    <col min="4" max="4" width="15.54296875" style="229" customWidth="1"/>
    <col min="5" max="6" width="2.1796875" style="229" customWidth="1"/>
    <col min="7" max="7" width="35.7265625" style="229" customWidth="1"/>
    <col min="8" max="9" width="2.1796875" style="229" customWidth="1"/>
    <col min="10" max="10" width="35.7265625" style="229" customWidth="1"/>
    <col min="11" max="11" width="2.1796875" style="229" customWidth="1"/>
    <col min="12" max="12" width="3" style="229" customWidth="1"/>
    <col min="13" max="13" width="40.81640625" style="229" customWidth="1"/>
    <col min="14" max="14" width="11" style="229" hidden="1" customWidth="1"/>
    <col min="15" max="15" width="6" style="229" hidden="1" customWidth="1"/>
    <col min="16" max="16" width="2.453125" style="229" customWidth="1"/>
    <col min="17" max="17" width="1.26953125" style="229" customWidth="1"/>
    <col min="18" max="18" width="1.81640625" style="229" customWidth="1"/>
    <col min="19" max="19" width="7.453125" style="229" hidden="1" customWidth="1"/>
    <col min="20" max="20" width="11.453125" style="229" hidden="1" customWidth="1"/>
    <col min="21" max="21" width="10.81640625" style="229" hidden="1" customWidth="1"/>
    <col min="22" max="22" width="10.453125" style="229" hidden="1" customWidth="1"/>
    <col min="23" max="23" width="13.26953125" style="229" hidden="1" customWidth="1"/>
    <col min="24" max="24" width="10.26953125" style="229" hidden="1" customWidth="1"/>
    <col min="25" max="16384" width="8.54296875" style="229" hidden="1"/>
  </cols>
  <sheetData>
    <row r="1" spans="1:18"/>
    <row r="2" spans="1:18" ht="16.75" customHeight="1">
      <c r="A2" s="88"/>
      <c r="B2" s="89"/>
      <c r="C2" s="89"/>
      <c r="D2" s="89"/>
      <c r="E2" s="89"/>
      <c r="F2" s="89"/>
      <c r="G2" s="89"/>
      <c r="H2" s="89"/>
      <c r="I2" s="89"/>
      <c r="J2" s="89"/>
      <c r="K2" s="89"/>
      <c r="L2" s="89"/>
      <c r="M2" s="89"/>
    </row>
    <row r="3" spans="1:18" ht="31" customHeight="1">
      <c r="A3" s="88"/>
      <c r="B3" s="293" t="str">
        <f>IF(b=2,"Cotización de Renovación de la Póliza de Exceso: "&amp;a,"Cotización en Exceso con Beneficio de Derecho de Conversión")</f>
        <v>Cotización en Exceso con Beneficio de Derecho de Conversión</v>
      </c>
      <c r="C3" s="252"/>
      <c r="D3" s="252"/>
      <c r="E3" s="252"/>
      <c r="F3" s="252"/>
      <c r="G3" s="252"/>
      <c r="H3" s="252"/>
      <c r="I3" s="252"/>
      <c r="J3" s="252"/>
      <c r="K3" s="252"/>
      <c r="L3" s="252"/>
      <c r="M3" s="294"/>
    </row>
    <row r="4" spans="1:18" ht="20.25" customHeight="1">
      <c r="A4" s="88"/>
      <c r="B4" s="420" t="str">
        <f>IF('DATOS GENERALES'!C3="","",CONCATENATE('DATOS GENERALES'!C3))</f>
        <v/>
      </c>
      <c r="C4" s="258"/>
      <c r="D4" s="258"/>
      <c r="E4" s="258"/>
      <c r="F4" s="258"/>
      <c r="G4" s="258"/>
      <c r="H4" s="258"/>
      <c r="I4" s="258"/>
      <c r="J4" s="258"/>
      <c r="K4" s="258"/>
    </row>
    <row r="5" spans="1:18" ht="23.15" customHeight="1">
      <c r="A5" s="88"/>
      <c r="B5" s="298" t="s">
        <v>292</v>
      </c>
      <c r="C5" s="258"/>
      <c r="D5" s="258"/>
      <c r="E5" s="258"/>
      <c r="F5" s="258"/>
      <c r="G5" s="258"/>
      <c r="H5" s="258"/>
      <c r="I5" s="258"/>
      <c r="J5" s="258"/>
      <c r="K5" s="258"/>
      <c r="L5" s="524">
        <f ca="1">+TODAY()</f>
        <v>45104</v>
      </c>
      <c r="M5" s="524"/>
      <c r="N5" s="445"/>
      <c r="O5" s="445"/>
      <c r="P5" s="445"/>
      <c r="Q5" s="445"/>
      <c r="R5" s="445"/>
    </row>
    <row r="6" spans="1:18" ht="37.5" customHeight="1">
      <c r="A6" s="88"/>
      <c r="B6" s="525" t="s">
        <v>1085</v>
      </c>
      <c r="C6" s="525"/>
      <c r="D6" s="525"/>
      <c r="E6" s="525"/>
      <c r="F6" s="525"/>
      <c r="G6" s="525"/>
      <c r="H6" s="525"/>
      <c r="I6" s="525"/>
      <c r="J6" s="525"/>
      <c r="K6" s="525"/>
      <c r="L6" s="525"/>
      <c r="M6" s="525"/>
    </row>
    <row r="7" spans="1:18" ht="32.9" customHeight="1" thickBot="1">
      <c r="A7" s="88"/>
      <c r="B7" s="580" t="str">
        <f>+IF(b=1,"","Cotización valida sólo para éste número de póliza, siempre y cuando sean las mismas condiciones de la última vigencia. "&amp;"Todo cambio a las condiciones actuales de la póliza deberá ser valorado por el área de suscripción y sujeto a condiciones y límites establecidos para pólizas nuevas.")</f>
        <v/>
      </c>
      <c r="C7" s="580"/>
      <c r="D7" s="580"/>
      <c r="E7" s="580"/>
      <c r="F7" s="580"/>
      <c r="G7" s="580"/>
      <c r="H7" s="580"/>
      <c r="I7" s="580"/>
      <c r="J7" s="580"/>
      <c r="K7" s="580"/>
      <c r="L7" s="580"/>
      <c r="M7" s="580"/>
    </row>
    <row r="8" spans="1:18" ht="15" customHeight="1" thickTop="1">
      <c r="A8" s="88"/>
      <c r="B8" s="530" t="s">
        <v>354</v>
      </c>
      <c r="C8" s="531"/>
      <c r="D8" s="532"/>
      <c r="E8" s="526">
        <f ca="1">TODAY()</f>
        <v>45104</v>
      </c>
      <c r="F8" s="526"/>
      <c r="G8" s="526"/>
      <c r="H8" s="526"/>
      <c r="I8" s="526"/>
      <c r="J8" s="526"/>
      <c r="K8" s="526"/>
      <c r="L8" s="526"/>
      <c r="M8" s="527"/>
    </row>
    <row r="9" spans="1:18" ht="3" customHeight="1">
      <c r="A9" s="88"/>
      <c r="B9" s="269"/>
      <c r="C9" s="252"/>
      <c r="D9" s="252"/>
      <c r="E9" s="262"/>
      <c r="F9" s="262"/>
      <c r="G9" s="262"/>
      <c r="H9" s="262"/>
      <c r="I9" s="262"/>
      <c r="J9" s="262"/>
      <c r="K9" s="262"/>
      <c r="L9" s="262"/>
      <c r="M9" s="263"/>
    </row>
    <row r="10" spans="1:18" ht="15" customHeight="1">
      <c r="A10" s="88"/>
      <c r="B10" s="505" t="s">
        <v>436</v>
      </c>
      <c r="C10" s="506"/>
      <c r="D10" s="507"/>
      <c r="E10" s="528" t="str">
        <f ca="1">"Del "&amp;TEXT(DATOS!A27,"dd/mmmm/aaaa")&amp;"  al  "&amp;TEXT(DATOS!B27,"dd/mmmm/aaaa")</f>
        <v>Del 27/junio/2023  al  12/julio/2023</v>
      </c>
      <c r="F10" s="528"/>
      <c r="G10" s="508"/>
      <c r="H10" s="508"/>
      <c r="I10" s="508"/>
      <c r="J10" s="508"/>
      <c r="K10" s="508"/>
      <c r="L10" s="508"/>
      <c r="M10" s="509"/>
    </row>
    <row r="11" spans="1:18" ht="16.75" customHeight="1">
      <c r="A11" s="88"/>
      <c r="B11" s="505" t="s">
        <v>435</v>
      </c>
      <c r="C11" s="506"/>
      <c r="D11" s="507"/>
      <c r="E11" s="528" t="str">
        <f ca="1">"Del "&amp;TEXT(DATOS!A25,"dd/mmmm/aaaa")&amp;"  al  "&amp;TEXT(DATOS!B25,"dd/mmmm/aaaa")</f>
        <v>Del 27/junio/2023  al  27/junio/2024</v>
      </c>
      <c r="F11" s="528"/>
      <c r="G11" s="508"/>
      <c r="H11" s="508"/>
      <c r="I11" s="508"/>
      <c r="J11" s="508"/>
      <c r="K11" s="508"/>
      <c r="L11" s="508"/>
      <c r="M11" s="509"/>
    </row>
    <row r="12" spans="1:18" ht="15" customHeight="1">
      <c r="A12" s="88"/>
      <c r="B12" s="505" t="s">
        <v>1083</v>
      </c>
      <c r="C12" s="506"/>
      <c r="D12" s="507"/>
      <c r="E12" s="508" t="str">
        <f>'CAPTURA DP'!D5</f>
        <v>CDMX</v>
      </c>
      <c r="F12" s="508"/>
      <c r="G12" s="508"/>
      <c r="H12" s="508"/>
      <c r="I12" s="508"/>
      <c r="J12" s="508"/>
      <c r="K12" s="508"/>
      <c r="L12" s="508"/>
      <c r="M12" s="509"/>
    </row>
    <row r="13" spans="1:18" ht="3" customHeight="1">
      <c r="A13" s="88"/>
      <c r="B13" s="269"/>
      <c r="C13" s="252"/>
      <c r="D13" s="252"/>
      <c r="E13" s="262"/>
      <c r="F13" s="262"/>
      <c r="G13" s="262"/>
      <c r="H13" s="262"/>
      <c r="I13" s="262"/>
      <c r="J13" s="262"/>
      <c r="K13" s="262"/>
      <c r="L13" s="262"/>
      <c r="M13" s="263"/>
    </row>
    <row r="14" spans="1:18" ht="15" customHeight="1">
      <c r="A14" s="88"/>
      <c r="B14" s="505" t="s">
        <v>23</v>
      </c>
      <c r="C14" s="506"/>
      <c r="D14" s="507"/>
      <c r="E14" s="529" t="str">
        <f ca="1">'CAPTURA DP'!AT104&amp;" Asegurado(s) Cotizado(s), "&amp;RESUMEN!AA104&amp;" Titular"</f>
        <v>0 Asegurado(s) Cotizado(s), 0 Titular</v>
      </c>
      <c r="F14" s="529"/>
      <c r="G14" s="510"/>
      <c r="H14" s="510"/>
      <c r="I14" s="510"/>
      <c r="J14" s="510"/>
      <c r="K14" s="510"/>
      <c r="L14" s="510"/>
      <c r="M14" s="511"/>
    </row>
    <row r="15" spans="1:18" ht="3" customHeight="1">
      <c r="A15" s="88"/>
      <c r="B15" s="378"/>
      <c r="C15" s="379"/>
      <c r="D15" s="379"/>
      <c r="E15" s="385"/>
      <c r="F15" s="386"/>
      <c r="G15" s="387"/>
      <c r="H15" s="387"/>
      <c r="I15" s="388"/>
      <c r="J15" s="387"/>
      <c r="K15" s="389"/>
      <c r="L15" s="387"/>
      <c r="M15" s="390"/>
    </row>
    <row r="16" spans="1:18" ht="15" customHeight="1">
      <c r="A16" s="88"/>
      <c r="B16" s="505" t="s">
        <v>1141</v>
      </c>
      <c r="C16" s="506"/>
      <c r="D16" s="507"/>
      <c r="E16" s="529" t="s">
        <v>1775</v>
      </c>
      <c r="F16" s="529"/>
      <c r="G16" s="510"/>
      <c r="H16" s="510"/>
      <c r="I16" s="510"/>
      <c r="J16" s="510"/>
      <c r="K16" s="510"/>
      <c r="L16" s="510"/>
      <c r="M16" s="511"/>
    </row>
    <row r="17" spans="1:14" ht="3" customHeight="1">
      <c r="A17" s="88"/>
      <c r="B17" s="378"/>
      <c r="C17" s="379"/>
      <c r="D17" s="379"/>
      <c r="E17" s="385"/>
      <c r="F17" s="386"/>
      <c r="G17" s="387"/>
      <c r="H17" s="387"/>
      <c r="I17" s="388"/>
      <c r="J17" s="387"/>
      <c r="K17" s="389"/>
      <c r="L17" s="387"/>
      <c r="M17" s="390"/>
    </row>
    <row r="18" spans="1:14" ht="18" customHeight="1">
      <c r="A18" s="88"/>
      <c r="B18" s="554" t="s">
        <v>1086</v>
      </c>
      <c r="C18" s="555"/>
      <c r="D18" s="556"/>
      <c r="E18" s="543" t="str">
        <f ca="1">IF(vo&gt;0,"","Plan Óptimo")</f>
        <v/>
      </c>
      <c r="F18" s="544"/>
      <c r="G18" s="544"/>
      <c r="H18" s="544"/>
      <c r="I18" s="545" t="str">
        <f ca="1">IF(vp&gt;0,"",IF(b=2,"Plan "&amp;'CAPTURA DP'!C4,"Plan Plus"))</f>
        <v/>
      </c>
      <c r="J18" s="546"/>
      <c r="K18" s="547"/>
      <c r="L18" s="544" t="str">
        <f ca="1">IF(ve&gt;0,"","Plan Elite")</f>
        <v/>
      </c>
      <c r="M18" s="548"/>
    </row>
    <row r="19" spans="1:14" ht="18" customHeight="1">
      <c r="A19" s="88"/>
      <c r="B19" s="557"/>
      <c r="C19" s="558"/>
      <c r="D19" s="559"/>
      <c r="E19" s="549" t="str">
        <f ca="1">IF(vo&gt;0,"",TEXT('CAPTURA DP'!C6-(IF('CAPTURA DP'!B6=96,10000,0))," 0,00")&amp;'CAPTURA DP'!D6)</f>
        <v/>
      </c>
      <c r="F19" s="550"/>
      <c r="G19" s="550"/>
      <c r="H19" s="550"/>
      <c r="I19" s="551" t="str">
        <f ca="1">IF(vp&gt;0,"",TEXT('CAPTURA DP'!C6," 0,00")&amp;'CAPTURA DP'!D6)</f>
        <v/>
      </c>
      <c r="J19" s="552"/>
      <c r="K19" s="553"/>
      <c r="L19" s="544" t="str">
        <f ca="1">IF(ve&gt;0,"",TEXT('CAPTURA DP'!C6," 0,00")&amp;'CAPTURA DP'!D6)</f>
        <v/>
      </c>
      <c r="M19" s="548"/>
    </row>
    <row r="20" spans="1:14" ht="31" customHeight="1">
      <c r="A20" s="88"/>
      <c r="B20" s="554" t="s">
        <v>1122</v>
      </c>
      <c r="C20" s="555"/>
      <c r="D20" s="556"/>
      <c r="E20" s="533" t="str">
        <f ca="1">IF(vo&gt;0,"",IF('CAPTURA DP'!B6=96,"30,000 UMAM",TEXT('CAPTURA DP'!C6+'CAPTURA DP'!C7,"###,###")&amp;" UMAM"))</f>
        <v/>
      </c>
      <c r="F20" s="534"/>
      <c r="G20" s="534"/>
      <c r="H20" s="534"/>
      <c r="I20" s="563" t="str">
        <f ca="1">IF(vp&gt;0,"",TEXT('CAPTURA DP'!C6+'CAPTURA DP'!C7,"###,###")&amp;" UMAM")</f>
        <v/>
      </c>
      <c r="J20" s="564"/>
      <c r="K20" s="565"/>
      <c r="L20" s="544" t="str">
        <f ca="1">IF(ve&gt;0,"",TEXT('CAPTURA DP'!C6+'CAPTURA DP'!C7,"###,###")&amp;" UMAM")</f>
        <v/>
      </c>
      <c r="M20" s="548"/>
      <c r="N20" s="433"/>
    </row>
    <row r="21" spans="1:14" ht="3" customHeight="1">
      <c r="A21" s="88"/>
      <c r="B21" s="560"/>
      <c r="C21" s="561"/>
      <c r="D21" s="562"/>
      <c r="E21" s="434"/>
      <c r="F21" s="435"/>
      <c r="G21" s="435"/>
      <c r="H21" s="435"/>
      <c r="I21" s="435"/>
      <c r="J21" s="435"/>
      <c r="K21" s="435"/>
      <c r="L21" s="566"/>
      <c r="M21" s="567"/>
    </row>
    <row r="22" spans="1:14" ht="20.25" customHeight="1">
      <c r="A22" s="88"/>
      <c r="B22" s="505" t="s">
        <v>89</v>
      </c>
      <c r="C22" s="506"/>
      <c r="D22" s="507"/>
      <c r="E22" s="540" t="str">
        <f>+IF('DATOS GENERALES'!G38&gt;=1,"Suma Asegurada o Deducible no válidos, favor de verificar",TEXT('CAPTURA DP'!C7,"##,###")&amp;'CAPTURA DP'!D7&amp;", Sujeto a comprobar que es la Suma Asegurada de la póliza básica.")</f>
        <v>1,000 UMAM, Sujeto a comprobar que es la Suma Asegurada de la póliza básica.</v>
      </c>
      <c r="F22" s="541"/>
      <c r="G22" s="541"/>
      <c r="H22" s="541"/>
      <c r="I22" s="541"/>
      <c r="J22" s="541"/>
      <c r="K22" s="541"/>
      <c r="L22" s="541"/>
      <c r="M22" s="542"/>
    </row>
    <row r="23" spans="1:14" ht="3" customHeight="1">
      <c r="A23" s="88"/>
      <c r="B23" s="269"/>
      <c r="C23" s="252"/>
      <c r="D23" s="252"/>
      <c r="E23" s="261"/>
      <c r="F23" s="261"/>
      <c r="G23" s="261"/>
      <c r="H23" s="261"/>
      <c r="I23" s="261"/>
      <c r="J23" s="261"/>
      <c r="K23" s="261"/>
      <c r="L23" s="261"/>
      <c r="M23" s="266"/>
    </row>
    <row r="24" spans="1:14" ht="15" customHeight="1">
      <c r="A24" s="88"/>
      <c r="B24" s="505" t="s">
        <v>92</v>
      </c>
      <c r="C24" s="506"/>
      <c r="D24" s="507"/>
      <c r="E24" s="508" t="str">
        <f>+(IF('CAPTURA DP'!B4&gt;=4,CONCATENATE('CAPTURA DP'!C8*100,"% con Tope de 2,000 Dlls."),CONCATENATE('CAPTURA DP'!C8*100,"%  con  Tope  de  $  ",TEXT('CAPTURA DP'!C9,"###,##0.00")," Pesos")))</f>
        <v>10%  con  Tope  de  $  70,000.00 Pesos</v>
      </c>
      <c r="F24" s="508"/>
      <c r="G24" s="508"/>
      <c r="H24" s="508"/>
      <c r="I24" s="508"/>
      <c r="J24" s="508"/>
      <c r="K24" s="508"/>
      <c r="L24" s="508"/>
      <c r="M24" s="509"/>
    </row>
    <row r="25" spans="1:14" ht="3" customHeight="1">
      <c r="A25" s="88"/>
      <c r="B25" s="269"/>
      <c r="C25" s="252"/>
      <c r="D25" s="252"/>
      <c r="E25" s="264"/>
      <c r="F25" s="264"/>
      <c r="G25" s="264"/>
      <c r="H25" s="264"/>
      <c r="I25" s="264"/>
      <c r="J25" s="264"/>
      <c r="K25" s="264"/>
      <c r="L25" s="264"/>
      <c r="M25" s="265"/>
    </row>
    <row r="26" spans="1:14" ht="15" customHeight="1">
      <c r="A26" s="88"/>
      <c r="B26" s="505" t="s">
        <v>355</v>
      </c>
      <c r="C26" s="506"/>
      <c r="D26" s="507"/>
      <c r="E26" s="508" t="str">
        <f>+VLOOKUP('CAPTURA DP'!B10,DATOS!$AW$4:$AY$7,3,0)</f>
        <v>Costo Usual y Acostumbrado al 100%</v>
      </c>
      <c r="F26" s="508"/>
      <c r="G26" s="508"/>
      <c r="H26" s="508"/>
      <c r="I26" s="508"/>
      <c r="J26" s="508"/>
      <c r="K26" s="508"/>
      <c r="L26" s="508"/>
      <c r="M26" s="509"/>
    </row>
    <row r="27" spans="1:14" ht="3" customHeight="1">
      <c r="A27" s="88"/>
      <c r="B27" s="269"/>
      <c r="C27" s="252"/>
      <c r="D27" s="252"/>
      <c r="E27" s="262"/>
      <c r="F27" s="262"/>
      <c r="G27" s="262"/>
      <c r="H27" s="262"/>
      <c r="I27" s="262"/>
      <c r="J27" s="262"/>
      <c r="K27" s="262"/>
      <c r="L27" s="262"/>
      <c r="M27" s="263"/>
    </row>
    <row r="28" spans="1:14" ht="256.39999999999998" customHeight="1">
      <c r="A28" s="88"/>
      <c r="B28" s="535" t="s">
        <v>1142</v>
      </c>
      <c r="C28" s="536"/>
      <c r="D28" s="537"/>
      <c r="E28" s="538" t="s">
        <v>1151</v>
      </c>
      <c r="F28" s="510"/>
      <c r="G28" s="510"/>
      <c r="H28" s="510"/>
      <c r="I28" s="510"/>
      <c r="J28" s="510"/>
      <c r="K28" s="510"/>
      <c r="L28" s="510"/>
      <c r="M28" s="511"/>
    </row>
    <row r="29" spans="1:14" ht="3" customHeight="1">
      <c r="A29" s="88"/>
      <c r="B29" s="269"/>
      <c r="C29" s="252"/>
      <c r="D29" s="252"/>
      <c r="E29" s="262"/>
      <c r="F29" s="262"/>
      <c r="G29" s="262"/>
      <c r="H29" s="262"/>
      <c r="I29" s="262"/>
      <c r="J29" s="262"/>
      <c r="K29" s="262"/>
      <c r="L29" s="262"/>
      <c r="M29" s="263"/>
    </row>
    <row r="30" spans="1:14" ht="3" customHeight="1">
      <c r="A30" s="88"/>
      <c r="B30" s="269"/>
      <c r="C30" s="252"/>
      <c r="D30" s="252"/>
      <c r="E30" s="264"/>
      <c r="F30" s="264"/>
      <c r="G30" s="264"/>
      <c r="H30" s="264"/>
      <c r="I30" s="264"/>
      <c r="J30" s="264"/>
      <c r="K30" s="264"/>
      <c r="L30" s="264"/>
      <c r="M30" s="265"/>
    </row>
    <row r="31" spans="1:14" ht="14.15" customHeight="1">
      <c r="A31" s="88"/>
      <c r="B31" s="505" t="s">
        <v>93</v>
      </c>
      <c r="C31" s="506"/>
      <c r="D31" s="507"/>
      <c r="E31" s="510" t="s">
        <v>316</v>
      </c>
      <c r="F31" s="510"/>
      <c r="G31" s="510"/>
      <c r="H31" s="510"/>
      <c r="I31" s="510"/>
      <c r="J31" s="510"/>
      <c r="K31" s="510"/>
      <c r="L31" s="510"/>
      <c r="M31" s="511"/>
    </row>
    <row r="32" spans="1:14" ht="3" customHeight="1">
      <c r="A32" s="88"/>
      <c r="B32" s="270"/>
      <c r="C32" s="280"/>
      <c r="D32" s="281"/>
      <c r="E32" s="267"/>
      <c r="F32" s="267"/>
      <c r="G32" s="267"/>
      <c r="H32" s="267"/>
      <c r="I32" s="267"/>
      <c r="J32" s="267"/>
      <c r="K32" s="267"/>
      <c r="L32" s="267"/>
      <c r="M32" s="268"/>
    </row>
    <row r="33" spans="1:13" ht="35.25" customHeight="1">
      <c r="A33" s="88"/>
      <c r="B33" s="535" t="s">
        <v>109</v>
      </c>
      <c r="C33" s="536"/>
      <c r="D33" s="537"/>
      <c r="E33" s="538" t="s">
        <v>266</v>
      </c>
      <c r="F33" s="538"/>
      <c r="G33" s="538"/>
      <c r="H33" s="538"/>
      <c r="I33" s="538"/>
      <c r="J33" s="538"/>
      <c r="K33" s="538"/>
      <c r="L33" s="538"/>
      <c r="M33" s="539"/>
    </row>
    <row r="34" spans="1:13" ht="3" customHeight="1">
      <c r="A34" s="88"/>
      <c r="B34" s="269"/>
      <c r="C34" s="252"/>
      <c r="D34" s="252"/>
      <c r="E34" s="264"/>
      <c r="F34" s="264"/>
      <c r="G34" s="264"/>
      <c r="H34" s="264"/>
      <c r="I34" s="264"/>
      <c r="J34" s="264"/>
      <c r="K34" s="264"/>
      <c r="L34" s="264"/>
      <c r="M34" s="265"/>
    </row>
    <row r="35" spans="1:13" ht="33.75" customHeight="1">
      <c r="A35" s="88"/>
      <c r="B35" s="535" t="s">
        <v>358</v>
      </c>
      <c r="C35" s="536"/>
      <c r="D35" s="537"/>
      <c r="E35" s="510" t="s">
        <v>430</v>
      </c>
      <c r="F35" s="510"/>
      <c r="G35" s="510"/>
      <c r="H35" s="510"/>
      <c r="I35" s="510"/>
      <c r="J35" s="510"/>
      <c r="K35" s="510"/>
      <c r="L35" s="510"/>
      <c r="M35" s="511"/>
    </row>
    <row r="36" spans="1:13" ht="3" customHeight="1">
      <c r="A36" s="88"/>
      <c r="B36" s="423"/>
      <c r="C36" s="424"/>
      <c r="D36" s="424"/>
      <c r="E36" s="375"/>
      <c r="F36" s="376"/>
      <c r="G36" s="376"/>
      <c r="H36" s="376"/>
      <c r="I36" s="376"/>
      <c r="J36" s="376"/>
      <c r="K36" s="376"/>
      <c r="L36" s="376"/>
      <c r="M36" s="377"/>
    </row>
    <row r="37" spans="1:13" ht="34.75" customHeight="1">
      <c r="A37" s="88"/>
      <c r="B37" s="505" t="s">
        <v>94</v>
      </c>
      <c r="C37" s="506"/>
      <c r="D37" s="507"/>
      <c r="E37" s="595" t="s">
        <v>1087</v>
      </c>
      <c r="F37" s="596"/>
      <c r="G37" s="596"/>
      <c r="H37" s="596"/>
      <c r="I37" s="596"/>
      <c r="J37" s="596"/>
      <c r="K37" s="596"/>
      <c r="L37" s="596"/>
      <c r="M37" s="597"/>
    </row>
    <row r="38" spans="1:13" ht="3" customHeight="1">
      <c r="A38" s="88"/>
      <c r="B38" s="269"/>
      <c r="C38" s="252"/>
      <c r="D38" s="252"/>
      <c r="E38" s="267"/>
      <c r="F38" s="267"/>
      <c r="G38" s="267"/>
      <c r="H38" s="267"/>
      <c r="I38" s="267"/>
      <c r="J38" s="267"/>
      <c r="K38" s="267"/>
      <c r="L38" s="267"/>
      <c r="M38" s="268"/>
    </row>
    <row r="39" spans="1:13" ht="15" customHeight="1">
      <c r="A39" s="88"/>
      <c r="B39" s="505" t="s">
        <v>95</v>
      </c>
      <c r="C39" s="506"/>
      <c r="D39" s="507"/>
      <c r="E39" s="598" t="s">
        <v>267</v>
      </c>
      <c r="F39" s="598"/>
      <c r="G39" s="598"/>
      <c r="H39" s="598"/>
      <c r="I39" s="598"/>
      <c r="J39" s="598"/>
      <c r="K39" s="598"/>
      <c r="L39" s="598"/>
      <c r="M39" s="599"/>
    </row>
    <row r="40" spans="1:13" ht="3" customHeight="1">
      <c r="A40" s="88"/>
      <c r="B40" s="269"/>
      <c r="C40" s="252"/>
      <c r="D40" s="252"/>
      <c r="E40" s="267"/>
      <c r="F40" s="267"/>
      <c r="G40" s="267"/>
      <c r="H40" s="267"/>
      <c r="I40" s="267"/>
      <c r="J40" s="267"/>
      <c r="K40" s="267"/>
      <c r="L40" s="267"/>
      <c r="M40" s="268"/>
    </row>
    <row r="41" spans="1:13" ht="15" customHeight="1">
      <c r="A41" s="88"/>
      <c r="B41" s="505" t="s">
        <v>96</v>
      </c>
      <c r="C41" s="506"/>
      <c r="D41" s="507"/>
      <c r="E41" s="510" t="s">
        <v>268</v>
      </c>
      <c r="F41" s="510"/>
      <c r="G41" s="510"/>
      <c r="H41" s="510"/>
      <c r="I41" s="510"/>
      <c r="J41" s="510"/>
      <c r="K41" s="510"/>
      <c r="L41" s="510"/>
      <c r="M41" s="511"/>
    </row>
    <row r="42" spans="1:13" ht="3" customHeight="1">
      <c r="A42" s="88"/>
      <c r="B42" s="269"/>
      <c r="C42" s="252"/>
      <c r="D42" s="252"/>
      <c r="E42" s="267"/>
      <c r="F42" s="267"/>
      <c r="G42" s="267"/>
      <c r="H42" s="267"/>
      <c r="I42" s="267"/>
      <c r="J42" s="267"/>
      <c r="K42" s="267"/>
      <c r="L42" s="267"/>
      <c r="M42" s="268"/>
    </row>
    <row r="43" spans="1:13" ht="15" customHeight="1">
      <c r="A43" s="88"/>
      <c r="B43" s="505" t="s">
        <v>106</v>
      </c>
      <c r="C43" s="506"/>
      <c r="D43" s="507"/>
      <c r="E43" s="508" t="s">
        <v>269</v>
      </c>
      <c r="F43" s="508"/>
      <c r="G43" s="508"/>
      <c r="H43" s="508"/>
      <c r="I43" s="508"/>
      <c r="J43" s="508"/>
      <c r="K43" s="508"/>
      <c r="L43" s="508"/>
      <c r="M43" s="509"/>
    </row>
    <row r="44" spans="1:13" ht="3" customHeight="1">
      <c r="A44" s="88"/>
      <c r="B44" s="270"/>
      <c r="C44" s="280"/>
      <c r="D44" s="281"/>
      <c r="E44" s="264"/>
      <c r="F44" s="264"/>
      <c r="G44" s="264"/>
      <c r="H44" s="264"/>
      <c r="I44" s="264"/>
      <c r="J44" s="264"/>
      <c r="K44" s="264"/>
      <c r="L44" s="264"/>
      <c r="M44" s="265"/>
    </row>
    <row r="45" spans="1:13" ht="15" customHeight="1">
      <c r="A45" s="88"/>
      <c r="B45" s="505" t="s">
        <v>97</v>
      </c>
      <c r="C45" s="506"/>
      <c r="D45" s="507"/>
      <c r="E45" s="510" t="s">
        <v>270</v>
      </c>
      <c r="F45" s="510"/>
      <c r="G45" s="510"/>
      <c r="H45" s="510"/>
      <c r="I45" s="510"/>
      <c r="J45" s="510"/>
      <c r="K45" s="510"/>
      <c r="L45" s="510"/>
      <c r="M45" s="511"/>
    </row>
    <row r="46" spans="1:13" ht="3" customHeight="1">
      <c r="A46" s="88"/>
      <c r="B46" s="269"/>
      <c r="C46" s="252"/>
      <c r="D46" s="252"/>
      <c r="E46" s="267"/>
      <c r="F46" s="267"/>
      <c r="G46" s="267"/>
      <c r="H46" s="267"/>
      <c r="I46" s="267"/>
      <c r="J46" s="267"/>
      <c r="K46" s="267"/>
      <c r="L46" s="267"/>
      <c r="M46" s="268"/>
    </row>
    <row r="47" spans="1:13" ht="80.25" customHeight="1">
      <c r="A47" s="88"/>
      <c r="B47" s="505" t="s">
        <v>107</v>
      </c>
      <c r="C47" s="506"/>
      <c r="D47" s="507"/>
      <c r="E47" s="521" t="s">
        <v>271</v>
      </c>
      <c r="F47" s="521"/>
      <c r="G47" s="521"/>
      <c r="H47" s="521"/>
      <c r="I47" s="521"/>
      <c r="J47" s="521"/>
      <c r="K47" s="521"/>
      <c r="L47" s="521"/>
      <c r="M47" s="522"/>
    </row>
    <row r="48" spans="1:13" ht="3" customHeight="1">
      <c r="A48" s="88"/>
      <c r="B48" s="269"/>
      <c r="C48" s="252"/>
      <c r="D48" s="252"/>
      <c r="E48" s="264"/>
      <c r="F48" s="264"/>
      <c r="G48" s="264"/>
      <c r="H48" s="264"/>
      <c r="I48" s="264"/>
      <c r="J48" s="264"/>
      <c r="K48" s="264"/>
      <c r="L48" s="264"/>
      <c r="M48" s="265"/>
    </row>
    <row r="49" spans="1:13" ht="37.5" customHeight="1">
      <c r="A49" s="88"/>
      <c r="B49" s="505" t="s">
        <v>98</v>
      </c>
      <c r="C49" s="506"/>
      <c r="D49" s="507"/>
      <c r="E49" s="508" t="s">
        <v>431</v>
      </c>
      <c r="F49" s="508"/>
      <c r="G49" s="508"/>
      <c r="H49" s="508"/>
      <c r="I49" s="508"/>
      <c r="J49" s="508"/>
      <c r="K49" s="508"/>
      <c r="L49" s="508"/>
      <c r="M49" s="509"/>
    </row>
    <row r="50" spans="1:13" ht="3" customHeight="1">
      <c r="A50" s="88"/>
      <c r="B50" s="269"/>
      <c r="C50" s="252"/>
      <c r="D50" s="252"/>
      <c r="E50" s="264"/>
      <c r="F50" s="264"/>
      <c r="G50" s="264"/>
      <c r="H50" s="264"/>
      <c r="I50" s="264"/>
      <c r="J50" s="264"/>
      <c r="K50" s="264"/>
      <c r="L50" s="264"/>
      <c r="M50" s="265"/>
    </row>
    <row r="51" spans="1:13" ht="15.75" customHeight="1">
      <c r="A51" s="88"/>
      <c r="B51" s="505" t="s">
        <v>135</v>
      </c>
      <c r="C51" s="506"/>
      <c r="D51" s="507"/>
      <c r="E51" s="508" t="s">
        <v>272</v>
      </c>
      <c r="F51" s="508"/>
      <c r="G51" s="508"/>
      <c r="H51" s="508"/>
      <c r="I51" s="508"/>
      <c r="J51" s="508"/>
      <c r="K51" s="508"/>
      <c r="L51" s="508"/>
      <c r="M51" s="509"/>
    </row>
    <row r="52" spans="1:13" ht="3" customHeight="1">
      <c r="A52" s="88"/>
      <c r="B52" s="269"/>
      <c r="C52" s="252"/>
      <c r="D52" s="252"/>
      <c r="E52" s="264"/>
      <c r="F52" s="264"/>
      <c r="G52" s="264"/>
      <c r="H52" s="264"/>
      <c r="I52" s="264"/>
      <c r="J52" s="264"/>
      <c r="K52" s="264"/>
      <c r="L52" s="264"/>
      <c r="M52" s="265"/>
    </row>
    <row r="53" spans="1:13" ht="33.75" customHeight="1">
      <c r="A53" s="88"/>
      <c r="B53" s="505" t="s">
        <v>99</v>
      </c>
      <c r="C53" s="506"/>
      <c r="D53" s="507"/>
      <c r="E53" s="508" t="s">
        <v>128</v>
      </c>
      <c r="F53" s="508"/>
      <c r="G53" s="508"/>
      <c r="H53" s="508"/>
      <c r="I53" s="508"/>
      <c r="J53" s="508"/>
      <c r="K53" s="508"/>
      <c r="L53" s="508"/>
      <c r="M53" s="509"/>
    </row>
    <row r="54" spans="1:13" ht="3" customHeight="1">
      <c r="A54" s="88"/>
      <c r="B54" s="269"/>
      <c r="C54" s="252"/>
      <c r="D54" s="252"/>
      <c r="E54" s="264"/>
      <c r="F54" s="264"/>
      <c r="G54" s="264"/>
      <c r="H54" s="264"/>
      <c r="I54" s="264"/>
      <c r="J54" s="264"/>
      <c r="K54" s="264"/>
      <c r="L54" s="264"/>
      <c r="M54" s="265"/>
    </row>
    <row r="55" spans="1:13" ht="81.75" customHeight="1" thickBot="1">
      <c r="A55" s="88"/>
      <c r="B55" s="587" t="s">
        <v>432</v>
      </c>
      <c r="C55" s="588"/>
      <c r="D55" s="589"/>
      <c r="E55" s="582" t="s">
        <v>1140</v>
      </c>
      <c r="F55" s="583"/>
      <c r="G55" s="584"/>
      <c r="H55" s="584"/>
      <c r="I55" s="584"/>
      <c r="J55" s="584"/>
      <c r="K55" s="584"/>
      <c r="L55" s="584"/>
      <c r="M55" s="585"/>
    </row>
    <row r="56" spans="1:13" ht="13.5" customHeight="1" thickTop="1" thickBot="1">
      <c r="A56" s="88"/>
      <c r="B56" s="416"/>
      <c r="C56" s="252"/>
      <c r="D56" s="252"/>
      <c r="E56" s="264"/>
      <c r="F56" s="264"/>
      <c r="G56" s="264"/>
      <c r="H56" s="264"/>
      <c r="I56" s="264"/>
      <c r="J56" s="264"/>
      <c r="K56" s="264"/>
      <c r="L56" s="264"/>
      <c r="M56" s="264"/>
    </row>
    <row r="57" spans="1:13" ht="28.5" customHeight="1" thickTop="1">
      <c r="A57" s="88"/>
      <c r="B57" s="573" t="s">
        <v>100</v>
      </c>
      <c r="C57" s="574"/>
      <c r="D57" s="574"/>
      <c r="E57" s="574"/>
      <c r="F57" s="574"/>
      <c r="G57" s="574"/>
      <c r="H57" s="574"/>
      <c r="I57" s="574"/>
      <c r="J57" s="574"/>
      <c r="K57" s="574"/>
      <c r="L57" s="574"/>
      <c r="M57" s="575"/>
    </row>
    <row r="58" spans="1:13" ht="16.5" customHeight="1">
      <c r="A58" s="88"/>
      <c r="B58" s="514" t="s">
        <v>1776</v>
      </c>
      <c r="C58" s="515"/>
      <c r="D58" s="515"/>
      <c r="E58" s="515"/>
      <c r="F58" s="515"/>
      <c r="G58" s="515"/>
      <c r="H58" s="515"/>
      <c r="I58" s="515"/>
      <c r="J58" s="515"/>
      <c r="K58" s="515"/>
      <c r="L58" s="515"/>
      <c r="M58" s="516"/>
    </row>
    <row r="59" spans="1:13" ht="16.5" customHeight="1">
      <c r="A59" s="88"/>
      <c r="B59" s="514" t="s">
        <v>1143</v>
      </c>
      <c r="C59" s="515"/>
      <c r="D59" s="515"/>
      <c r="E59" s="515"/>
      <c r="F59" s="515"/>
      <c r="G59" s="515"/>
      <c r="H59" s="515"/>
      <c r="I59" s="515"/>
      <c r="J59" s="515"/>
      <c r="K59" s="515"/>
      <c r="L59" s="515"/>
      <c r="M59" s="516"/>
    </row>
    <row r="60" spans="1:13" ht="16.5" customHeight="1">
      <c r="A60" s="88"/>
      <c r="B60" s="514" t="s">
        <v>1144</v>
      </c>
      <c r="C60" s="515"/>
      <c r="D60" s="515"/>
      <c r="E60" s="515"/>
      <c r="F60" s="515"/>
      <c r="G60" s="515"/>
      <c r="H60" s="515"/>
      <c r="I60" s="515"/>
      <c r="J60" s="515"/>
      <c r="K60" s="515"/>
      <c r="L60" s="515"/>
      <c r="M60" s="516"/>
    </row>
    <row r="61" spans="1:13" ht="16.5" customHeight="1">
      <c r="A61" s="88"/>
      <c r="B61" s="514" t="s">
        <v>1777</v>
      </c>
      <c r="C61" s="515"/>
      <c r="D61" s="515"/>
      <c r="E61" s="515"/>
      <c r="F61" s="515"/>
      <c r="G61" s="515"/>
      <c r="H61" s="515"/>
      <c r="I61" s="515"/>
      <c r="J61" s="515"/>
      <c r="K61" s="515"/>
      <c r="L61" s="515"/>
      <c r="M61" s="516"/>
    </row>
    <row r="62" spans="1:13" ht="16.5" customHeight="1">
      <c r="A62" s="88"/>
      <c r="B62" s="514" t="s">
        <v>1778</v>
      </c>
      <c r="C62" s="590"/>
      <c r="D62" s="590"/>
      <c r="E62" s="590"/>
      <c r="F62" s="590"/>
      <c r="G62" s="590"/>
      <c r="H62" s="590"/>
      <c r="I62" s="590"/>
      <c r="J62" s="590"/>
      <c r="K62" s="590"/>
      <c r="L62" s="590"/>
      <c r="M62" s="591"/>
    </row>
    <row r="63" spans="1:13" ht="16.5" customHeight="1">
      <c r="A63" s="88"/>
      <c r="B63" s="514" t="s">
        <v>1145</v>
      </c>
      <c r="C63" s="515"/>
      <c r="D63" s="515"/>
      <c r="E63" s="515"/>
      <c r="F63" s="515"/>
      <c r="G63" s="515"/>
      <c r="H63" s="515"/>
      <c r="I63" s="515"/>
      <c r="J63" s="515"/>
      <c r="K63" s="515"/>
      <c r="L63" s="515"/>
      <c r="M63" s="516"/>
    </row>
    <row r="64" spans="1:13" ht="16.5" customHeight="1">
      <c r="A64" s="88"/>
      <c r="B64" s="514" t="s">
        <v>1146</v>
      </c>
      <c r="C64" s="515"/>
      <c r="D64" s="515"/>
      <c r="E64" s="515"/>
      <c r="F64" s="515"/>
      <c r="G64" s="515"/>
      <c r="H64" s="515"/>
      <c r="I64" s="515"/>
      <c r="J64" s="515"/>
      <c r="K64" s="515"/>
      <c r="L64" s="515"/>
      <c r="M64" s="516"/>
    </row>
    <row r="65" spans="1:24" ht="16.5" customHeight="1">
      <c r="A65" s="88"/>
      <c r="B65" s="514" t="s">
        <v>1147</v>
      </c>
      <c r="C65" s="515"/>
      <c r="D65" s="515"/>
      <c r="E65" s="515"/>
      <c r="F65" s="515"/>
      <c r="G65" s="515"/>
      <c r="H65" s="515"/>
      <c r="I65" s="515"/>
      <c r="J65" s="515"/>
      <c r="K65" s="515"/>
      <c r="L65" s="515"/>
      <c r="M65" s="516"/>
    </row>
    <row r="66" spans="1:24" ht="16.5" customHeight="1">
      <c r="A66" s="88"/>
      <c r="B66" s="517" t="s">
        <v>1148</v>
      </c>
      <c r="C66" s="515"/>
      <c r="D66" s="515"/>
      <c r="E66" s="515"/>
      <c r="F66" s="515"/>
      <c r="G66" s="515"/>
      <c r="H66" s="515"/>
      <c r="I66" s="515"/>
      <c r="J66" s="515"/>
      <c r="K66" s="515"/>
      <c r="L66" s="515"/>
      <c r="M66" s="516"/>
    </row>
    <row r="67" spans="1:24" ht="16.5" customHeight="1">
      <c r="A67" s="88"/>
      <c r="B67" s="514" t="s">
        <v>1149</v>
      </c>
      <c r="C67" s="515"/>
      <c r="D67" s="515"/>
      <c r="E67" s="515"/>
      <c r="F67" s="515"/>
      <c r="G67" s="515"/>
      <c r="H67" s="515"/>
      <c r="I67" s="515"/>
      <c r="J67" s="515"/>
      <c r="K67" s="515"/>
      <c r="L67" s="515"/>
      <c r="M67" s="516"/>
    </row>
    <row r="68" spans="1:24" ht="16.5" customHeight="1" thickBot="1">
      <c r="A68" s="88"/>
      <c r="B68" s="518" t="s">
        <v>1150</v>
      </c>
      <c r="C68" s="519"/>
      <c r="D68" s="519"/>
      <c r="E68" s="519"/>
      <c r="F68" s="519"/>
      <c r="G68" s="519"/>
      <c r="H68" s="519"/>
      <c r="I68" s="519"/>
      <c r="J68" s="519"/>
      <c r="K68" s="519"/>
      <c r="L68" s="519"/>
      <c r="M68" s="520"/>
    </row>
    <row r="69" spans="1:24" ht="13" customHeight="1" thickTop="1" thickBot="1">
      <c r="A69" s="88"/>
      <c r="B69" s="299"/>
      <c r="C69" s="253"/>
      <c r="D69" s="253"/>
      <c r="E69" s="259"/>
      <c r="F69" s="259"/>
      <c r="G69" s="259"/>
      <c r="H69" s="259"/>
      <c r="I69" s="259"/>
      <c r="J69" s="259"/>
      <c r="K69" s="259"/>
      <c r="L69" s="259"/>
      <c r="M69" s="259"/>
    </row>
    <row r="70" spans="1:24" ht="28.5" customHeight="1" thickTop="1">
      <c r="A70" s="88"/>
      <c r="B70" s="573" t="s">
        <v>359</v>
      </c>
      <c r="C70" s="574"/>
      <c r="D70" s="574"/>
      <c r="E70" s="574"/>
      <c r="F70" s="574"/>
      <c r="G70" s="574"/>
      <c r="H70" s="574"/>
      <c r="I70" s="574"/>
      <c r="J70" s="574"/>
      <c r="K70" s="574"/>
      <c r="L70" s="574"/>
      <c r="M70" s="575"/>
    </row>
    <row r="71" spans="1:24" ht="15.5">
      <c r="A71" s="88"/>
      <c r="B71" s="300"/>
      <c r="C71" s="271"/>
      <c r="D71" s="271"/>
      <c r="E71" s="271"/>
      <c r="F71" s="271"/>
      <c r="G71" s="271"/>
      <c r="H71" s="271"/>
      <c r="I71" s="271"/>
      <c r="J71" s="271"/>
      <c r="K71" s="272"/>
      <c r="L71" s="272"/>
      <c r="M71" s="301"/>
    </row>
    <row r="72" spans="1:24" ht="15.5">
      <c r="A72" s="88"/>
      <c r="B72" s="300"/>
      <c r="C72" s="311" t="s">
        <v>17</v>
      </c>
      <c r="D72" s="311" t="s">
        <v>273</v>
      </c>
      <c r="F72" s="302"/>
      <c r="G72" s="254" t="str">
        <f ca="1">IF(vo&gt;0,"","Plan Óptimo")</f>
        <v/>
      </c>
      <c r="H72" s="302"/>
      <c r="J72" s="254" t="str">
        <f ca="1">IF(vp&gt;0,"",IF(b=2,"Plan "&amp;'CAPTURA DP'!C4,"Plan Plus"))</f>
        <v/>
      </c>
      <c r="K72" s="302"/>
      <c r="M72" s="324" t="str">
        <f ca="1">IF(ve&gt;0,"","Plan Elite")</f>
        <v/>
      </c>
      <c r="S72" s="405"/>
      <c r="T72" s="405"/>
      <c r="U72" s="102"/>
      <c r="V72" s="102"/>
      <c r="W72" s="406"/>
      <c r="X72" s="404"/>
    </row>
    <row r="73" spans="1:24" ht="15.5">
      <c r="A73" s="94"/>
      <c r="B73" s="304" t="str">
        <f>IF(AND('CAPTURA LISTADO'!B7&gt;64,OR(AND('CAPTURA DP'!$B$4&lt;=3,'CAPTURA DP'!$B$6&gt;13),('CAPTURA DP'!$B$4&gt;=4))),1,"")</f>
        <v/>
      </c>
      <c r="C73" s="254" t="str">
        <f>IF('CAPTURA LISTADO'!B7="","",(IF(B73="",'CAPTURA LISTADO'!B7,"")))</f>
        <v/>
      </c>
      <c r="D73" s="254" t="str">
        <f>UPPER(IF('CAPTURA LISTADO'!B7="","",(IF(B73="",'CAPTURA LISTADO'!D7,""))))</f>
        <v/>
      </c>
      <c r="E73" s="102"/>
      <c r="F73" s="102"/>
      <c r="G73" s="313" t="str">
        <f ca="1">(IF(OR('CAPTURA LISTADO'!B7="",B73=1,$G$72=""),"",VLOOKUP(C73,PRIMA_N,VLOOKUP(1,pcosto,IF(D73="m",2,3),0),0)/VLOOKUP(C73,PRIMA_N,IF(D73="m",2,3),0)))</f>
        <v/>
      </c>
      <c r="H73" s="102"/>
      <c r="I73" s="102"/>
      <c r="J73" s="313" t="str">
        <f ca="1">IF(b=1,(IF(OR('CAPTURA LISTADO'!B7="",B73=1,$J$72=""),"",VLOOKUP(C73,PRIMA_N,VLOOKUP(2,pcosto,IF(D73="m",2,3),0),0)/VLOOKUP(C73,PRIMA_N,IF(D73="m",2,3),0))),(IF(OR('CAPTURA LISTADO'!B7="",B73=1),"",VLOOKUP(C73,PRIMA_N,VLOOKUP('CAPTURA DP'!$B$4,pcosto,IF(D73="m",2,3),0),0)/VLOOKUP(C73,PRIMA_N,IF(D73="m",2,3),0))))</f>
        <v/>
      </c>
      <c r="K73" s="313"/>
      <c r="L73" s="313"/>
      <c r="M73" s="321" t="str">
        <f ca="1">(IF(OR('CAPTURA LISTADO'!B7="",B73=1,$M$72=""),"",VLOOKUP(C73,PRIMA_N,VLOOKUP(3,pcosto,IF(D73="m",2,3),0),0)/VLOOKUP(C73,PRIMA_N,IF(D73="m",2,3),0)))</f>
        <v/>
      </c>
      <c r="O73" s="229" t="s">
        <v>322</v>
      </c>
      <c r="S73" s="405"/>
      <c r="T73" s="102"/>
      <c r="U73" s="406"/>
      <c r="V73" s="407"/>
      <c r="W73" s="407"/>
      <c r="X73" s="244"/>
    </row>
    <row r="74" spans="1:24" ht="15.5">
      <c r="A74" s="88"/>
      <c r="B74" s="304" t="str">
        <f>IF(AND('CAPTURA LISTADO'!B8&gt;64,OR(AND('CAPTURA DP'!$B$4&lt;=3,'CAPTURA DP'!$B$6&gt;13),('CAPTURA DP'!$B$4&gt;=4))),1,"")</f>
        <v/>
      </c>
      <c r="C74" s="254" t="str">
        <f>IF('CAPTURA LISTADO'!B8="","",(IF(B74="",'CAPTURA LISTADO'!B8,"")))</f>
        <v/>
      </c>
      <c r="D74" s="254" t="str">
        <f>UPPER(IF('CAPTURA LISTADO'!B8="","",(IF(B74="",'CAPTURA LISTADO'!D8,""))))</f>
        <v/>
      </c>
      <c r="E74" s="102"/>
      <c r="F74" s="102"/>
      <c r="G74" s="313" t="str">
        <f ca="1">(IF(OR('CAPTURA LISTADO'!B8="",B74=1,$G$72=""),"",VLOOKUP(C74,PRIMA_N,VLOOKUP(1,pcosto,IF(D74="m",2,3),0),0)/VLOOKUP(C74,PRIMA_N,IF(D74="m",2,3),0)))</f>
        <v/>
      </c>
      <c r="H74" s="102"/>
      <c r="I74" s="102"/>
      <c r="J74" s="313" t="str">
        <f ca="1">IF(b=1,(IF(OR('CAPTURA LISTADO'!B8="",B74=1,$J$72=""),"",VLOOKUP(C74,PRIMA_N,VLOOKUP(2,pcosto,IF(D74="m",2,3),0),0)/VLOOKUP(C74,PRIMA_N,IF(D74="m",2,3),0))),(IF(OR('CAPTURA LISTADO'!B8="",B74=1),"",VLOOKUP(C74,PRIMA_N,VLOOKUP('CAPTURA DP'!$B$4,pcosto,IF(D74="m",2,3),0),0)/VLOOKUP(C74,PRIMA_N,IF(D74="m",2,3),0))))</f>
        <v/>
      </c>
      <c r="K74" s="313"/>
      <c r="L74" s="313"/>
      <c r="M74" s="321" t="str">
        <f ca="1">(IF(OR('CAPTURA LISTADO'!B8="",B74=1,$M$72=""),"",VLOOKUP(C74,PRIMA_N,VLOOKUP(3,pcosto,IF(D74="m",2,3),0),0)/VLOOKUP(C74,PRIMA_N,IF(D74="m",2,3),0)))</f>
        <v/>
      </c>
      <c r="O74" s="229" t="s">
        <v>323</v>
      </c>
      <c r="S74" s="405"/>
      <c r="T74" s="102"/>
      <c r="U74" s="406"/>
      <c r="V74" s="407"/>
      <c r="W74" s="407"/>
      <c r="X74" s="244"/>
    </row>
    <row r="75" spans="1:24" ht="15.5">
      <c r="A75" s="88"/>
      <c r="B75" s="304" t="str">
        <f>IF(AND('CAPTURA LISTADO'!B9&gt;64,OR(AND('CAPTURA DP'!$B$4&lt;=3,'CAPTURA DP'!$B$6&gt;13),('CAPTURA DP'!$B$4&gt;=4))),1,"")</f>
        <v/>
      </c>
      <c r="C75" s="254" t="str">
        <f>IF('CAPTURA LISTADO'!B9="","",(IF(B75="",'CAPTURA LISTADO'!B9,"")))</f>
        <v/>
      </c>
      <c r="D75" s="254" t="str">
        <f>UPPER(IF('CAPTURA LISTADO'!B9="","",(IF(B75="",'CAPTURA LISTADO'!D9,""))))</f>
        <v/>
      </c>
      <c r="E75" s="102"/>
      <c r="F75" s="102"/>
      <c r="G75" s="313" t="str">
        <f ca="1">(IF(OR('CAPTURA LISTADO'!B9="",B75=1,$G$72=""),"",VLOOKUP(C75,PRIMA_N,VLOOKUP(1,pcosto,IF(D75="m",2,3),0),0)/VLOOKUP(C75,PRIMA_N,IF(D75="m",2,3),0)))</f>
        <v/>
      </c>
      <c r="H75" s="102"/>
      <c r="I75" s="102"/>
      <c r="J75" s="313" t="str">
        <f ca="1">IF(b=1,(IF(OR('CAPTURA LISTADO'!B9="",B75=1,$J$72=""),"",VLOOKUP(C75,PRIMA_N,VLOOKUP(2,pcosto,IF(D75="m",2,3),0),0)/VLOOKUP(C75,PRIMA_N,IF(D75="m",2,3),0))),(IF(OR('CAPTURA LISTADO'!B9="",B75=1),"",VLOOKUP(C75,PRIMA_N,VLOOKUP('CAPTURA DP'!$B$4,pcosto,IF(D75="m",2,3),0),0)/VLOOKUP(C75,PRIMA_N,IF(D75="m",2,3),0))))</f>
        <v/>
      </c>
      <c r="K75" s="313"/>
      <c r="L75" s="313"/>
      <c r="M75" s="321" t="str">
        <f ca="1">(IF(OR('CAPTURA LISTADO'!B9="",B75=1,$M$72=""),"",VLOOKUP(C75,PRIMA_N,VLOOKUP(3,pcosto,IF(D75="m",2,3),0),0)/VLOOKUP(C75,PRIMA_N,IF(D75="m",2,3),0)))</f>
        <v/>
      </c>
      <c r="S75" s="405"/>
      <c r="T75" s="102"/>
      <c r="U75" s="406"/>
      <c r="V75" s="407"/>
      <c r="W75" s="407"/>
      <c r="X75" s="244"/>
    </row>
    <row r="76" spans="1:24" ht="15.5">
      <c r="A76" s="88"/>
      <c r="B76" s="304" t="str">
        <f>IF(AND('CAPTURA LISTADO'!B10&gt;64,OR(AND('CAPTURA DP'!$B$4&lt;=3,'CAPTURA DP'!$B$6&gt;13),('CAPTURA DP'!$B$4&gt;=4))),1,"")</f>
        <v/>
      </c>
      <c r="C76" s="254" t="str">
        <f>IF('CAPTURA LISTADO'!B10="","",(IF(B76="",'CAPTURA LISTADO'!B10,"")))</f>
        <v/>
      </c>
      <c r="D76" s="254" t="str">
        <f>UPPER(IF('CAPTURA LISTADO'!B10="","",(IF(B76="",'CAPTURA LISTADO'!D10,""))))</f>
        <v/>
      </c>
      <c r="E76" s="102"/>
      <c r="F76" s="102"/>
      <c r="G76" s="313" t="str">
        <f ca="1">(IF(OR('CAPTURA LISTADO'!B10="",B76=1,$G$72=""),"",VLOOKUP(C76,PRIMA_N,VLOOKUP(1,pcosto,IF(D76="m",2,3),0),0)/VLOOKUP(C76,PRIMA_N,IF(D76="m",2,3),0)))</f>
        <v/>
      </c>
      <c r="H76" s="102"/>
      <c r="I76" s="102"/>
      <c r="J76" s="313" t="str">
        <f ca="1">IF(b=1,(IF(OR('CAPTURA LISTADO'!B10="",B76=1,$J$72=""),"",VLOOKUP(C76,PRIMA_N,VLOOKUP(2,pcosto,IF(D76="m",2,3),0),0)/VLOOKUP(C76,PRIMA_N,IF(D76="m",2,3),0))),(IF(OR('CAPTURA LISTADO'!B10="",B76=1),"",VLOOKUP(C76,PRIMA_N,VLOOKUP('CAPTURA DP'!$B$4,pcosto,IF(D76="m",2,3),0),0)/VLOOKUP(C76,PRIMA_N,IF(D76="m",2,3),0))))</f>
        <v/>
      </c>
      <c r="K76" s="313"/>
      <c r="L76" s="313"/>
      <c r="M76" s="321" t="str">
        <f ca="1">(IF(OR('CAPTURA LISTADO'!B10="",B76=1,$M$72=""),"",VLOOKUP(C76,PRIMA_N,VLOOKUP(3,pcosto,IF(D76="m",2,3),0),0)/VLOOKUP(C76,PRIMA_N,IF(D76="m",2,3),0)))</f>
        <v/>
      </c>
      <c r="S76" s="405"/>
      <c r="T76" s="102"/>
      <c r="U76" s="406"/>
      <c r="V76" s="407"/>
      <c r="W76" s="407"/>
      <c r="X76" s="244"/>
    </row>
    <row r="77" spans="1:24" ht="15.5">
      <c r="A77" s="88"/>
      <c r="B77" s="304" t="str">
        <f>IF(AND('CAPTURA LISTADO'!B11&gt;64,OR(AND('CAPTURA DP'!$B$4&lt;=3,'CAPTURA DP'!$B$6&gt;13),('CAPTURA DP'!$B$4&gt;=4))),1,"")</f>
        <v/>
      </c>
      <c r="C77" s="254" t="str">
        <f>IF('CAPTURA LISTADO'!B11="","",(IF(B77="",'CAPTURA LISTADO'!B11,"")))</f>
        <v/>
      </c>
      <c r="D77" s="254" t="str">
        <f>UPPER(IF('CAPTURA LISTADO'!B11="","",(IF(B77="",'CAPTURA LISTADO'!D11,""))))</f>
        <v/>
      </c>
      <c r="E77" s="102"/>
      <c r="F77" s="102"/>
      <c r="G77" s="313" t="str">
        <f ca="1">(IF(OR('CAPTURA LISTADO'!B11="",B77=1,$G$72=""),"",VLOOKUP(C77,PRIMA_N,VLOOKUP(1,pcosto,IF(D77="m",2,3),0),0)/VLOOKUP(C77,PRIMA_N,IF(D77="m",2,3),0)))</f>
        <v/>
      </c>
      <c r="H77" s="102"/>
      <c r="I77" s="102"/>
      <c r="J77" s="313" t="str">
        <f ca="1">IF(b=1,(IF(OR('CAPTURA LISTADO'!B11="",B77=1,$J$72=""),"",VLOOKUP(C77,PRIMA_N,VLOOKUP(2,pcosto,IF(D77="m",2,3),0),0)/VLOOKUP(C77,PRIMA_N,IF(D77="m",2,3),0))),(IF(OR('CAPTURA LISTADO'!B11="",B77=1),"",VLOOKUP(C77,PRIMA_N,VLOOKUP('CAPTURA DP'!$B$4,pcosto,IF(D77="m",2,3),0),0)/VLOOKUP(C77,PRIMA_N,IF(D77="m",2,3),0))))</f>
        <v/>
      </c>
      <c r="K77" s="313"/>
      <c r="L77" s="313"/>
      <c r="M77" s="321" t="str">
        <f ca="1">(IF(OR('CAPTURA LISTADO'!B11="",B77=1,$M$72=""),"",VLOOKUP(C77,PRIMA_N,VLOOKUP(3,pcosto,IF(D77="m",2,3),0),0)/VLOOKUP(C77,PRIMA_N,IF(D77="m",2,3),0)))</f>
        <v/>
      </c>
    </row>
    <row r="78" spans="1:24" ht="15.5">
      <c r="A78" s="88"/>
      <c r="B78" s="304" t="str">
        <f>IF(AND('CAPTURA LISTADO'!B12&gt;64,OR(AND('CAPTURA DP'!$B$4&lt;=3,'CAPTURA DP'!$B$6&gt;13),('CAPTURA DP'!$B$4&gt;=4))),1,"")</f>
        <v/>
      </c>
      <c r="C78" s="254" t="str">
        <f>IF('CAPTURA LISTADO'!B12="","",(IF(B78="",'CAPTURA LISTADO'!B12,"")))</f>
        <v/>
      </c>
      <c r="D78" s="254" t="str">
        <f>UPPER(IF('CAPTURA LISTADO'!B12="","",(IF(B78="",'CAPTURA LISTADO'!D12,""))))</f>
        <v/>
      </c>
      <c r="E78" s="102"/>
      <c r="F78" s="102"/>
      <c r="G78" s="313" t="str">
        <f ca="1">(IF(OR('CAPTURA LISTADO'!B12="",B78=1,$G$72=""),"",VLOOKUP(C78,PRIMA_N,VLOOKUP(1,pcosto,IF(D78="m",2,3),0),0)/VLOOKUP(C78,PRIMA_N,IF(D78="m",2,3),0)))</f>
        <v/>
      </c>
      <c r="H78" s="102"/>
      <c r="I78" s="102"/>
      <c r="J78" s="313" t="str">
        <f ca="1">IF(b=1,(IF(OR('CAPTURA LISTADO'!B12="",B78=1,$J$72=""),"",VLOOKUP(C78,PRIMA_N,VLOOKUP(2,pcosto,IF(D78="m",2,3),0),0)/VLOOKUP(C78,PRIMA_N,IF(D78="m",2,3),0))),(IF(OR('CAPTURA LISTADO'!B12="",B78=1),"",VLOOKUP(C78,PRIMA_N,VLOOKUP('CAPTURA DP'!$B$4,pcosto,IF(D78="m",2,3),0),0)/VLOOKUP(C78,PRIMA_N,IF(D78="m",2,3),0))))</f>
        <v/>
      </c>
      <c r="K78" s="313"/>
      <c r="L78" s="313"/>
      <c r="M78" s="321" t="str">
        <f ca="1">(IF(OR('CAPTURA LISTADO'!B12="",B78=1,$M$72=""),"",VLOOKUP(C78,PRIMA_N,VLOOKUP(3,pcosto,IF(D78="m",2,3),0),0)/VLOOKUP(C78,PRIMA_N,IF(D78="m",2,3),0)))</f>
        <v/>
      </c>
      <c r="T78" s="244"/>
      <c r="V78" s="398"/>
      <c r="W78" s="244"/>
    </row>
    <row r="79" spans="1:24" ht="15.5">
      <c r="A79" s="88"/>
      <c r="B79" s="304" t="str">
        <f>IF(AND('CAPTURA LISTADO'!B13&gt;64,OR(AND('CAPTURA DP'!$B$4&lt;=3,'CAPTURA DP'!$B$6&gt;13),('CAPTURA DP'!$B$4&gt;=4))),1,"")</f>
        <v/>
      </c>
      <c r="C79" s="254" t="str">
        <f>IF('CAPTURA LISTADO'!B13="","",(IF(B79="",'CAPTURA LISTADO'!B13,"")))</f>
        <v/>
      </c>
      <c r="D79" s="254" t="str">
        <f>UPPER(IF('CAPTURA LISTADO'!B13="","",(IF(B79="",'CAPTURA LISTADO'!D13,""))))</f>
        <v/>
      </c>
      <c r="E79" s="102"/>
      <c r="F79" s="102"/>
      <c r="G79" s="313" t="str">
        <f ca="1">(IF(OR('CAPTURA LISTADO'!B13="",B79=1,$G$72=""),"",VLOOKUP(C79,PRIMA_N,VLOOKUP(1,pcosto,IF(D79="m",2,3),0),0)/VLOOKUP(C79,PRIMA_N,IF(D79="m",2,3),0)))</f>
        <v/>
      </c>
      <c r="H79" s="102"/>
      <c r="I79" s="102"/>
      <c r="J79" s="313" t="str">
        <f ca="1">IF(b=1,(IF(OR('CAPTURA LISTADO'!B13="",B79=1,$J$72=""),"",VLOOKUP(C79,PRIMA_N,VLOOKUP(2,pcosto,IF(D79="m",2,3),0),0)/VLOOKUP(C79,PRIMA_N,IF(D79="m",2,3),0))),(IF(OR('CAPTURA LISTADO'!B13="",B79=1),"",VLOOKUP(C79,PRIMA_N,VLOOKUP('CAPTURA DP'!$B$4,pcosto,IF(D79="m",2,3),0),0)/VLOOKUP(C79,PRIMA_N,IF(D79="m",2,3),0))))</f>
        <v/>
      </c>
      <c r="K79" s="313"/>
      <c r="L79" s="313"/>
      <c r="M79" s="321" t="str">
        <f ca="1">(IF(OR('CAPTURA LISTADO'!B13="",B79=1,$M$72=""),"",VLOOKUP(C79,PRIMA_N,VLOOKUP(3,pcosto,IF(D79="m",2,3),0),0)/VLOOKUP(C79,PRIMA_N,IF(D79="m",2,3),0)))</f>
        <v/>
      </c>
      <c r="T79" s="244"/>
      <c r="U79" s="399"/>
      <c r="V79"/>
      <c r="W79"/>
      <c r="X79"/>
    </row>
    <row r="80" spans="1:24" ht="15.5">
      <c r="A80" s="88"/>
      <c r="B80" s="304" t="str">
        <f>IF(AND('CAPTURA LISTADO'!B14&gt;64,OR(AND('CAPTURA DP'!$B$4&lt;=3,'CAPTURA DP'!$B$6&gt;13),('CAPTURA DP'!$B$4&gt;=4))),1,"")</f>
        <v/>
      </c>
      <c r="C80" s="254" t="str">
        <f>IF('CAPTURA LISTADO'!B14="","",(IF(B80="",'CAPTURA LISTADO'!B14,"")))</f>
        <v/>
      </c>
      <c r="D80" s="254" t="str">
        <f>UPPER(IF('CAPTURA LISTADO'!B14="","",(IF(B80="",'CAPTURA LISTADO'!D14,""))))</f>
        <v/>
      </c>
      <c r="E80" s="102"/>
      <c r="F80" s="102"/>
      <c r="G80" s="313" t="str">
        <f ca="1">(IF(OR('CAPTURA LISTADO'!B14="",B80=1,$G$72=""),"",VLOOKUP(C80,PRIMA_N,VLOOKUP(1,pcosto,IF(D80="m",2,3),0),0)/VLOOKUP(C80,PRIMA_N,IF(D80="m",2,3),0)))</f>
        <v/>
      </c>
      <c r="H80" s="102"/>
      <c r="I80" s="102"/>
      <c r="J80" s="313" t="str">
        <f ca="1">IF(b=1,(IF(OR('CAPTURA LISTADO'!B14="",B80=1,$J$72=""),"",VLOOKUP(C80,PRIMA_N,VLOOKUP(2,pcosto,IF(D80="m",2,3),0),0)/VLOOKUP(C80,PRIMA_N,IF(D80="m",2,3),0))),(IF(OR('CAPTURA LISTADO'!B14="",B80=1),"",VLOOKUP(C80,PRIMA_N,VLOOKUP('CAPTURA DP'!$B$4,pcosto,IF(D80="m",2,3),0),0)/VLOOKUP(C80,PRIMA_N,IF(D80="m",2,3),0))))</f>
        <v/>
      </c>
      <c r="K80" s="313"/>
      <c r="L80" s="313"/>
      <c r="M80" s="321" t="str">
        <f ca="1">(IF(OR('CAPTURA LISTADO'!B14="",B80=1,$M$72=""),"",VLOOKUP(C80,PRIMA_N,VLOOKUP(3,pcosto,IF(D80="m",2,3),0),0)/VLOOKUP(C80,PRIMA_N,IF(D80="m",2,3),0)))</f>
        <v/>
      </c>
      <c r="V80"/>
      <c r="W80"/>
      <c r="X80"/>
    </row>
    <row r="81" spans="1:24" ht="32.25" customHeight="1" thickBot="1">
      <c r="A81" s="88"/>
      <c r="B81" s="576" t="str">
        <f>+IF(b=2,"",IF('CAPTURA LISTADO'!E7="Debe existir un titular","",IF('CAPTURA LISTADO'!K16&gt;=1,"No es posible otorgar la Suma Asegurada solicitada para asegurados mayores a 59 años","")))</f>
        <v/>
      </c>
      <c r="C81" s="577"/>
      <c r="D81" s="577"/>
      <c r="E81" s="577"/>
      <c r="F81" s="577"/>
      <c r="G81" s="577"/>
      <c r="H81" s="577"/>
      <c r="I81" s="577"/>
      <c r="J81" s="577"/>
      <c r="K81" s="577"/>
      <c r="L81" s="577"/>
      <c r="M81" s="578"/>
      <c r="V81"/>
      <c r="W81"/>
      <c r="X81"/>
    </row>
    <row r="82" spans="1:24" ht="16.5" thickTop="1" thickBot="1">
      <c r="A82" s="88"/>
      <c r="B82" s="300"/>
      <c r="C82" s="512" t="s">
        <v>335</v>
      </c>
      <c r="D82" s="513"/>
      <c r="E82" s="102"/>
      <c r="F82" s="102"/>
      <c r="G82" s="314">
        <f ca="1">IF('CAPTURA LISTADO'!K16&gt;=1,0,(IFERROR(VLOOKUP(1,DATOS!A28:B33,2,0),0)))</f>
        <v>0</v>
      </c>
      <c r="H82" s="102"/>
      <c r="I82" s="102"/>
      <c r="J82" s="314">
        <f ca="1">+IF('CAPTURA DP'!B3=1,IF('CAPTURA LISTADO'!K16&gt;=1,0,(IFERROR(VLOOKUP(IF('CAPTURA DP'!$B$4&lt;=3,2,5),DATOS!A28:B33,2,0),0))),(IFERROR(VLOOKUP('CAPTURA DP'!B4,DATOS!$A$28:$B$33,2,0),0)))</f>
        <v>0</v>
      </c>
      <c r="K82" s="271"/>
      <c r="L82" s="271"/>
      <c r="M82" s="314">
        <f ca="1">IF('CAPTURA LISTADO'!K16&gt;=1,0,(IFERROR(VLOOKUP(IF('CAPTURA DP'!$B$4&lt;=3,3,6),DATOS!$A$28:$B$33,2,0),0)))</f>
        <v>0</v>
      </c>
      <c r="V82"/>
      <c r="W82"/>
      <c r="X82"/>
    </row>
    <row r="83" spans="1:24" ht="16.5" thickTop="1" thickBot="1">
      <c r="A83" s="88"/>
      <c r="B83" s="300"/>
      <c r="C83" s="512" t="s">
        <v>320</v>
      </c>
      <c r="D83" s="513"/>
      <c r="E83" s="102"/>
      <c r="F83" s="102"/>
      <c r="G83" s="315">
        <f ca="1">IF(G82=0,0,(VLOOKUP(G82,DATOS!AS6:AU14,3)+IF('CAPTURA LISTADO'!K7=0,RESUMEN!AA104*DATOS!AQ9,0)))</f>
        <v>0</v>
      </c>
      <c r="H83" s="102"/>
      <c r="I83" s="102"/>
      <c r="J83" s="315">
        <f ca="1">IF(J82=0,0,(VLOOKUP(J82,DATOS!AS6:AU14,3)+IF('CAPTURA LISTADO'!K7=0,RESUMEN!AA104*DATOS!AQ9,0)))</f>
        <v>0</v>
      </c>
      <c r="K83" s="302"/>
      <c r="L83" s="302"/>
      <c r="M83" s="315">
        <f ca="1">IF(M82=0,0,(VLOOKUP(M82,DATOS!AS6:AU14,3)+IF('CAPTURA LISTADO'!K7=0,RESUMEN!AA104*DATOS!AQ9,0)))</f>
        <v>0</v>
      </c>
      <c r="V83"/>
      <c r="W83"/>
      <c r="X83"/>
    </row>
    <row r="84" spans="1:24" ht="16.5" thickTop="1" thickBot="1">
      <c r="A84" s="88"/>
      <c r="B84" s="316"/>
      <c r="C84" s="274"/>
      <c r="D84" s="274"/>
      <c r="E84" s="102"/>
      <c r="F84" s="102"/>
      <c r="G84" s="302"/>
      <c r="H84" s="102"/>
      <c r="I84" s="274"/>
      <c r="J84" s="302"/>
      <c r="K84" s="274"/>
      <c r="L84" s="274"/>
      <c r="M84" s="317"/>
      <c r="N84" s="88"/>
      <c r="V84"/>
      <c r="W84"/>
      <c r="X84"/>
    </row>
    <row r="85" spans="1:24" ht="16.5" thickTop="1" thickBot="1">
      <c r="A85" s="88"/>
      <c r="B85" s="318"/>
      <c r="C85" s="512" t="s">
        <v>321</v>
      </c>
      <c r="D85" s="513"/>
      <c r="E85" s="102"/>
      <c r="F85" s="102"/>
      <c r="G85" s="315">
        <f ca="1">+SUM(G82:G83)*IVA</f>
        <v>0</v>
      </c>
      <c r="H85" s="102"/>
      <c r="I85" s="102"/>
      <c r="J85" s="315">
        <f ca="1">+SUM(J82:J83)*IVA</f>
        <v>0</v>
      </c>
      <c r="K85" s="302"/>
      <c r="L85" s="302"/>
      <c r="M85" s="315">
        <f ca="1">+SUM(M82:M83)*IVA</f>
        <v>0</v>
      </c>
      <c r="V85"/>
      <c r="W85"/>
      <c r="X85"/>
    </row>
    <row r="86" spans="1:24" ht="16.5" thickTop="1" thickBot="1">
      <c r="A86" s="88"/>
      <c r="B86" s="319" t="s">
        <v>73</v>
      </c>
      <c r="C86" s="571" t="s">
        <v>325</v>
      </c>
      <c r="D86" s="572"/>
      <c r="E86" s="102"/>
      <c r="F86" s="102"/>
      <c r="G86" s="314">
        <f ca="1">+SUM(G82:G85)</f>
        <v>0</v>
      </c>
      <c r="H86" s="102"/>
      <c r="I86" s="102"/>
      <c r="J86" s="314">
        <f ca="1">+SUM(J82:J85)</f>
        <v>0</v>
      </c>
      <c r="K86" s="302"/>
      <c r="L86" s="302"/>
      <c r="M86" s="314">
        <f ca="1">+SUM(M82:M85)</f>
        <v>0</v>
      </c>
    </row>
    <row r="87" spans="1:24" ht="16.5" thickTop="1" thickBot="1">
      <c r="A87" s="88"/>
      <c r="B87" s="312"/>
      <c r="C87" s="271"/>
      <c r="D87" s="271"/>
      <c r="E87" s="102"/>
      <c r="F87" s="102"/>
      <c r="G87" s="273"/>
      <c r="H87" s="102"/>
      <c r="I87" s="102"/>
      <c r="J87" s="273"/>
      <c r="K87" s="302"/>
      <c r="L87" s="302"/>
      <c r="M87" s="303"/>
    </row>
    <row r="88" spans="1:24" ht="16.5" thickTop="1" thickBot="1">
      <c r="A88" s="88"/>
      <c r="B88" s="318"/>
      <c r="C88" s="512" t="s">
        <v>324</v>
      </c>
      <c r="D88" s="513"/>
      <c r="E88" s="102"/>
      <c r="F88" s="102"/>
      <c r="G88" s="315">
        <f ca="1">+IF(G82=0,0,G82*DATOS!$AQ$5)</f>
        <v>0</v>
      </c>
      <c r="H88" s="102"/>
      <c r="I88" s="102"/>
      <c r="J88" s="315">
        <f ca="1">+IF(J82=0,0,J82*DATOS!$AQ$5)</f>
        <v>0</v>
      </c>
      <c r="K88" s="302"/>
      <c r="L88" s="302"/>
      <c r="M88" s="315">
        <f ca="1">+IF(M82=0,0,M82*DATOS!$AQ$5)</f>
        <v>0</v>
      </c>
    </row>
    <row r="89" spans="1:24" ht="16.5" thickTop="1" thickBot="1">
      <c r="A89" s="88"/>
      <c r="B89" s="318"/>
      <c r="C89" s="512" t="s">
        <v>321</v>
      </c>
      <c r="D89" s="513"/>
      <c r="E89" s="102"/>
      <c r="F89" s="102"/>
      <c r="G89" s="315">
        <f ca="1">+SUM(G88,G82,G83)*IVA</f>
        <v>0</v>
      </c>
      <c r="H89" s="102"/>
      <c r="I89" s="102"/>
      <c r="J89" s="315">
        <f ca="1">+SUM(J88,J82,J83)*IVA</f>
        <v>0</v>
      </c>
      <c r="K89" s="302"/>
      <c r="L89" s="302"/>
      <c r="M89" s="315">
        <f ca="1">+SUM(M88,M82,M83)*IVA</f>
        <v>0</v>
      </c>
    </row>
    <row r="90" spans="1:24" ht="16.5" thickTop="1" thickBot="1">
      <c r="A90" s="88"/>
      <c r="B90" s="319" t="s">
        <v>74</v>
      </c>
      <c r="C90" s="571" t="s">
        <v>325</v>
      </c>
      <c r="D90" s="572"/>
      <c r="E90" s="102"/>
      <c r="F90" s="102"/>
      <c r="G90" s="314">
        <f ca="1">+SUM(G82,G83,G88,G89)</f>
        <v>0</v>
      </c>
      <c r="H90" s="102"/>
      <c r="I90" s="102"/>
      <c r="J90" s="314">
        <f ca="1">+SUM(J82,J83,J88,J89)</f>
        <v>0</v>
      </c>
      <c r="K90" s="302"/>
      <c r="L90" s="302"/>
      <c r="M90" s="314">
        <f ca="1">+SUM(M82,M83,M88,M89)</f>
        <v>0</v>
      </c>
    </row>
    <row r="91" spans="1:24" ht="16.5" thickTop="1" thickBot="1">
      <c r="A91" s="88"/>
      <c r="B91" s="300"/>
      <c r="C91" s="512" t="s">
        <v>318</v>
      </c>
      <c r="D91" s="513"/>
      <c r="E91" s="102"/>
      <c r="F91" s="102"/>
      <c r="G91" s="315">
        <f ca="1">+((($G$82+$G$88)/2)+G83)*(1+IVA)</f>
        <v>0</v>
      </c>
      <c r="H91" s="102"/>
      <c r="I91" s="102"/>
      <c r="J91" s="315">
        <f ca="1">+((($J$82+$J$88)/2)+J83)*(1+IVA)</f>
        <v>0</v>
      </c>
      <c r="K91" s="302"/>
      <c r="L91" s="302"/>
      <c r="M91" s="315">
        <f ca="1">+((($M$82+$M$88)/2)+M83)*(1+IVA)</f>
        <v>0</v>
      </c>
      <c r="N91" s="244"/>
    </row>
    <row r="92" spans="1:24" ht="16.5" thickTop="1" thickBot="1">
      <c r="A92" s="88"/>
      <c r="B92" s="300"/>
      <c r="C92" s="512" t="s">
        <v>326</v>
      </c>
      <c r="D92" s="513"/>
      <c r="E92" s="102"/>
      <c r="F92" s="102"/>
      <c r="G92" s="315">
        <f ca="1">++((($G$82+$G$88)/2))*(1+IVA)</f>
        <v>0</v>
      </c>
      <c r="H92" s="102"/>
      <c r="I92" s="102"/>
      <c r="J92" s="315">
        <f ca="1">++((($J$82+$J$88)/2))*(1+IVA)</f>
        <v>0</v>
      </c>
      <c r="K92" s="302"/>
      <c r="L92" s="302"/>
      <c r="M92" s="315">
        <f ca="1">++((($M$82+$M$88)/2))*(1+IVA)</f>
        <v>0</v>
      </c>
    </row>
    <row r="93" spans="1:24" ht="16.5" thickTop="1" thickBot="1">
      <c r="A93" s="88"/>
      <c r="B93" s="300"/>
      <c r="C93" s="276"/>
      <c r="D93" s="276"/>
      <c r="E93" s="102"/>
      <c r="F93" s="102"/>
      <c r="G93" s="275"/>
      <c r="H93" s="102"/>
      <c r="I93" s="102"/>
      <c r="J93" s="275"/>
      <c r="K93" s="275"/>
      <c r="L93" s="275"/>
      <c r="M93" s="320"/>
    </row>
    <row r="94" spans="1:24" ht="16.5" thickTop="1" thickBot="1">
      <c r="A94" s="88"/>
      <c r="B94" s="300"/>
      <c r="C94" s="512" t="s">
        <v>324</v>
      </c>
      <c r="D94" s="513"/>
      <c r="E94" s="102"/>
      <c r="F94" s="102"/>
      <c r="G94" s="315">
        <f ca="1">+IF(G82=0,0,G82*DATOS!$AQ$6)</f>
        <v>0</v>
      </c>
      <c r="H94" s="102"/>
      <c r="I94" s="102"/>
      <c r="J94" s="315">
        <f ca="1">+IF(J82=0,0,J82*DATOS!$AQ$6)</f>
        <v>0</v>
      </c>
      <c r="K94" s="275"/>
      <c r="L94" s="275"/>
      <c r="M94" s="315">
        <f ca="1">+IF(M82=0,0,M82*DATOS!$AQ$6)</f>
        <v>0</v>
      </c>
    </row>
    <row r="95" spans="1:24" ht="16.5" thickTop="1" thickBot="1">
      <c r="A95" s="88"/>
      <c r="B95" s="300"/>
      <c r="C95" s="512" t="s">
        <v>321</v>
      </c>
      <c r="D95" s="513"/>
      <c r="E95" s="102"/>
      <c r="F95" s="102"/>
      <c r="G95" s="315">
        <f ca="1">+SUM(G94,G82,G83)*IVA</f>
        <v>0</v>
      </c>
      <c r="H95" s="102"/>
      <c r="I95" s="102"/>
      <c r="J95" s="315">
        <f ca="1">+SUM(J94,J82,J83)*IVA</f>
        <v>0</v>
      </c>
      <c r="K95" s="275"/>
      <c r="L95" s="275"/>
      <c r="M95" s="315">
        <f ca="1">+SUM(M94,M82,M83)*IVA</f>
        <v>0</v>
      </c>
    </row>
    <row r="96" spans="1:24" ht="16.5" thickTop="1" thickBot="1">
      <c r="A96" s="88"/>
      <c r="B96" s="319" t="s">
        <v>77</v>
      </c>
      <c r="C96" s="571" t="s">
        <v>325</v>
      </c>
      <c r="D96" s="572"/>
      <c r="E96" s="102"/>
      <c r="F96" s="102"/>
      <c r="G96" s="314">
        <f ca="1">+SUM(G82,G83,G94,G95)</f>
        <v>0</v>
      </c>
      <c r="H96" s="102"/>
      <c r="I96" s="102"/>
      <c r="J96" s="314">
        <f ca="1">+SUM(J82,J83,J94,J95)</f>
        <v>0</v>
      </c>
      <c r="K96" s="275"/>
      <c r="L96" s="275"/>
      <c r="M96" s="314">
        <f ca="1">+SUM(M82,M83,M94,M95)</f>
        <v>0</v>
      </c>
    </row>
    <row r="97" spans="1:14" ht="16.5" thickTop="1" thickBot="1">
      <c r="A97" s="88"/>
      <c r="B97" s="300"/>
      <c r="C97" s="512" t="s">
        <v>318</v>
      </c>
      <c r="D97" s="513"/>
      <c r="E97" s="102"/>
      <c r="F97" s="102"/>
      <c r="G97" s="315">
        <f ca="1">+((($G$82+$G$94)/4)+G83)*(1+IVA)</f>
        <v>0</v>
      </c>
      <c r="H97" s="102"/>
      <c r="I97" s="102"/>
      <c r="J97" s="315">
        <f ca="1">+((($J$82+$J$94)/4)+J83)*(1+IVA)</f>
        <v>0</v>
      </c>
      <c r="K97" s="275"/>
      <c r="L97" s="275"/>
      <c r="M97" s="315">
        <f ca="1">+((($M$82+$M$94)/4)+M83)*(1+IVA)</f>
        <v>0</v>
      </c>
    </row>
    <row r="98" spans="1:14" ht="16.5" thickTop="1" thickBot="1">
      <c r="A98" s="88"/>
      <c r="B98" s="300"/>
      <c r="C98" s="512" t="s">
        <v>319</v>
      </c>
      <c r="D98" s="513"/>
      <c r="E98" s="102"/>
      <c r="F98" s="102"/>
      <c r="G98" s="315">
        <f ca="1">++((($G$82+$G$94)/4))*(1+IVA)</f>
        <v>0</v>
      </c>
      <c r="H98" s="102"/>
      <c r="I98" s="102"/>
      <c r="J98" s="315">
        <f ca="1">++((($J$82+$J$94)/4))*(1+IVA)</f>
        <v>0</v>
      </c>
      <c r="K98" s="275"/>
      <c r="L98" s="275"/>
      <c r="M98" s="315">
        <f ca="1">++((($M$82+$M$94)/4))*(1+IVA)</f>
        <v>0</v>
      </c>
    </row>
    <row r="99" spans="1:14" ht="16" thickTop="1">
      <c r="A99" s="88"/>
      <c r="B99" s="300"/>
      <c r="C99" s="275"/>
      <c r="D99" s="275"/>
      <c r="E99" s="102"/>
      <c r="F99" s="102"/>
      <c r="G99" s="275"/>
      <c r="H99" s="102"/>
      <c r="I99" s="102"/>
      <c r="J99" s="275"/>
      <c r="K99" s="275"/>
      <c r="L99" s="275"/>
      <c r="M99" s="320"/>
    </row>
    <row r="100" spans="1:14" ht="19.5" customHeight="1">
      <c r="A100" s="88"/>
      <c r="B100" s="305"/>
      <c r="C100" s="277"/>
      <c r="D100" s="276"/>
      <c r="E100" s="277"/>
      <c r="F100" s="277"/>
      <c r="G100" s="277"/>
      <c r="H100" s="278"/>
      <c r="I100" s="277"/>
      <c r="J100" s="279"/>
      <c r="K100" s="277"/>
      <c r="L100" s="277"/>
      <c r="M100" s="303"/>
    </row>
    <row r="101" spans="1:14" ht="70.75" customHeight="1">
      <c r="A101" s="88"/>
      <c r="B101" s="600" t="s">
        <v>1152</v>
      </c>
      <c r="C101" s="601"/>
      <c r="D101" s="601"/>
      <c r="E101" s="601"/>
      <c r="F101" s="601"/>
      <c r="G101" s="601"/>
      <c r="H101" s="601"/>
      <c r="I101" s="601"/>
      <c r="J101" s="601"/>
      <c r="K101" s="601"/>
      <c r="L101" s="601"/>
      <c r="M101" s="602"/>
      <c r="N101" s="90"/>
    </row>
    <row r="102" spans="1:14" ht="17.25" customHeight="1" thickBot="1">
      <c r="A102" s="88"/>
      <c r="B102" s="592" t="str">
        <f>+IF('CAPTURA DP'!$C$30="NO","","El impuesto de esta cotización contempla el 8% de IVA Fronterizo.")</f>
        <v/>
      </c>
      <c r="C102" s="593"/>
      <c r="D102" s="593"/>
      <c r="E102" s="593"/>
      <c r="F102" s="593"/>
      <c r="G102" s="593"/>
      <c r="H102" s="593"/>
      <c r="I102" s="593"/>
      <c r="J102" s="593"/>
      <c r="K102" s="593"/>
      <c r="L102" s="593"/>
      <c r="M102" s="594"/>
      <c r="N102" s="90"/>
    </row>
    <row r="103" spans="1:14" ht="9.75" customHeight="1" thickTop="1" thickBot="1">
      <c r="A103" s="88"/>
      <c r="B103" s="256"/>
      <c r="C103" s="256"/>
      <c r="D103" s="256"/>
      <c r="E103" s="256"/>
      <c r="F103" s="256"/>
      <c r="G103" s="256"/>
      <c r="H103" s="256"/>
      <c r="I103" s="256"/>
      <c r="J103" s="256"/>
      <c r="K103" s="256"/>
      <c r="L103" s="256"/>
      <c r="M103" s="256"/>
      <c r="N103" s="90"/>
    </row>
    <row r="104" spans="1:14" ht="17.25" customHeight="1" thickTop="1">
      <c r="A104" s="88"/>
      <c r="B104" s="573" t="str">
        <f>IF(LEFT('CAPTURA DP'!B29)="F","","Esquema de comisiones ")</f>
        <v/>
      </c>
      <c r="C104" s="574"/>
      <c r="D104" s="574"/>
      <c r="E104" s="574"/>
      <c r="F104" s="574"/>
      <c r="G104" s="574"/>
      <c r="H104" s="574"/>
      <c r="I104" s="574"/>
      <c r="J104" s="574"/>
      <c r="K104" s="574"/>
      <c r="L104" s="574"/>
      <c r="M104" s="575"/>
      <c r="N104" s="90"/>
    </row>
    <row r="105" spans="1:14" ht="17.25" customHeight="1">
      <c r="A105" s="88"/>
      <c r="B105" s="417"/>
      <c r="C105" s="418"/>
      <c r="D105" s="418"/>
      <c r="E105" s="418"/>
      <c r="F105" s="418"/>
      <c r="G105" s="418"/>
      <c r="H105" s="418"/>
      <c r="I105" s="418"/>
      <c r="J105" s="418"/>
      <c r="K105" s="418"/>
      <c r="L105" s="418"/>
      <c r="M105" s="419"/>
      <c r="N105" s="90"/>
    </row>
    <row r="106" spans="1:14" ht="54" customHeight="1">
      <c r="A106" s="88"/>
      <c r="B106" s="568" t="str">
        <f>IF(LEFT('CAPTURA DP'!B29)="F","",CONCATENATE("Comisión de : ",ROUND((DATOS!C36*100),2)," %.   "))</f>
        <v/>
      </c>
      <c r="C106" s="569"/>
      <c r="D106" s="569"/>
      <c r="E106" s="569"/>
      <c r="F106" s="569"/>
      <c r="G106" s="569"/>
      <c r="H106" s="569"/>
      <c r="I106" s="569"/>
      <c r="J106" s="569"/>
      <c r="K106" s="569"/>
      <c r="L106" s="569"/>
      <c r="M106" s="570"/>
      <c r="N106" s="90"/>
    </row>
    <row r="107" spans="1:14" ht="17.25" customHeight="1" thickBot="1">
      <c r="A107" s="88"/>
      <c r="B107" s="306"/>
      <c r="C107" s="307"/>
      <c r="D107" s="307"/>
      <c r="E107" s="307"/>
      <c r="F107" s="307"/>
      <c r="G107" s="307"/>
      <c r="H107" s="307"/>
      <c r="I107" s="307"/>
      <c r="J107" s="307"/>
      <c r="K107" s="307"/>
      <c r="L107" s="307"/>
      <c r="M107" s="308"/>
      <c r="N107" s="90"/>
    </row>
    <row r="108" spans="1:14" ht="15" customHeight="1" thickTop="1">
      <c r="A108" s="88"/>
      <c r="B108" s="586" t="s">
        <v>376</v>
      </c>
      <c r="C108" s="586"/>
      <c r="D108" s="586"/>
      <c r="E108" s="586"/>
      <c r="F108" s="586"/>
      <c r="G108" s="586"/>
      <c r="H108" s="586"/>
      <c r="I108" s="256"/>
      <c r="J108" s="260" t="str">
        <f>"cc "&amp;ROUND('DATOS GENERALES'!H17,5)</f>
        <v>cc 0</v>
      </c>
      <c r="K108" s="260"/>
      <c r="L108" s="260"/>
      <c r="M108" s="260" t="str">
        <f>+'CAPTURA DP'!C31&amp;"  "&amp; 'CAPTURA DP'!B24</f>
        <v xml:space="preserve">  1</v>
      </c>
      <c r="N108" s="90"/>
    </row>
    <row r="109" spans="1:14" ht="14.5">
      <c r="A109" s="88"/>
      <c r="B109" s="581" t="s">
        <v>1098</v>
      </c>
      <c r="C109" s="581"/>
      <c r="D109" s="581"/>
      <c r="E109" s="581"/>
      <c r="F109" s="581"/>
      <c r="G109" s="581"/>
      <c r="H109" s="581"/>
      <c r="I109" s="581"/>
      <c r="J109" s="581"/>
      <c r="K109" s="581"/>
      <c r="L109" s="252"/>
      <c r="M109" s="252"/>
    </row>
    <row r="110" spans="1:14" ht="15" customHeight="1">
      <c r="A110" s="88"/>
      <c r="B110" s="331" t="s">
        <v>1099</v>
      </c>
      <c r="F110" s="260"/>
      <c r="G110" s="253"/>
      <c r="H110" s="292"/>
      <c r="I110" s="292"/>
      <c r="J110" s="292"/>
      <c r="K110" s="292"/>
    </row>
    <row r="111" spans="1:14">
      <c r="A111" s="88"/>
      <c r="B111" s="260"/>
      <c r="C111" s="260"/>
      <c r="D111" s="260"/>
      <c r="E111" s="260"/>
      <c r="F111" s="260"/>
      <c r="G111" s="257"/>
      <c r="H111" s="252"/>
      <c r="I111" s="252"/>
      <c r="J111" s="252"/>
      <c r="K111" s="260"/>
      <c r="L111" s="260"/>
      <c r="M111" s="260"/>
    </row>
    <row r="112" spans="1:14" ht="14">
      <c r="A112" s="88"/>
      <c r="B112" s="261" t="s">
        <v>357</v>
      </c>
      <c r="C112" s="255"/>
      <c r="D112" s="252"/>
      <c r="E112" s="252"/>
      <c r="F112" s="252"/>
      <c r="G112" s="252"/>
      <c r="H112" s="252"/>
      <c r="I112" s="252"/>
      <c r="J112" s="252"/>
      <c r="K112" s="252"/>
      <c r="L112" s="252"/>
      <c r="M112" s="252"/>
    </row>
    <row r="113" spans="1:13">
      <c r="A113" s="88"/>
      <c r="B113" s="255"/>
      <c r="C113" s="255"/>
      <c r="D113" s="252"/>
      <c r="E113" s="252"/>
      <c r="F113" s="252"/>
      <c r="G113" s="252"/>
      <c r="H113" s="252"/>
      <c r="I113" s="252"/>
      <c r="J113" s="252"/>
      <c r="K113" s="252"/>
      <c r="L113" s="252"/>
      <c r="M113" s="252"/>
    </row>
    <row r="114" spans="1:13">
      <c r="A114" s="88"/>
      <c r="B114" s="255"/>
      <c r="C114" s="255"/>
      <c r="D114" s="252"/>
      <c r="E114" s="252"/>
      <c r="F114" s="252"/>
      <c r="G114" s="252"/>
      <c r="H114" s="252"/>
      <c r="I114" s="252"/>
      <c r="J114" s="252"/>
      <c r="K114" s="252"/>
      <c r="L114" s="252"/>
      <c r="M114" s="252"/>
    </row>
    <row r="115" spans="1:13">
      <c r="A115" s="88"/>
      <c r="B115" s="579"/>
      <c r="C115" s="579"/>
      <c r="D115" s="579"/>
      <c r="E115" s="579"/>
      <c r="F115" s="252"/>
      <c r="G115" s="252"/>
      <c r="H115" s="252"/>
      <c r="I115" s="252"/>
      <c r="J115" s="252"/>
      <c r="K115" s="252"/>
      <c r="L115" s="252"/>
      <c r="M115" s="252"/>
    </row>
    <row r="116" spans="1:13" ht="23.25" customHeight="1">
      <c r="A116" s="88"/>
      <c r="B116" s="523" t="str">
        <f>IF('DATOS GENERALES'!C24="","",'DATOS GENERALES'!C24)</f>
        <v/>
      </c>
      <c r="C116" s="523"/>
      <c r="D116" s="523"/>
      <c r="E116" s="523"/>
      <c r="F116" s="252"/>
      <c r="G116" s="253"/>
      <c r="H116" s="252"/>
      <c r="I116" s="252"/>
      <c r="J116" s="252"/>
      <c r="K116" s="252"/>
      <c r="L116" s="309"/>
      <c r="M116" s="310"/>
    </row>
    <row r="117" spans="1:13">
      <c r="A117" s="88"/>
      <c r="B117" s="255"/>
      <c r="C117" s="255"/>
      <c r="D117" s="252"/>
      <c r="E117" s="252"/>
      <c r="F117" s="252"/>
      <c r="G117" s="252"/>
      <c r="H117" s="252"/>
      <c r="I117" s="252"/>
      <c r="J117" s="252"/>
      <c r="K117" s="252"/>
      <c r="L117" s="252"/>
      <c r="M117" s="252"/>
    </row>
    <row r="118" spans="1:13" ht="14.5">
      <c r="B118" s="330" t="s">
        <v>378</v>
      </c>
      <c r="C118" s="253"/>
      <c r="D118" s="253"/>
      <c r="E118" s="253"/>
      <c r="F118" s="253"/>
      <c r="G118" s="253"/>
      <c r="H118" s="253"/>
      <c r="I118" s="253"/>
      <c r="J118" s="330"/>
      <c r="K118" s="253"/>
      <c r="L118" s="253"/>
      <c r="M118" s="253"/>
    </row>
    <row r="119" spans="1:13">
      <c r="B119" s="504" t="s">
        <v>379</v>
      </c>
      <c r="C119" s="504"/>
      <c r="D119" s="504"/>
      <c r="E119" s="504"/>
      <c r="F119" s="504"/>
      <c r="G119" s="504"/>
      <c r="H119" s="253"/>
      <c r="I119" s="253"/>
      <c r="J119" s="331"/>
      <c r="K119" s="253"/>
      <c r="L119" s="253"/>
      <c r="M119" s="253"/>
    </row>
    <row r="120" spans="1:13"/>
    <row r="121" spans="1:13"/>
    <row r="122" spans="1:13"/>
    <row r="123" spans="1:13"/>
  </sheetData>
  <sheetProtection algorithmName="SHA-512" hashValue="E+wlDMrk1f0Y7bCpB8cSDILs+Kj2mdQL71d+2/BY1wENUX07qxuk7k46jxogks7375aCVDQR0TB4yJE8y6rT5A==" saltValue="sb61RQqru3gZTLUOFqXNag==" spinCount="100000" sheet="1" objects="1" scenarios="1"/>
  <mergeCells count="98">
    <mergeCell ref="B59:M59"/>
    <mergeCell ref="B60:M60"/>
    <mergeCell ref="B61:M61"/>
    <mergeCell ref="B102:M102"/>
    <mergeCell ref="E35:M35"/>
    <mergeCell ref="B35:D35"/>
    <mergeCell ref="C89:D89"/>
    <mergeCell ref="C90:D90"/>
    <mergeCell ref="E37:M37"/>
    <mergeCell ref="E39:M39"/>
    <mergeCell ref="E45:M45"/>
    <mergeCell ref="B101:M101"/>
    <mergeCell ref="E49:M49"/>
    <mergeCell ref="B37:D37"/>
    <mergeCell ref="B41:D41"/>
    <mergeCell ref="B39:D39"/>
    <mergeCell ref="B115:E115"/>
    <mergeCell ref="C95:D95"/>
    <mergeCell ref="B7:M7"/>
    <mergeCell ref="B109:K109"/>
    <mergeCell ref="E55:M55"/>
    <mergeCell ref="B108:H108"/>
    <mergeCell ref="B57:M57"/>
    <mergeCell ref="B58:M58"/>
    <mergeCell ref="B51:D51"/>
    <mergeCell ref="E53:M53"/>
    <mergeCell ref="B55:D55"/>
    <mergeCell ref="B53:D53"/>
    <mergeCell ref="B62:M62"/>
    <mergeCell ref="B65:M65"/>
    <mergeCell ref="B67:M67"/>
    <mergeCell ref="E28:M28"/>
    <mergeCell ref="B106:M106"/>
    <mergeCell ref="C86:D86"/>
    <mergeCell ref="B70:M70"/>
    <mergeCell ref="C88:D88"/>
    <mergeCell ref="C96:D96"/>
    <mergeCell ref="C97:D97"/>
    <mergeCell ref="C98:D98"/>
    <mergeCell ref="C92:D92"/>
    <mergeCell ref="C94:D94"/>
    <mergeCell ref="B104:M104"/>
    <mergeCell ref="C91:D91"/>
    <mergeCell ref="B81:M81"/>
    <mergeCell ref="E11:M11"/>
    <mergeCell ref="B22:D22"/>
    <mergeCell ref="E22:M22"/>
    <mergeCell ref="E18:H18"/>
    <mergeCell ref="I18:K18"/>
    <mergeCell ref="L18:M18"/>
    <mergeCell ref="E19:H19"/>
    <mergeCell ref="I19:K19"/>
    <mergeCell ref="L19:M19"/>
    <mergeCell ref="B18:D19"/>
    <mergeCell ref="B20:D21"/>
    <mergeCell ref="I20:K20"/>
    <mergeCell ref="E16:M16"/>
    <mergeCell ref="L20:M20"/>
    <mergeCell ref="L21:M21"/>
    <mergeCell ref="B16:D16"/>
    <mergeCell ref="B28:D28"/>
    <mergeCell ref="B49:D49"/>
    <mergeCell ref="E31:M31"/>
    <mergeCell ref="E33:M33"/>
    <mergeCell ref="B33:D33"/>
    <mergeCell ref="B31:D31"/>
    <mergeCell ref="L5:M5"/>
    <mergeCell ref="B6:M6"/>
    <mergeCell ref="E24:M24"/>
    <mergeCell ref="E26:M26"/>
    <mergeCell ref="E8:M8"/>
    <mergeCell ref="E10:M10"/>
    <mergeCell ref="E12:M12"/>
    <mergeCell ref="E14:M14"/>
    <mergeCell ref="B8:D8"/>
    <mergeCell ref="B10:D10"/>
    <mergeCell ref="B12:D12"/>
    <mergeCell ref="B14:D14"/>
    <mergeCell ref="B24:D24"/>
    <mergeCell ref="B26:D26"/>
    <mergeCell ref="B11:D11"/>
    <mergeCell ref="E20:H20"/>
    <mergeCell ref="B119:G119"/>
    <mergeCell ref="B47:D47"/>
    <mergeCell ref="E43:M43"/>
    <mergeCell ref="E41:M41"/>
    <mergeCell ref="C82:D82"/>
    <mergeCell ref="C83:D83"/>
    <mergeCell ref="C85:D85"/>
    <mergeCell ref="B63:M63"/>
    <mergeCell ref="B64:M64"/>
    <mergeCell ref="B66:M66"/>
    <mergeCell ref="B68:M68"/>
    <mergeCell ref="E51:M51"/>
    <mergeCell ref="E47:M47"/>
    <mergeCell ref="B45:D45"/>
    <mergeCell ref="B43:D43"/>
    <mergeCell ref="B116:E116"/>
  </mergeCells>
  <phoneticPr fontId="9" type="noConversion"/>
  <conditionalFormatting sqref="E100:F100">
    <cfRule type="expression" dxfId="14" priority="77" stopIfTrue="1">
      <formula>$G100&lt;&gt;""</formula>
    </cfRule>
  </conditionalFormatting>
  <conditionalFormatting sqref="E24:M24">
    <cfRule type="expression" dxfId="13" priority="82" stopIfTrue="1">
      <formula>"Indicar"</formula>
    </cfRule>
  </conditionalFormatting>
  <conditionalFormatting sqref="C73:D80 J73:L80">
    <cfRule type="cellIs" dxfId="12" priority="84" stopIfTrue="1" operator="notEqual">
      <formula>""</formula>
    </cfRule>
  </conditionalFormatting>
  <conditionalFormatting sqref="B70:M70">
    <cfRule type="expression" dxfId="11" priority="86" stopIfTrue="1">
      <formula>""</formula>
    </cfRule>
  </conditionalFormatting>
  <conditionalFormatting sqref="C83 C94:C98 C85:C86 C88:C92">
    <cfRule type="expression" dxfId="10" priority="109" stopIfTrue="1">
      <formula>#REF!&lt;&gt;""</formula>
    </cfRule>
  </conditionalFormatting>
  <conditionalFormatting sqref="C73:C80">
    <cfRule type="expression" dxfId="9" priority="131" stopIfTrue="1">
      <formula>$D73&lt;&gt;""</formula>
    </cfRule>
  </conditionalFormatting>
  <conditionalFormatting sqref="G73:G80">
    <cfRule type="cellIs" dxfId="8" priority="14" stopIfTrue="1" operator="notEqual">
      <formula>""</formula>
    </cfRule>
  </conditionalFormatting>
  <conditionalFormatting sqref="M73:M80">
    <cfRule type="cellIs" dxfId="7" priority="13" stopIfTrue="1" operator="notEqual">
      <formula>""</formula>
    </cfRule>
  </conditionalFormatting>
  <conditionalFormatting sqref="G72">
    <cfRule type="expression" dxfId="6" priority="12">
      <formula>$G$72&lt;&gt;""</formula>
    </cfRule>
  </conditionalFormatting>
  <conditionalFormatting sqref="M72">
    <cfRule type="expression" dxfId="5" priority="11">
      <formula>$M$72&lt;&gt;""</formula>
    </cfRule>
  </conditionalFormatting>
  <conditionalFormatting sqref="G82:G83 G85:G86 G88:G92 G94:G98">
    <cfRule type="expression" dxfId="4" priority="10">
      <formula>$G$72=""</formula>
    </cfRule>
  </conditionalFormatting>
  <conditionalFormatting sqref="M82:M83 M85:M86 M88:M92 M94:M98">
    <cfRule type="expression" dxfId="3" priority="9">
      <formula>$M$72=""</formula>
    </cfRule>
  </conditionalFormatting>
  <conditionalFormatting sqref="J72">
    <cfRule type="expression" dxfId="2" priority="8">
      <formula>$J$72&lt;&gt;""</formula>
    </cfRule>
  </conditionalFormatting>
  <conditionalFormatting sqref="J82:J83 J85:J86 J88:J92 J94:J98">
    <cfRule type="expression" dxfId="1" priority="7">
      <formula>$J$72=""</formula>
    </cfRule>
  </conditionalFormatting>
  <conditionalFormatting sqref="B57:M57">
    <cfRule type="expression" dxfId="0" priority="5" stopIfTrue="1">
      <formula>""</formula>
    </cfRule>
  </conditionalFormatting>
  <hyperlinks>
    <hyperlink ref="B119" r:id="rId1"/>
    <hyperlink ref="B110" r:id="rId2"/>
  </hyperlinks>
  <printOptions horizontalCentered="1"/>
  <pageMargins left="0.15748031496062992" right="0.15748031496062992" top="0.31496062992125984" bottom="0.43307086614173229" header="0.27559055118110237" footer="0.23622047244094491"/>
  <pageSetup paperSize="9" scale="59" fitToHeight="2" orientation="portrait" r:id="rId3"/>
  <headerFooter alignWithMargins="0">
    <oddFooter xml:space="preserve">&amp;L&amp;"Book Antiqua,Normal"&amp;7&amp;K000000&amp;F / &amp;A
Cotización elaborada el : &amp;D&amp;C&amp;P&amp;R&amp;"Book Antiqua,Normal"&amp;7Cotizador de G.M.M. Excesos
Versión: TARIFA JULIO 2023 V.1
</oddFooter>
  </headerFooter>
  <rowBreaks count="1" manualBreakCount="1">
    <brk id="56" min="1" max="15" man="1"/>
  </rowBreak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BG656"/>
  <sheetViews>
    <sheetView topLeftCell="S1" zoomScaleNormal="100" workbookViewId="0">
      <pane ySplit="3" topLeftCell="A4" activePane="bottomLeft" state="frozen"/>
      <selection pane="bottomLeft" activeCell="Y22" sqref="Y22"/>
    </sheetView>
  </sheetViews>
  <sheetFormatPr baseColWidth="10" defaultColWidth="6" defaultRowHeight="14.5"/>
  <cols>
    <col min="1" max="1" width="17.1796875" style="24" bestFit="1" customWidth="1"/>
    <col min="2" max="2" width="13.1796875" style="24" bestFit="1" customWidth="1"/>
    <col min="3" max="3" width="25.81640625" style="24" bestFit="1" customWidth="1"/>
    <col min="4" max="4" width="6" style="24" customWidth="1"/>
    <col min="5" max="5" width="8.26953125" style="24" customWidth="1"/>
    <col min="6" max="6" width="12.7265625" style="24" bestFit="1" customWidth="1"/>
    <col min="7" max="7" width="20" style="24" bestFit="1" customWidth="1"/>
    <col min="8" max="8" width="8.26953125" style="24" customWidth="1"/>
    <col min="9" max="9" width="10.7265625" style="24" bestFit="1" customWidth="1"/>
    <col min="10" max="10" width="11.26953125" style="24" customWidth="1"/>
    <col min="11" max="11" width="14.54296875" style="24" customWidth="1"/>
    <col min="12" max="12" width="13.1796875" style="24" customWidth="1"/>
    <col min="13" max="13" width="4.453125" style="24" customWidth="1"/>
    <col min="14" max="19" width="20.54296875" style="24" customWidth="1"/>
    <col min="20" max="20" width="10.81640625" style="24" customWidth="1"/>
    <col min="21" max="21" width="9.81640625" style="24" customWidth="1"/>
    <col min="22" max="22" width="19.26953125" style="24" customWidth="1"/>
    <col min="23" max="23" width="14.54296875" style="24" bestFit="1" customWidth="1"/>
    <col min="24" max="24" width="12.81640625" style="24" customWidth="1"/>
    <col min="25" max="25" width="24" style="24" bestFit="1" customWidth="1"/>
    <col min="26" max="26" width="22.81640625" style="24" bestFit="1" customWidth="1"/>
    <col min="27" max="27" width="19.453125" style="24" bestFit="1" customWidth="1"/>
    <col min="28" max="28" width="4.54296875" style="24" customWidth="1"/>
    <col min="29" max="29" width="9.453125" style="24" customWidth="1"/>
    <col min="30" max="30" width="15.54296875" style="24" bestFit="1" customWidth="1"/>
    <col min="31" max="31" width="39.54296875" style="24" customWidth="1"/>
    <col min="32" max="32" width="18.1796875" style="24" customWidth="1"/>
    <col min="33" max="33" width="4.54296875" style="24" customWidth="1"/>
    <col min="34" max="34" width="10.7265625" style="24" customWidth="1"/>
    <col min="35" max="35" width="14.453125" style="24" customWidth="1"/>
    <col min="36" max="36" width="10.7265625" style="24" customWidth="1"/>
    <col min="37" max="37" width="4.54296875" style="24" customWidth="1"/>
    <col min="38" max="38" width="10" style="24" customWidth="1"/>
    <col min="39" max="39" width="9" style="24" bestFit="1" customWidth="1"/>
    <col min="40" max="40" width="19.26953125" style="24" customWidth="1"/>
    <col min="41" max="41" width="6" style="24"/>
    <col min="42" max="42" width="33.26953125" style="24" bestFit="1" customWidth="1"/>
    <col min="43" max="43" width="10.81640625" style="24" customWidth="1"/>
    <col min="44" max="44" width="6" style="24"/>
    <col min="45" max="45" width="12.1796875" style="24" bestFit="1" customWidth="1"/>
    <col min="46" max="46" width="16.453125" style="24" bestFit="1" customWidth="1"/>
    <col min="47" max="47" width="18.1796875" style="24" bestFit="1" customWidth="1"/>
    <col min="48" max="48" width="6" style="24"/>
    <col min="49" max="49" width="10.81640625" style="24" customWidth="1"/>
    <col min="50" max="50" width="29.7265625" style="24" bestFit="1" customWidth="1"/>
    <col min="51" max="51" width="69.81640625" style="24" bestFit="1" customWidth="1"/>
    <col min="52" max="52" width="10.26953125" style="24" customWidth="1"/>
    <col min="53" max="53" width="13.7265625" style="24" customWidth="1"/>
    <col min="54" max="54" width="6" style="24"/>
    <col min="55" max="55" width="17.54296875" style="24" customWidth="1"/>
    <col min="56" max="60" width="11.81640625" style="24" customWidth="1"/>
    <col min="61" max="16384" width="6" style="24"/>
  </cols>
  <sheetData>
    <row r="1" spans="1:59">
      <c r="A1"/>
      <c r="B1"/>
      <c r="L1" s="24" t="s">
        <v>425</v>
      </c>
      <c r="AA1" s="24" t="s">
        <v>425</v>
      </c>
      <c r="BC1" s="24" t="s">
        <v>1101</v>
      </c>
      <c r="BD1" s="24">
        <f>+b</f>
        <v>1</v>
      </c>
      <c r="BE1" s="24" t="s">
        <v>1102</v>
      </c>
      <c r="BF1" s="24" t="s">
        <v>1103</v>
      </c>
      <c r="BG1" s="24" t="s">
        <v>1104</v>
      </c>
    </row>
    <row r="2" spans="1:59">
      <c r="F2" s="61"/>
      <c r="G2" s="61"/>
      <c r="H2" s="61"/>
      <c r="J2" s="62"/>
      <c r="K2" s="62"/>
      <c r="L2" s="24" t="s">
        <v>433</v>
      </c>
      <c r="Q2"/>
      <c r="R2"/>
      <c r="S2"/>
      <c r="T2"/>
      <c r="X2" s="65"/>
      <c r="Y2" s="65"/>
      <c r="Z2" s="65"/>
      <c r="AA2" s="24" t="s">
        <v>433</v>
      </c>
      <c r="AB2" s="65"/>
      <c r="AX2" s="24">
        <f>+VLOOKUP('CAPTURA DP'!B5,DATOS!$U$4:$AA$51,7,0)</f>
        <v>0</v>
      </c>
      <c r="BC2" s="24" t="s">
        <v>1105</v>
      </c>
      <c r="BD2" s="24">
        <f>+p</f>
        <v>3</v>
      </c>
      <c r="BF2" s="24" t="s">
        <v>1106</v>
      </c>
      <c r="BG2" s="24" t="s">
        <v>1107</v>
      </c>
    </row>
    <row r="3" spans="1:59" ht="31">
      <c r="A3" s="347" t="s">
        <v>388</v>
      </c>
      <c r="B3" s="347" t="s">
        <v>387</v>
      </c>
      <c r="C3" s="347" t="s">
        <v>386</v>
      </c>
      <c r="D3" s="340"/>
      <c r="E3" s="341" t="s">
        <v>388</v>
      </c>
      <c r="F3" s="341" t="s">
        <v>61</v>
      </c>
      <c r="G3" s="341" t="s">
        <v>394</v>
      </c>
      <c r="H3" s="341" t="s">
        <v>388</v>
      </c>
      <c r="I3" s="341" t="s">
        <v>397</v>
      </c>
      <c r="J3" s="341" t="s">
        <v>395</v>
      </c>
      <c r="K3" s="341" t="s">
        <v>396</v>
      </c>
      <c r="L3" s="341" t="s">
        <v>424</v>
      </c>
      <c r="M3" s="340"/>
      <c r="N3" s="440" t="s">
        <v>388</v>
      </c>
      <c r="O3" s="440" t="s">
        <v>89</v>
      </c>
      <c r="P3" s="440" t="s">
        <v>387</v>
      </c>
      <c r="Q3" s="440" t="s">
        <v>1128</v>
      </c>
      <c r="R3" s="440" t="s">
        <v>1127</v>
      </c>
      <c r="S3" s="440" t="s">
        <v>1126</v>
      </c>
      <c r="U3" s="342" t="s">
        <v>388</v>
      </c>
      <c r="V3" s="342" t="s">
        <v>387</v>
      </c>
      <c r="W3" s="342" t="s">
        <v>389</v>
      </c>
      <c r="X3" s="342" t="s">
        <v>390</v>
      </c>
      <c r="Y3" s="342" t="s">
        <v>391</v>
      </c>
      <c r="Z3" s="342" t="s">
        <v>392</v>
      </c>
      <c r="AA3" s="342" t="s">
        <v>393</v>
      </c>
      <c r="AB3" s="343"/>
      <c r="AC3" s="344" t="s">
        <v>388</v>
      </c>
      <c r="AD3" s="344" t="s">
        <v>88</v>
      </c>
      <c r="AE3" s="344" t="s">
        <v>88</v>
      </c>
      <c r="AF3" s="344" t="s">
        <v>290</v>
      </c>
      <c r="AG3" s="340"/>
      <c r="AH3" s="353"/>
      <c r="AI3" s="353"/>
      <c r="AJ3" s="353" t="s">
        <v>398</v>
      </c>
      <c r="AK3" s="340"/>
      <c r="AL3" s="353"/>
      <c r="AM3" s="353"/>
      <c r="AN3" s="353" t="s">
        <v>399</v>
      </c>
      <c r="AO3" s="340"/>
      <c r="AP3" s="345" t="s">
        <v>76</v>
      </c>
      <c r="AQ3" s="345" t="s">
        <v>384</v>
      </c>
      <c r="AR3" s="340"/>
      <c r="AS3" s="603" t="s">
        <v>78</v>
      </c>
      <c r="AT3" s="603"/>
      <c r="AU3" s="603"/>
      <c r="AV3" s="340"/>
      <c r="AW3" s="346" t="s">
        <v>388</v>
      </c>
      <c r="AX3" s="346" t="s">
        <v>387</v>
      </c>
      <c r="AY3" s="346" t="s">
        <v>386</v>
      </c>
      <c r="AZ3" s="346" t="s">
        <v>421</v>
      </c>
      <c r="BA3" s="346" t="s">
        <v>422</v>
      </c>
      <c r="BC3" s="428" t="s">
        <v>1108</v>
      </c>
      <c r="BD3" s="428" t="s">
        <v>1109</v>
      </c>
      <c r="BE3" s="428" t="s">
        <v>1110</v>
      </c>
      <c r="BF3" s="428" t="s">
        <v>1111</v>
      </c>
    </row>
    <row r="4" spans="1:59">
      <c r="A4" s="348">
        <v>1</v>
      </c>
      <c r="B4" s="348" t="s">
        <v>247</v>
      </c>
      <c r="C4" s="348" t="s">
        <v>402</v>
      </c>
      <c r="E4" s="69">
        <v>1</v>
      </c>
      <c r="F4" s="69">
        <v>0.1</v>
      </c>
      <c r="G4" s="69">
        <v>1</v>
      </c>
      <c r="H4" s="69">
        <v>1</v>
      </c>
      <c r="I4" s="69" t="str">
        <f t="shared" ref="I4:I92" si="0">+E4&amp;H4</f>
        <v>11</v>
      </c>
      <c r="J4" s="69">
        <v>0</v>
      </c>
      <c r="K4" s="430">
        <v>1</v>
      </c>
      <c r="L4" s="69">
        <f t="shared" ref="L4:L143" si="1">+IF(b=2,1,1)</f>
        <v>1</v>
      </c>
      <c r="N4" s="440">
        <v>1</v>
      </c>
      <c r="O4" s="441">
        <v>111</v>
      </c>
      <c r="P4" s="440" t="s">
        <v>1089</v>
      </c>
      <c r="Q4" s="442">
        <f>+S4</f>
        <v>0.32543499999999997</v>
      </c>
      <c r="R4" s="443">
        <v>0.28744700000000001</v>
      </c>
      <c r="S4" s="443">
        <v>0.32543499999999997</v>
      </c>
      <c r="U4" s="351">
        <v>1</v>
      </c>
      <c r="V4" s="351" t="s">
        <v>314</v>
      </c>
      <c r="W4" s="351" t="s">
        <v>138</v>
      </c>
      <c r="X4" s="351" t="s">
        <v>13</v>
      </c>
      <c r="Y4" s="444">
        <v>43.54</v>
      </c>
      <c r="Z4" s="351">
        <v>88</v>
      </c>
      <c r="AA4" s="351">
        <v>0</v>
      </c>
      <c r="AB4"/>
      <c r="AC4" s="70">
        <v>1</v>
      </c>
      <c r="AD4" s="391">
        <v>200</v>
      </c>
      <c r="AE4" s="282" t="str">
        <f>+IF('CAPTURA DP'!B4&lt;=3," 200  UMAM ","1,000,000 DLLS")</f>
        <v xml:space="preserve"> 200  UMAM </v>
      </c>
      <c r="AF4" s="337">
        <v>1</v>
      </c>
      <c r="AG4" s="338"/>
      <c r="AH4" s="354">
        <v>1</v>
      </c>
      <c r="AI4" s="355">
        <v>0.1</v>
      </c>
      <c r="AJ4" s="355">
        <f>+IF('CAPTURA DP'!$B$4&gt;3,"",AI4)</f>
        <v>0.1</v>
      </c>
      <c r="AK4" s="338"/>
      <c r="AL4" s="354">
        <v>1</v>
      </c>
      <c r="AM4" s="425">
        <v>0</v>
      </c>
      <c r="AN4" s="354" t="s">
        <v>1097</v>
      </c>
      <c r="AP4" s="71" t="s">
        <v>73</v>
      </c>
      <c r="AQ4" s="72">
        <v>0</v>
      </c>
      <c r="AS4" s="604" t="s">
        <v>72</v>
      </c>
      <c r="AT4" s="604"/>
      <c r="AU4" s="605" t="s">
        <v>385</v>
      </c>
      <c r="AW4" s="74">
        <v>1</v>
      </c>
      <c r="AX4" s="74" t="s">
        <v>423</v>
      </c>
      <c r="AY4" s="74" t="s">
        <v>1135</v>
      </c>
      <c r="AZ4" s="74">
        <v>1</v>
      </c>
      <c r="BA4" s="74">
        <v>1</v>
      </c>
      <c r="BC4" s="429" t="s">
        <v>1112</v>
      </c>
      <c r="BD4" s="429">
        <f>IF(b=1,0,1)</f>
        <v>0</v>
      </c>
      <c r="BE4" s="429">
        <v>0</v>
      </c>
      <c r="BF4" s="429">
        <f>IF(b=1,0,1)</f>
        <v>0</v>
      </c>
    </row>
    <row r="5" spans="1:59">
      <c r="A5" s="348">
        <v>2</v>
      </c>
      <c r="B5" s="348" t="s">
        <v>65</v>
      </c>
      <c r="C5" s="348" t="s">
        <v>403</v>
      </c>
      <c r="E5" s="69">
        <v>1</v>
      </c>
      <c r="F5" s="69">
        <v>0.1</v>
      </c>
      <c r="G5" s="69">
        <v>1</v>
      </c>
      <c r="H5" s="69">
        <v>2</v>
      </c>
      <c r="I5" s="69" t="str">
        <f t="shared" si="0"/>
        <v>12</v>
      </c>
      <c r="J5" s="336">
        <v>10000</v>
      </c>
      <c r="K5" s="430">
        <v>1.1146830000000001</v>
      </c>
      <c r="L5" s="69">
        <f t="shared" si="1"/>
        <v>1</v>
      </c>
      <c r="N5" s="440">
        <v>2</v>
      </c>
      <c r="O5" s="441">
        <v>148</v>
      </c>
      <c r="P5" s="440" t="s">
        <v>1094</v>
      </c>
      <c r="Q5" s="442">
        <f t="shared" ref="Q5:Q68" si="2">+S5</f>
        <v>0.29164899999999999</v>
      </c>
      <c r="R5" s="443">
        <v>0.25533600000000001</v>
      </c>
      <c r="S5" s="443">
        <v>0.29164899999999999</v>
      </c>
      <c r="U5" s="351">
        <v>2</v>
      </c>
      <c r="V5" s="351" t="s">
        <v>375</v>
      </c>
      <c r="W5" s="351" t="s">
        <v>12</v>
      </c>
      <c r="X5" s="351" t="s">
        <v>13</v>
      </c>
      <c r="Y5" s="444">
        <v>43.4</v>
      </c>
      <c r="Z5" s="351">
        <v>88</v>
      </c>
      <c r="AA5" s="351">
        <v>1</v>
      </c>
      <c r="AB5"/>
      <c r="AC5" s="70">
        <v>2</v>
      </c>
      <c r="AD5" s="391">
        <v>220</v>
      </c>
      <c r="AE5" s="282" t="str">
        <f>+IF('CAPTURA DP'!B4&lt;=3," 220  UMAM ","2,000,000 DLLS")</f>
        <v xml:space="preserve"> 220  UMAM </v>
      </c>
      <c r="AF5" s="337">
        <f>+IF('CAPTURA DP'!B4&lt;=3,1.0061,1.041)</f>
        <v>1.0061</v>
      </c>
      <c r="AG5" s="338"/>
      <c r="AH5" s="354">
        <v>2</v>
      </c>
      <c r="AI5" s="355">
        <v>0.15</v>
      </c>
      <c r="AJ5" s="355">
        <f>+IF('CAPTURA DP'!$B$4&gt;3,"",AI5)</f>
        <v>0.15</v>
      </c>
      <c r="AK5" s="338"/>
      <c r="AL5" s="354">
        <v>2</v>
      </c>
      <c r="AM5" s="425">
        <v>10000</v>
      </c>
      <c r="AN5" s="431" t="s">
        <v>1121</v>
      </c>
      <c r="AP5" s="71" t="s">
        <v>74</v>
      </c>
      <c r="AQ5" s="72">
        <v>0.05</v>
      </c>
      <c r="AS5" s="339" t="s">
        <v>80</v>
      </c>
      <c r="AT5" s="339" t="s">
        <v>81</v>
      </c>
      <c r="AU5" s="605"/>
      <c r="AW5" s="74">
        <v>2</v>
      </c>
      <c r="AX5" s="74" t="s">
        <v>57</v>
      </c>
      <c r="AY5" s="74" t="s">
        <v>1136</v>
      </c>
      <c r="AZ5" s="74">
        <v>1.1093</v>
      </c>
      <c r="BA5" s="74">
        <v>1.1043000000000001</v>
      </c>
      <c r="BC5" s="429" t="s">
        <v>1113</v>
      </c>
      <c r="BD5" s="429">
        <f>+IF('CAPTURA DP'!$H$7=TRUE,1,0)</f>
        <v>0</v>
      </c>
      <c r="BE5" s="429">
        <v>0</v>
      </c>
      <c r="BF5" s="429">
        <v>0</v>
      </c>
    </row>
    <row r="6" spans="1:59">
      <c r="A6" s="348">
        <v>3</v>
      </c>
      <c r="B6" s="348" t="s">
        <v>246</v>
      </c>
      <c r="C6" s="348" t="s">
        <v>404</v>
      </c>
      <c r="E6" s="69">
        <v>1</v>
      </c>
      <c r="F6" s="69">
        <v>0.1</v>
      </c>
      <c r="G6" s="69">
        <v>1</v>
      </c>
      <c r="H6" s="69">
        <v>3</v>
      </c>
      <c r="I6" s="69" t="str">
        <f t="shared" si="0"/>
        <v>13</v>
      </c>
      <c r="J6" s="336">
        <v>15000</v>
      </c>
      <c r="K6" s="430">
        <v>1.0764609999999999</v>
      </c>
      <c r="L6" s="69">
        <f t="shared" si="1"/>
        <v>1</v>
      </c>
      <c r="N6" s="440">
        <v>3</v>
      </c>
      <c r="O6" s="441">
        <v>150</v>
      </c>
      <c r="P6" s="440" t="s">
        <v>1091</v>
      </c>
      <c r="Q6" s="442">
        <f t="shared" si="2"/>
        <v>0.290159</v>
      </c>
      <c r="R6" s="443">
        <v>0.25392700000000001</v>
      </c>
      <c r="S6" s="443">
        <v>0.290159</v>
      </c>
      <c r="U6" s="351">
        <v>3</v>
      </c>
      <c r="V6" s="351" t="s">
        <v>361</v>
      </c>
      <c r="W6" s="351" t="s">
        <v>340</v>
      </c>
      <c r="X6" s="351" t="s">
        <v>15</v>
      </c>
      <c r="Y6" s="444">
        <v>43.54</v>
      </c>
      <c r="Z6" s="351">
        <v>88</v>
      </c>
      <c r="AA6" s="351">
        <v>0</v>
      </c>
      <c r="AB6"/>
      <c r="AC6" s="70">
        <v>3</v>
      </c>
      <c r="AD6" s="391">
        <v>250</v>
      </c>
      <c r="AE6" s="282" t="str">
        <f>+IF('CAPTURA DP'!B4&lt;=3," 250  UMAM ","3,000,000 DLLS")</f>
        <v xml:space="preserve"> 250  UMAM </v>
      </c>
      <c r="AF6" s="337">
        <f>+IF('CAPTURA DP'!B4&lt;=3,1.0154,1.065)</f>
        <v>1.0154000000000001</v>
      </c>
      <c r="AG6" s="338"/>
      <c r="AH6" s="354">
        <v>3</v>
      </c>
      <c r="AI6" s="355">
        <v>0.2</v>
      </c>
      <c r="AJ6" s="355">
        <f>+IF('CAPTURA DP'!$B$4&gt;3,"",AI6)</f>
        <v>0.2</v>
      </c>
      <c r="AK6" s="338"/>
      <c r="AL6" s="354">
        <v>3</v>
      </c>
      <c r="AM6" s="425">
        <v>15000</v>
      </c>
      <c r="AN6" s="431" t="s">
        <v>1120</v>
      </c>
      <c r="AP6" s="71" t="s">
        <v>77</v>
      </c>
      <c r="AQ6" s="72">
        <v>7.4999999999999997E-2</v>
      </c>
      <c r="AS6" s="75">
        <v>0</v>
      </c>
      <c r="AT6" s="75">
        <v>1000</v>
      </c>
      <c r="AU6" s="76">
        <v>440</v>
      </c>
      <c r="AW6" s="74">
        <v>3</v>
      </c>
      <c r="AX6" s="74" t="s">
        <v>58</v>
      </c>
      <c r="AY6" s="74" t="s">
        <v>1137</v>
      </c>
      <c r="AZ6" s="74">
        <v>1.2184999999999999</v>
      </c>
      <c r="BA6" s="74">
        <v>1.2008000000000001</v>
      </c>
      <c r="BC6" s="429" t="s">
        <v>413</v>
      </c>
      <c r="BD6" s="429">
        <f>IF(AND(b=1,'CAPTURA DP'!B9=1),0,(IF(AND(b=1,'CAPTURA DP'!B9&lt;8),1,0)))</f>
        <v>0</v>
      </c>
      <c r="BE6" s="429">
        <f>IF(AND(b=1,'CAPTURA DP'!B9=1),0,(IF(AND(b=1,'CAPTURA DP'!B9&lt;9),1,0)))</f>
        <v>0</v>
      </c>
      <c r="BF6" s="429">
        <f>IF(AND(b=1,'CAPTURA DP'!B9=1),0,(IF(AND(b=1,'CAPTURA DP'!B9&lt;11),1,0)))</f>
        <v>0</v>
      </c>
    </row>
    <row r="7" spans="1:59">
      <c r="A7" s="348">
        <v>4</v>
      </c>
      <c r="B7" s="348" t="s">
        <v>328</v>
      </c>
      <c r="C7" s="348" t="s">
        <v>405</v>
      </c>
      <c r="D7" s="24" t="str">
        <f t="shared" ref="D7:D9" si="3">+PROPER(C7)</f>
        <v/>
      </c>
      <c r="E7" s="69">
        <v>1</v>
      </c>
      <c r="F7" s="69">
        <v>0.1</v>
      </c>
      <c r="G7" s="69">
        <v>1</v>
      </c>
      <c r="H7" s="69">
        <v>4</v>
      </c>
      <c r="I7" s="69" t="str">
        <f t="shared" si="0"/>
        <v>14</v>
      </c>
      <c r="J7" s="336">
        <v>20000</v>
      </c>
      <c r="K7" s="430">
        <v>1.0645960000000001</v>
      </c>
      <c r="L7" s="69">
        <f t="shared" si="1"/>
        <v>1</v>
      </c>
      <c r="N7" s="440">
        <v>4</v>
      </c>
      <c r="O7" s="441">
        <v>174</v>
      </c>
      <c r="P7" s="440" t="s">
        <v>1092</v>
      </c>
      <c r="Q7" s="442">
        <f t="shared" si="2"/>
        <v>0.27418100000000001</v>
      </c>
      <c r="R7" s="443">
        <v>0.23884900000000001</v>
      </c>
      <c r="S7" s="443">
        <v>0.27418100000000001</v>
      </c>
      <c r="U7" s="351">
        <v>4</v>
      </c>
      <c r="V7" s="351" t="s">
        <v>293</v>
      </c>
      <c r="W7" s="351" t="s">
        <v>84</v>
      </c>
      <c r="X7" s="351" t="s">
        <v>13</v>
      </c>
      <c r="Y7" s="444">
        <v>43.4</v>
      </c>
      <c r="Z7" s="351">
        <v>88</v>
      </c>
      <c r="AA7" s="351">
        <v>1</v>
      </c>
      <c r="AB7"/>
      <c r="AC7" s="70">
        <v>4</v>
      </c>
      <c r="AD7" s="391">
        <v>300</v>
      </c>
      <c r="AE7" s="282" t="str">
        <f>+IF('CAPTURA DP'!B4&lt;=3," 300  UMAM ","4,000,000 DLLS")</f>
        <v xml:space="preserve"> 300  UMAM </v>
      </c>
      <c r="AF7" s="337">
        <f>+IF('CAPTURA DP'!B4&lt;=3,1.0307,1.082)</f>
        <v>1.0306999999999999</v>
      </c>
      <c r="AG7" s="338"/>
      <c r="AH7" s="354">
        <v>4</v>
      </c>
      <c r="AI7" s="355">
        <v>0.25</v>
      </c>
      <c r="AJ7" s="355">
        <f>+IF('CAPTURA DP'!$B$4&gt;3,"",AI7)</f>
        <v>0.25</v>
      </c>
      <c r="AK7" s="338"/>
      <c r="AL7" s="354">
        <v>4</v>
      </c>
      <c r="AM7" s="425">
        <v>20000</v>
      </c>
      <c r="AN7" s="431" t="s">
        <v>249</v>
      </c>
      <c r="AP7" s="71" t="s">
        <v>75</v>
      </c>
      <c r="AQ7" s="72">
        <v>0.09</v>
      </c>
      <c r="AS7" s="75">
        <f t="shared" ref="AS7:AS14" si="4">+AT6+1</f>
        <v>1001</v>
      </c>
      <c r="AT7" s="75">
        <v>5000</v>
      </c>
      <c r="AU7" s="76">
        <v>440</v>
      </c>
      <c r="AW7" s="74">
        <v>4</v>
      </c>
      <c r="AX7" s="74" t="str">
        <f>IF('CAPTURA DP'!F18="SI","C.U.A. MAS 200%",IF(AX2=0,"","C.U.A. AL 75%"))</f>
        <v/>
      </c>
      <c r="AY7" s="74" t="str">
        <f>IF('CAPTURA DP'!F18="SI","Costo Usual y Acostumbrado mas 200%",IF(AX2=0,"","Costo Usual y Acostumbrado  al 75%"))</f>
        <v/>
      </c>
      <c r="AZ7" s="74">
        <v>0.94540000000000002</v>
      </c>
      <c r="BA7" s="74">
        <v>1.4016999999999999</v>
      </c>
      <c r="BC7" s="429" t="s">
        <v>88</v>
      </c>
      <c r="BD7" s="429">
        <v>0</v>
      </c>
      <c r="BE7" s="429">
        <v>0</v>
      </c>
      <c r="BF7" s="429">
        <v>0</v>
      </c>
    </row>
    <row r="8" spans="1:59">
      <c r="A8" s="348">
        <v>5</v>
      </c>
      <c r="B8" s="348" t="s">
        <v>329</v>
      </c>
      <c r="C8" s="348" t="s">
        <v>405</v>
      </c>
      <c r="D8" s="24" t="str">
        <f t="shared" si="3"/>
        <v/>
      </c>
      <c r="E8" s="69">
        <v>1</v>
      </c>
      <c r="F8" s="69">
        <v>0.1</v>
      </c>
      <c r="G8" s="69">
        <v>1</v>
      </c>
      <c r="H8" s="69">
        <v>5</v>
      </c>
      <c r="I8" s="69" t="str">
        <f t="shared" si="0"/>
        <v>15</v>
      </c>
      <c r="J8" s="336">
        <v>25000</v>
      </c>
      <c r="K8" s="430">
        <v>1.0569580000000001</v>
      </c>
      <c r="L8" s="69">
        <f t="shared" si="1"/>
        <v>1</v>
      </c>
      <c r="N8" s="440">
        <v>5</v>
      </c>
      <c r="O8" s="441">
        <v>185</v>
      </c>
      <c r="P8" s="440" t="s">
        <v>437</v>
      </c>
      <c r="Q8" s="442">
        <f t="shared" si="2"/>
        <v>0.26783699999999999</v>
      </c>
      <c r="R8" s="443">
        <v>0.23288200000000001</v>
      </c>
      <c r="S8" s="443">
        <v>0.26783699999999999</v>
      </c>
      <c r="U8" s="351">
        <v>5</v>
      </c>
      <c r="V8" s="351" t="s">
        <v>294</v>
      </c>
      <c r="W8" s="351" t="s">
        <v>20</v>
      </c>
      <c r="X8" s="351" t="s">
        <v>18</v>
      </c>
      <c r="Y8" s="444">
        <v>61.29</v>
      </c>
      <c r="Z8" s="351">
        <v>88</v>
      </c>
      <c r="AA8" s="351">
        <v>1</v>
      </c>
      <c r="AB8"/>
      <c r="AC8" s="70">
        <v>5</v>
      </c>
      <c r="AD8" s="391">
        <v>350</v>
      </c>
      <c r="AE8" s="282" t="str">
        <f>+IF('CAPTURA DP'!B4&lt;=3," 350  UMAM ","")</f>
        <v xml:space="preserve"> 350  UMAM </v>
      </c>
      <c r="AF8" s="337">
        <v>1.0416000000000001</v>
      </c>
      <c r="AG8" s="338"/>
      <c r="AH8" s="354">
        <v>5</v>
      </c>
      <c r="AI8" s="355">
        <v>0.3</v>
      </c>
      <c r="AJ8" s="355">
        <f>+IF('CAPTURA DP'!$B$4&gt;3,"",AI8)</f>
        <v>0.3</v>
      </c>
      <c r="AK8" s="338"/>
      <c r="AL8" s="354">
        <v>5</v>
      </c>
      <c r="AM8" s="425">
        <v>25000</v>
      </c>
      <c r="AN8" s="431" t="s">
        <v>250</v>
      </c>
      <c r="AP8"/>
      <c r="AQ8"/>
      <c r="AS8" s="75">
        <f t="shared" si="4"/>
        <v>5001</v>
      </c>
      <c r="AT8" s="75">
        <v>10000</v>
      </c>
      <c r="AU8" s="76">
        <v>440</v>
      </c>
      <c r="AY8"/>
      <c r="BC8" s="429" t="s">
        <v>1114</v>
      </c>
      <c r="BD8" s="429">
        <v>0</v>
      </c>
      <c r="BE8" s="429">
        <v>0</v>
      </c>
      <c r="BF8" s="429">
        <v>0</v>
      </c>
    </row>
    <row r="9" spans="1:59">
      <c r="A9" s="348">
        <v>6</v>
      </c>
      <c r="B9" s="348" t="s">
        <v>330</v>
      </c>
      <c r="C9" s="348" t="s">
        <v>405</v>
      </c>
      <c r="D9" s="24" t="str">
        <f t="shared" si="3"/>
        <v/>
      </c>
      <c r="E9" s="69">
        <v>1</v>
      </c>
      <c r="F9" s="69">
        <v>0.1</v>
      </c>
      <c r="G9" s="69">
        <v>1</v>
      </c>
      <c r="H9" s="69">
        <v>6</v>
      </c>
      <c r="I9" s="69" t="str">
        <f t="shared" si="0"/>
        <v>16</v>
      </c>
      <c r="J9" s="336">
        <v>30000</v>
      </c>
      <c r="K9" s="430">
        <v>1.0519540000000001</v>
      </c>
      <c r="L9" s="69">
        <f t="shared" si="1"/>
        <v>1</v>
      </c>
      <c r="M9" s="64"/>
      <c r="N9" s="440">
        <v>6</v>
      </c>
      <c r="O9" s="441">
        <v>194</v>
      </c>
      <c r="P9" s="440" t="s">
        <v>1088</v>
      </c>
      <c r="Q9" s="442">
        <f t="shared" si="2"/>
        <v>0.263021</v>
      </c>
      <c r="R9" s="443">
        <v>0.22836000000000001</v>
      </c>
      <c r="S9" s="443">
        <v>0.263021</v>
      </c>
      <c r="U9" s="351">
        <v>6</v>
      </c>
      <c r="V9" s="351" t="s">
        <v>362</v>
      </c>
      <c r="W9" s="351" t="s">
        <v>339</v>
      </c>
      <c r="X9" s="351" t="s">
        <v>18</v>
      </c>
      <c r="Y9" s="444">
        <v>50.7</v>
      </c>
      <c r="Z9" s="351">
        <v>88</v>
      </c>
      <c r="AA9" s="351">
        <v>0</v>
      </c>
      <c r="AB9"/>
      <c r="AC9" s="70">
        <v>6</v>
      </c>
      <c r="AD9" s="391">
        <v>400</v>
      </c>
      <c r="AE9" s="282" t="str">
        <f>+IF('CAPTURA DP'!B4&lt;=3," 400  UMAM ","")</f>
        <v xml:space="preserve"> 400  UMAM </v>
      </c>
      <c r="AF9" s="337">
        <v>1.0525</v>
      </c>
      <c r="AG9" s="338"/>
      <c r="AH9" s="354">
        <v>6</v>
      </c>
      <c r="AI9" s="355">
        <v>0.35</v>
      </c>
      <c r="AJ9" s="355">
        <f>+IF('CAPTURA DP'!$B$4&gt;3,"",AI9)</f>
        <v>0.35</v>
      </c>
      <c r="AK9" s="338"/>
      <c r="AL9" s="354">
        <v>6</v>
      </c>
      <c r="AM9" s="425">
        <v>30000</v>
      </c>
      <c r="AN9" s="431" t="s">
        <v>251</v>
      </c>
      <c r="AP9" s="71" t="s">
        <v>79</v>
      </c>
      <c r="AQ9" s="73">
        <v>100</v>
      </c>
      <c r="AS9" s="75">
        <f t="shared" si="4"/>
        <v>10001</v>
      </c>
      <c r="AT9" s="75">
        <v>30000</v>
      </c>
      <c r="AU9" s="76">
        <v>440</v>
      </c>
      <c r="BC9" s="429" t="s">
        <v>1119</v>
      </c>
      <c r="BD9" s="432">
        <f ca="1">+'DATOS GENERALES'!G45</f>
        <v>1</v>
      </c>
      <c r="BE9" s="432">
        <f ca="1">+'DATOS GENERALES'!G45</f>
        <v>1</v>
      </c>
      <c r="BF9" s="432">
        <f ca="1">+'DATOS GENERALES'!G45</f>
        <v>1</v>
      </c>
    </row>
    <row r="10" spans="1:59">
      <c r="E10" s="69">
        <v>1</v>
      </c>
      <c r="F10" s="69">
        <v>0.1</v>
      </c>
      <c r="G10" s="69">
        <v>1</v>
      </c>
      <c r="H10" s="69">
        <v>7</v>
      </c>
      <c r="I10" s="69" t="str">
        <f t="shared" si="0"/>
        <v>17</v>
      </c>
      <c r="J10" s="336">
        <v>40000</v>
      </c>
      <c r="K10" s="430">
        <v>1.0231939999999999</v>
      </c>
      <c r="L10" s="69">
        <f t="shared" si="1"/>
        <v>1</v>
      </c>
      <c r="N10" s="440">
        <v>7</v>
      </c>
      <c r="O10" s="441">
        <v>200</v>
      </c>
      <c r="P10" s="440" t="s">
        <v>438</v>
      </c>
      <c r="Q10" s="442">
        <f t="shared" si="2"/>
        <v>0.25997799999999999</v>
      </c>
      <c r="R10" s="443">
        <v>0.22550600000000001</v>
      </c>
      <c r="S10" s="443">
        <v>0.25997799999999999</v>
      </c>
      <c r="U10" s="351">
        <v>7</v>
      </c>
      <c r="V10" s="351" t="s">
        <v>380</v>
      </c>
      <c r="W10" s="351" t="s">
        <v>381</v>
      </c>
      <c r="X10" s="351" t="s">
        <v>13</v>
      </c>
      <c r="Y10" s="444">
        <v>43.54</v>
      </c>
      <c r="Z10" s="351">
        <v>88</v>
      </c>
      <c r="AA10" s="351">
        <v>0</v>
      </c>
      <c r="AB10"/>
      <c r="AC10" s="70">
        <v>7</v>
      </c>
      <c r="AD10" s="391">
        <v>410</v>
      </c>
      <c r="AE10" s="282" t="str">
        <f>+IF('CAPTURA DP'!B4&lt;=3," 410  UMAM ","")</f>
        <v xml:space="preserve"> 410  UMAM </v>
      </c>
      <c r="AF10" s="337">
        <v>1.0542</v>
      </c>
      <c r="AG10" s="338"/>
      <c r="AH10" s="354">
        <v>7</v>
      </c>
      <c r="AI10" s="355">
        <v>0.4</v>
      </c>
      <c r="AJ10" s="355">
        <f>+IF('CAPTURA DP'!$B$4&gt;3,"",AI10)</f>
        <v>0.4</v>
      </c>
      <c r="AK10" s="338"/>
      <c r="AL10" s="354">
        <v>7</v>
      </c>
      <c r="AM10" s="425">
        <v>40000</v>
      </c>
      <c r="AN10" s="354" t="s">
        <v>253</v>
      </c>
      <c r="AP10" s="71" t="s">
        <v>1125</v>
      </c>
      <c r="AQ10" s="439">
        <f>+IF('CAPTURA DP'!C30="NO",0.16,0.08)</f>
        <v>0.16</v>
      </c>
      <c r="AS10" s="75">
        <f t="shared" si="4"/>
        <v>30001</v>
      </c>
      <c r="AT10" s="75">
        <v>50000</v>
      </c>
      <c r="AU10" s="76">
        <v>855</v>
      </c>
    </row>
    <row r="11" spans="1:59">
      <c r="A11" s="349">
        <v>1</v>
      </c>
      <c r="B11" s="349" t="s">
        <v>406</v>
      </c>
      <c r="C11"/>
      <c r="E11" s="69">
        <v>1</v>
      </c>
      <c r="F11" s="69">
        <v>0.1</v>
      </c>
      <c r="G11" s="69">
        <v>1</v>
      </c>
      <c r="H11" s="69">
        <v>8</v>
      </c>
      <c r="I11" s="69" t="str">
        <f t="shared" si="0"/>
        <v>18</v>
      </c>
      <c r="J11" s="336">
        <v>50000</v>
      </c>
      <c r="K11" s="430">
        <v>1.0219659999999999</v>
      </c>
      <c r="L11" s="69">
        <f t="shared" si="1"/>
        <v>1</v>
      </c>
      <c r="N11" s="440">
        <v>8</v>
      </c>
      <c r="O11" s="441">
        <v>250</v>
      </c>
      <c r="P11" s="440" t="s">
        <v>439</v>
      </c>
      <c r="Q11" s="442">
        <f t="shared" si="2"/>
        <v>0.23871999999999999</v>
      </c>
      <c r="R11" s="443">
        <v>0.20564499999999999</v>
      </c>
      <c r="S11" s="443">
        <v>0.23871999999999999</v>
      </c>
      <c r="U11" s="351">
        <v>8</v>
      </c>
      <c r="V11" s="351" t="s">
        <v>1766</v>
      </c>
      <c r="W11" s="351" t="s">
        <v>1767</v>
      </c>
      <c r="X11" s="351" t="s">
        <v>18</v>
      </c>
      <c r="Y11" s="444">
        <v>61.29</v>
      </c>
      <c r="Z11" s="351">
        <v>88</v>
      </c>
      <c r="AA11" s="351">
        <v>0</v>
      </c>
      <c r="AB11"/>
      <c r="AC11" s="70">
        <v>8</v>
      </c>
      <c r="AD11" s="391">
        <v>450</v>
      </c>
      <c r="AE11" s="282" t="str">
        <f>+IF('CAPTURA DP'!B4&lt;=3," 450  UMAM ","")</f>
        <v xml:space="preserve"> 450  UMAM </v>
      </c>
      <c r="AF11" s="337">
        <v>1.0609</v>
      </c>
      <c r="AG11" s="338"/>
      <c r="AH11" s="354">
        <v>8</v>
      </c>
      <c r="AI11" s="355">
        <v>0.45</v>
      </c>
      <c r="AJ11" s="355">
        <f>+IF('CAPTURA DP'!$B$4&gt;3,"",AI11)</f>
        <v>0.45</v>
      </c>
      <c r="AK11" s="338"/>
      <c r="AL11" s="354">
        <v>8</v>
      </c>
      <c r="AM11" s="425">
        <v>50000</v>
      </c>
      <c r="AN11" s="354" t="s">
        <v>255</v>
      </c>
      <c r="AS11" s="75">
        <f t="shared" si="4"/>
        <v>50001</v>
      </c>
      <c r="AT11" s="75">
        <v>100000</v>
      </c>
      <c r="AU11" s="76">
        <v>855</v>
      </c>
      <c r="BC11" s="427" t="s">
        <v>1115</v>
      </c>
      <c r="BD11" s="427">
        <f ca="1">+SUM(BD4:BD9)</f>
        <v>1</v>
      </c>
      <c r="BE11" s="427">
        <f ca="1">+SUM(BE4:BE9)</f>
        <v>1</v>
      </c>
      <c r="BF11" s="427">
        <f ca="1">+SUM(BF4:BF9)</f>
        <v>1</v>
      </c>
    </row>
    <row r="12" spans="1:59">
      <c r="A12" s="349">
        <v>2</v>
      </c>
      <c r="B12" s="350" t="s">
        <v>407</v>
      </c>
      <c r="C12"/>
      <c r="E12" s="69">
        <v>1</v>
      </c>
      <c r="F12" s="69">
        <v>0.1</v>
      </c>
      <c r="G12" s="69">
        <v>1</v>
      </c>
      <c r="H12" s="69">
        <v>9</v>
      </c>
      <c r="I12" s="69" t="str">
        <f t="shared" si="0"/>
        <v>19</v>
      </c>
      <c r="J12" s="336">
        <v>60000</v>
      </c>
      <c r="K12" s="430">
        <v>1.018799</v>
      </c>
      <c r="L12" s="69">
        <f t="shared" si="1"/>
        <v>1</v>
      </c>
      <c r="N12" s="440">
        <v>9</v>
      </c>
      <c r="O12" s="441">
        <v>259</v>
      </c>
      <c r="P12" s="440" t="s">
        <v>1095</v>
      </c>
      <c r="Q12" s="442">
        <f t="shared" si="2"/>
        <v>0.235512</v>
      </c>
      <c r="R12" s="443">
        <v>0.20266100000000001</v>
      </c>
      <c r="S12" s="443">
        <v>0.235512</v>
      </c>
      <c r="U12" s="351">
        <v>9</v>
      </c>
      <c r="V12" s="351" t="s">
        <v>363</v>
      </c>
      <c r="W12" s="351" t="s">
        <v>16</v>
      </c>
      <c r="X12" s="351" t="s">
        <v>15</v>
      </c>
      <c r="Y12" s="444">
        <v>61.29</v>
      </c>
      <c r="Z12" s="351">
        <v>88</v>
      </c>
      <c r="AA12" s="351">
        <v>1</v>
      </c>
      <c r="AB12"/>
      <c r="AC12" s="70">
        <v>9</v>
      </c>
      <c r="AD12" s="391">
        <v>500</v>
      </c>
      <c r="AE12" s="282" t="str">
        <f>+IF('CAPTURA DP'!B4&lt;=3," 500  UMAM ","")</f>
        <v xml:space="preserve"> 500  UMAM </v>
      </c>
      <c r="AF12" s="337">
        <v>1.0693999999999999</v>
      </c>
      <c r="AG12" s="338"/>
      <c r="AH12" s="354">
        <v>9</v>
      </c>
      <c r="AI12" s="355">
        <v>0.5</v>
      </c>
      <c r="AJ12" s="355">
        <f>+IF('CAPTURA DP'!$B$4&gt;3,"",AI12)</f>
        <v>0.5</v>
      </c>
      <c r="AK12" s="338"/>
      <c r="AL12" s="354">
        <v>9</v>
      </c>
      <c r="AM12" s="425">
        <v>60000</v>
      </c>
      <c r="AN12" s="354" t="s">
        <v>257</v>
      </c>
      <c r="AS12" s="75">
        <f t="shared" si="4"/>
        <v>100001</v>
      </c>
      <c r="AT12" s="75">
        <v>500000</v>
      </c>
      <c r="AU12" s="76">
        <v>1075</v>
      </c>
      <c r="BD12" s="24" t="s">
        <v>1116</v>
      </c>
      <c r="BE12" s="24" t="s">
        <v>1117</v>
      </c>
      <c r="BF12" s="24" t="s">
        <v>1118</v>
      </c>
    </row>
    <row r="13" spans="1:59">
      <c r="A13"/>
      <c r="B13"/>
      <c r="C13"/>
      <c r="E13" s="69">
        <v>1</v>
      </c>
      <c r="F13" s="69">
        <v>0.1</v>
      </c>
      <c r="G13" s="69">
        <v>1</v>
      </c>
      <c r="H13" s="69">
        <v>10</v>
      </c>
      <c r="I13" s="69" t="str">
        <f t="shared" si="0"/>
        <v>110</v>
      </c>
      <c r="J13" s="336">
        <v>65000</v>
      </c>
      <c r="K13" s="430">
        <v>1.017298</v>
      </c>
      <c r="L13" s="69">
        <f t="shared" si="1"/>
        <v>1</v>
      </c>
      <c r="N13" s="440">
        <v>10</v>
      </c>
      <c r="O13" s="441">
        <v>295</v>
      </c>
      <c r="P13" s="440" t="s">
        <v>1096</v>
      </c>
      <c r="Q13" s="442">
        <f t="shared" si="2"/>
        <v>0.22407199999999999</v>
      </c>
      <c r="R13" s="443">
        <v>0.19204299999999999</v>
      </c>
      <c r="S13" s="443">
        <v>0.22407199999999999</v>
      </c>
      <c r="U13" s="351">
        <v>10</v>
      </c>
      <c r="V13" s="351" t="s">
        <v>337</v>
      </c>
      <c r="W13" s="351" t="s">
        <v>120</v>
      </c>
      <c r="X13" s="351" t="s">
        <v>18</v>
      </c>
      <c r="Y13" s="444">
        <v>53.24</v>
      </c>
      <c r="Z13" s="351">
        <v>88</v>
      </c>
      <c r="AA13" s="351">
        <v>1</v>
      </c>
      <c r="AB13"/>
      <c r="AC13" s="70">
        <v>10</v>
      </c>
      <c r="AD13" s="391">
        <v>530</v>
      </c>
      <c r="AE13" s="282" t="str">
        <f>+IF('CAPTURA DP'!B4&lt;=3," 530  UMAM ","")</f>
        <v xml:space="preserve"> 530  UMAM </v>
      </c>
      <c r="AF13" s="337">
        <v>1.0734999999999999</v>
      </c>
      <c r="AG13" s="338"/>
      <c r="AH13" s="338"/>
      <c r="AI13" s="338"/>
      <c r="AJ13" s="338"/>
      <c r="AK13" s="338"/>
      <c r="AL13" s="354">
        <v>10</v>
      </c>
      <c r="AM13" s="425">
        <v>65000</v>
      </c>
      <c r="AN13" s="354" t="s">
        <v>258</v>
      </c>
      <c r="AS13" s="75">
        <f t="shared" si="4"/>
        <v>500001</v>
      </c>
      <c r="AT13" s="75">
        <v>1000000</v>
      </c>
      <c r="AU13" s="76">
        <v>1615</v>
      </c>
    </row>
    <row r="14" spans="1:59">
      <c r="A14" s="322"/>
      <c r="B14" s="322" t="s">
        <v>360</v>
      </c>
      <c r="C14" s="322"/>
      <c r="E14" s="69">
        <v>1</v>
      </c>
      <c r="F14" s="69">
        <v>0.1</v>
      </c>
      <c r="G14" s="69">
        <v>1</v>
      </c>
      <c r="H14" s="69">
        <v>11</v>
      </c>
      <c r="I14" s="69" t="str">
        <f t="shared" si="0"/>
        <v>111</v>
      </c>
      <c r="J14" s="336">
        <v>70000</v>
      </c>
      <c r="K14" s="430">
        <v>1.015882</v>
      </c>
      <c r="L14" s="69">
        <f t="shared" si="1"/>
        <v>1</v>
      </c>
      <c r="N14" s="440">
        <v>11</v>
      </c>
      <c r="O14" s="441">
        <v>300</v>
      </c>
      <c r="P14" s="440" t="s">
        <v>440</v>
      </c>
      <c r="Q14" s="442">
        <f t="shared" si="2"/>
        <v>0.222635</v>
      </c>
      <c r="R14" s="443">
        <v>0.19071199999999999</v>
      </c>
      <c r="S14" s="443">
        <v>0.222635</v>
      </c>
      <c r="U14" s="351">
        <v>11</v>
      </c>
      <c r="V14" s="351" t="s">
        <v>383</v>
      </c>
      <c r="W14" s="351" t="s">
        <v>382</v>
      </c>
      <c r="X14" s="351" t="s">
        <v>13</v>
      </c>
      <c r="Y14" s="444">
        <v>43.54</v>
      </c>
      <c r="Z14" s="351">
        <v>88</v>
      </c>
      <c r="AA14" s="351">
        <v>0</v>
      </c>
      <c r="AB14"/>
      <c r="AC14" s="70">
        <v>11</v>
      </c>
      <c r="AD14" s="391">
        <v>535</v>
      </c>
      <c r="AE14" s="282" t="str">
        <f>+IF('CAPTURA DP'!B4&lt;=3," 535  UMAM ","")</f>
        <v xml:space="preserve"> 535  UMAM </v>
      </c>
      <c r="AF14" s="337">
        <v>1.0742</v>
      </c>
      <c r="AG14" s="338"/>
      <c r="AH14" s="338"/>
      <c r="AI14" s="338"/>
      <c r="AJ14" s="338"/>
      <c r="AK14" s="338"/>
      <c r="AL14" s="354">
        <v>11</v>
      </c>
      <c r="AM14" s="425">
        <v>70000</v>
      </c>
      <c r="AN14" s="354" t="s">
        <v>259</v>
      </c>
      <c r="AS14" s="75">
        <f t="shared" si="4"/>
        <v>1000001</v>
      </c>
      <c r="AT14" s="75">
        <v>9999999999</v>
      </c>
      <c r="AU14" s="76">
        <v>2150</v>
      </c>
    </row>
    <row r="15" spans="1:59">
      <c r="A15" s="322">
        <v>1</v>
      </c>
      <c r="B15" s="322">
        <v>12</v>
      </c>
      <c r="C15" s="322">
        <v>13</v>
      </c>
      <c r="E15" s="69">
        <v>1</v>
      </c>
      <c r="F15" s="69">
        <v>0.1</v>
      </c>
      <c r="G15" s="69">
        <v>1</v>
      </c>
      <c r="H15" s="69">
        <v>12</v>
      </c>
      <c r="I15" s="69" t="str">
        <f t="shared" si="0"/>
        <v>112</v>
      </c>
      <c r="J15" s="336">
        <v>75000</v>
      </c>
      <c r="K15" s="430">
        <v>1.0145630000000001</v>
      </c>
      <c r="L15" s="69">
        <f t="shared" si="1"/>
        <v>1</v>
      </c>
      <c r="N15" s="440">
        <v>12</v>
      </c>
      <c r="O15" s="441">
        <v>350</v>
      </c>
      <c r="P15" s="440" t="s">
        <v>1090</v>
      </c>
      <c r="Q15" s="442">
        <f t="shared" si="2"/>
        <v>0.20987700000000001</v>
      </c>
      <c r="R15" s="443">
        <v>0.178929</v>
      </c>
      <c r="S15" s="443">
        <v>0.20987700000000001</v>
      </c>
      <c r="U15" s="351">
        <v>12</v>
      </c>
      <c r="V15" s="351" t="s">
        <v>315</v>
      </c>
      <c r="W15" s="351" t="s">
        <v>140</v>
      </c>
      <c r="X15" s="351" t="s">
        <v>13</v>
      </c>
      <c r="Y15" s="444">
        <v>43.4</v>
      </c>
      <c r="Z15" s="351">
        <v>88</v>
      </c>
      <c r="AA15" s="351">
        <v>0</v>
      </c>
      <c r="AB15"/>
      <c r="AC15" s="70">
        <v>12</v>
      </c>
      <c r="AD15" s="391">
        <v>550</v>
      </c>
      <c r="AE15" s="282" t="str">
        <f>+IF('CAPTURA DP'!B4&lt;=3," 550  UMAM ","")</f>
        <v xml:space="preserve"> 550  UMAM </v>
      </c>
      <c r="AF15" s="337">
        <v>1.0763</v>
      </c>
      <c r="AG15" s="338"/>
      <c r="AH15" s="338"/>
      <c r="AI15" s="338"/>
      <c r="AJ15" s="338"/>
      <c r="AK15" s="338"/>
      <c r="AL15" s="354">
        <v>12</v>
      </c>
      <c r="AM15" s="425">
        <v>75000</v>
      </c>
      <c r="AN15" s="354" t="s">
        <v>260</v>
      </c>
    </row>
    <row r="16" spans="1:59">
      <c r="A16" s="322">
        <v>2</v>
      </c>
      <c r="B16" s="322">
        <v>19</v>
      </c>
      <c r="C16" s="322">
        <v>20</v>
      </c>
      <c r="E16" s="69">
        <v>1</v>
      </c>
      <c r="F16" s="69">
        <v>0.1</v>
      </c>
      <c r="G16" s="69">
        <v>1</v>
      </c>
      <c r="H16" s="69">
        <v>13</v>
      </c>
      <c r="I16" s="69" t="str">
        <f t="shared" si="0"/>
        <v>113</v>
      </c>
      <c r="J16" s="336">
        <v>80000</v>
      </c>
      <c r="K16" s="430">
        <v>1.01335</v>
      </c>
      <c r="L16" s="69">
        <f t="shared" si="1"/>
        <v>1</v>
      </c>
      <c r="N16" s="440">
        <v>13</v>
      </c>
      <c r="O16" s="441">
        <v>400</v>
      </c>
      <c r="P16" s="440" t="s">
        <v>441</v>
      </c>
      <c r="Q16" s="442">
        <f t="shared" si="2"/>
        <v>0.19941400000000001</v>
      </c>
      <c r="R16" s="443">
        <v>0.16930899999999999</v>
      </c>
      <c r="S16" s="443">
        <v>0.19941400000000001</v>
      </c>
      <c r="U16" s="351">
        <v>13</v>
      </c>
      <c r="V16" s="351" t="s">
        <v>295</v>
      </c>
      <c r="W16" s="351" t="s">
        <v>122</v>
      </c>
      <c r="X16" s="351" t="s">
        <v>13</v>
      </c>
      <c r="Y16" s="444">
        <v>54.52</v>
      </c>
      <c r="Z16" s="351">
        <v>88</v>
      </c>
      <c r="AA16" s="351">
        <v>1</v>
      </c>
      <c r="AB16"/>
      <c r="AC16" s="70">
        <v>13</v>
      </c>
      <c r="AD16" s="391">
        <v>555</v>
      </c>
      <c r="AE16" s="282" t="str">
        <f>+IF('CAPTURA DP'!B4&lt;=3," 555  UMAM ","")</f>
        <v xml:space="preserve"> 555  UMAM </v>
      </c>
      <c r="AF16" s="337">
        <v>1.077</v>
      </c>
      <c r="AG16" s="338"/>
      <c r="AH16" s="338"/>
      <c r="AI16" s="338"/>
      <c r="AJ16" s="338"/>
      <c r="AK16" s="338"/>
      <c r="AL16" s="354">
        <v>13</v>
      </c>
      <c r="AM16" s="425">
        <v>80000</v>
      </c>
      <c r="AN16" s="354" t="s">
        <v>261</v>
      </c>
    </row>
    <row r="17" spans="1:40">
      <c r="A17" s="322">
        <v>3</v>
      </c>
      <c r="B17" s="322">
        <v>26</v>
      </c>
      <c r="C17" s="322">
        <v>27</v>
      </c>
      <c r="E17" s="69">
        <v>1</v>
      </c>
      <c r="F17" s="69">
        <v>0.1</v>
      </c>
      <c r="G17" s="69">
        <v>1</v>
      </c>
      <c r="H17" s="69">
        <v>14</v>
      </c>
      <c r="I17" s="69" t="str">
        <f t="shared" si="0"/>
        <v>114</v>
      </c>
      <c r="J17" s="336">
        <v>85000</v>
      </c>
      <c r="K17" s="430">
        <v>1.0122340000000001</v>
      </c>
      <c r="L17" s="69">
        <f t="shared" si="1"/>
        <v>1</v>
      </c>
      <c r="N17" s="440">
        <v>14</v>
      </c>
      <c r="O17" s="441">
        <v>500</v>
      </c>
      <c r="P17" s="440" t="s">
        <v>442</v>
      </c>
      <c r="Q17" s="442">
        <f t="shared" si="2"/>
        <v>0.18307399999999999</v>
      </c>
      <c r="R17" s="443">
        <v>0.154366</v>
      </c>
      <c r="S17" s="443">
        <v>0.18307399999999999</v>
      </c>
      <c r="U17" s="351">
        <v>14</v>
      </c>
      <c r="V17" s="351" t="s">
        <v>364</v>
      </c>
      <c r="W17" s="351" t="s">
        <v>19</v>
      </c>
      <c r="X17" s="351" t="s">
        <v>13</v>
      </c>
      <c r="Y17" s="444">
        <v>53.24</v>
      </c>
      <c r="Z17" s="351">
        <v>88</v>
      </c>
      <c r="AA17" s="351">
        <v>1</v>
      </c>
      <c r="AB17"/>
      <c r="AC17" s="70">
        <v>14</v>
      </c>
      <c r="AD17" s="391">
        <v>560</v>
      </c>
      <c r="AE17" s="282" t="str">
        <f>+IF('CAPTURA DP'!B4&lt;=3," 560  UMAM ","")</f>
        <v xml:space="preserve"> 560  UMAM </v>
      </c>
      <c r="AF17" s="337">
        <v>1.0777000000000001</v>
      </c>
      <c r="AG17" s="338"/>
      <c r="AH17" s="338"/>
      <c r="AI17" s="338"/>
      <c r="AJ17" s="338"/>
      <c r="AK17" s="338"/>
      <c r="AL17" s="354">
        <v>14</v>
      </c>
      <c r="AM17" s="425">
        <v>85000</v>
      </c>
      <c r="AN17" s="354" t="s">
        <v>262</v>
      </c>
    </row>
    <row r="18" spans="1:40">
      <c r="A18" s="323">
        <v>4</v>
      </c>
      <c r="B18" s="323">
        <v>33</v>
      </c>
      <c r="C18" s="323">
        <v>34</v>
      </c>
      <c r="E18" s="69">
        <v>1</v>
      </c>
      <c r="F18" s="69">
        <v>0.1</v>
      </c>
      <c r="G18" s="69">
        <v>1</v>
      </c>
      <c r="H18" s="69">
        <v>15</v>
      </c>
      <c r="I18" s="69" t="str">
        <f t="shared" si="0"/>
        <v>115</v>
      </c>
      <c r="J18" s="336">
        <v>90000</v>
      </c>
      <c r="K18" s="430">
        <v>1.011209</v>
      </c>
      <c r="L18" s="69">
        <f t="shared" si="1"/>
        <v>1</v>
      </c>
      <c r="N18" s="440">
        <v>15</v>
      </c>
      <c r="O18" s="441">
        <v>600</v>
      </c>
      <c r="P18" s="440" t="s">
        <v>443</v>
      </c>
      <c r="Q18" s="442">
        <f t="shared" si="2"/>
        <v>0.17071700000000001</v>
      </c>
      <c r="R18" s="443">
        <v>0.14313699999999999</v>
      </c>
      <c r="S18" s="443">
        <v>0.17071700000000001</v>
      </c>
      <c r="U18" s="351">
        <v>15</v>
      </c>
      <c r="V18" s="351" t="s">
        <v>370</v>
      </c>
      <c r="W18" s="351" t="s">
        <v>372</v>
      </c>
      <c r="X18" s="351" t="s">
        <v>13</v>
      </c>
      <c r="Y18" s="444">
        <v>53.24</v>
      </c>
      <c r="Z18" s="351">
        <v>88</v>
      </c>
      <c r="AA18" s="351">
        <v>1</v>
      </c>
      <c r="AB18"/>
      <c r="AC18" s="70">
        <v>15</v>
      </c>
      <c r="AD18" s="391">
        <v>568</v>
      </c>
      <c r="AE18" s="282" t="str">
        <f>+IF('CAPTURA DP'!B4&lt;=3," 568  UMAM ","")</f>
        <v xml:space="preserve"> 568  UMAM </v>
      </c>
      <c r="AF18" s="337">
        <v>1.0788</v>
      </c>
      <c r="AG18" s="338"/>
      <c r="AH18" s="338"/>
      <c r="AI18" s="338"/>
      <c r="AJ18" s="338"/>
      <c r="AK18" s="338"/>
      <c r="AL18" s="354">
        <v>15</v>
      </c>
      <c r="AM18" s="425">
        <v>90000</v>
      </c>
      <c r="AN18" s="354" t="s">
        <v>263</v>
      </c>
    </row>
    <row r="19" spans="1:40">
      <c r="A19" s="323">
        <v>5</v>
      </c>
      <c r="B19" s="323">
        <v>40</v>
      </c>
      <c r="C19" s="323">
        <v>41</v>
      </c>
      <c r="E19" s="69">
        <v>1</v>
      </c>
      <c r="F19" s="69">
        <v>0.1</v>
      </c>
      <c r="G19" s="69">
        <v>1</v>
      </c>
      <c r="H19" s="69">
        <v>16</v>
      </c>
      <c r="I19" s="69" t="str">
        <f t="shared" si="0"/>
        <v>116</v>
      </c>
      <c r="J19" s="336">
        <v>95000</v>
      </c>
      <c r="K19" s="430">
        <v>1.0102660000000001</v>
      </c>
      <c r="L19" s="69">
        <f t="shared" si="1"/>
        <v>1</v>
      </c>
      <c r="N19" s="440">
        <v>16</v>
      </c>
      <c r="O19" s="441">
        <v>650</v>
      </c>
      <c r="P19" s="440" t="s">
        <v>444</v>
      </c>
      <c r="Q19" s="442">
        <f t="shared" si="2"/>
        <v>0.16555700000000001</v>
      </c>
      <c r="R19" s="443">
        <v>0.13846700000000001</v>
      </c>
      <c r="S19" s="443">
        <v>0.16555700000000001</v>
      </c>
      <c r="U19" s="351">
        <v>16</v>
      </c>
      <c r="V19" s="351" t="s">
        <v>296</v>
      </c>
      <c r="W19" s="351" t="s">
        <v>22</v>
      </c>
      <c r="X19" s="351" t="s">
        <v>13</v>
      </c>
      <c r="Y19" s="444">
        <v>68.77</v>
      </c>
      <c r="Z19" s="351">
        <v>88</v>
      </c>
      <c r="AA19" s="351">
        <v>0</v>
      </c>
      <c r="AB19"/>
      <c r="AC19" s="70">
        <v>16</v>
      </c>
      <c r="AD19" s="391">
        <v>600</v>
      </c>
      <c r="AE19" s="282" t="str">
        <f>+IF('CAPTURA DP'!B4&lt;=3," 600  UMAM ","")</f>
        <v xml:space="preserve"> 600  UMAM </v>
      </c>
      <c r="AF19" s="337">
        <v>1.0831999999999999</v>
      </c>
      <c r="AG19" s="338"/>
      <c r="AH19" s="338"/>
      <c r="AI19" s="338"/>
      <c r="AJ19" s="338"/>
      <c r="AK19" s="338"/>
      <c r="AL19" s="354">
        <v>16</v>
      </c>
      <c r="AM19" s="425">
        <v>95000</v>
      </c>
      <c r="AN19" s="354" t="s">
        <v>264</v>
      </c>
    </row>
    <row r="20" spans="1:40">
      <c r="A20" s="323">
        <v>6</v>
      </c>
      <c r="B20" s="323">
        <v>47</v>
      </c>
      <c r="C20" s="323">
        <v>48</v>
      </c>
      <c r="E20" s="69">
        <v>1</v>
      </c>
      <c r="F20" s="69">
        <v>0.1</v>
      </c>
      <c r="G20" s="69">
        <v>1</v>
      </c>
      <c r="H20" s="69">
        <v>17</v>
      </c>
      <c r="I20" s="69" t="str">
        <f t="shared" si="0"/>
        <v>117</v>
      </c>
      <c r="J20" s="336">
        <v>100000</v>
      </c>
      <c r="K20" s="430">
        <v>1.0094000000000001</v>
      </c>
      <c r="L20" s="69">
        <f t="shared" si="1"/>
        <v>1</v>
      </c>
      <c r="N20" s="440">
        <v>17</v>
      </c>
      <c r="O20" s="441">
        <v>700</v>
      </c>
      <c r="P20" s="440" t="s">
        <v>445</v>
      </c>
      <c r="Q20" s="442">
        <f t="shared" si="2"/>
        <v>0.16091900000000001</v>
      </c>
      <c r="R20" s="443">
        <v>0.13428000000000001</v>
      </c>
      <c r="S20" s="443">
        <v>0.16091900000000001</v>
      </c>
      <c r="U20" s="351">
        <v>17</v>
      </c>
      <c r="V20" s="351" t="s">
        <v>297</v>
      </c>
      <c r="W20" s="351" t="s">
        <v>24</v>
      </c>
      <c r="X20" s="351" t="s">
        <v>18</v>
      </c>
      <c r="Y20" s="444">
        <v>64.36</v>
      </c>
      <c r="Z20" s="351">
        <v>88</v>
      </c>
      <c r="AA20" s="351">
        <v>1</v>
      </c>
      <c r="AB20"/>
      <c r="AC20" s="70">
        <v>17</v>
      </c>
      <c r="AD20" s="391">
        <v>650</v>
      </c>
      <c r="AE20" s="282" t="str">
        <f>+IF('CAPTURA DP'!B4&lt;=3," 650  UMAM ","")</f>
        <v xml:space="preserve"> 650  UMAM </v>
      </c>
      <c r="AF20" s="337">
        <v>1.089</v>
      </c>
      <c r="AG20" s="338"/>
      <c r="AH20" s="338"/>
      <c r="AI20" s="338"/>
      <c r="AJ20" s="338"/>
      <c r="AK20" s="338"/>
      <c r="AL20" s="354">
        <v>17</v>
      </c>
      <c r="AM20" s="425">
        <v>100000</v>
      </c>
      <c r="AN20" s="354" t="s">
        <v>265</v>
      </c>
    </row>
    <row r="21" spans="1:40">
      <c r="A21"/>
      <c r="B21"/>
      <c r="C21"/>
      <c r="E21" s="69">
        <v>2</v>
      </c>
      <c r="F21" s="69">
        <v>0.15</v>
      </c>
      <c r="G21" s="69">
        <v>0.94440000000000002</v>
      </c>
      <c r="H21" s="69">
        <v>1</v>
      </c>
      <c r="I21" s="69" t="str">
        <f t="shared" si="0"/>
        <v>21</v>
      </c>
      <c r="J21" s="69">
        <v>0</v>
      </c>
      <c r="K21" s="430">
        <v>1</v>
      </c>
      <c r="L21" s="69">
        <f t="shared" si="1"/>
        <v>1</v>
      </c>
      <c r="N21" s="440">
        <v>18</v>
      </c>
      <c r="O21" s="441">
        <v>750</v>
      </c>
      <c r="P21" s="440" t="s">
        <v>446</v>
      </c>
      <c r="Q21" s="442">
        <f t="shared" si="2"/>
        <v>0.156718</v>
      </c>
      <c r="R21" s="443">
        <v>0.130495</v>
      </c>
      <c r="S21" s="443">
        <v>0.156718</v>
      </c>
      <c r="U21" s="351">
        <v>18</v>
      </c>
      <c r="V21" s="351" t="s">
        <v>298</v>
      </c>
      <c r="W21" s="351" t="s">
        <v>341</v>
      </c>
      <c r="X21" s="351" t="s">
        <v>13</v>
      </c>
      <c r="Y21" s="444">
        <v>43.4</v>
      </c>
      <c r="Z21" s="351">
        <v>88</v>
      </c>
      <c r="AA21" s="351">
        <v>1</v>
      </c>
      <c r="AB21"/>
      <c r="AC21" s="70">
        <v>18</v>
      </c>
      <c r="AD21" s="391">
        <v>675</v>
      </c>
      <c r="AE21" s="282" t="str">
        <f>+IF('CAPTURA DP'!B4&lt;=3," 675  UMAM ","")</f>
        <v xml:space="preserve"> 675  UMAM </v>
      </c>
      <c r="AF21" s="337">
        <v>1.0911</v>
      </c>
      <c r="AG21" s="338"/>
      <c r="AH21" s="338"/>
      <c r="AI21" s="338"/>
      <c r="AJ21" s="338"/>
      <c r="AK21" s="338"/>
    </row>
    <row r="22" spans="1:40">
      <c r="A22" s="351" t="s">
        <v>102</v>
      </c>
      <c r="B22" s="351"/>
      <c r="E22" s="69">
        <v>2</v>
      </c>
      <c r="F22" s="69">
        <v>0.15</v>
      </c>
      <c r="G22" s="69">
        <v>0.94440000000000002</v>
      </c>
      <c r="H22" s="69">
        <v>2</v>
      </c>
      <c r="I22" s="69" t="str">
        <f t="shared" si="0"/>
        <v>22</v>
      </c>
      <c r="J22" s="336">
        <v>10000</v>
      </c>
      <c r="K22" s="430">
        <v>1.1640379999999999</v>
      </c>
      <c r="L22" s="69">
        <f t="shared" si="1"/>
        <v>1</v>
      </c>
      <c r="N22" s="440">
        <v>19</v>
      </c>
      <c r="O22" s="441">
        <v>800</v>
      </c>
      <c r="P22" s="440" t="s">
        <v>447</v>
      </c>
      <c r="Q22" s="442">
        <f t="shared" si="2"/>
        <v>0.15288599999999999</v>
      </c>
      <c r="R22" s="443">
        <v>0.12705</v>
      </c>
      <c r="S22" s="443">
        <v>0.15288599999999999</v>
      </c>
      <c r="U22" s="351">
        <v>19</v>
      </c>
      <c r="V22" s="351" t="s">
        <v>310</v>
      </c>
      <c r="W22" s="351" t="s">
        <v>342</v>
      </c>
      <c r="X22" s="351" t="s">
        <v>15</v>
      </c>
      <c r="Y22" s="444">
        <v>53.24</v>
      </c>
      <c r="Z22" s="351">
        <v>88</v>
      </c>
      <c r="AA22" s="351">
        <v>0</v>
      </c>
      <c r="AB22"/>
      <c r="AC22" s="70">
        <v>19</v>
      </c>
      <c r="AD22" s="391">
        <v>700</v>
      </c>
      <c r="AE22" s="282" t="str">
        <f>+IF('CAPTURA DP'!B4&lt;=3," 700  UMAM ","")</f>
        <v xml:space="preserve"> 700  UMAM </v>
      </c>
      <c r="AF22" s="337">
        <v>1.0949</v>
      </c>
      <c r="AG22" s="338"/>
      <c r="AH22" s="338"/>
      <c r="AI22" s="338"/>
      <c r="AJ22" s="338"/>
      <c r="AK22" s="338"/>
    </row>
    <row r="23" spans="1:40">
      <c r="A23" s="352">
        <v>45108</v>
      </c>
      <c r="B23" s="352">
        <v>45473</v>
      </c>
      <c r="E23" s="69">
        <v>2</v>
      </c>
      <c r="F23" s="69">
        <v>0.15</v>
      </c>
      <c r="G23" s="69">
        <v>0.94440000000000002</v>
      </c>
      <c r="H23" s="69">
        <v>3</v>
      </c>
      <c r="I23" s="69" t="str">
        <f t="shared" si="0"/>
        <v>23</v>
      </c>
      <c r="J23" s="336">
        <v>15000</v>
      </c>
      <c r="K23" s="430">
        <v>1.1257109999999999</v>
      </c>
      <c r="L23" s="69">
        <f t="shared" si="1"/>
        <v>1</v>
      </c>
      <c r="N23" s="440">
        <v>20</v>
      </c>
      <c r="O23" s="441">
        <v>850</v>
      </c>
      <c r="P23" s="440" t="s">
        <v>448</v>
      </c>
      <c r="Q23" s="442">
        <f t="shared" si="2"/>
        <v>0.149372</v>
      </c>
      <c r="R23" s="443">
        <v>0.12389799999999999</v>
      </c>
      <c r="S23" s="443">
        <v>0.149372</v>
      </c>
      <c r="U23" s="351">
        <v>20</v>
      </c>
      <c r="V23" s="351" t="s">
        <v>365</v>
      </c>
      <c r="W23" s="351" t="s">
        <v>26</v>
      </c>
      <c r="X23" s="351" t="s">
        <v>13</v>
      </c>
      <c r="Y23" s="444">
        <v>43.4</v>
      </c>
      <c r="Z23" s="351">
        <v>88</v>
      </c>
      <c r="AA23" s="351">
        <v>1</v>
      </c>
      <c r="AB23"/>
      <c r="AC23" s="70">
        <v>20</v>
      </c>
      <c r="AD23" s="391">
        <v>750</v>
      </c>
      <c r="AE23" s="282" t="str">
        <f>+IF('CAPTURA DP'!B4&lt;=3," 750  UMAM ","")</f>
        <v xml:space="preserve"> 750  UMAM </v>
      </c>
      <c r="AF23" s="337">
        <v>1.0999000000000001</v>
      </c>
      <c r="AG23" s="338"/>
      <c r="AH23" s="338"/>
      <c r="AI23" s="338"/>
      <c r="AJ23" s="338"/>
      <c r="AK23" s="338"/>
    </row>
    <row r="24" spans="1:40">
      <c r="A24" s="351" t="s">
        <v>103</v>
      </c>
      <c r="B24" s="351"/>
      <c r="E24" s="69">
        <v>2</v>
      </c>
      <c r="F24" s="69">
        <v>0.15</v>
      </c>
      <c r="G24" s="69">
        <v>0.94440000000000002</v>
      </c>
      <c r="H24" s="69">
        <v>4</v>
      </c>
      <c r="I24" s="69" t="str">
        <f t="shared" si="0"/>
        <v>24</v>
      </c>
      <c r="J24" s="336">
        <v>20000</v>
      </c>
      <c r="K24" s="430">
        <v>1.104152</v>
      </c>
      <c r="L24" s="69">
        <f t="shared" si="1"/>
        <v>1</v>
      </c>
      <c r="N24" s="440">
        <v>21</v>
      </c>
      <c r="O24" s="441">
        <v>900</v>
      </c>
      <c r="P24" s="440" t="s">
        <v>449</v>
      </c>
      <c r="Q24" s="442">
        <f t="shared" si="2"/>
        <v>0.14613300000000001</v>
      </c>
      <c r="R24" s="443">
        <v>0.12099699999999999</v>
      </c>
      <c r="S24" s="443">
        <v>0.14613300000000001</v>
      </c>
      <c r="U24" s="351">
        <v>21</v>
      </c>
      <c r="V24" s="351" t="s">
        <v>1129</v>
      </c>
      <c r="W24" s="351" t="s">
        <v>1130</v>
      </c>
      <c r="X24" s="351" t="s">
        <v>15</v>
      </c>
      <c r="Y24" s="444">
        <v>53.24</v>
      </c>
      <c r="Z24" s="351">
        <v>88</v>
      </c>
      <c r="AA24" s="351">
        <v>0</v>
      </c>
      <c r="AB24"/>
      <c r="AC24" s="70">
        <v>21</v>
      </c>
      <c r="AD24" s="391">
        <v>800</v>
      </c>
      <c r="AE24" s="282" t="str">
        <f>+IF('CAPTURA DP'!B4&lt;=3," 800  UMAM ","")</f>
        <v xml:space="preserve"> 800  UMAM </v>
      </c>
      <c r="AF24" s="337">
        <v>1.105</v>
      </c>
      <c r="AG24" s="338"/>
      <c r="AH24" s="338"/>
      <c r="AI24" s="338"/>
      <c r="AJ24" s="338"/>
      <c r="AK24" s="338"/>
    </row>
    <row r="25" spans="1:40">
      <c r="A25" s="352">
        <f ca="1">+'DATOS GENERALES'!C5</f>
        <v>45104</v>
      </c>
      <c r="B25" s="352">
        <f ca="1">+DATE(YEAR(A25)+1,MONTH(A25),DAY(A25))</f>
        <v>45470</v>
      </c>
      <c r="E25" s="69">
        <v>2</v>
      </c>
      <c r="F25" s="69">
        <v>0.15</v>
      </c>
      <c r="G25" s="69">
        <v>0.94440000000000002</v>
      </c>
      <c r="H25" s="69">
        <v>5</v>
      </c>
      <c r="I25" s="69" t="str">
        <f t="shared" si="0"/>
        <v>25</v>
      </c>
      <c r="J25" s="336">
        <v>25000</v>
      </c>
      <c r="K25" s="430">
        <v>1.0884849999999999</v>
      </c>
      <c r="L25" s="69">
        <f t="shared" si="1"/>
        <v>1</v>
      </c>
      <c r="N25" s="440">
        <v>22</v>
      </c>
      <c r="O25" s="441">
        <v>950</v>
      </c>
      <c r="P25" s="440" t="s">
        <v>450</v>
      </c>
      <c r="Q25" s="442">
        <f t="shared" si="2"/>
        <v>0.14313400000000001</v>
      </c>
      <c r="R25" s="443">
        <v>0.118315</v>
      </c>
      <c r="S25" s="443">
        <v>0.14313400000000001</v>
      </c>
      <c r="U25" s="351">
        <v>22</v>
      </c>
      <c r="V25" s="351" t="s">
        <v>1131</v>
      </c>
      <c r="W25" s="351" t="s">
        <v>1132</v>
      </c>
      <c r="X25" s="351" t="s">
        <v>13</v>
      </c>
      <c r="Y25" s="444">
        <v>53.24</v>
      </c>
      <c r="Z25" s="351">
        <v>88</v>
      </c>
      <c r="AA25" s="351">
        <v>0</v>
      </c>
      <c r="AB25"/>
      <c r="AC25" s="70">
        <v>22</v>
      </c>
      <c r="AD25" s="391">
        <v>900</v>
      </c>
      <c r="AE25" s="282" t="str">
        <f>+IF('CAPTURA DP'!B4&lt;=3," 900  UMAM ","")</f>
        <v xml:space="preserve"> 900  UMAM </v>
      </c>
      <c r="AF25" s="337">
        <v>1.1138999999999999</v>
      </c>
      <c r="AG25" s="338"/>
      <c r="AH25" s="338"/>
      <c r="AI25" s="338"/>
      <c r="AJ25" s="338"/>
      <c r="AK25" s="338"/>
    </row>
    <row r="26" spans="1:40">
      <c r="A26" s="351" t="s">
        <v>434</v>
      </c>
      <c r="B26" s="351"/>
      <c r="E26" s="69">
        <v>2</v>
      </c>
      <c r="F26" s="69">
        <v>0.15</v>
      </c>
      <c r="G26" s="69">
        <v>0.94440000000000002</v>
      </c>
      <c r="H26" s="69">
        <v>6</v>
      </c>
      <c r="I26" s="69" t="str">
        <f t="shared" si="0"/>
        <v>26</v>
      </c>
      <c r="J26" s="336">
        <v>30000</v>
      </c>
      <c r="K26" s="430">
        <v>1.0771489999999999</v>
      </c>
      <c r="L26" s="69">
        <f t="shared" si="1"/>
        <v>1</v>
      </c>
      <c r="N26" s="440">
        <v>23</v>
      </c>
      <c r="O26" s="441">
        <v>1000</v>
      </c>
      <c r="P26" s="440" t="s">
        <v>451</v>
      </c>
      <c r="Q26" s="442">
        <f t="shared" si="2"/>
        <v>0.140345</v>
      </c>
      <c r="R26" s="443">
        <v>0.115825</v>
      </c>
      <c r="S26" s="443">
        <v>0.140345</v>
      </c>
      <c r="U26" s="351">
        <v>23</v>
      </c>
      <c r="V26" s="351" t="s">
        <v>366</v>
      </c>
      <c r="W26" s="351" t="s">
        <v>27</v>
      </c>
      <c r="X26" s="351" t="s">
        <v>13</v>
      </c>
      <c r="Y26" s="444">
        <v>43.54</v>
      </c>
      <c r="Z26" s="351">
        <v>88</v>
      </c>
      <c r="AA26" s="351">
        <v>1</v>
      </c>
      <c r="AB26"/>
      <c r="AC26" s="70">
        <v>23</v>
      </c>
      <c r="AD26" s="391">
        <v>950</v>
      </c>
      <c r="AE26" s="282" t="str">
        <f>+IF('CAPTURA DP'!B4&lt;=3," 950  UMAM ","")</f>
        <v xml:space="preserve"> 950  UMAM </v>
      </c>
      <c r="AF26" s="337">
        <v>1.1178999999999999</v>
      </c>
      <c r="AG26" s="338"/>
      <c r="AH26" s="338"/>
      <c r="AI26" s="338"/>
      <c r="AJ26" s="338"/>
      <c r="AK26" s="338"/>
    </row>
    <row r="27" spans="1:40">
      <c r="A27" s="352">
        <f ca="1">+TODAY()</f>
        <v>45104</v>
      </c>
      <c r="B27" s="352">
        <f ca="1">+A27+15</f>
        <v>45119</v>
      </c>
      <c r="E27" s="69">
        <v>2</v>
      </c>
      <c r="F27" s="69">
        <v>0.15</v>
      </c>
      <c r="G27" s="69">
        <v>0.94440000000000002</v>
      </c>
      <c r="H27" s="69">
        <v>7</v>
      </c>
      <c r="I27" s="69" t="str">
        <f t="shared" si="0"/>
        <v>27</v>
      </c>
      <c r="J27" s="336">
        <v>40000</v>
      </c>
      <c r="K27" s="430">
        <v>1.031072</v>
      </c>
      <c r="L27" s="69">
        <f t="shared" si="1"/>
        <v>1</v>
      </c>
      <c r="N27" s="440">
        <v>24</v>
      </c>
      <c r="O27" s="441">
        <v>1050</v>
      </c>
      <c r="P27" s="440" t="s">
        <v>452</v>
      </c>
      <c r="Q27" s="442">
        <f t="shared" si="2"/>
        <v>0.137743</v>
      </c>
      <c r="R27" s="443">
        <v>0.113506</v>
      </c>
      <c r="S27" s="443">
        <v>0.137743</v>
      </c>
      <c r="U27" s="351">
        <v>24</v>
      </c>
      <c r="V27" s="351" t="s">
        <v>313</v>
      </c>
      <c r="W27" s="351" t="s">
        <v>137</v>
      </c>
      <c r="X27" s="351" t="s">
        <v>13</v>
      </c>
      <c r="Y27" s="444">
        <v>54.52</v>
      </c>
      <c r="Z27" s="351">
        <v>88</v>
      </c>
      <c r="AA27" s="351">
        <v>0</v>
      </c>
      <c r="AB27"/>
      <c r="AC27" s="70">
        <v>24</v>
      </c>
      <c r="AD27" s="391">
        <v>990</v>
      </c>
      <c r="AE27" s="282" t="str">
        <f>+IF('CAPTURA DP'!B4&lt;=3," 990  UMAM ","")</f>
        <v xml:space="preserve"> 990  UMAM </v>
      </c>
      <c r="AF27" s="337">
        <v>1.1211</v>
      </c>
      <c r="AG27" s="338"/>
      <c r="AH27" s="338"/>
      <c r="AI27" s="338"/>
      <c r="AJ27" s="338"/>
      <c r="AK27" s="338"/>
    </row>
    <row r="28" spans="1:40">
      <c r="A28" s="400">
        <v>1</v>
      </c>
      <c r="B28" s="401">
        <f ca="1">+'CAPTURA DP'!BD104</f>
        <v>0</v>
      </c>
      <c r="E28" s="69">
        <v>2</v>
      </c>
      <c r="F28" s="69">
        <v>0.15</v>
      </c>
      <c r="G28" s="69">
        <v>0.94440000000000002</v>
      </c>
      <c r="H28" s="69">
        <v>8</v>
      </c>
      <c r="I28" s="69" t="str">
        <f t="shared" si="0"/>
        <v>28</v>
      </c>
      <c r="J28" s="336">
        <v>50000</v>
      </c>
      <c r="K28" s="430">
        <v>1.0266660000000001</v>
      </c>
      <c r="L28" s="69">
        <f t="shared" si="1"/>
        <v>1</v>
      </c>
      <c r="N28" s="440">
        <v>25</v>
      </c>
      <c r="O28" s="441">
        <v>1100</v>
      </c>
      <c r="P28" s="440" t="s">
        <v>453</v>
      </c>
      <c r="Q28" s="442">
        <f t="shared" si="2"/>
        <v>0.13530600000000001</v>
      </c>
      <c r="R28" s="443">
        <v>0.11133800000000001</v>
      </c>
      <c r="S28" s="443">
        <v>0.13530600000000001</v>
      </c>
      <c r="U28" s="351">
        <v>25</v>
      </c>
      <c r="V28" s="351" t="s">
        <v>311</v>
      </c>
      <c r="W28" s="351" t="s">
        <v>121</v>
      </c>
      <c r="X28" s="351" t="s">
        <v>15</v>
      </c>
      <c r="Y28" s="444">
        <v>53.24</v>
      </c>
      <c r="Z28" s="351">
        <v>88</v>
      </c>
      <c r="AA28" s="351">
        <v>0</v>
      </c>
      <c r="AB28"/>
      <c r="AC28" s="70">
        <v>25</v>
      </c>
      <c r="AD28" s="391">
        <v>1000</v>
      </c>
      <c r="AE28" s="282" t="str">
        <f>+IF('CAPTURA DP'!B4&lt;=3," 1,000  UMAM ","")</f>
        <v xml:space="preserve"> 1,000  UMAM </v>
      </c>
      <c r="AF28" s="337">
        <v>1.1218999999999999</v>
      </c>
      <c r="AG28" s="338"/>
      <c r="AH28" s="338"/>
      <c r="AI28" s="338"/>
      <c r="AJ28" s="338"/>
      <c r="AK28" s="338"/>
    </row>
    <row r="29" spans="1:40">
      <c r="A29" s="400">
        <v>2</v>
      </c>
      <c r="B29" s="401">
        <f ca="1">+'CAPTURA DP'!BK104</f>
        <v>0</v>
      </c>
      <c r="E29" s="69">
        <v>2</v>
      </c>
      <c r="F29" s="69">
        <v>0.15</v>
      </c>
      <c r="G29" s="69">
        <v>0.94440000000000002</v>
      </c>
      <c r="H29" s="69">
        <v>9</v>
      </c>
      <c r="I29" s="69" t="str">
        <f t="shared" si="0"/>
        <v>29</v>
      </c>
      <c r="J29" s="336">
        <v>60000</v>
      </c>
      <c r="K29" s="430">
        <v>1.0228200000000001</v>
      </c>
      <c r="L29" s="69">
        <f t="shared" si="1"/>
        <v>1</v>
      </c>
      <c r="N29" s="440">
        <v>26</v>
      </c>
      <c r="O29" s="441">
        <v>1150</v>
      </c>
      <c r="P29" s="440" t="s">
        <v>454</v>
      </c>
      <c r="Q29" s="442">
        <f t="shared" si="2"/>
        <v>0.133018</v>
      </c>
      <c r="R29" s="443">
        <v>0.109304</v>
      </c>
      <c r="S29" s="443">
        <v>0.133018</v>
      </c>
      <c r="U29" s="351">
        <v>26</v>
      </c>
      <c r="V29" s="351" t="s">
        <v>1768</v>
      </c>
      <c r="W29" s="351" t="s">
        <v>21</v>
      </c>
      <c r="X29" s="351" t="s">
        <v>13</v>
      </c>
      <c r="Y29" s="444">
        <v>100</v>
      </c>
      <c r="Z29" s="351">
        <v>100</v>
      </c>
      <c r="AA29" s="351">
        <v>0</v>
      </c>
      <c r="AB29"/>
      <c r="AC29" s="70">
        <v>26</v>
      </c>
      <c r="AD29" s="391">
        <v>1050</v>
      </c>
      <c r="AE29" s="282" t="str">
        <f>+IF('CAPTURA DP'!B4&lt;=3," 1,050  UMAM ","")</f>
        <v xml:space="preserve"> 1,050  UMAM </v>
      </c>
      <c r="AF29" s="337">
        <v>1.1249</v>
      </c>
      <c r="AG29" s="338"/>
      <c r="AH29" s="338"/>
      <c r="AI29" s="338"/>
      <c r="AJ29" s="338"/>
      <c r="AK29" s="338"/>
    </row>
    <row r="30" spans="1:40">
      <c r="A30" s="400">
        <v>3</v>
      </c>
      <c r="B30" s="401">
        <f ca="1">+'CAPTURA DP'!BR104</f>
        <v>0</v>
      </c>
      <c r="E30" s="69">
        <v>2</v>
      </c>
      <c r="F30" s="69">
        <v>0.15</v>
      </c>
      <c r="G30" s="69">
        <v>0.94440000000000002</v>
      </c>
      <c r="H30" s="69">
        <v>10</v>
      </c>
      <c r="I30" s="69" t="str">
        <f t="shared" si="0"/>
        <v>210</v>
      </c>
      <c r="J30" s="336">
        <v>65000</v>
      </c>
      <c r="K30" s="430">
        <v>1.020999</v>
      </c>
      <c r="L30" s="69">
        <f t="shared" si="1"/>
        <v>1</v>
      </c>
      <c r="N30" s="440">
        <v>27</v>
      </c>
      <c r="O30" s="441">
        <v>1200</v>
      </c>
      <c r="P30" s="440" t="s">
        <v>455</v>
      </c>
      <c r="Q30" s="442">
        <f t="shared" si="2"/>
        <v>0.13086400000000001</v>
      </c>
      <c r="R30" s="443">
        <v>0.107392</v>
      </c>
      <c r="S30" s="443">
        <v>0.13086400000000001</v>
      </c>
      <c r="U30" s="351">
        <v>27</v>
      </c>
      <c r="V30" s="351" t="s">
        <v>299</v>
      </c>
      <c r="W30" s="351" t="s">
        <v>29</v>
      </c>
      <c r="X30" s="351" t="s">
        <v>18</v>
      </c>
      <c r="Y30" s="444">
        <v>124.36</v>
      </c>
      <c r="Z30" s="351">
        <v>100</v>
      </c>
      <c r="AA30" s="351">
        <v>0</v>
      </c>
      <c r="AB30"/>
      <c r="AC30" s="70">
        <v>27</v>
      </c>
      <c r="AD30" s="391">
        <v>1070</v>
      </c>
      <c r="AE30" s="282" t="str">
        <f>+IF('CAPTURA DP'!B4&lt;=3," 1,070  UMAM ","")</f>
        <v xml:space="preserve"> 1,070  UMAM </v>
      </c>
      <c r="AF30" s="337">
        <v>1.1262000000000001</v>
      </c>
      <c r="AG30" s="338"/>
      <c r="AH30" s="338"/>
      <c r="AI30" s="338"/>
      <c r="AJ30" s="338"/>
      <c r="AK30" s="338"/>
    </row>
    <row r="31" spans="1:40">
      <c r="A31" s="400">
        <v>4</v>
      </c>
      <c r="B31" s="401">
        <f ca="1">+'CAPTURA DP'!BY104</f>
        <v>0</v>
      </c>
      <c r="E31" s="69">
        <v>2</v>
      </c>
      <c r="F31" s="69">
        <v>0.15</v>
      </c>
      <c r="G31" s="69">
        <v>0.94440000000000002</v>
      </c>
      <c r="H31" s="69">
        <v>11</v>
      </c>
      <c r="I31" s="69" t="str">
        <f t="shared" si="0"/>
        <v>211</v>
      </c>
      <c r="J31" s="336">
        <v>70000</v>
      </c>
      <c r="K31" s="430">
        <v>1.01928</v>
      </c>
      <c r="L31" s="69">
        <f t="shared" si="1"/>
        <v>1</v>
      </c>
      <c r="N31" s="440">
        <v>28</v>
      </c>
      <c r="O31" s="441">
        <v>1250</v>
      </c>
      <c r="P31" s="440" t="s">
        <v>456</v>
      </c>
      <c r="Q31" s="442">
        <f t="shared" si="2"/>
        <v>0.12883</v>
      </c>
      <c r="R31" s="443">
        <v>0.10559</v>
      </c>
      <c r="S31" s="443">
        <v>0.12883</v>
      </c>
      <c r="U31" s="351">
        <v>28</v>
      </c>
      <c r="V31" s="351" t="s">
        <v>300</v>
      </c>
      <c r="W31" s="351" t="s">
        <v>28</v>
      </c>
      <c r="X31" s="351" t="s">
        <v>13</v>
      </c>
      <c r="Y31" s="444">
        <v>43.4</v>
      </c>
      <c r="Z31" s="351">
        <v>88</v>
      </c>
      <c r="AA31" s="351">
        <v>1</v>
      </c>
      <c r="AB31"/>
      <c r="AC31" s="70">
        <v>28</v>
      </c>
      <c r="AD31" s="391">
        <v>1100</v>
      </c>
      <c r="AE31" s="282" t="str">
        <f>+IF('CAPTURA DP'!B4&lt;=3," 1,100  UMAM ","")</f>
        <v xml:space="preserve"> 1,100  UMAM </v>
      </c>
      <c r="AF31" s="337">
        <v>1.1279999999999999</v>
      </c>
      <c r="AG31" s="338"/>
      <c r="AH31" s="338"/>
      <c r="AI31" s="338"/>
      <c r="AJ31" s="338"/>
      <c r="AK31" s="338"/>
    </row>
    <row r="32" spans="1:40">
      <c r="A32" s="400">
        <v>5</v>
      </c>
      <c r="B32" s="401">
        <f ca="1">+'CAPTURA DP'!CF104</f>
        <v>0</v>
      </c>
      <c r="E32" s="69">
        <v>2</v>
      </c>
      <c r="F32" s="69">
        <v>0.15</v>
      </c>
      <c r="G32" s="69">
        <v>0.94440000000000002</v>
      </c>
      <c r="H32" s="69">
        <v>12</v>
      </c>
      <c r="I32" s="69" t="str">
        <f t="shared" si="0"/>
        <v>212</v>
      </c>
      <c r="J32" s="336">
        <v>75000</v>
      </c>
      <c r="K32" s="430">
        <v>1.017679</v>
      </c>
      <c r="L32" s="69">
        <f t="shared" si="1"/>
        <v>1</v>
      </c>
      <c r="N32" s="440">
        <v>29</v>
      </c>
      <c r="O32" s="441">
        <v>1300</v>
      </c>
      <c r="P32" s="440" t="s">
        <v>457</v>
      </c>
      <c r="Q32" s="442">
        <f t="shared" si="2"/>
        <v>0.12690599999999999</v>
      </c>
      <c r="R32" s="443">
        <v>0.10388600000000001</v>
      </c>
      <c r="S32" s="443">
        <v>0.12690599999999999</v>
      </c>
      <c r="U32" s="351">
        <v>29</v>
      </c>
      <c r="V32" s="351" t="s">
        <v>309</v>
      </c>
      <c r="W32" s="351" t="s">
        <v>338</v>
      </c>
      <c r="X32" s="351" t="s">
        <v>15</v>
      </c>
      <c r="Y32" s="444">
        <v>53.24</v>
      </c>
      <c r="Z32" s="351">
        <v>88</v>
      </c>
      <c r="AA32" s="351">
        <v>1</v>
      </c>
      <c r="AB32"/>
      <c r="AC32" s="70">
        <v>29</v>
      </c>
      <c r="AD32" s="391">
        <v>1115</v>
      </c>
      <c r="AE32" s="282" t="str">
        <f>+IF('CAPTURA DP'!B4&lt;=3," 1,115  UMAM ","")</f>
        <v xml:space="preserve"> 1,115  UMAM </v>
      </c>
      <c r="AF32" s="337">
        <v>1.1289</v>
      </c>
      <c r="AG32" s="338"/>
      <c r="AH32" s="338"/>
      <c r="AI32" s="338"/>
      <c r="AJ32" s="338"/>
      <c r="AK32" s="338"/>
    </row>
    <row r="33" spans="1:37">
      <c r="A33" s="400">
        <v>6</v>
      </c>
      <c r="B33" s="401">
        <f ca="1">+'CAPTURA DP'!CM104</f>
        <v>0</v>
      </c>
      <c r="E33" s="69">
        <v>2</v>
      </c>
      <c r="F33" s="69">
        <v>0.15</v>
      </c>
      <c r="G33" s="69">
        <v>0.94440000000000002</v>
      </c>
      <c r="H33" s="69">
        <v>13</v>
      </c>
      <c r="I33" s="69" t="str">
        <f t="shared" si="0"/>
        <v>213</v>
      </c>
      <c r="J33" s="336">
        <v>80000</v>
      </c>
      <c r="K33" s="430">
        <v>1.0162059999999999</v>
      </c>
      <c r="L33" s="69">
        <f t="shared" si="1"/>
        <v>1</v>
      </c>
      <c r="N33" s="440">
        <v>30</v>
      </c>
      <c r="O33" s="441">
        <v>1350</v>
      </c>
      <c r="P33" s="440" t="s">
        <v>458</v>
      </c>
      <c r="Q33" s="442">
        <f t="shared" si="2"/>
        <v>0.125081</v>
      </c>
      <c r="R33" s="443">
        <v>0.102273</v>
      </c>
      <c r="S33" s="443">
        <v>0.125081</v>
      </c>
      <c r="U33" s="351">
        <v>30</v>
      </c>
      <c r="V33" s="351" t="s">
        <v>312</v>
      </c>
      <c r="W33" s="351" t="s">
        <v>123</v>
      </c>
      <c r="X33" s="351" t="s">
        <v>13</v>
      </c>
      <c r="Y33" s="444">
        <v>43.54</v>
      </c>
      <c r="Z33" s="351">
        <v>88</v>
      </c>
      <c r="AA33" s="351">
        <v>1</v>
      </c>
      <c r="AB33"/>
      <c r="AC33" s="70">
        <v>30</v>
      </c>
      <c r="AD33" s="391">
        <v>1150</v>
      </c>
      <c r="AE33" s="282" t="str">
        <f>+IF('CAPTURA DP'!B4&lt;=3," 1,150  UMAM ","")</f>
        <v xml:space="preserve"> 1,150  UMAM </v>
      </c>
      <c r="AF33" s="337">
        <v>1.1311</v>
      </c>
      <c r="AG33" s="338"/>
      <c r="AH33" s="338"/>
      <c r="AI33" s="338"/>
      <c r="AJ33" s="338"/>
      <c r="AK33" s="338"/>
    </row>
    <row r="34" spans="1:37">
      <c r="E34" s="69">
        <v>2</v>
      </c>
      <c r="F34" s="69">
        <v>0.15</v>
      </c>
      <c r="G34" s="69">
        <v>0.94440000000000002</v>
      </c>
      <c r="H34" s="69">
        <v>14</v>
      </c>
      <c r="I34" s="69" t="str">
        <f t="shared" si="0"/>
        <v>214</v>
      </c>
      <c r="J34" s="336">
        <v>85000</v>
      </c>
      <c r="K34" s="430">
        <v>1.0148520000000001</v>
      </c>
      <c r="L34" s="69">
        <f t="shared" si="1"/>
        <v>1</v>
      </c>
      <c r="N34" s="440">
        <v>31</v>
      </c>
      <c r="O34" s="441">
        <v>1400</v>
      </c>
      <c r="P34" s="440" t="s">
        <v>459</v>
      </c>
      <c r="Q34" s="442">
        <f t="shared" si="2"/>
        <v>0.123348</v>
      </c>
      <c r="R34" s="443">
        <v>0.100742</v>
      </c>
      <c r="S34" s="443">
        <v>0.123348</v>
      </c>
      <c r="U34" s="351">
        <v>31</v>
      </c>
      <c r="V34" s="351" t="s">
        <v>308</v>
      </c>
      <c r="W34" s="351" t="s">
        <v>108</v>
      </c>
      <c r="X34" s="351" t="s">
        <v>13</v>
      </c>
      <c r="Y34" s="444">
        <v>54.52</v>
      </c>
      <c r="Z34" s="351">
        <v>88</v>
      </c>
      <c r="AA34" s="351">
        <v>0</v>
      </c>
      <c r="AB34"/>
      <c r="AC34" s="70">
        <v>31</v>
      </c>
      <c r="AD34" s="391">
        <v>1160</v>
      </c>
      <c r="AE34" s="282" t="str">
        <f>+IF('CAPTURA DP'!B4&lt;=3," 1,160  UMAM ","")</f>
        <v xml:space="preserve"> 1,160  UMAM </v>
      </c>
      <c r="AF34" s="337">
        <v>1.1316999999999999</v>
      </c>
      <c r="AG34" s="338"/>
      <c r="AH34" s="338"/>
      <c r="AI34" s="338"/>
      <c r="AJ34" s="338"/>
      <c r="AK34" s="338"/>
    </row>
    <row r="35" spans="1:37">
      <c r="B35" s="414" t="s">
        <v>429</v>
      </c>
      <c r="E35" s="69">
        <v>2</v>
      </c>
      <c r="F35" s="69">
        <v>0.15</v>
      </c>
      <c r="G35" s="69">
        <v>0.94440000000000002</v>
      </c>
      <c r="H35" s="69">
        <v>15</v>
      </c>
      <c r="I35" s="69" t="str">
        <f t="shared" si="0"/>
        <v>215</v>
      </c>
      <c r="J35" s="336">
        <v>90000</v>
      </c>
      <c r="K35" s="430">
        <v>1.013606</v>
      </c>
      <c r="L35" s="69">
        <f t="shared" si="1"/>
        <v>1</v>
      </c>
      <c r="N35" s="440">
        <v>32</v>
      </c>
      <c r="O35" s="441">
        <v>1450</v>
      </c>
      <c r="P35" s="440" t="s">
        <v>460</v>
      </c>
      <c r="Q35" s="442">
        <f t="shared" si="2"/>
        <v>0.121698</v>
      </c>
      <c r="R35" s="443">
        <v>9.9287E-2</v>
      </c>
      <c r="S35" s="443">
        <v>0.121698</v>
      </c>
      <c r="U35" s="351">
        <v>32</v>
      </c>
      <c r="V35" s="351" t="s">
        <v>349</v>
      </c>
      <c r="W35" s="351" t="s">
        <v>350</v>
      </c>
      <c r="X35" s="351" t="s">
        <v>15</v>
      </c>
      <c r="Y35" s="444">
        <v>43.54</v>
      </c>
      <c r="Z35" s="351">
        <v>88</v>
      </c>
      <c r="AA35" s="351">
        <v>0</v>
      </c>
      <c r="AB35"/>
      <c r="AC35" s="70">
        <v>32</v>
      </c>
      <c r="AD35" s="391">
        <v>1200</v>
      </c>
      <c r="AE35" s="282" t="str">
        <f>+IF('CAPTURA DP'!B4&lt;=3," 1,200  UMAM ","")</f>
        <v xml:space="preserve"> 1,200  UMAM </v>
      </c>
      <c r="AF35" s="337">
        <v>1.1342000000000001</v>
      </c>
      <c r="AG35" s="338"/>
      <c r="AH35" s="338"/>
      <c r="AI35" s="338"/>
      <c r="AJ35" s="338"/>
      <c r="AK35" s="338"/>
    </row>
    <row r="36" spans="1:37">
      <c r="A36" s="414">
        <v>0</v>
      </c>
      <c r="B36" s="414">
        <v>49</v>
      </c>
      <c r="C36" s="415">
        <f>+'CAPTURA DP'!C14</f>
        <v>0.18</v>
      </c>
      <c r="E36" s="69">
        <v>2</v>
      </c>
      <c r="F36" s="69">
        <v>0.15</v>
      </c>
      <c r="G36" s="69">
        <v>0.94440000000000002</v>
      </c>
      <c r="H36" s="69">
        <v>16</v>
      </c>
      <c r="I36" s="69" t="str">
        <f t="shared" si="0"/>
        <v>216</v>
      </c>
      <c r="J36" s="336">
        <v>95000</v>
      </c>
      <c r="K36" s="430">
        <v>1.012462</v>
      </c>
      <c r="L36" s="69">
        <f t="shared" si="1"/>
        <v>1</v>
      </c>
      <c r="N36" s="440">
        <v>33</v>
      </c>
      <c r="O36" s="441">
        <v>1500</v>
      </c>
      <c r="P36" s="440" t="s">
        <v>461</v>
      </c>
      <c r="Q36" s="442">
        <f t="shared" si="2"/>
        <v>0.120125</v>
      </c>
      <c r="R36" s="443">
        <v>9.7901000000000002E-2</v>
      </c>
      <c r="S36" s="443">
        <v>0.120125</v>
      </c>
      <c r="U36" s="351">
        <v>33</v>
      </c>
      <c r="V36" s="351" t="s">
        <v>301</v>
      </c>
      <c r="W36" s="351" t="s">
        <v>30</v>
      </c>
      <c r="X36" s="351" t="s">
        <v>13</v>
      </c>
      <c r="Y36" s="444">
        <v>60.25</v>
      </c>
      <c r="Z36" s="351">
        <v>88</v>
      </c>
      <c r="AA36" s="351">
        <v>0</v>
      </c>
      <c r="AB36"/>
      <c r="AC36" s="70">
        <v>33</v>
      </c>
      <c r="AD36" s="391">
        <v>1250</v>
      </c>
      <c r="AE36" s="282" t="str">
        <f>+IF('CAPTURA DP'!B4&lt;=3," 1,250  UMAM ","")</f>
        <v xml:space="preserve"> 1,250  UMAM </v>
      </c>
      <c r="AF36" s="337">
        <v>1.1372</v>
      </c>
      <c r="AG36" s="338"/>
      <c r="AH36" s="338"/>
      <c r="AI36" s="338"/>
      <c r="AJ36" s="338"/>
      <c r="AK36" s="338"/>
    </row>
    <row r="37" spans="1:37">
      <c r="A37" s="414">
        <v>50</v>
      </c>
      <c r="B37" s="414">
        <v>59</v>
      </c>
      <c r="C37" s="415">
        <f>+'CAPTURA DP'!CR53</f>
        <v>0.15</v>
      </c>
      <c r="E37" s="69">
        <v>2</v>
      </c>
      <c r="F37" s="69">
        <v>0.15</v>
      </c>
      <c r="G37" s="69">
        <v>0.94440000000000002</v>
      </c>
      <c r="H37" s="69">
        <v>17</v>
      </c>
      <c r="I37" s="69" t="str">
        <f t="shared" si="0"/>
        <v>217</v>
      </c>
      <c r="J37" s="336">
        <v>100000</v>
      </c>
      <c r="K37" s="430">
        <v>1.0114110000000001</v>
      </c>
      <c r="L37" s="69">
        <f t="shared" si="1"/>
        <v>1</v>
      </c>
      <c r="N37" s="440">
        <v>34</v>
      </c>
      <c r="O37" s="441">
        <v>1550</v>
      </c>
      <c r="P37" s="440" t="s">
        <v>462</v>
      </c>
      <c r="Q37" s="442">
        <f t="shared" si="2"/>
        <v>0.11862300000000001</v>
      </c>
      <c r="R37" s="443">
        <v>9.6577999999999997E-2</v>
      </c>
      <c r="S37" s="443">
        <v>0.11862300000000001</v>
      </c>
      <c r="U37" s="351">
        <v>34</v>
      </c>
      <c r="V37" s="351" t="s">
        <v>371</v>
      </c>
      <c r="W37" s="351" t="s">
        <v>373</v>
      </c>
      <c r="X37" s="351" t="s">
        <v>13</v>
      </c>
      <c r="Y37" s="444">
        <v>50</v>
      </c>
      <c r="Z37" s="351">
        <v>88</v>
      </c>
      <c r="AA37" s="351">
        <v>0</v>
      </c>
      <c r="AB37"/>
      <c r="AC37" s="70">
        <v>34</v>
      </c>
      <c r="AD37" s="391">
        <v>1300</v>
      </c>
      <c r="AE37" s="282" t="str">
        <f>+IF('CAPTURA DP'!B4&lt;=3," 1,300  UMAM ","")</f>
        <v xml:space="preserve"> 1,300  UMAM </v>
      </c>
      <c r="AF37" s="337">
        <v>1.1403000000000001</v>
      </c>
      <c r="AG37" s="338"/>
      <c r="AH37" s="338"/>
      <c r="AI37" s="338"/>
      <c r="AJ37" s="338"/>
      <c r="AK37" s="338"/>
    </row>
    <row r="38" spans="1:37">
      <c r="A38" s="414">
        <v>60</v>
      </c>
      <c r="B38" s="414">
        <v>99</v>
      </c>
      <c r="C38" s="415">
        <f>+'CAPTURA DP'!CR63</f>
        <v>0.12</v>
      </c>
      <c r="E38" s="69">
        <v>3</v>
      </c>
      <c r="F38" s="69">
        <v>0.2</v>
      </c>
      <c r="G38" s="69">
        <v>0.88890000000000002</v>
      </c>
      <c r="H38" s="69">
        <v>1</v>
      </c>
      <c r="I38" s="69" t="str">
        <f t="shared" si="0"/>
        <v>31</v>
      </c>
      <c r="J38" s="69">
        <v>0</v>
      </c>
      <c r="K38" s="430">
        <v>1</v>
      </c>
      <c r="L38" s="69">
        <f t="shared" si="1"/>
        <v>1</v>
      </c>
      <c r="N38" s="440">
        <v>35</v>
      </c>
      <c r="O38" s="441">
        <v>1600</v>
      </c>
      <c r="P38" s="440" t="s">
        <v>463</v>
      </c>
      <c r="Q38" s="442">
        <f t="shared" si="2"/>
        <v>0.117186</v>
      </c>
      <c r="R38" s="443">
        <v>9.5314999999999997E-2</v>
      </c>
      <c r="S38" s="443">
        <v>0.117186</v>
      </c>
      <c r="U38" s="351">
        <v>35</v>
      </c>
      <c r="V38" s="351" t="s">
        <v>367</v>
      </c>
      <c r="W38" s="351" t="s">
        <v>31</v>
      </c>
      <c r="X38" s="351" t="s">
        <v>13</v>
      </c>
      <c r="Y38" s="444">
        <v>60.25</v>
      </c>
      <c r="Z38" s="351">
        <v>88</v>
      </c>
      <c r="AA38" s="351">
        <v>1</v>
      </c>
      <c r="AB38"/>
      <c r="AC38" s="70">
        <v>35</v>
      </c>
      <c r="AD38" s="391">
        <v>1400</v>
      </c>
      <c r="AE38" s="282" t="str">
        <f>+IF('CAPTURA DP'!B4&lt;=3," 1,400  UMAM ","")</f>
        <v xml:space="preserve"> 1,400  UMAM </v>
      </c>
      <c r="AF38" s="337">
        <v>1.1464000000000001</v>
      </c>
      <c r="AG38" s="338"/>
      <c r="AH38" s="338"/>
      <c r="AI38" s="338"/>
      <c r="AJ38" s="338"/>
      <c r="AK38" s="338"/>
    </row>
    <row r="39" spans="1:37">
      <c r="E39" s="69">
        <v>3</v>
      </c>
      <c r="F39" s="69">
        <v>0.2</v>
      </c>
      <c r="G39" s="69">
        <v>0.88890000000000002</v>
      </c>
      <c r="H39" s="69">
        <v>2</v>
      </c>
      <c r="I39" s="69" t="str">
        <f t="shared" si="0"/>
        <v>32</v>
      </c>
      <c r="J39" s="336">
        <v>10000</v>
      </c>
      <c r="K39" s="430">
        <v>1.230334</v>
      </c>
      <c r="L39" s="69">
        <f t="shared" si="1"/>
        <v>1</v>
      </c>
      <c r="N39" s="440">
        <v>36</v>
      </c>
      <c r="O39" s="441">
        <v>1650</v>
      </c>
      <c r="P39" s="440" t="s">
        <v>464</v>
      </c>
      <c r="Q39" s="442">
        <f t="shared" si="2"/>
        <v>0.115811</v>
      </c>
      <c r="R39" s="443">
        <v>9.4105999999999995E-2</v>
      </c>
      <c r="S39" s="443">
        <v>0.115811</v>
      </c>
      <c r="U39" s="351">
        <v>36</v>
      </c>
      <c r="V39" s="351" t="s">
        <v>302</v>
      </c>
      <c r="W39" s="351" t="s">
        <v>32</v>
      </c>
      <c r="X39" s="351" t="s">
        <v>15</v>
      </c>
      <c r="Y39" s="444">
        <v>53.24</v>
      </c>
      <c r="Z39" s="351">
        <v>88</v>
      </c>
      <c r="AA39" s="351">
        <v>1</v>
      </c>
      <c r="AB39"/>
      <c r="AC39" s="70">
        <v>36</v>
      </c>
      <c r="AD39" s="391">
        <v>1500</v>
      </c>
      <c r="AE39" s="282" t="str">
        <f>+IF('CAPTURA DP'!B4&lt;=3," 1,500  UMAM ","")</f>
        <v xml:space="preserve"> 1,500  UMAM </v>
      </c>
      <c r="AF39" s="337">
        <v>1.1526000000000001</v>
      </c>
      <c r="AG39" s="338"/>
      <c r="AH39" s="338"/>
      <c r="AI39" s="338"/>
      <c r="AJ39" s="338"/>
      <c r="AK39" s="338"/>
    </row>
    <row r="40" spans="1:37">
      <c r="E40" s="69">
        <v>3</v>
      </c>
      <c r="F40" s="69">
        <v>0.2</v>
      </c>
      <c r="G40" s="69">
        <v>0.88890000000000002</v>
      </c>
      <c r="H40" s="69">
        <v>3</v>
      </c>
      <c r="I40" s="69" t="str">
        <f t="shared" si="0"/>
        <v>33</v>
      </c>
      <c r="J40" s="336">
        <v>15000</v>
      </c>
      <c r="K40" s="430">
        <v>1.1891039999999999</v>
      </c>
      <c r="L40" s="69">
        <f t="shared" si="1"/>
        <v>1</v>
      </c>
      <c r="N40" s="440">
        <v>37</v>
      </c>
      <c r="O40" s="441">
        <v>1700</v>
      </c>
      <c r="P40" s="440" t="s">
        <v>465</v>
      </c>
      <c r="Q40" s="442">
        <f t="shared" si="2"/>
        <v>0.114491</v>
      </c>
      <c r="R40" s="443">
        <v>9.2948000000000003E-2</v>
      </c>
      <c r="S40" s="443">
        <v>0.114491</v>
      </c>
      <c r="U40" s="351">
        <v>37</v>
      </c>
      <c r="V40" s="351" t="s">
        <v>303</v>
      </c>
      <c r="W40" s="351" t="s">
        <v>67</v>
      </c>
      <c r="X40" s="351" t="s">
        <v>18</v>
      </c>
      <c r="Y40" s="444">
        <v>57.29</v>
      </c>
      <c r="Z40" s="351">
        <v>88</v>
      </c>
      <c r="AA40" s="351">
        <v>1</v>
      </c>
      <c r="AB40"/>
      <c r="AC40" s="70">
        <v>37</v>
      </c>
      <c r="AD40" s="391">
        <v>1600</v>
      </c>
      <c r="AE40" s="282" t="str">
        <f>+IF('CAPTURA DP'!B4&lt;=3," 1,600  UMAM ","")</f>
        <v xml:space="preserve"> 1,600  UMAM </v>
      </c>
      <c r="AF40" s="337">
        <v>1.1569</v>
      </c>
      <c r="AG40" s="338"/>
      <c r="AH40" s="338"/>
      <c r="AI40" s="338"/>
      <c r="AJ40" s="338"/>
      <c r="AK40" s="338"/>
    </row>
    <row r="41" spans="1:37">
      <c r="E41" s="69">
        <v>3</v>
      </c>
      <c r="F41" s="69">
        <v>0.2</v>
      </c>
      <c r="G41" s="69">
        <v>0.88890000000000002</v>
      </c>
      <c r="H41" s="69">
        <v>4</v>
      </c>
      <c r="I41" s="69" t="str">
        <f t="shared" si="0"/>
        <v>34</v>
      </c>
      <c r="J41" s="336">
        <v>20000</v>
      </c>
      <c r="K41" s="430">
        <v>1.1595770000000001</v>
      </c>
      <c r="L41" s="69">
        <f t="shared" si="1"/>
        <v>1</v>
      </c>
      <c r="N41" s="440">
        <v>38</v>
      </c>
      <c r="O41" s="441">
        <v>1750</v>
      </c>
      <c r="P41" s="440" t="s">
        <v>466</v>
      </c>
      <c r="Q41" s="442">
        <f t="shared" si="2"/>
        <v>0.11322500000000001</v>
      </c>
      <c r="R41" s="443">
        <v>9.1837000000000002E-2</v>
      </c>
      <c r="S41" s="443">
        <v>0.11322500000000001</v>
      </c>
      <c r="U41" s="351">
        <v>38</v>
      </c>
      <c r="V41" s="351" t="s">
        <v>368</v>
      </c>
      <c r="W41" s="351" t="s">
        <v>343</v>
      </c>
      <c r="X41" s="351" t="s">
        <v>13</v>
      </c>
      <c r="Y41" s="444">
        <v>43.4</v>
      </c>
      <c r="Z41" s="351">
        <v>88</v>
      </c>
      <c r="AA41" s="351">
        <v>1</v>
      </c>
      <c r="AB41"/>
      <c r="AC41" s="70">
        <v>38</v>
      </c>
      <c r="AD41" s="391">
        <v>1604</v>
      </c>
      <c r="AE41" s="282" t="str">
        <f>+IF('CAPTURA DP'!B4&lt;=3," 1,604  UMAM ","")</f>
        <v xml:space="preserve"> 1,604  UMAM </v>
      </c>
      <c r="AF41" s="337">
        <v>1.1571</v>
      </c>
      <c r="AG41" s="338"/>
      <c r="AH41" s="338"/>
      <c r="AI41" s="338"/>
      <c r="AJ41" s="338"/>
      <c r="AK41" s="338"/>
    </row>
    <row r="42" spans="1:37">
      <c r="E42" s="69">
        <v>3</v>
      </c>
      <c r="F42" s="69">
        <v>0.2</v>
      </c>
      <c r="G42" s="69">
        <v>0.88890000000000002</v>
      </c>
      <c r="H42" s="69">
        <v>5</v>
      </c>
      <c r="I42" s="69" t="str">
        <f t="shared" si="0"/>
        <v>35</v>
      </c>
      <c r="J42" s="336">
        <v>25000</v>
      </c>
      <c r="K42" s="430">
        <v>1.136331</v>
      </c>
      <c r="L42" s="69">
        <f t="shared" si="1"/>
        <v>1</v>
      </c>
      <c r="N42" s="440">
        <v>39</v>
      </c>
      <c r="O42" s="441">
        <v>1800</v>
      </c>
      <c r="P42" s="440" t="s">
        <v>467</v>
      </c>
      <c r="Q42" s="442">
        <f t="shared" si="2"/>
        <v>0.112007</v>
      </c>
      <c r="R42" s="443">
        <v>9.0771000000000004E-2</v>
      </c>
      <c r="S42" s="443">
        <v>0.112007</v>
      </c>
      <c r="U42" s="351">
        <v>39</v>
      </c>
      <c r="V42" s="351" t="s">
        <v>305</v>
      </c>
      <c r="W42" s="351" t="s">
        <v>59</v>
      </c>
      <c r="X42" s="351" t="s">
        <v>18</v>
      </c>
      <c r="Y42" s="444">
        <v>53.24</v>
      </c>
      <c r="Z42" s="351">
        <v>88</v>
      </c>
      <c r="AA42" s="351">
        <v>1</v>
      </c>
      <c r="AB42"/>
      <c r="AC42" s="70">
        <v>39</v>
      </c>
      <c r="AD42" s="391">
        <v>1650</v>
      </c>
      <c r="AE42" s="282" t="str">
        <f>+IF('CAPTURA DP'!B4&lt;=3," 1,650  UMAM ","")</f>
        <v xml:space="preserve"> 1,650  UMAM </v>
      </c>
      <c r="AF42" s="337">
        <v>1.1591</v>
      </c>
      <c r="AG42" s="338"/>
      <c r="AH42" s="338"/>
      <c r="AI42" s="338"/>
      <c r="AJ42" s="338"/>
      <c r="AK42" s="338"/>
    </row>
    <row r="43" spans="1:37">
      <c r="E43" s="69">
        <v>3</v>
      </c>
      <c r="F43" s="69">
        <v>0.2</v>
      </c>
      <c r="G43" s="69">
        <v>0.88890000000000002</v>
      </c>
      <c r="H43" s="69">
        <v>6</v>
      </c>
      <c r="I43" s="69" t="str">
        <f t="shared" si="0"/>
        <v>36</v>
      </c>
      <c r="J43" s="336">
        <v>30000</v>
      </c>
      <c r="K43" s="430">
        <v>1.117974</v>
      </c>
      <c r="L43" s="69">
        <f t="shared" si="1"/>
        <v>1</v>
      </c>
      <c r="N43" s="440">
        <v>40</v>
      </c>
      <c r="O43" s="441">
        <v>1850</v>
      </c>
      <c r="P43" s="440" t="s">
        <v>468</v>
      </c>
      <c r="Q43" s="442">
        <f t="shared" si="2"/>
        <v>0.110836</v>
      </c>
      <c r="R43" s="443">
        <v>8.9745000000000005E-2</v>
      </c>
      <c r="S43" s="443">
        <v>0.110836</v>
      </c>
      <c r="U43" s="351">
        <v>40</v>
      </c>
      <c r="V43" s="351" t="s">
        <v>1769</v>
      </c>
      <c r="W43" s="351" t="s">
        <v>1770</v>
      </c>
      <c r="X43" s="351" t="s">
        <v>13</v>
      </c>
      <c r="Y43" s="444">
        <v>53.24</v>
      </c>
      <c r="Z43" s="351">
        <v>88</v>
      </c>
      <c r="AA43" s="351">
        <v>0</v>
      </c>
      <c r="AB43"/>
      <c r="AC43" s="70">
        <v>40</v>
      </c>
      <c r="AD43" s="391">
        <v>1700</v>
      </c>
      <c r="AE43" s="282" t="str">
        <f>+IF('CAPTURA DP'!B4&lt;=3," 1,700  UMAM ","")</f>
        <v xml:space="preserve"> 1,700  UMAM </v>
      </c>
      <c r="AF43" s="337">
        <v>1.1613</v>
      </c>
      <c r="AG43" s="338"/>
      <c r="AH43" s="338"/>
      <c r="AI43" s="338"/>
      <c r="AJ43" s="338"/>
      <c r="AK43" s="338"/>
    </row>
    <row r="44" spans="1:37">
      <c r="E44" s="69">
        <v>3</v>
      </c>
      <c r="F44" s="69">
        <v>0.2</v>
      </c>
      <c r="G44" s="69">
        <v>0.88890000000000002</v>
      </c>
      <c r="H44" s="69">
        <v>7</v>
      </c>
      <c r="I44" s="69" t="str">
        <f t="shared" si="0"/>
        <v>37</v>
      </c>
      <c r="J44" s="336">
        <v>40000</v>
      </c>
      <c r="K44" s="430">
        <v>1.0460849999999999</v>
      </c>
      <c r="L44" s="69">
        <f t="shared" si="1"/>
        <v>1</v>
      </c>
      <c r="N44" s="440">
        <v>41</v>
      </c>
      <c r="O44" s="441">
        <v>1900</v>
      </c>
      <c r="P44" s="440" t="s">
        <v>469</v>
      </c>
      <c r="Q44" s="442">
        <f t="shared" si="2"/>
        <v>0.109707</v>
      </c>
      <c r="R44" s="443">
        <v>8.8758000000000004E-2</v>
      </c>
      <c r="S44" s="443">
        <v>0.109707</v>
      </c>
      <c r="U44" s="351">
        <v>41</v>
      </c>
      <c r="V44" s="351" t="s">
        <v>306</v>
      </c>
      <c r="W44" s="351" t="s">
        <v>33</v>
      </c>
      <c r="X44" s="351" t="s">
        <v>15</v>
      </c>
      <c r="Y44" s="444">
        <v>53.24</v>
      </c>
      <c r="Z44" s="351">
        <v>88</v>
      </c>
      <c r="AA44" s="351">
        <v>0</v>
      </c>
      <c r="AB44"/>
      <c r="AC44" s="70">
        <v>41</v>
      </c>
      <c r="AD44" s="391">
        <v>1750</v>
      </c>
      <c r="AE44" s="282" t="str">
        <f>+IF('CAPTURA DP'!B4&lt;=3," 1,750  UMAM ","")</f>
        <v xml:space="preserve"> 1,750  UMAM </v>
      </c>
      <c r="AF44" s="337">
        <v>1.1635</v>
      </c>
      <c r="AG44" s="338"/>
      <c r="AH44" s="338"/>
      <c r="AI44" s="338"/>
      <c r="AJ44" s="338"/>
      <c r="AK44" s="338"/>
    </row>
    <row r="45" spans="1:37">
      <c r="E45" s="69">
        <v>3</v>
      </c>
      <c r="F45" s="69">
        <v>0.2</v>
      </c>
      <c r="G45" s="69">
        <v>0.88890000000000002</v>
      </c>
      <c r="H45" s="69">
        <v>8</v>
      </c>
      <c r="I45" s="69" t="str">
        <f t="shared" si="0"/>
        <v>38</v>
      </c>
      <c r="J45" s="336">
        <v>50000</v>
      </c>
      <c r="K45" s="430">
        <v>1.037674</v>
      </c>
      <c r="L45" s="69">
        <f t="shared" si="1"/>
        <v>1</v>
      </c>
      <c r="N45" s="440">
        <v>42</v>
      </c>
      <c r="O45" s="441">
        <v>1950</v>
      </c>
      <c r="P45" s="440" t="s">
        <v>470</v>
      </c>
      <c r="Q45" s="442">
        <f t="shared" si="2"/>
        <v>0.10861899999999999</v>
      </c>
      <c r="R45" s="443">
        <v>8.7806999999999996E-2</v>
      </c>
      <c r="S45" s="443">
        <v>0.10861899999999999</v>
      </c>
      <c r="U45" s="351">
        <v>42</v>
      </c>
      <c r="V45" s="351" t="s">
        <v>1771</v>
      </c>
      <c r="W45" s="351" t="s">
        <v>1772</v>
      </c>
      <c r="X45" s="351" t="s">
        <v>13</v>
      </c>
      <c r="Y45" s="444">
        <v>60.25</v>
      </c>
      <c r="Z45" s="351">
        <v>88</v>
      </c>
      <c r="AA45" s="351">
        <v>0</v>
      </c>
      <c r="AB45"/>
      <c r="AC45" s="70">
        <v>42</v>
      </c>
      <c r="AD45" s="391">
        <v>1800</v>
      </c>
      <c r="AE45" s="282" t="str">
        <f>+IF('CAPTURA DP'!B4&lt;=3," 1,800  UMAM ","")</f>
        <v xml:space="preserve"> 1,800  UMAM </v>
      </c>
      <c r="AF45" s="337">
        <v>1.1656</v>
      </c>
      <c r="AG45" s="338"/>
      <c r="AH45" s="338"/>
      <c r="AI45" s="338"/>
      <c r="AJ45" s="338"/>
      <c r="AK45" s="338"/>
    </row>
    <row r="46" spans="1:37">
      <c r="E46" s="69">
        <v>3</v>
      </c>
      <c r="F46" s="69">
        <v>0.2</v>
      </c>
      <c r="G46" s="69">
        <v>0.88890000000000002</v>
      </c>
      <c r="H46" s="69">
        <v>9</v>
      </c>
      <c r="I46" s="69" t="str">
        <f t="shared" si="0"/>
        <v>39</v>
      </c>
      <c r="J46" s="336">
        <v>60000</v>
      </c>
      <c r="K46" s="430">
        <v>1.032241</v>
      </c>
      <c r="L46" s="69">
        <f t="shared" si="1"/>
        <v>1</v>
      </c>
      <c r="N46" s="440">
        <v>43</v>
      </c>
      <c r="O46" s="441">
        <v>2000</v>
      </c>
      <c r="P46" s="440" t="s">
        <v>471</v>
      </c>
      <c r="Q46" s="442">
        <f t="shared" si="2"/>
        <v>0.107568</v>
      </c>
      <c r="R46" s="443">
        <v>8.6888999999999994E-2</v>
      </c>
      <c r="S46" s="443">
        <v>0.107568</v>
      </c>
      <c r="U46" s="351">
        <v>43</v>
      </c>
      <c r="V46" s="351" t="s">
        <v>369</v>
      </c>
      <c r="W46" s="351" t="s">
        <v>344</v>
      </c>
      <c r="X46" s="351" t="s">
        <v>18</v>
      </c>
      <c r="Y46" s="444">
        <v>53.24</v>
      </c>
      <c r="Z46" s="351">
        <v>88</v>
      </c>
      <c r="AA46" s="351">
        <v>1</v>
      </c>
      <c r="AB46"/>
      <c r="AC46" s="70">
        <v>43</v>
      </c>
      <c r="AD46" s="391">
        <v>1900</v>
      </c>
      <c r="AE46" s="282" t="str">
        <f>+IF('CAPTURA DP'!B4&lt;=3," 1,900  UMAM ","")</f>
        <v xml:space="preserve"> 1,900  UMAM </v>
      </c>
      <c r="AF46" s="337">
        <v>1.17</v>
      </c>
      <c r="AG46" s="338"/>
      <c r="AH46" s="338"/>
      <c r="AI46" s="338"/>
      <c r="AJ46" s="338"/>
      <c r="AK46" s="338"/>
    </row>
    <row r="47" spans="1:37">
      <c r="E47" s="69">
        <v>3</v>
      </c>
      <c r="F47" s="69">
        <v>0.2</v>
      </c>
      <c r="G47" s="69">
        <v>0.88890000000000002</v>
      </c>
      <c r="H47" s="69">
        <v>10</v>
      </c>
      <c r="I47" s="69" t="str">
        <f t="shared" si="0"/>
        <v>310</v>
      </c>
      <c r="J47" s="336">
        <v>65000</v>
      </c>
      <c r="K47" s="430">
        <v>1.029668</v>
      </c>
      <c r="L47" s="69">
        <f t="shared" si="1"/>
        <v>1</v>
      </c>
      <c r="N47" s="440">
        <v>44</v>
      </c>
      <c r="O47" s="441">
        <v>2050</v>
      </c>
      <c r="P47" s="440" t="s">
        <v>472</v>
      </c>
      <c r="Q47" s="442">
        <f t="shared" si="2"/>
        <v>0.106554</v>
      </c>
      <c r="R47" s="443">
        <v>8.6003999999999997E-2</v>
      </c>
      <c r="S47" s="443">
        <v>0.106554</v>
      </c>
      <c r="U47" s="351">
        <v>44</v>
      </c>
      <c r="V47" s="351" t="s">
        <v>374</v>
      </c>
      <c r="W47" s="351" t="s">
        <v>134</v>
      </c>
      <c r="X47" s="351" t="s">
        <v>13</v>
      </c>
      <c r="Y47" s="444">
        <v>43.54</v>
      </c>
      <c r="Z47" s="351">
        <v>88</v>
      </c>
      <c r="AA47" s="351">
        <v>1</v>
      </c>
      <c r="AB47"/>
      <c r="AC47" s="70">
        <v>44</v>
      </c>
      <c r="AD47" s="391">
        <v>2000</v>
      </c>
      <c r="AE47" s="282" t="str">
        <f>+IF('CAPTURA DP'!B4&lt;=3," 2,000  UMAM ","")</f>
        <v xml:space="preserve"> 2,000  UMAM </v>
      </c>
      <c r="AF47" s="337">
        <v>1.1744000000000001</v>
      </c>
      <c r="AG47" s="338"/>
      <c r="AH47" s="338"/>
      <c r="AI47" s="338"/>
      <c r="AJ47" s="338"/>
      <c r="AK47" s="338"/>
    </row>
    <row r="48" spans="1:37">
      <c r="E48" s="69">
        <v>3</v>
      </c>
      <c r="F48" s="69">
        <v>0.2</v>
      </c>
      <c r="G48" s="69">
        <v>0.88890000000000002</v>
      </c>
      <c r="H48" s="69">
        <v>11</v>
      </c>
      <c r="I48" s="69" t="str">
        <f t="shared" si="0"/>
        <v>311</v>
      </c>
      <c r="J48" s="336">
        <v>70000</v>
      </c>
      <c r="K48" s="430">
        <v>1.027239</v>
      </c>
      <c r="L48" s="69">
        <f t="shared" si="1"/>
        <v>1</v>
      </c>
      <c r="N48" s="440">
        <v>45</v>
      </c>
      <c r="O48" s="441">
        <v>2100</v>
      </c>
      <c r="P48" s="440" t="s">
        <v>473</v>
      </c>
      <c r="Q48" s="442">
        <f t="shared" si="2"/>
        <v>0.105573</v>
      </c>
      <c r="R48" s="443">
        <v>8.5148000000000001E-2</v>
      </c>
      <c r="S48" s="443">
        <v>0.105573</v>
      </c>
      <c r="U48" s="351">
        <v>45</v>
      </c>
      <c r="V48" s="351" t="s">
        <v>307</v>
      </c>
      <c r="W48" s="351" t="s">
        <v>34</v>
      </c>
      <c r="X48" s="351" t="s">
        <v>13</v>
      </c>
      <c r="Y48" s="444">
        <v>43.54</v>
      </c>
      <c r="Z48" s="351">
        <v>88</v>
      </c>
      <c r="AA48" s="351">
        <v>1</v>
      </c>
      <c r="AB48"/>
      <c r="AC48" s="70">
        <v>45</v>
      </c>
      <c r="AD48" s="391">
        <v>2500</v>
      </c>
      <c r="AE48" s="282" t="str">
        <f>+IF('CAPTURA DP'!B4&lt;=3," 2,500  UMAM ","")</f>
        <v xml:space="preserve"> 2,500  UMAM </v>
      </c>
      <c r="AF48" s="337">
        <v>1.1913</v>
      </c>
      <c r="AG48" s="338"/>
      <c r="AH48" s="338"/>
      <c r="AI48" s="338"/>
      <c r="AJ48" s="338"/>
      <c r="AK48" s="338"/>
    </row>
    <row r="49" spans="5:37">
      <c r="E49" s="69">
        <v>3</v>
      </c>
      <c r="F49" s="69">
        <v>0.2</v>
      </c>
      <c r="G49" s="69">
        <v>0.88890000000000002</v>
      </c>
      <c r="H49" s="69">
        <v>12</v>
      </c>
      <c r="I49" s="69" t="str">
        <f t="shared" si="0"/>
        <v>312</v>
      </c>
      <c r="J49" s="336">
        <v>75000</v>
      </c>
      <c r="K49" s="430">
        <v>1.024977</v>
      </c>
      <c r="L49" s="69">
        <f t="shared" si="1"/>
        <v>1</v>
      </c>
      <c r="N49" s="440">
        <v>46</v>
      </c>
      <c r="O49" s="441">
        <v>2150</v>
      </c>
      <c r="P49" s="440" t="s">
        <v>474</v>
      </c>
      <c r="Q49" s="442">
        <f t="shared" si="2"/>
        <v>0.10462399999999999</v>
      </c>
      <c r="R49" s="443">
        <v>8.4320999999999993E-2</v>
      </c>
      <c r="S49" s="443">
        <v>0.10462399999999999</v>
      </c>
      <c r="U49" s="351">
        <v>46</v>
      </c>
      <c r="V49" s="351" t="s">
        <v>304</v>
      </c>
      <c r="W49" s="351" t="s">
        <v>85</v>
      </c>
      <c r="X49" s="351" t="s">
        <v>13</v>
      </c>
      <c r="Y49" s="444">
        <v>43.54</v>
      </c>
      <c r="Z49" s="351">
        <v>88</v>
      </c>
      <c r="AA49" s="351">
        <v>0</v>
      </c>
      <c r="AB49"/>
      <c r="AC49" s="70">
        <v>46</v>
      </c>
      <c r="AD49" s="391">
        <v>2570</v>
      </c>
      <c r="AE49" s="282" t="str">
        <f>+IF('CAPTURA DP'!B4&lt;=3," 2,570  UMAM ","")</f>
        <v xml:space="preserve"> 2,570  UMAM </v>
      </c>
      <c r="AF49" s="337">
        <v>1.1932</v>
      </c>
      <c r="AG49" s="338"/>
      <c r="AH49" s="338"/>
      <c r="AI49" s="338"/>
      <c r="AJ49" s="338"/>
      <c r="AK49" s="338"/>
    </row>
    <row r="50" spans="5:37">
      <c r="E50" s="69">
        <v>3</v>
      </c>
      <c r="F50" s="69">
        <v>0.2</v>
      </c>
      <c r="G50" s="69">
        <v>0.88890000000000002</v>
      </c>
      <c r="H50" s="69">
        <v>13</v>
      </c>
      <c r="I50" s="69" t="str">
        <f t="shared" si="0"/>
        <v>313</v>
      </c>
      <c r="J50" s="336">
        <v>80000</v>
      </c>
      <c r="K50" s="430">
        <v>1.022896</v>
      </c>
      <c r="L50" s="69">
        <f t="shared" si="1"/>
        <v>1</v>
      </c>
      <c r="N50" s="440">
        <v>47</v>
      </c>
      <c r="O50" s="441">
        <v>2200</v>
      </c>
      <c r="P50" s="440" t="s">
        <v>475</v>
      </c>
      <c r="Q50" s="442">
        <f t="shared" si="2"/>
        <v>0.103704</v>
      </c>
      <c r="R50" s="443">
        <v>8.3520999999999998E-2</v>
      </c>
      <c r="S50" s="443">
        <v>0.103704</v>
      </c>
      <c r="U50" s="351">
        <v>47</v>
      </c>
      <c r="V50" s="351" t="s">
        <v>1773</v>
      </c>
      <c r="W50" s="351" t="s">
        <v>1774</v>
      </c>
      <c r="X50" s="351" t="s">
        <v>13</v>
      </c>
      <c r="Y50" s="444">
        <v>43.54</v>
      </c>
      <c r="Z50" s="351">
        <v>88</v>
      </c>
      <c r="AA50" s="351">
        <v>0</v>
      </c>
      <c r="AB50"/>
      <c r="AC50" s="70">
        <v>47</v>
      </c>
      <c r="AD50" s="391">
        <v>2573</v>
      </c>
      <c r="AE50" s="282" t="str">
        <f>+IF('CAPTURA DP'!B4&lt;=3," 2,573  UMAM ","")</f>
        <v xml:space="preserve"> 2,573  UMAM </v>
      </c>
      <c r="AF50" s="337">
        <v>1.1933</v>
      </c>
      <c r="AG50" s="338"/>
      <c r="AH50" s="338"/>
      <c r="AI50" s="338"/>
      <c r="AJ50" s="338"/>
      <c r="AK50" s="338"/>
    </row>
    <row r="51" spans="5:37">
      <c r="E51" s="69">
        <v>3</v>
      </c>
      <c r="F51" s="69">
        <v>0.2</v>
      </c>
      <c r="G51" s="69">
        <v>0.88890000000000002</v>
      </c>
      <c r="H51" s="69">
        <v>14</v>
      </c>
      <c r="I51" s="69" t="str">
        <f t="shared" si="0"/>
        <v>314</v>
      </c>
      <c r="J51" s="336">
        <v>85000</v>
      </c>
      <c r="K51" s="430">
        <v>1.0209820000000001</v>
      </c>
      <c r="L51" s="69">
        <f t="shared" si="1"/>
        <v>1</v>
      </c>
      <c r="N51" s="440">
        <v>48</v>
      </c>
      <c r="O51" s="441">
        <v>2250</v>
      </c>
      <c r="P51" s="440" t="s">
        <v>476</v>
      </c>
      <c r="Q51" s="442">
        <f t="shared" si="2"/>
        <v>0.102814</v>
      </c>
      <c r="R51" s="443">
        <v>8.2746E-2</v>
      </c>
      <c r="S51" s="443">
        <v>0.102814</v>
      </c>
      <c r="U51" s="351">
        <v>48</v>
      </c>
      <c r="V51" s="351" t="s">
        <v>1133</v>
      </c>
      <c r="W51" s="351" t="s">
        <v>1134</v>
      </c>
      <c r="X51" s="351" t="s">
        <v>13</v>
      </c>
      <c r="Y51" s="444">
        <v>43.4</v>
      </c>
      <c r="Z51" s="351">
        <v>88</v>
      </c>
      <c r="AA51" s="351">
        <v>0</v>
      </c>
      <c r="AB51"/>
      <c r="AC51" s="70">
        <v>48</v>
      </c>
      <c r="AD51" s="391">
        <v>2675</v>
      </c>
      <c r="AE51" s="282" t="str">
        <f>+IF('CAPTURA DP'!B4&lt;=3," 2,675  UMAM ","")</f>
        <v xml:space="preserve"> 2,675  UMAM </v>
      </c>
      <c r="AF51" s="337">
        <v>1.1960999999999999</v>
      </c>
      <c r="AG51" s="338"/>
      <c r="AH51" s="338"/>
      <c r="AI51" s="338"/>
      <c r="AJ51" s="338"/>
      <c r="AK51" s="338"/>
    </row>
    <row r="52" spans="5:37">
      <c r="E52" s="69">
        <v>3</v>
      </c>
      <c r="F52" s="69">
        <v>0.2</v>
      </c>
      <c r="G52" s="69">
        <v>0.88890000000000002</v>
      </c>
      <c r="H52" s="69">
        <v>15</v>
      </c>
      <c r="I52" s="69" t="str">
        <f t="shared" si="0"/>
        <v>315</v>
      </c>
      <c r="J52" s="336">
        <v>90000</v>
      </c>
      <c r="K52" s="430">
        <v>1.019223</v>
      </c>
      <c r="L52" s="69">
        <f t="shared" si="1"/>
        <v>1</v>
      </c>
      <c r="N52" s="440">
        <v>49</v>
      </c>
      <c r="O52" s="441">
        <v>2300</v>
      </c>
      <c r="P52" s="440" t="s">
        <v>477</v>
      </c>
      <c r="Q52" s="442">
        <f t="shared" si="2"/>
        <v>0.10195</v>
      </c>
      <c r="R52" s="443">
        <v>8.1994999999999998E-2</v>
      </c>
      <c r="S52" s="443">
        <v>0.10195</v>
      </c>
      <c r="AB52"/>
      <c r="AC52" s="70">
        <v>49</v>
      </c>
      <c r="AD52" s="391">
        <v>2690</v>
      </c>
      <c r="AE52" s="282" t="str">
        <f>+IF('CAPTURA DP'!B4&lt;=3," 2,690  UMAM ","")</f>
        <v xml:space="preserve"> 2,690  UMAM </v>
      </c>
      <c r="AF52" s="337">
        <v>1.1964999999999999</v>
      </c>
      <c r="AG52" s="338"/>
      <c r="AH52" s="338"/>
      <c r="AI52" s="338"/>
      <c r="AJ52" s="338"/>
      <c r="AK52" s="338"/>
    </row>
    <row r="53" spans="5:37">
      <c r="E53" s="69">
        <v>3</v>
      </c>
      <c r="F53" s="69">
        <v>0.2</v>
      </c>
      <c r="G53" s="69">
        <v>0.88890000000000002</v>
      </c>
      <c r="H53" s="69">
        <v>16</v>
      </c>
      <c r="I53" s="69" t="str">
        <f t="shared" si="0"/>
        <v>316</v>
      </c>
      <c r="J53" s="336">
        <v>95000</v>
      </c>
      <c r="K53" s="430">
        <v>1.0176069999999999</v>
      </c>
      <c r="L53" s="69">
        <f t="shared" si="1"/>
        <v>1</v>
      </c>
      <c r="N53" s="440">
        <v>50</v>
      </c>
      <c r="O53" s="441">
        <v>2350</v>
      </c>
      <c r="P53" s="440" t="s">
        <v>478</v>
      </c>
      <c r="Q53" s="442">
        <f t="shared" si="2"/>
        <v>0.10111199999999999</v>
      </c>
      <c r="R53" s="443">
        <v>8.1267000000000006E-2</v>
      </c>
      <c r="S53" s="443">
        <v>0.10111199999999999</v>
      </c>
      <c r="AB53"/>
      <c r="AC53" s="70">
        <v>50</v>
      </c>
      <c r="AD53" s="391">
        <v>2700</v>
      </c>
      <c r="AE53" s="282" t="str">
        <f>+IF('CAPTURA DP'!B4&lt;=3," 2,700  UMAM ","")</f>
        <v xml:space="preserve"> 2,700  UMAM </v>
      </c>
      <c r="AF53" s="337">
        <v>1.1968000000000001</v>
      </c>
      <c r="AG53" s="338"/>
      <c r="AH53" s="338"/>
      <c r="AI53" s="338"/>
      <c r="AJ53" s="338"/>
      <c r="AK53" s="338"/>
    </row>
    <row r="54" spans="5:37">
      <c r="E54" s="69">
        <v>3</v>
      </c>
      <c r="F54" s="69">
        <v>0.2</v>
      </c>
      <c r="G54" s="69">
        <v>0.88890000000000002</v>
      </c>
      <c r="H54" s="69">
        <v>17</v>
      </c>
      <c r="I54" s="69" t="str">
        <f t="shared" si="0"/>
        <v>317</v>
      </c>
      <c r="J54" s="336">
        <v>100000</v>
      </c>
      <c r="K54" s="430">
        <v>1.0161210000000001</v>
      </c>
      <c r="L54" s="69">
        <f t="shared" si="1"/>
        <v>1</v>
      </c>
      <c r="N54" s="440">
        <v>51</v>
      </c>
      <c r="O54" s="441">
        <v>2400</v>
      </c>
      <c r="P54" s="440" t="s">
        <v>479</v>
      </c>
      <c r="Q54" s="442">
        <f t="shared" si="2"/>
        <v>0.100298</v>
      </c>
      <c r="R54" s="443">
        <v>8.0560000000000007E-2</v>
      </c>
      <c r="S54" s="443">
        <v>0.100298</v>
      </c>
      <c r="AC54" s="70">
        <v>51</v>
      </c>
      <c r="AD54" s="391">
        <v>2800</v>
      </c>
      <c r="AE54" s="282" t="str">
        <f>+IF('CAPTURA DP'!B4&lt;=3," 2,800  UMAM ","")</f>
        <v xml:space="preserve"> 2,800  UMAM </v>
      </c>
      <c r="AF54" s="337">
        <v>1.1995</v>
      </c>
      <c r="AG54" s="338"/>
      <c r="AH54" s="338"/>
      <c r="AI54" s="338"/>
      <c r="AJ54" s="338"/>
      <c r="AK54" s="338"/>
    </row>
    <row r="55" spans="5:37">
      <c r="E55" s="69">
        <v>4</v>
      </c>
      <c r="F55" s="69">
        <v>0.25</v>
      </c>
      <c r="G55" s="69">
        <v>0.83330000000000004</v>
      </c>
      <c r="H55" s="69">
        <v>1</v>
      </c>
      <c r="I55" s="69" t="str">
        <f t="shared" si="0"/>
        <v>41</v>
      </c>
      <c r="J55" s="69">
        <v>0</v>
      </c>
      <c r="K55" s="430">
        <v>1</v>
      </c>
      <c r="L55" s="69">
        <f t="shared" si="1"/>
        <v>1</v>
      </c>
      <c r="N55" s="440">
        <v>52</v>
      </c>
      <c r="O55" s="441">
        <v>2450</v>
      </c>
      <c r="P55" s="440" t="s">
        <v>480</v>
      </c>
      <c r="Q55" s="442">
        <f t="shared" si="2"/>
        <v>9.9506999999999998E-2</v>
      </c>
      <c r="R55" s="443">
        <v>7.9874000000000001E-2</v>
      </c>
      <c r="S55" s="443">
        <v>9.9506999999999998E-2</v>
      </c>
      <c r="AC55" s="70">
        <v>52</v>
      </c>
      <c r="AD55" s="391">
        <v>3000</v>
      </c>
      <c r="AE55" s="282" t="str">
        <f>+IF('CAPTURA DP'!B4&lt;=3," 3,000  UMAM ","")</f>
        <v xml:space="preserve"> 3,000  UMAM </v>
      </c>
      <c r="AF55" s="337">
        <v>1.2051000000000001</v>
      </c>
      <c r="AG55" s="338"/>
      <c r="AH55" s="338"/>
      <c r="AI55" s="338"/>
      <c r="AJ55" s="338"/>
      <c r="AK55" s="338"/>
    </row>
    <row r="56" spans="5:37">
      <c r="E56" s="69">
        <v>4</v>
      </c>
      <c r="F56" s="69">
        <v>0.25</v>
      </c>
      <c r="G56" s="69">
        <v>0.83330000000000004</v>
      </c>
      <c r="H56" s="69">
        <v>2</v>
      </c>
      <c r="I56" s="69" t="str">
        <f t="shared" si="0"/>
        <v>42</v>
      </c>
      <c r="J56" s="336">
        <v>10000</v>
      </c>
      <c r="K56" s="430">
        <v>1.307933</v>
      </c>
      <c r="L56" s="69">
        <f t="shared" si="1"/>
        <v>1</v>
      </c>
      <c r="N56" s="440">
        <v>53</v>
      </c>
      <c r="O56" s="441">
        <v>2500</v>
      </c>
      <c r="P56" s="440" t="s">
        <v>481</v>
      </c>
      <c r="Q56" s="442">
        <f t="shared" si="2"/>
        <v>9.8738999999999993E-2</v>
      </c>
      <c r="R56" s="443">
        <v>7.9208000000000001E-2</v>
      </c>
      <c r="S56" s="443">
        <v>9.8738999999999993E-2</v>
      </c>
      <c r="AC56" s="70">
        <v>53</v>
      </c>
      <c r="AD56" s="391">
        <v>3485</v>
      </c>
      <c r="AE56" s="282" t="str">
        <f>+IF('CAPTURA DP'!B4&lt;=3," 3,485  UMAM ","")</f>
        <v xml:space="preserve"> 3,485  UMAM </v>
      </c>
      <c r="AF56" s="337">
        <v>1.2163999999999999</v>
      </c>
      <c r="AG56" s="338"/>
      <c r="AH56" s="338"/>
      <c r="AI56" s="338"/>
      <c r="AJ56" s="338"/>
      <c r="AK56" s="338"/>
    </row>
    <row r="57" spans="5:37">
      <c r="E57" s="69">
        <v>4</v>
      </c>
      <c r="F57" s="69">
        <v>0.25</v>
      </c>
      <c r="G57" s="69">
        <v>0.83330000000000004</v>
      </c>
      <c r="H57" s="69">
        <v>3</v>
      </c>
      <c r="I57" s="69" t="str">
        <f t="shared" si="0"/>
        <v>43</v>
      </c>
      <c r="J57" s="336">
        <v>15000</v>
      </c>
      <c r="K57" s="430">
        <v>1.2633289999999999</v>
      </c>
      <c r="L57" s="69">
        <f t="shared" si="1"/>
        <v>1</v>
      </c>
      <c r="N57" s="440">
        <v>54</v>
      </c>
      <c r="O57" s="441">
        <v>2550</v>
      </c>
      <c r="P57" s="440" t="s">
        <v>482</v>
      </c>
      <c r="Q57" s="442">
        <f t="shared" si="2"/>
        <v>9.7990999999999995E-2</v>
      </c>
      <c r="R57" s="443">
        <v>7.8560000000000005E-2</v>
      </c>
      <c r="S57" s="443">
        <v>9.7990999999999995E-2</v>
      </c>
      <c r="AC57" s="70">
        <v>54</v>
      </c>
      <c r="AD57" s="391">
        <v>3500</v>
      </c>
      <c r="AE57" s="282" t="str">
        <f>+IF('CAPTURA DP'!B4&lt;=3," 3,500  UMAM ","")</f>
        <v xml:space="preserve"> 3,500  UMAM </v>
      </c>
      <c r="AF57" s="337">
        <v>1.2166999999999999</v>
      </c>
      <c r="AG57" s="338"/>
      <c r="AH57" s="338"/>
      <c r="AI57" s="338"/>
      <c r="AJ57" s="338"/>
      <c r="AK57" s="338"/>
    </row>
    <row r="58" spans="5:37">
      <c r="E58" s="69">
        <v>4</v>
      </c>
      <c r="F58" s="69">
        <v>0.25</v>
      </c>
      <c r="G58" s="69">
        <v>0.83330000000000004</v>
      </c>
      <c r="H58" s="69">
        <v>4</v>
      </c>
      <c r="I58" s="69" t="str">
        <f t="shared" si="0"/>
        <v>44</v>
      </c>
      <c r="J58" s="336">
        <v>20000</v>
      </c>
      <c r="K58" s="430">
        <v>1.2274369999999999</v>
      </c>
      <c r="L58" s="69">
        <f t="shared" si="1"/>
        <v>1</v>
      </c>
      <c r="N58" s="440">
        <v>55</v>
      </c>
      <c r="O58" s="441">
        <v>2600</v>
      </c>
      <c r="P58" s="440" t="s">
        <v>483</v>
      </c>
      <c r="Q58" s="442">
        <f t="shared" si="2"/>
        <v>9.7263000000000002E-2</v>
      </c>
      <c r="R58" s="443">
        <v>7.7928999999999998E-2</v>
      </c>
      <c r="S58" s="443">
        <v>9.7263000000000002E-2</v>
      </c>
      <c r="AC58" s="70">
        <v>55</v>
      </c>
      <c r="AD58" s="391">
        <v>3600</v>
      </c>
      <c r="AE58" s="282" t="str">
        <f>+IF('CAPTURA DP'!B4&lt;=3," 3,600  UMAM ","")</f>
        <v xml:space="preserve"> 3,600  UMAM </v>
      </c>
      <c r="AF58" s="337">
        <v>1.2188000000000001</v>
      </c>
      <c r="AG58" s="338"/>
      <c r="AH58" s="338"/>
      <c r="AI58" s="338"/>
      <c r="AJ58" s="338"/>
      <c r="AK58" s="338"/>
    </row>
    <row r="59" spans="5:37">
      <c r="E59" s="69">
        <v>4</v>
      </c>
      <c r="F59" s="69">
        <v>0.25</v>
      </c>
      <c r="G59" s="69">
        <v>0.83330000000000004</v>
      </c>
      <c r="H59" s="69">
        <v>5</v>
      </c>
      <c r="I59" s="69" t="str">
        <f t="shared" si="0"/>
        <v>45</v>
      </c>
      <c r="J59" s="336">
        <v>25000</v>
      </c>
      <c r="K59" s="430">
        <v>1.1974180000000001</v>
      </c>
      <c r="L59" s="69">
        <f t="shared" si="1"/>
        <v>1</v>
      </c>
      <c r="N59" s="440">
        <v>56</v>
      </c>
      <c r="O59" s="441">
        <v>2650</v>
      </c>
      <c r="P59" s="440" t="s">
        <v>484</v>
      </c>
      <c r="Q59" s="442">
        <f t="shared" si="2"/>
        <v>9.6555000000000002E-2</v>
      </c>
      <c r="R59" s="443">
        <v>7.7315999999999996E-2</v>
      </c>
      <c r="S59" s="443">
        <v>9.6555000000000002E-2</v>
      </c>
      <c r="AC59" s="70">
        <v>56</v>
      </c>
      <c r="AD59" s="391">
        <v>4000</v>
      </c>
      <c r="AE59" s="282" t="str">
        <f>+IF('CAPTURA DP'!B4&lt;=3," 4,000  UMAM ","")</f>
        <v xml:space="preserve"> 4,000  UMAM </v>
      </c>
      <c r="AF59" s="337">
        <v>1.2267999999999999</v>
      </c>
      <c r="AG59" s="338"/>
      <c r="AH59" s="338"/>
      <c r="AI59" s="338"/>
      <c r="AJ59" s="338"/>
      <c r="AK59" s="338"/>
    </row>
    <row r="60" spans="5:37">
      <c r="E60" s="69">
        <v>4</v>
      </c>
      <c r="F60" s="69">
        <v>0.25</v>
      </c>
      <c r="G60" s="69">
        <v>0.83330000000000004</v>
      </c>
      <c r="H60" s="69">
        <v>6</v>
      </c>
      <c r="I60" s="69" t="str">
        <f t="shared" si="0"/>
        <v>46</v>
      </c>
      <c r="J60" s="336">
        <v>30000</v>
      </c>
      <c r="K60" s="430">
        <v>1.1727240000000001</v>
      </c>
      <c r="L60" s="69">
        <f t="shared" si="1"/>
        <v>1</v>
      </c>
      <c r="N60" s="440">
        <v>57</v>
      </c>
      <c r="O60" s="441">
        <v>2700</v>
      </c>
      <c r="P60" s="440" t="s">
        <v>485</v>
      </c>
      <c r="Q60" s="442">
        <f t="shared" si="2"/>
        <v>9.5865000000000006E-2</v>
      </c>
      <c r="R60" s="443">
        <v>7.6718999999999996E-2</v>
      </c>
      <c r="S60" s="443">
        <v>9.5865000000000006E-2</v>
      </c>
      <c r="AC60" s="70">
        <v>57</v>
      </c>
      <c r="AD60" s="391">
        <v>4500</v>
      </c>
      <c r="AE60" s="282" t="str">
        <f>+IF('CAPTURA DP'!B4&lt;=3," 4,500  UMAM ","")</f>
        <v xml:space="preserve"> 4,500  UMAM </v>
      </c>
      <c r="AF60" s="337">
        <v>1.2358</v>
      </c>
      <c r="AG60" s="338"/>
      <c r="AH60" s="338"/>
      <c r="AI60" s="338"/>
      <c r="AJ60" s="338"/>
      <c r="AK60" s="338"/>
    </row>
    <row r="61" spans="5:37">
      <c r="E61" s="69">
        <v>4</v>
      </c>
      <c r="F61" s="69">
        <v>0.25</v>
      </c>
      <c r="G61" s="69">
        <v>0.83330000000000004</v>
      </c>
      <c r="H61" s="69">
        <v>7</v>
      </c>
      <c r="I61" s="69" t="str">
        <f t="shared" si="0"/>
        <v>47</v>
      </c>
      <c r="J61" s="336">
        <v>40000</v>
      </c>
      <c r="K61" s="430">
        <v>1.0675920000000001</v>
      </c>
      <c r="L61" s="69">
        <f t="shared" si="1"/>
        <v>1</v>
      </c>
      <c r="N61" s="440">
        <v>58</v>
      </c>
      <c r="O61" s="441">
        <v>2750</v>
      </c>
      <c r="P61" s="440" t="s">
        <v>486</v>
      </c>
      <c r="Q61" s="442">
        <f t="shared" si="2"/>
        <v>9.5191999999999999E-2</v>
      </c>
      <c r="R61" s="443">
        <v>7.6136999999999996E-2</v>
      </c>
      <c r="S61" s="443">
        <v>9.5191999999999999E-2</v>
      </c>
      <c r="AC61" s="70">
        <v>58</v>
      </c>
      <c r="AD61" s="391">
        <v>4800</v>
      </c>
      <c r="AE61" s="282" t="str">
        <f>+IF('CAPTURA DP'!B4&lt;=3," 4,800  UMAM ","")</f>
        <v xml:space="preserve"> 4,800  UMAM </v>
      </c>
      <c r="AF61" s="337">
        <v>1.2404999999999999</v>
      </c>
      <c r="AG61" s="338"/>
      <c r="AH61" s="338"/>
      <c r="AI61" s="338"/>
      <c r="AJ61" s="338"/>
      <c r="AK61" s="338"/>
    </row>
    <row r="62" spans="5:37">
      <c r="E62" s="69">
        <v>4</v>
      </c>
      <c r="F62" s="69">
        <v>0.25</v>
      </c>
      <c r="G62" s="69">
        <v>0.83330000000000004</v>
      </c>
      <c r="H62" s="69">
        <v>8</v>
      </c>
      <c r="I62" s="69" t="str">
        <f t="shared" si="0"/>
        <v>48</v>
      </c>
      <c r="J62" s="336">
        <v>50000</v>
      </c>
      <c r="K62" s="430">
        <v>1.054764</v>
      </c>
      <c r="L62" s="69">
        <f t="shared" si="1"/>
        <v>1</v>
      </c>
      <c r="N62" s="440">
        <v>59</v>
      </c>
      <c r="O62" s="441">
        <v>2800</v>
      </c>
      <c r="P62" s="440" t="s">
        <v>487</v>
      </c>
      <c r="Q62" s="442">
        <f t="shared" si="2"/>
        <v>9.4535999999999995E-2</v>
      </c>
      <c r="R62" s="443">
        <v>7.5569999999999998E-2</v>
      </c>
      <c r="S62" s="443">
        <v>9.4535999999999995E-2</v>
      </c>
      <c r="AC62" s="70">
        <v>59</v>
      </c>
      <c r="AD62" s="391">
        <v>5000</v>
      </c>
      <c r="AE62" s="282" t="str">
        <f>+IF('CAPTURA DP'!B4&lt;=3," 5,000  UMAM ","")</f>
        <v xml:space="preserve"> 5,000  UMAM </v>
      </c>
      <c r="AF62" s="337">
        <v>1.2437</v>
      </c>
      <c r="AG62" s="338"/>
      <c r="AH62" s="338"/>
      <c r="AI62" s="338"/>
      <c r="AJ62" s="338"/>
      <c r="AK62" s="338"/>
    </row>
    <row r="63" spans="5:37">
      <c r="E63" s="69">
        <v>4</v>
      </c>
      <c r="F63" s="69">
        <v>0.25</v>
      </c>
      <c r="G63" s="69">
        <v>0.83330000000000004</v>
      </c>
      <c r="H63" s="69">
        <v>9</v>
      </c>
      <c r="I63" s="69" t="str">
        <f t="shared" si="0"/>
        <v>49</v>
      </c>
      <c r="J63" s="336">
        <v>60000</v>
      </c>
      <c r="K63" s="430">
        <v>1.0468660000000001</v>
      </c>
      <c r="L63" s="69">
        <f t="shared" si="1"/>
        <v>1</v>
      </c>
      <c r="N63" s="440">
        <v>60</v>
      </c>
      <c r="O63" s="441">
        <v>2850</v>
      </c>
      <c r="P63" s="440" t="s">
        <v>488</v>
      </c>
      <c r="Q63" s="442">
        <f t="shared" si="2"/>
        <v>9.3895000000000006E-2</v>
      </c>
      <c r="R63" s="443">
        <v>7.5017E-2</v>
      </c>
      <c r="S63" s="443">
        <v>9.3895000000000006E-2</v>
      </c>
      <c r="AC63" s="70">
        <v>60</v>
      </c>
      <c r="AD63" s="391">
        <v>5500</v>
      </c>
      <c r="AE63" s="282" t="str">
        <f>+IF('CAPTURA DP'!B4&lt;=3," 5,500  UMAM ","")</f>
        <v xml:space="preserve"> 5,500  UMAM </v>
      </c>
      <c r="AF63" s="337">
        <v>1.2509999999999999</v>
      </c>
      <c r="AG63" s="338"/>
      <c r="AH63" s="338"/>
      <c r="AI63" s="338"/>
      <c r="AJ63" s="338"/>
      <c r="AK63" s="338"/>
    </row>
    <row r="64" spans="5:37">
      <c r="E64" s="69">
        <v>4</v>
      </c>
      <c r="F64" s="69">
        <v>0.25</v>
      </c>
      <c r="G64" s="69">
        <v>0.83330000000000004</v>
      </c>
      <c r="H64" s="69">
        <v>10</v>
      </c>
      <c r="I64" s="69" t="str">
        <f t="shared" si="0"/>
        <v>410</v>
      </c>
      <c r="J64" s="336">
        <v>65000</v>
      </c>
      <c r="K64" s="430">
        <v>1.043126</v>
      </c>
      <c r="L64" s="69">
        <f t="shared" si="1"/>
        <v>1</v>
      </c>
      <c r="N64" s="440">
        <v>61</v>
      </c>
      <c r="O64" s="441">
        <v>2900</v>
      </c>
      <c r="P64" s="440" t="s">
        <v>489</v>
      </c>
      <c r="Q64" s="442">
        <f t="shared" si="2"/>
        <v>9.3271000000000007E-2</v>
      </c>
      <c r="R64" s="443">
        <v>7.4478000000000003E-2</v>
      </c>
      <c r="S64" s="443">
        <v>9.3271000000000007E-2</v>
      </c>
      <c r="AC64" s="70">
        <v>61</v>
      </c>
      <c r="AD64" s="391">
        <v>6000</v>
      </c>
      <c r="AE64" s="282" t="str">
        <f>+IF('CAPTURA DP'!B4&lt;=3," 6,000  UMAM ","")</f>
        <v xml:space="preserve"> 6,000  UMAM </v>
      </c>
      <c r="AF64" s="337">
        <v>1.2575000000000001</v>
      </c>
      <c r="AG64" s="338"/>
      <c r="AH64" s="338"/>
      <c r="AI64" s="338"/>
      <c r="AJ64" s="338"/>
      <c r="AK64" s="338"/>
    </row>
    <row r="65" spans="5:37">
      <c r="E65" s="69">
        <v>4</v>
      </c>
      <c r="F65" s="69">
        <v>0.25</v>
      </c>
      <c r="G65" s="69">
        <v>0.83330000000000004</v>
      </c>
      <c r="H65" s="69">
        <v>11</v>
      </c>
      <c r="I65" s="69" t="str">
        <f t="shared" si="0"/>
        <v>411</v>
      </c>
      <c r="J65" s="336">
        <v>70000</v>
      </c>
      <c r="K65" s="430">
        <v>1.039595</v>
      </c>
      <c r="L65" s="69">
        <f t="shared" si="1"/>
        <v>1</v>
      </c>
      <c r="N65" s="440">
        <v>62</v>
      </c>
      <c r="O65" s="441">
        <v>2950</v>
      </c>
      <c r="P65" s="440" t="s">
        <v>490</v>
      </c>
      <c r="Q65" s="442">
        <f t="shared" si="2"/>
        <v>9.2660999999999993E-2</v>
      </c>
      <c r="R65" s="443">
        <v>7.3951000000000003E-2</v>
      </c>
      <c r="S65" s="443">
        <v>9.2660999999999993E-2</v>
      </c>
      <c r="AC65" s="70">
        <v>62</v>
      </c>
      <c r="AD65" s="391">
        <v>6500</v>
      </c>
      <c r="AE65" s="282" t="str">
        <f>+IF('CAPTURA DP'!B4&lt;=3," 6,500  UMAM ","")</f>
        <v xml:space="preserve"> 6,500  UMAM </v>
      </c>
      <c r="AF65" s="337">
        <v>1.2636000000000001</v>
      </c>
      <c r="AG65" s="338"/>
      <c r="AH65" s="338"/>
      <c r="AI65" s="338"/>
      <c r="AJ65" s="338"/>
      <c r="AK65" s="338"/>
    </row>
    <row r="66" spans="5:37">
      <c r="E66" s="69">
        <v>4</v>
      </c>
      <c r="F66" s="69">
        <v>0.25</v>
      </c>
      <c r="G66" s="69">
        <v>0.83330000000000004</v>
      </c>
      <c r="H66" s="69">
        <v>12</v>
      </c>
      <c r="I66" s="69" t="str">
        <f t="shared" si="0"/>
        <v>412</v>
      </c>
      <c r="J66" s="336">
        <v>75000</v>
      </c>
      <c r="K66" s="430">
        <v>1.0363070000000001</v>
      </c>
      <c r="L66" s="69">
        <f t="shared" si="1"/>
        <v>1</v>
      </c>
      <c r="N66" s="440">
        <v>63</v>
      </c>
      <c r="O66" s="441">
        <v>3000</v>
      </c>
      <c r="P66" s="440" t="s">
        <v>491</v>
      </c>
      <c r="Q66" s="442">
        <f t="shared" si="2"/>
        <v>9.2064999999999994E-2</v>
      </c>
      <c r="R66" s="443">
        <v>7.3438000000000003E-2</v>
      </c>
      <c r="S66" s="443">
        <v>9.2064999999999994E-2</v>
      </c>
      <c r="AC66" s="70">
        <v>63</v>
      </c>
      <c r="AD66" s="391">
        <v>6700</v>
      </c>
      <c r="AE66" s="282" t="str">
        <f>+IF('CAPTURA DP'!B4&lt;=3," 6,700  UMAM ","")</f>
        <v xml:space="preserve"> 6,700  UMAM </v>
      </c>
      <c r="AF66" s="337">
        <v>1.2659</v>
      </c>
      <c r="AG66" s="338"/>
      <c r="AH66" s="338"/>
      <c r="AI66" s="338"/>
      <c r="AJ66" s="338"/>
      <c r="AK66" s="338"/>
    </row>
    <row r="67" spans="5:37">
      <c r="E67" s="69">
        <v>4</v>
      </c>
      <c r="F67" s="69">
        <v>0.25</v>
      </c>
      <c r="G67" s="69">
        <v>0.83330000000000004</v>
      </c>
      <c r="H67" s="69">
        <v>13</v>
      </c>
      <c r="I67" s="69" t="str">
        <f t="shared" si="0"/>
        <v>413</v>
      </c>
      <c r="J67" s="336">
        <v>80000</v>
      </c>
      <c r="K67" s="430">
        <v>1.033282</v>
      </c>
      <c r="L67" s="69">
        <f t="shared" si="1"/>
        <v>1</v>
      </c>
      <c r="N67" s="440">
        <v>64</v>
      </c>
      <c r="O67" s="441">
        <v>3050</v>
      </c>
      <c r="P67" s="440" t="s">
        <v>492</v>
      </c>
      <c r="Q67" s="442">
        <f t="shared" si="2"/>
        <v>9.1481999999999994E-2</v>
      </c>
      <c r="R67" s="443">
        <v>7.2936000000000001E-2</v>
      </c>
      <c r="S67" s="443">
        <v>9.1481999999999994E-2</v>
      </c>
      <c r="AC67" s="70">
        <v>64</v>
      </c>
      <c r="AD67" s="391">
        <v>6800</v>
      </c>
      <c r="AE67" s="282" t="str">
        <f>+IF('CAPTURA DP'!B4&lt;=3," 6,800  UMAM ","")</f>
        <v xml:space="preserve"> 6,800  UMAM </v>
      </c>
      <c r="AF67" s="337">
        <v>1.2669999999999999</v>
      </c>
      <c r="AG67" s="338"/>
      <c r="AH67" s="338"/>
      <c r="AI67" s="338"/>
      <c r="AJ67" s="338"/>
      <c r="AK67" s="338"/>
    </row>
    <row r="68" spans="5:37">
      <c r="E68" s="69">
        <v>4</v>
      </c>
      <c r="F68" s="69">
        <v>0.25</v>
      </c>
      <c r="G68" s="69">
        <v>0.83330000000000004</v>
      </c>
      <c r="H68" s="69">
        <v>14</v>
      </c>
      <c r="I68" s="69" t="str">
        <f t="shared" si="0"/>
        <v>414</v>
      </c>
      <c r="J68" s="336">
        <v>85000</v>
      </c>
      <c r="K68" s="430">
        <v>1.0305010000000001</v>
      </c>
      <c r="L68" s="69">
        <f t="shared" si="1"/>
        <v>1</v>
      </c>
      <c r="N68" s="440">
        <v>65</v>
      </c>
      <c r="O68" s="441">
        <v>3100</v>
      </c>
      <c r="P68" s="440" t="s">
        <v>493</v>
      </c>
      <c r="Q68" s="442">
        <f t="shared" si="2"/>
        <v>9.0912999999999994E-2</v>
      </c>
      <c r="R68" s="443">
        <v>7.2444999999999996E-2</v>
      </c>
      <c r="S68" s="443">
        <v>9.0912999999999994E-2</v>
      </c>
      <c r="AC68" s="70">
        <v>65</v>
      </c>
      <c r="AD68" s="391">
        <v>7000</v>
      </c>
      <c r="AE68" s="282" t="str">
        <f>+IF('CAPTURA DP'!B4&lt;=3," 7,000  UMAM ","")</f>
        <v xml:space="preserve"> 7,000  UMAM </v>
      </c>
      <c r="AF68" s="337">
        <v>1.2692000000000001</v>
      </c>
      <c r="AG68" s="338"/>
      <c r="AH68" s="338"/>
      <c r="AI68" s="338"/>
      <c r="AJ68" s="338"/>
      <c r="AK68" s="338"/>
    </row>
    <row r="69" spans="5:37">
      <c r="E69" s="69">
        <v>4</v>
      </c>
      <c r="F69" s="69">
        <v>0.25</v>
      </c>
      <c r="G69" s="69">
        <v>0.83330000000000004</v>
      </c>
      <c r="H69" s="69">
        <v>15</v>
      </c>
      <c r="I69" s="69" t="str">
        <f t="shared" si="0"/>
        <v>415</v>
      </c>
      <c r="J69" s="336">
        <v>90000</v>
      </c>
      <c r="K69" s="430">
        <v>1.027944</v>
      </c>
      <c r="L69" s="69">
        <f t="shared" si="1"/>
        <v>1</v>
      </c>
      <c r="N69" s="440">
        <v>66</v>
      </c>
      <c r="O69" s="441">
        <v>3150</v>
      </c>
      <c r="P69" s="440" t="s">
        <v>494</v>
      </c>
      <c r="Q69" s="442">
        <f t="shared" ref="Q69:Q132" si="5">+S69</f>
        <v>9.0356000000000006E-2</v>
      </c>
      <c r="R69" s="443">
        <v>7.1966000000000002E-2</v>
      </c>
      <c r="S69" s="443">
        <v>9.0356000000000006E-2</v>
      </c>
      <c r="AC69" s="70">
        <v>66</v>
      </c>
      <c r="AD69" s="391">
        <v>7500</v>
      </c>
      <c r="AE69" s="282" t="str">
        <f>+IF('CAPTURA DP'!B4&lt;=3," 7,500  UMAM ","")</f>
        <v xml:space="preserve"> 7,500  UMAM </v>
      </c>
      <c r="AF69" s="337">
        <v>1.2744</v>
      </c>
      <c r="AG69" s="338"/>
      <c r="AH69" s="338"/>
      <c r="AI69" s="338"/>
      <c r="AJ69" s="338"/>
      <c r="AK69" s="338"/>
    </row>
    <row r="70" spans="5:37">
      <c r="E70" s="69">
        <v>4</v>
      </c>
      <c r="F70" s="69">
        <v>0.25</v>
      </c>
      <c r="G70" s="69">
        <v>0.83330000000000004</v>
      </c>
      <c r="H70" s="69">
        <v>16</v>
      </c>
      <c r="I70" s="69" t="str">
        <f t="shared" si="0"/>
        <v>416</v>
      </c>
      <c r="J70" s="336">
        <v>95000</v>
      </c>
      <c r="K70" s="430">
        <v>1.0255939999999999</v>
      </c>
      <c r="L70" s="69">
        <f t="shared" si="1"/>
        <v>1</v>
      </c>
      <c r="N70" s="440">
        <v>67</v>
      </c>
      <c r="O70" s="441">
        <v>3200</v>
      </c>
      <c r="P70" s="440" t="s">
        <v>495</v>
      </c>
      <c r="Q70" s="442">
        <f t="shared" si="5"/>
        <v>8.9812000000000003E-2</v>
      </c>
      <c r="R70" s="443">
        <v>7.1497000000000005E-2</v>
      </c>
      <c r="S70" s="443">
        <v>8.9812000000000003E-2</v>
      </c>
      <c r="AC70" s="70">
        <v>67</v>
      </c>
      <c r="AD70" s="391">
        <v>7900</v>
      </c>
      <c r="AE70" s="282" t="str">
        <f>+IF('CAPTURA DP'!B4&lt;=3," 7,900  UMAM ","")</f>
        <v xml:space="preserve"> 7,900  UMAM </v>
      </c>
      <c r="AF70" s="337">
        <v>1.2784</v>
      </c>
      <c r="AG70" s="338"/>
      <c r="AH70" s="338"/>
      <c r="AI70" s="338"/>
      <c r="AJ70" s="338"/>
      <c r="AK70" s="338"/>
    </row>
    <row r="71" spans="5:37">
      <c r="E71" s="69">
        <v>4</v>
      </c>
      <c r="F71" s="69">
        <v>0.25</v>
      </c>
      <c r="G71" s="69">
        <v>0.83330000000000004</v>
      </c>
      <c r="H71" s="69">
        <v>17</v>
      </c>
      <c r="I71" s="69" t="str">
        <f t="shared" si="0"/>
        <v>417</v>
      </c>
      <c r="J71" s="336">
        <v>100000</v>
      </c>
      <c r="K71" s="430">
        <v>1.023434</v>
      </c>
      <c r="L71" s="69">
        <f t="shared" si="1"/>
        <v>1</v>
      </c>
      <c r="N71" s="440">
        <v>68</v>
      </c>
      <c r="O71" s="441">
        <v>3250</v>
      </c>
      <c r="P71" s="440" t="s">
        <v>496</v>
      </c>
      <c r="Q71" s="442">
        <f t="shared" si="5"/>
        <v>8.9278999999999997E-2</v>
      </c>
      <c r="R71" s="443">
        <v>7.1039000000000005E-2</v>
      </c>
      <c r="S71" s="443">
        <v>8.9278999999999997E-2</v>
      </c>
      <c r="AC71" s="70">
        <v>68</v>
      </c>
      <c r="AD71" s="391">
        <v>8000</v>
      </c>
      <c r="AE71" s="282" t="str">
        <f>+IF('CAPTURA DP'!B4&lt;=3," 8,000  UMAM ","")</f>
        <v xml:space="preserve"> 8,000  UMAM </v>
      </c>
      <c r="AF71" s="337">
        <v>1.2793000000000001</v>
      </c>
      <c r="AG71" s="338"/>
      <c r="AH71" s="338"/>
      <c r="AI71" s="338"/>
      <c r="AJ71" s="338"/>
      <c r="AK71" s="338"/>
    </row>
    <row r="72" spans="5:37">
      <c r="E72" s="69">
        <v>5</v>
      </c>
      <c r="F72" s="69">
        <v>0.3</v>
      </c>
      <c r="G72" s="69">
        <v>0.77780000000000005</v>
      </c>
      <c r="H72" s="69">
        <v>1</v>
      </c>
      <c r="I72" s="69" t="str">
        <f t="shared" si="0"/>
        <v>51</v>
      </c>
      <c r="J72" s="69">
        <v>0</v>
      </c>
      <c r="K72" s="430">
        <v>1</v>
      </c>
      <c r="L72" s="69">
        <f t="shared" si="1"/>
        <v>1</v>
      </c>
      <c r="N72" s="440">
        <v>69</v>
      </c>
      <c r="O72" s="441">
        <v>3300</v>
      </c>
      <c r="P72" s="440" t="s">
        <v>497</v>
      </c>
      <c r="Q72" s="442">
        <f t="shared" si="5"/>
        <v>8.8757000000000003E-2</v>
      </c>
      <c r="R72" s="443">
        <v>7.059E-2</v>
      </c>
      <c r="S72" s="443">
        <v>8.8757000000000003E-2</v>
      </c>
      <c r="AC72" s="70">
        <v>69</v>
      </c>
      <c r="AD72" s="391">
        <v>8500</v>
      </c>
      <c r="AE72" s="282" t="str">
        <f>+IF('CAPTURA DP'!B4&lt;=3," 8,500  UMAM ","")</f>
        <v xml:space="preserve"> 8,500  UMAM </v>
      </c>
      <c r="AF72" s="337">
        <v>1.2839</v>
      </c>
      <c r="AG72" s="338"/>
      <c r="AH72" s="338"/>
      <c r="AI72" s="338"/>
      <c r="AJ72" s="338"/>
      <c r="AK72" s="338"/>
    </row>
    <row r="73" spans="5:37">
      <c r="E73" s="69">
        <v>5</v>
      </c>
      <c r="F73" s="69">
        <v>0.3</v>
      </c>
      <c r="G73" s="69">
        <v>0.77780000000000005</v>
      </c>
      <c r="H73" s="69">
        <v>2</v>
      </c>
      <c r="I73" s="69" t="str">
        <f t="shared" si="0"/>
        <v>52</v>
      </c>
      <c r="J73" s="336">
        <v>10000</v>
      </c>
      <c r="K73" s="430">
        <v>1.3972119999999999</v>
      </c>
      <c r="L73" s="69">
        <f t="shared" si="1"/>
        <v>1</v>
      </c>
      <c r="N73" s="440">
        <v>70</v>
      </c>
      <c r="O73" s="441">
        <v>3350</v>
      </c>
      <c r="P73" s="440" t="s">
        <v>498</v>
      </c>
      <c r="Q73" s="442">
        <f t="shared" si="5"/>
        <v>8.8246000000000005E-2</v>
      </c>
      <c r="R73" s="443">
        <v>7.0151000000000005E-2</v>
      </c>
      <c r="S73" s="443">
        <v>8.8246000000000005E-2</v>
      </c>
      <c r="AC73" s="70">
        <v>70</v>
      </c>
      <c r="AD73" s="391">
        <v>9000</v>
      </c>
      <c r="AE73" s="282" t="str">
        <f>+IF('CAPTURA DP'!B4&lt;=3," 9,000  UMAM ","")</f>
        <v xml:space="preserve"> 9,000  UMAM </v>
      </c>
      <c r="AF73" s="337">
        <v>1.2882</v>
      </c>
      <c r="AG73" s="338"/>
      <c r="AH73" s="338"/>
      <c r="AI73" s="338"/>
      <c r="AJ73" s="338"/>
      <c r="AK73" s="338"/>
    </row>
    <row r="74" spans="5:37">
      <c r="E74" s="69">
        <v>5</v>
      </c>
      <c r="F74" s="69">
        <v>0.3</v>
      </c>
      <c r="G74" s="69">
        <v>0.77780000000000005</v>
      </c>
      <c r="H74" s="69">
        <v>3</v>
      </c>
      <c r="I74" s="69" t="str">
        <f t="shared" si="0"/>
        <v>53</v>
      </c>
      <c r="J74" s="336">
        <v>15000</v>
      </c>
      <c r="K74" s="430">
        <v>1.3491359999999999</v>
      </c>
      <c r="L74" s="69">
        <f t="shared" si="1"/>
        <v>1</v>
      </c>
      <c r="N74" s="440">
        <v>71</v>
      </c>
      <c r="O74" s="441">
        <v>3400</v>
      </c>
      <c r="P74" s="440" t="s">
        <v>499</v>
      </c>
      <c r="Q74" s="442">
        <f t="shared" si="5"/>
        <v>8.7746000000000005E-2</v>
      </c>
      <c r="R74" s="443">
        <v>6.9722000000000006E-2</v>
      </c>
      <c r="S74" s="443">
        <v>8.7746000000000005E-2</v>
      </c>
      <c r="AC74" s="70">
        <v>71</v>
      </c>
      <c r="AD74" s="391">
        <v>9500</v>
      </c>
      <c r="AE74" s="282" t="str">
        <f>+IF('CAPTURA DP'!B4&lt;=3," 9,500  UMAM ","")</f>
        <v xml:space="preserve"> 9,500  UMAM </v>
      </c>
      <c r="AF74" s="337">
        <v>1.2923</v>
      </c>
      <c r="AG74" s="338"/>
      <c r="AH74" s="338"/>
      <c r="AI74" s="338"/>
      <c r="AJ74" s="338"/>
      <c r="AK74" s="338"/>
    </row>
    <row r="75" spans="5:37">
      <c r="E75" s="69">
        <v>5</v>
      </c>
      <c r="F75" s="69">
        <v>0.3</v>
      </c>
      <c r="G75" s="69">
        <v>0.77780000000000005</v>
      </c>
      <c r="H75" s="69">
        <v>4</v>
      </c>
      <c r="I75" s="69" t="str">
        <f t="shared" si="0"/>
        <v>54</v>
      </c>
      <c r="J75" s="336">
        <v>20000</v>
      </c>
      <c r="K75" s="430">
        <v>1.307636</v>
      </c>
      <c r="L75" s="69">
        <f t="shared" si="1"/>
        <v>1</v>
      </c>
      <c r="N75" s="440">
        <v>72</v>
      </c>
      <c r="O75" s="441">
        <v>3450</v>
      </c>
      <c r="P75" s="440" t="s">
        <v>500</v>
      </c>
      <c r="Q75" s="442">
        <f t="shared" si="5"/>
        <v>8.7254999999999999E-2</v>
      </c>
      <c r="R75" s="443">
        <v>6.9301000000000001E-2</v>
      </c>
      <c r="S75" s="443">
        <v>8.7254999999999999E-2</v>
      </c>
      <c r="AC75" s="70">
        <v>72</v>
      </c>
      <c r="AD75" s="391">
        <v>10000</v>
      </c>
      <c r="AE75" s="282" t="str">
        <f>+IF('CAPTURA DP'!B4&lt;=3," 10,000  UMAM ","")</f>
        <v xml:space="preserve"> 10,000  UMAM </v>
      </c>
      <c r="AF75" s="337">
        <v>1.2962</v>
      </c>
      <c r="AG75" s="338"/>
      <c r="AH75" s="338"/>
      <c r="AI75" s="338"/>
      <c r="AJ75" s="338"/>
      <c r="AK75" s="338"/>
    </row>
    <row r="76" spans="5:37">
      <c r="E76" s="69">
        <v>5</v>
      </c>
      <c r="F76" s="69">
        <v>0.3</v>
      </c>
      <c r="G76" s="69">
        <v>0.77780000000000005</v>
      </c>
      <c r="H76" s="69">
        <v>5</v>
      </c>
      <c r="I76" s="69" t="str">
        <f t="shared" si="0"/>
        <v>55</v>
      </c>
      <c r="J76" s="336">
        <v>25000</v>
      </c>
      <c r="K76" s="430">
        <v>1.271873</v>
      </c>
      <c r="L76" s="69">
        <f t="shared" si="1"/>
        <v>1</v>
      </c>
      <c r="N76" s="440">
        <v>73</v>
      </c>
      <c r="O76" s="441">
        <v>3500</v>
      </c>
      <c r="P76" s="440" t="s">
        <v>501</v>
      </c>
      <c r="Q76" s="442">
        <f t="shared" si="5"/>
        <v>8.6775000000000005E-2</v>
      </c>
      <c r="R76" s="443">
        <v>6.8888000000000005E-2</v>
      </c>
      <c r="S76" s="443">
        <v>8.6775000000000005E-2</v>
      </c>
      <c r="AC76" s="70">
        <v>73</v>
      </c>
      <c r="AD76" s="391">
        <v>10500</v>
      </c>
      <c r="AE76" s="282" t="str">
        <f>+IF('CAPTURA DP'!B4&lt;=3," 10,500  UMAM ","")</f>
        <v xml:space="preserve"> 10,500  UMAM </v>
      </c>
      <c r="AF76" s="337">
        <v>1.2999000000000001</v>
      </c>
      <c r="AG76" s="338"/>
      <c r="AH76" s="338"/>
      <c r="AI76" s="338"/>
      <c r="AJ76" s="338"/>
      <c r="AK76" s="338"/>
    </row>
    <row r="77" spans="5:37">
      <c r="E77" s="69">
        <v>5</v>
      </c>
      <c r="F77" s="69">
        <v>0.3</v>
      </c>
      <c r="G77" s="69">
        <v>0.77780000000000005</v>
      </c>
      <c r="H77" s="69">
        <v>6</v>
      </c>
      <c r="I77" s="69" t="str">
        <f t="shared" si="0"/>
        <v>56</v>
      </c>
      <c r="J77" s="336">
        <v>30000</v>
      </c>
      <c r="K77" s="430">
        <v>1.2410969999999999</v>
      </c>
      <c r="L77" s="69">
        <f t="shared" si="1"/>
        <v>1</v>
      </c>
      <c r="N77" s="440">
        <v>74</v>
      </c>
      <c r="O77" s="441">
        <v>3550</v>
      </c>
      <c r="P77" s="440" t="s">
        <v>502</v>
      </c>
      <c r="Q77" s="442">
        <f t="shared" si="5"/>
        <v>8.6304000000000006E-2</v>
      </c>
      <c r="R77" s="443">
        <v>6.8484000000000003E-2</v>
      </c>
      <c r="S77" s="443">
        <v>8.6304000000000006E-2</v>
      </c>
      <c r="AC77" s="70">
        <v>74</v>
      </c>
      <c r="AD77" s="391">
        <v>11000</v>
      </c>
      <c r="AE77" s="282" t="str">
        <f>+IF('CAPTURA DP'!B4&lt;=3," 11,000  UMAM ","")</f>
        <v xml:space="preserve"> 11,000  UMAM </v>
      </c>
      <c r="AF77" s="337">
        <v>1.3033999999999999</v>
      </c>
      <c r="AG77" s="338"/>
      <c r="AH77" s="338"/>
      <c r="AI77" s="338"/>
      <c r="AJ77" s="338"/>
      <c r="AK77" s="338"/>
    </row>
    <row r="78" spans="5:37">
      <c r="E78" s="69">
        <v>5</v>
      </c>
      <c r="F78" s="69">
        <v>0.3</v>
      </c>
      <c r="G78" s="69">
        <v>0.77780000000000005</v>
      </c>
      <c r="H78" s="69">
        <v>7</v>
      </c>
      <c r="I78" s="69" t="str">
        <f t="shared" si="0"/>
        <v>57</v>
      </c>
      <c r="J78" s="336">
        <v>40000</v>
      </c>
      <c r="K78" s="430">
        <v>1.096195</v>
      </c>
      <c r="L78" s="69">
        <f t="shared" si="1"/>
        <v>1</v>
      </c>
      <c r="N78" s="440">
        <v>75</v>
      </c>
      <c r="O78" s="441">
        <v>3600</v>
      </c>
      <c r="P78" s="440" t="s">
        <v>503</v>
      </c>
      <c r="Q78" s="442">
        <f t="shared" si="5"/>
        <v>8.5841000000000001E-2</v>
      </c>
      <c r="R78" s="443">
        <v>6.8087999999999996E-2</v>
      </c>
      <c r="S78" s="443">
        <v>8.5841000000000001E-2</v>
      </c>
      <c r="AC78" s="70">
        <v>75</v>
      </c>
      <c r="AD78" s="391">
        <v>11500</v>
      </c>
      <c r="AE78" s="282" t="str">
        <f>+IF('CAPTURA DP'!B4&lt;=3," 11,500  UMAM ","")</f>
        <v xml:space="preserve"> 11,500  UMAM </v>
      </c>
      <c r="AF78" s="337">
        <v>1.3068</v>
      </c>
      <c r="AG78" s="338"/>
      <c r="AH78" s="338"/>
      <c r="AI78" s="338"/>
      <c r="AJ78" s="338"/>
      <c r="AK78" s="338"/>
    </row>
    <row r="79" spans="5:37">
      <c r="E79" s="69">
        <v>5</v>
      </c>
      <c r="F79" s="69">
        <v>0.3</v>
      </c>
      <c r="G79" s="69">
        <v>0.77780000000000005</v>
      </c>
      <c r="H79" s="69">
        <v>8</v>
      </c>
      <c r="I79" s="69" t="str">
        <f t="shared" si="0"/>
        <v>58</v>
      </c>
      <c r="J79" s="336">
        <v>50000</v>
      </c>
      <c r="K79" s="430">
        <v>1.0784</v>
      </c>
      <c r="L79" s="69">
        <f t="shared" si="1"/>
        <v>1</v>
      </c>
      <c r="N79" s="440">
        <v>76</v>
      </c>
      <c r="O79" s="441">
        <v>3650</v>
      </c>
      <c r="P79" s="440" t="s">
        <v>504</v>
      </c>
      <c r="Q79" s="442">
        <f t="shared" si="5"/>
        <v>8.5388000000000006E-2</v>
      </c>
      <c r="R79" s="443">
        <v>6.7698999999999995E-2</v>
      </c>
      <c r="S79" s="443">
        <v>8.5388000000000006E-2</v>
      </c>
      <c r="AC79" s="70">
        <v>76</v>
      </c>
      <c r="AD79" s="391">
        <v>12000</v>
      </c>
      <c r="AE79" s="282" t="str">
        <f>+IF('CAPTURA DP'!B4&lt;=3," 12,000  UMAM ","")</f>
        <v xml:space="preserve"> 12,000  UMAM </v>
      </c>
      <c r="AF79" s="337">
        <v>1.31</v>
      </c>
      <c r="AG79" s="338"/>
      <c r="AH79" s="338"/>
      <c r="AI79" s="338"/>
      <c r="AJ79" s="338"/>
      <c r="AK79" s="338"/>
    </row>
    <row r="80" spans="5:37">
      <c r="E80" s="69">
        <v>5</v>
      </c>
      <c r="F80" s="69">
        <v>0.3</v>
      </c>
      <c r="G80" s="69">
        <v>0.77780000000000005</v>
      </c>
      <c r="H80" s="69">
        <v>9</v>
      </c>
      <c r="I80" s="69" t="str">
        <f t="shared" si="0"/>
        <v>59</v>
      </c>
      <c r="J80" s="336">
        <v>60000</v>
      </c>
      <c r="K80" s="430">
        <v>1.0670930000000001</v>
      </c>
      <c r="L80" s="69">
        <f t="shared" si="1"/>
        <v>1</v>
      </c>
      <c r="N80" s="440">
        <v>77</v>
      </c>
      <c r="O80" s="441">
        <v>3700</v>
      </c>
      <c r="P80" s="440" t="s">
        <v>505</v>
      </c>
      <c r="Q80" s="442">
        <f t="shared" si="5"/>
        <v>8.4943000000000005E-2</v>
      </c>
      <c r="R80" s="443">
        <v>6.7318000000000003E-2</v>
      </c>
      <c r="S80" s="443">
        <v>8.4943000000000005E-2</v>
      </c>
      <c r="AC80" s="70">
        <v>77</v>
      </c>
      <c r="AD80" s="391">
        <v>12500</v>
      </c>
      <c r="AE80" s="282" t="str">
        <f>+IF('CAPTURA DP'!B4&lt;=3," 12,500  UMAM ","")</f>
        <v xml:space="preserve"> 12,500  UMAM </v>
      </c>
      <c r="AF80" s="337">
        <v>1.3130999999999999</v>
      </c>
      <c r="AG80" s="338"/>
      <c r="AH80" s="338"/>
      <c r="AI80" s="338"/>
      <c r="AJ80" s="338"/>
      <c r="AK80" s="338"/>
    </row>
    <row r="81" spans="5:37">
      <c r="E81" s="69">
        <v>5</v>
      </c>
      <c r="F81" s="69">
        <v>0.3</v>
      </c>
      <c r="G81" s="69">
        <v>0.77780000000000005</v>
      </c>
      <c r="H81" s="69">
        <v>10</v>
      </c>
      <c r="I81" s="69" t="str">
        <f t="shared" si="0"/>
        <v>510</v>
      </c>
      <c r="J81" s="336">
        <v>65000</v>
      </c>
      <c r="K81" s="430">
        <v>1.061739</v>
      </c>
      <c r="L81" s="69">
        <f t="shared" si="1"/>
        <v>1</v>
      </c>
      <c r="N81" s="440">
        <v>78</v>
      </c>
      <c r="O81" s="441">
        <v>3750</v>
      </c>
      <c r="P81" s="440" t="s">
        <v>506</v>
      </c>
      <c r="Q81" s="442">
        <f t="shared" si="5"/>
        <v>8.4506999999999999E-2</v>
      </c>
      <c r="R81" s="443">
        <v>6.6944000000000004E-2</v>
      </c>
      <c r="S81" s="443">
        <v>8.4506999999999999E-2</v>
      </c>
      <c r="AC81" s="70">
        <v>78</v>
      </c>
      <c r="AD81" s="391">
        <v>13000</v>
      </c>
      <c r="AE81" s="282" t="str">
        <f>+IF('CAPTURA DP'!B4&lt;=3," 13,000  UMAM ","")</f>
        <v xml:space="preserve"> 13,000  UMAM </v>
      </c>
      <c r="AF81" s="337">
        <v>1.3161</v>
      </c>
      <c r="AG81" s="338"/>
      <c r="AH81" s="338"/>
      <c r="AI81" s="338"/>
      <c r="AJ81" s="338"/>
      <c r="AK81" s="338"/>
    </row>
    <row r="82" spans="5:37">
      <c r="E82" s="69">
        <v>5</v>
      </c>
      <c r="F82" s="69">
        <v>0.3</v>
      </c>
      <c r="G82" s="69">
        <v>0.77780000000000005</v>
      </c>
      <c r="H82" s="69">
        <v>11</v>
      </c>
      <c r="I82" s="69" t="str">
        <f t="shared" si="0"/>
        <v>511</v>
      </c>
      <c r="J82" s="336">
        <v>70000</v>
      </c>
      <c r="K82" s="430">
        <v>1.056684</v>
      </c>
      <c r="L82" s="69">
        <f t="shared" si="1"/>
        <v>1</v>
      </c>
      <c r="N82" s="440">
        <v>79</v>
      </c>
      <c r="O82" s="441">
        <v>3800</v>
      </c>
      <c r="P82" s="440" t="s">
        <v>507</v>
      </c>
      <c r="Q82" s="442">
        <f t="shared" si="5"/>
        <v>8.4078E-2</v>
      </c>
      <c r="R82" s="443">
        <v>6.6576999999999997E-2</v>
      </c>
      <c r="S82" s="443">
        <v>8.4078E-2</v>
      </c>
      <c r="AC82" s="70">
        <v>79</v>
      </c>
      <c r="AD82" s="391">
        <v>14000</v>
      </c>
      <c r="AE82" s="282" t="str">
        <f>+IF('CAPTURA DP'!B4&lt;=3," 14,000  UMAM ","")</f>
        <v xml:space="preserve"> 14,000  UMAM </v>
      </c>
      <c r="AF82" s="337">
        <v>1.3217000000000001</v>
      </c>
      <c r="AG82" s="338"/>
      <c r="AH82" s="338"/>
      <c r="AI82" s="338"/>
      <c r="AJ82" s="338"/>
      <c r="AK82" s="338"/>
    </row>
    <row r="83" spans="5:37">
      <c r="E83" s="69">
        <v>5</v>
      </c>
      <c r="F83" s="69">
        <v>0.3</v>
      </c>
      <c r="G83" s="69">
        <v>0.77780000000000005</v>
      </c>
      <c r="H83" s="69">
        <v>12</v>
      </c>
      <c r="I83" s="69" t="str">
        <f t="shared" si="0"/>
        <v>512</v>
      </c>
      <c r="J83" s="336">
        <v>75000</v>
      </c>
      <c r="K83" s="430">
        <v>1.0519769999999999</v>
      </c>
      <c r="L83" s="69">
        <f t="shared" si="1"/>
        <v>1</v>
      </c>
      <c r="N83" s="440">
        <v>80</v>
      </c>
      <c r="O83" s="441">
        <v>3850</v>
      </c>
      <c r="P83" s="440" t="s">
        <v>508</v>
      </c>
      <c r="Q83" s="442">
        <f t="shared" si="5"/>
        <v>8.3656999999999995E-2</v>
      </c>
      <c r="R83" s="443">
        <v>6.6216999999999998E-2</v>
      </c>
      <c r="S83" s="443">
        <v>8.3656999999999995E-2</v>
      </c>
      <c r="AC83" s="70">
        <v>80</v>
      </c>
      <c r="AD83" s="391">
        <v>15000</v>
      </c>
      <c r="AE83" s="282" t="str">
        <f>+IF('CAPTURA DP'!B4&lt;=3," 15,000  UMAM ","")</f>
        <v xml:space="preserve"> 15,000  UMAM </v>
      </c>
      <c r="AF83" s="337">
        <v>1.3269</v>
      </c>
      <c r="AG83" s="338"/>
      <c r="AH83" s="338"/>
      <c r="AI83" s="338"/>
      <c r="AJ83" s="338"/>
      <c r="AK83" s="338"/>
    </row>
    <row r="84" spans="5:37">
      <c r="E84" s="69">
        <v>5</v>
      </c>
      <c r="F84" s="69">
        <v>0.3</v>
      </c>
      <c r="G84" s="69">
        <v>0.77780000000000005</v>
      </c>
      <c r="H84" s="69">
        <v>13</v>
      </c>
      <c r="I84" s="69" t="str">
        <f t="shared" si="0"/>
        <v>513</v>
      </c>
      <c r="J84" s="336">
        <v>80000</v>
      </c>
      <c r="K84" s="430">
        <v>1.047647</v>
      </c>
      <c r="L84" s="69">
        <f t="shared" si="1"/>
        <v>1</v>
      </c>
      <c r="N84" s="440">
        <v>81</v>
      </c>
      <c r="O84" s="441">
        <v>3900</v>
      </c>
      <c r="P84" s="440" t="s">
        <v>509</v>
      </c>
      <c r="Q84" s="442">
        <f t="shared" si="5"/>
        <v>8.3243999999999999E-2</v>
      </c>
      <c r="R84" s="443">
        <v>6.5864000000000006E-2</v>
      </c>
      <c r="S84" s="443">
        <v>8.3243999999999999E-2</v>
      </c>
      <c r="AC84" s="70">
        <v>81</v>
      </c>
      <c r="AD84" s="391">
        <v>15500</v>
      </c>
      <c r="AE84" s="282" t="str">
        <f>+IF('CAPTURA DP'!B4&lt;=3," 15,500  UMAM ","")</f>
        <v xml:space="preserve"> 15,500  UMAM </v>
      </c>
      <c r="AF84" s="337">
        <v>1.3293999999999999</v>
      </c>
      <c r="AG84" s="338"/>
      <c r="AH84" s="338"/>
      <c r="AI84" s="338"/>
      <c r="AJ84" s="338"/>
      <c r="AK84" s="338"/>
    </row>
    <row r="85" spans="5:37">
      <c r="E85" s="69">
        <v>5</v>
      </c>
      <c r="F85" s="69">
        <v>0.3</v>
      </c>
      <c r="G85" s="69">
        <v>0.77780000000000005</v>
      </c>
      <c r="H85" s="69">
        <v>14</v>
      </c>
      <c r="I85" s="69" t="str">
        <f t="shared" si="0"/>
        <v>514</v>
      </c>
      <c r="J85" s="336">
        <v>85000</v>
      </c>
      <c r="K85" s="430">
        <v>1.0436650000000001</v>
      </c>
      <c r="L85" s="69">
        <f t="shared" si="1"/>
        <v>1</v>
      </c>
      <c r="N85" s="440">
        <v>82</v>
      </c>
      <c r="O85" s="441">
        <v>3950</v>
      </c>
      <c r="P85" s="440" t="s">
        <v>510</v>
      </c>
      <c r="Q85" s="442">
        <f t="shared" si="5"/>
        <v>8.2837999999999995E-2</v>
      </c>
      <c r="R85" s="443">
        <v>6.5516000000000005E-2</v>
      </c>
      <c r="S85" s="443">
        <v>8.2837999999999995E-2</v>
      </c>
      <c r="AC85" s="70">
        <v>82</v>
      </c>
      <c r="AD85" s="391">
        <v>16000</v>
      </c>
      <c r="AE85" s="282" t="str">
        <f>+IF('CAPTURA DP'!B4&lt;=3," 16,000  UMAM ","")</f>
        <v xml:space="preserve"> 16,000  UMAM </v>
      </c>
      <c r="AF85" s="337">
        <v>1.3318000000000001</v>
      </c>
      <c r="AG85" s="338"/>
      <c r="AH85" s="338"/>
      <c r="AI85" s="338"/>
      <c r="AJ85" s="338"/>
      <c r="AK85" s="338"/>
    </row>
    <row r="86" spans="5:37">
      <c r="E86" s="69">
        <v>5</v>
      </c>
      <c r="F86" s="69">
        <v>0.3</v>
      </c>
      <c r="G86" s="69">
        <v>0.77780000000000005</v>
      </c>
      <c r="H86" s="69">
        <v>15</v>
      </c>
      <c r="I86" s="69" t="str">
        <f t="shared" si="0"/>
        <v>515</v>
      </c>
      <c r="J86" s="336">
        <v>90000</v>
      </c>
      <c r="K86" s="430">
        <v>1.0400039999999999</v>
      </c>
      <c r="L86" s="69">
        <f t="shared" si="1"/>
        <v>1</v>
      </c>
      <c r="N86" s="440">
        <v>83</v>
      </c>
      <c r="O86" s="441">
        <v>4000</v>
      </c>
      <c r="P86" s="440" t="s">
        <v>511</v>
      </c>
      <c r="Q86" s="442">
        <f t="shared" si="5"/>
        <v>8.2438999999999998E-2</v>
      </c>
      <c r="R86" s="443">
        <v>6.5174999999999997E-2</v>
      </c>
      <c r="S86" s="443">
        <v>8.2438999999999998E-2</v>
      </c>
      <c r="AC86" s="70">
        <v>83</v>
      </c>
      <c r="AD86" s="391">
        <v>17000</v>
      </c>
      <c r="AE86" s="282" t="str">
        <f>+IF('CAPTURA DP'!B4&lt;=3," 17,000  UMAM ","")</f>
        <v xml:space="preserve"> 17,000  UMAM </v>
      </c>
      <c r="AF86" s="337">
        <v>1.3364</v>
      </c>
      <c r="AG86" s="338"/>
      <c r="AH86" s="338"/>
      <c r="AI86" s="338"/>
      <c r="AJ86" s="338"/>
      <c r="AK86" s="338"/>
    </row>
    <row r="87" spans="5:37">
      <c r="E87" s="69">
        <v>5</v>
      </c>
      <c r="F87" s="69">
        <v>0.3</v>
      </c>
      <c r="G87" s="69">
        <v>0.77780000000000005</v>
      </c>
      <c r="H87" s="69">
        <v>16</v>
      </c>
      <c r="I87" s="69" t="str">
        <f t="shared" si="0"/>
        <v>516</v>
      </c>
      <c r="J87" s="336">
        <v>95000</v>
      </c>
      <c r="K87" s="430">
        <v>1.03664</v>
      </c>
      <c r="L87" s="69">
        <f t="shared" si="1"/>
        <v>1</v>
      </c>
      <c r="N87" s="440">
        <v>84</v>
      </c>
      <c r="O87" s="441">
        <v>4050</v>
      </c>
      <c r="P87" s="440" t="s">
        <v>512</v>
      </c>
      <c r="Q87" s="442">
        <f t="shared" si="5"/>
        <v>8.2045999999999994E-2</v>
      </c>
      <c r="R87" s="443">
        <v>6.4839999999999995E-2</v>
      </c>
      <c r="S87" s="443">
        <v>8.2045999999999994E-2</v>
      </c>
      <c r="AC87" s="70">
        <v>84</v>
      </c>
      <c r="AD87" s="391">
        <v>18000</v>
      </c>
      <c r="AE87" s="282" t="str">
        <f>+IF('CAPTURA DP'!B4&lt;=3," 18,000  UMAM ","")</f>
        <v xml:space="preserve"> 18,000  UMAM </v>
      </c>
      <c r="AF87" s="337">
        <v>1.3407</v>
      </c>
      <c r="AG87" s="338"/>
      <c r="AH87" s="338"/>
      <c r="AI87" s="338"/>
      <c r="AJ87" s="338"/>
      <c r="AK87" s="338"/>
    </row>
    <row r="88" spans="5:37">
      <c r="E88" s="69">
        <v>5</v>
      </c>
      <c r="F88" s="69">
        <v>0.3</v>
      </c>
      <c r="G88" s="69">
        <v>0.77780000000000005</v>
      </c>
      <c r="H88" s="69">
        <v>17</v>
      </c>
      <c r="I88" s="69" t="str">
        <f t="shared" si="0"/>
        <v>517</v>
      </c>
      <c r="J88" s="336">
        <v>100000</v>
      </c>
      <c r="K88" s="430">
        <v>1.0335479999999999</v>
      </c>
      <c r="L88" s="69">
        <f t="shared" si="1"/>
        <v>1</v>
      </c>
      <c r="N88" s="440">
        <v>85</v>
      </c>
      <c r="O88" s="441">
        <v>4100</v>
      </c>
      <c r="P88" s="440" t="s">
        <v>513</v>
      </c>
      <c r="Q88" s="442">
        <f t="shared" si="5"/>
        <v>8.1660999999999997E-2</v>
      </c>
      <c r="R88" s="443">
        <v>6.4510999999999999E-2</v>
      </c>
      <c r="S88" s="443">
        <v>8.1660999999999997E-2</v>
      </c>
      <c r="AC88" s="70">
        <v>85</v>
      </c>
      <c r="AD88" s="391">
        <v>18500</v>
      </c>
      <c r="AE88" s="282" t="str">
        <f>+IF('CAPTURA DP'!B4&lt;=3," 18,500  UMAM ","")</f>
        <v xml:space="preserve"> 18,500  UMAM </v>
      </c>
      <c r="AF88" s="337">
        <v>1.3428</v>
      </c>
      <c r="AG88" s="338"/>
      <c r="AH88" s="338"/>
      <c r="AI88" s="338"/>
      <c r="AJ88" s="338"/>
      <c r="AK88" s="338"/>
    </row>
    <row r="89" spans="5:37">
      <c r="E89" s="69">
        <v>6</v>
      </c>
      <c r="F89" s="69">
        <v>0.35</v>
      </c>
      <c r="G89" s="69">
        <v>0.72219999999999995</v>
      </c>
      <c r="H89" s="69">
        <v>1</v>
      </c>
      <c r="I89" s="69" t="str">
        <f t="shared" si="0"/>
        <v>61</v>
      </c>
      <c r="J89" s="69">
        <v>0</v>
      </c>
      <c r="K89" s="430">
        <v>1</v>
      </c>
      <c r="L89" s="69">
        <f t="shared" si="1"/>
        <v>1</v>
      </c>
      <c r="N89" s="440">
        <v>86</v>
      </c>
      <c r="O89" s="441">
        <v>4150</v>
      </c>
      <c r="P89" s="440" t="s">
        <v>514</v>
      </c>
      <c r="Q89" s="442">
        <f t="shared" si="5"/>
        <v>8.1281999999999993E-2</v>
      </c>
      <c r="R89" s="443">
        <v>6.4186999999999994E-2</v>
      </c>
      <c r="S89" s="443">
        <v>8.1281999999999993E-2</v>
      </c>
      <c r="AC89" s="70">
        <v>86</v>
      </c>
      <c r="AD89" s="391">
        <v>20000</v>
      </c>
      <c r="AE89" s="282" t="str">
        <f>+IF('CAPTURA DP'!B4&lt;=3," 20,000  UMAM ","")</f>
        <v xml:space="preserve"> 20,000  UMAM </v>
      </c>
      <c r="AF89" s="337">
        <v>1.3487</v>
      </c>
      <c r="AG89" s="338"/>
      <c r="AH89" s="338"/>
      <c r="AI89" s="338"/>
      <c r="AJ89" s="338"/>
      <c r="AK89" s="338"/>
    </row>
    <row r="90" spans="5:37">
      <c r="E90" s="69">
        <v>6</v>
      </c>
      <c r="F90" s="69">
        <v>0.35</v>
      </c>
      <c r="G90" s="69">
        <v>0.72219999999999995</v>
      </c>
      <c r="H90" s="69">
        <v>2</v>
      </c>
      <c r="I90" s="69" t="str">
        <f t="shared" si="0"/>
        <v>62</v>
      </c>
      <c r="J90" s="336">
        <v>10000</v>
      </c>
      <c r="K90" s="430">
        <v>1.498823</v>
      </c>
      <c r="L90" s="69">
        <f t="shared" si="1"/>
        <v>1</v>
      </c>
      <c r="N90" s="440">
        <v>87</v>
      </c>
      <c r="O90" s="441">
        <v>4200</v>
      </c>
      <c r="P90" s="440" t="s">
        <v>515</v>
      </c>
      <c r="Q90" s="442">
        <f t="shared" si="5"/>
        <v>8.0908999999999995E-2</v>
      </c>
      <c r="R90" s="443">
        <v>6.3868999999999995E-2</v>
      </c>
      <c r="S90" s="443">
        <v>8.0908999999999995E-2</v>
      </c>
      <c r="AC90" s="70">
        <v>87</v>
      </c>
      <c r="AD90" s="391">
        <v>20500</v>
      </c>
      <c r="AE90" s="282" t="str">
        <f>+IF('CAPTURA DP'!B4&lt;=3," 20,500  UMAM ","")</f>
        <v xml:space="preserve"> 20,500  UMAM </v>
      </c>
      <c r="AF90" s="337">
        <v>1.3506</v>
      </c>
      <c r="AG90" s="338"/>
      <c r="AH90" s="338"/>
      <c r="AI90" s="338"/>
      <c r="AJ90" s="338"/>
      <c r="AK90" s="338"/>
    </row>
    <row r="91" spans="5:37">
      <c r="E91" s="69">
        <v>6</v>
      </c>
      <c r="F91" s="69">
        <v>0.35</v>
      </c>
      <c r="G91" s="69">
        <v>0.72219999999999995</v>
      </c>
      <c r="H91" s="69">
        <v>3</v>
      </c>
      <c r="I91" s="69" t="str">
        <f t="shared" si="0"/>
        <v>63</v>
      </c>
      <c r="J91" s="336">
        <v>15000</v>
      </c>
      <c r="K91" s="430">
        <v>1.4472510000000001</v>
      </c>
      <c r="L91" s="69">
        <f t="shared" si="1"/>
        <v>1</v>
      </c>
      <c r="N91" s="440">
        <v>88</v>
      </c>
      <c r="O91" s="441">
        <v>4250</v>
      </c>
      <c r="P91" s="440" t="s">
        <v>516</v>
      </c>
      <c r="Q91" s="442">
        <f t="shared" si="5"/>
        <v>8.0542000000000002E-2</v>
      </c>
      <c r="R91" s="443">
        <v>6.3556000000000001E-2</v>
      </c>
      <c r="S91" s="443">
        <v>8.0542000000000002E-2</v>
      </c>
      <c r="AC91" s="70">
        <v>88</v>
      </c>
      <c r="AD91" s="391">
        <v>21000</v>
      </c>
      <c r="AE91" s="282" t="str">
        <f>+IF('CAPTURA DP'!B4&lt;=3," 21,000  UMAM ","")</f>
        <v xml:space="preserve"> 21,000  UMAM </v>
      </c>
      <c r="AF91" s="337">
        <v>1.3524</v>
      </c>
      <c r="AG91" s="338"/>
      <c r="AH91" s="338"/>
      <c r="AI91" s="338"/>
      <c r="AJ91" s="338"/>
      <c r="AK91" s="338"/>
    </row>
    <row r="92" spans="5:37">
      <c r="E92" s="69">
        <v>6</v>
      </c>
      <c r="F92" s="69">
        <v>0.35</v>
      </c>
      <c r="G92" s="69">
        <v>0.72219999999999995</v>
      </c>
      <c r="H92" s="69">
        <v>4</v>
      </c>
      <c r="I92" s="69" t="str">
        <f t="shared" si="0"/>
        <v>64</v>
      </c>
      <c r="J92" s="336">
        <v>20000</v>
      </c>
      <c r="K92" s="430">
        <v>1.4007480000000001</v>
      </c>
      <c r="L92" s="69">
        <f t="shared" si="1"/>
        <v>1</v>
      </c>
      <c r="N92" s="440">
        <v>89</v>
      </c>
      <c r="O92" s="441">
        <v>4300</v>
      </c>
      <c r="P92" s="440" t="s">
        <v>517</v>
      </c>
      <c r="Q92" s="442">
        <f t="shared" si="5"/>
        <v>8.0181000000000002E-2</v>
      </c>
      <c r="R92" s="443">
        <v>6.3249E-2</v>
      </c>
      <c r="S92" s="443">
        <v>8.0181000000000002E-2</v>
      </c>
      <c r="AC92" s="70">
        <v>89</v>
      </c>
      <c r="AD92" s="391">
        <v>21500</v>
      </c>
      <c r="AE92" s="282" t="str">
        <f>+IF('CAPTURA DP'!B4&lt;=3," 21,500  UMAM ","")</f>
        <v xml:space="preserve"> 21,500  UMAM </v>
      </c>
      <c r="AF92" s="337">
        <v>1.3542000000000001</v>
      </c>
      <c r="AG92" s="338"/>
      <c r="AH92" s="338"/>
      <c r="AI92" s="338"/>
      <c r="AJ92" s="338"/>
      <c r="AK92" s="338"/>
    </row>
    <row r="93" spans="5:37">
      <c r="E93" s="69">
        <v>6</v>
      </c>
      <c r="F93" s="69">
        <v>0.35</v>
      </c>
      <c r="G93" s="69">
        <v>0.72219999999999995</v>
      </c>
      <c r="H93" s="69">
        <v>5</v>
      </c>
      <c r="I93" s="69" t="str">
        <f t="shared" ref="I93:I156" si="6">+E93&amp;H93</f>
        <v>65</v>
      </c>
      <c r="J93" s="336">
        <v>25000</v>
      </c>
      <c r="K93" s="430">
        <v>1.3595410000000001</v>
      </c>
      <c r="L93" s="69">
        <f t="shared" si="1"/>
        <v>1</v>
      </c>
      <c r="N93" s="440">
        <v>90</v>
      </c>
      <c r="O93" s="441">
        <v>4350</v>
      </c>
      <c r="P93" s="440" t="s">
        <v>518</v>
      </c>
      <c r="Q93" s="442">
        <f t="shared" si="5"/>
        <v>7.9825999999999994E-2</v>
      </c>
      <c r="R93" s="443">
        <v>6.2946000000000002E-2</v>
      </c>
      <c r="S93" s="443">
        <v>7.9825999999999994E-2</v>
      </c>
      <c r="AC93" s="70">
        <v>90</v>
      </c>
      <c r="AD93" s="391">
        <v>22000</v>
      </c>
      <c r="AE93" s="282" t="str">
        <f>+IF('CAPTURA DP'!B4&lt;=3," 22,000  UMAM ","")</f>
        <v xml:space="preserve"> 22,000  UMAM </v>
      </c>
      <c r="AF93" s="337">
        <v>1.3559000000000001</v>
      </c>
      <c r="AG93" s="338"/>
      <c r="AH93" s="338"/>
      <c r="AI93" s="338"/>
      <c r="AJ93" s="338"/>
      <c r="AK93" s="338"/>
    </row>
    <row r="94" spans="5:37">
      <c r="E94" s="69">
        <v>6</v>
      </c>
      <c r="F94" s="69">
        <v>0.35</v>
      </c>
      <c r="G94" s="69">
        <v>0.72219999999999995</v>
      </c>
      <c r="H94" s="69">
        <v>6</v>
      </c>
      <c r="I94" s="69" t="str">
        <f t="shared" si="6"/>
        <v>66</v>
      </c>
      <c r="J94" s="336">
        <v>30000</v>
      </c>
      <c r="K94" s="430">
        <v>1.3232900000000001</v>
      </c>
      <c r="L94" s="69">
        <f t="shared" si="1"/>
        <v>1</v>
      </c>
      <c r="N94" s="440">
        <v>91</v>
      </c>
      <c r="O94" s="441">
        <v>4400</v>
      </c>
      <c r="P94" s="440" t="s">
        <v>519</v>
      </c>
      <c r="Q94" s="442">
        <f t="shared" si="5"/>
        <v>7.9477000000000006E-2</v>
      </c>
      <c r="R94" s="443">
        <v>6.2647999999999995E-2</v>
      </c>
      <c r="S94" s="443">
        <v>7.9477000000000006E-2</v>
      </c>
      <c r="AC94" s="70">
        <v>91</v>
      </c>
      <c r="AD94" s="391">
        <v>22500</v>
      </c>
      <c r="AE94" s="282" t="str">
        <f>+IF('CAPTURA DP'!B4&lt;=3," 22,500  UMAM ","")</f>
        <v xml:space="preserve"> 22,500  UMAM </v>
      </c>
      <c r="AF94" s="337">
        <v>1.3575999999999999</v>
      </c>
      <c r="AG94" s="338"/>
      <c r="AH94" s="338"/>
      <c r="AI94" s="338"/>
      <c r="AJ94" s="338"/>
      <c r="AK94" s="338"/>
    </row>
    <row r="95" spans="5:37">
      <c r="E95" s="69">
        <v>6</v>
      </c>
      <c r="F95" s="69">
        <v>0.35</v>
      </c>
      <c r="G95" s="69">
        <v>0.72219999999999995</v>
      </c>
      <c r="H95" s="69">
        <v>7</v>
      </c>
      <c r="I95" s="69" t="str">
        <f t="shared" si="6"/>
        <v>67</v>
      </c>
      <c r="J95" s="336">
        <v>40000</v>
      </c>
      <c r="K95" s="430">
        <v>1.131901</v>
      </c>
      <c r="L95" s="69">
        <f t="shared" si="1"/>
        <v>1</v>
      </c>
      <c r="N95" s="440">
        <v>92</v>
      </c>
      <c r="O95" s="441">
        <v>4450</v>
      </c>
      <c r="P95" s="440" t="s">
        <v>520</v>
      </c>
      <c r="Q95" s="442">
        <f t="shared" si="5"/>
        <v>7.9132999999999995E-2</v>
      </c>
      <c r="R95" s="443">
        <v>6.2355000000000001E-2</v>
      </c>
      <c r="S95" s="443">
        <v>7.9132999999999995E-2</v>
      </c>
      <c r="AC95" s="70">
        <v>92</v>
      </c>
      <c r="AD95" s="391">
        <v>23000</v>
      </c>
      <c r="AE95" s="282" t="str">
        <f>+IF('CAPTURA DP'!B4&lt;=3," 23,000  UMAM ","")</f>
        <v xml:space="preserve"> 23,000  UMAM </v>
      </c>
      <c r="AF95" s="337">
        <v>1.3593</v>
      </c>
      <c r="AG95" s="338"/>
      <c r="AH95" s="338"/>
      <c r="AI95" s="338"/>
      <c r="AJ95" s="338"/>
      <c r="AK95" s="338"/>
    </row>
    <row r="96" spans="5:37">
      <c r="E96" s="69">
        <v>6</v>
      </c>
      <c r="F96" s="69">
        <v>0.35</v>
      </c>
      <c r="G96" s="69">
        <v>0.72219999999999995</v>
      </c>
      <c r="H96" s="69">
        <v>8</v>
      </c>
      <c r="I96" s="69" t="str">
        <f t="shared" si="6"/>
        <v>68</v>
      </c>
      <c r="J96" s="336">
        <v>50000</v>
      </c>
      <c r="K96" s="430">
        <v>1.109064</v>
      </c>
      <c r="L96" s="69">
        <f t="shared" si="1"/>
        <v>1</v>
      </c>
      <c r="N96" s="440">
        <v>93</v>
      </c>
      <c r="O96" s="441">
        <v>4500</v>
      </c>
      <c r="P96" s="440" t="s">
        <v>521</v>
      </c>
      <c r="Q96" s="442">
        <f t="shared" si="5"/>
        <v>7.8794000000000003E-2</v>
      </c>
      <c r="R96" s="443">
        <v>6.2066999999999997E-2</v>
      </c>
      <c r="S96" s="443">
        <v>7.8794000000000003E-2</v>
      </c>
      <c r="AC96" s="70">
        <v>93</v>
      </c>
      <c r="AD96" s="391">
        <v>23500</v>
      </c>
      <c r="AE96" s="282" t="str">
        <f>+IF('CAPTURA DP'!B4&lt;=3," 23,500  UMAM ","")</f>
        <v xml:space="preserve"> 23,500  UMAM </v>
      </c>
      <c r="AF96" s="337">
        <v>1.3609</v>
      </c>
      <c r="AG96" s="338"/>
      <c r="AH96" s="338"/>
      <c r="AI96" s="338"/>
      <c r="AJ96" s="338"/>
      <c r="AK96" s="338"/>
    </row>
    <row r="97" spans="5:37">
      <c r="E97" s="69">
        <v>6</v>
      </c>
      <c r="F97" s="69">
        <v>0.35</v>
      </c>
      <c r="G97" s="69">
        <v>0.72219999999999995</v>
      </c>
      <c r="H97" s="69">
        <v>9</v>
      </c>
      <c r="I97" s="69" t="str">
        <f t="shared" si="6"/>
        <v>69</v>
      </c>
      <c r="J97" s="336">
        <v>60000</v>
      </c>
      <c r="K97" s="430">
        <v>1.0933360000000001</v>
      </c>
      <c r="L97" s="69">
        <f t="shared" si="1"/>
        <v>1</v>
      </c>
      <c r="N97" s="440">
        <v>94</v>
      </c>
      <c r="O97" s="441">
        <v>4550</v>
      </c>
      <c r="P97" s="440" t="s">
        <v>522</v>
      </c>
      <c r="Q97" s="442">
        <f t="shared" si="5"/>
        <v>7.8460000000000002E-2</v>
      </c>
      <c r="R97" s="443">
        <v>6.1782999999999998E-2</v>
      </c>
      <c r="S97" s="443">
        <v>7.8460000000000002E-2</v>
      </c>
      <c r="AC97" s="70">
        <v>94</v>
      </c>
      <c r="AD97" s="391">
        <v>24000</v>
      </c>
      <c r="AE97" s="282" t="str">
        <f>+IF('CAPTURA DP'!B4&lt;=3," 24,000  UMAM ","")</f>
        <v xml:space="preserve"> 24,000  UMAM </v>
      </c>
      <c r="AF97" s="337">
        <v>1.3625</v>
      </c>
      <c r="AG97" s="338"/>
      <c r="AH97" s="338"/>
      <c r="AI97" s="338"/>
      <c r="AJ97" s="338"/>
      <c r="AK97" s="338"/>
    </row>
    <row r="98" spans="5:37">
      <c r="E98" s="69">
        <v>6</v>
      </c>
      <c r="F98" s="69">
        <v>0.35</v>
      </c>
      <c r="G98" s="69">
        <v>0.72219999999999995</v>
      </c>
      <c r="H98" s="69">
        <v>10</v>
      </c>
      <c r="I98" s="69" t="str">
        <f t="shared" si="6"/>
        <v>610</v>
      </c>
      <c r="J98" s="336">
        <v>65000</v>
      </c>
      <c r="K98" s="430">
        <v>1.085887</v>
      </c>
      <c r="L98" s="69">
        <f t="shared" si="1"/>
        <v>1</v>
      </c>
      <c r="N98" s="440">
        <v>95</v>
      </c>
      <c r="O98" s="441">
        <v>4600</v>
      </c>
      <c r="P98" s="440" t="s">
        <v>523</v>
      </c>
      <c r="Q98" s="442">
        <f t="shared" si="5"/>
        <v>7.8131999999999993E-2</v>
      </c>
      <c r="R98" s="443">
        <v>6.1504000000000003E-2</v>
      </c>
      <c r="S98" s="443">
        <v>7.8131999999999993E-2</v>
      </c>
      <c r="AC98" s="70">
        <v>95</v>
      </c>
      <c r="AD98" s="391">
        <v>30000</v>
      </c>
      <c r="AE98" s="282" t="str">
        <f>+IF('CAPTURA DP'!B4&lt;=3," 30,000  UMAM ","")</f>
        <v xml:space="preserve"> 30,000  UMAM </v>
      </c>
      <c r="AF98" s="337">
        <v>1.3625</v>
      </c>
      <c r="AG98" s="338"/>
      <c r="AH98" s="338"/>
      <c r="AI98" s="338"/>
      <c r="AJ98" s="338"/>
      <c r="AK98" s="338"/>
    </row>
    <row r="99" spans="5:37">
      <c r="E99" s="69">
        <v>6</v>
      </c>
      <c r="F99" s="69">
        <v>0.35</v>
      </c>
      <c r="G99" s="69">
        <v>0.72219999999999995</v>
      </c>
      <c r="H99" s="69">
        <v>11</v>
      </c>
      <c r="I99" s="69" t="str">
        <f t="shared" si="6"/>
        <v>611</v>
      </c>
      <c r="J99" s="336">
        <v>70000</v>
      </c>
      <c r="K99" s="430">
        <v>1.0788549999999999</v>
      </c>
      <c r="L99" s="69">
        <f t="shared" si="1"/>
        <v>1</v>
      </c>
      <c r="N99" s="440">
        <v>96</v>
      </c>
      <c r="O99" s="441">
        <v>4650</v>
      </c>
      <c r="P99" s="440" t="s">
        <v>524</v>
      </c>
      <c r="Q99" s="442">
        <f t="shared" si="5"/>
        <v>7.7808000000000002E-2</v>
      </c>
      <c r="R99" s="443">
        <v>6.1227999999999998E-2</v>
      </c>
      <c r="S99" s="443">
        <v>7.7808000000000002E-2</v>
      </c>
      <c r="AC99" s="70">
        <v>96</v>
      </c>
      <c r="AD99" s="391">
        <v>40000</v>
      </c>
      <c r="AE99" s="282" t="str">
        <f>+IF('CAPTURA DP'!B4&lt;=3," 40,000  UMAM ","")</f>
        <v xml:space="preserve"> 40,000  UMAM </v>
      </c>
      <c r="AF99" s="337">
        <v>1.3625</v>
      </c>
      <c r="AG99" s="338"/>
      <c r="AK99" s="338"/>
    </row>
    <row r="100" spans="5:37">
      <c r="E100" s="69">
        <v>6</v>
      </c>
      <c r="F100" s="69">
        <v>0.35</v>
      </c>
      <c r="G100" s="69">
        <v>0.72219999999999995</v>
      </c>
      <c r="H100" s="69">
        <v>12</v>
      </c>
      <c r="I100" s="69" t="str">
        <f t="shared" si="6"/>
        <v>612</v>
      </c>
      <c r="J100" s="336">
        <v>75000</v>
      </c>
      <c r="K100" s="430">
        <v>1.072306</v>
      </c>
      <c r="L100" s="69">
        <f t="shared" si="1"/>
        <v>1</v>
      </c>
      <c r="N100" s="440">
        <v>97</v>
      </c>
      <c r="O100" s="441">
        <v>4700</v>
      </c>
      <c r="P100" s="440" t="s">
        <v>525</v>
      </c>
      <c r="Q100" s="442">
        <f t="shared" si="5"/>
        <v>7.7489000000000002E-2</v>
      </c>
      <c r="R100" s="443">
        <v>6.0956999999999997E-2</v>
      </c>
      <c r="S100" s="443">
        <v>7.7489000000000002E-2</v>
      </c>
      <c r="AC100" s="70">
        <v>97</v>
      </c>
      <c r="AD100" s="391">
        <v>55000</v>
      </c>
      <c r="AE100" s="282" t="str">
        <f>+IF('CAPTURA DP'!B4&lt;=3," 55,000  UMAM ","")</f>
        <v xml:space="preserve"> 55,000  UMAM </v>
      </c>
      <c r="AF100" s="337">
        <v>1.3625</v>
      </c>
    </row>
    <row r="101" spans="5:37">
      <c r="E101" s="69">
        <v>6</v>
      </c>
      <c r="F101" s="69">
        <v>0.35</v>
      </c>
      <c r="G101" s="69">
        <v>0.72219999999999995</v>
      </c>
      <c r="H101" s="69">
        <v>13</v>
      </c>
      <c r="I101" s="69" t="str">
        <f t="shared" si="6"/>
        <v>613</v>
      </c>
      <c r="J101" s="336">
        <v>80000</v>
      </c>
      <c r="K101" s="430">
        <v>1.0662830000000001</v>
      </c>
      <c r="L101" s="69">
        <f t="shared" si="1"/>
        <v>1</v>
      </c>
      <c r="N101" s="440">
        <v>98</v>
      </c>
      <c r="O101" s="441">
        <v>4750</v>
      </c>
      <c r="P101" s="440" t="s">
        <v>526</v>
      </c>
      <c r="Q101" s="442">
        <f t="shared" si="5"/>
        <v>7.7174999999999994E-2</v>
      </c>
      <c r="R101" s="443">
        <v>6.0690000000000001E-2</v>
      </c>
      <c r="S101" s="443">
        <v>7.7174999999999994E-2</v>
      </c>
    </row>
    <row r="102" spans="5:37">
      <c r="E102" s="69">
        <v>6</v>
      </c>
      <c r="F102" s="69">
        <v>0.35</v>
      </c>
      <c r="G102" s="69">
        <v>0.72219999999999995</v>
      </c>
      <c r="H102" s="69">
        <v>14</v>
      </c>
      <c r="I102" s="69" t="str">
        <f t="shared" si="6"/>
        <v>614</v>
      </c>
      <c r="J102" s="336">
        <v>85000</v>
      </c>
      <c r="K102" s="430">
        <v>1.060743</v>
      </c>
      <c r="L102" s="69">
        <f t="shared" si="1"/>
        <v>1</v>
      </c>
      <c r="N102" s="440">
        <v>99</v>
      </c>
      <c r="O102" s="441">
        <v>4800</v>
      </c>
      <c r="P102" s="440" t="s">
        <v>527</v>
      </c>
      <c r="Q102" s="442">
        <f t="shared" si="5"/>
        <v>7.6866000000000004E-2</v>
      </c>
      <c r="R102" s="443">
        <v>6.0427000000000002E-2</v>
      </c>
      <c r="S102" s="443">
        <v>7.6866000000000004E-2</v>
      </c>
    </row>
    <row r="103" spans="5:37">
      <c r="E103" s="69">
        <v>6</v>
      </c>
      <c r="F103" s="69">
        <v>0.35</v>
      </c>
      <c r="G103" s="69">
        <v>0.72219999999999995</v>
      </c>
      <c r="H103" s="69">
        <v>15</v>
      </c>
      <c r="I103" s="69" t="str">
        <f t="shared" si="6"/>
        <v>615</v>
      </c>
      <c r="J103" s="336">
        <v>90000</v>
      </c>
      <c r="K103" s="430">
        <v>1.0556509999999999</v>
      </c>
      <c r="L103" s="69">
        <f t="shared" si="1"/>
        <v>1</v>
      </c>
      <c r="N103" s="440">
        <v>100</v>
      </c>
      <c r="O103" s="441">
        <v>4850</v>
      </c>
      <c r="P103" s="440" t="s">
        <v>528</v>
      </c>
      <c r="Q103" s="442">
        <f t="shared" si="5"/>
        <v>7.6560000000000003E-2</v>
      </c>
      <c r="R103" s="443">
        <v>6.0167999999999999E-2</v>
      </c>
      <c r="S103" s="443">
        <v>7.6560000000000003E-2</v>
      </c>
    </row>
    <row r="104" spans="5:37">
      <c r="E104" s="69">
        <v>6</v>
      </c>
      <c r="F104" s="69">
        <v>0.35</v>
      </c>
      <c r="G104" s="69">
        <v>0.72219999999999995</v>
      </c>
      <c r="H104" s="69">
        <v>16</v>
      </c>
      <c r="I104" s="69" t="str">
        <f t="shared" si="6"/>
        <v>616</v>
      </c>
      <c r="J104" s="336">
        <v>95000</v>
      </c>
      <c r="K104" s="430">
        <v>1.05097</v>
      </c>
      <c r="L104" s="69">
        <f t="shared" si="1"/>
        <v>1</v>
      </c>
      <c r="N104" s="440">
        <v>101</v>
      </c>
      <c r="O104" s="441">
        <v>4900</v>
      </c>
      <c r="P104" s="440" t="s">
        <v>529</v>
      </c>
      <c r="Q104" s="442">
        <f t="shared" si="5"/>
        <v>7.6259999999999994E-2</v>
      </c>
      <c r="R104" s="443">
        <v>5.9912E-2</v>
      </c>
      <c r="S104" s="443">
        <v>7.6259999999999994E-2</v>
      </c>
    </row>
    <row r="105" spans="5:37">
      <c r="E105" s="69">
        <v>6</v>
      </c>
      <c r="F105" s="69">
        <v>0.35</v>
      </c>
      <c r="G105" s="69">
        <v>0.72219999999999995</v>
      </c>
      <c r="H105" s="69">
        <v>17</v>
      </c>
      <c r="I105" s="69" t="str">
        <f t="shared" si="6"/>
        <v>617</v>
      </c>
      <c r="J105" s="336">
        <v>100000</v>
      </c>
      <c r="K105" s="430">
        <v>1.04667</v>
      </c>
      <c r="L105" s="69">
        <f t="shared" si="1"/>
        <v>1</v>
      </c>
      <c r="N105" s="440">
        <v>102</v>
      </c>
      <c r="O105" s="441">
        <v>4950</v>
      </c>
      <c r="P105" s="440" t="s">
        <v>530</v>
      </c>
      <c r="Q105" s="442">
        <f t="shared" si="5"/>
        <v>7.5963000000000003E-2</v>
      </c>
      <c r="R105" s="443">
        <v>5.9659999999999998E-2</v>
      </c>
      <c r="S105" s="443">
        <v>7.5963000000000003E-2</v>
      </c>
    </row>
    <row r="106" spans="5:37">
      <c r="E106" s="69">
        <v>7</v>
      </c>
      <c r="F106" s="69">
        <v>0.4</v>
      </c>
      <c r="G106" s="69">
        <v>0.66669999999999996</v>
      </c>
      <c r="H106" s="69">
        <v>1</v>
      </c>
      <c r="I106" s="69" t="str">
        <f t="shared" si="6"/>
        <v>71</v>
      </c>
      <c r="J106" s="69">
        <v>0</v>
      </c>
      <c r="K106" s="430">
        <v>1</v>
      </c>
      <c r="L106" s="69">
        <f t="shared" si="1"/>
        <v>1</v>
      </c>
      <c r="N106" s="440">
        <v>103</v>
      </c>
      <c r="O106" s="441">
        <v>5000</v>
      </c>
      <c r="P106" s="440" t="s">
        <v>531</v>
      </c>
      <c r="Q106" s="442">
        <f t="shared" si="5"/>
        <v>7.5670000000000001E-2</v>
      </c>
      <c r="R106" s="443">
        <v>5.9412E-2</v>
      </c>
      <c r="S106" s="443">
        <v>7.5670000000000001E-2</v>
      </c>
    </row>
    <row r="107" spans="5:37">
      <c r="E107" s="69">
        <v>7</v>
      </c>
      <c r="F107" s="69">
        <v>0.4</v>
      </c>
      <c r="G107" s="69">
        <v>0.66669999999999996</v>
      </c>
      <c r="H107" s="69">
        <v>2</v>
      </c>
      <c r="I107" s="69" t="str">
        <f t="shared" si="6"/>
        <v>72</v>
      </c>
      <c r="J107" s="336">
        <v>10000</v>
      </c>
      <c r="K107" s="430">
        <v>1.6163190000000001</v>
      </c>
      <c r="L107" s="69">
        <f t="shared" si="1"/>
        <v>1</v>
      </c>
      <c r="N107" s="440">
        <v>104</v>
      </c>
      <c r="O107" s="441">
        <v>5050</v>
      </c>
      <c r="P107" s="440" t="s">
        <v>532</v>
      </c>
      <c r="Q107" s="442">
        <f t="shared" si="5"/>
        <v>7.5382000000000005E-2</v>
      </c>
      <c r="R107" s="443">
        <v>5.9166999999999997E-2</v>
      </c>
      <c r="S107" s="443">
        <v>7.5382000000000005E-2</v>
      </c>
    </row>
    <row r="108" spans="5:37">
      <c r="E108" s="69">
        <v>7</v>
      </c>
      <c r="F108" s="69">
        <v>0.4</v>
      </c>
      <c r="G108" s="69">
        <v>0.66669999999999996</v>
      </c>
      <c r="H108" s="69">
        <v>3</v>
      </c>
      <c r="I108" s="69" t="str">
        <f t="shared" si="6"/>
        <v>73</v>
      </c>
      <c r="J108" s="336">
        <v>15000</v>
      </c>
      <c r="K108" s="430">
        <v>1.5609770000000001</v>
      </c>
      <c r="L108" s="69">
        <f t="shared" si="1"/>
        <v>1</v>
      </c>
      <c r="N108" s="440">
        <v>105</v>
      </c>
      <c r="O108" s="441">
        <v>5100</v>
      </c>
      <c r="P108" s="440" t="s">
        <v>533</v>
      </c>
      <c r="Q108" s="442">
        <f t="shared" si="5"/>
        <v>7.5096999999999997E-2</v>
      </c>
      <c r="R108" s="443">
        <v>5.8925999999999999E-2</v>
      </c>
      <c r="S108" s="443">
        <v>7.5096999999999997E-2</v>
      </c>
    </row>
    <row r="109" spans="5:37">
      <c r="E109" s="69">
        <v>7</v>
      </c>
      <c r="F109" s="69">
        <v>0.4</v>
      </c>
      <c r="G109" s="69">
        <v>0.66669999999999996</v>
      </c>
      <c r="H109" s="69">
        <v>4</v>
      </c>
      <c r="I109" s="69" t="str">
        <f t="shared" si="6"/>
        <v>74</v>
      </c>
      <c r="J109" s="336">
        <v>20000</v>
      </c>
      <c r="K109" s="430">
        <v>1.509145</v>
      </c>
      <c r="L109" s="69">
        <f t="shared" si="1"/>
        <v>1</v>
      </c>
      <c r="N109" s="440">
        <v>106</v>
      </c>
      <c r="O109" s="441">
        <v>5150</v>
      </c>
      <c r="P109" s="440" t="s">
        <v>534</v>
      </c>
      <c r="Q109" s="442">
        <f t="shared" si="5"/>
        <v>7.4815999999999994E-2</v>
      </c>
      <c r="R109" s="443">
        <v>5.8687999999999997E-2</v>
      </c>
      <c r="S109" s="443">
        <v>7.4815999999999994E-2</v>
      </c>
    </row>
    <row r="110" spans="5:37">
      <c r="E110" s="69">
        <v>7</v>
      </c>
      <c r="F110" s="69">
        <v>0.4</v>
      </c>
      <c r="G110" s="69">
        <v>0.66669999999999996</v>
      </c>
      <c r="H110" s="69">
        <v>5</v>
      </c>
      <c r="I110" s="69" t="str">
        <f t="shared" si="6"/>
        <v>75</v>
      </c>
      <c r="J110" s="336">
        <v>25000</v>
      </c>
      <c r="K110" s="430">
        <v>1.462807</v>
      </c>
      <c r="L110" s="69">
        <f t="shared" si="1"/>
        <v>1</v>
      </c>
      <c r="N110" s="440">
        <v>107</v>
      </c>
      <c r="O110" s="441">
        <v>5200</v>
      </c>
      <c r="P110" s="440" t="s">
        <v>535</v>
      </c>
      <c r="Q110" s="442">
        <f t="shared" si="5"/>
        <v>7.4538999999999994E-2</v>
      </c>
      <c r="R110" s="443">
        <v>5.8452999999999998E-2</v>
      </c>
      <c r="S110" s="443">
        <v>7.4538999999999994E-2</v>
      </c>
    </row>
    <row r="111" spans="5:37">
      <c r="E111" s="69">
        <v>7</v>
      </c>
      <c r="F111" s="69">
        <v>0.4</v>
      </c>
      <c r="G111" s="69">
        <v>0.66669999999999996</v>
      </c>
      <c r="H111" s="69">
        <v>6</v>
      </c>
      <c r="I111" s="69" t="str">
        <f t="shared" si="6"/>
        <v>76</v>
      </c>
      <c r="J111" s="336">
        <v>30000</v>
      </c>
      <c r="K111" s="430">
        <v>1.4214009999999999</v>
      </c>
      <c r="L111" s="69">
        <f t="shared" si="1"/>
        <v>1</v>
      </c>
      <c r="N111" s="440">
        <v>108</v>
      </c>
      <c r="O111" s="441">
        <v>5250</v>
      </c>
      <c r="P111" s="440" t="s">
        <v>536</v>
      </c>
      <c r="Q111" s="442">
        <f t="shared" si="5"/>
        <v>7.4265999999999999E-2</v>
      </c>
      <c r="R111" s="443">
        <v>5.8221000000000002E-2</v>
      </c>
      <c r="S111" s="443">
        <v>7.4265999999999999E-2</v>
      </c>
    </row>
    <row r="112" spans="5:37">
      <c r="E112" s="69">
        <v>7</v>
      </c>
      <c r="F112" s="69">
        <v>0.4</v>
      </c>
      <c r="G112" s="69">
        <v>0.66669999999999996</v>
      </c>
      <c r="H112" s="69">
        <v>7</v>
      </c>
      <c r="I112" s="69" t="str">
        <f t="shared" si="6"/>
        <v>77</v>
      </c>
      <c r="J112" s="336">
        <v>40000</v>
      </c>
      <c r="K112" s="430">
        <v>1.175529</v>
      </c>
      <c r="L112" s="69">
        <f t="shared" si="1"/>
        <v>1</v>
      </c>
      <c r="N112" s="440">
        <v>109</v>
      </c>
      <c r="O112" s="441">
        <v>5300</v>
      </c>
      <c r="P112" s="440" t="s">
        <v>537</v>
      </c>
      <c r="Q112" s="442">
        <f t="shared" si="5"/>
        <v>7.3996000000000006E-2</v>
      </c>
      <c r="R112" s="443">
        <v>5.7993000000000003E-2</v>
      </c>
      <c r="S112" s="443">
        <v>7.3996000000000006E-2</v>
      </c>
    </row>
    <row r="113" spans="5:19">
      <c r="E113" s="69">
        <v>7</v>
      </c>
      <c r="F113" s="69">
        <v>0.4</v>
      </c>
      <c r="G113" s="69">
        <v>0.66669999999999996</v>
      </c>
      <c r="H113" s="69">
        <v>8</v>
      </c>
      <c r="I113" s="69" t="str">
        <f t="shared" si="6"/>
        <v>78</v>
      </c>
      <c r="J113" s="336">
        <v>50000</v>
      </c>
      <c r="K113" s="430">
        <v>1.1477459999999999</v>
      </c>
      <c r="L113" s="69">
        <f t="shared" si="1"/>
        <v>1</v>
      </c>
      <c r="N113" s="440">
        <v>110</v>
      </c>
      <c r="O113" s="441">
        <v>5350</v>
      </c>
      <c r="P113" s="440" t="s">
        <v>538</v>
      </c>
      <c r="Q113" s="442">
        <f t="shared" si="5"/>
        <v>7.3730000000000004E-2</v>
      </c>
      <c r="R113" s="443">
        <v>5.7766999999999999E-2</v>
      </c>
      <c r="S113" s="443">
        <v>7.3730000000000004E-2</v>
      </c>
    </row>
    <row r="114" spans="5:19">
      <c r="E114" s="69">
        <v>7</v>
      </c>
      <c r="F114" s="69">
        <v>0.4</v>
      </c>
      <c r="G114" s="69">
        <v>0.66669999999999996</v>
      </c>
      <c r="H114" s="69">
        <v>9</v>
      </c>
      <c r="I114" s="69" t="str">
        <f t="shared" si="6"/>
        <v>79</v>
      </c>
      <c r="J114" s="336">
        <v>60000</v>
      </c>
      <c r="K114" s="430">
        <v>1.126439</v>
      </c>
      <c r="L114" s="69">
        <f t="shared" si="1"/>
        <v>1</v>
      </c>
      <c r="N114" s="440">
        <v>111</v>
      </c>
      <c r="O114" s="441">
        <v>5400</v>
      </c>
      <c r="P114" s="440" t="s">
        <v>539</v>
      </c>
      <c r="Q114" s="442">
        <f t="shared" si="5"/>
        <v>7.3467000000000005E-2</v>
      </c>
      <c r="R114" s="443">
        <v>5.7544999999999999E-2</v>
      </c>
      <c r="S114" s="443">
        <v>7.3467000000000005E-2</v>
      </c>
    </row>
    <row r="115" spans="5:19">
      <c r="E115" s="69">
        <v>7</v>
      </c>
      <c r="F115" s="69">
        <v>0.4</v>
      </c>
      <c r="G115" s="69">
        <v>0.66669999999999996</v>
      </c>
      <c r="H115" s="69">
        <v>10</v>
      </c>
      <c r="I115" s="69" t="str">
        <f t="shared" si="6"/>
        <v>710</v>
      </c>
      <c r="J115" s="336">
        <v>65000</v>
      </c>
      <c r="K115" s="430">
        <v>1.1163479999999999</v>
      </c>
      <c r="L115" s="69">
        <f t="shared" si="1"/>
        <v>1</v>
      </c>
      <c r="N115" s="440">
        <v>112</v>
      </c>
      <c r="O115" s="441">
        <v>5450</v>
      </c>
      <c r="P115" s="440" t="s">
        <v>540</v>
      </c>
      <c r="Q115" s="442">
        <f t="shared" si="5"/>
        <v>7.3207999999999995E-2</v>
      </c>
      <c r="R115" s="443">
        <v>5.7325000000000001E-2</v>
      </c>
      <c r="S115" s="443">
        <v>7.3207999999999995E-2</v>
      </c>
    </row>
    <row r="116" spans="5:19">
      <c r="E116" s="69">
        <v>7</v>
      </c>
      <c r="F116" s="69">
        <v>0.4</v>
      </c>
      <c r="G116" s="69">
        <v>0.66669999999999996</v>
      </c>
      <c r="H116" s="69">
        <v>11</v>
      </c>
      <c r="I116" s="69" t="str">
        <f t="shared" si="6"/>
        <v>711</v>
      </c>
      <c r="J116" s="336">
        <v>70000</v>
      </c>
      <c r="K116" s="430">
        <v>1.106822</v>
      </c>
      <c r="L116" s="69">
        <f t="shared" si="1"/>
        <v>1</v>
      </c>
      <c r="N116" s="440">
        <v>113</v>
      </c>
      <c r="O116" s="441">
        <v>5500</v>
      </c>
      <c r="P116" s="440" t="s">
        <v>541</v>
      </c>
      <c r="Q116" s="442">
        <f t="shared" si="5"/>
        <v>7.2951000000000002E-2</v>
      </c>
      <c r="R116" s="443">
        <v>5.7107999999999999E-2</v>
      </c>
      <c r="S116" s="443">
        <v>7.2951000000000002E-2</v>
      </c>
    </row>
    <row r="117" spans="5:19">
      <c r="E117" s="69">
        <v>7</v>
      </c>
      <c r="F117" s="69">
        <v>0.4</v>
      </c>
      <c r="G117" s="69">
        <v>0.66669999999999996</v>
      </c>
      <c r="H117" s="69">
        <v>12</v>
      </c>
      <c r="I117" s="69" t="str">
        <f t="shared" si="6"/>
        <v>712</v>
      </c>
      <c r="J117" s="336">
        <v>75000</v>
      </c>
      <c r="K117" s="430">
        <v>1.097952</v>
      </c>
      <c r="L117" s="69">
        <f t="shared" si="1"/>
        <v>1</v>
      </c>
      <c r="N117" s="440">
        <v>114</v>
      </c>
      <c r="O117" s="441">
        <v>5550</v>
      </c>
      <c r="P117" s="440" t="s">
        <v>542</v>
      </c>
      <c r="Q117" s="442">
        <f t="shared" si="5"/>
        <v>7.2697999999999999E-2</v>
      </c>
      <c r="R117" s="443">
        <v>5.6894E-2</v>
      </c>
      <c r="S117" s="443">
        <v>7.2697999999999999E-2</v>
      </c>
    </row>
    <row r="118" spans="5:19">
      <c r="E118" s="69">
        <v>7</v>
      </c>
      <c r="F118" s="69">
        <v>0.4</v>
      </c>
      <c r="G118" s="69">
        <v>0.66669999999999996</v>
      </c>
      <c r="H118" s="69">
        <v>13</v>
      </c>
      <c r="I118" s="69" t="str">
        <f t="shared" si="6"/>
        <v>713</v>
      </c>
      <c r="J118" s="336">
        <v>80000</v>
      </c>
      <c r="K118" s="430">
        <v>1.0897920000000001</v>
      </c>
      <c r="L118" s="69">
        <f t="shared" si="1"/>
        <v>1</v>
      </c>
      <c r="N118" s="440">
        <v>115</v>
      </c>
      <c r="O118" s="441">
        <v>5600</v>
      </c>
      <c r="P118" s="440" t="s">
        <v>543</v>
      </c>
      <c r="Q118" s="442">
        <f t="shared" si="5"/>
        <v>7.2449E-2</v>
      </c>
      <c r="R118" s="443">
        <v>5.6682999999999997E-2</v>
      </c>
      <c r="S118" s="443">
        <v>7.2449E-2</v>
      </c>
    </row>
    <row r="119" spans="5:19">
      <c r="E119" s="69">
        <v>7</v>
      </c>
      <c r="F119" s="69">
        <v>0.4</v>
      </c>
      <c r="G119" s="69">
        <v>0.66669999999999996</v>
      </c>
      <c r="H119" s="69">
        <v>14</v>
      </c>
      <c r="I119" s="69" t="str">
        <f t="shared" si="6"/>
        <v>714</v>
      </c>
      <c r="J119" s="336">
        <v>85000</v>
      </c>
      <c r="K119" s="430">
        <v>1.082287</v>
      </c>
      <c r="L119" s="69">
        <f t="shared" si="1"/>
        <v>1</v>
      </c>
      <c r="N119" s="440">
        <v>116</v>
      </c>
      <c r="O119" s="441">
        <v>5650</v>
      </c>
      <c r="P119" s="440" t="s">
        <v>544</v>
      </c>
      <c r="Q119" s="442">
        <f t="shared" si="5"/>
        <v>7.2202000000000002E-2</v>
      </c>
      <c r="R119" s="443">
        <v>5.6474000000000003E-2</v>
      </c>
      <c r="S119" s="443">
        <v>7.2202000000000002E-2</v>
      </c>
    </row>
    <row r="120" spans="5:19">
      <c r="E120" s="69">
        <v>7</v>
      </c>
      <c r="F120" s="69">
        <v>0.4</v>
      </c>
      <c r="G120" s="69">
        <v>0.66669999999999996</v>
      </c>
      <c r="H120" s="69">
        <v>15</v>
      </c>
      <c r="I120" s="69" t="str">
        <f t="shared" si="6"/>
        <v>715</v>
      </c>
      <c r="J120" s="336">
        <v>90000</v>
      </c>
      <c r="K120" s="430">
        <v>1.0753889999999999</v>
      </c>
      <c r="L120" s="69">
        <f t="shared" si="1"/>
        <v>1</v>
      </c>
      <c r="N120" s="440">
        <v>117</v>
      </c>
      <c r="O120" s="441">
        <v>5700</v>
      </c>
      <c r="P120" s="440" t="s">
        <v>545</v>
      </c>
      <c r="Q120" s="442">
        <f t="shared" si="5"/>
        <v>7.1957999999999994E-2</v>
      </c>
      <c r="R120" s="443">
        <v>5.6267999999999999E-2</v>
      </c>
      <c r="S120" s="443">
        <v>7.1957999999999994E-2</v>
      </c>
    </row>
    <row r="121" spans="5:19">
      <c r="E121" s="69">
        <v>7</v>
      </c>
      <c r="F121" s="69">
        <v>0.4</v>
      </c>
      <c r="G121" s="69">
        <v>0.66669999999999996</v>
      </c>
      <c r="H121" s="69">
        <v>16</v>
      </c>
      <c r="I121" s="69" t="str">
        <f t="shared" si="6"/>
        <v>716</v>
      </c>
      <c r="J121" s="336">
        <v>95000</v>
      </c>
      <c r="K121" s="430">
        <v>1.069048</v>
      </c>
      <c r="L121" s="69">
        <f t="shared" si="1"/>
        <v>1</v>
      </c>
      <c r="N121" s="440">
        <v>118</v>
      </c>
      <c r="O121" s="441">
        <v>5750</v>
      </c>
      <c r="P121" s="440" t="s">
        <v>546</v>
      </c>
      <c r="Q121" s="442">
        <f t="shared" si="5"/>
        <v>7.1717000000000003E-2</v>
      </c>
      <c r="R121" s="443">
        <v>5.6064999999999997E-2</v>
      </c>
      <c r="S121" s="443">
        <v>7.1717000000000003E-2</v>
      </c>
    </row>
    <row r="122" spans="5:19">
      <c r="E122" s="69">
        <v>7</v>
      </c>
      <c r="F122" s="69">
        <v>0.4</v>
      </c>
      <c r="G122" s="69">
        <v>0.66669999999999996</v>
      </c>
      <c r="H122" s="69">
        <v>17</v>
      </c>
      <c r="I122" s="69" t="str">
        <f t="shared" si="6"/>
        <v>717</v>
      </c>
      <c r="J122" s="336">
        <v>100000</v>
      </c>
      <c r="K122" s="430">
        <v>1.063223</v>
      </c>
      <c r="L122" s="69">
        <f t="shared" si="1"/>
        <v>1</v>
      </c>
      <c r="N122" s="440">
        <v>119</v>
      </c>
      <c r="O122" s="441">
        <v>5800</v>
      </c>
      <c r="P122" s="440" t="s">
        <v>547</v>
      </c>
      <c r="Q122" s="442">
        <f t="shared" si="5"/>
        <v>7.1479000000000001E-2</v>
      </c>
      <c r="R122" s="443">
        <v>5.5863999999999997E-2</v>
      </c>
      <c r="S122" s="443">
        <v>7.1479000000000001E-2</v>
      </c>
    </row>
    <row r="123" spans="5:19">
      <c r="E123" s="69">
        <v>8</v>
      </c>
      <c r="F123" s="69">
        <v>0.45</v>
      </c>
      <c r="G123" s="69">
        <v>0.61109999999999998</v>
      </c>
      <c r="H123" s="69">
        <v>1</v>
      </c>
      <c r="I123" s="69" t="str">
        <f t="shared" si="6"/>
        <v>81</v>
      </c>
      <c r="J123" s="69">
        <v>0</v>
      </c>
      <c r="K123" s="430">
        <v>1</v>
      </c>
      <c r="L123" s="69">
        <f t="shared" si="1"/>
        <v>1</v>
      </c>
      <c r="N123" s="440">
        <v>120</v>
      </c>
      <c r="O123" s="441">
        <v>5850</v>
      </c>
      <c r="P123" s="440" t="s">
        <v>548</v>
      </c>
      <c r="Q123" s="442">
        <f t="shared" si="5"/>
        <v>7.1244000000000002E-2</v>
      </c>
      <c r="R123" s="443">
        <v>5.5664999999999999E-2</v>
      </c>
      <c r="S123" s="443">
        <v>7.1244000000000002E-2</v>
      </c>
    </row>
    <row r="124" spans="5:19">
      <c r="E124" s="69">
        <v>8</v>
      </c>
      <c r="F124" s="69">
        <v>0.45</v>
      </c>
      <c r="G124" s="69">
        <v>0.61109999999999998</v>
      </c>
      <c r="H124" s="69">
        <v>2</v>
      </c>
      <c r="I124" s="69" t="str">
        <f t="shared" si="6"/>
        <v>82</v>
      </c>
      <c r="J124" s="336">
        <v>10000</v>
      </c>
      <c r="K124" s="430">
        <v>1.7502660000000001</v>
      </c>
      <c r="L124" s="69">
        <f t="shared" si="1"/>
        <v>1</v>
      </c>
      <c r="N124" s="440">
        <v>121</v>
      </c>
      <c r="O124" s="441">
        <v>5900</v>
      </c>
      <c r="P124" s="440" t="s">
        <v>549</v>
      </c>
      <c r="Q124" s="442">
        <f t="shared" si="5"/>
        <v>7.1011000000000005E-2</v>
      </c>
      <c r="R124" s="443">
        <v>5.5468999999999997E-2</v>
      </c>
      <c r="S124" s="443">
        <v>7.1011000000000005E-2</v>
      </c>
    </row>
    <row r="125" spans="5:19">
      <c r="E125" s="69">
        <v>8</v>
      </c>
      <c r="F125" s="69">
        <v>0.45</v>
      </c>
      <c r="G125" s="69">
        <v>0.61109999999999998</v>
      </c>
      <c r="H125" s="69">
        <v>3</v>
      </c>
      <c r="I125" s="69" t="str">
        <f t="shared" si="6"/>
        <v>83</v>
      </c>
      <c r="J125" s="336">
        <v>15000</v>
      </c>
      <c r="K125" s="430">
        <v>1.690925</v>
      </c>
      <c r="L125" s="69">
        <f t="shared" si="1"/>
        <v>1</v>
      </c>
      <c r="N125" s="440">
        <v>122</v>
      </c>
      <c r="O125" s="441">
        <v>5950</v>
      </c>
      <c r="P125" s="440" t="s">
        <v>550</v>
      </c>
      <c r="Q125" s="442">
        <f t="shared" si="5"/>
        <v>7.0781999999999998E-2</v>
      </c>
      <c r="R125" s="443">
        <v>5.5274999999999998E-2</v>
      </c>
      <c r="S125" s="443">
        <v>7.0781999999999998E-2</v>
      </c>
    </row>
    <row r="126" spans="5:19">
      <c r="E126" s="69">
        <v>8</v>
      </c>
      <c r="F126" s="69">
        <v>0.45</v>
      </c>
      <c r="G126" s="69">
        <v>0.61109999999999998</v>
      </c>
      <c r="H126" s="69">
        <v>4</v>
      </c>
      <c r="I126" s="69" t="str">
        <f t="shared" si="6"/>
        <v>84</v>
      </c>
      <c r="J126" s="336">
        <v>20000</v>
      </c>
      <c r="K126" s="430">
        <v>1.633572</v>
      </c>
      <c r="L126" s="69">
        <f t="shared" si="1"/>
        <v>1</v>
      </c>
      <c r="N126" s="440">
        <v>123</v>
      </c>
      <c r="O126" s="441">
        <v>6000</v>
      </c>
      <c r="P126" s="440" t="s">
        <v>551</v>
      </c>
      <c r="Q126" s="442">
        <f t="shared" si="5"/>
        <v>7.0555000000000007E-2</v>
      </c>
      <c r="R126" s="443">
        <v>5.5083E-2</v>
      </c>
      <c r="S126" s="443">
        <v>7.0555000000000007E-2</v>
      </c>
    </row>
    <row r="127" spans="5:19">
      <c r="E127" s="69">
        <v>8</v>
      </c>
      <c r="F127" s="69">
        <v>0.45</v>
      </c>
      <c r="G127" s="69">
        <v>0.61109999999999998</v>
      </c>
      <c r="H127" s="69">
        <v>5</v>
      </c>
      <c r="I127" s="69" t="str">
        <f t="shared" si="6"/>
        <v>85</v>
      </c>
      <c r="J127" s="336">
        <v>25000</v>
      </c>
      <c r="K127" s="430">
        <v>1.5822419999999999</v>
      </c>
      <c r="L127" s="69">
        <f t="shared" si="1"/>
        <v>1</v>
      </c>
      <c r="N127" s="440">
        <v>124</v>
      </c>
      <c r="O127" s="441">
        <v>6050</v>
      </c>
      <c r="P127" s="440" t="s">
        <v>552</v>
      </c>
      <c r="Q127" s="442">
        <f t="shared" si="5"/>
        <v>7.0330000000000004E-2</v>
      </c>
      <c r="R127" s="443">
        <v>5.4893999999999998E-2</v>
      </c>
      <c r="S127" s="443">
        <v>7.0330000000000004E-2</v>
      </c>
    </row>
    <row r="128" spans="5:19">
      <c r="E128" s="69">
        <v>8</v>
      </c>
      <c r="F128" s="69">
        <v>0.45</v>
      </c>
      <c r="G128" s="69">
        <v>0.61109999999999998</v>
      </c>
      <c r="H128" s="69">
        <v>6</v>
      </c>
      <c r="I128" s="69" t="str">
        <f t="shared" si="6"/>
        <v>86</v>
      </c>
      <c r="J128" s="336">
        <v>30000</v>
      </c>
      <c r="K128" s="430">
        <v>1.5353520000000001</v>
      </c>
      <c r="L128" s="69">
        <f t="shared" si="1"/>
        <v>1</v>
      </c>
      <c r="N128" s="440">
        <v>125</v>
      </c>
      <c r="O128" s="441">
        <v>6100</v>
      </c>
      <c r="P128" s="440" t="s">
        <v>553</v>
      </c>
      <c r="Q128" s="442">
        <f t="shared" si="5"/>
        <v>7.0108000000000004E-2</v>
      </c>
      <c r="R128" s="443">
        <v>5.4706999999999999E-2</v>
      </c>
      <c r="S128" s="443">
        <v>7.0108000000000004E-2</v>
      </c>
    </row>
    <row r="129" spans="5:19">
      <c r="E129" s="69">
        <v>8</v>
      </c>
      <c r="F129" s="69">
        <v>0.45</v>
      </c>
      <c r="G129" s="69">
        <v>0.61109999999999998</v>
      </c>
      <c r="H129" s="69">
        <v>7</v>
      </c>
      <c r="I129" s="69" t="str">
        <f t="shared" si="6"/>
        <v>87</v>
      </c>
      <c r="J129" s="336">
        <v>40000</v>
      </c>
      <c r="K129" s="430">
        <v>1.2272940000000001</v>
      </c>
      <c r="L129" s="69">
        <f t="shared" si="1"/>
        <v>1</v>
      </c>
      <c r="N129" s="440">
        <v>126</v>
      </c>
      <c r="O129" s="441">
        <v>6150</v>
      </c>
      <c r="P129" s="440" t="s">
        <v>554</v>
      </c>
      <c r="Q129" s="442">
        <f t="shared" si="5"/>
        <v>6.9889000000000007E-2</v>
      </c>
      <c r="R129" s="443">
        <v>5.4522000000000001E-2</v>
      </c>
      <c r="S129" s="443">
        <v>6.9889000000000007E-2</v>
      </c>
    </row>
    <row r="130" spans="5:19">
      <c r="E130" s="69">
        <v>8</v>
      </c>
      <c r="F130" s="69">
        <v>0.45</v>
      </c>
      <c r="G130" s="69">
        <v>0.61109999999999998</v>
      </c>
      <c r="H130" s="69">
        <v>8</v>
      </c>
      <c r="I130" s="69" t="str">
        <f t="shared" si="6"/>
        <v>88</v>
      </c>
      <c r="J130" s="336">
        <v>50000</v>
      </c>
      <c r="K130" s="430">
        <v>1.1943999999999999</v>
      </c>
      <c r="L130" s="69">
        <f t="shared" si="1"/>
        <v>1</v>
      </c>
      <c r="N130" s="440">
        <v>127</v>
      </c>
      <c r="O130" s="441">
        <v>6200</v>
      </c>
      <c r="P130" s="440" t="s">
        <v>555</v>
      </c>
      <c r="Q130" s="442">
        <f t="shared" si="5"/>
        <v>6.9671999999999998E-2</v>
      </c>
      <c r="R130" s="443">
        <v>5.4338999999999998E-2</v>
      </c>
      <c r="S130" s="443">
        <v>6.9671999999999998E-2</v>
      </c>
    </row>
    <row r="131" spans="5:19">
      <c r="E131" s="69">
        <v>8</v>
      </c>
      <c r="F131" s="69">
        <v>0.45</v>
      </c>
      <c r="G131" s="69">
        <v>0.61109999999999998</v>
      </c>
      <c r="H131" s="69">
        <v>9</v>
      </c>
      <c r="I131" s="69" t="str">
        <f t="shared" si="6"/>
        <v>89</v>
      </c>
      <c r="J131" s="336">
        <v>60000</v>
      </c>
      <c r="K131" s="430">
        <v>1.1663650000000001</v>
      </c>
      <c r="L131" s="69">
        <f t="shared" si="1"/>
        <v>1</v>
      </c>
      <c r="N131" s="440">
        <v>128</v>
      </c>
      <c r="O131" s="441">
        <v>6250</v>
      </c>
      <c r="P131" s="440" t="s">
        <v>556</v>
      </c>
      <c r="Q131" s="442">
        <f t="shared" si="5"/>
        <v>6.9457000000000005E-2</v>
      </c>
      <c r="R131" s="443">
        <v>5.4157999999999998E-2</v>
      </c>
      <c r="S131" s="443">
        <v>6.9457000000000005E-2</v>
      </c>
    </row>
    <row r="132" spans="5:19">
      <c r="E132" s="69">
        <v>8</v>
      </c>
      <c r="F132" s="69">
        <v>0.45</v>
      </c>
      <c r="G132" s="69">
        <v>0.61109999999999998</v>
      </c>
      <c r="H132" s="69">
        <v>10</v>
      </c>
      <c r="I132" s="69" t="str">
        <f t="shared" si="6"/>
        <v>810</v>
      </c>
      <c r="J132" s="336">
        <v>65000</v>
      </c>
      <c r="K132" s="430">
        <v>1.153087</v>
      </c>
      <c r="L132" s="69">
        <f t="shared" si="1"/>
        <v>1</v>
      </c>
      <c r="N132" s="440">
        <v>129</v>
      </c>
      <c r="O132" s="441">
        <v>6300</v>
      </c>
      <c r="P132" s="440" t="s">
        <v>557</v>
      </c>
      <c r="Q132" s="442">
        <f t="shared" si="5"/>
        <v>6.9245000000000001E-2</v>
      </c>
      <c r="R132" s="443">
        <v>5.3978999999999999E-2</v>
      </c>
      <c r="S132" s="443">
        <v>6.9245000000000001E-2</v>
      </c>
    </row>
    <row r="133" spans="5:19">
      <c r="E133" s="69">
        <v>8</v>
      </c>
      <c r="F133" s="69">
        <v>0.45</v>
      </c>
      <c r="G133" s="69">
        <v>0.61109999999999998</v>
      </c>
      <c r="H133" s="69">
        <v>11</v>
      </c>
      <c r="I133" s="69" t="str">
        <f t="shared" si="6"/>
        <v>811</v>
      </c>
      <c r="J133" s="336">
        <v>70000</v>
      </c>
      <c r="K133" s="430">
        <v>1.1405529999999999</v>
      </c>
      <c r="L133" s="69">
        <f t="shared" si="1"/>
        <v>1</v>
      </c>
      <c r="N133" s="440">
        <v>130</v>
      </c>
      <c r="O133" s="441">
        <v>6350</v>
      </c>
      <c r="P133" s="440" t="s">
        <v>558</v>
      </c>
      <c r="Q133" s="442">
        <f t="shared" ref="Q133:Q196" si="7">+S133</f>
        <v>6.9034999999999999E-2</v>
      </c>
      <c r="R133" s="443">
        <v>5.3802999999999997E-2</v>
      </c>
      <c r="S133" s="443">
        <v>6.9034999999999999E-2</v>
      </c>
    </row>
    <row r="134" spans="5:19">
      <c r="E134" s="69">
        <v>8</v>
      </c>
      <c r="F134" s="69">
        <v>0.45</v>
      </c>
      <c r="G134" s="69">
        <v>0.61109999999999998</v>
      </c>
      <c r="H134" s="69">
        <v>12</v>
      </c>
      <c r="I134" s="69" t="str">
        <f t="shared" si="6"/>
        <v>812</v>
      </c>
      <c r="J134" s="336">
        <v>75000</v>
      </c>
      <c r="K134" s="430">
        <v>1.1288819999999999</v>
      </c>
      <c r="L134" s="69">
        <f t="shared" si="1"/>
        <v>1</v>
      </c>
      <c r="N134" s="440">
        <v>131</v>
      </c>
      <c r="O134" s="441">
        <v>6400</v>
      </c>
      <c r="P134" s="440" t="s">
        <v>559</v>
      </c>
      <c r="Q134" s="442">
        <f t="shared" si="7"/>
        <v>6.8828E-2</v>
      </c>
      <c r="R134" s="443">
        <v>5.3628000000000002E-2</v>
      </c>
      <c r="S134" s="443">
        <v>6.8828E-2</v>
      </c>
    </row>
    <row r="135" spans="5:19">
      <c r="E135" s="69">
        <v>8</v>
      </c>
      <c r="F135" s="69">
        <v>0.45</v>
      </c>
      <c r="G135" s="69">
        <v>0.61109999999999998</v>
      </c>
      <c r="H135" s="69">
        <v>13</v>
      </c>
      <c r="I135" s="69" t="str">
        <f t="shared" si="6"/>
        <v>813</v>
      </c>
      <c r="J135" s="336">
        <v>80000</v>
      </c>
      <c r="K135" s="430">
        <v>1.1181449999999999</v>
      </c>
      <c r="L135" s="69">
        <f t="shared" si="1"/>
        <v>1</v>
      </c>
      <c r="N135" s="440">
        <v>132</v>
      </c>
      <c r="O135" s="441">
        <v>6450</v>
      </c>
      <c r="P135" s="440" t="s">
        <v>560</v>
      </c>
      <c r="Q135" s="442">
        <f t="shared" si="7"/>
        <v>6.8623000000000003E-2</v>
      </c>
      <c r="R135" s="443">
        <v>5.3455000000000003E-2</v>
      </c>
      <c r="S135" s="443">
        <v>6.8623000000000003E-2</v>
      </c>
    </row>
    <row r="136" spans="5:19">
      <c r="E136" s="69">
        <v>8</v>
      </c>
      <c r="F136" s="69">
        <v>0.45</v>
      </c>
      <c r="G136" s="69">
        <v>0.61109999999999998</v>
      </c>
      <c r="H136" s="69">
        <v>14</v>
      </c>
      <c r="I136" s="69" t="str">
        <f t="shared" si="6"/>
        <v>814</v>
      </c>
      <c r="J136" s="336">
        <v>85000</v>
      </c>
      <c r="K136" s="430">
        <v>1.108271</v>
      </c>
      <c r="L136" s="69">
        <f t="shared" si="1"/>
        <v>1</v>
      </c>
      <c r="N136" s="440">
        <v>133</v>
      </c>
      <c r="O136" s="441">
        <v>6500</v>
      </c>
      <c r="P136" s="440" t="s">
        <v>561</v>
      </c>
      <c r="Q136" s="442">
        <f t="shared" si="7"/>
        <v>6.8418999999999994E-2</v>
      </c>
      <c r="R136" s="443">
        <v>5.3283999999999998E-2</v>
      </c>
      <c r="S136" s="443">
        <v>6.8418999999999994E-2</v>
      </c>
    </row>
    <row r="137" spans="5:19">
      <c r="E137" s="69">
        <v>8</v>
      </c>
      <c r="F137" s="69">
        <v>0.45</v>
      </c>
      <c r="G137" s="69">
        <v>0.61109999999999998</v>
      </c>
      <c r="H137" s="69">
        <v>15</v>
      </c>
      <c r="I137" s="69" t="str">
        <f t="shared" si="6"/>
        <v>815</v>
      </c>
      <c r="J137" s="336">
        <v>90000</v>
      </c>
      <c r="K137" s="430">
        <v>1.099194</v>
      </c>
      <c r="L137" s="69">
        <f t="shared" si="1"/>
        <v>1</v>
      </c>
      <c r="N137" s="440">
        <v>134</v>
      </c>
      <c r="O137" s="441">
        <v>6550</v>
      </c>
      <c r="P137" s="440" t="s">
        <v>562</v>
      </c>
      <c r="Q137" s="442">
        <f t="shared" si="7"/>
        <v>6.8218000000000001E-2</v>
      </c>
      <c r="R137" s="443">
        <v>5.3115000000000002E-2</v>
      </c>
      <c r="S137" s="443">
        <v>6.8218000000000001E-2</v>
      </c>
    </row>
    <row r="138" spans="5:19">
      <c r="E138" s="69">
        <v>8</v>
      </c>
      <c r="F138" s="69">
        <v>0.45</v>
      </c>
      <c r="G138" s="69">
        <v>0.61109999999999998</v>
      </c>
      <c r="H138" s="69">
        <v>16</v>
      </c>
      <c r="I138" s="69" t="str">
        <f t="shared" si="6"/>
        <v>816</v>
      </c>
      <c r="J138" s="336">
        <v>95000</v>
      </c>
      <c r="K138" s="430">
        <v>1.090851</v>
      </c>
      <c r="L138" s="69">
        <f t="shared" si="1"/>
        <v>1</v>
      </c>
      <c r="N138" s="440">
        <v>135</v>
      </c>
      <c r="O138" s="441">
        <v>6600</v>
      </c>
      <c r="P138" s="440" t="s">
        <v>563</v>
      </c>
      <c r="Q138" s="442">
        <f t="shared" si="7"/>
        <v>6.8018999999999996E-2</v>
      </c>
      <c r="R138" s="443">
        <v>5.2948000000000002E-2</v>
      </c>
      <c r="S138" s="443">
        <v>6.8018999999999996E-2</v>
      </c>
    </row>
    <row r="139" spans="5:19">
      <c r="E139" s="69">
        <v>8</v>
      </c>
      <c r="F139" s="69">
        <v>0.45</v>
      </c>
      <c r="G139" s="69">
        <v>0.61109999999999998</v>
      </c>
      <c r="H139" s="69">
        <v>17</v>
      </c>
      <c r="I139" s="69" t="str">
        <f t="shared" si="6"/>
        <v>817</v>
      </c>
      <c r="J139" s="336">
        <v>100000</v>
      </c>
      <c r="K139" s="430">
        <v>1.083186</v>
      </c>
      <c r="L139" s="69">
        <f t="shared" si="1"/>
        <v>1</v>
      </c>
      <c r="N139" s="440">
        <v>136</v>
      </c>
      <c r="O139" s="441">
        <v>6650</v>
      </c>
      <c r="P139" s="440" t="s">
        <v>564</v>
      </c>
      <c r="Q139" s="442">
        <f t="shared" si="7"/>
        <v>6.7822999999999994E-2</v>
      </c>
      <c r="R139" s="443">
        <v>5.2782000000000003E-2</v>
      </c>
      <c r="S139" s="443">
        <v>6.7822999999999994E-2</v>
      </c>
    </row>
    <row r="140" spans="5:19">
      <c r="E140" s="69">
        <v>9</v>
      </c>
      <c r="F140" s="69">
        <v>0.5</v>
      </c>
      <c r="G140" s="69">
        <v>0.55559999999999998</v>
      </c>
      <c r="H140" s="69">
        <v>1</v>
      </c>
      <c r="I140" s="69" t="str">
        <f t="shared" si="6"/>
        <v>91</v>
      </c>
      <c r="J140" s="69">
        <v>0</v>
      </c>
      <c r="K140" s="430">
        <v>1</v>
      </c>
      <c r="L140" s="69">
        <f t="shared" si="1"/>
        <v>1</v>
      </c>
      <c r="N140" s="440">
        <v>137</v>
      </c>
      <c r="O140" s="441">
        <v>6700</v>
      </c>
      <c r="P140" s="440" t="s">
        <v>565</v>
      </c>
      <c r="Q140" s="442">
        <f t="shared" si="7"/>
        <v>6.7627999999999994E-2</v>
      </c>
      <c r="R140" s="443">
        <v>5.2617999999999998E-2</v>
      </c>
      <c r="S140" s="443">
        <v>6.7627999999999994E-2</v>
      </c>
    </row>
    <row r="141" spans="5:19">
      <c r="E141" s="69">
        <v>9</v>
      </c>
      <c r="F141" s="69">
        <v>0.5</v>
      </c>
      <c r="G141" s="69">
        <v>0.55559999999999998</v>
      </c>
      <c r="H141" s="69">
        <v>2</v>
      </c>
      <c r="I141" s="69" t="str">
        <f t="shared" si="6"/>
        <v>92</v>
      </c>
      <c r="J141" s="336">
        <v>10000</v>
      </c>
      <c r="K141" s="430">
        <v>1.905675</v>
      </c>
      <c r="L141" s="69">
        <f t="shared" si="1"/>
        <v>1</v>
      </c>
      <c r="N141" s="440">
        <v>138</v>
      </c>
      <c r="O141" s="441">
        <v>6750</v>
      </c>
      <c r="P141" s="440" t="s">
        <v>566</v>
      </c>
      <c r="Q141" s="442">
        <f t="shared" si="7"/>
        <v>6.7434999999999995E-2</v>
      </c>
      <c r="R141" s="443">
        <v>5.2456000000000003E-2</v>
      </c>
      <c r="S141" s="443">
        <v>6.7434999999999995E-2</v>
      </c>
    </row>
    <row r="142" spans="5:19">
      <c r="E142" s="69">
        <v>9</v>
      </c>
      <c r="F142" s="69">
        <v>0.5</v>
      </c>
      <c r="G142" s="69">
        <v>0.55559999999999998</v>
      </c>
      <c r="H142" s="69">
        <v>3</v>
      </c>
      <c r="I142" s="69" t="str">
        <f t="shared" si="6"/>
        <v>93</v>
      </c>
      <c r="J142" s="336">
        <v>15000</v>
      </c>
      <c r="K142" s="430">
        <v>1.841853</v>
      </c>
      <c r="L142" s="69">
        <f t="shared" si="1"/>
        <v>1</v>
      </c>
      <c r="N142" s="440">
        <v>139</v>
      </c>
      <c r="O142" s="441">
        <v>6800</v>
      </c>
      <c r="P142" s="440" t="s">
        <v>567</v>
      </c>
      <c r="Q142" s="442">
        <f t="shared" si="7"/>
        <v>6.7243999999999998E-2</v>
      </c>
      <c r="R142" s="443">
        <v>5.2296000000000002E-2</v>
      </c>
      <c r="S142" s="443">
        <v>6.7243999999999998E-2</v>
      </c>
    </row>
    <row r="143" spans="5:19">
      <c r="E143" s="69">
        <v>9</v>
      </c>
      <c r="F143" s="69">
        <v>0.5</v>
      </c>
      <c r="G143" s="69">
        <v>0.55559999999999998</v>
      </c>
      <c r="H143" s="69">
        <v>4</v>
      </c>
      <c r="I143" s="69" t="str">
        <f t="shared" si="6"/>
        <v>94</v>
      </c>
      <c r="J143" s="336">
        <v>20000</v>
      </c>
      <c r="K143" s="430">
        <v>1.778832</v>
      </c>
      <c r="L143" s="69">
        <f t="shared" si="1"/>
        <v>1</v>
      </c>
      <c r="N143" s="440">
        <v>140</v>
      </c>
      <c r="O143" s="441">
        <v>6850</v>
      </c>
      <c r="P143" s="440" t="s">
        <v>568</v>
      </c>
      <c r="Q143" s="442">
        <f t="shared" si="7"/>
        <v>6.7055000000000003E-2</v>
      </c>
      <c r="R143" s="443">
        <v>5.2137000000000003E-2</v>
      </c>
      <c r="S143" s="443">
        <v>6.7055000000000003E-2</v>
      </c>
    </row>
    <row r="144" spans="5:19">
      <c r="E144" s="69">
        <v>9</v>
      </c>
      <c r="F144" s="69">
        <v>0.5</v>
      </c>
      <c r="G144" s="69">
        <v>0.55559999999999998</v>
      </c>
      <c r="H144" s="69">
        <v>5</v>
      </c>
      <c r="I144" s="69" t="str">
        <f t="shared" si="6"/>
        <v>95</v>
      </c>
      <c r="J144" s="336">
        <v>25000</v>
      </c>
      <c r="K144" s="430">
        <v>1.7218309999999999</v>
      </c>
      <c r="L144" s="69">
        <f t="shared" ref="L144:L156" si="8">+IF(b=2,1,1)</f>
        <v>1</v>
      </c>
      <c r="N144" s="440">
        <v>141</v>
      </c>
      <c r="O144" s="441">
        <v>6900</v>
      </c>
      <c r="P144" s="440" t="s">
        <v>569</v>
      </c>
      <c r="Q144" s="442">
        <f t="shared" si="7"/>
        <v>6.6867999999999997E-2</v>
      </c>
      <c r="R144" s="443">
        <v>5.1979999999999998E-2</v>
      </c>
      <c r="S144" s="443">
        <v>6.6867999999999997E-2</v>
      </c>
    </row>
    <row r="145" spans="5:19">
      <c r="E145" s="69">
        <v>9</v>
      </c>
      <c r="F145" s="69">
        <v>0.5</v>
      </c>
      <c r="G145" s="69">
        <v>0.55559999999999998</v>
      </c>
      <c r="H145" s="69">
        <v>6</v>
      </c>
      <c r="I145" s="69" t="str">
        <f t="shared" si="6"/>
        <v>96</v>
      </c>
      <c r="J145" s="336">
        <v>30000</v>
      </c>
      <c r="K145" s="430">
        <v>1.6697379999999999</v>
      </c>
      <c r="L145" s="69">
        <f t="shared" si="8"/>
        <v>1</v>
      </c>
      <c r="N145" s="440">
        <v>142</v>
      </c>
      <c r="O145" s="441">
        <v>6950</v>
      </c>
      <c r="P145" s="440" t="s">
        <v>570</v>
      </c>
      <c r="Q145" s="442">
        <f t="shared" si="7"/>
        <v>6.6683000000000006E-2</v>
      </c>
      <c r="R145" s="443">
        <v>5.1824000000000002E-2</v>
      </c>
      <c r="S145" s="443">
        <v>6.6683000000000006E-2</v>
      </c>
    </row>
    <row r="146" spans="5:19">
      <c r="E146" s="69">
        <v>9</v>
      </c>
      <c r="F146" s="69">
        <v>0.5</v>
      </c>
      <c r="G146" s="69">
        <v>0.55559999999999998</v>
      </c>
      <c r="H146" s="69">
        <v>7</v>
      </c>
      <c r="I146" s="69" t="str">
        <f t="shared" si="6"/>
        <v>97</v>
      </c>
      <c r="J146" s="336">
        <v>40000</v>
      </c>
      <c r="K146" s="430">
        <v>1.289096</v>
      </c>
      <c r="L146" s="69">
        <f t="shared" si="8"/>
        <v>1</v>
      </c>
      <c r="N146" s="440">
        <v>143</v>
      </c>
      <c r="O146" s="441">
        <v>7000</v>
      </c>
      <c r="P146" s="440" t="s">
        <v>571</v>
      </c>
      <c r="Q146" s="442">
        <f t="shared" si="7"/>
        <v>6.6500000000000004E-2</v>
      </c>
      <c r="R146" s="443">
        <v>5.1670000000000001E-2</v>
      </c>
      <c r="S146" s="443">
        <v>6.6500000000000004E-2</v>
      </c>
    </row>
    <row r="147" spans="5:19">
      <c r="E147" s="69">
        <v>9</v>
      </c>
      <c r="F147" s="69">
        <v>0.5</v>
      </c>
      <c r="G147" s="69">
        <v>0.55559999999999998</v>
      </c>
      <c r="H147" s="69">
        <v>8</v>
      </c>
      <c r="I147" s="69" t="str">
        <f t="shared" si="6"/>
        <v>98</v>
      </c>
      <c r="J147" s="336">
        <v>50000</v>
      </c>
      <c r="K147" s="430">
        <v>1.250721</v>
      </c>
      <c r="L147" s="69">
        <f t="shared" si="8"/>
        <v>1</v>
      </c>
      <c r="N147" s="440">
        <v>144</v>
      </c>
      <c r="O147" s="441">
        <v>7050</v>
      </c>
      <c r="P147" s="440" t="s">
        <v>572</v>
      </c>
      <c r="Q147" s="442">
        <f t="shared" si="7"/>
        <v>6.6319000000000003E-2</v>
      </c>
      <c r="R147" s="443">
        <v>5.1518000000000001E-2</v>
      </c>
      <c r="S147" s="443">
        <v>6.6319000000000003E-2</v>
      </c>
    </row>
    <row r="148" spans="5:19">
      <c r="E148" s="69">
        <v>9</v>
      </c>
      <c r="F148" s="69">
        <v>0.5</v>
      </c>
      <c r="G148" s="69">
        <v>0.55559999999999998</v>
      </c>
      <c r="H148" s="69">
        <v>9</v>
      </c>
      <c r="I148" s="69" t="str">
        <f t="shared" si="6"/>
        <v>99</v>
      </c>
      <c r="J148" s="336">
        <v>60000</v>
      </c>
      <c r="K148" s="430">
        <v>1.214564</v>
      </c>
      <c r="L148" s="69">
        <f t="shared" si="8"/>
        <v>1</v>
      </c>
      <c r="N148" s="440">
        <v>145</v>
      </c>
      <c r="O148" s="441">
        <v>7100</v>
      </c>
      <c r="P148" s="440" t="s">
        <v>573</v>
      </c>
      <c r="Q148" s="442">
        <f t="shared" si="7"/>
        <v>6.6139000000000003E-2</v>
      </c>
      <c r="R148" s="443">
        <v>5.1367000000000003E-2</v>
      </c>
      <c r="S148" s="443">
        <v>6.6139000000000003E-2</v>
      </c>
    </row>
    <row r="149" spans="5:19">
      <c r="E149" s="69">
        <v>9</v>
      </c>
      <c r="F149" s="69">
        <v>0.5</v>
      </c>
      <c r="G149" s="69">
        <v>0.55559999999999998</v>
      </c>
      <c r="H149" s="69">
        <v>10</v>
      </c>
      <c r="I149" s="69" t="str">
        <f t="shared" si="6"/>
        <v>910</v>
      </c>
      <c r="J149" s="336">
        <v>65000</v>
      </c>
      <c r="K149" s="430">
        <v>1.1974389999999999</v>
      </c>
      <c r="L149" s="69">
        <f t="shared" si="8"/>
        <v>1</v>
      </c>
      <c r="N149" s="440">
        <v>146</v>
      </c>
      <c r="O149" s="441">
        <v>7150</v>
      </c>
      <c r="P149" s="440" t="s">
        <v>574</v>
      </c>
      <c r="Q149" s="442">
        <f t="shared" si="7"/>
        <v>6.5961000000000006E-2</v>
      </c>
      <c r="R149" s="443">
        <v>5.1218E-2</v>
      </c>
      <c r="S149" s="443">
        <v>6.5961000000000006E-2</v>
      </c>
    </row>
    <row r="150" spans="5:19">
      <c r="E150" s="69">
        <v>9</v>
      </c>
      <c r="F150" s="69">
        <v>0.5</v>
      </c>
      <c r="G150" s="69">
        <v>0.55559999999999998</v>
      </c>
      <c r="H150" s="69">
        <v>11</v>
      </c>
      <c r="I150" s="69" t="str">
        <f t="shared" si="6"/>
        <v>911</v>
      </c>
      <c r="J150" s="336">
        <v>70000</v>
      </c>
      <c r="K150" s="430">
        <v>1.1812739999999999</v>
      </c>
      <c r="L150" s="69">
        <f t="shared" si="8"/>
        <v>1</v>
      </c>
      <c r="N150" s="440">
        <v>147</v>
      </c>
      <c r="O150" s="441">
        <v>7200</v>
      </c>
      <c r="P150" s="440" t="s">
        <v>575</v>
      </c>
      <c r="Q150" s="442">
        <f t="shared" si="7"/>
        <v>6.5784999999999996E-2</v>
      </c>
      <c r="R150" s="443">
        <v>5.1069999999999997E-2</v>
      </c>
      <c r="S150" s="443">
        <v>6.5784999999999996E-2</v>
      </c>
    </row>
    <row r="151" spans="5:19">
      <c r="E151" s="69">
        <v>9</v>
      </c>
      <c r="F151" s="69">
        <v>0.5</v>
      </c>
      <c r="G151" s="69">
        <v>0.55559999999999998</v>
      </c>
      <c r="H151" s="69">
        <v>12</v>
      </c>
      <c r="I151" s="69" t="str">
        <f t="shared" si="6"/>
        <v>912</v>
      </c>
      <c r="J151" s="336">
        <v>75000</v>
      </c>
      <c r="K151" s="430">
        <v>1.166221</v>
      </c>
      <c r="L151" s="69">
        <f t="shared" si="8"/>
        <v>1</v>
      </c>
      <c r="N151" s="440">
        <v>148</v>
      </c>
      <c r="O151" s="441">
        <v>7250</v>
      </c>
      <c r="P151" s="440" t="s">
        <v>576</v>
      </c>
      <c r="Q151" s="442">
        <f t="shared" si="7"/>
        <v>6.5610000000000002E-2</v>
      </c>
      <c r="R151" s="443">
        <v>5.0923999999999997E-2</v>
      </c>
      <c r="S151" s="443">
        <v>6.5610000000000002E-2</v>
      </c>
    </row>
    <row r="152" spans="5:19">
      <c r="E152" s="69">
        <v>9</v>
      </c>
      <c r="F152" s="69">
        <v>0.5</v>
      </c>
      <c r="G152" s="69">
        <v>0.55559999999999998</v>
      </c>
      <c r="H152" s="69">
        <v>13</v>
      </c>
      <c r="I152" s="69" t="str">
        <f t="shared" si="6"/>
        <v>913</v>
      </c>
      <c r="J152" s="336">
        <v>80000</v>
      </c>
      <c r="K152" s="430">
        <v>1.152374</v>
      </c>
      <c r="L152" s="69">
        <f t="shared" si="8"/>
        <v>1</v>
      </c>
      <c r="N152" s="440">
        <v>149</v>
      </c>
      <c r="O152" s="441">
        <v>7300</v>
      </c>
      <c r="P152" s="440" t="s">
        <v>577</v>
      </c>
      <c r="Q152" s="442">
        <f t="shared" si="7"/>
        <v>6.5436999999999995E-2</v>
      </c>
      <c r="R152" s="443">
        <v>5.0778999999999998E-2</v>
      </c>
      <c r="S152" s="443">
        <v>6.5436999999999995E-2</v>
      </c>
    </row>
    <row r="153" spans="5:19">
      <c r="E153" s="69">
        <v>9</v>
      </c>
      <c r="F153" s="69">
        <v>0.5</v>
      </c>
      <c r="G153" s="69">
        <v>0.55559999999999998</v>
      </c>
      <c r="H153" s="69">
        <v>14</v>
      </c>
      <c r="I153" s="69" t="str">
        <f t="shared" si="6"/>
        <v>914</v>
      </c>
      <c r="J153" s="336">
        <v>85000</v>
      </c>
      <c r="K153" s="430">
        <v>1.1396390000000001</v>
      </c>
      <c r="L153" s="69">
        <f t="shared" si="8"/>
        <v>1</v>
      </c>
      <c r="N153" s="440">
        <v>150</v>
      </c>
      <c r="O153" s="441">
        <v>7350</v>
      </c>
      <c r="P153" s="440" t="s">
        <v>578</v>
      </c>
      <c r="Q153" s="442">
        <f t="shared" si="7"/>
        <v>6.5266000000000005E-2</v>
      </c>
      <c r="R153" s="443">
        <v>5.0634999999999999E-2</v>
      </c>
      <c r="S153" s="443">
        <v>6.5266000000000005E-2</v>
      </c>
    </row>
    <row r="154" spans="5:19">
      <c r="E154" s="69">
        <v>9</v>
      </c>
      <c r="F154" s="69">
        <v>0.5</v>
      </c>
      <c r="G154" s="69">
        <v>0.55559999999999998</v>
      </c>
      <c r="H154" s="69">
        <v>15</v>
      </c>
      <c r="I154" s="69" t="str">
        <f t="shared" si="6"/>
        <v>915</v>
      </c>
      <c r="J154" s="336">
        <v>90000</v>
      </c>
      <c r="K154" s="430">
        <v>1.1279319999999999</v>
      </c>
      <c r="L154" s="69">
        <f t="shared" si="8"/>
        <v>1</v>
      </c>
      <c r="N154" s="440">
        <v>151</v>
      </c>
      <c r="O154" s="441">
        <v>7400</v>
      </c>
      <c r="P154" s="440" t="s">
        <v>579</v>
      </c>
      <c r="Q154" s="442">
        <f t="shared" si="7"/>
        <v>6.5096000000000001E-2</v>
      </c>
      <c r="R154" s="443">
        <v>5.0493000000000003E-2</v>
      </c>
      <c r="S154" s="443">
        <v>6.5096000000000001E-2</v>
      </c>
    </row>
    <row r="155" spans="5:19">
      <c r="E155" s="69">
        <v>9</v>
      </c>
      <c r="F155" s="69">
        <v>0.5</v>
      </c>
      <c r="G155" s="69">
        <v>0.55559999999999998</v>
      </c>
      <c r="H155" s="69">
        <v>16</v>
      </c>
      <c r="I155" s="69" t="str">
        <f t="shared" si="6"/>
        <v>916</v>
      </c>
      <c r="J155" s="336">
        <v>95000</v>
      </c>
      <c r="K155" s="430">
        <v>1.117173</v>
      </c>
      <c r="L155" s="69">
        <f t="shared" si="8"/>
        <v>1</v>
      </c>
      <c r="N155" s="440">
        <v>152</v>
      </c>
      <c r="O155" s="441">
        <v>7450</v>
      </c>
      <c r="P155" s="440" t="s">
        <v>580</v>
      </c>
      <c r="Q155" s="442">
        <f t="shared" si="7"/>
        <v>6.4928E-2</v>
      </c>
      <c r="R155" s="443">
        <v>5.0352000000000001E-2</v>
      </c>
      <c r="S155" s="443">
        <v>6.4928E-2</v>
      </c>
    </row>
    <row r="156" spans="5:19">
      <c r="E156" s="69">
        <v>9</v>
      </c>
      <c r="F156" s="69">
        <v>0.5</v>
      </c>
      <c r="G156" s="69">
        <v>0.55559999999999998</v>
      </c>
      <c r="H156" s="69">
        <v>17</v>
      </c>
      <c r="I156" s="69" t="str">
        <f t="shared" si="6"/>
        <v>917</v>
      </c>
      <c r="J156" s="336">
        <v>100000</v>
      </c>
      <c r="K156" s="430">
        <v>1.1072869999999999</v>
      </c>
      <c r="L156" s="69">
        <f t="shared" si="8"/>
        <v>1</v>
      </c>
      <c r="N156" s="440">
        <v>153</v>
      </c>
      <c r="O156" s="441">
        <v>7500</v>
      </c>
      <c r="P156" s="440" t="s">
        <v>581</v>
      </c>
      <c r="Q156" s="442">
        <f t="shared" si="7"/>
        <v>6.4762E-2</v>
      </c>
      <c r="R156" s="443">
        <v>5.0212E-2</v>
      </c>
      <c r="S156" s="443">
        <v>6.4762E-2</v>
      </c>
    </row>
    <row r="157" spans="5:19">
      <c r="N157" s="440">
        <v>154</v>
      </c>
      <c r="O157" s="441">
        <v>7550</v>
      </c>
      <c r="P157" s="440" t="s">
        <v>582</v>
      </c>
      <c r="Q157" s="442">
        <f t="shared" si="7"/>
        <v>6.4597000000000002E-2</v>
      </c>
      <c r="R157" s="443">
        <v>5.0074E-2</v>
      </c>
      <c r="S157" s="443">
        <v>6.4597000000000002E-2</v>
      </c>
    </row>
    <row r="158" spans="5:19">
      <c r="F158" s="245"/>
      <c r="G158" s="245"/>
      <c r="H158" s="245"/>
      <c r="J158" s="246"/>
      <c r="K158" s="246"/>
      <c r="N158" s="440">
        <v>155</v>
      </c>
      <c r="O158" s="441">
        <v>7600</v>
      </c>
      <c r="P158" s="440" t="s">
        <v>583</v>
      </c>
      <c r="Q158" s="442">
        <f t="shared" si="7"/>
        <v>6.4433000000000004E-2</v>
      </c>
      <c r="R158" s="443">
        <v>4.9937000000000002E-2</v>
      </c>
      <c r="S158" s="443">
        <v>6.4433000000000004E-2</v>
      </c>
    </row>
    <row r="159" spans="5:19">
      <c r="N159" s="440">
        <v>156</v>
      </c>
      <c r="O159" s="441">
        <v>7650</v>
      </c>
      <c r="P159" s="440" t="s">
        <v>584</v>
      </c>
      <c r="Q159" s="442">
        <f t="shared" si="7"/>
        <v>6.4270999999999995E-2</v>
      </c>
      <c r="R159" s="443">
        <v>4.9800999999999998E-2</v>
      </c>
      <c r="S159" s="443">
        <v>6.4270999999999995E-2</v>
      </c>
    </row>
    <row r="160" spans="5:19">
      <c r="N160" s="440">
        <v>157</v>
      </c>
      <c r="O160" s="441">
        <v>7700</v>
      </c>
      <c r="P160" s="440" t="s">
        <v>585</v>
      </c>
      <c r="Q160" s="442">
        <f t="shared" si="7"/>
        <v>6.4111000000000001E-2</v>
      </c>
      <c r="R160" s="443">
        <v>4.9667000000000003E-2</v>
      </c>
      <c r="S160" s="443">
        <v>6.4111000000000001E-2</v>
      </c>
    </row>
    <row r="161" spans="9:19">
      <c r="N161" s="440">
        <v>158</v>
      </c>
      <c r="O161" s="441">
        <v>7750</v>
      </c>
      <c r="P161" s="440" t="s">
        <v>586</v>
      </c>
      <c r="Q161" s="442">
        <f t="shared" si="7"/>
        <v>6.3950999999999994E-2</v>
      </c>
      <c r="R161" s="443">
        <v>4.9534000000000002E-2</v>
      </c>
      <c r="S161" s="443">
        <v>6.3950999999999994E-2</v>
      </c>
    </row>
    <row r="162" spans="9:19">
      <c r="N162" s="440">
        <v>159</v>
      </c>
      <c r="O162" s="441">
        <v>7800</v>
      </c>
      <c r="P162" s="440" t="s">
        <v>587</v>
      </c>
      <c r="Q162" s="442">
        <f t="shared" si="7"/>
        <v>6.3794000000000003E-2</v>
      </c>
      <c r="R162" s="443">
        <v>4.9402000000000001E-2</v>
      </c>
      <c r="S162" s="443">
        <v>6.3794000000000003E-2</v>
      </c>
    </row>
    <row r="163" spans="9:19">
      <c r="N163" s="440">
        <v>160</v>
      </c>
      <c r="O163" s="441">
        <v>7850</v>
      </c>
      <c r="P163" s="440" t="s">
        <v>588</v>
      </c>
      <c r="Q163" s="442">
        <f t="shared" si="7"/>
        <v>6.3636999999999999E-2</v>
      </c>
      <c r="R163" s="443">
        <v>4.9271000000000002E-2</v>
      </c>
      <c r="S163" s="443">
        <v>6.3636999999999999E-2</v>
      </c>
    </row>
    <row r="164" spans="9:19">
      <c r="N164" s="440">
        <v>161</v>
      </c>
      <c r="O164" s="441">
        <v>7900</v>
      </c>
      <c r="P164" s="440" t="s">
        <v>589</v>
      </c>
      <c r="Q164" s="442">
        <f t="shared" si="7"/>
        <v>6.3481999999999997E-2</v>
      </c>
      <c r="R164" s="443">
        <v>4.9140999999999997E-2</v>
      </c>
      <c r="S164" s="443">
        <v>6.3481999999999997E-2</v>
      </c>
    </row>
    <row r="165" spans="9:19">
      <c r="N165" s="440">
        <v>162</v>
      </c>
      <c r="O165" s="441">
        <v>7950</v>
      </c>
      <c r="P165" s="440" t="s">
        <v>590</v>
      </c>
      <c r="Q165" s="442">
        <f t="shared" si="7"/>
        <v>6.3328999999999996E-2</v>
      </c>
      <c r="R165" s="443">
        <v>4.9013000000000001E-2</v>
      </c>
      <c r="S165" s="443">
        <v>6.3328999999999996E-2</v>
      </c>
    </row>
    <row r="166" spans="9:19">
      <c r="N166" s="440">
        <v>163</v>
      </c>
      <c r="O166" s="441">
        <v>8000</v>
      </c>
      <c r="P166" s="440" t="s">
        <v>591</v>
      </c>
      <c r="Q166" s="442">
        <f t="shared" si="7"/>
        <v>6.3176999999999997E-2</v>
      </c>
      <c r="R166" s="443">
        <v>4.8884999999999998E-2</v>
      </c>
      <c r="S166" s="443">
        <v>6.3176999999999997E-2</v>
      </c>
    </row>
    <row r="167" spans="9:19">
      <c r="N167" s="440">
        <v>164</v>
      </c>
      <c r="O167" s="441">
        <v>8050</v>
      </c>
      <c r="P167" s="440" t="s">
        <v>592</v>
      </c>
      <c r="Q167" s="442">
        <f t="shared" si="7"/>
        <v>6.3025999999999999E-2</v>
      </c>
      <c r="R167" s="443">
        <v>4.8758999999999997E-2</v>
      </c>
      <c r="S167" s="443">
        <v>6.3025999999999999E-2</v>
      </c>
    </row>
    <row r="168" spans="9:19">
      <c r="N168" s="440">
        <v>165</v>
      </c>
      <c r="O168" s="441">
        <v>8100</v>
      </c>
      <c r="P168" s="440" t="s">
        <v>593</v>
      </c>
      <c r="Q168" s="442">
        <f t="shared" si="7"/>
        <v>6.2876000000000001E-2</v>
      </c>
      <c r="R168" s="443">
        <v>4.8633999999999997E-2</v>
      </c>
      <c r="S168" s="443">
        <v>6.2876000000000001E-2</v>
      </c>
    </row>
    <row r="169" spans="9:19">
      <c r="J169" s="333"/>
      <c r="N169" s="440">
        <v>166</v>
      </c>
      <c r="O169" s="441">
        <v>8150</v>
      </c>
      <c r="P169" s="440" t="s">
        <v>594</v>
      </c>
      <c r="Q169" s="442">
        <f t="shared" si="7"/>
        <v>6.2728000000000006E-2</v>
      </c>
      <c r="R169" s="443">
        <v>4.8509999999999998E-2</v>
      </c>
      <c r="S169" s="443">
        <v>6.2728000000000006E-2</v>
      </c>
    </row>
    <row r="170" spans="9:19">
      <c r="J170" s="333"/>
      <c r="K170" s="334"/>
      <c r="N170" s="440">
        <v>167</v>
      </c>
      <c r="O170" s="441">
        <v>8200</v>
      </c>
      <c r="P170" s="440" t="s">
        <v>595</v>
      </c>
      <c r="Q170" s="442">
        <f t="shared" si="7"/>
        <v>6.2579999999999997E-2</v>
      </c>
      <c r="R170" s="443">
        <v>4.8386999999999999E-2</v>
      </c>
      <c r="S170" s="443">
        <v>6.2579999999999997E-2</v>
      </c>
    </row>
    <row r="171" spans="9:19">
      <c r="N171" s="440">
        <v>168</v>
      </c>
      <c r="O171" s="441">
        <v>8250</v>
      </c>
      <c r="P171" s="440" t="s">
        <v>596</v>
      </c>
      <c r="Q171" s="442">
        <f t="shared" si="7"/>
        <v>6.2434999999999997E-2</v>
      </c>
      <c r="R171" s="443">
        <v>4.8265000000000002E-2</v>
      </c>
      <c r="S171" s="443">
        <v>6.2434999999999997E-2</v>
      </c>
    </row>
    <row r="172" spans="9:19">
      <c r="N172" s="440">
        <v>169</v>
      </c>
      <c r="O172" s="441">
        <v>8300</v>
      </c>
      <c r="P172" s="440" t="s">
        <v>597</v>
      </c>
      <c r="Q172" s="442">
        <f t="shared" si="7"/>
        <v>6.2289999999999998E-2</v>
      </c>
      <c r="R172" s="443">
        <v>4.8143999999999999E-2</v>
      </c>
      <c r="S172" s="443">
        <v>6.2289999999999998E-2</v>
      </c>
    </row>
    <row r="173" spans="9:19">
      <c r="I173" s="335"/>
      <c r="K173" s="335"/>
      <c r="N173" s="440">
        <v>170</v>
      </c>
      <c r="O173" s="441">
        <v>8350</v>
      </c>
      <c r="P173" s="440" t="s">
        <v>598</v>
      </c>
      <c r="Q173" s="442">
        <f t="shared" si="7"/>
        <v>6.2146E-2</v>
      </c>
      <c r="R173" s="443">
        <v>4.8023999999999997E-2</v>
      </c>
      <c r="S173" s="443">
        <v>6.2146E-2</v>
      </c>
    </row>
    <row r="174" spans="9:19">
      <c r="I174" s="333"/>
      <c r="N174" s="440">
        <v>171</v>
      </c>
      <c r="O174" s="441">
        <v>8400</v>
      </c>
      <c r="P174" s="440" t="s">
        <v>599</v>
      </c>
      <c r="Q174" s="442">
        <f t="shared" si="7"/>
        <v>6.2003999999999997E-2</v>
      </c>
      <c r="R174" s="443">
        <v>4.7905999999999997E-2</v>
      </c>
      <c r="S174" s="443">
        <v>6.2003999999999997E-2</v>
      </c>
    </row>
    <row r="175" spans="9:19">
      <c r="N175" s="440">
        <v>172</v>
      </c>
      <c r="O175" s="441">
        <v>8450</v>
      </c>
      <c r="P175" s="440" t="s">
        <v>600</v>
      </c>
      <c r="Q175" s="442">
        <f t="shared" si="7"/>
        <v>6.1863000000000001E-2</v>
      </c>
      <c r="R175" s="443">
        <v>4.7787999999999997E-2</v>
      </c>
      <c r="S175" s="443">
        <v>6.1863000000000001E-2</v>
      </c>
    </row>
    <row r="176" spans="9:19">
      <c r="N176" s="440">
        <v>173</v>
      </c>
      <c r="O176" s="441">
        <v>8500</v>
      </c>
      <c r="P176" s="440" t="s">
        <v>601</v>
      </c>
      <c r="Q176" s="442">
        <f t="shared" si="7"/>
        <v>6.1723E-2</v>
      </c>
      <c r="R176" s="443">
        <v>4.7670999999999998E-2</v>
      </c>
      <c r="S176" s="443">
        <v>6.1723E-2</v>
      </c>
    </row>
    <row r="177" spans="9:19">
      <c r="N177" s="440">
        <v>174</v>
      </c>
      <c r="O177" s="441">
        <v>8550</v>
      </c>
      <c r="P177" s="440" t="s">
        <v>602</v>
      </c>
      <c r="Q177" s="442">
        <f t="shared" si="7"/>
        <v>6.1584E-2</v>
      </c>
      <c r="R177" s="443">
        <v>4.7555E-2</v>
      </c>
      <c r="S177" s="443">
        <v>6.1584E-2</v>
      </c>
    </row>
    <row r="178" spans="9:19">
      <c r="I178" s="335"/>
      <c r="N178" s="440">
        <v>175</v>
      </c>
      <c r="O178" s="441">
        <v>8600</v>
      </c>
      <c r="P178" s="440" t="s">
        <v>603</v>
      </c>
      <c r="Q178" s="442">
        <f t="shared" si="7"/>
        <v>6.1446000000000001E-2</v>
      </c>
      <c r="R178" s="443">
        <v>4.7440000000000003E-2</v>
      </c>
      <c r="S178" s="443">
        <v>6.1446000000000001E-2</v>
      </c>
    </row>
    <row r="179" spans="9:19">
      <c r="N179" s="440">
        <v>176</v>
      </c>
      <c r="O179" s="441">
        <v>8650</v>
      </c>
      <c r="P179" s="440" t="s">
        <v>604</v>
      </c>
      <c r="Q179" s="442">
        <f t="shared" si="7"/>
        <v>6.1310000000000003E-2</v>
      </c>
      <c r="R179" s="443">
        <v>4.7326E-2</v>
      </c>
      <c r="S179" s="443">
        <v>6.1310000000000003E-2</v>
      </c>
    </row>
    <row r="180" spans="9:19">
      <c r="N180" s="440">
        <v>177</v>
      </c>
      <c r="O180" s="441">
        <v>8700</v>
      </c>
      <c r="P180" s="440" t="s">
        <v>605</v>
      </c>
      <c r="Q180" s="442">
        <f t="shared" si="7"/>
        <v>6.1173999999999999E-2</v>
      </c>
      <c r="R180" s="443">
        <v>4.7212999999999998E-2</v>
      </c>
      <c r="S180" s="443">
        <v>6.1173999999999999E-2</v>
      </c>
    </row>
    <row r="181" spans="9:19">
      <c r="N181" s="440">
        <v>178</v>
      </c>
      <c r="O181" s="441">
        <v>8750</v>
      </c>
      <c r="P181" s="440" t="s">
        <v>606</v>
      </c>
      <c r="Q181" s="442">
        <f t="shared" si="7"/>
        <v>6.1039999999999997E-2</v>
      </c>
      <c r="R181" s="443">
        <v>4.7100999999999997E-2</v>
      </c>
      <c r="S181" s="443">
        <v>6.1039999999999997E-2</v>
      </c>
    </row>
    <row r="182" spans="9:19">
      <c r="J182" s="63"/>
      <c r="K182" s="63"/>
      <c r="N182" s="440">
        <v>179</v>
      </c>
      <c r="O182" s="441">
        <v>8800</v>
      </c>
      <c r="P182" s="440" t="s">
        <v>607</v>
      </c>
      <c r="Q182" s="442">
        <f t="shared" si="7"/>
        <v>6.0906000000000002E-2</v>
      </c>
      <c r="R182" s="443">
        <v>4.6989999999999997E-2</v>
      </c>
      <c r="S182" s="443">
        <v>6.0906000000000002E-2</v>
      </c>
    </row>
    <row r="183" spans="9:19">
      <c r="J183" s="63"/>
      <c r="K183" s="63"/>
      <c r="N183" s="440">
        <v>180</v>
      </c>
      <c r="O183" s="441">
        <v>8850</v>
      </c>
      <c r="P183" s="440" t="s">
        <v>608</v>
      </c>
      <c r="Q183" s="442">
        <f t="shared" si="7"/>
        <v>6.0774000000000002E-2</v>
      </c>
      <c r="R183" s="443">
        <v>4.6878999999999997E-2</v>
      </c>
      <c r="S183" s="443">
        <v>6.0774000000000002E-2</v>
      </c>
    </row>
    <row r="184" spans="9:19">
      <c r="J184" s="63"/>
      <c r="K184" s="63"/>
      <c r="N184" s="440">
        <v>181</v>
      </c>
      <c r="O184" s="441">
        <v>8900</v>
      </c>
      <c r="P184" s="440" t="s">
        <v>609</v>
      </c>
      <c r="Q184" s="442">
        <f t="shared" si="7"/>
        <v>6.0643000000000002E-2</v>
      </c>
      <c r="R184" s="443">
        <v>4.6769999999999999E-2</v>
      </c>
      <c r="S184" s="443">
        <v>6.0643000000000002E-2</v>
      </c>
    </row>
    <row r="185" spans="9:19">
      <c r="J185" s="63"/>
      <c r="K185" s="63"/>
      <c r="N185" s="440">
        <v>182</v>
      </c>
      <c r="O185" s="441">
        <v>8950</v>
      </c>
      <c r="P185" s="440" t="s">
        <v>610</v>
      </c>
      <c r="Q185" s="442">
        <f t="shared" si="7"/>
        <v>6.0512000000000003E-2</v>
      </c>
      <c r="R185" s="443">
        <v>4.6661000000000001E-2</v>
      </c>
      <c r="S185" s="443">
        <v>6.0512000000000003E-2</v>
      </c>
    </row>
    <row r="186" spans="9:19">
      <c r="J186" s="63"/>
      <c r="K186" s="63"/>
      <c r="N186" s="440">
        <v>183</v>
      </c>
      <c r="O186" s="441">
        <v>9000</v>
      </c>
      <c r="P186" s="440" t="s">
        <v>611</v>
      </c>
      <c r="Q186" s="442">
        <f t="shared" si="7"/>
        <v>6.0382999999999999E-2</v>
      </c>
      <c r="R186" s="443">
        <v>4.6553999999999998E-2</v>
      </c>
      <c r="S186" s="443">
        <v>6.0382999999999999E-2</v>
      </c>
    </row>
    <row r="187" spans="9:19">
      <c r="J187" s="63"/>
      <c r="K187" s="63"/>
      <c r="N187" s="440">
        <v>184</v>
      </c>
      <c r="O187" s="441">
        <v>9050</v>
      </c>
      <c r="P187" s="440" t="s">
        <v>612</v>
      </c>
      <c r="Q187" s="442">
        <f t="shared" si="7"/>
        <v>6.0255000000000003E-2</v>
      </c>
      <c r="R187" s="443">
        <v>4.6447000000000002E-2</v>
      </c>
      <c r="S187" s="443">
        <v>6.0255000000000003E-2</v>
      </c>
    </row>
    <row r="188" spans="9:19">
      <c r="J188" s="63"/>
      <c r="K188" s="63"/>
      <c r="N188" s="440">
        <v>185</v>
      </c>
      <c r="O188" s="441">
        <v>9100</v>
      </c>
      <c r="P188" s="440" t="s">
        <v>613</v>
      </c>
      <c r="Q188" s="442">
        <f t="shared" si="7"/>
        <v>6.0128000000000001E-2</v>
      </c>
      <c r="R188" s="443">
        <v>4.6341E-2</v>
      </c>
      <c r="S188" s="443">
        <v>6.0128000000000001E-2</v>
      </c>
    </row>
    <row r="189" spans="9:19">
      <c r="N189" s="440">
        <v>186</v>
      </c>
      <c r="O189" s="441">
        <v>9150</v>
      </c>
      <c r="P189" s="440" t="s">
        <v>614</v>
      </c>
      <c r="Q189" s="442">
        <f t="shared" si="7"/>
        <v>6.0000999999999999E-2</v>
      </c>
      <c r="R189" s="443">
        <v>4.6234999999999998E-2</v>
      </c>
      <c r="S189" s="443">
        <v>6.0000999999999999E-2</v>
      </c>
    </row>
    <row r="190" spans="9:19">
      <c r="N190" s="440">
        <v>187</v>
      </c>
      <c r="O190" s="441">
        <v>9200</v>
      </c>
      <c r="P190" s="440" t="s">
        <v>615</v>
      </c>
      <c r="Q190" s="442">
        <f t="shared" si="7"/>
        <v>5.9875999999999999E-2</v>
      </c>
      <c r="R190" s="443">
        <v>4.6130999999999998E-2</v>
      </c>
      <c r="S190" s="443">
        <v>5.9875999999999999E-2</v>
      </c>
    </row>
    <row r="191" spans="9:19">
      <c r="N191" s="440">
        <v>188</v>
      </c>
      <c r="O191" s="441">
        <v>9250</v>
      </c>
      <c r="P191" s="440" t="s">
        <v>616</v>
      </c>
      <c r="Q191" s="442">
        <f t="shared" si="7"/>
        <v>5.9750999999999999E-2</v>
      </c>
      <c r="R191" s="443">
        <v>4.6026999999999998E-2</v>
      </c>
      <c r="S191" s="443">
        <v>5.9750999999999999E-2</v>
      </c>
    </row>
    <row r="192" spans="9:19">
      <c r="N192" s="440">
        <v>189</v>
      </c>
      <c r="O192" s="441">
        <v>9300</v>
      </c>
      <c r="P192" s="440" t="s">
        <v>617</v>
      </c>
      <c r="Q192" s="442">
        <f t="shared" si="7"/>
        <v>5.9628E-2</v>
      </c>
      <c r="R192" s="443">
        <v>4.5924E-2</v>
      </c>
      <c r="S192" s="443">
        <v>5.9628E-2</v>
      </c>
    </row>
    <row r="193" spans="14:19">
      <c r="N193" s="440">
        <v>190</v>
      </c>
      <c r="O193" s="441">
        <v>9350</v>
      </c>
      <c r="P193" s="440" t="s">
        <v>618</v>
      </c>
      <c r="Q193" s="442">
        <f t="shared" si="7"/>
        <v>5.9505000000000002E-2</v>
      </c>
      <c r="R193" s="443">
        <v>4.5822000000000002E-2</v>
      </c>
      <c r="S193" s="443">
        <v>5.9505000000000002E-2</v>
      </c>
    </row>
    <row r="194" spans="14:19">
      <c r="N194" s="440">
        <v>191</v>
      </c>
      <c r="O194" s="441">
        <v>9400</v>
      </c>
      <c r="P194" s="440" t="s">
        <v>619</v>
      </c>
      <c r="Q194" s="442">
        <f t="shared" si="7"/>
        <v>5.9382999999999998E-2</v>
      </c>
      <c r="R194" s="443">
        <v>4.5720999999999998E-2</v>
      </c>
      <c r="S194" s="443">
        <v>5.9382999999999998E-2</v>
      </c>
    </row>
    <row r="195" spans="14:19">
      <c r="N195" s="440">
        <v>192</v>
      </c>
      <c r="O195" s="441">
        <v>9450</v>
      </c>
      <c r="P195" s="440" t="s">
        <v>620</v>
      </c>
      <c r="Q195" s="442">
        <f t="shared" si="7"/>
        <v>5.9263000000000003E-2</v>
      </c>
      <c r="R195" s="443">
        <v>4.5621000000000002E-2</v>
      </c>
      <c r="S195" s="443">
        <v>5.9263000000000003E-2</v>
      </c>
    </row>
    <row r="196" spans="14:19">
      <c r="N196" s="440">
        <v>193</v>
      </c>
      <c r="O196" s="441">
        <v>9500</v>
      </c>
      <c r="P196" s="440" t="s">
        <v>621</v>
      </c>
      <c r="Q196" s="442">
        <f t="shared" si="7"/>
        <v>5.9143000000000001E-2</v>
      </c>
      <c r="R196" s="443">
        <v>4.5520999999999999E-2</v>
      </c>
      <c r="S196" s="443">
        <v>5.9143000000000001E-2</v>
      </c>
    </row>
    <row r="197" spans="14:19">
      <c r="N197" s="440">
        <v>194</v>
      </c>
      <c r="O197" s="441">
        <v>9550</v>
      </c>
      <c r="P197" s="440" t="s">
        <v>622</v>
      </c>
      <c r="Q197" s="442">
        <f t="shared" ref="Q197:Q260" si="9">+S197</f>
        <v>5.9022999999999999E-2</v>
      </c>
      <c r="R197" s="443">
        <v>4.5421999999999997E-2</v>
      </c>
      <c r="S197" s="443">
        <v>5.9022999999999999E-2</v>
      </c>
    </row>
    <row r="198" spans="14:19">
      <c r="N198" s="440">
        <v>195</v>
      </c>
      <c r="O198" s="441">
        <v>9600</v>
      </c>
      <c r="P198" s="440" t="s">
        <v>623</v>
      </c>
      <c r="Q198" s="442">
        <f t="shared" si="9"/>
        <v>5.8904999999999999E-2</v>
      </c>
      <c r="R198" s="443">
        <v>4.5323000000000002E-2</v>
      </c>
      <c r="S198" s="443">
        <v>5.8904999999999999E-2</v>
      </c>
    </row>
    <row r="199" spans="14:19">
      <c r="N199" s="440">
        <v>196</v>
      </c>
      <c r="O199" s="441">
        <v>9650</v>
      </c>
      <c r="P199" s="440" t="s">
        <v>624</v>
      </c>
      <c r="Q199" s="442">
        <f t="shared" si="9"/>
        <v>5.8788E-2</v>
      </c>
      <c r="R199" s="443">
        <v>4.5226000000000002E-2</v>
      </c>
      <c r="S199" s="443">
        <v>5.8788E-2</v>
      </c>
    </row>
    <row r="200" spans="14:19">
      <c r="N200" s="440">
        <v>197</v>
      </c>
      <c r="O200" s="441">
        <v>9700</v>
      </c>
      <c r="P200" s="440" t="s">
        <v>625</v>
      </c>
      <c r="Q200" s="442">
        <f t="shared" si="9"/>
        <v>5.8671000000000001E-2</v>
      </c>
      <c r="R200" s="443">
        <v>4.5129000000000002E-2</v>
      </c>
      <c r="S200" s="443">
        <v>5.8671000000000001E-2</v>
      </c>
    </row>
    <row r="201" spans="14:19">
      <c r="N201" s="440">
        <v>198</v>
      </c>
      <c r="O201" s="441">
        <v>9750</v>
      </c>
      <c r="P201" s="440" t="s">
        <v>626</v>
      </c>
      <c r="Q201" s="442">
        <f t="shared" si="9"/>
        <v>5.8555999999999997E-2</v>
      </c>
      <c r="R201" s="443">
        <v>4.5032999999999997E-2</v>
      </c>
      <c r="S201" s="443">
        <v>5.8555999999999997E-2</v>
      </c>
    </row>
    <row r="202" spans="14:19">
      <c r="N202" s="440">
        <v>199</v>
      </c>
      <c r="O202" s="441">
        <v>9800</v>
      </c>
      <c r="P202" s="440" t="s">
        <v>627</v>
      </c>
      <c r="Q202" s="442">
        <f t="shared" si="9"/>
        <v>5.8441E-2</v>
      </c>
      <c r="R202" s="443">
        <v>4.4936999999999998E-2</v>
      </c>
      <c r="S202" s="443">
        <v>5.8441E-2</v>
      </c>
    </row>
    <row r="203" spans="14:19">
      <c r="N203" s="440">
        <v>200</v>
      </c>
      <c r="O203" s="441">
        <v>9850</v>
      </c>
      <c r="P203" s="440" t="s">
        <v>628</v>
      </c>
      <c r="Q203" s="442">
        <f t="shared" si="9"/>
        <v>5.8326999999999997E-2</v>
      </c>
      <c r="R203" s="443">
        <v>4.4842E-2</v>
      </c>
      <c r="S203" s="443">
        <v>5.8326999999999997E-2</v>
      </c>
    </row>
    <row r="204" spans="14:19">
      <c r="N204" s="440">
        <v>201</v>
      </c>
      <c r="O204" s="441">
        <v>9900</v>
      </c>
      <c r="P204" s="440" t="s">
        <v>629</v>
      </c>
      <c r="Q204" s="442">
        <f t="shared" si="9"/>
        <v>5.8213000000000001E-2</v>
      </c>
      <c r="R204" s="443">
        <v>4.4748000000000003E-2</v>
      </c>
      <c r="S204" s="443">
        <v>5.8213000000000001E-2</v>
      </c>
    </row>
    <row r="205" spans="14:19">
      <c r="N205" s="440">
        <v>202</v>
      </c>
      <c r="O205" s="441">
        <v>9950</v>
      </c>
      <c r="P205" s="440" t="s">
        <v>630</v>
      </c>
      <c r="Q205" s="442">
        <f t="shared" si="9"/>
        <v>5.8101E-2</v>
      </c>
      <c r="R205" s="443">
        <v>4.4655E-2</v>
      </c>
      <c r="S205" s="443">
        <v>5.8101E-2</v>
      </c>
    </row>
    <row r="206" spans="14:19">
      <c r="N206" s="440">
        <v>203</v>
      </c>
      <c r="O206" s="441">
        <v>10000</v>
      </c>
      <c r="P206" s="440" t="s">
        <v>631</v>
      </c>
      <c r="Q206" s="442">
        <f t="shared" si="9"/>
        <v>5.7988999999999999E-2</v>
      </c>
      <c r="R206" s="443">
        <v>4.4561999999999997E-2</v>
      </c>
      <c r="S206" s="443">
        <v>5.7988999999999999E-2</v>
      </c>
    </row>
    <row r="207" spans="14:19">
      <c r="N207" s="440">
        <v>204</v>
      </c>
      <c r="O207" s="441">
        <v>10100</v>
      </c>
      <c r="P207" s="440" t="s">
        <v>632</v>
      </c>
      <c r="Q207" s="442">
        <f t="shared" si="9"/>
        <v>5.7768E-2</v>
      </c>
      <c r="R207" s="443">
        <v>4.4378000000000001E-2</v>
      </c>
      <c r="S207" s="443">
        <v>5.7768E-2</v>
      </c>
    </row>
    <row r="208" spans="14:19">
      <c r="N208" s="440">
        <v>205</v>
      </c>
      <c r="O208" s="441">
        <v>10200</v>
      </c>
      <c r="P208" s="440" t="s">
        <v>633</v>
      </c>
      <c r="Q208" s="442">
        <f t="shared" si="9"/>
        <v>5.7549999999999997E-2</v>
      </c>
      <c r="R208" s="443">
        <v>4.4197E-2</v>
      </c>
      <c r="S208" s="443">
        <v>5.7549999999999997E-2</v>
      </c>
    </row>
    <row r="209" spans="14:19">
      <c r="N209" s="440">
        <v>206</v>
      </c>
      <c r="O209" s="441">
        <v>10300</v>
      </c>
      <c r="P209" s="440" t="s">
        <v>634</v>
      </c>
      <c r="Q209" s="442">
        <f t="shared" si="9"/>
        <v>5.7334999999999997E-2</v>
      </c>
      <c r="R209" s="443">
        <v>4.4019000000000003E-2</v>
      </c>
      <c r="S209" s="443">
        <v>5.7334999999999997E-2</v>
      </c>
    </row>
    <row r="210" spans="14:19">
      <c r="N210" s="440">
        <v>207</v>
      </c>
      <c r="O210" s="441">
        <v>10400</v>
      </c>
      <c r="P210" s="440" t="s">
        <v>635</v>
      </c>
      <c r="Q210" s="442">
        <f t="shared" si="9"/>
        <v>5.7121999999999999E-2</v>
      </c>
      <c r="R210" s="443">
        <v>4.3843E-2</v>
      </c>
      <c r="S210" s="443">
        <v>5.7121999999999999E-2</v>
      </c>
    </row>
    <row r="211" spans="14:19">
      <c r="N211" s="440">
        <v>208</v>
      </c>
      <c r="O211" s="441">
        <v>10500</v>
      </c>
      <c r="P211" s="440" t="s">
        <v>636</v>
      </c>
      <c r="Q211" s="442">
        <f t="shared" si="9"/>
        <v>5.6912999999999998E-2</v>
      </c>
      <c r="R211" s="443">
        <v>4.3668999999999999E-2</v>
      </c>
      <c r="S211" s="443">
        <v>5.6912999999999998E-2</v>
      </c>
    </row>
    <row r="212" spans="14:19">
      <c r="N212" s="440">
        <v>209</v>
      </c>
      <c r="O212" s="441">
        <v>10600</v>
      </c>
      <c r="P212" s="440" t="s">
        <v>637</v>
      </c>
      <c r="Q212" s="442">
        <f t="shared" si="9"/>
        <v>5.6705999999999999E-2</v>
      </c>
      <c r="R212" s="443">
        <v>4.3498000000000002E-2</v>
      </c>
      <c r="S212" s="443">
        <v>5.6705999999999999E-2</v>
      </c>
    </row>
    <row r="213" spans="14:19">
      <c r="N213" s="440">
        <v>210</v>
      </c>
      <c r="O213" s="441">
        <v>10700</v>
      </c>
      <c r="P213" s="440" t="s">
        <v>638</v>
      </c>
      <c r="Q213" s="442">
        <f t="shared" si="9"/>
        <v>5.6501999999999997E-2</v>
      </c>
      <c r="R213" s="443">
        <v>4.3327999999999998E-2</v>
      </c>
      <c r="S213" s="443">
        <v>5.6501999999999997E-2</v>
      </c>
    </row>
    <row r="214" spans="14:19">
      <c r="N214" s="440">
        <v>211</v>
      </c>
      <c r="O214" s="441">
        <v>10800</v>
      </c>
      <c r="P214" s="440" t="s">
        <v>639</v>
      </c>
      <c r="Q214" s="442">
        <f t="shared" si="9"/>
        <v>5.6300999999999997E-2</v>
      </c>
      <c r="R214" s="443">
        <v>4.3160999999999998E-2</v>
      </c>
      <c r="S214" s="443">
        <v>5.6300999999999997E-2</v>
      </c>
    </row>
    <row r="215" spans="14:19">
      <c r="N215" s="440">
        <v>212</v>
      </c>
      <c r="O215" s="441">
        <v>10900</v>
      </c>
      <c r="P215" s="440" t="s">
        <v>640</v>
      </c>
      <c r="Q215" s="442">
        <f t="shared" si="9"/>
        <v>5.6101999999999999E-2</v>
      </c>
      <c r="R215" s="443">
        <v>4.2997E-2</v>
      </c>
      <c r="S215" s="443">
        <v>5.6101999999999999E-2</v>
      </c>
    </row>
    <row r="216" spans="14:19">
      <c r="N216" s="440">
        <v>213</v>
      </c>
      <c r="O216" s="441">
        <v>11000</v>
      </c>
      <c r="P216" s="440" t="s">
        <v>641</v>
      </c>
      <c r="Q216" s="442">
        <f t="shared" si="9"/>
        <v>5.5905000000000003E-2</v>
      </c>
      <c r="R216" s="443">
        <v>4.2833999999999997E-2</v>
      </c>
      <c r="S216" s="443">
        <v>5.5905000000000003E-2</v>
      </c>
    </row>
    <row r="217" spans="14:19">
      <c r="N217" s="440">
        <v>214</v>
      </c>
      <c r="O217" s="441">
        <v>11100</v>
      </c>
      <c r="P217" s="440" t="s">
        <v>642</v>
      </c>
      <c r="Q217" s="442">
        <f t="shared" si="9"/>
        <v>5.5710999999999997E-2</v>
      </c>
      <c r="R217" s="443">
        <v>4.2673999999999997E-2</v>
      </c>
      <c r="S217" s="443">
        <v>5.5710999999999997E-2</v>
      </c>
    </row>
    <row r="218" spans="14:19">
      <c r="N218" s="440">
        <v>215</v>
      </c>
      <c r="O218" s="441">
        <v>11200</v>
      </c>
      <c r="P218" s="440" t="s">
        <v>643</v>
      </c>
      <c r="Q218" s="442">
        <f t="shared" si="9"/>
        <v>5.552E-2</v>
      </c>
      <c r="R218" s="443">
        <v>4.2514999999999997E-2</v>
      </c>
      <c r="S218" s="443">
        <v>5.552E-2</v>
      </c>
    </row>
    <row r="219" spans="14:19">
      <c r="N219" s="440">
        <v>216</v>
      </c>
      <c r="O219" s="441">
        <v>11300</v>
      </c>
      <c r="P219" s="440" t="s">
        <v>644</v>
      </c>
      <c r="Q219" s="442">
        <f t="shared" si="9"/>
        <v>5.5330999999999998E-2</v>
      </c>
      <c r="R219" s="443">
        <v>4.2358E-2</v>
      </c>
      <c r="S219" s="443">
        <v>5.5330999999999998E-2</v>
      </c>
    </row>
    <row r="220" spans="14:19">
      <c r="N220" s="440">
        <v>217</v>
      </c>
      <c r="O220" s="441">
        <v>11400</v>
      </c>
      <c r="P220" s="440" t="s">
        <v>645</v>
      </c>
      <c r="Q220" s="442">
        <f t="shared" si="9"/>
        <v>5.5143999999999999E-2</v>
      </c>
      <c r="R220" s="443">
        <v>4.2203999999999998E-2</v>
      </c>
      <c r="S220" s="443">
        <v>5.5143999999999999E-2</v>
      </c>
    </row>
    <row r="221" spans="14:19">
      <c r="N221" s="440">
        <v>218</v>
      </c>
      <c r="O221" s="441">
        <v>11500</v>
      </c>
      <c r="P221" s="440" t="s">
        <v>646</v>
      </c>
      <c r="Q221" s="442">
        <f t="shared" si="9"/>
        <v>5.4959000000000001E-2</v>
      </c>
      <c r="R221" s="443">
        <v>4.2050999999999998E-2</v>
      </c>
      <c r="S221" s="443">
        <v>5.4959000000000001E-2</v>
      </c>
    </row>
    <row r="222" spans="14:19">
      <c r="N222" s="440">
        <v>219</v>
      </c>
      <c r="O222" s="441">
        <v>11600</v>
      </c>
      <c r="P222" s="440" t="s">
        <v>647</v>
      </c>
      <c r="Q222" s="442">
        <f t="shared" si="9"/>
        <v>5.4776999999999999E-2</v>
      </c>
      <c r="R222" s="443">
        <v>4.19E-2</v>
      </c>
      <c r="S222" s="443">
        <v>5.4776999999999999E-2</v>
      </c>
    </row>
    <row r="223" spans="14:19">
      <c r="N223" s="440">
        <v>220</v>
      </c>
      <c r="O223" s="441">
        <v>11700</v>
      </c>
      <c r="P223" s="440" t="s">
        <v>648</v>
      </c>
      <c r="Q223" s="442">
        <f t="shared" si="9"/>
        <v>5.4597E-2</v>
      </c>
      <c r="R223" s="443">
        <v>4.1751000000000003E-2</v>
      </c>
      <c r="S223" s="443">
        <v>5.4597E-2</v>
      </c>
    </row>
    <row r="224" spans="14:19">
      <c r="N224" s="440">
        <v>221</v>
      </c>
      <c r="O224" s="441">
        <v>11800</v>
      </c>
      <c r="P224" s="440" t="s">
        <v>649</v>
      </c>
      <c r="Q224" s="442">
        <f t="shared" si="9"/>
        <v>5.4419000000000002E-2</v>
      </c>
      <c r="R224" s="443">
        <v>4.1604000000000002E-2</v>
      </c>
      <c r="S224" s="443">
        <v>5.4419000000000002E-2</v>
      </c>
    </row>
    <row r="225" spans="14:19">
      <c r="N225" s="440">
        <v>222</v>
      </c>
      <c r="O225" s="441">
        <v>11900</v>
      </c>
      <c r="P225" s="440" t="s">
        <v>650</v>
      </c>
      <c r="Q225" s="442">
        <f t="shared" si="9"/>
        <v>5.4241999999999999E-2</v>
      </c>
      <c r="R225" s="443">
        <v>4.1459000000000003E-2</v>
      </c>
      <c r="S225" s="443">
        <v>5.4241999999999999E-2</v>
      </c>
    </row>
    <row r="226" spans="14:19">
      <c r="N226" s="440">
        <v>223</v>
      </c>
      <c r="O226" s="441">
        <v>12000</v>
      </c>
      <c r="P226" s="440" t="s">
        <v>651</v>
      </c>
      <c r="Q226" s="442">
        <f t="shared" si="9"/>
        <v>5.4067999999999998E-2</v>
      </c>
      <c r="R226" s="443">
        <v>4.1314999999999998E-2</v>
      </c>
      <c r="S226" s="443">
        <v>5.4067999999999998E-2</v>
      </c>
    </row>
    <row r="227" spans="14:19">
      <c r="N227" s="440">
        <v>224</v>
      </c>
      <c r="O227" s="441">
        <v>12100</v>
      </c>
      <c r="P227" s="440" t="s">
        <v>652</v>
      </c>
      <c r="Q227" s="442">
        <f t="shared" si="9"/>
        <v>5.3895999999999999E-2</v>
      </c>
      <c r="R227" s="443">
        <v>4.1173000000000001E-2</v>
      </c>
      <c r="S227" s="443">
        <v>5.3895999999999999E-2</v>
      </c>
    </row>
    <row r="228" spans="14:19">
      <c r="N228" s="440">
        <v>225</v>
      </c>
      <c r="O228" s="441">
        <v>12200</v>
      </c>
      <c r="P228" s="440" t="s">
        <v>653</v>
      </c>
      <c r="Q228" s="442">
        <f t="shared" si="9"/>
        <v>5.3726000000000003E-2</v>
      </c>
      <c r="R228" s="443">
        <v>4.1033E-2</v>
      </c>
      <c r="S228" s="443">
        <v>5.3726000000000003E-2</v>
      </c>
    </row>
    <row r="229" spans="14:19">
      <c r="N229" s="440">
        <v>226</v>
      </c>
      <c r="O229" s="441">
        <v>12300</v>
      </c>
      <c r="P229" s="440" t="s">
        <v>654</v>
      </c>
      <c r="Q229" s="442">
        <f t="shared" si="9"/>
        <v>5.3558000000000001E-2</v>
      </c>
      <c r="R229" s="443">
        <v>4.0894E-2</v>
      </c>
      <c r="S229" s="443">
        <v>5.3558000000000001E-2</v>
      </c>
    </row>
    <row r="230" spans="14:19">
      <c r="N230" s="440">
        <v>227</v>
      </c>
      <c r="O230" s="441">
        <v>12400</v>
      </c>
      <c r="P230" s="440" t="s">
        <v>655</v>
      </c>
      <c r="Q230" s="442">
        <f t="shared" si="9"/>
        <v>5.3392000000000002E-2</v>
      </c>
      <c r="R230" s="443">
        <v>4.0757000000000002E-2</v>
      </c>
      <c r="S230" s="443">
        <v>5.3392000000000002E-2</v>
      </c>
    </row>
    <row r="231" spans="14:19">
      <c r="N231" s="440">
        <v>228</v>
      </c>
      <c r="O231" s="441">
        <v>12500</v>
      </c>
      <c r="P231" s="440" t="s">
        <v>656</v>
      </c>
      <c r="Q231" s="442">
        <f t="shared" si="9"/>
        <v>5.3227999999999998E-2</v>
      </c>
      <c r="R231" s="443">
        <v>4.0620999999999997E-2</v>
      </c>
      <c r="S231" s="443">
        <v>5.3227999999999998E-2</v>
      </c>
    </row>
    <row r="232" spans="14:19">
      <c r="N232" s="440">
        <v>229</v>
      </c>
      <c r="O232" s="441">
        <v>12600</v>
      </c>
      <c r="P232" s="440" t="s">
        <v>657</v>
      </c>
      <c r="Q232" s="442">
        <f t="shared" si="9"/>
        <v>5.3065000000000001E-2</v>
      </c>
      <c r="R232" s="443">
        <v>4.0487000000000002E-2</v>
      </c>
      <c r="S232" s="443">
        <v>5.3065000000000001E-2</v>
      </c>
    </row>
    <row r="233" spans="14:19">
      <c r="N233" s="440">
        <v>230</v>
      </c>
      <c r="O233" s="441">
        <v>12700</v>
      </c>
      <c r="P233" s="440" t="s">
        <v>658</v>
      </c>
      <c r="Q233" s="442">
        <f t="shared" si="9"/>
        <v>5.2904E-2</v>
      </c>
      <c r="R233" s="443">
        <v>4.0354000000000001E-2</v>
      </c>
      <c r="S233" s="443">
        <v>5.2904E-2</v>
      </c>
    </row>
    <row r="234" spans="14:19">
      <c r="N234" s="440">
        <v>231</v>
      </c>
      <c r="O234" s="441">
        <v>12800</v>
      </c>
      <c r="P234" s="440" t="s">
        <v>659</v>
      </c>
      <c r="Q234" s="442">
        <f t="shared" si="9"/>
        <v>5.2745E-2</v>
      </c>
      <c r="R234" s="443">
        <v>4.0223000000000002E-2</v>
      </c>
      <c r="S234" s="443">
        <v>5.2745E-2</v>
      </c>
    </row>
    <row r="235" spans="14:19">
      <c r="N235" s="440">
        <v>232</v>
      </c>
      <c r="O235" s="441">
        <v>12900</v>
      </c>
      <c r="P235" s="440" t="s">
        <v>660</v>
      </c>
      <c r="Q235" s="442">
        <f t="shared" si="9"/>
        <v>5.2588000000000003E-2</v>
      </c>
      <c r="R235" s="443">
        <v>4.0093999999999998E-2</v>
      </c>
      <c r="S235" s="443">
        <v>5.2588000000000003E-2</v>
      </c>
    </row>
    <row r="236" spans="14:19">
      <c r="N236" s="440">
        <v>233</v>
      </c>
      <c r="O236" s="441">
        <v>13000</v>
      </c>
      <c r="P236" s="440" t="s">
        <v>661</v>
      </c>
      <c r="Q236" s="442">
        <f t="shared" si="9"/>
        <v>5.2431999999999999E-2</v>
      </c>
      <c r="R236" s="443">
        <v>3.9965000000000001E-2</v>
      </c>
      <c r="S236" s="443">
        <v>5.2431999999999999E-2</v>
      </c>
    </row>
    <row r="237" spans="14:19">
      <c r="N237" s="440">
        <v>234</v>
      </c>
      <c r="O237" s="441">
        <v>13100</v>
      </c>
      <c r="P237" s="440" t="s">
        <v>662</v>
      </c>
      <c r="Q237" s="442">
        <f t="shared" si="9"/>
        <v>5.2277999999999998E-2</v>
      </c>
      <c r="R237" s="443">
        <v>3.9837999999999998E-2</v>
      </c>
      <c r="S237" s="443">
        <v>5.2277999999999998E-2</v>
      </c>
    </row>
    <row r="238" spans="14:19">
      <c r="N238" s="440">
        <v>235</v>
      </c>
      <c r="O238" s="441">
        <v>13200</v>
      </c>
      <c r="P238" s="440" t="s">
        <v>663</v>
      </c>
      <c r="Q238" s="442">
        <f t="shared" si="9"/>
        <v>5.2125999999999999E-2</v>
      </c>
      <c r="R238" s="443">
        <v>3.9712999999999998E-2</v>
      </c>
      <c r="S238" s="443">
        <v>5.2125999999999999E-2</v>
      </c>
    </row>
    <row r="239" spans="14:19">
      <c r="N239" s="440">
        <v>236</v>
      </c>
      <c r="O239" s="441">
        <v>13300</v>
      </c>
      <c r="P239" s="440" t="s">
        <v>664</v>
      </c>
      <c r="Q239" s="442">
        <f t="shared" si="9"/>
        <v>5.1975E-2</v>
      </c>
      <c r="R239" s="443">
        <v>3.9588999999999999E-2</v>
      </c>
      <c r="S239" s="443">
        <v>5.1975E-2</v>
      </c>
    </row>
    <row r="240" spans="14:19">
      <c r="N240" s="440">
        <v>237</v>
      </c>
      <c r="O240" s="441">
        <v>13400</v>
      </c>
      <c r="P240" s="440" t="s">
        <v>665</v>
      </c>
      <c r="Q240" s="442">
        <f t="shared" si="9"/>
        <v>5.1825000000000003E-2</v>
      </c>
      <c r="R240" s="443">
        <v>3.9466000000000001E-2</v>
      </c>
      <c r="S240" s="443">
        <v>5.1825000000000003E-2</v>
      </c>
    </row>
    <row r="241" spans="14:19">
      <c r="N241" s="440">
        <v>238</v>
      </c>
      <c r="O241" s="441">
        <v>13500</v>
      </c>
      <c r="P241" s="440" t="s">
        <v>666</v>
      </c>
      <c r="Q241" s="442">
        <f t="shared" si="9"/>
        <v>5.1678000000000002E-2</v>
      </c>
      <c r="R241" s="443">
        <v>3.9343999999999997E-2</v>
      </c>
      <c r="S241" s="443">
        <v>5.1678000000000002E-2</v>
      </c>
    </row>
    <row r="242" spans="14:19">
      <c r="N242" s="440">
        <v>239</v>
      </c>
      <c r="O242" s="441">
        <v>13600</v>
      </c>
      <c r="P242" s="440" t="s">
        <v>667</v>
      </c>
      <c r="Q242" s="442">
        <f t="shared" si="9"/>
        <v>5.1531E-2</v>
      </c>
      <c r="R242" s="443">
        <v>3.9224000000000002E-2</v>
      </c>
      <c r="S242" s="443">
        <v>5.1531E-2</v>
      </c>
    </row>
    <row r="243" spans="14:19">
      <c r="N243" s="440">
        <v>240</v>
      </c>
      <c r="O243" s="441">
        <v>13700</v>
      </c>
      <c r="P243" s="440" t="s">
        <v>668</v>
      </c>
      <c r="Q243" s="442">
        <f t="shared" si="9"/>
        <v>5.1387000000000002E-2</v>
      </c>
      <c r="R243" s="443">
        <v>3.9105000000000001E-2</v>
      </c>
      <c r="S243" s="443">
        <v>5.1387000000000002E-2</v>
      </c>
    </row>
    <row r="244" spans="14:19">
      <c r="N244" s="440">
        <v>241</v>
      </c>
      <c r="O244" s="441">
        <v>13800</v>
      </c>
      <c r="P244" s="440" t="s">
        <v>669</v>
      </c>
      <c r="Q244" s="442">
        <f t="shared" si="9"/>
        <v>5.1242999999999997E-2</v>
      </c>
      <c r="R244" s="443">
        <v>3.8987000000000001E-2</v>
      </c>
      <c r="S244" s="443">
        <v>5.1242999999999997E-2</v>
      </c>
    </row>
    <row r="245" spans="14:19">
      <c r="N245" s="440">
        <v>242</v>
      </c>
      <c r="O245" s="441">
        <v>13900</v>
      </c>
      <c r="P245" s="440" t="s">
        <v>670</v>
      </c>
      <c r="Q245" s="442">
        <f t="shared" si="9"/>
        <v>5.1102000000000002E-2</v>
      </c>
      <c r="R245" s="443">
        <v>3.8870000000000002E-2</v>
      </c>
      <c r="S245" s="443">
        <v>5.1102000000000002E-2</v>
      </c>
    </row>
    <row r="246" spans="14:19">
      <c r="N246" s="440">
        <v>243</v>
      </c>
      <c r="O246" s="441">
        <v>14000</v>
      </c>
      <c r="P246" s="440" t="s">
        <v>671</v>
      </c>
      <c r="Q246" s="442">
        <f t="shared" si="9"/>
        <v>5.0960999999999999E-2</v>
      </c>
      <c r="R246" s="443">
        <v>3.8754999999999998E-2</v>
      </c>
      <c r="S246" s="443">
        <v>5.0960999999999999E-2</v>
      </c>
    </row>
    <row r="247" spans="14:19">
      <c r="N247" s="440">
        <v>244</v>
      </c>
      <c r="O247" s="441">
        <v>14100</v>
      </c>
      <c r="P247" s="440" t="s">
        <v>672</v>
      </c>
      <c r="Q247" s="442">
        <f t="shared" si="9"/>
        <v>5.0821999999999999E-2</v>
      </c>
      <c r="R247" s="443">
        <v>3.8641000000000002E-2</v>
      </c>
      <c r="S247" s="443">
        <v>5.0821999999999999E-2</v>
      </c>
    </row>
    <row r="248" spans="14:19">
      <c r="N248" s="440">
        <v>245</v>
      </c>
      <c r="O248" s="441">
        <v>14200</v>
      </c>
      <c r="P248" s="440" t="s">
        <v>673</v>
      </c>
      <c r="Q248" s="442">
        <f t="shared" si="9"/>
        <v>5.0684E-2</v>
      </c>
      <c r="R248" s="443">
        <v>3.8528E-2</v>
      </c>
      <c r="S248" s="443">
        <v>5.0684E-2</v>
      </c>
    </row>
    <row r="249" spans="14:19">
      <c r="N249" s="440">
        <v>246</v>
      </c>
      <c r="O249" s="441">
        <v>14300</v>
      </c>
      <c r="P249" s="440" t="s">
        <v>674</v>
      </c>
      <c r="Q249" s="442">
        <f t="shared" si="9"/>
        <v>5.0548000000000003E-2</v>
      </c>
      <c r="R249" s="443">
        <v>3.8415999999999999E-2</v>
      </c>
      <c r="S249" s="443">
        <v>5.0548000000000003E-2</v>
      </c>
    </row>
    <row r="250" spans="14:19">
      <c r="N250" s="440">
        <v>247</v>
      </c>
      <c r="O250" s="441">
        <v>14400</v>
      </c>
      <c r="P250" s="440" t="s">
        <v>675</v>
      </c>
      <c r="Q250" s="442">
        <f t="shared" si="9"/>
        <v>5.0412999999999999E-2</v>
      </c>
      <c r="R250" s="443">
        <v>3.8304999999999999E-2</v>
      </c>
      <c r="S250" s="443">
        <v>5.0412999999999999E-2</v>
      </c>
    </row>
    <row r="251" spans="14:19">
      <c r="N251" s="440">
        <v>248</v>
      </c>
      <c r="O251" s="441">
        <v>14500</v>
      </c>
      <c r="P251" s="440" t="s">
        <v>676</v>
      </c>
      <c r="Q251" s="442">
        <f t="shared" si="9"/>
        <v>5.0278999999999997E-2</v>
      </c>
      <c r="R251" s="443">
        <v>3.8195E-2</v>
      </c>
      <c r="S251" s="443">
        <v>5.0278999999999997E-2</v>
      </c>
    </row>
    <row r="252" spans="14:19">
      <c r="N252" s="440">
        <v>249</v>
      </c>
      <c r="O252" s="441">
        <v>14600</v>
      </c>
      <c r="P252" s="440" t="s">
        <v>677</v>
      </c>
      <c r="Q252" s="442">
        <f t="shared" si="9"/>
        <v>5.0146000000000003E-2</v>
      </c>
      <c r="R252" s="443">
        <v>3.8086000000000002E-2</v>
      </c>
      <c r="S252" s="443">
        <v>5.0146000000000003E-2</v>
      </c>
    </row>
    <row r="253" spans="14:19">
      <c r="N253" s="440">
        <v>250</v>
      </c>
      <c r="O253" s="441">
        <v>14700</v>
      </c>
      <c r="P253" s="440" t="s">
        <v>678</v>
      </c>
      <c r="Q253" s="442">
        <f t="shared" si="9"/>
        <v>5.0014999999999997E-2</v>
      </c>
      <c r="R253" s="443">
        <v>3.7977999999999998E-2</v>
      </c>
      <c r="S253" s="443">
        <v>5.0014999999999997E-2</v>
      </c>
    </row>
    <row r="254" spans="14:19">
      <c r="N254" s="440">
        <v>251</v>
      </c>
      <c r="O254" s="441">
        <v>14800</v>
      </c>
      <c r="P254" s="440" t="s">
        <v>679</v>
      </c>
      <c r="Q254" s="442">
        <f t="shared" si="9"/>
        <v>4.9884999999999999E-2</v>
      </c>
      <c r="R254" s="443">
        <v>3.7872000000000003E-2</v>
      </c>
      <c r="S254" s="443">
        <v>4.9884999999999999E-2</v>
      </c>
    </row>
    <row r="255" spans="14:19">
      <c r="N255" s="440">
        <v>252</v>
      </c>
      <c r="O255" s="441">
        <v>14900</v>
      </c>
      <c r="P255" s="440" t="s">
        <v>680</v>
      </c>
      <c r="Q255" s="442">
        <f t="shared" si="9"/>
        <v>4.9756000000000002E-2</v>
      </c>
      <c r="R255" s="443">
        <v>3.7766000000000001E-2</v>
      </c>
      <c r="S255" s="443">
        <v>4.9756000000000002E-2</v>
      </c>
    </row>
    <row r="256" spans="14:19">
      <c r="N256" s="440">
        <v>253</v>
      </c>
      <c r="O256" s="441">
        <v>15000</v>
      </c>
      <c r="P256" s="440" t="s">
        <v>681</v>
      </c>
      <c r="Q256" s="442">
        <f t="shared" si="9"/>
        <v>4.9629E-2</v>
      </c>
      <c r="R256" s="443">
        <v>3.7661E-2</v>
      </c>
      <c r="S256" s="443">
        <v>4.9629E-2</v>
      </c>
    </row>
    <row r="257" spans="14:19">
      <c r="N257" s="440">
        <v>254</v>
      </c>
      <c r="O257" s="441">
        <v>15100</v>
      </c>
      <c r="P257" s="440" t="s">
        <v>682</v>
      </c>
      <c r="Q257" s="442">
        <f t="shared" si="9"/>
        <v>4.9501999999999997E-2</v>
      </c>
      <c r="R257" s="443">
        <v>3.7557E-2</v>
      </c>
      <c r="S257" s="443">
        <v>4.9501999999999997E-2</v>
      </c>
    </row>
    <row r="258" spans="14:19">
      <c r="N258" s="440">
        <v>255</v>
      </c>
      <c r="O258" s="441">
        <v>15200</v>
      </c>
      <c r="P258" s="440" t="s">
        <v>683</v>
      </c>
      <c r="Q258" s="442">
        <f t="shared" si="9"/>
        <v>4.9376999999999997E-2</v>
      </c>
      <c r="R258" s="443">
        <v>3.7455000000000002E-2</v>
      </c>
      <c r="S258" s="443">
        <v>4.9376999999999997E-2</v>
      </c>
    </row>
    <row r="259" spans="14:19">
      <c r="N259" s="440">
        <v>256</v>
      </c>
      <c r="O259" s="441">
        <v>15300</v>
      </c>
      <c r="P259" s="440" t="s">
        <v>684</v>
      </c>
      <c r="Q259" s="442">
        <f t="shared" si="9"/>
        <v>4.9252999999999998E-2</v>
      </c>
      <c r="R259" s="443">
        <v>3.7352999999999997E-2</v>
      </c>
      <c r="S259" s="443">
        <v>4.9252999999999998E-2</v>
      </c>
    </row>
    <row r="260" spans="14:19">
      <c r="N260" s="440">
        <v>257</v>
      </c>
      <c r="O260" s="441">
        <v>15400</v>
      </c>
      <c r="P260" s="440" t="s">
        <v>685</v>
      </c>
      <c r="Q260" s="442">
        <f t="shared" si="9"/>
        <v>4.913E-2</v>
      </c>
      <c r="R260" s="443">
        <v>3.7252E-2</v>
      </c>
      <c r="S260" s="443">
        <v>4.913E-2</v>
      </c>
    </row>
    <row r="261" spans="14:19">
      <c r="N261" s="440">
        <v>258</v>
      </c>
      <c r="O261" s="441">
        <v>15500</v>
      </c>
      <c r="P261" s="440" t="s">
        <v>686</v>
      </c>
      <c r="Q261" s="442">
        <f t="shared" ref="Q261:Q324" si="10">+S261</f>
        <v>4.9008000000000003E-2</v>
      </c>
      <c r="R261" s="443">
        <v>3.7151999999999998E-2</v>
      </c>
      <c r="S261" s="443">
        <v>4.9008000000000003E-2</v>
      </c>
    </row>
    <row r="262" spans="14:19">
      <c r="N262" s="440">
        <v>259</v>
      </c>
      <c r="O262" s="441">
        <v>15600</v>
      </c>
      <c r="P262" s="440" t="s">
        <v>687</v>
      </c>
      <c r="Q262" s="442">
        <f t="shared" si="10"/>
        <v>4.8887E-2</v>
      </c>
      <c r="R262" s="443">
        <v>3.7053000000000003E-2</v>
      </c>
      <c r="S262" s="443">
        <v>4.8887E-2</v>
      </c>
    </row>
    <row r="263" spans="14:19">
      <c r="N263" s="440">
        <v>260</v>
      </c>
      <c r="O263" s="441">
        <v>15700</v>
      </c>
      <c r="P263" s="440" t="s">
        <v>688</v>
      </c>
      <c r="Q263" s="442">
        <f t="shared" si="10"/>
        <v>4.8766999999999998E-2</v>
      </c>
      <c r="R263" s="443">
        <v>3.6955000000000002E-2</v>
      </c>
      <c r="S263" s="443">
        <v>4.8766999999999998E-2</v>
      </c>
    </row>
    <row r="264" spans="14:19">
      <c r="N264" s="440">
        <v>261</v>
      </c>
      <c r="O264" s="441">
        <v>15800</v>
      </c>
      <c r="P264" s="440" t="s">
        <v>689</v>
      </c>
      <c r="Q264" s="442">
        <f t="shared" si="10"/>
        <v>4.8647999999999997E-2</v>
      </c>
      <c r="R264" s="443">
        <v>3.6858000000000002E-2</v>
      </c>
      <c r="S264" s="443">
        <v>4.8647999999999997E-2</v>
      </c>
    </row>
    <row r="265" spans="14:19">
      <c r="N265" s="440">
        <v>262</v>
      </c>
      <c r="O265" s="441">
        <v>15900</v>
      </c>
      <c r="P265" s="440" t="s">
        <v>690</v>
      </c>
      <c r="Q265" s="442">
        <f t="shared" si="10"/>
        <v>4.8530999999999998E-2</v>
      </c>
      <c r="R265" s="443">
        <v>3.6761000000000002E-2</v>
      </c>
      <c r="S265" s="443">
        <v>4.8530999999999998E-2</v>
      </c>
    </row>
    <row r="266" spans="14:19">
      <c r="N266" s="440">
        <v>263</v>
      </c>
      <c r="O266" s="441">
        <v>16000</v>
      </c>
      <c r="P266" s="440" t="s">
        <v>691</v>
      </c>
      <c r="Q266" s="442">
        <f t="shared" si="10"/>
        <v>4.8413999999999999E-2</v>
      </c>
      <c r="R266" s="443">
        <v>3.6665999999999997E-2</v>
      </c>
      <c r="S266" s="443">
        <v>4.8413999999999999E-2</v>
      </c>
    </row>
    <row r="267" spans="14:19">
      <c r="N267" s="440">
        <v>264</v>
      </c>
      <c r="O267" s="441">
        <v>16100</v>
      </c>
      <c r="P267" s="440" t="s">
        <v>692</v>
      </c>
      <c r="Q267" s="442">
        <f t="shared" si="10"/>
        <v>4.8298000000000001E-2</v>
      </c>
      <c r="R267" s="443">
        <v>3.6570999999999999E-2</v>
      </c>
      <c r="S267" s="443">
        <v>4.8298000000000001E-2</v>
      </c>
    </row>
    <row r="268" spans="14:19">
      <c r="N268" s="440">
        <v>265</v>
      </c>
      <c r="O268" s="441">
        <v>16200</v>
      </c>
      <c r="P268" s="440" t="s">
        <v>693</v>
      </c>
      <c r="Q268" s="442">
        <f t="shared" si="10"/>
        <v>4.8183999999999998E-2</v>
      </c>
      <c r="R268" s="443">
        <v>3.6477000000000002E-2</v>
      </c>
      <c r="S268" s="443">
        <v>4.8183999999999998E-2</v>
      </c>
    </row>
    <row r="269" spans="14:19">
      <c r="N269" s="440">
        <v>266</v>
      </c>
      <c r="O269" s="441">
        <v>16300</v>
      </c>
      <c r="P269" s="440" t="s">
        <v>694</v>
      </c>
      <c r="Q269" s="442">
        <f t="shared" si="10"/>
        <v>4.8070000000000002E-2</v>
      </c>
      <c r="R269" s="443">
        <v>3.6384E-2</v>
      </c>
      <c r="S269" s="443">
        <v>4.8070000000000002E-2</v>
      </c>
    </row>
    <row r="270" spans="14:19">
      <c r="N270" s="440">
        <v>267</v>
      </c>
      <c r="O270" s="441">
        <v>16400</v>
      </c>
      <c r="P270" s="440" t="s">
        <v>695</v>
      </c>
      <c r="Q270" s="442">
        <f t="shared" si="10"/>
        <v>4.7957E-2</v>
      </c>
      <c r="R270" s="443">
        <v>3.6291999999999998E-2</v>
      </c>
      <c r="S270" s="443">
        <v>4.7957E-2</v>
      </c>
    </row>
    <row r="271" spans="14:19">
      <c r="N271" s="440">
        <v>268</v>
      </c>
      <c r="O271" s="441">
        <v>16500</v>
      </c>
      <c r="P271" s="440" t="s">
        <v>696</v>
      </c>
      <c r="Q271" s="442">
        <f t="shared" si="10"/>
        <v>4.7844999999999999E-2</v>
      </c>
      <c r="R271" s="443">
        <v>3.6200999999999997E-2</v>
      </c>
      <c r="S271" s="443">
        <v>4.7844999999999999E-2</v>
      </c>
    </row>
    <row r="272" spans="14:19">
      <c r="N272" s="440">
        <v>269</v>
      </c>
      <c r="O272" s="441">
        <v>16600</v>
      </c>
      <c r="P272" s="440" t="s">
        <v>697</v>
      </c>
      <c r="Q272" s="442">
        <f t="shared" si="10"/>
        <v>4.7733999999999999E-2</v>
      </c>
      <c r="R272" s="443">
        <v>3.6110000000000003E-2</v>
      </c>
      <c r="S272" s="443">
        <v>4.7733999999999999E-2</v>
      </c>
    </row>
    <row r="273" spans="14:19">
      <c r="N273" s="440">
        <v>270</v>
      </c>
      <c r="O273" s="441">
        <v>16700</v>
      </c>
      <c r="P273" s="440" t="s">
        <v>698</v>
      </c>
      <c r="Q273" s="442">
        <f t="shared" si="10"/>
        <v>4.7624E-2</v>
      </c>
      <c r="R273" s="443">
        <v>3.6020000000000003E-2</v>
      </c>
      <c r="S273" s="443">
        <v>4.7624E-2</v>
      </c>
    </row>
    <row r="274" spans="14:19">
      <c r="N274" s="440">
        <v>271</v>
      </c>
      <c r="O274" s="441">
        <v>16800</v>
      </c>
      <c r="P274" s="440" t="s">
        <v>699</v>
      </c>
      <c r="Q274" s="442">
        <f t="shared" si="10"/>
        <v>4.7515000000000002E-2</v>
      </c>
      <c r="R274" s="443">
        <v>3.5930999999999998E-2</v>
      </c>
      <c r="S274" s="443">
        <v>4.7515000000000002E-2</v>
      </c>
    </row>
    <row r="275" spans="14:19">
      <c r="N275" s="440">
        <v>272</v>
      </c>
      <c r="O275" s="441">
        <v>16900</v>
      </c>
      <c r="P275" s="440" t="s">
        <v>700</v>
      </c>
      <c r="Q275" s="442">
        <f t="shared" si="10"/>
        <v>4.7406999999999998E-2</v>
      </c>
      <c r="R275" s="443">
        <v>3.5843E-2</v>
      </c>
      <c r="S275" s="443">
        <v>4.7406999999999998E-2</v>
      </c>
    </row>
    <row r="276" spans="14:19">
      <c r="N276" s="440">
        <v>273</v>
      </c>
      <c r="O276" s="441">
        <v>17000</v>
      </c>
      <c r="P276" s="440" t="s">
        <v>701</v>
      </c>
      <c r="Q276" s="442">
        <f t="shared" si="10"/>
        <v>4.7300000000000002E-2</v>
      </c>
      <c r="R276" s="443">
        <v>3.5755000000000002E-2</v>
      </c>
      <c r="S276" s="443">
        <v>4.7300000000000002E-2</v>
      </c>
    </row>
    <row r="277" spans="14:19">
      <c r="N277" s="440">
        <v>274</v>
      </c>
      <c r="O277" s="441">
        <v>17100</v>
      </c>
      <c r="P277" s="440" t="s">
        <v>702</v>
      </c>
      <c r="Q277" s="442">
        <f t="shared" si="10"/>
        <v>4.7194E-2</v>
      </c>
      <c r="R277" s="443">
        <v>3.5667999999999998E-2</v>
      </c>
      <c r="S277" s="443">
        <v>4.7194E-2</v>
      </c>
    </row>
    <row r="278" spans="14:19">
      <c r="N278" s="440">
        <v>275</v>
      </c>
      <c r="O278" s="441">
        <v>17200</v>
      </c>
      <c r="P278" s="440" t="s">
        <v>703</v>
      </c>
      <c r="Q278" s="442">
        <f t="shared" si="10"/>
        <v>4.7087999999999998E-2</v>
      </c>
      <c r="R278" s="443">
        <v>3.5582000000000003E-2</v>
      </c>
      <c r="S278" s="443">
        <v>4.7087999999999998E-2</v>
      </c>
    </row>
    <row r="279" spans="14:19">
      <c r="N279" s="440">
        <v>276</v>
      </c>
      <c r="O279" s="441">
        <v>17300</v>
      </c>
      <c r="P279" s="440" t="s">
        <v>704</v>
      </c>
      <c r="Q279" s="442">
        <f t="shared" si="10"/>
        <v>4.6982999999999997E-2</v>
      </c>
      <c r="R279" s="443">
        <v>3.5496E-2</v>
      </c>
      <c r="S279" s="443">
        <v>4.6982999999999997E-2</v>
      </c>
    </row>
    <row r="280" spans="14:19">
      <c r="N280" s="440">
        <v>277</v>
      </c>
      <c r="O280" s="441">
        <v>17400</v>
      </c>
      <c r="P280" s="440" t="s">
        <v>705</v>
      </c>
      <c r="Q280" s="442">
        <f t="shared" si="10"/>
        <v>4.6879999999999998E-2</v>
      </c>
      <c r="R280" s="443">
        <v>3.5411999999999999E-2</v>
      </c>
      <c r="S280" s="443">
        <v>4.6879999999999998E-2</v>
      </c>
    </row>
    <row r="281" spans="14:19">
      <c r="N281" s="440">
        <v>278</v>
      </c>
      <c r="O281" s="441">
        <v>17500</v>
      </c>
      <c r="P281" s="440" t="s">
        <v>706</v>
      </c>
      <c r="Q281" s="442">
        <f t="shared" si="10"/>
        <v>4.6775999999999998E-2</v>
      </c>
      <c r="R281" s="443">
        <v>3.5326999999999997E-2</v>
      </c>
      <c r="S281" s="443">
        <v>4.6775999999999998E-2</v>
      </c>
    </row>
    <row r="282" spans="14:19">
      <c r="N282" s="440">
        <v>279</v>
      </c>
      <c r="O282" s="441">
        <v>17600</v>
      </c>
      <c r="P282" s="440" t="s">
        <v>707</v>
      </c>
      <c r="Q282" s="442">
        <f t="shared" si="10"/>
        <v>4.6674E-2</v>
      </c>
      <c r="R282" s="443">
        <v>3.5243999999999998E-2</v>
      </c>
      <c r="S282" s="443">
        <v>4.6674E-2</v>
      </c>
    </row>
    <row r="283" spans="14:19">
      <c r="N283" s="440">
        <v>280</v>
      </c>
      <c r="O283" s="441">
        <v>17700</v>
      </c>
      <c r="P283" s="440" t="s">
        <v>708</v>
      </c>
      <c r="Q283" s="442">
        <f t="shared" si="10"/>
        <v>4.6573000000000003E-2</v>
      </c>
      <c r="R283" s="443">
        <v>3.5160999999999998E-2</v>
      </c>
      <c r="S283" s="443">
        <v>4.6573000000000003E-2</v>
      </c>
    </row>
    <row r="284" spans="14:19">
      <c r="N284" s="440">
        <v>281</v>
      </c>
      <c r="O284" s="441">
        <v>17800</v>
      </c>
      <c r="P284" s="440" t="s">
        <v>709</v>
      </c>
      <c r="Q284" s="442">
        <f t="shared" si="10"/>
        <v>4.6471999999999999E-2</v>
      </c>
      <c r="R284" s="443">
        <v>3.5078999999999999E-2</v>
      </c>
      <c r="S284" s="443">
        <v>4.6471999999999999E-2</v>
      </c>
    </row>
    <row r="285" spans="14:19">
      <c r="N285" s="440">
        <v>282</v>
      </c>
      <c r="O285" s="441">
        <v>17900</v>
      </c>
      <c r="P285" s="440" t="s">
        <v>710</v>
      </c>
      <c r="Q285" s="442">
        <f t="shared" si="10"/>
        <v>4.6371999999999997E-2</v>
      </c>
      <c r="R285" s="443">
        <v>3.4998000000000001E-2</v>
      </c>
      <c r="S285" s="443">
        <v>4.6371999999999997E-2</v>
      </c>
    </row>
    <row r="286" spans="14:19">
      <c r="N286" s="440">
        <v>283</v>
      </c>
      <c r="O286" s="441">
        <v>18000</v>
      </c>
      <c r="P286" s="440" t="s">
        <v>711</v>
      </c>
      <c r="Q286" s="442">
        <f t="shared" si="10"/>
        <v>4.6273000000000002E-2</v>
      </c>
      <c r="R286" s="443">
        <v>3.4916999999999997E-2</v>
      </c>
      <c r="S286" s="443">
        <v>4.6273000000000002E-2</v>
      </c>
    </row>
    <row r="287" spans="14:19">
      <c r="N287" s="440">
        <v>284</v>
      </c>
      <c r="O287" s="441">
        <v>18100</v>
      </c>
      <c r="P287" s="440" t="s">
        <v>712</v>
      </c>
      <c r="Q287" s="442">
        <f t="shared" si="10"/>
        <v>4.6175000000000001E-2</v>
      </c>
      <c r="R287" s="443">
        <v>3.4837E-2</v>
      </c>
      <c r="S287" s="443">
        <v>4.6175000000000001E-2</v>
      </c>
    </row>
    <row r="288" spans="14:19">
      <c r="N288" s="440">
        <v>285</v>
      </c>
      <c r="O288" s="441">
        <v>18200</v>
      </c>
      <c r="P288" s="440" t="s">
        <v>713</v>
      </c>
      <c r="Q288" s="442">
        <f t="shared" si="10"/>
        <v>4.6077E-2</v>
      </c>
      <c r="R288" s="443">
        <v>3.4757000000000003E-2</v>
      </c>
      <c r="S288" s="443">
        <v>4.6077E-2</v>
      </c>
    </row>
    <row r="289" spans="14:19">
      <c r="N289" s="440">
        <v>286</v>
      </c>
      <c r="O289" s="441">
        <v>18300</v>
      </c>
      <c r="P289" s="440" t="s">
        <v>714</v>
      </c>
      <c r="Q289" s="442">
        <f t="shared" si="10"/>
        <v>4.598E-2</v>
      </c>
      <c r="R289" s="443">
        <v>3.4678E-2</v>
      </c>
      <c r="S289" s="443">
        <v>4.598E-2</v>
      </c>
    </row>
    <row r="290" spans="14:19">
      <c r="N290" s="440">
        <v>287</v>
      </c>
      <c r="O290" s="441">
        <v>18400</v>
      </c>
      <c r="P290" s="440" t="s">
        <v>715</v>
      </c>
      <c r="Q290" s="442">
        <f t="shared" si="10"/>
        <v>4.5884000000000001E-2</v>
      </c>
      <c r="R290" s="443">
        <v>3.4599999999999999E-2</v>
      </c>
      <c r="S290" s="443">
        <v>4.5884000000000001E-2</v>
      </c>
    </row>
    <row r="291" spans="14:19">
      <c r="N291" s="440">
        <v>288</v>
      </c>
      <c r="O291" s="441">
        <v>18500</v>
      </c>
      <c r="P291" s="440" t="s">
        <v>716</v>
      </c>
      <c r="Q291" s="442">
        <f t="shared" si="10"/>
        <v>4.5789000000000003E-2</v>
      </c>
      <c r="R291" s="443">
        <v>3.4521999999999997E-2</v>
      </c>
      <c r="S291" s="443">
        <v>4.5789000000000003E-2</v>
      </c>
    </row>
    <row r="292" spans="14:19">
      <c r="N292" s="440">
        <v>289</v>
      </c>
      <c r="O292" s="441">
        <v>18600</v>
      </c>
      <c r="P292" s="440" t="s">
        <v>717</v>
      </c>
      <c r="Q292" s="442">
        <f t="shared" si="10"/>
        <v>4.5693999999999999E-2</v>
      </c>
      <c r="R292" s="443">
        <v>3.4445000000000003E-2</v>
      </c>
      <c r="S292" s="443">
        <v>4.5693999999999999E-2</v>
      </c>
    </row>
    <row r="293" spans="14:19">
      <c r="N293" s="440">
        <v>290</v>
      </c>
      <c r="O293" s="441">
        <v>18700</v>
      </c>
      <c r="P293" s="440" t="s">
        <v>718</v>
      </c>
      <c r="Q293" s="442">
        <f t="shared" si="10"/>
        <v>4.5600000000000002E-2</v>
      </c>
      <c r="R293" s="443">
        <v>3.4368000000000003E-2</v>
      </c>
      <c r="S293" s="443">
        <v>4.5600000000000002E-2</v>
      </c>
    </row>
    <row r="294" spans="14:19">
      <c r="N294" s="440">
        <v>291</v>
      </c>
      <c r="O294" s="441">
        <v>18800</v>
      </c>
      <c r="P294" s="440" t="s">
        <v>719</v>
      </c>
      <c r="Q294" s="442">
        <f t="shared" si="10"/>
        <v>4.5506999999999999E-2</v>
      </c>
      <c r="R294" s="443">
        <v>3.4292000000000003E-2</v>
      </c>
      <c r="S294" s="443">
        <v>4.5506999999999999E-2</v>
      </c>
    </row>
    <row r="295" spans="14:19">
      <c r="N295" s="440">
        <v>292</v>
      </c>
      <c r="O295" s="441">
        <v>18900</v>
      </c>
      <c r="P295" s="440" t="s">
        <v>720</v>
      </c>
      <c r="Q295" s="442">
        <f t="shared" si="10"/>
        <v>4.5414000000000003E-2</v>
      </c>
      <c r="R295" s="443">
        <v>3.4216999999999997E-2</v>
      </c>
      <c r="S295" s="443">
        <v>4.5414000000000003E-2</v>
      </c>
    </row>
    <row r="296" spans="14:19">
      <c r="N296" s="440">
        <v>293</v>
      </c>
      <c r="O296" s="441">
        <v>19000</v>
      </c>
      <c r="P296" s="440" t="s">
        <v>721</v>
      </c>
      <c r="Q296" s="442">
        <f t="shared" si="10"/>
        <v>4.5322000000000001E-2</v>
      </c>
      <c r="R296" s="443">
        <v>3.4141999999999999E-2</v>
      </c>
      <c r="S296" s="443">
        <v>4.5322000000000001E-2</v>
      </c>
    </row>
    <row r="297" spans="14:19">
      <c r="N297" s="440">
        <v>294</v>
      </c>
      <c r="O297" s="441">
        <v>19100</v>
      </c>
      <c r="P297" s="440" t="s">
        <v>722</v>
      </c>
      <c r="Q297" s="442">
        <f t="shared" si="10"/>
        <v>4.5231E-2</v>
      </c>
      <c r="R297" s="443">
        <v>3.4068000000000001E-2</v>
      </c>
      <c r="S297" s="443">
        <v>4.5231E-2</v>
      </c>
    </row>
    <row r="298" spans="14:19">
      <c r="N298" s="440">
        <v>295</v>
      </c>
      <c r="O298" s="441">
        <v>19200</v>
      </c>
      <c r="P298" s="440" t="s">
        <v>723</v>
      </c>
      <c r="Q298" s="442">
        <f t="shared" si="10"/>
        <v>4.5141000000000001E-2</v>
      </c>
      <c r="R298" s="443">
        <v>3.3994000000000003E-2</v>
      </c>
      <c r="S298" s="443">
        <v>4.5141000000000001E-2</v>
      </c>
    </row>
    <row r="299" spans="14:19">
      <c r="N299" s="440">
        <v>296</v>
      </c>
      <c r="O299" s="441">
        <v>19300</v>
      </c>
      <c r="P299" s="440" t="s">
        <v>724</v>
      </c>
      <c r="Q299" s="442">
        <f t="shared" si="10"/>
        <v>4.5051000000000001E-2</v>
      </c>
      <c r="R299" s="443">
        <v>3.3921E-2</v>
      </c>
      <c r="S299" s="443">
        <v>4.5051000000000001E-2</v>
      </c>
    </row>
    <row r="300" spans="14:19">
      <c r="N300" s="440">
        <v>297</v>
      </c>
      <c r="O300" s="441">
        <v>19400</v>
      </c>
      <c r="P300" s="440" t="s">
        <v>725</v>
      </c>
      <c r="Q300" s="442">
        <f t="shared" si="10"/>
        <v>4.4961000000000001E-2</v>
      </c>
      <c r="R300" s="443">
        <v>3.3848000000000003E-2</v>
      </c>
      <c r="S300" s="443">
        <v>4.4961000000000001E-2</v>
      </c>
    </row>
    <row r="301" spans="14:19">
      <c r="N301" s="440">
        <v>298</v>
      </c>
      <c r="O301" s="441">
        <v>19500</v>
      </c>
      <c r="P301" s="440" t="s">
        <v>726</v>
      </c>
      <c r="Q301" s="442">
        <f t="shared" si="10"/>
        <v>4.4873000000000003E-2</v>
      </c>
      <c r="R301" s="443">
        <v>3.3776E-2</v>
      </c>
      <c r="S301" s="443">
        <v>4.4873000000000003E-2</v>
      </c>
    </row>
    <row r="302" spans="14:19">
      <c r="N302" s="440">
        <v>299</v>
      </c>
      <c r="O302" s="441">
        <v>19600</v>
      </c>
      <c r="P302" s="440" t="s">
        <v>727</v>
      </c>
      <c r="Q302" s="442">
        <f t="shared" si="10"/>
        <v>4.4784999999999998E-2</v>
      </c>
      <c r="R302" s="443">
        <v>3.3704999999999999E-2</v>
      </c>
      <c r="S302" s="443">
        <v>4.4784999999999998E-2</v>
      </c>
    </row>
    <row r="303" spans="14:19">
      <c r="N303" s="440">
        <v>300</v>
      </c>
      <c r="O303" s="441">
        <v>19700</v>
      </c>
      <c r="P303" s="440" t="s">
        <v>728</v>
      </c>
      <c r="Q303" s="442">
        <f t="shared" si="10"/>
        <v>4.4697000000000001E-2</v>
      </c>
      <c r="R303" s="443">
        <v>3.3633000000000003E-2</v>
      </c>
      <c r="S303" s="443">
        <v>4.4697000000000001E-2</v>
      </c>
    </row>
    <row r="304" spans="14:19">
      <c r="N304" s="440">
        <v>301</v>
      </c>
      <c r="O304" s="441">
        <v>19800</v>
      </c>
      <c r="P304" s="440" t="s">
        <v>729</v>
      </c>
      <c r="Q304" s="442">
        <f t="shared" si="10"/>
        <v>4.4609999999999997E-2</v>
      </c>
      <c r="R304" s="443">
        <v>3.3563000000000003E-2</v>
      </c>
      <c r="S304" s="443">
        <v>4.4609999999999997E-2</v>
      </c>
    </row>
    <row r="305" spans="14:19">
      <c r="N305" s="440">
        <v>302</v>
      </c>
      <c r="O305" s="441">
        <v>19900</v>
      </c>
      <c r="P305" s="440" t="s">
        <v>730</v>
      </c>
      <c r="Q305" s="442">
        <f t="shared" si="10"/>
        <v>4.4524000000000001E-2</v>
      </c>
      <c r="R305" s="443">
        <v>3.3493000000000002E-2</v>
      </c>
      <c r="S305" s="443">
        <v>4.4524000000000001E-2</v>
      </c>
    </row>
    <row r="306" spans="14:19">
      <c r="N306" s="440">
        <v>303</v>
      </c>
      <c r="O306" s="441">
        <v>20000</v>
      </c>
      <c r="P306" s="440" t="s">
        <v>731</v>
      </c>
      <c r="Q306" s="442">
        <f t="shared" si="10"/>
        <v>4.4438999999999999E-2</v>
      </c>
      <c r="R306" s="443">
        <v>3.3423000000000001E-2</v>
      </c>
      <c r="S306" s="443">
        <v>4.4438999999999999E-2</v>
      </c>
    </row>
    <row r="307" spans="14:19">
      <c r="N307" s="440">
        <v>304</v>
      </c>
      <c r="O307" s="441">
        <v>20100</v>
      </c>
      <c r="P307" s="440" t="s">
        <v>732</v>
      </c>
      <c r="Q307" s="442">
        <f t="shared" si="10"/>
        <v>4.4353999999999998E-2</v>
      </c>
      <c r="R307" s="443">
        <v>3.3354000000000002E-2</v>
      </c>
      <c r="S307" s="443">
        <v>4.4353999999999998E-2</v>
      </c>
    </row>
    <row r="308" spans="14:19">
      <c r="N308" s="440">
        <v>305</v>
      </c>
      <c r="O308" s="441">
        <v>20200</v>
      </c>
      <c r="P308" s="440" t="s">
        <v>733</v>
      </c>
      <c r="Q308" s="442">
        <f t="shared" si="10"/>
        <v>4.4269000000000003E-2</v>
      </c>
      <c r="R308" s="443">
        <v>3.3285000000000002E-2</v>
      </c>
      <c r="S308" s="443">
        <v>4.4269000000000003E-2</v>
      </c>
    </row>
    <row r="309" spans="14:19">
      <c r="N309" s="440">
        <v>306</v>
      </c>
      <c r="O309" s="441">
        <v>20300</v>
      </c>
      <c r="P309" s="440" t="s">
        <v>734</v>
      </c>
      <c r="Q309" s="442">
        <f t="shared" si="10"/>
        <v>4.4185000000000002E-2</v>
      </c>
      <c r="R309" s="443">
        <v>3.3217000000000003E-2</v>
      </c>
      <c r="S309" s="443">
        <v>4.4185000000000002E-2</v>
      </c>
    </row>
    <row r="310" spans="14:19">
      <c r="N310" s="440">
        <v>307</v>
      </c>
      <c r="O310" s="441">
        <v>20400</v>
      </c>
      <c r="P310" s="440" t="s">
        <v>735</v>
      </c>
      <c r="Q310" s="442">
        <f t="shared" si="10"/>
        <v>4.4102000000000002E-2</v>
      </c>
      <c r="R310" s="443">
        <v>3.3149999999999999E-2</v>
      </c>
      <c r="S310" s="443">
        <v>4.4102000000000002E-2</v>
      </c>
    </row>
    <row r="311" spans="14:19">
      <c r="N311" s="440">
        <v>308</v>
      </c>
      <c r="O311" s="441">
        <v>20500</v>
      </c>
      <c r="P311" s="440" t="s">
        <v>736</v>
      </c>
      <c r="Q311" s="442">
        <f t="shared" si="10"/>
        <v>4.4019000000000003E-2</v>
      </c>
      <c r="R311" s="443">
        <v>3.3082E-2</v>
      </c>
      <c r="S311" s="443">
        <v>4.4019000000000003E-2</v>
      </c>
    </row>
    <row r="312" spans="14:19">
      <c r="N312" s="440">
        <v>309</v>
      </c>
      <c r="O312" s="441">
        <v>20600</v>
      </c>
      <c r="P312" s="440" t="s">
        <v>737</v>
      </c>
      <c r="Q312" s="442">
        <f t="shared" si="10"/>
        <v>4.3936999999999997E-2</v>
      </c>
      <c r="R312" s="443">
        <v>3.3015999999999997E-2</v>
      </c>
      <c r="S312" s="443">
        <v>4.3936999999999997E-2</v>
      </c>
    </row>
    <row r="313" spans="14:19">
      <c r="N313" s="440">
        <v>310</v>
      </c>
      <c r="O313" s="441">
        <v>20700</v>
      </c>
      <c r="P313" s="440" t="s">
        <v>738</v>
      </c>
      <c r="Q313" s="442">
        <f t="shared" si="10"/>
        <v>4.3854999999999998E-2</v>
      </c>
      <c r="R313" s="443">
        <v>3.2948999999999999E-2</v>
      </c>
      <c r="S313" s="443">
        <v>4.3854999999999998E-2</v>
      </c>
    </row>
    <row r="314" spans="14:19">
      <c r="N314" s="440">
        <v>311</v>
      </c>
      <c r="O314" s="441">
        <v>20800</v>
      </c>
      <c r="P314" s="440" t="s">
        <v>739</v>
      </c>
      <c r="Q314" s="442">
        <f t="shared" si="10"/>
        <v>4.3774E-2</v>
      </c>
      <c r="R314" s="443">
        <v>3.2883999999999997E-2</v>
      </c>
      <c r="S314" s="443">
        <v>4.3774E-2</v>
      </c>
    </row>
    <row r="315" spans="14:19">
      <c r="N315" s="440">
        <v>312</v>
      </c>
      <c r="O315" s="441">
        <v>20900</v>
      </c>
      <c r="P315" s="440" t="s">
        <v>740</v>
      </c>
      <c r="Q315" s="442">
        <f t="shared" si="10"/>
        <v>4.3693999999999997E-2</v>
      </c>
      <c r="R315" s="443">
        <v>3.2818E-2</v>
      </c>
      <c r="S315" s="443">
        <v>4.3693999999999997E-2</v>
      </c>
    </row>
    <row r="316" spans="14:19">
      <c r="N316" s="440">
        <v>313</v>
      </c>
      <c r="O316" s="441">
        <v>21000</v>
      </c>
      <c r="P316" s="440" t="s">
        <v>741</v>
      </c>
      <c r="Q316" s="442">
        <f t="shared" si="10"/>
        <v>4.3614E-2</v>
      </c>
      <c r="R316" s="443">
        <v>3.2752999999999997E-2</v>
      </c>
      <c r="S316" s="443">
        <v>4.3614E-2</v>
      </c>
    </row>
    <row r="317" spans="14:19">
      <c r="N317" s="440">
        <v>314</v>
      </c>
      <c r="O317" s="441">
        <v>21100</v>
      </c>
      <c r="P317" s="440" t="s">
        <v>742</v>
      </c>
      <c r="Q317" s="442">
        <f t="shared" si="10"/>
        <v>4.3534000000000003E-2</v>
      </c>
      <c r="R317" s="443">
        <v>3.2689000000000003E-2</v>
      </c>
      <c r="S317" s="443">
        <v>4.3534000000000003E-2</v>
      </c>
    </row>
    <row r="318" spans="14:19">
      <c r="N318" s="440">
        <v>315</v>
      </c>
      <c r="O318" s="441">
        <v>21200</v>
      </c>
      <c r="P318" s="440" t="s">
        <v>743</v>
      </c>
      <c r="Q318" s="442">
        <f t="shared" si="10"/>
        <v>4.3455000000000001E-2</v>
      </c>
      <c r="R318" s="443">
        <v>3.2625000000000001E-2</v>
      </c>
      <c r="S318" s="443">
        <v>4.3455000000000001E-2</v>
      </c>
    </row>
    <row r="319" spans="14:19">
      <c r="N319" s="440">
        <v>316</v>
      </c>
      <c r="O319" s="441">
        <v>21300</v>
      </c>
      <c r="P319" s="440" t="s">
        <v>744</v>
      </c>
      <c r="Q319" s="442">
        <f t="shared" si="10"/>
        <v>4.3376999999999999E-2</v>
      </c>
      <c r="R319" s="443">
        <v>3.2561E-2</v>
      </c>
      <c r="S319" s="443">
        <v>4.3376999999999999E-2</v>
      </c>
    </row>
    <row r="320" spans="14:19">
      <c r="N320" s="440">
        <v>317</v>
      </c>
      <c r="O320" s="441">
        <v>21400</v>
      </c>
      <c r="P320" s="440" t="s">
        <v>745</v>
      </c>
      <c r="Q320" s="442">
        <f t="shared" si="10"/>
        <v>4.3298999999999997E-2</v>
      </c>
      <c r="R320" s="443">
        <v>3.2497999999999999E-2</v>
      </c>
      <c r="S320" s="443">
        <v>4.3298999999999997E-2</v>
      </c>
    </row>
    <row r="321" spans="14:19">
      <c r="N321" s="440">
        <v>318</v>
      </c>
      <c r="O321" s="441">
        <v>21500</v>
      </c>
      <c r="P321" s="440" t="s">
        <v>746</v>
      </c>
      <c r="Q321" s="442">
        <f t="shared" si="10"/>
        <v>4.3221000000000002E-2</v>
      </c>
      <c r="R321" s="443">
        <v>3.2434999999999999E-2</v>
      </c>
      <c r="S321" s="443">
        <v>4.3221000000000002E-2</v>
      </c>
    </row>
    <row r="322" spans="14:19">
      <c r="N322" s="440">
        <v>319</v>
      </c>
      <c r="O322" s="441">
        <v>21600</v>
      </c>
      <c r="P322" s="440" t="s">
        <v>747</v>
      </c>
      <c r="Q322" s="442">
        <f t="shared" si="10"/>
        <v>4.3145000000000003E-2</v>
      </c>
      <c r="R322" s="443">
        <v>3.2372999999999999E-2</v>
      </c>
      <c r="S322" s="443">
        <v>4.3145000000000003E-2</v>
      </c>
    </row>
    <row r="323" spans="14:19">
      <c r="N323" s="440">
        <v>320</v>
      </c>
      <c r="O323" s="441">
        <v>21700</v>
      </c>
      <c r="P323" s="440" t="s">
        <v>748</v>
      </c>
      <c r="Q323" s="442">
        <f t="shared" si="10"/>
        <v>4.3068000000000002E-2</v>
      </c>
      <c r="R323" s="443">
        <v>3.2310999999999999E-2</v>
      </c>
      <c r="S323" s="443">
        <v>4.3068000000000002E-2</v>
      </c>
    </row>
    <row r="324" spans="14:19">
      <c r="N324" s="440">
        <v>321</v>
      </c>
      <c r="O324" s="441">
        <v>21800</v>
      </c>
      <c r="P324" s="440" t="s">
        <v>749</v>
      </c>
      <c r="Q324" s="442">
        <f t="shared" si="10"/>
        <v>4.2992000000000002E-2</v>
      </c>
      <c r="R324" s="443">
        <v>3.2249E-2</v>
      </c>
      <c r="S324" s="443">
        <v>4.2992000000000002E-2</v>
      </c>
    </row>
    <row r="325" spans="14:19">
      <c r="N325" s="440">
        <v>322</v>
      </c>
      <c r="O325" s="441">
        <v>21900</v>
      </c>
      <c r="P325" s="440" t="s">
        <v>750</v>
      </c>
      <c r="Q325" s="442">
        <f t="shared" ref="Q325:Q388" si="11">+S325</f>
        <v>4.2916999999999997E-2</v>
      </c>
      <c r="R325" s="443">
        <v>3.2188000000000001E-2</v>
      </c>
      <c r="S325" s="443">
        <v>4.2916999999999997E-2</v>
      </c>
    </row>
    <row r="326" spans="14:19">
      <c r="N326" s="440">
        <v>323</v>
      </c>
      <c r="O326" s="441">
        <v>22000</v>
      </c>
      <c r="P326" s="440" t="s">
        <v>751</v>
      </c>
      <c r="Q326" s="442">
        <f t="shared" si="11"/>
        <v>4.2841999999999998E-2</v>
      </c>
      <c r="R326" s="443">
        <v>3.2127000000000003E-2</v>
      </c>
      <c r="S326" s="443">
        <v>4.2841999999999998E-2</v>
      </c>
    </row>
    <row r="327" spans="14:19">
      <c r="N327" s="440">
        <v>324</v>
      </c>
      <c r="O327" s="441">
        <v>22100</v>
      </c>
      <c r="P327" s="440" t="s">
        <v>752</v>
      </c>
      <c r="Q327" s="442">
        <f t="shared" si="11"/>
        <v>4.2766999999999999E-2</v>
      </c>
      <c r="R327" s="443">
        <v>3.2066999999999998E-2</v>
      </c>
      <c r="S327" s="443">
        <v>4.2766999999999999E-2</v>
      </c>
    </row>
    <row r="328" spans="14:19">
      <c r="N328" s="440">
        <v>325</v>
      </c>
      <c r="O328" s="441">
        <v>22200</v>
      </c>
      <c r="P328" s="440" t="s">
        <v>753</v>
      </c>
      <c r="Q328" s="442">
        <f t="shared" si="11"/>
        <v>4.2693000000000002E-2</v>
      </c>
      <c r="R328" s="443">
        <v>3.2007000000000001E-2</v>
      </c>
      <c r="S328" s="443">
        <v>4.2693000000000002E-2</v>
      </c>
    </row>
    <row r="329" spans="14:19">
      <c r="N329" s="440">
        <v>326</v>
      </c>
      <c r="O329" s="441">
        <v>22300</v>
      </c>
      <c r="P329" s="440" t="s">
        <v>754</v>
      </c>
      <c r="Q329" s="442">
        <f t="shared" si="11"/>
        <v>4.2618999999999997E-2</v>
      </c>
      <c r="R329" s="443">
        <v>3.1947000000000003E-2</v>
      </c>
      <c r="S329" s="443">
        <v>4.2618999999999997E-2</v>
      </c>
    </row>
    <row r="330" spans="14:19">
      <c r="N330" s="440">
        <v>327</v>
      </c>
      <c r="O330" s="441">
        <v>22400</v>
      </c>
      <c r="P330" s="440" t="s">
        <v>755</v>
      </c>
      <c r="Q330" s="442">
        <f t="shared" si="11"/>
        <v>4.2546E-2</v>
      </c>
      <c r="R330" s="443">
        <v>3.1888E-2</v>
      </c>
      <c r="S330" s="443">
        <v>4.2546E-2</v>
      </c>
    </row>
    <row r="331" spans="14:19">
      <c r="N331" s="440">
        <v>328</v>
      </c>
      <c r="O331" s="441">
        <v>22500</v>
      </c>
      <c r="P331" s="440" t="s">
        <v>756</v>
      </c>
      <c r="Q331" s="442">
        <f t="shared" si="11"/>
        <v>4.2472999999999997E-2</v>
      </c>
      <c r="R331" s="443">
        <v>3.1829000000000003E-2</v>
      </c>
      <c r="S331" s="443">
        <v>4.2472999999999997E-2</v>
      </c>
    </row>
    <row r="332" spans="14:19">
      <c r="N332" s="440">
        <v>329</v>
      </c>
      <c r="O332" s="441">
        <v>22600</v>
      </c>
      <c r="P332" s="440" t="s">
        <v>757</v>
      </c>
      <c r="Q332" s="442">
        <f t="shared" si="11"/>
        <v>4.2401000000000001E-2</v>
      </c>
      <c r="R332" s="443">
        <v>3.177E-2</v>
      </c>
      <c r="S332" s="443">
        <v>4.2401000000000001E-2</v>
      </c>
    </row>
    <row r="333" spans="14:19">
      <c r="N333" s="440">
        <v>330</v>
      </c>
      <c r="O333" s="441">
        <v>22700</v>
      </c>
      <c r="P333" s="440" t="s">
        <v>758</v>
      </c>
      <c r="Q333" s="442">
        <f t="shared" si="11"/>
        <v>4.2328999999999999E-2</v>
      </c>
      <c r="R333" s="443">
        <v>3.1711999999999997E-2</v>
      </c>
      <c r="S333" s="443">
        <v>4.2328999999999999E-2</v>
      </c>
    </row>
    <row r="334" spans="14:19">
      <c r="N334" s="440">
        <v>331</v>
      </c>
      <c r="O334" s="441">
        <v>22800</v>
      </c>
      <c r="P334" s="440" t="s">
        <v>759</v>
      </c>
      <c r="Q334" s="442">
        <f t="shared" si="11"/>
        <v>4.2257999999999997E-2</v>
      </c>
      <c r="R334" s="443">
        <v>3.1654000000000002E-2</v>
      </c>
      <c r="S334" s="443">
        <v>4.2257999999999997E-2</v>
      </c>
    </row>
    <row r="335" spans="14:19">
      <c r="N335" s="440">
        <v>332</v>
      </c>
      <c r="O335" s="441">
        <v>22900</v>
      </c>
      <c r="P335" s="440" t="s">
        <v>760</v>
      </c>
      <c r="Q335" s="442">
        <f t="shared" si="11"/>
        <v>4.2187000000000002E-2</v>
      </c>
      <c r="R335" s="443">
        <v>3.1597E-2</v>
      </c>
      <c r="S335" s="443">
        <v>4.2187000000000002E-2</v>
      </c>
    </row>
    <row r="336" spans="14:19">
      <c r="N336" s="440">
        <v>333</v>
      </c>
      <c r="O336" s="441">
        <v>23000</v>
      </c>
      <c r="P336" s="440" t="s">
        <v>761</v>
      </c>
      <c r="Q336" s="442">
        <f t="shared" si="11"/>
        <v>4.2117000000000002E-2</v>
      </c>
      <c r="R336" s="443">
        <v>3.1539999999999999E-2</v>
      </c>
      <c r="S336" s="443">
        <v>4.2117000000000002E-2</v>
      </c>
    </row>
    <row r="337" spans="14:19">
      <c r="N337" s="440">
        <v>334</v>
      </c>
      <c r="O337" s="441">
        <v>23100</v>
      </c>
      <c r="P337" s="440" t="s">
        <v>762</v>
      </c>
      <c r="Q337" s="442">
        <f t="shared" si="11"/>
        <v>4.2046E-2</v>
      </c>
      <c r="R337" s="443">
        <v>3.1482999999999997E-2</v>
      </c>
      <c r="S337" s="443">
        <v>4.2046E-2</v>
      </c>
    </row>
    <row r="338" spans="14:19">
      <c r="N338" s="440">
        <v>335</v>
      </c>
      <c r="O338" s="441">
        <v>23200</v>
      </c>
      <c r="P338" s="440" t="s">
        <v>763</v>
      </c>
      <c r="Q338" s="442">
        <f t="shared" si="11"/>
        <v>4.1977E-2</v>
      </c>
      <c r="R338" s="443">
        <v>3.1426999999999997E-2</v>
      </c>
      <c r="S338" s="443">
        <v>4.1977E-2</v>
      </c>
    </row>
    <row r="339" spans="14:19">
      <c r="N339" s="440">
        <v>336</v>
      </c>
      <c r="O339" s="441">
        <v>23300</v>
      </c>
      <c r="P339" s="440" t="s">
        <v>764</v>
      </c>
      <c r="Q339" s="442">
        <f t="shared" si="11"/>
        <v>4.1907E-2</v>
      </c>
      <c r="R339" s="443">
        <v>3.1371000000000003E-2</v>
      </c>
      <c r="S339" s="443">
        <v>4.1907E-2</v>
      </c>
    </row>
    <row r="340" spans="14:19">
      <c r="N340" s="440">
        <v>337</v>
      </c>
      <c r="O340" s="441">
        <v>23400</v>
      </c>
      <c r="P340" s="440" t="s">
        <v>765</v>
      </c>
      <c r="Q340" s="442">
        <f t="shared" si="11"/>
        <v>4.1839000000000001E-2</v>
      </c>
      <c r="R340" s="443">
        <v>3.1315000000000003E-2</v>
      </c>
      <c r="S340" s="443">
        <v>4.1839000000000001E-2</v>
      </c>
    </row>
    <row r="341" spans="14:19">
      <c r="N341" s="440">
        <v>338</v>
      </c>
      <c r="O341" s="441">
        <v>23500</v>
      </c>
      <c r="P341" s="440" t="s">
        <v>766</v>
      </c>
      <c r="Q341" s="442">
        <f t="shared" si="11"/>
        <v>4.1770000000000002E-2</v>
      </c>
      <c r="R341" s="443">
        <v>3.1260000000000003E-2</v>
      </c>
      <c r="S341" s="443">
        <v>4.1770000000000002E-2</v>
      </c>
    </row>
    <row r="342" spans="14:19">
      <c r="N342" s="440">
        <v>339</v>
      </c>
      <c r="O342" s="441">
        <v>23600</v>
      </c>
      <c r="P342" s="440" t="s">
        <v>767</v>
      </c>
      <c r="Q342" s="442">
        <f t="shared" si="11"/>
        <v>4.1702000000000003E-2</v>
      </c>
      <c r="R342" s="443">
        <v>3.1205E-2</v>
      </c>
      <c r="S342" s="443">
        <v>4.1702000000000003E-2</v>
      </c>
    </row>
    <row r="343" spans="14:19">
      <c r="N343" s="440">
        <v>340</v>
      </c>
      <c r="O343" s="441">
        <v>23700</v>
      </c>
      <c r="P343" s="440" t="s">
        <v>768</v>
      </c>
      <c r="Q343" s="442">
        <f t="shared" si="11"/>
        <v>4.1633999999999997E-2</v>
      </c>
      <c r="R343" s="443">
        <v>3.1150000000000001E-2</v>
      </c>
      <c r="S343" s="443">
        <v>4.1633999999999997E-2</v>
      </c>
    </row>
    <row r="344" spans="14:19">
      <c r="N344" s="440">
        <v>341</v>
      </c>
      <c r="O344" s="441">
        <v>23800</v>
      </c>
      <c r="P344" s="440" t="s">
        <v>769</v>
      </c>
      <c r="Q344" s="442">
        <f t="shared" si="11"/>
        <v>4.1567E-2</v>
      </c>
      <c r="R344" s="443">
        <v>3.1095000000000001E-2</v>
      </c>
      <c r="S344" s="443">
        <v>4.1567E-2</v>
      </c>
    </row>
    <row r="345" spans="14:19">
      <c r="N345" s="440">
        <v>342</v>
      </c>
      <c r="O345" s="441">
        <v>23900</v>
      </c>
      <c r="P345" s="440" t="s">
        <v>770</v>
      </c>
      <c r="Q345" s="442">
        <f t="shared" si="11"/>
        <v>4.1500000000000002E-2</v>
      </c>
      <c r="R345" s="443">
        <v>3.1040999999999999E-2</v>
      </c>
      <c r="S345" s="443">
        <v>4.1500000000000002E-2</v>
      </c>
    </row>
    <row r="346" spans="14:19">
      <c r="N346" s="440">
        <v>343</v>
      </c>
      <c r="O346" s="441">
        <v>24000</v>
      </c>
      <c r="P346" s="440" t="s">
        <v>771</v>
      </c>
      <c r="Q346" s="442">
        <f t="shared" si="11"/>
        <v>4.1433999999999999E-2</v>
      </c>
      <c r="R346" s="443">
        <v>3.0988000000000002E-2</v>
      </c>
      <c r="S346" s="443">
        <v>4.1433999999999999E-2</v>
      </c>
    </row>
    <row r="347" spans="14:19">
      <c r="N347" s="440">
        <v>344</v>
      </c>
      <c r="O347" s="441">
        <v>24100</v>
      </c>
      <c r="P347" s="440" t="s">
        <v>772</v>
      </c>
      <c r="Q347" s="442">
        <f t="shared" si="11"/>
        <v>4.1368000000000002E-2</v>
      </c>
      <c r="R347" s="443">
        <v>3.0934E-2</v>
      </c>
      <c r="S347" s="443">
        <v>4.1368000000000002E-2</v>
      </c>
    </row>
    <row r="348" spans="14:19">
      <c r="N348" s="440">
        <v>345</v>
      </c>
      <c r="O348" s="441">
        <v>24200</v>
      </c>
      <c r="P348" s="440" t="s">
        <v>773</v>
      </c>
      <c r="Q348" s="442">
        <f t="shared" si="11"/>
        <v>4.1301999999999998E-2</v>
      </c>
      <c r="R348" s="443">
        <v>3.0880999999999999E-2</v>
      </c>
      <c r="S348" s="443">
        <v>4.1301999999999998E-2</v>
      </c>
    </row>
    <row r="349" spans="14:19">
      <c r="N349" s="440">
        <v>346</v>
      </c>
      <c r="O349" s="441">
        <v>24300</v>
      </c>
      <c r="P349" s="440" t="s">
        <v>774</v>
      </c>
      <c r="Q349" s="442">
        <f t="shared" si="11"/>
        <v>4.1237000000000003E-2</v>
      </c>
      <c r="R349" s="443">
        <v>3.0828000000000001E-2</v>
      </c>
      <c r="S349" s="443">
        <v>4.1237000000000003E-2</v>
      </c>
    </row>
    <row r="350" spans="14:19">
      <c r="N350" s="440">
        <v>347</v>
      </c>
      <c r="O350" s="441">
        <v>24400</v>
      </c>
      <c r="P350" s="440" t="s">
        <v>775</v>
      </c>
      <c r="Q350" s="442">
        <f t="shared" si="11"/>
        <v>4.1172E-2</v>
      </c>
      <c r="R350" s="443">
        <v>3.0776000000000001E-2</v>
      </c>
      <c r="S350" s="443">
        <v>4.1172E-2</v>
      </c>
    </row>
    <row r="351" spans="14:19">
      <c r="N351" s="440">
        <v>348</v>
      </c>
      <c r="O351" s="441">
        <v>24500</v>
      </c>
      <c r="P351" s="440" t="s">
        <v>776</v>
      </c>
      <c r="Q351" s="442">
        <f t="shared" si="11"/>
        <v>4.1106999999999998E-2</v>
      </c>
      <c r="R351" s="443">
        <v>3.0724000000000001E-2</v>
      </c>
      <c r="S351" s="443">
        <v>4.1106999999999998E-2</v>
      </c>
    </row>
    <row r="352" spans="14:19">
      <c r="N352" s="440">
        <v>349</v>
      </c>
      <c r="O352" s="441">
        <v>24600</v>
      </c>
      <c r="P352" s="440" t="s">
        <v>777</v>
      </c>
      <c r="Q352" s="442">
        <f t="shared" si="11"/>
        <v>4.1043000000000003E-2</v>
      </c>
      <c r="R352" s="443">
        <v>3.0672000000000001E-2</v>
      </c>
      <c r="S352" s="443">
        <v>4.1043000000000003E-2</v>
      </c>
    </row>
    <row r="353" spans="14:19">
      <c r="N353" s="440">
        <v>350</v>
      </c>
      <c r="O353" s="441">
        <v>24700</v>
      </c>
      <c r="P353" s="440" t="s">
        <v>778</v>
      </c>
      <c r="Q353" s="442">
        <f t="shared" si="11"/>
        <v>4.0979000000000002E-2</v>
      </c>
      <c r="R353" s="443">
        <v>3.0620000000000001E-2</v>
      </c>
      <c r="S353" s="443">
        <v>4.0979000000000002E-2</v>
      </c>
    </row>
    <row r="354" spans="14:19">
      <c r="N354" s="440">
        <v>351</v>
      </c>
      <c r="O354" s="441">
        <v>24800</v>
      </c>
      <c r="P354" s="440" t="s">
        <v>779</v>
      </c>
      <c r="Q354" s="442">
        <f t="shared" si="11"/>
        <v>4.0915E-2</v>
      </c>
      <c r="R354" s="443">
        <v>3.0568999999999999E-2</v>
      </c>
      <c r="S354" s="443">
        <v>4.0915E-2</v>
      </c>
    </row>
    <row r="355" spans="14:19">
      <c r="N355" s="440">
        <v>352</v>
      </c>
      <c r="O355" s="441">
        <v>24900</v>
      </c>
      <c r="P355" s="440" t="s">
        <v>780</v>
      </c>
      <c r="Q355" s="442">
        <f t="shared" si="11"/>
        <v>4.0851999999999999E-2</v>
      </c>
      <c r="R355" s="443">
        <v>3.0518E-2</v>
      </c>
      <c r="S355" s="443">
        <v>4.0851999999999999E-2</v>
      </c>
    </row>
    <row r="356" spans="14:19">
      <c r="N356" s="440">
        <v>353</v>
      </c>
      <c r="O356" s="441">
        <v>25000</v>
      </c>
      <c r="P356" s="440" t="s">
        <v>781</v>
      </c>
      <c r="Q356" s="442">
        <f t="shared" si="11"/>
        <v>4.0788999999999999E-2</v>
      </c>
      <c r="R356" s="443">
        <v>3.0467000000000001E-2</v>
      </c>
      <c r="S356" s="443">
        <v>4.0788999999999999E-2</v>
      </c>
    </row>
    <row r="357" spans="14:19">
      <c r="N357" s="440">
        <v>354</v>
      </c>
      <c r="O357" s="441">
        <v>25100</v>
      </c>
      <c r="P357" s="440" t="s">
        <v>782</v>
      </c>
      <c r="Q357" s="442">
        <f t="shared" si="11"/>
        <v>4.0726999999999999E-2</v>
      </c>
      <c r="R357" s="443">
        <v>3.0417E-2</v>
      </c>
      <c r="S357" s="443">
        <v>4.0726999999999999E-2</v>
      </c>
    </row>
    <row r="358" spans="14:19">
      <c r="N358" s="440">
        <v>355</v>
      </c>
      <c r="O358" s="441">
        <v>25200</v>
      </c>
      <c r="P358" s="440" t="s">
        <v>783</v>
      </c>
      <c r="Q358" s="442">
        <f t="shared" si="11"/>
        <v>4.0665E-2</v>
      </c>
      <c r="R358" s="443">
        <v>3.0367000000000002E-2</v>
      </c>
      <c r="S358" s="443">
        <v>4.0665E-2</v>
      </c>
    </row>
    <row r="359" spans="14:19">
      <c r="N359" s="440">
        <v>356</v>
      </c>
      <c r="O359" s="441">
        <v>25300</v>
      </c>
      <c r="P359" s="440" t="s">
        <v>784</v>
      </c>
      <c r="Q359" s="442">
        <f t="shared" si="11"/>
        <v>4.0603E-2</v>
      </c>
      <c r="R359" s="443">
        <v>3.0317E-2</v>
      </c>
      <c r="S359" s="443">
        <v>4.0603E-2</v>
      </c>
    </row>
    <row r="360" spans="14:19">
      <c r="N360" s="440">
        <v>357</v>
      </c>
      <c r="O360" s="441">
        <v>25400</v>
      </c>
      <c r="P360" s="440" t="s">
        <v>785</v>
      </c>
      <c r="Q360" s="442">
        <f t="shared" si="11"/>
        <v>4.0542000000000002E-2</v>
      </c>
      <c r="R360" s="443">
        <v>3.0266999999999999E-2</v>
      </c>
      <c r="S360" s="443">
        <v>4.0542000000000002E-2</v>
      </c>
    </row>
    <row r="361" spans="14:19">
      <c r="N361" s="440">
        <v>358</v>
      </c>
      <c r="O361" s="441">
        <v>25500</v>
      </c>
      <c r="P361" s="440" t="s">
        <v>786</v>
      </c>
      <c r="Q361" s="442">
        <f t="shared" si="11"/>
        <v>4.0480000000000002E-2</v>
      </c>
      <c r="R361" s="443">
        <v>3.0217999999999998E-2</v>
      </c>
      <c r="S361" s="443">
        <v>4.0480000000000002E-2</v>
      </c>
    </row>
    <row r="362" spans="14:19">
      <c r="N362" s="440">
        <v>359</v>
      </c>
      <c r="O362" s="441">
        <v>25600</v>
      </c>
      <c r="P362" s="440" t="s">
        <v>787</v>
      </c>
      <c r="Q362" s="442">
        <f t="shared" si="11"/>
        <v>4.0419999999999998E-2</v>
      </c>
      <c r="R362" s="443">
        <v>3.0169000000000001E-2</v>
      </c>
      <c r="S362" s="443">
        <v>4.0419999999999998E-2</v>
      </c>
    </row>
    <row r="363" spans="14:19">
      <c r="N363" s="440">
        <v>360</v>
      </c>
      <c r="O363" s="441">
        <v>25700</v>
      </c>
      <c r="P363" s="440" t="s">
        <v>788</v>
      </c>
      <c r="Q363" s="442">
        <f t="shared" si="11"/>
        <v>4.0358999999999999E-2</v>
      </c>
      <c r="R363" s="443">
        <v>3.0120000000000001E-2</v>
      </c>
      <c r="S363" s="443">
        <v>4.0358999999999999E-2</v>
      </c>
    </row>
    <row r="364" spans="14:19">
      <c r="N364" s="440">
        <v>361</v>
      </c>
      <c r="O364" s="441">
        <v>25800</v>
      </c>
      <c r="P364" s="440" t="s">
        <v>789</v>
      </c>
      <c r="Q364" s="442">
        <f t="shared" si="11"/>
        <v>4.0299000000000001E-2</v>
      </c>
      <c r="R364" s="443">
        <v>3.0071000000000001E-2</v>
      </c>
      <c r="S364" s="443">
        <v>4.0299000000000001E-2</v>
      </c>
    </row>
    <row r="365" spans="14:19">
      <c r="N365" s="440">
        <v>362</v>
      </c>
      <c r="O365" s="441">
        <v>25900</v>
      </c>
      <c r="P365" s="440" t="s">
        <v>790</v>
      </c>
      <c r="Q365" s="442">
        <f t="shared" si="11"/>
        <v>4.0238999999999997E-2</v>
      </c>
      <c r="R365" s="443">
        <v>3.0023000000000001E-2</v>
      </c>
      <c r="S365" s="443">
        <v>4.0238999999999997E-2</v>
      </c>
    </row>
    <row r="366" spans="14:19">
      <c r="N366" s="440">
        <v>363</v>
      </c>
      <c r="O366" s="441">
        <v>26000</v>
      </c>
      <c r="P366" s="440" t="s">
        <v>791</v>
      </c>
      <c r="Q366" s="442">
        <f t="shared" si="11"/>
        <v>4.018E-2</v>
      </c>
      <c r="R366" s="443">
        <v>2.9975000000000002E-2</v>
      </c>
      <c r="S366" s="443">
        <v>4.018E-2</v>
      </c>
    </row>
    <row r="367" spans="14:19">
      <c r="N367" s="440">
        <v>364</v>
      </c>
      <c r="O367" s="441">
        <v>26100</v>
      </c>
      <c r="P367" s="440" t="s">
        <v>792</v>
      </c>
      <c r="Q367" s="442">
        <f t="shared" si="11"/>
        <v>4.0120999999999997E-2</v>
      </c>
      <c r="R367" s="443">
        <v>2.9928E-2</v>
      </c>
      <c r="S367" s="443">
        <v>4.0120999999999997E-2</v>
      </c>
    </row>
    <row r="368" spans="14:19">
      <c r="N368" s="440">
        <v>365</v>
      </c>
      <c r="O368" s="441">
        <v>26200</v>
      </c>
      <c r="P368" s="440" t="s">
        <v>793</v>
      </c>
      <c r="Q368" s="442">
        <f t="shared" si="11"/>
        <v>4.0062E-2</v>
      </c>
      <c r="R368" s="443">
        <v>2.988E-2</v>
      </c>
      <c r="S368" s="443">
        <v>4.0062E-2</v>
      </c>
    </row>
    <row r="369" spans="14:19">
      <c r="N369" s="440">
        <v>366</v>
      </c>
      <c r="O369" s="441">
        <v>26300</v>
      </c>
      <c r="P369" s="440" t="s">
        <v>794</v>
      </c>
      <c r="Q369" s="442">
        <f t="shared" si="11"/>
        <v>4.0002999999999997E-2</v>
      </c>
      <c r="R369" s="443">
        <v>2.9832999999999998E-2</v>
      </c>
      <c r="S369" s="443">
        <v>4.0002999999999997E-2</v>
      </c>
    </row>
    <row r="370" spans="14:19">
      <c r="N370" s="440">
        <v>367</v>
      </c>
      <c r="O370" s="441">
        <v>26400</v>
      </c>
      <c r="P370" s="440" t="s">
        <v>795</v>
      </c>
      <c r="Q370" s="442">
        <f t="shared" si="11"/>
        <v>3.9945000000000001E-2</v>
      </c>
      <c r="R370" s="443">
        <v>2.9786E-2</v>
      </c>
      <c r="S370" s="443">
        <v>3.9945000000000001E-2</v>
      </c>
    </row>
    <row r="371" spans="14:19">
      <c r="N371" s="440">
        <v>368</v>
      </c>
      <c r="O371" s="441">
        <v>26500</v>
      </c>
      <c r="P371" s="440" t="s">
        <v>796</v>
      </c>
      <c r="Q371" s="442">
        <f t="shared" si="11"/>
        <v>3.9886999999999999E-2</v>
      </c>
      <c r="R371" s="443">
        <v>2.9739000000000002E-2</v>
      </c>
      <c r="S371" s="443">
        <v>3.9886999999999999E-2</v>
      </c>
    </row>
    <row r="372" spans="14:19">
      <c r="N372" s="440">
        <v>369</v>
      </c>
      <c r="O372" s="441">
        <v>26600</v>
      </c>
      <c r="P372" s="440" t="s">
        <v>797</v>
      </c>
      <c r="Q372" s="442">
        <f t="shared" si="11"/>
        <v>3.9829000000000003E-2</v>
      </c>
      <c r="R372" s="443">
        <v>2.9693000000000001E-2</v>
      </c>
      <c r="S372" s="443">
        <v>3.9829000000000003E-2</v>
      </c>
    </row>
    <row r="373" spans="14:19">
      <c r="N373" s="440">
        <v>370</v>
      </c>
      <c r="O373" s="441">
        <v>26700</v>
      </c>
      <c r="P373" s="440" t="s">
        <v>798</v>
      </c>
      <c r="Q373" s="442">
        <f t="shared" si="11"/>
        <v>3.9772000000000002E-2</v>
      </c>
      <c r="R373" s="443">
        <v>2.9647E-2</v>
      </c>
      <c r="S373" s="443">
        <v>3.9772000000000002E-2</v>
      </c>
    </row>
    <row r="374" spans="14:19">
      <c r="N374" s="440">
        <v>371</v>
      </c>
      <c r="O374" s="441">
        <v>26800</v>
      </c>
      <c r="P374" s="440" t="s">
        <v>799</v>
      </c>
      <c r="Q374" s="442">
        <f t="shared" si="11"/>
        <v>3.9715E-2</v>
      </c>
      <c r="R374" s="443">
        <v>2.9600999999999999E-2</v>
      </c>
      <c r="S374" s="443">
        <v>3.9715E-2</v>
      </c>
    </row>
    <row r="375" spans="14:19">
      <c r="N375" s="440">
        <v>372</v>
      </c>
      <c r="O375" s="441">
        <v>26900</v>
      </c>
      <c r="P375" s="440" t="s">
        <v>800</v>
      </c>
      <c r="Q375" s="442">
        <f t="shared" si="11"/>
        <v>3.9657999999999999E-2</v>
      </c>
      <c r="R375" s="443">
        <v>2.9555000000000001E-2</v>
      </c>
      <c r="S375" s="443">
        <v>3.9657999999999999E-2</v>
      </c>
    </row>
    <row r="376" spans="14:19">
      <c r="N376" s="440">
        <v>373</v>
      </c>
      <c r="O376" s="441">
        <v>27000</v>
      </c>
      <c r="P376" s="440" t="s">
        <v>801</v>
      </c>
      <c r="Q376" s="442">
        <f t="shared" si="11"/>
        <v>3.9601999999999998E-2</v>
      </c>
      <c r="R376" s="443">
        <v>2.9509000000000001E-2</v>
      </c>
      <c r="S376" s="443">
        <v>3.9601999999999998E-2</v>
      </c>
    </row>
    <row r="377" spans="14:19">
      <c r="N377" s="440">
        <v>374</v>
      </c>
      <c r="O377" s="441">
        <v>27100</v>
      </c>
      <c r="P377" s="440" t="s">
        <v>802</v>
      </c>
      <c r="Q377" s="442">
        <f t="shared" si="11"/>
        <v>3.9545999999999998E-2</v>
      </c>
      <c r="R377" s="443">
        <v>2.9464000000000001E-2</v>
      </c>
      <c r="S377" s="443">
        <v>3.9545999999999998E-2</v>
      </c>
    </row>
    <row r="378" spans="14:19">
      <c r="N378" s="440">
        <v>375</v>
      </c>
      <c r="O378" s="441">
        <v>27200</v>
      </c>
      <c r="P378" s="440" t="s">
        <v>803</v>
      </c>
      <c r="Q378" s="442">
        <f t="shared" si="11"/>
        <v>3.9489999999999997E-2</v>
      </c>
      <c r="R378" s="443">
        <v>2.9419000000000001E-2</v>
      </c>
      <c r="S378" s="443">
        <v>3.9489999999999997E-2</v>
      </c>
    </row>
    <row r="379" spans="14:19">
      <c r="N379" s="440">
        <v>376</v>
      </c>
      <c r="O379" s="441">
        <v>27300</v>
      </c>
      <c r="P379" s="440" t="s">
        <v>804</v>
      </c>
      <c r="Q379" s="442">
        <f t="shared" si="11"/>
        <v>3.9433999999999997E-2</v>
      </c>
      <c r="R379" s="443">
        <v>2.9374000000000001E-2</v>
      </c>
      <c r="S379" s="443">
        <v>3.9433999999999997E-2</v>
      </c>
    </row>
    <row r="380" spans="14:19">
      <c r="N380" s="440">
        <v>377</v>
      </c>
      <c r="O380" s="441">
        <v>27400</v>
      </c>
      <c r="P380" s="440" t="s">
        <v>805</v>
      </c>
      <c r="Q380" s="442">
        <f t="shared" si="11"/>
        <v>3.9378999999999997E-2</v>
      </c>
      <c r="R380" s="443">
        <v>2.9329999999999998E-2</v>
      </c>
      <c r="S380" s="443">
        <v>3.9378999999999997E-2</v>
      </c>
    </row>
    <row r="381" spans="14:19">
      <c r="N381" s="440">
        <v>378</v>
      </c>
      <c r="O381" s="441">
        <v>27500</v>
      </c>
      <c r="P381" s="440" t="s">
        <v>806</v>
      </c>
      <c r="Q381" s="442">
        <f t="shared" si="11"/>
        <v>3.9323999999999998E-2</v>
      </c>
      <c r="R381" s="443">
        <v>2.9286E-2</v>
      </c>
      <c r="S381" s="443">
        <v>3.9323999999999998E-2</v>
      </c>
    </row>
    <row r="382" spans="14:19">
      <c r="N382" s="440">
        <v>379</v>
      </c>
      <c r="O382" s="441">
        <v>27600</v>
      </c>
      <c r="P382" s="440" t="s">
        <v>807</v>
      </c>
      <c r="Q382" s="442">
        <f t="shared" si="11"/>
        <v>3.9268999999999998E-2</v>
      </c>
      <c r="R382" s="443">
        <v>2.9242000000000001E-2</v>
      </c>
      <c r="S382" s="443">
        <v>3.9268999999999998E-2</v>
      </c>
    </row>
    <row r="383" spans="14:19">
      <c r="N383" s="440">
        <v>380</v>
      </c>
      <c r="O383" s="441">
        <v>27700</v>
      </c>
      <c r="P383" s="440" t="s">
        <v>808</v>
      </c>
      <c r="Q383" s="442">
        <f t="shared" si="11"/>
        <v>3.9213999999999999E-2</v>
      </c>
      <c r="R383" s="443">
        <v>2.9198000000000002E-2</v>
      </c>
      <c r="S383" s="443">
        <v>3.9213999999999999E-2</v>
      </c>
    </row>
    <row r="384" spans="14:19">
      <c r="N384" s="440">
        <v>381</v>
      </c>
      <c r="O384" s="441">
        <v>27800</v>
      </c>
      <c r="P384" s="440" t="s">
        <v>809</v>
      </c>
      <c r="Q384" s="442">
        <f t="shared" si="11"/>
        <v>3.916E-2</v>
      </c>
      <c r="R384" s="443">
        <v>2.9153999999999999E-2</v>
      </c>
      <c r="S384" s="443">
        <v>3.916E-2</v>
      </c>
    </row>
    <row r="385" spans="14:19">
      <c r="N385" s="440">
        <v>382</v>
      </c>
      <c r="O385" s="441">
        <v>27900</v>
      </c>
      <c r="P385" s="440" t="s">
        <v>810</v>
      </c>
      <c r="Q385" s="442">
        <f t="shared" si="11"/>
        <v>3.9106000000000002E-2</v>
      </c>
      <c r="R385" s="443">
        <v>2.9111000000000001E-2</v>
      </c>
      <c r="S385" s="443">
        <v>3.9106000000000002E-2</v>
      </c>
    </row>
    <row r="386" spans="14:19">
      <c r="N386" s="440">
        <v>383</v>
      </c>
      <c r="O386" s="441">
        <v>28000</v>
      </c>
      <c r="P386" s="440" t="s">
        <v>811</v>
      </c>
      <c r="Q386" s="442">
        <f t="shared" si="11"/>
        <v>3.9052999999999997E-2</v>
      </c>
      <c r="R386" s="443">
        <v>2.9066999999999999E-2</v>
      </c>
      <c r="S386" s="443">
        <v>3.9052999999999997E-2</v>
      </c>
    </row>
    <row r="387" spans="14:19">
      <c r="N387" s="440">
        <v>384</v>
      </c>
      <c r="O387" s="441">
        <v>28100</v>
      </c>
      <c r="P387" s="440" t="s">
        <v>812</v>
      </c>
      <c r="Q387" s="442">
        <f t="shared" si="11"/>
        <v>3.8998999999999999E-2</v>
      </c>
      <c r="R387" s="443">
        <v>2.9024000000000001E-2</v>
      </c>
      <c r="S387" s="443">
        <v>3.8998999999999999E-2</v>
      </c>
    </row>
    <row r="388" spans="14:19">
      <c r="N388" s="440">
        <v>385</v>
      </c>
      <c r="O388" s="441">
        <v>28200</v>
      </c>
      <c r="P388" s="440" t="s">
        <v>813</v>
      </c>
      <c r="Q388" s="442">
        <f t="shared" si="11"/>
        <v>3.8946000000000001E-2</v>
      </c>
      <c r="R388" s="443">
        <v>2.8982000000000001E-2</v>
      </c>
      <c r="S388" s="443">
        <v>3.8946000000000001E-2</v>
      </c>
    </row>
    <row r="389" spans="14:19">
      <c r="N389" s="440">
        <v>386</v>
      </c>
      <c r="O389" s="441">
        <v>28300</v>
      </c>
      <c r="P389" s="440" t="s">
        <v>814</v>
      </c>
      <c r="Q389" s="442">
        <f t="shared" ref="Q389:Q452" si="12">+S389</f>
        <v>3.8892999999999997E-2</v>
      </c>
      <c r="R389" s="443">
        <v>2.8938999999999999E-2</v>
      </c>
      <c r="S389" s="443">
        <v>3.8892999999999997E-2</v>
      </c>
    </row>
    <row r="390" spans="14:19">
      <c r="N390" s="440">
        <v>387</v>
      </c>
      <c r="O390" s="441">
        <v>28400</v>
      </c>
      <c r="P390" s="440" t="s">
        <v>815</v>
      </c>
      <c r="Q390" s="442">
        <f t="shared" si="12"/>
        <v>3.884E-2</v>
      </c>
      <c r="R390" s="443">
        <v>2.8896999999999999E-2</v>
      </c>
      <c r="S390" s="443">
        <v>3.884E-2</v>
      </c>
    </row>
    <row r="391" spans="14:19">
      <c r="N391" s="440">
        <v>388</v>
      </c>
      <c r="O391" s="441">
        <v>28500</v>
      </c>
      <c r="P391" s="440" t="s">
        <v>816</v>
      </c>
      <c r="Q391" s="442">
        <f t="shared" si="12"/>
        <v>3.8788000000000003E-2</v>
      </c>
      <c r="R391" s="443">
        <v>2.8854999999999999E-2</v>
      </c>
      <c r="S391" s="443">
        <v>3.8788000000000003E-2</v>
      </c>
    </row>
    <row r="392" spans="14:19">
      <c r="N392" s="440">
        <v>389</v>
      </c>
      <c r="O392" s="441">
        <v>28600</v>
      </c>
      <c r="P392" s="440" t="s">
        <v>817</v>
      </c>
      <c r="Q392" s="442">
        <f t="shared" si="12"/>
        <v>3.8736E-2</v>
      </c>
      <c r="R392" s="443">
        <v>2.8812999999999998E-2</v>
      </c>
      <c r="S392" s="443">
        <v>3.8736E-2</v>
      </c>
    </row>
    <row r="393" spans="14:19">
      <c r="N393" s="440">
        <v>390</v>
      </c>
      <c r="O393" s="441">
        <v>28700</v>
      </c>
      <c r="P393" s="440" t="s">
        <v>818</v>
      </c>
      <c r="Q393" s="442">
        <f t="shared" si="12"/>
        <v>3.8684000000000003E-2</v>
      </c>
      <c r="R393" s="443">
        <v>2.8771000000000001E-2</v>
      </c>
      <c r="S393" s="443">
        <v>3.8684000000000003E-2</v>
      </c>
    </row>
    <row r="394" spans="14:19">
      <c r="N394" s="440">
        <v>391</v>
      </c>
      <c r="O394" s="441">
        <v>28800</v>
      </c>
      <c r="P394" s="440" t="s">
        <v>819</v>
      </c>
      <c r="Q394" s="442">
        <f t="shared" si="12"/>
        <v>3.8632E-2</v>
      </c>
      <c r="R394" s="443">
        <v>2.8729999999999999E-2</v>
      </c>
      <c r="S394" s="443">
        <v>3.8632E-2</v>
      </c>
    </row>
    <row r="395" spans="14:19">
      <c r="N395" s="440">
        <v>392</v>
      </c>
      <c r="O395" s="441">
        <v>28900</v>
      </c>
      <c r="P395" s="440" t="s">
        <v>820</v>
      </c>
      <c r="Q395" s="442">
        <f t="shared" si="12"/>
        <v>3.8580999999999997E-2</v>
      </c>
      <c r="R395" s="443">
        <v>2.8688000000000002E-2</v>
      </c>
      <c r="S395" s="443">
        <v>3.8580999999999997E-2</v>
      </c>
    </row>
    <row r="396" spans="14:19">
      <c r="N396" s="440">
        <v>393</v>
      </c>
      <c r="O396" s="441">
        <v>29000</v>
      </c>
      <c r="P396" s="440" t="s">
        <v>821</v>
      </c>
      <c r="Q396" s="442">
        <f t="shared" si="12"/>
        <v>3.8530000000000002E-2</v>
      </c>
      <c r="R396" s="443">
        <v>2.8646999999999999E-2</v>
      </c>
      <c r="S396" s="443">
        <v>3.8530000000000002E-2</v>
      </c>
    </row>
    <row r="397" spans="14:19">
      <c r="N397" s="440">
        <v>394</v>
      </c>
      <c r="O397" s="441">
        <v>29100</v>
      </c>
      <c r="P397" s="440" t="s">
        <v>822</v>
      </c>
      <c r="Q397" s="442">
        <f t="shared" si="12"/>
        <v>3.8478999999999999E-2</v>
      </c>
      <c r="R397" s="443">
        <v>2.8605999999999999E-2</v>
      </c>
      <c r="S397" s="443">
        <v>3.8478999999999999E-2</v>
      </c>
    </row>
    <row r="398" spans="14:19">
      <c r="N398" s="440">
        <v>395</v>
      </c>
      <c r="O398" s="441">
        <v>29200</v>
      </c>
      <c r="P398" s="440" t="s">
        <v>823</v>
      </c>
      <c r="Q398" s="442">
        <f t="shared" si="12"/>
        <v>3.8427999999999997E-2</v>
      </c>
      <c r="R398" s="443">
        <v>2.8566000000000001E-2</v>
      </c>
      <c r="S398" s="443">
        <v>3.8427999999999997E-2</v>
      </c>
    </row>
    <row r="399" spans="14:19">
      <c r="N399" s="440">
        <v>396</v>
      </c>
      <c r="O399" s="441">
        <v>29300</v>
      </c>
      <c r="P399" s="440" t="s">
        <v>824</v>
      </c>
      <c r="Q399" s="442">
        <f t="shared" si="12"/>
        <v>3.8378000000000002E-2</v>
      </c>
      <c r="R399" s="443">
        <v>2.8524999999999998E-2</v>
      </c>
      <c r="S399" s="443">
        <v>3.8378000000000002E-2</v>
      </c>
    </row>
    <row r="400" spans="14:19">
      <c r="N400" s="440">
        <v>397</v>
      </c>
      <c r="O400" s="441">
        <v>29400</v>
      </c>
      <c r="P400" s="440" t="s">
        <v>825</v>
      </c>
      <c r="Q400" s="442">
        <f t="shared" si="12"/>
        <v>3.8328000000000001E-2</v>
      </c>
      <c r="R400" s="443">
        <v>2.8485E-2</v>
      </c>
      <c r="S400" s="443">
        <v>3.8328000000000001E-2</v>
      </c>
    </row>
    <row r="401" spans="14:19">
      <c r="N401" s="440">
        <v>398</v>
      </c>
      <c r="O401" s="441">
        <v>29500</v>
      </c>
      <c r="P401" s="440" t="s">
        <v>826</v>
      </c>
      <c r="Q401" s="442">
        <f t="shared" si="12"/>
        <v>3.8278E-2</v>
      </c>
      <c r="R401" s="443">
        <v>2.8445000000000002E-2</v>
      </c>
      <c r="S401" s="443">
        <v>3.8278E-2</v>
      </c>
    </row>
    <row r="402" spans="14:19">
      <c r="N402" s="440">
        <v>399</v>
      </c>
      <c r="O402" s="441">
        <v>29600</v>
      </c>
      <c r="P402" s="440" t="s">
        <v>827</v>
      </c>
      <c r="Q402" s="442">
        <f t="shared" si="12"/>
        <v>3.8227999999999998E-2</v>
      </c>
      <c r="R402" s="443">
        <v>2.8405E-2</v>
      </c>
      <c r="S402" s="443">
        <v>3.8227999999999998E-2</v>
      </c>
    </row>
    <row r="403" spans="14:19">
      <c r="N403" s="440">
        <v>400</v>
      </c>
      <c r="O403" s="441">
        <v>29700</v>
      </c>
      <c r="P403" s="440" t="s">
        <v>828</v>
      </c>
      <c r="Q403" s="442">
        <f t="shared" si="12"/>
        <v>3.8178999999999998E-2</v>
      </c>
      <c r="R403" s="443">
        <v>2.8365000000000001E-2</v>
      </c>
      <c r="S403" s="443">
        <v>3.8178999999999998E-2</v>
      </c>
    </row>
    <row r="404" spans="14:19">
      <c r="N404" s="440">
        <v>401</v>
      </c>
      <c r="O404" s="441">
        <v>29800</v>
      </c>
      <c r="P404" s="440" t="s">
        <v>829</v>
      </c>
      <c r="Q404" s="442">
        <f t="shared" si="12"/>
        <v>3.8129000000000003E-2</v>
      </c>
      <c r="R404" s="443">
        <v>2.8326E-2</v>
      </c>
      <c r="S404" s="443">
        <v>3.8129000000000003E-2</v>
      </c>
    </row>
    <row r="405" spans="14:19">
      <c r="N405" s="440">
        <v>402</v>
      </c>
      <c r="O405" s="441">
        <v>29900</v>
      </c>
      <c r="P405" s="440" t="s">
        <v>830</v>
      </c>
      <c r="Q405" s="442">
        <f t="shared" si="12"/>
        <v>3.8080000000000003E-2</v>
      </c>
      <c r="R405" s="443">
        <v>2.8285999999999999E-2</v>
      </c>
      <c r="S405" s="443">
        <v>3.8080000000000003E-2</v>
      </c>
    </row>
    <row r="406" spans="14:19">
      <c r="N406" s="440">
        <v>403</v>
      </c>
      <c r="O406" s="441">
        <v>30000</v>
      </c>
      <c r="P406" s="440" t="s">
        <v>831</v>
      </c>
      <c r="Q406" s="442">
        <f t="shared" si="12"/>
        <v>3.8031000000000002E-2</v>
      </c>
      <c r="R406" s="443">
        <v>2.8247000000000001E-2</v>
      </c>
      <c r="S406" s="443">
        <v>3.8031000000000002E-2</v>
      </c>
    </row>
    <row r="407" spans="14:19">
      <c r="N407" s="440">
        <v>404</v>
      </c>
      <c r="O407" s="441">
        <v>30100</v>
      </c>
      <c r="P407" s="440" t="s">
        <v>832</v>
      </c>
      <c r="Q407" s="442">
        <f t="shared" si="12"/>
        <v>3.7983000000000003E-2</v>
      </c>
      <c r="R407" s="443">
        <v>2.8208E-2</v>
      </c>
      <c r="S407" s="443">
        <v>3.7983000000000003E-2</v>
      </c>
    </row>
    <row r="408" spans="14:19">
      <c r="N408" s="440">
        <v>405</v>
      </c>
      <c r="O408" s="441">
        <v>30200</v>
      </c>
      <c r="P408" s="440" t="s">
        <v>833</v>
      </c>
      <c r="Q408" s="442">
        <f t="shared" si="12"/>
        <v>3.7935000000000003E-2</v>
      </c>
      <c r="R408" s="443">
        <v>2.8169E-2</v>
      </c>
      <c r="S408" s="443">
        <v>3.7935000000000003E-2</v>
      </c>
    </row>
    <row r="409" spans="14:19">
      <c r="N409" s="440">
        <v>406</v>
      </c>
      <c r="O409" s="441">
        <v>30300</v>
      </c>
      <c r="P409" s="440" t="s">
        <v>834</v>
      </c>
      <c r="Q409" s="442">
        <f t="shared" si="12"/>
        <v>3.7886000000000003E-2</v>
      </c>
      <c r="R409" s="443">
        <v>2.8131E-2</v>
      </c>
      <c r="S409" s="443">
        <v>3.7886000000000003E-2</v>
      </c>
    </row>
    <row r="410" spans="14:19">
      <c r="N410" s="440">
        <v>407</v>
      </c>
      <c r="O410" s="441">
        <v>30400</v>
      </c>
      <c r="P410" s="440" t="s">
        <v>835</v>
      </c>
      <c r="Q410" s="442">
        <f t="shared" si="12"/>
        <v>3.7838999999999998E-2</v>
      </c>
      <c r="R410" s="443">
        <v>2.8091999999999999E-2</v>
      </c>
      <c r="S410" s="443">
        <v>3.7838999999999998E-2</v>
      </c>
    </row>
    <row r="411" spans="14:19">
      <c r="N411" s="440">
        <v>408</v>
      </c>
      <c r="O411" s="441">
        <v>30500</v>
      </c>
      <c r="P411" s="440" t="s">
        <v>836</v>
      </c>
      <c r="Q411" s="442">
        <f t="shared" si="12"/>
        <v>3.7790999999999998E-2</v>
      </c>
      <c r="R411" s="443">
        <v>2.8053999999999999E-2</v>
      </c>
      <c r="S411" s="443">
        <v>3.7790999999999998E-2</v>
      </c>
    </row>
    <row r="412" spans="14:19">
      <c r="N412" s="440">
        <v>409</v>
      </c>
      <c r="O412" s="441">
        <v>30600</v>
      </c>
      <c r="P412" s="440" t="s">
        <v>837</v>
      </c>
      <c r="Q412" s="442">
        <f t="shared" si="12"/>
        <v>3.7742999999999999E-2</v>
      </c>
      <c r="R412" s="443">
        <v>2.8015999999999999E-2</v>
      </c>
      <c r="S412" s="443">
        <v>3.7742999999999999E-2</v>
      </c>
    </row>
    <row r="413" spans="14:19">
      <c r="N413" s="440">
        <v>410</v>
      </c>
      <c r="O413" s="441">
        <v>30700</v>
      </c>
      <c r="P413" s="440" t="s">
        <v>838</v>
      </c>
      <c r="Q413" s="442">
        <f t="shared" si="12"/>
        <v>3.7696E-2</v>
      </c>
      <c r="R413" s="443">
        <v>2.7977999999999999E-2</v>
      </c>
      <c r="S413" s="443">
        <v>3.7696E-2</v>
      </c>
    </row>
    <row r="414" spans="14:19">
      <c r="N414" s="440">
        <v>411</v>
      </c>
      <c r="O414" s="441">
        <v>30800</v>
      </c>
      <c r="P414" s="440" t="s">
        <v>839</v>
      </c>
      <c r="Q414" s="442">
        <f t="shared" si="12"/>
        <v>3.7649000000000002E-2</v>
      </c>
      <c r="R414" s="443">
        <v>2.794E-2</v>
      </c>
      <c r="S414" s="443">
        <v>3.7649000000000002E-2</v>
      </c>
    </row>
    <row r="415" spans="14:19">
      <c r="N415" s="440">
        <v>412</v>
      </c>
      <c r="O415" s="441">
        <v>30900</v>
      </c>
      <c r="P415" s="440" t="s">
        <v>840</v>
      </c>
      <c r="Q415" s="442">
        <f t="shared" si="12"/>
        <v>3.7601999999999997E-2</v>
      </c>
      <c r="R415" s="443">
        <v>2.7903000000000001E-2</v>
      </c>
      <c r="S415" s="443">
        <v>3.7601999999999997E-2</v>
      </c>
    </row>
    <row r="416" spans="14:19">
      <c r="N416" s="440">
        <v>413</v>
      </c>
      <c r="O416" s="441">
        <v>31000</v>
      </c>
      <c r="P416" s="440" t="s">
        <v>841</v>
      </c>
      <c r="Q416" s="442">
        <f t="shared" si="12"/>
        <v>3.7555999999999999E-2</v>
      </c>
      <c r="R416" s="443">
        <v>2.7865000000000001E-2</v>
      </c>
      <c r="S416" s="443">
        <v>3.7555999999999999E-2</v>
      </c>
    </row>
    <row r="417" spans="14:19">
      <c r="N417" s="440">
        <v>414</v>
      </c>
      <c r="O417" s="441">
        <v>31100</v>
      </c>
      <c r="P417" s="440" t="s">
        <v>842</v>
      </c>
      <c r="Q417" s="442">
        <f t="shared" si="12"/>
        <v>3.7509000000000001E-2</v>
      </c>
      <c r="R417" s="443">
        <v>2.7827999999999999E-2</v>
      </c>
      <c r="S417" s="443">
        <v>3.7509000000000001E-2</v>
      </c>
    </row>
    <row r="418" spans="14:19">
      <c r="N418" s="440">
        <v>415</v>
      </c>
      <c r="O418" s="441">
        <v>31200</v>
      </c>
      <c r="P418" s="440" t="s">
        <v>843</v>
      </c>
      <c r="Q418" s="442">
        <f t="shared" si="12"/>
        <v>3.7463000000000003E-2</v>
      </c>
      <c r="R418" s="443">
        <v>2.7791E-2</v>
      </c>
      <c r="S418" s="443">
        <v>3.7463000000000003E-2</v>
      </c>
    </row>
    <row r="419" spans="14:19">
      <c r="N419" s="440">
        <v>416</v>
      </c>
      <c r="O419" s="441">
        <v>31300</v>
      </c>
      <c r="P419" s="440" t="s">
        <v>844</v>
      </c>
      <c r="Q419" s="442">
        <f t="shared" si="12"/>
        <v>3.7416999999999999E-2</v>
      </c>
      <c r="R419" s="443">
        <v>2.7754000000000001E-2</v>
      </c>
      <c r="S419" s="443">
        <v>3.7416999999999999E-2</v>
      </c>
    </row>
    <row r="420" spans="14:19">
      <c r="N420" s="440">
        <v>417</v>
      </c>
      <c r="O420" s="441">
        <v>31400</v>
      </c>
      <c r="P420" s="440" t="s">
        <v>845</v>
      </c>
      <c r="Q420" s="442">
        <f t="shared" si="12"/>
        <v>3.7371000000000001E-2</v>
      </c>
      <c r="R420" s="443">
        <v>2.7716999999999999E-2</v>
      </c>
      <c r="S420" s="443">
        <v>3.7371000000000001E-2</v>
      </c>
    </row>
    <row r="421" spans="14:19">
      <c r="N421" s="440">
        <v>418</v>
      </c>
      <c r="O421" s="441">
        <v>31500</v>
      </c>
      <c r="P421" s="440" t="s">
        <v>846</v>
      </c>
      <c r="Q421" s="442">
        <f t="shared" si="12"/>
        <v>3.7325999999999998E-2</v>
      </c>
      <c r="R421" s="443">
        <v>2.7681000000000001E-2</v>
      </c>
      <c r="S421" s="443">
        <v>3.7325999999999998E-2</v>
      </c>
    </row>
    <row r="422" spans="14:19">
      <c r="N422" s="440">
        <v>419</v>
      </c>
      <c r="O422" s="441">
        <v>31600</v>
      </c>
      <c r="P422" s="440" t="s">
        <v>847</v>
      </c>
      <c r="Q422" s="442">
        <f t="shared" si="12"/>
        <v>3.7280000000000001E-2</v>
      </c>
      <c r="R422" s="443">
        <v>2.7643999999999998E-2</v>
      </c>
      <c r="S422" s="443">
        <v>3.7280000000000001E-2</v>
      </c>
    </row>
    <row r="423" spans="14:19">
      <c r="N423" s="440">
        <v>420</v>
      </c>
      <c r="O423" s="441">
        <v>31700</v>
      </c>
      <c r="P423" s="440" t="s">
        <v>848</v>
      </c>
      <c r="Q423" s="442">
        <f t="shared" si="12"/>
        <v>3.7234999999999997E-2</v>
      </c>
      <c r="R423" s="443">
        <v>2.7608000000000001E-2</v>
      </c>
      <c r="S423" s="443">
        <v>3.7234999999999997E-2</v>
      </c>
    </row>
    <row r="424" spans="14:19">
      <c r="N424" s="440">
        <v>421</v>
      </c>
      <c r="O424" s="441">
        <v>31800</v>
      </c>
      <c r="P424" s="440" t="s">
        <v>849</v>
      </c>
      <c r="Q424" s="442">
        <f t="shared" si="12"/>
        <v>3.7190000000000001E-2</v>
      </c>
      <c r="R424" s="443">
        <v>2.7571999999999999E-2</v>
      </c>
      <c r="S424" s="443">
        <v>3.7190000000000001E-2</v>
      </c>
    </row>
    <row r="425" spans="14:19">
      <c r="N425" s="440">
        <v>422</v>
      </c>
      <c r="O425" s="441">
        <v>31900</v>
      </c>
      <c r="P425" s="440" t="s">
        <v>850</v>
      </c>
      <c r="Q425" s="442">
        <f t="shared" si="12"/>
        <v>3.7144999999999997E-2</v>
      </c>
      <c r="R425" s="443">
        <v>2.7536000000000001E-2</v>
      </c>
      <c r="S425" s="443">
        <v>3.7144999999999997E-2</v>
      </c>
    </row>
    <row r="426" spans="14:19">
      <c r="N426" s="440">
        <v>423</v>
      </c>
      <c r="O426" s="441">
        <v>32000</v>
      </c>
      <c r="P426" s="440" t="s">
        <v>851</v>
      </c>
      <c r="Q426" s="442">
        <f t="shared" si="12"/>
        <v>3.7101000000000002E-2</v>
      </c>
      <c r="R426" s="443">
        <v>2.7501000000000001E-2</v>
      </c>
      <c r="S426" s="443">
        <v>3.7101000000000002E-2</v>
      </c>
    </row>
    <row r="427" spans="14:19">
      <c r="N427" s="440">
        <v>424</v>
      </c>
      <c r="O427" s="441">
        <v>32100</v>
      </c>
      <c r="P427" s="440" t="s">
        <v>852</v>
      </c>
      <c r="Q427" s="442">
        <f t="shared" si="12"/>
        <v>3.7055999999999999E-2</v>
      </c>
      <c r="R427" s="443">
        <v>2.7465E-2</v>
      </c>
      <c r="S427" s="443">
        <v>3.7055999999999999E-2</v>
      </c>
    </row>
    <row r="428" spans="14:19">
      <c r="N428" s="440">
        <v>425</v>
      </c>
      <c r="O428" s="441">
        <v>32200</v>
      </c>
      <c r="P428" s="440" t="s">
        <v>853</v>
      </c>
      <c r="Q428" s="442">
        <f t="shared" si="12"/>
        <v>3.7012000000000003E-2</v>
      </c>
      <c r="R428" s="443">
        <v>2.743E-2</v>
      </c>
      <c r="S428" s="443">
        <v>3.7012000000000003E-2</v>
      </c>
    </row>
    <row r="429" spans="14:19">
      <c r="N429" s="440">
        <v>426</v>
      </c>
      <c r="O429" s="441">
        <v>32300</v>
      </c>
      <c r="P429" s="440" t="s">
        <v>854</v>
      </c>
      <c r="Q429" s="442">
        <f t="shared" si="12"/>
        <v>3.6968000000000001E-2</v>
      </c>
      <c r="R429" s="443">
        <v>2.7394000000000002E-2</v>
      </c>
      <c r="S429" s="443">
        <v>3.6968000000000001E-2</v>
      </c>
    </row>
    <row r="430" spans="14:19">
      <c r="N430" s="440">
        <v>427</v>
      </c>
      <c r="O430" s="441">
        <v>32400</v>
      </c>
      <c r="P430" s="440" t="s">
        <v>855</v>
      </c>
      <c r="Q430" s="442">
        <f t="shared" si="12"/>
        <v>3.6923999999999998E-2</v>
      </c>
      <c r="R430" s="443">
        <v>2.7359000000000001E-2</v>
      </c>
      <c r="S430" s="443">
        <v>3.6923999999999998E-2</v>
      </c>
    </row>
    <row r="431" spans="14:19">
      <c r="N431" s="440">
        <v>428</v>
      </c>
      <c r="O431" s="441">
        <v>32500</v>
      </c>
      <c r="P431" s="440" t="s">
        <v>856</v>
      </c>
      <c r="Q431" s="442">
        <f t="shared" si="12"/>
        <v>3.6880000000000003E-2</v>
      </c>
      <c r="R431" s="443">
        <v>2.7324000000000001E-2</v>
      </c>
      <c r="S431" s="443">
        <v>3.6880000000000003E-2</v>
      </c>
    </row>
    <row r="432" spans="14:19">
      <c r="N432" s="440">
        <v>429</v>
      </c>
      <c r="O432" s="441">
        <v>32600</v>
      </c>
      <c r="P432" s="440" t="s">
        <v>857</v>
      </c>
      <c r="Q432" s="442">
        <f t="shared" si="12"/>
        <v>3.6837000000000002E-2</v>
      </c>
      <c r="R432" s="443">
        <v>2.7289000000000001E-2</v>
      </c>
      <c r="S432" s="443">
        <v>3.6837000000000002E-2</v>
      </c>
    </row>
    <row r="433" spans="14:19">
      <c r="N433" s="440">
        <v>430</v>
      </c>
      <c r="O433" s="441">
        <v>32700</v>
      </c>
      <c r="P433" s="440" t="s">
        <v>858</v>
      </c>
      <c r="Q433" s="442">
        <f t="shared" si="12"/>
        <v>3.6794E-2</v>
      </c>
      <c r="R433" s="443">
        <v>2.7255000000000001E-2</v>
      </c>
      <c r="S433" s="443">
        <v>3.6794E-2</v>
      </c>
    </row>
    <row r="434" spans="14:19">
      <c r="N434" s="440">
        <v>431</v>
      </c>
      <c r="O434" s="441">
        <v>32800</v>
      </c>
      <c r="P434" s="440" t="s">
        <v>859</v>
      </c>
      <c r="Q434" s="442">
        <f t="shared" si="12"/>
        <v>3.6749999999999998E-2</v>
      </c>
      <c r="R434" s="443">
        <v>2.7220000000000001E-2</v>
      </c>
      <c r="S434" s="443">
        <v>3.6749999999999998E-2</v>
      </c>
    </row>
    <row r="435" spans="14:19">
      <c r="N435" s="440">
        <v>432</v>
      </c>
      <c r="O435" s="441">
        <v>32900</v>
      </c>
      <c r="P435" s="440" t="s">
        <v>860</v>
      </c>
      <c r="Q435" s="442">
        <f t="shared" si="12"/>
        <v>3.6707999999999998E-2</v>
      </c>
      <c r="R435" s="443">
        <v>2.7185999999999998E-2</v>
      </c>
      <c r="S435" s="443">
        <v>3.6707999999999998E-2</v>
      </c>
    </row>
    <row r="436" spans="14:19">
      <c r="N436" s="440">
        <v>433</v>
      </c>
      <c r="O436" s="441">
        <v>33000</v>
      </c>
      <c r="P436" s="440" t="s">
        <v>861</v>
      </c>
      <c r="Q436" s="442">
        <f t="shared" si="12"/>
        <v>3.6665000000000003E-2</v>
      </c>
      <c r="R436" s="443">
        <v>2.7151999999999999E-2</v>
      </c>
      <c r="S436" s="443">
        <v>3.6665000000000003E-2</v>
      </c>
    </row>
    <row r="437" spans="14:19">
      <c r="N437" s="440">
        <v>434</v>
      </c>
      <c r="O437" s="441">
        <v>33100</v>
      </c>
      <c r="P437" s="440" t="s">
        <v>862</v>
      </c>
      <c r="Q437" s="442">
        <f t="shared" si="12"/>
        <v>3.6622000000000002E-2</v>
      </c>
      <c r="R437" s="443">
        <v>2.7118E-2</v>
      </c>
      <c r="S437" s="443">
        <v>3.6622000000000002E-2</v>
      </c>
    </row>
    <row r="438" spans="14:19">
      <c r="N438" s="440">
        <v>435</v>
      </c>
      <c r="O438" s="441">
        <v>33200</v>
      </c>
      <c r="P438" s="440" t="s">
        <v>863</v>
      </c>
      <c r="Q438" s="442">
        <f t="shared" si="12"/>
        <v>3.6580000000000001E-2</v>
      </c>
      <c r="R438" s="443">
        <v>2.7084E-2</v>
      </c>
      <c r="S438" s="443">
        <v>3.6580000000000001E-2</v>
      </c>
    </row>
    <row r="439" spans="14:19">
      <c r="N439" s="440">
        <v>436</v>
      </c>
      <c r="O439" s="441">
        <v>33300</v>
      </c>
      <c r="P439" s="440" t="s">
        <v>864</v>
      </c>
      <c r="Q439" s="442">
        <f t="shared" si="12"/>
        <v>3.6538000000000001E-2</v>
      </c>
      <c r="R439" s="443">
        <v>2.7050000000000001E-2</v>
      </c>
      <c r="S439" s="443">
        <v>3.6538000000000001E-2</v>
      </c>
    </row>
    <row r="440" spans="14:19">
      <c r="N440" s="440">
        <v>437</v>
      </c>
      <c r="O440" s="441">
        <v>33400</v>
      </c>
      <c r="P440" s="440" t="s">
        <v>865</v>
      </c>
      <c r="Q440" s="442">
        <f t="shared" si="12"/>
        <v>3.6496000000000001E-2</v>
      </c>
      <c r="R440" s="443">
        <v>2.7015999999999998E-2</v>
      </c>
      <c r="S440" s="443">
        <v>3.6496000000000001E-2</v>
      </c>
    </row>
    <row r="441" spans="14:19">
      <c r="N441" s="440">
        <v>438</v>
      </c>
      <c r="O441" s="441">
        <v>33500</v>
      </c>
      <c r="P441" s="440" t="s">
        <v>866</v>
      </c>
      <c r="Q441" s="442">
        <f t="shared" si="12"/>
        <v>3.6454E-2</v>
      </c>
      <c r="R441" s="443">
        <v>2.6983E-2</v>
      </c>
      <c r="S441" s="443">
        <v>3.6454E-2</v>
      </c>
    </row>
    <row r="442" spans="14:19">
      <c r="N442" s="440">
        <v>439</v>
      </c>
      <c r="O442" s="441">
        <v>33600</v>
      </c>
      <c r="P442" s="440" t="s">
        <v>867</v>
      </c>
      <c r="Q442" s="442">
        <f t="shared" si="12"/>
        <v>3.6412E-2</v>
      </c>
      <c r="R442" s="443">
        <v>2.6949000000000001E-2</v>
      </c>
      <c r="S442" s="443">
        <v>3.6412E-2</v>
      </c>
    </row>
    <row r="443" spans="14:19">
      <c r="N443" s="440">
        <v>440</v>
      </c>
      <c r="O443" s="441">
        <v>33700</v>
      </c>
      <c r="P443" s="440" t="s">
        <v>868</v>
      </c>
      <c r="Q443" s="442">
        <f t="shared" si="12"/>
        <v>3.637E-2</v>
      </c>
      <c r="R443" s="443">
        <v>2.6915999999999999E-2</v>
      </c>
      <c r="S443" s="443">
        <v>3.637E-2</v>
      </c>
    </row>
    <row r="444" spans="14:19">
      <c r="N444" s="440">
        <v>441</v>
      </c>
      <c r="O444" s="441">
        <v>33800</v>
      </c>
      <c r="P444" s="440" t="s">
        <v>869</v>
      </c>
      <c r="Q444" s="442">
        <f t="shared" si="12"/>
        <v>3.6329E-2</v>
      </c>
      <c r="R444" s="443">
        <v>2.6883000000000001E-2</v>
      </c>
      <c r="S444" s="443">
        <v>3.6329E-2</v>
      </c>
    </row>
    <row r="445" spans="14:19">
      <c r="N445" s="440">
        <v>442</v>
      </c>
      <c r="O445" s="441">
        <v>33900</v>
      </c>
      <c r="P445" s="440" t="s">
        <v>870</v>
      </c>
      <c r="Q445" s="442">
        <f t="shared" si="12"/>
        <v>3.6288000000000001E-2</v>
      </c>
      <c r="R445" s="443">
        <v>2.6849999999999999E-2</v>
      </c>
      <c r="S445" s="443">
        <v>3.6288000000000001E-2</v>
      </c>
    </row>
    <row r="446" spans="14:19">
      <c r="N446" s="440">
        <v>443</v>
      </c>
      <c r="O446" s="441">
        <v>34000</v>
      </c>
      <c r="P446" s="440" t="s">
        <v>871</v>
      </c>
      <c r="Q446" s="442">
        <f t="shared" si="12"/>
        <v>3.6247000000000001E-2</v>
      </c>
      <c r="R446" s="443">
        <v>2.6817000000000001E-2</v>
      </c>
      <c r="S446" s="443">
        <v>3.6247000000000001E-2</v>
      </c>
    </row>
    <row r="447" spans="14:19">
      <c r="N447" s="440">
        <v>444</v>
      </c>
      <c r="O447" s="441">
        <v>34100</v>
      </c>
      <c r="P447" s="440" t="s">
        <v>872</v>
      </c>
      <c r="Q447" s="442">
        <f t="shared" si="12"/>
        <v>3.6206000000000002E-2</v>
      </c>
      <c r="R447" s="443">
        <v>2.6785E-2</v>
      </c>
      <c r="S447" s="443">
        <v>3.6206000000000002E-2</v>
      </c>
    </row>
    <row r="448" spans="14:19">
      <c r="N448" s="440">
        <v>445</v>
      </c>
      <c r="O448" s="441">
        <v>34200</v>
      </c>
      <c r="P448" s="440" t="s">
        <v>873</v>
      </c>
      <c r="Q448" s="442">
        <f t="shared" si="12"/>
        <v>3.6165000000000003E-2</v>
      </c>
      <c r="R448" s="443">
        <v>2.6752000000000001E-2</v>
      </c>
      <c r="S448" s="443">
        <v>3.6165000000000003E-2</v>
      </c>
    </row>
    <row r="449" spans="14:19">
      <c r="N449" s="440">
        <v>446</v>
      </c>
      <c r="O449" s="441">
        <v>34300</v>
      </c>
      <c r="P449" s="440" t="s">
        <v>874</v>
      </c>
      <c r="Q449" s="442">
        <f t="shared" si="12"/>
        <v>3.6124999999999997E-2</v>
      </c>
      <c r="R449" s="443">
        <v>2.6720000000000001E-2</v>
      </c>
      <c r="S449" s="443">
        <v>3.6124999999999997E-2</v>
      </c>
    </row>
    <row r="450" spans="14:19">
      <c r="N450" s="440">
        <v>447</v>
      </c>
      <c r="O450" s="441">
        <v>34400</v>
      </c>
      <c r="P450" s="440" t="s">
        <v>875</v>
      </c>
      <c r="Q450" s="442">
        <f t="shared" si="12"/>
        <v>3.6083999999999998E-2</v>
      </c>
      <c r="R450" s="443">
        <v>2.6686999999999999E-2</v>
      </c>
      <c r="S450" s="443">
        <v>3.6083999999999998E-2</v>
      </c>
    </row>
    <row r="451" spans="14:19">
      <c r="N451" s="440">
        <v>448</v>
      </c>
      <c r="O451" s="441">
        <v>34500</v>
      </c>
      <c r="P451" s="440" t="s">
        <v>876</v>
      </c>
      <c r="Q451" s="442">
        <f t="shared" si="12"/>
        <v>3.6044E-2</v>
      </c>
      <c r="R451" s="443">
        <v>2.6655000000000002E-2</v>
      </c>
      <c r="S451" s="443">
        <v>3.6044E-2</v>
      </c>
    </row>
    <row r="452" spans="14:19">
      <c r="N452" s="440">
        <v>449</v>
      </c>
      <c r="O452" s="441">
        <v>34600</v>
      </c>
      <c r="P452" s="440" t="s">
        <v>877</v>
      </c>
      <c r="Q452" s="442">
        <f t="shared" si="12"/>
        <v>3.6004000000000001E-2</v>
      </c>
      <c r="R452" s="443">
        <v>2.6623000000000001E-2</v>
      </c>
      <c r="S452" s="443">
        <v>3.6004000000000001E-2</v>
      </c>
    </row>
    <row r="453" spans="14:19">
      <c r="N453" s="440">
        <v>450</v>
      </c>
      <c r="O453" s="441">
        <v>34700</v>
      </c>
      <c r="P453" s="440" t="s">
        <v>878</v>
      </c>
      <c r="Q453" s="442">
        <f t="shared" ref="Q453:Q516" si="13">+S453</f>
        <v>3.5964000000000003E-2</v>
      </c>
      <c r="R453" s="443">
        <v>2.6591E-2</v>
      </c>
      <c r="S453" s="443">
        <v>3.5964000000000003E-2</v>
      </c>
    </row>
    <row r="454" spans="14:19">
      <c r="N454" s="440">
        <v>451</v>
      </c>
      <c r="O454" s="441">
        <v>34800</v>
      </c>
      <c r="P454" s="440" t="s">
        <v>879</v>
      </c>
      <c r="Q454" s="442">
        <f t="shared" si="13"/>
        <v>3.5924999999999999E-2</v>
      </c>
      <c r="R454" s="443">
        <v>2.656E-2</v>
      </c>
      <c r="S454" s="443">
        <v>3.5924999999999999E-2</v>
      </c>
    </row>
    <row r="455" spans="14:19">
      <c r="N455" s="440">
        <v>452</v>
      </c>
      <c r="O455" s="441">
        <v>34900</v>
      </c>
      <c r="P455" s="440" t="s">
        <v>880</v>
      </c>
      <c r="Q455" s="442">
        <f t="shared" si="13"/>
        <v>3.5885E-2</v>
      </c>
      <c r="R455" s="443">
        <v>2.6527999999999999E-2</v>
      </c>
      <c r="S455" s="443">
        <v>3.5885E-2</v>
      </c>
    </row>
    <row r="456" spans="14:19">
      <c r="N456" s="440">
        <v>453</v>
      </c>
      <c r="O456" s="441">
        <v>35000</v>
      </c>
      <c r="P456" s="440" t="s">
        <v>881</v>
      </c>
      <c r="Q456" s="442">
        <f t="shared" si="13"/>
        <v>3.5846000000000003E-2</v>
      </c>
      <c r="R456" s="443">
        <v>2.6497E-2</v>
      </c>
      <c r="S456" s="443">
        <v>3.5846000000000003E-2</v>
      </c>
    </row>
    <row r="457" spans="14:19">
      <c r="N457" s="440">
        <v>454</v>
      </c>
      <c r="O457" s="441">
        <v>35100</v>
      </c>
      <c r="P457" s="440" t="s">
        <v>882</v>
      </c>
      <c r="Q457" s="442">
        <f t="shared" si="13"/>
        <v>3.5805999999999998E-2</v>
      </c>
      <c r="R457" s="443">
        <v>2.6464999999999999E-2</v>
      </c>
      <c r="S457" s="443">
        <v>3.5805999999999998E-2</v>
      </c>
    </row>
    <row r="458" spans="14:19">
      <c r="N458" s="440">
        <v>455</v>
      </c>
      <c r="O458" s="441">
        <v>35200</v>
      </c>
      <c r="P458" s="440" t="s">
        <v>883</v>
      </c>
      <c r="Q458" s="442">
        <f t="shared" si="13"/>
        <v>3.5767E-2</v>
      </c>
      <c r="R458" s="443">
        <v>2.6433999999999999E-2</v>
      </c>
      <c r="S458" s="443">
        <v>3.5767E-2</v>
      </c>
    </row>
    <row r="459" spans="14:19">
      <c r="N459" s="440">
        <v>456</v>
      </c>
      <c r="O459" s="441">
        <v>35300</v>
      </c>
      <c r="P459" s="440" t="s">
        <v>884</v>
      </c>
      <c r="Q459" s="442">
        <f t="shared" si="13"/>
        <v>3.5728000000000003E-2</v>
      </c>
      <c r="R459" s="443">
        <v>2.6402999999999999E-2</v>
      </c>
      <c r="S459" s="443">
        <v>3.5728000000000003E-2</v>
      </c>
    </row>
    <row r="460" spans="14:19">
      <c r="N460" s="440">
        <v>457</v>
      </c>
      <c r="O460" s="441">
        <v>35400</v>
      </c>
      <c r="P460" s="440" t="s">
        <v>885</v>
      </c>
      <c r="Q460" s="442">
        <f t="shared" si="13"/>
        <v>3.569E-2</v>
      </c>
      <c r="R460" s="443">
        <v>2.6372E-2</v>
      </c>
      <c r="S460" s="443">
        <v>3.569E-2</v>
      </c>
    </row>
    <row r="461" spans="14:19">
      <c r="N461" s="440">
        <v>458</v>
      </c>
      <c r="O461" s="441">
        <v>35500</v>
      </c>
      <c r="P461" s="440" t="s">
        <v>886</v>
      </c>
      <c r="Q461" s="442">
        <f t="shared" si="13"/>
        <v>3.5651000000000002E-2</v>
      </c>
      <c r="R461" s="443">
        <v>2.6341E-2</v>
      </c>
      <c r="S461" s="443">
        <v>3.5651000000000002E-2</v>
      </c>
    </row>
    <row r="462" spans="14:19">
      <c r="N462" s="440">
        <v>459</v>
      </c>
      <c r="O462" s="441">
        <v>35600</v>
      </c>
      <c r="P462" s="440" t="s">
        <v>887</v>
      </c>
      <c r="Q462" s="442">
        <f t="shared" si="13"/>
        <v>3.5611999999999998E-2</v>
      </c>
      <c r="R462" s="443">
        <v>2.631E-2</v>
      </c>
      <c r="S462" s="443">
        <v>3.5611999999999998E-2</v>
      </c>
    </row>
    <row r="463" spans="14:19">
      <c r="N463" s="440">
        <v>460</v>
      </c>
      <c r="O463" s="441">
        <v>35700</v>
      </c>
      <c r="P463" s="440" t="s">
        <v>888</v>
      </c>
      <c r="Q463" s="442">
        <f t="shared" si="13"/>
        <v>3.5574000000000001E-2</v>
      </c>
      <c r="R463" s="443">
        <v>2.6280000000000001E-2</v>
      </c>
      <c r="S463" s="443">
        <v>3.5574000000000001E-2</v>
      </c>
    </row>
    <row r="464" spans="14:19">
      <c r="N464" s="440">
        <v>461</v>
      </c>
      <c r="O464" s="441">
        <v>35800</v>
      </c>
      <c r="P464" s="440" t="s">
        <v>889</v>
      </c>
      <c r="Q464" s="442">
        <f t="shared" si="13"/>
        <v>3.5535999999999998E-2</v>
      </c>
      <c r="R464" s="443">
        <v>2.6249000000000001E-2</v>
      </c>
      <c r="S464" s="443">
        <v>3.5535999999999998E-2</v>
      </c>
    </row>
    <row r="465" spans="14:19">
      <c r="N465" s="440">
        <v>462</v>
      </c>
      <c r="O465" s="441">
        <v>35900</v>
      </c>
      <c r="P465" s="440" t="s">
        <v>890</v>
      </c>
      <c r="Q465" s="442">
        <f t="shared" si="13"/>
        <v>3.5498000000000002E-2</v>
      </c>
      <c r="R465" s="443">
        <v>2.6218999999999999E-2</v>
      </c>
      <c r="S465" s="443">
        <v>3.5498000000000002E-2</v>
      </c>
    </row>
    <row r="466" spans="14:19">
      <c r="N466" s="440">
        <v>463</v>
      </c>
      <c r="O466" s="441">
        <v>36000</v>
      </c>
      <c r="P466" s="440" t="s">
        <v>891</v>
      </c>
      <c r="Q466" s="442">
        <f t="shared" si="13"/>
        <v>3.5459999999999998E-2</v>
      </c>
      <c r="R466" s="443">
        <v>2.6189E-2</v>
      </c>
      <c r="S466" s="443">
        <v>3.5459999999999998E-2</v>
      </c>
    </row>
    <row r="467" spans="14:19">
      <c r="N467" s="440">
        <v>464</v>
      </c>
      <c r="O467" s="441">
        <v>36100</v>
      </c>
      <c r="P467" s="440" t="s">
        <v>892</v>
      </c>
      <c r="Q467" s="442">
        <f t="shared" si="13"/>
        <v>3.5422000000000002E-2</v>
      </c>
      <c r="R467" s="443">
        <v>2.6159000000000002E-2</v>
      </c>
      <c r="S467" s="443">
        <v>3.5422000000000002E-2</v>
      </c>
    </row>
    <row r="468" spans="14:19">
      <c r="N468" s="440">
        <v>465</v>
      </c>
      <c r="O468" s="441">
        <v>36200</v>
      </c>
      <c r="P468" s="440" t="s">
        <v>893</v>
      </c>
      <c r="Q468" s="442">
        <f t="shared" si="13"/>
        <v>3.5385E-2</v>
      </c>
      <c r="R468" s="443">
        <v>2.6128999999999999E-2</v>
      </c>
      <c r="S468" s="443">
        <v>3.5385E-2</v>
      </c>
    </row>
    <row r="469" spans="14:19">
      <c r="N469" s="440">
        <v>466</v>
      </c>
      <c r="O469" s="441">
        <v>36300</v>
      </c>
      <c r="P469" s="440" t="s">
        <v>894</v>
      </c>
      <c r="Q469" s="442">
        <f t="shared" si="13"/>
        <v>3.5347000000000003E-2</v>
      </c>
      <c r="R469" s="443">
        <v>2.6099000000000001E-2</v>
      </c>
      <c r="S469" s="443">
        <v>3.5347000000000003E-2</v>
      </c>
    </row>
    <row r="470" spans="14:19">
      <c r="N470" s="440">
        <v>467</v>
      </c>
      <c r="O470" s="441">
        <v>36400</v>
      </c>
      <c r="P470" s="440" t="s">
        <v>895</v>
      </c>
      <c r="Q470" s="442">
        <f t="shared" si="13"/>
        <v>3.5310000000000001E-2</v>
      </c>
      <c r="R470" s="443">
        <v>2.6068999999999998E-2</v>
      </c>
      <c r="S470" s="443">
        <v>3.5310000000000001E-2</v>
      </c>
    </row>
    <row r="471" spans="14:19">
      <c r="N471" s="440">
        <v>468</v>
      </c>
      <c r="O471" s="441">
        <v>36500</v>
      </c>
      <c r="P471" s="440" t="s">
        <v>896</v>
      </c>
      <c r="Q471" s="442">
        <f t="shared" si="13"/>
        <v>3.5272999999999999E-2</v>
      </c>
      <c r="R471" s="443">
        <v>2.6039E-2</v>
      </c>
      <c r="S471" s="443">
        <v>3.5272999999999999E-2</v>
      </c>
    </row>
    <row r="472" spans="14:19">
      <c r="N472" s="440">
        <v>469</v>
      </c>
      <c r="O472" s="441">
        <v>36600</v>
      </c>
      <c r="P472" s="440" t="s">
        <v>897</v>
      </c>
      <c r="Q472" s="442">
        <f t="shared" si="13"/>
        <v>3.5236000000000003E-2</v>
      </c>
      <c r="R472" s="443">
        <v>2.6009999999999998E-2</v>
      </c>
      <c r="S472" s="443">
        <v>3.5236000000000003E-2</v>
      </c>
    </row>
    <row r="473" spans="14:19">
      <c r="N473" s="440">
        <v>470</v>
      </c>
      <c r="O473" s="441">
        <v>36700</v>
      </c>
      <c r="P473" s="440" t="s">
        <v>898</v>
      </c>
      <c r="Q473" s="442">
        <f t="shared" si="13"/>
        <v>3.5199000000000001E-2</v>
      </c>
      <c r="R473" s="443">
        <v>2.598E-2</v>
      </c>
      <c r="S473" s="443">
        <v>3.5199000000000001E-2</v>
      </c>
    </row>
    <row r="474" spans="14:19">
      <c r="N474" s="440">
        <v>471</v>
      </c>
      <c r="O474" s="441">
        <v>36800</v>
      </c>
      <c r="P474" s="440" t="s">
        <v>899</v>
      </c>
      <c r="Q474" s="442">
        <f t="shared" si="13"/>
        <v>3.5161999999999999E-2</v>
      </c>
      <c r="R474" s="443">
        <v>2.5950999999999998E-2</v>
      </c>
      <c r="S474" s="443">
        <v>3.5161999999999999E-2</v>
      </c>
    </row>
    <row r="475" spans="14:19">
      <c r="N475" s="440">
        <v>472</v>
      </c>
      <c r="O475" s="441">
        <v>36900</v>
      </c>
      <c r="P475" s="440" t="s">
        <v>900</v>
      </c>
      <c r="Q475" s="442">
        <f t="shared" si="13"/>
        <v>3.5125000000000003E-2</v>
      </c>
      <c r="R475" s="443">
        <v>2.5922000000000001E-2</v>
      </c>
      <c r="S475" s="443">
        <v>3.5125000000000003E-2</v>
      </c>
    </row>
    <row r="476" spans="14:19">
      <c r="N476" s="440">
        <v>473</v>
      </c>
      <c r="O476" s="441">
        <v>37000</v>
      </c>
      <c r="P476" s="440" t="s">
        <v>901</v>
      </c>
      <c r="Q476" s="442">
        <f t="shared" si="13"/>
        <v>3.5089000000000002E-2</v>
      </c>
      <c r="R476" s="443">
        <v>2.5892999999999999E-2</v>
      </c>
      <c r="S476" s="443">
        <v>3.5089000000000002E-2</v>
      </c>
    </row>
    <row r="477" spans="14:19">
      <c r="N477" s="440">
        <v>474</v>
      </c>
      <c r="O477" s="441">
        <v>37100</v>
      </c>
      <c r="P477" s="440" t="s">
        <v>902</v>
      </c>
      <c r="Q477" s="442">
        <f t="shared" si="13"/>
        <v>3.5053000000000001E-2</v>
      </c>
      <c r="R477" s="443">
        <v>2.5864000000000002E-2</v>
      </c>
      <c r="S477" s="443">
        <v>3.5053000000000001E-2</v>
      </c>
    </row>
    <row r="478" spans="14:19">
      <c r="N478" s="440">
        <v>475</v>
      </c>
      <c r="O478" s="441">
        <v>37200</v>
      </c>
      <c r="P478" s="440" t="s">
        <v>903</v>
      </c>
      <c r="Q478" s="442">
        <f t="shared" si="13"/>
        <v>3.5015999999999999E-2</v>
      </c>
      <c r="R478" s="443">
        <v>2.5835E-2</v>
      </c>
      <c r="S478" s="443">
        <v>3.5015999999999999E-2</v>
      </c>
    </row>
    <row r="479" spans="14:19">
      <c r="N479" s="440">
        <v>476</v>
      </c>
      <c r="O479" s="441">
        <v>37300</v>
      </c>
      <c r="P479" s="440" t="s">
        <v>904</v>
      </c>
      <c r="Q479" s="442">
        <f t="shared" si="13"/>
        <v>3.4979999999999997E-2</v>
      </c>
      <c r="R479" s="443">
        <v>2.5805999999999999E-2</v>
      </c>
      <c r="S479" s="443">
        <v>3.4979999999999997E-2</v>
      </c>
    </row>
    <row r="480" spans="14:19">
      <c r="N480" s="440">
        <v>477</v>
      </c>
      <c r="O480" s="441">
        <v>37400</v>
      </c>
      <c r="P480" s="440" t="s">
        <v>905</v>
      </c>
      <c r="Q480" s="442">
        <f t="shared" si="13"/>
        <v>3.4944000000000003E-2</v>
      </c>
      <c r="R480" s="443">
        <v>2.5777000000000001E-2</v>
      </c>
      <c r="S480" s="443">
        <v>3.4944000000000003E-2</v>
      </c>
    </row>
    <row r="481" spans="14:19">
      <c r="N481" s="440">
        <v>478</v>
      </c>
      <c r="O481" s="441">
        <v>37500</v>
      </c>
      <c r="P481" s="440" t="s">
        <v>906</v>
      </c>
      <c r="Q481" s="442">
        <f t="shared" si="13"/>
        <v>3.4908000000000002E-2</v>
      </c>
      <c r="R481" s="443">
        <v>2.5749000000000001E-2</v>
      </c>
      <c r="S481" s="443">
        <v>3.4908000000000002E-2</v>
      </c>
    </row>
    <row r="482" spans="14:19">
      <c r="N482" s="440">
        <v>479</v>
      </c>
      <c r="O482" s="441">
        <v>37600</v>
      </c>
      <c r="P482" s="440" t="s">
        <v>907</v>
      </c>
      <c r="Q482" s="442">
        <f t="shared" si="13"/>
        <v>3.4873000000000001E-2</v>
      </c>
      <c r="R482" s="443">
        <v>2.572E-2</v>
      </c>
      <c r="S482" s="443">
        <v>3.4873000000000001E-2</v>
      </c>
    </row>
    <row r="483" spans="14:19">
      <c r="N483" s="440">
        <v>480</v>
      </c>
      <c r="O483" s="441">
        <v>37700</v>
      </c>
      <c r="P483" s="440" t="s">
        <v>908</v>
      </c>
      <c r="Q483" s="442">
        <f t="shared" si="13"/>
        <v>3.4837E-2</v>
      </c>
      <c r="R483" s="443">
        <v>2.5692E-2</v>
      </c>
      <c r="S483" s="443">
        <v>3.4837E-2</v>
      </c>
    </row>
    <row r="484" spans="14:19">
      <c r="N484" s="440">
        <v>481</v>
      </c>
      <c r="O484" s="441">
        <v>37800</v>
      </c>
      <c r="P484" s="440" t="s">
        <v>909</v>
      </c>
      <c r="Q484" s="442">
        <f t="shared" si="13"/>
        <v>3.4802E-2</v>
      </c>
      <c r="R484" s="443">
        <v>2.5663999999999999E-2</v>
      </c>
      <c r="S484" s="443">
        <v>3.4802E-2</v>
      </c>
    </row>
    <row r="485" spans="14:19">
      <c r="N485" s="440">
        <v>482</v>
      </c>
      <c r="O485" s="441">
        <v>37900</v>
      </c>
      <c r="P485" s="440" t="s">
        <v>910</v>
      </c>
      <c r="Q485" s="442">
        <f t="shared" si="13"/>
        <v>3.4766999999999999E-2</v>
      </c>
      <c r="R485" s="443">
        <v>2.5635999999999999E-2</v>
      </c>
      <c r="S485" s="443">
        <v>3.4766999999999999E-2</v>
      </c>
    </row>
    <row r="486" spans="14:19">
      <c r="N486" s="440">
        <v>483</v>
      </c>
      <c r="O486" s="441">
        <v>38000</v>
      </c>
      <c r="P486" s="440" t="s">
        <v>911</v>
      </c>
      <c r="Q486" s="442">
        <f t="shared" si="13"/>
        <v>3.4730999999999998E-2</v>
      </c>
      <c r="R486" s="443">
        <v>2.5607999999999999E-2</v>
      </c>
      <c r="S486" s="443">
        <v>3.4730999999999998E-2</v>
      </c>
    </row>
    <row r="487" spans="14:19">
      <c r="N487" s="440">
        <v>484</v>
      </c>
      <c r="O487" s="441">
        <v>38100</v>
      </c>
      <c r="P487" s="440" t="s">
        <v>912</v>
      </c>
      <c r="Q487" s="442">
        <f t="shared" si="13"/>
        <v>3.4695999999999998E-2</v>
      </c>
      <c r="R487" s="443">
        <v>2.5579999999999999E-2</v>
      </c>
      <c r="S487" s="443">
        <v>3.4695999999999998E-2</v>
      </c>
    </row>
    <row r="488" spans="14:19">
      <c r="N488" s="440">
        <v>485</v>
      </c>
      <c r="O488" s="441">
        <v>38200</v>
      </c>
      <c r="P488" s="440" t="s">
        <v>913</v>
      </c>
      <c r="Q488" s="442">
        <f t="shared" si="13"/>
        <v>3.4660999999999997E-2</v>
      </c>
      <c r="R488" s="443">
        <v>2.5551999999999998E-2</v>
      </c>
      <c r="S488" s="443">
        <v>3.4660999999999997E-2</v>
      </c>
    </row>
    <row r="489" spans="14:19">
      <c r="N489" s="440">
        <v>486</v>
      </c>
      <c r="O489" s="441">
        <v>38300</v>
      </c>
      <c r="P489" s="440" t="s">
        <v>914</v>
      </c>
      <c r="Q489" s="442">
        <f t="shared" si="13"/>
        <v>3.4626999999999998E-2</v>
      </c>
      <c r="R489" s="443">
        <v>2.5524000000000002E-2</v>
      </c>
      <c r="S489" s="443">
        <v>3.4626999999999998E-2</v>
      </c>
    </row>
    <row r="490" spans="14:19">
      <c r="N490" s="440">
        <v>487</v>
      </c>
      <c r="O490" s="441">
        <v>38400</v>
      </c>
      <c r="P490" s="440" t="s">
        <v>915</v>
      </c>
      <c r="Q490" s="442">
        <f t="shared" si="13"/>
        <v>3.4591999999999998E-2</v>
      </c>
      <c r="R490" s="443">
        <v>2.5496999999999999E-2</v>
      </c>
      <c r="S490" s="443">
        <v>3.4591999999999998E-2</v>
      </c>
    </row>
    <row r="491" spans="14:19">
      <c r="N491" s="440">
        <v>488</v>
      </c>
      <c r="O491" s="441">
        <v>38500</v>
      </c>
      <c r="P491" s="440" t="s">
        <v>916</v>
      </c>
      <c r="Q491" s="442">
        <f t="shared" si="13"/>
        <v>3.4556999999999997E-2</v>
      </c>
      <c r="R491" s="443">
        <v>2.5468999999999999E-2</v>
      </c>
      <c r="S491" s="443">
        <v>3.4556999999999997E-2</v>
      </c>
    </row>
    <row r="492" spans="14:19">
      <c r="N492" s="440">
        <v>489</v>
      </c>
      <c r="O492" s="441">
        <v>38600</v>
      </c>
      <c r="P492" s="440" t="s">
        <v>917</v>
      </c>
      <c r="Q492" s="442">
        <f t="shared" si="13"/>
        <v>3.4522999999999998E-2</v>
      </c>
      <c r="R492" s="443">
        <v>2.5441999999999999E-2</v>
      </c>
      <c r="S492" s="443">
        <v>3.4522999999999998E-2</v>
      </c>
    </row>
    <row r="493" spans="14:19">
      <c r="N493" s="440">
        <v>490</v>
      </c>
      <c r="O493" s="441">
        <v>38700</v>
      </c>
      <c r="P493" s="440" t="s">
        <v>918</v>
      </c>
      <c r="Q493" s="442">
        <f t="shared" si="13"/>
        <v>3.4488999999999999E-2</v>
      </c>
      <c r="R493" s="443">
        <v>2.5413999999999999E-2</v>
      </c>
      <c r="S493" s="443">
        <v>3.4488999999999999E-2</v>
      </c>
    </row>
    <row r="494" spans="14:19">
      <c r="N494" s="440">
        <v>491</v>
      </c>
      <c r="O494" s="441">
        <v>38800</v>
      </c>
      <c r="P494" s="440" t="s">
        <v>919</v>
      </c>
      <c r="Q494" s="442">
        <f t="shared" si="13"/>
        <v>3.4455E-2</v>
      </c>
      <c r="R494" s="443">
        <v>2.5387E-2</v>
      </c>
      <c r="S494" s="443">
        <v>3.4455E-2</v>
      </c>
    </row>
    <row r="495" spans="14:19">
      <c r="N495" s="440">
        <v>492</v>
      </c>
      <c r="O495" s="441">
        <v>38900</v>
      </c>
      <c r="P495" s="440" t="s">
        <v>920</v>
      </c>
      <c r="Q495" s="442">
        <f t="shared" si="13"/>
        <v>3.4421E-2</v>
      </c>
      <c r="R495" s="443">
        <v>2.5360000000000001E-2</v>
      </c>
      <c r="S495" s="443">
        <v>3.4421E-2</v>
      </c>
    </row>
    <row r="496" spans="14:19">
      <c r="N496" s="440">
        <v>493</v>
      </c>
      <c r="O496" s="441">
        <v>39000</v>
      </c>
      <c r="P496" s="440" t="s">
        <v>921</v>
      </c>
      <c r="Q496" s="442">
        <f t="shared" si="13"/>
        <v>3.4387000000000001E-2</v>
      </c>
      <c r="R496" s="443">
        <v>2.5333000000000001E-2</v>
      </c>
      <c r="S496" s="443">
        <v>3.4387000000000001E-2</v>
      </c>
    </row>
    <row r="497" spans="14:19">
      <c r="N497" s="440">
        <v>494</v>
      </c>
      <c r="O497" s="441">
        <v>39100</v>
      </c>
      <c r="P497" s="440" t="s">
        <v>922</v>
      </c>
      <c r="Q497" s="442">
        <f t="shared" si="13"/>
        <v>3.4353000000000002E-2</v>
      </c>
      <c r="R497" s="443">
        <v>2.5305999999999999E-2</v>
      </c>
      <c r="S497" s="443">
        <v>3.4353000000000002E-2</v>
      </c>
    </row>
    <row r="498" spans="14:19">
      <c r="N498" s="440">
        <v>495</v>
      </c>
      <c r="O498" s="441">
        <v>39200</v>
      </c>
      <c r="P498" s="440" t="s">
        <v>923</v>
      </c>
      <c r="Q498" s="442">
        <f t="shared" si="13"/>
        <v>3.4319000000000002E-2</v>
      </c>
      <c r="R498" s="443">
        <v>2.5278999999999999E-2</v>
      </c>
      <c r="S498" s="443">
        <v>3.4319000000000002E-2</v>
      </c>
    </row>
    <row r="499" spans="14:19">
      <c r="N499" s="440">
        <v>496</v>
      </c>
      <c r="O499" s="441">
        <v>39300</v>
      </c>
      <c r="P499" s="440" t="s">
        <v>924</v>
      </c>
      <c r="Q499" s="442">
        <f t="shared" si="13"/>
        <v>3.4285999999999997E-2</v>
      </c>
      <c r="R499" s="443">
        <v>2.5253000000000001E-2</v>
      </c>
      <c r="S499" s="443">
        <v>3.4285999999999997E-2</v>
      </c>
    </row>
    <row r="500" spans="14:19">
      <c r="N500" s="440">
        <v>497</v>
      </c>
      <c r="O500" s="441">
        <v>39400</v>
      </c>
      <c r="P500" s="440" t="s">
        <v>925</v>
      </c>
      <c r="Q500" s="442">
        <f t="shared" si="13"/>
        <v>3.4251999999999998E-2</v>
      </c>
      <c r="R500" s="443">
        <v>2.5225999999999998E-2</v>
      </c>
      <c r="S500" s="443">
        <v>3.4251999999999998E-2</v>
      </c>
    </row>
    <row r="501" spans="14:19">
      <c r="N501" s="440">
        <v>498</v>
      </c>
      <c r="O501" s="441">
        <v>39500</v>
      </c>
      <c r="P501" s="440" t="s">
        <v>926</v>
      </c>
      <c r="Q501" s="442">
        <f t="shared" si="13"/>
        <v>3.4218999999999999E-2</v>
      </c>
      <c r="R501" s="443">
        <v>2.5198999999999999E-2</v>
      </c>
      <c r="S501" s="443">
        <v>3.4218999999999999E-2</v>
      </c>
    </row>
    <row r="502" spans="14:19">
      <c r="N502" s="440">
        <v>499</v>
      </c>
      <c r="O502" s="441">
        <v>39600</v>
      </c>
      <c r="P502" s="440" t="s">
        <v>927</v>
      </c>
      <c r="Q502" s="442">
        <f t="shared" si="13"/>
        <v>3.4186000000000001E-2</v>
      </c>
      <c r="R502" s="443">
        <v>2.5173000000000001E-2</v>
      </c>
      <c r="S502" s="443">
        <v>3.4186000000000001E-2</v>
      </c>
    </row>
    <row r="503" spans="14:19">
      <c r="N503" s="440">
        <v>500</v>
      </c>
      <c r="O503" s="441">
        <v>39700</v>
      </c>
      <c r="P503" s="440" t="s">
        <v>928</v>
      </c>
      <c r="Q503" s="442">
        <f t="shared" si="13"/>
        <v>3.4153000000000003E-2</v>
      </c>
      <c r="R503" s="443">
        <v>2.5146999999999999E-2</v>
      </c>
      <c r="S503" s="443">
        <v>3.4153000000000003E-2</v>
      </c>
    </row>
    <row r="504" spans="14:19">
      <c r="N504" s="440">
        <v>501</v>
      </c>
      <c r="O504" s="441">
        <v>39800</v>
      </c>
      <c r="P504" s="440" t="s">
        <v>929</v>
      </c>
      <c r="Q504" s="442">
        <f t="shared" si="13"/>
        <v>3.4119999999999998E-2</v>
      </c>
      <c r="R504" s="443">
        <v>2.512E-2</v>
      </c>
      <c r="S504" s="443">
        <v>3.4119999999999998E-2</v>
      </c>
    </row>
    <row r="505" spans="14:19">
      <c r="N505" s="440">
        <v>502</v>
      </c>
      <c r="O505" s="441">
        <v>39900</v>
      </c>
      <c r="P505" s="440" t="s">
        <v>930</v>
      </c>
      <c r="Q505" s="442">
        <f t="shared" si="13"/>
        <v>3.4086999999999999E-2</v>
      </c>
      <c r="R505" s="443">
        <v>2.5094000000000002E-2</v>
      </c>
      <c r="S505" s="443">
        <v>3.4086999999999999E-2</v>
      </c>
    </row>
    <row r="506" spans="14:19">
      <c r="N506" s="440">
        <v>503</v>
      </c>
      <c r="O506" s="441">
        <v>40000</v>
      </c>
      <c r="P506" s="440" t="s">
        <v>931</v>
      </c>
      <c r="Q506" s="442">
        <f t="shared" si="13"/>
        <v>3.4054000000000001E-2</v>
      </c>
      <c r="R506" s="443">
        <v>2.5068E-2</v>
      </c>
      <c r="S506" s="443">
        <v>3.4054000000000001E-2</v>
      </c>
    </row>
    <row r="507" spans="14:19">
      <c r="N507" s="440">
        <v>504</v>
      </c>
      <c r="O507" s="441">
        <v>40100</v>
      </c>
      <c r="P507" s="440" t="s">
        <v>932</v>
      </c>
      <c r="Q507" s="442">
        <f t="shared" si="13"/>
        <v>3.4021000000000003E-2</v>
      </c>
      <c r="R507" s="443">
        <v>2.5041999999999998E-2</v>
      </c>
      <c r="S507" s="443">
        <v>3.4021000000000003E-2</v>
      </c>
    </row>
    <row r="508" spans="14:19">
      <c r="N508" s="440">
        <v>505</v>
      </c>
      <c r="O508" s="441">
        <v>40200</v>
      </c>
      <c r="P508" s="440" t="s">
        <v>933</v>
      </c>
      <c r="Q508" s="442">
        <f t="shared" si="13"/>
        <v>3.3988999999999998E-2</v>
      </c>
      <c r="R508" s="443">
        <v>2.5016E-2</v>
      </c>
      <c r="S508" s="443">
        <v>3.3988999999999998E-2</v>
      </c>
    </row>
    <row r="509" spans="14:19">
      <c r="N509" s="440">
        <v>506</v>
      </c>
      <c r="O509" s="441">
        <v>40300</v>
      </c>
      <c r="P509" s="440" t="s">
        <v>934</v>
      </c>
      <c r="Q509" s="442">
        <f t="shared" si="13"/>
        <v>3.3956E-2</v>
      </c>
      <c r="R509" s="443">
        <v>2.4990999999999999E-2</v>
      </c>
      <c r="S509" s="443">
        <v>3.3956E-2</v>
      </c>
    </row>
    <row r="510" spans="14:19">
      <c r="N510" s="440">
        <v>507</v>
      </c>
      <c r="O510" s="441">
        <v>40400</v>
      </c>
      <c r="P510" s="440" t="s">
        <v>935</v>
      </c>
      <c r="Q510" s="442">
        <f t="shared" si="13"/>
        <v>3.3924000000000003E-2</v>
      </c>
      <c r="R510" s="443">
        <v>2.4965000000000001E-2</v>
      </c>
      <c r="S510" s="443">
        <v>3.3924000000000003E-2</v>
      </c>
    </row>
    <row r="511" spans="14:19">
      <c r="N511" s="440">
        <v>508</v>
      </c>
      <c r="O511" s="441">
        <v>40500</v>
      </c>
      <c r="P511" s="440" t="s">
        <v>936</v>
      </c>
      <c r="Q511" s="442">
        <f t="shared" si="13"/>
        <v>3.3891999999999999E-2</v>
      </c>
      <c r="R511" s="443">
        <v>2.4938999999999999E-2</v>
      </c>
      <c r="S511" s="443">
        <v>3.3891999999999999E-2</v>
      </c>
    </row>
    <row r="512" spans="14:19">
      <c r="N512" s="440">
        <v>509</v>
      </c>
      <c r="O512" s="441">
        <v>40600</v>
      </c>
      <c r="P512" s="440" t="s">
        <v>937</v>
      </c>
      <c r="Q512" s="442">
        <f t="shared" si="13"/>
        <v>3.3860000000000001E-2</v>
      </c>
      <c r="R512" s="443">
        <v>2.4913999999999999E-2</v>
      </c>
      <c r="S512" s="443">
        <v>3.3860000000000001E-2</v>
      </c>
    </row>
    <row r="513" spans="14:19">
      <c r="N513" s="440">
        <v>510</v>
      </c>
      <c r="O513" s="441">
        <v>40700</v>
      </c>
      <c r="P513" s="440" t="s">
        <v>938</v>
      </c>
      <c r="Q513" s="442">
        <f t="shared" si="13"/>
        <v>3.3827999999999997E-2</v>
      </c>
      <c r="R513" s="443">
        <v>2.4888E-2</v>
      </c>
      <c r="S513" s="443">
        <v>3.3827999999999997E-2</v>
      </c>
    </row>
    <row r="514" spans="14:19">
      <c r="N514" s="440">
        <v>511</v>
      </c>
      <c r="O514" s="441">
        <v>40800</v>
      </c>
      <c r="P514" s="440" t="s">
        <v>939</v>
      </c>
      <c r="Q514" s="442">
        <f t="shared" si="13"/>
        <v>3.3796E-2</v>
      </c>
      <c r="R514" s="443">
        <v>2.4863E-2</v>
      </c>
      <c r="S514" s="443">
        <v>3.3796E-2</v>
      </c>
    </row>
    <row r="515" spans="14:19">
      <c r="N515" s="440">
        <v>512</v>
      </c>
      <c r="O515" s="441">
        <v>40900</v>
      </c>
      <c r="P515" s="440" t="s">
        <v>940</v>
      </c>
      <c r="Q515" s="442">
        <f t="shared" si="13"/>
        <v>3.3764000000000002E-2</v>
      </c>
      <c r="R515" s="443">
        <v>2.4837999999999999E-2</v>
      </c>
      <c r="S515" s="443">
        <v>3.3764000000000002E-2</v>
      </c>
    </row>
    <row r="516" spans="14:19">
      <c r="N516" s="440">
        <v>513</v>
      </c>
      <c r="O516" s="441">
        <v>41000</v>
      </c>
      <c r="P516" s="440" t="s">
        <v>941</v>
      </c>
      <c r="Q516" s="442">
        <f t="shared" si="13"/>
        <v>3.3732999999999999E-2</v>
      </c>
      <c r="R516" s="443">
        <v>2.4813000000000002E-2</v>
      </c>
      <c r="S516" s="443">
        <v>3.3732999999999999E-2</v>
      </c>
    </row>
    <row r="517" spans="14:19">
      <c r="N517" s="440">
        <v>514</v>
      </c>
      <c r="O517" s="441">
        <v>41100</v>
      </c>
      <c r="P517" s="440" t="s">
        <v>942</v>
      </c>
      <c r="Q517" s="442">
        <f t="shared" ref="Q517:Q580" si="14">+S517</f>
        <v>3.3701000000000002E-2</v>
      </c>
      <c r="R517" s="443">
        <v>2.4788000000000001E-2</v>
      </c>
      <c r="S517" s="443">
        <v>3.3701000000000002E-2</v>
      </c>
    </row>
    <row r="518" spans="14:19">
      <c r="N518" s="440">
        <v>515</v>
      </c>
      <c r="O518" s="441">
        <v>41200</v>
      </c>
      <c r="P518" s="440" t="s">
        <v>943</v>
      </c>
      <c r="Q518" s="442">
        <f t="shared" si="14"/>
        <v>3.3669999999999999E-2</v>
      </c>
      <c r="R518" s="443">
        <v>2.4763E-2</v>
      </c>
      <c r="S518" s="443">
        <v>3.3669999999999999E-2</v>
      </c>
    </row>
    <row r="519" spans="14:19">
      <c r="N519" s="440">
        <v>516</v>
      </c>
      <c r="O519" s="441">
        <v>41300</v>
      </c>
      <c r="P519" s="440" t="s">
        <v>944</v>
      </c>
      <c r="Q519" s="442">
        <f t="shared" si="14"/>
        <v>3.3638000000000001E-2</v>
      </c>
      <c r="R519" s="443">
        <v>2.4738E-2</v>
      </c>
      <c r="S519" s="443">
        <v>3.3638000000000001E-2</v>
      </c>
    </row>
    <row r="520" spans="14:19">
      <c r="N520" s="440">
        <v>517</v>
      </c>
      <c r="O520" s="441">
        <v>41400</v>
      </c>
      <c r="P520" s="440" t="s">
        <v>945</v>
      </c>
      <c r="Q520" s="442">
        <f t="shared" si="14"/>
        <v>3.3606999999999998E-2</v>
      </c>
      <c r="R520" s="443">
        <v>2.4712999999999999E-2</v>
      </c>
      <c r="S520" s="443">
        <v>3.3606999999999998E-2</v>
      </c>
    </row>
    <row r="521" spans="14:19">
      <c r="N521" s="440">
        <v>518</v>
      </c>
      <c r="O521" s="441">
        <v>41500</v>
      </c>
      <c r="P521" s="440" t="s">
        <v>946</v>
      </c>
      <c r="Q521" s="442">
        <f t="shared" si="14"/>
        <v>3.3576000000000002E-2</v>
      </c>
      <c r="R521" s="443">
        <v>2.4688000000000002E-2</v>
      </c>
      <c r="S521" s="443">
        <v>3.3576000000000002E-2</v>
      </c>
    </row>
    <row r="522" spans="14:19">
      <c r="N522" s="440">
        <v>519</v>
      </c>
      <c r="O522" s="441">
        <v>41600</v>
      </c>
      <c r="P522" s="440" t="s">
        <v>947</v>
      </c>
      <c r="Q522" s="442">
        <f t="shared" si="14"/>
        <v>3.3544999999999998E-2</v>
      </c>
      <c r="R522" s="443">
        <v>2.4663999999999998E-2</v>
      </c>
      <c r="S522" s="443">
        <v>3.3544999999999998E-2</v>
      </c>
    </row>
    <row r="523" spans="14:19">
      <c r="N523" s="440">
        <v>520</v>
      </c>
      <c r="O523" s="441">
        <v>41700</v>
      </c>
      <c r="P523" s="440" t="s">
        <v>948</v>
      </c>
      <c r="Q523" s="442">
        <f t="shared" si="14"/>
        <v>3.3514000000000002E-2</v>
      </c>
      <c r="R523" s="443">
        <v>2.4639000000000001E-2</v>
      </c>
      <c r="S523" s="443">
        <v>3.3514000000000002E-2</v>
      </c>
    </row>
    <row r="524" spans="14:19">
      <c r="N524" s="440">
        <v>521</v>
      </c>
      <c r="O524" s="441">
        <v>41800</v>
      </c>
      <c r="P524" s="440" t="s">
        <v>949</v>
      </c>
      <c r="Q524" s="442">
        <f t="shared" si="14"/>
        <v>3.3482999999999999E-2</v>
      </c>
      <c r="R524" s="443">
        <v>2.4615000000000001E-2</v>
      </c>
      <c r="S524" s="443">
        <v>3.3482999999999999E-2</v>
      </c>
    </row>
    <row r="525" spans="14:19">
      <c r="N525" s="440">
        <v>522</v>
      </c>
      <c r="O525" s="441">
        <v>41900</v>
      </c>
      <c r="P525" s="440" t="s">
        <v>950</v>
      </c>
      <c r="Q525" s="442">
        <f t="shared" si="14"/>
        <v>3.3452999999999997E-2</v>
      </c>
      <c r="R525" s="443">
        <v>2.4590000000000001E-2</v>
      </c>
      <c r="S525" s="443">
        <v>3.3452999999999997E-2</v>
      </c>
    </row>
    <row r="526" spans="14:19">
      <c r="N526" s="440">
        <v>523</v>
      </c>
      <c r="O526" s="441">
        <v>42000</v>
      </c>
      <c r="P526" s="440" t="s">
        <v>951</v>
      </c>
      <c r="Q526" s="442">
        <f t="shared" si="14"/>
        <v>3.3422E-2</v>
      </c>
      <c r="R526" s="443">
        <v>2.4566000000000001E-2</v>
      </c>
      <c r="S526" s="443">
        <v>3.3422E-2</v>
      </c>
    </row>
    <row r="527" spans="14:19">
      <c r="N527" s="440">
        <v>524</v>
      </c>
      <c r="O527" s="441">
        <v>42100</v>
      </c>
      <c r="P527" s="440" t="s">
        <v>952</v>
      </c>
      <c r="Q527" s="442">
        <f t="shared" si="14"/>
        <v>3.3390999999999997E-2</v>
      </c>
      <c r="R527" s="443">
        <v>2.4542000000000001E-2</v>
      </c>
      <c r="S527" s="443">
        <v>3.3390999999999997E-2</v>
      </c>
    </row>
    <row r="528" spans="14:19">
      <c r="N528" s="440">
        <v>525</v>
      </c>
      <c r="O528" s="441">
        <v>42200</v>
      </c>
      <c r="P528" s="440" t="s">
        <v>953</v>
      </c>
      <c r="Q528" s="442">
        <f t="shared" si="14"/>
        <v>3.3361000000000002E-2</v>
      </c>
      <c r="R528" s="443">
        <v>2.4517000000000001E-2</v>
      </c>
      <c r="S528" s="443">
        <v>3.3361000000000002E-2</v>
      </c>
    </row>
    <row r="529" spans="14:19">
      <c r="N529" s="440">
        <v>526</v>
      </c>
      <c r="O529" s="441">
        <v>42300</v>
      </c>
      <c r="P529" s="440" t="s">
        <v>954</v>
      </c>
      <c r="Q529" s="442">
        <f t="shared" si="14"/>
        <v>3.3331E-2</v>
      </c>
      <c r="R529" s="443">
        <v>2.4493000000000001E-2</v>
      </c>
      <c r="S529" s="443">
        <v>3.3331E-2</v>
      </c>
    </row>
    <row r="530" spans="14:19">
      <c r="N530" s="440">
        <v>527</v>
      </c>
      <c r="O530" s="441">
        <v>42400</v>
      </c>
      <c r="P530" s="440" t="s">
        <v>955</v>
      </c>
      <c r="Q530" s="442">
        <f t="shared" si="14"/>
        <v>3.3300999999999997E-2</v>
      </c>
      <c r="R530" s="443">
        <v>2.4469000000000001E-2</v>
      </c>
      <c r="S530" s="443">
        <v>3.3300999999999997E-2</v>
      </c>
    </row>
    <row r="531" spans="14:19">
      <c r="N531" s="440">
        <v>528</v>
      </c>
      <c r="O531" s="441">
        <v>42500</v>
      </c>
      <c r="P531" s="440" t="s">
        <v>956</v>
      </c>
      <c r="Q531" s="442">
        <f t="shared" si="14"/>
        <v>3.3270000000000001E-2</v>
      </c>
      <c r="R531" s="443">
        <v>2.4445000000000001E-2</v>
      </c>
      <c r="S531" s="443">
        <v>3.3270000000000001E-2</v>
      </c>
    </row>
    <row r="532" spans="14:19">
      <c r="N532" s="440">
        <v>529</v>
      </c>
      <c r="O532" s="441">
        <v>42600</v>
      </c>
      <c r="P532" s="440" t="s">
        <v>957</v>
      </c>
      <c r="Q532" s="442">
        <f t="shared" si="14"/>
        <v>3.3239999999999999E-2</v>
      </c>
      <c r="R532" s="443">
        <v>2.4421999999999999E-2</v>
      </c>
      <c r="S532" s="443">
        <v>3.3239999999999999E-2</v>
      </c>
    </row>
    <row r="533" spans="14:19">
      <c r="N533" s="440">
        <v>530</v>
      </c>
      <c r="O533" s="441">
        <v>42700</v>
      </c>
      <c r="P533" s="440" t="s">
        <v>958</v>
      </c>
      <c r="Q533" s="442">
        <f t="shared" si="14"/>
        <v>3.3210000000000003E-2</v>
      </c>
      <c r="R533" s="443">
        <v>2.4398E-2</v>
      </c>
      <c r="S533" s="443">
        <v>3.3210000000000003E-2</v>
      </c>
    </row>
    <row r="534" spans="14:19">
      <c r="N534" s="440">
        <v>531</v>
      </c>
      <c r="O534" s="441">
        <v>42800</v>
      </c>
      <c r="P534" s="440" t="s">
        <v>959</v>
      </c>
      <c r="Q534" s="442">
        <f t="shared" si="14"/>
        <v>3.3181000000000002E-2</v>
      </c>
      <c r="R534" s="443">
        <v>2.4374E-2</v>
      </c>
      <c r="S534" s="443">
        <v>3.3181000000000002E-2</v>
      </c>
    </row>
    <row r="535" spans="14:19">
      <c r="N535" s="440">
        <v>532</v>
      </c>
      <c r="O535" s="441">
        <v>42900</v>
      </c>
      <c r="P535" s="440" t="s">
        <v>960</v>
      </c>
      <c r="Q535" s="442">
        <f t="shared" si="14"/>
        <v>3.3151E-2</v>
      </c>
      <c r="R535" s="443">
        <v>2.4351000000000001E-2</v>
      </c>
      <c r="S535" s="443">
        <v>3.3151E-2</v>
      </c>
    </row>
    <row r="536" spans="14:19">
      <c r="N536" s="440">
        <v>533</v>
      </c>
      <c r="O536" s="441">
        <v>43000</v>
      </c>
      <c r="P536" s="440" t="s">
        <v>961</v>
      </c>
      <c r="Q536" s="442">
        <f t="shared" si="14"/>
        <v>3.3120999999999998E-2</v>
      </c>
      <c r="R536" s="443">
        <v>2.4327000000000001E-2</v>
      </c>
      <c r="S536" s="443">
        <v>3.3120999999999998E-2</v>
      </c>
    </row>
    <row r="537" spans="14:19">
      <c r="N537" s="440">
        <v>534</v>
      </c>
      <c r="O537" s="441">
        <v>43100</v>
      </c>
      <c r="P537" s="440" t="s">
        <v>962</v>
      </c>
      <c r="Q537" s="442">
        <f t="shared" si="14"/>
        <v>3.3092000000000003E-2</v>
      </c>
      <c r="R537" s="443">
        <v>2.4303999999999999E-2</v>
      </c>
      <c r="S537" s="443">
        <v>3.3092000000000003E-2</v>
      </c>
    </row>
    <row r="538" spans="14:19">
      <c r="N538" s="440">
        <v>535</v>
      </c>
      <c r="O538" s="441">
        <v>43200</v>
      </c>
      <c r="P538" s="440" t="s">
        <v>963</v>
      </c>
      <c r="Q538" s="442">
        <f t="shared" si="14"/>
        <v>3.3062000000000001E-2</v>
      </c>
      <c r="R538" s="443">
        <v>2.4279999999999999E-2</v>
      </c>
      <c r="S538" s="443">
        <v>3.3062000000000001E-2</v>
      </c>
    </row>
    <row r="539" spans="14:19">
      <c r="N539" s="440">
        <v>536</v>
      </c>
      <c r="O539" s="441">
        <v>43300</v>
      </c>
      <c r="P539" s="440" t="s">
        <v>964</v>
      </c>
      <c r="Q539" s="442">
        <f t="shared" si="14"/>
        <v>3.3033E-2</v>
      </c>
      <c r="R539" s="443">
        <v>2.4257000000000001E-2</v>
      </c>
      <c r="S539" s="443">
        <v>3.3033E-2</v>
      </c>
    </row>
    <row r="540" spans="14:19">
      <c r="N540" s="440">
        <v>537</v>
      </c>
      <c r="O540" s="441">
        <v>43400</v>
      </c>
      <c r="P540" s="440" t="s">
        <v>965</v>
      </c>
      <c r="Q540" s="442">
        <f t="shared" si="14"/>
        <v>3.3003999999999999E-2</v>
      </c>
      <c r="R540" s="443">
        <v>2.4233999999999999E-2</v>
      </c>
      <c r="S540" s="443">
        <v>3.3003999999999999E-2</v>
      </c>
    </row>
    <row r="541" spans="14:19">
      <c r="N541" s="440">
        <v>538</v>
      </c>
      <c r="O541" s="441">
        <v>43500</v>
      </c>
      <c r="P541" s="440" t="s">
        <v>966</v>
      </c>
      <c r="Q541" s="442">
        <f t="shared" si="14"/>
        <v>3.2974999999999997E-2</v>
      </c>
      <c r="R541" s="443">
        <v>2.4211E-2</v>
      </c>
      <c r="S541" s="443">
        <v>3.2974999999999997E-2</v>
      </c>
    </row>
    <row r="542" spans="14:19">
      <c r="N542" s="440">
        <v>539</v>
      </c>
      <c r="O542" s="441">
        <v>43600</v>
      </c>
      <c r="P542" s="440" t="s">
        <v>967</v>
      </c>
      <c r="Q542" s="442">
        <f t="shared" si="14"/>
        <v>3.2946000000000003E-2</v>
      </c>
      <c r="R542" s="443">
        <v>2.4188000000000001E-2</v>
      </c>
      <c r="S542" s="443">
        <v>3.2946000000000003E-2</v>
      </c>
    </row>
    <row r="543" spans="14:19">
      <c r="N543" s="440">
        <v>540</v>
      </c>
      <c r="O543" s="441">
        <v>43700</v>
      </c>
      <c r="P543" s="440" t="s">
        <v>968</v>
      </c>
      <c r="Q543" s="442">
        <f t="shared" si="14"/>
        <v>3.2917000000000002E-2</v>
      </c>
      <c r="R543" s="443">
        <v>2.4164999999999999E-2</v>
      </c>
      <c r="S543" s="443">
        <v>3.2917000000000002E-2</v>
      </c>
    </row>
    <row r="544" spans="14:19">
      <c r="N544" s="440">
        <v>541</v>
      </c>
      <c r="O544" s="441">
        <v>43800</v>
      </c>
      <c r="P544" s="440" t="s">
        <v>969</v>
      </c>
      <c r="Q544" s="442">
        <f t="shared" si="14"/>
        <v>3.2888000000000001E-2</v>
      </c>
      <c r="R544" s="443">
        <v>2.4142E-2</v>
      </c>
      <c r="S544" s="443">
        <v>3.2888000000000001E-2</v>
      </c>
    </row>
    <row r="545" spans="14:19">
      <c r="N545" s="440">
        <v>542</v>
      </c>
      <c r="O545" s="441">
        <v>43900</v>
      </c>
      <c r="P545" s="440" t="s">
        <v>970</v>
      </c>
      <c r="Q545" s="442">
        <f t="shared" si="14"/>
        <v>3.2858999999999999E-2</v>
      </c>
      <c r="R545" s="443">
        <v>2.4119000000000002E-2</v>
      </c>
      <c r="S545" s="443">
        <v>3.2858999999999999E-2</v>
      </c>
    </row>
    <row r="546" spans="14:19">
      <c r="N546" s="440">
        <v>543</v>
      </c>
      <c r="O546" s="441">
        <v>44000</v>
      </c>
      <c r="P546" s="440" t="s">
        <v>971</v>
      </c>
      <c r="Q546" s="442">
        <f t="shared" si="14"/>
        <v>3.2829999999999998E-2</v>
      </c>
      <c r="R546" s="443">
        <v>2.4095999999999999E-2</v>
      </c>
      <c r="S546" s="443">
        <v>3.2829999999999998E-2</v>
      </c>
    </row>
    <row r="547" spans="14:19">
      <c r="N547" s="440">
        <v>544</v>
      </c>
      <c r="O547" s="441">
        <v>44100</v>
      </c>
      <c r="P547" s="440" t="s">
        <v>972</v>
      </c>
      <c r="Q547" s="442">
        <f t="shared" si="14"/>
        <v>3.2801999999999998E-2</v>
      </c>
      <c r="R547" s="443">
        <v>2.4073000000000001E-2</v>
      </c>
      <c r="S547" s="443">
        <v>3.2801999999999998E-2</v>
      </c>
    </row>
    <row r="548" spans="14:19">
      <c r="N548" s="440">
        <v>545</v>
      </c>
      <c r="O548" s="441">
        <v>44200</v>
      </c>
      <c r="P548" s="440" t="s">
        <v>973</v>
      </c>
      <c r="Q548" s="442">
        <f t="shared" si="14"/>
        <v>3.2772999999999997E-2</v>
      </c>
      <c r="R548" s="443">
        <v>2.4050999999999999E-2</v>
      </c>
      <c r="S548" s="443">
        <v>3.2772999999999997E-2</v>
      </c>
    </row>
    <row r="549" spans="14:19">
      <c r="N549" s="440">
        <v>546</v>
      </c>
      <c r="O549" s="441">
        <v>44300</v>
      </c>
      <c r="P549" s="440" t="s">
        <v>974</v>
      </c>
      <c r="Q549" s="442">
        <f t="shared" si="14"/>
        <v>3.2745000000000003E-2</v>
      </c>
      <c r="R549" s="443">
        <v>2.4028000000000001E-2</v>
      </c>
      <c r="S549" s="443">
        <v>3.2745000000000003E-2</v>
      </c>
    </row>
    <row r="550" spans="14:19">
      <c r="N550" s="440">
        <v>547</v>
      </c>
      <c r="O550" s="441">
        <v>44400</v>
      </c>
      <c r="P550" s="440" t="s">
        <v>975</v>
      </c>
      <c r="Q550" s="442">
        <f t="shared" si="14"/>
        <v>3.2716000000000002E-2</v>
      </c>
      <c r="R550" s="443">
        <v>2.4006E-2</v>
      </c>
      <c r="S550" s="443">
        <v>3.2716000000000002E-2</v>
      </c>
    </row>
    <row r="551" spans="14:19">
      <c r="N551" s="440">
        <v>548</v>
      </c>
      <c r="O551" s="441">
        <v>44500</v>
      </c>
      <c r="P551" s="440" t="s">
        <v>976</v>
      </c>
      <c r="Q551" s="442">
        <f t="shared" si="14"/>
        <v>3.2688000000000002E-2</v>
      </c>
      <c r="R551" s="443">
        <v>2.3983000000000001E-2</v>
      </c>
      <c r="S551" s="443">
        <v>3.2688000000000002E-2</v>
      </c>
    </row>
    <row r="552" spans="14:19">
      <c r="N552" s="440">
        <v>549</v>
      </c>
      <c r="O552" s="441">
        <v>44600</v>
      </c>
      <c r="P552" s="440" t="s">
        <v>977</v>
      </c>
      <c r="Q552" s="442">
        <f t="shared" si="14"/>
        <v>3.2660000000000002E-2</v>
      </c>
      <c r="R552" s="443">
        <v>2.3961E-2</v>
      </c>
      <c r="S552" s="443">
        <v>3.2660000000000002E-2</v>
      </c>
    </row>
    <row r="553" spans="14:19">
      <c r="N553" s="440">
        <v>550</v>
      </c>
      <c r="O553" s="441">
        <v>44700</v>
      </c>
      <c r="P553" s="440" t="s">
        <v>978</v>
      </c>
      <c r="Q553" s="442">
        <f t="shared" si="14"/>
        <v>3.2632000000000001E-2</v>
      </c>
      <c r="R553" s="443">
        <v>2.3938999999999998E-2</v>
      </c>
      <c r="S553" s="443">
        <v>3.2632000000000001E-2</v>
      </c>
    </row>
    <row r="554" spans="14:19">
      <c r="N554" s="440">
        <v>551</v>
      </c>
      <c r="O554" s="441">
        <v>44800</v>
      </c>
      <c r="P554" s="440" t="s">
        <v>979</v>
      </c>
      <c r="Q554" s="442">
        <f t="shared" si="14"/>
        <v>3.2604000000000001E-2</v>
      </c>
      <c r="R554" s="443">
        <v>2.3917000000000001E-2</v>
      </c>
      <c r="S554" s="443">
        <v>3.2604000000000001E-2</v>
      </c>
    </row>
    <row r="555" spans="14:19">
      <c r="N555" s="440">
        <v>552</v>
      </c>
      <c r="O555" s="441">
        <v>44900</v>
      </c>
      <c r="P555" s="440" t="s">
        <v>980</v>
      </c>
      <c r="Q555" s="442">
        <f t="shared" si="14"/>
        <v>3.2576000000000001E-2</v>
      </c>
      <c r="R555" s="443">
        <v>2.3893999999999999E-2</v>
      </c>
      <c r="S555" s="443">
        <v>3.2576000000000001E-2</v>
      </c>
    </row>
    <row r="556" spans="14:19">
      <c r="N556" s="440">
        <v>553</v>
      </c>
      <c r="O556" s="441">
        <v>45000</v>
      </c>
      <c r="P556" s="440" t="s">
        <v>981</v>
      </c>
      <c r="Q556" s="442">
        <f t="shared" si="14"/>
        <v>3.2548000000000001E-2</v>
      </c>
      <c r="R556" s="443">
        <v>2.3872000000000001E-2</v>
      </c>
      <c r="S556" s="443">
        <v>3.2548000000000001E-2</v>
      </c>
    </row>
    <row r="557" spans="14:19">
      <c r="N557" s="440">
        <v>554</v>
      </c>
      <c r="O557" s="441">
        <v>45100</v>
      </c>
      <c r="P557" s="440" t="s">
        <v>982</v>
      </c>
      <c r="Q557" s="442">
        <f t="shared" si="14"/>
        <v>3.252E-2</v>
      </c>
      <c r="R557" s="443">
        <v>2.385E-2</v>
      </c>
      <c r="S557" s="443">
        <v>3.252E-2</v>
      </c>
    </row>
    <row r="558" spans="14:19">
      <c r="N558" s="440">
        <v>555</v>
      </c>
      <c r="O558" s="441">
        <v>45200</v>
      </c>
      <c r="P558" s="440" t="s">
        <v>983</v>
      </c>
      <c r="Q558" s="442">
        <f t="shared" si="14"/>
        <v>3.2493000000000001E-2</v>
      </c>
      <c r="R558" s="443">
        <v>2.3828999999999999E-2</v>
      </c>
      <c r="S558" s="443">
        <v>3.2493000000000001E-2</v>
      </c>
    </row>
    <row r="559" spans="14:19">
      <c r="N559" s="440">
        <v>556</v>
      </c>
      <c r="O559" s="441">
        <v>45300</v>
      </c>
      <c r="P559" s="440" t="s">
        <v>984</v>
      </c>
      <c r="Q559" s="442">
        <f t="shared" si="14"/>
        <v>3.2465000000000001E-2</v>
      </c>
      <c r="R559" s="443">
        <v>2.3806999999999998E-2</v>
      </c>
      <c r="S559" s="443">
        <v>3.2465000000000001E-2</v>
      </c>
    </row>
    <row r="560" spans="14:19">
      <c r="N560" s="440">
        <v>557</v>
      </c>
      <c r="O560" s="441">
        <v>45400</v>
      </c>
      <c r="P560" s="440" t="s">
        <v>985</v>
      </c>
      <c r="Q560" s="442">
        <f t="shared" si="14"/>
        <v>3.2438000000000002E-2</v>
      </c>
      <c r="R560" s="443">
        <v>2.3785000000000001E-2</v>
      </c>
      <c r="S560" s="443">
        <v>3.2438000000000002E-2</v>
      </c>
    </row>
    <row r="561" spans="14:19">
      <c r="N561" s="440">
        <v>558</v>
      </c>
      <c r="O561" s="441">
        <v>45500</v>
      </c>
      <c r="P561" s="440" t="s">
        <v>986</v>
      </c>
      <c r="Q561" s="442">
        <f t="shared" si="14"/>
        <v>3.2410000000000001E-2</v>
      </c>
      <c r="R561" s="443">
        <v>2.3762999999999999E-2</v>
      </c>
      <c r="S561" s="443">
        <v>3.2410000000000001E-2</v>
      </c>
    </row>
    <row r="562" spans="14:19">
      <c r="N562" s="440">
        <v>559</v>
      </c>
      <c r="O562" s="441">
        <v>45600</v>
      </c>
      <c r="P562" s="440" t="s">
        <v>987</v>
      </c>
      <c r="Q562" s="442">
        <f t="shared" si="14"/>
        <v>3.2383000000000002E-2</v>
      </c>
      <c r="R562" s="443">
        <v>2.3741999999999999E-2</v>
      </c>
      <c r="S562" s="443">
        <v>3.2383000000000002E-2</v>
      </c>
    </row>
    <row r="563" spans="14:19">
      <c r="N563" s="440">
        <v>560</v>
      </c>
      <c r="O563" s="441">
        <v>45700</v>
      </c>
      <c r="P563" s="440" t="s">
        <v>988</v>
      </c>
      <c r="Q563" s="442">
        <f t="shared" si="14"/>
        <v>3.2356000000000003E-2</v>
      </c>
      <c r="R563" s="443">
        <v>2.3720000000000001E-2</v>
      </c>
      <c r="S563" s="443">
        <v>3.2356000000000003E-2</v>
      </c>
    </row>
    <row r="564" spans="14:19">
      <c r="N564" s="440">
        <v>561</v>
      </c>
      <c r="O564" s="441">
        <v>45800</v>
      </c>
      <c r="P564" s="440" t="s">
        <v>989</v>
      </c>
      <c r="Q564" s="442">
        <f t="shared" si="14"/>
        <v>3.2328999999999997E-2</v>
      </c>
      <c r="R564" s="443">
        <v>2.3698E-2</v>
      </c>
      <c r="S564" s="443">
        <v>3.2328999999999997E-2</v>
      </c>
    </row>
    <row r="565" spans="14:19">
      <c r="N565" s="440">
        <v>562</v>
      </c>
      <c r="O565" s="441">
        <v>45900</v>
      </c>
      <c r="P565" s="440" t="s">
        <v>990</v>
      </c>
      <c r="Q565" s="442">
        <f t="shared" si="14"/>
        <v>3.2301999999999997E-2</v>
      </c>
      <c r="R565" s="443">
        <v>2.3677E-2</v>
      </c>
      <c r="S565" s="443">
        <v>3.2301999999999997E-2</v>
      </c>
    </row>
    <row r="566" spans="14:19">
      <c r="N566" s="440">
        <v>563</v>
      </c>
      <c r="O566" s="441">
        <v>46000</v>
      </c>
      <c r="P566" s="440" t="s">
        <v>991</v>
      </c>
      <c r="Q566" s="442">
        <f t="shared" si="14"/>
        <v>3.2274999999999998E-2</v>
      </c>
      <c r="R566" s="443">
        <v>2.3656E-2</v>
      </c>
      <c r="S566" s="443">
        <v>3.2274999999999998E-2</v>
      </c>
    </row>
    <row r="567" spans="14:19">
      <c r="N567" s="440">
        <v>564</v>
      </c>
      <c r="O567" s="441">
        <v>46100</v>
      </c>
      <c r="P567" s="440" t="s">
        <v>992</v>
      </c>
      <c r="Q567" s="442">
        <f t="shared" si="14"/>
        <v>3.2247999999999999E-2</v>
      </c>
      <c r="R567" s="443">
        <v>2.3633999999999999E-2</v>
      </c>
      <c r="S567" s="443">
        <v>3.2247999999999999E-2</v>
      </c>
    </row>
    <row r="568" spans="14:19">
      <c r="N568" s="440">
        <v>565</v>
      </c>
      <c r="O568" s="441">
        <v>46200</v>
      </c>
      <c r="P568" s="440" t="s">
        <v>993</v>
      </c>
      <c r="Q568" s="442">
        <f t="shared" si="14"/>
        <v>3.2221E-2</v>
      </c>
      <c r="R568" s="443">
        <v>2.3612999999999999E-2</v>
      </c>
      <c r="S568" s="443">
        <v>3.2221E-2</v>
      </c>
    </row>
    <row r="569" spans="14:19">
      <c r="N569" s="440">
        <v>566</v>
      </c>
      <c r="O569" s="441">
        <v>46300</v>
      </c>
      <c r="P569" s="440" t="s">
        <v>994</v>
      </c>
      <c r="Q569" s="442">
        <f t="shared" si="14"/>
        <v>3.2194E-2</v>
      </c>
      <c r="R569" s="443">
        <v>2.3591999999999998E-2</v>
      </c>
      <c r="S569" s="443">
        <v>3.2194E-2</v>
      </c>
    </row>
    <row r="570" spans="14:19">
      <c r="N570" s="440">
        <v>567</v>
      </c>
      <c r="O570" s="441">
        <v>46400</v>
      </c>
      <c r="P570" s="440" t="s">
        <v>995</v>
      </c>
      <c r="Q570" s="442">
        <f t="shared" si="14"/>
        <v>3.2167000000000001E-2</v>
      </c>
      <c r="R570" s="443">
        <v>2.3571000000000002E-2</v>
      </c>
      <c r="S570" s="443">
        <v>3.2167000000000001E-2</v>
      </c>
    </row>
    <row r="571" spans="14:19">
      <c r="N571" s="440">
        <v>568</v>
      </c>
      <c r="O571" s="441">
        <v>46500</v>
      </c>
      <c r="P571" s="440" t="s">
        <v>996</v>
      </c>
      <c r="Q571" s="442">
        <f t="shared" si="14"/>
        <v>3.2141000000000003E-2</v>
      </c>
      <c r="R571" s="443">
        <v>2.3550000000000001E-2</v>
      </c>
      <c r="S571" s="443">
        <v>3.2141000000000003E-2</v>
      </c>
    </row>
    <row r="572" spans="14:19">
      <c r="N572" s="440">
        <v>569</v>
      </c>
      <c r="O572" s="441">
        <v>46600</v>
      </c>
      <c r="P572" s="440" t="s">
        <v>997</v>
      </c>
      <c r="Q572" s="442">
        <f t="shared" si="14"/>
        <v>3.2113999999999997E-2</v>
      </c>
      <c r="R572" s="443">
        <v>2.3529000000000001E-2</v>
      </c>
      <c r="S572" s="443">
        <v>3.2113999999999997E-2</v>
      </c>
    </row>
    <row r="573" spans="14:19">
      <c r="N573" s="440">
        <v>570</v>
      </c>
      <c r="O573" s="441">
        <v>46700</v>
      </c>
      <c r="P573" s="440" t="s">
        <v>998</v>
      </c>
      <c r="Q573" s="442">
        <f t="shared" si="14"/>
        <v>3.2087999999999998E-2</v>
      </c>
      <c r="R573" s="443">
        <v>2.3508000000000001E-2</v>
      </c>
      <c r="S573" s="443">
        <v>3.2087999999999998E-2</v>
      </c>
    </row>
    <row r="574" spans="14:19">
      <c r="N574" s="440">
        <v>571</v>
      </c>
      <c r="O574" s="441">
        <v>46800</v>
      </c>
      <c r="P574" s="440" t="s">
        <v>999</v>
      </c>
      <c r="Q574" s="442">
        <f t="shared" si="14"/>
        <v>3.2062E-2</v>
      </c>
      <c r="R574" s="443">
        <v>2.3487000000000001E-2</v>
      </c>
      <c r="S574" s="443">
        <v>3.2062E-2</v>
      </c>
    </row>
    <row r="575" spans="14:19">
      <c r="N575" s="440">
        <v>572</v>
      </c>
      <c r="O575" s="441">
        <v>46900</v>
      </c>
      <c r="P575" s="440" t="s">
        <v>1000</v>
      </c>
      <c r="Q575" s="442">
        <f t="shared" si="14"/>
        <v>3.2035000000000001E-2</v>
      </c>
      <c r="R575" s="443">
        <v>2.3466000000000001E-2</v>
      </c>
      <c r="S575" s="443">
        <v>3.2035000000000001E-2</v>
      </c>
    </row>
    <row r="576" spans="14:19">
      <c r="N576" s="440">
        <v>573</v>
      </c>
      <c r="O576" s="441">
        <v>47000</v>
      </c>
      <c r="P576" s="440" t="s">
        <v>1001</v>
      </c>
      <c r="Q576" s="442">
        <f t="shared" si="14"/>
        <v>3.2009000000000003E-2</v>
      </c>
      <c r="R576" s="443">
        <v>2.3445000000000001E-2</v>
      </c>
      <c r="S576" s="443">
        <v>3.2009000000000003E-2</v>
      </c>
    </row>
    <row r="577" spans="14:19">
      <c r="N577" s="440">
        <v>574</v>
      </c>
      <c r="O577" s="441">
        <v>47100</v>
      </c>
      <c r="P577" s="440" t="s">
        <v>1002</v>
      </c>
      <c r="Q577" s="442">
        <f t="shared" si="14"/>
        <v>3.1982999999999998E-2</v>
      </c>
      <c r="R577" s="443">
        <v>2.3425000000000001E-2</v>
      </c>
      <c r="S577" s="443">
        <v>3.1982999999999998E-2</v>
      </c>
    </row>
    <row r="578" spans="14:19">
      <c r="N578" s="440">
        <v>575</v>
      </c>
      <c r="O578" s="441">
        <v>47200</v>
      </c>
      <c r="P578" s="440" t="s">
        <v>1003</v>
      </c>
      <c r="Q578" s="442">
        <f t="shared" si="14"/>
        <v>3.1956999999999999E-2</v>
      </c>
      <c r="R578" s="443">
        <v>2.3404000000000001E-2</v>
      </c>
      <c r="S578" s="443">
        <v>3.1956999999999999E-2</v>
      </c>
    </row>
    <row r="579" spans="14:19">
      <c r="N579" s="440">
        <v>576</v>
      </c>
      <c r="O579" s="441">
        <v>47300</v>
      </c>
      <c r="P579" s="440" t="s">
        <v>1004</v>
      </c>
      <c r="Q579" s="442">
        <f t="shared" si="14"/>
        <v>3.1931000000000001E-2</v>
      </c>
      <c r="R579" s="443">
        <v>2.3383999999999999E-2</v>
      </c>
      <c r="S579" s="443">
        <v>3.1931000000000001E-2</v>
      </c>
    </row>
    <row r="580" spans="14:19">
      <c r="N580" s="440">
        <v>577</v>
      </c>
      <c r="O580" s="441">
        <v>47400</v>
      </c>
      <c r="P580" s="440" t="s">
        <v>1005</v>
      </c>
      <c r="Q580" s="442">
        <f t="shared" si="14"/>
        <v>3.1905000000000003E-2</v>
      </c>
      <c r="R580" s="443">
        <v>2.3362999999999998E-2</v>
      </c>
      <c r="S580" s="443">
        <v>3.1905000000000003E-2</v>
      </c>
    </row>
    <row r="581" spans="14:19">
      <c r="N581" s="440">
        <v>578</v>
      </c>
      <c r="O581" s="441">
        <v>47500</v>
      </c>
      <c r="P581" s="440" t="s">
        <v>1006</v>
      </c>
      <c r="Q581" s="442">
        <f t="shared" ref="Q581:Q644" si="15">+S581</f>
        <v>3.1878999999999998E-2</v>
      </c>
      <c r="R581" s="443">
        <v>2.3342999999999999E-2</v>
      </c>
      <c r="S581" s="443">
        <v>3.1878999999999998E-2</v>
      </c>
    </row>
    <row r="582" spans="14:19">
      <c r="N582" s="440">
        <v>579</v>
      </c>
      <c r="O582" s="441">
        <v>47600</v>
      </c>
      <c r="P582" s="440" t="s">
        <v>1007</v>
      </c>
      <c r="Q582" s="442">
        <f t="shared" si="15"/>
        <v>3.1854E-2</v>
      </c>
      <c r="R582" s="443">
        <v>2.3321999999999999E-2</v>
      </c>
      <c r="S582" s="443">
        <v>3.1854E-2</v>
      </c>
    </row>
    <row r="583" spans="14:19">
      <c r="N583" s="440">
        <v>580</v>
      </c>
      <c r="O583" s="441">
        <v>47700</v>
      </c>
      <c r="P583" s="440" t="s">
        <v>1008</v>
      </c>
      <c r="Q583" s="442">
        <f t="shared" si="15"/>
        <v>3.1828000000000002E-2</v>
      </c>
      <c r="R583" s="443">
        <v>2.3302E-2</v>
      </c>
      <c r="S583" s="443">
        <v>3.1828000000000002E-2</v>
      </c>
    </row>
    <row r="584" spans="14:19">
      <c r="N584" s="440">
        <v>581</v>
      </c>
      <c r="O584" s="441">
        <v>47800</v>
      </c>
      <c r="P584" s="440" t="s">
        <v>1009</v>
      </c>
      <c r="Q584" s="442">
        <f t="shared" si="15"/>
        <v>3.1801999999999997E-2</v>
      </c>
      <c r="R584" s="443">
        <v>2.3282000000000001E-2</v>
      </c>
      <c r="S584" s="443">
        <v>3.1801999999999997E-2</v>
      </c>
    </row>
    <row r="585" spans="14:19">
      <c r="N585" s="440">
        <v>582</v>
      </c>
      <c r="O585" s="441">
        <v>47900</v>
      </c>
      <c r="P585" s="440" t="s">
        <v>1010</v>
      </c>
      <c r="Q585" s="442">
        <f t="shared" si="15"/>
        <v>3.1777E-2</v>
      </c>
      <c r="R585" s="443">
        <v>2.3262000000000001E-2</v>
      </c>
      <c r="S585" s="443">
        <v>3.1777E-2</v>
      </c>
    </row>
    <row r="586" spans="14:19">
      <c r="N586" s="440">
        <v>583</v>
      </c>
      <c r="O586" s="441">
        <v>48000</v>
      </c>
      <c r="P586" s="440" t="s">
        <v>1011</v>
      </c>
      <c r="Q586" s="442">
        <f t="shared" si="15"/>
        <v>3.1751000000000001E-2</v>
      </c>
      <c r="R586" s="443">
        <v>2.3241999999999999E-2</v>
      </c>
      <c r="S586" s="443">
        <v>3.1751000000000001E-2</v>
      </c>
    </row>
    <row r="587" spans="14:19">
      <c r="N587" s="440">
        <v>584</v>
      </c>
      <c r="O587" s="441">
        <v>48100</v>
      </c>
      <c r="P587" s="440" t="s">
        <v>1012</v>
      </c>
      <c r="Q587" s="442">
        <f t="shared" si="15"/>
        <v>3.1725999999999997E-2</v>
      </c>
      <c r="R587" s="443">
        <v>2.3220999999999999E-2</v>
      </c>
      <c r="S587" s="443">
        <v>3.1725999999999997E-2</v>
      </c>
    </row>
    <row r="588" spans="14:19">
      <c r="N588" s="440">
        <v>585</v>
      </c>
      <c r="O588" s="441">
        <v>48200</v>
      </c>
      <c r="P588" s="440" t="s">
        <v>1013</v>
      </c>
      <c r="Q588" s="442">
        <f t="shared" si="15"/>
        <v>3.1701E-2</v>
      </c>
      <c r="R588" s="443">
        <v>2.3200999999999999E-2</v>
      </c>
      <c r="S588" s="443">
        <v>3.1701E-2</v>
      </c>
    </row>
    <row r="589" spans="14:19">
      <c r="N589" s="440">
        <v>586</v>
      </c>
      <c r="O589" s="441">
        <v>48300</v>
      </c>
      <c r="P589" s="440" t="s">
        <v>1014</v>
      </c>
      <c r="Q589" s="442">
        <f t="shared" si="15"/>
        <v>3.1676000000000003E-2</v>
      </c>
      <c r="R589" s="443">
        <v>2.3182000000000001E-2</v>
      </c>
      <c r="S589" s="443">
        <v>3.1676000000000003E-2</v>
      </c>
    </row>
    <row r="590" spans="14:19">
      <c r="N590" s="440">
        <v>587</v>
      </c>
      <c r="O590" s="441">
        <v>48400</v>
      </c>
      <c r="P590" s="440" t="s">
        <v>1015</v>
      </c>
      <c r="Q590" s="442">
        <f t="shared" si="15"/>
        <v>3.1649999999999998E-2</v>
      </c>
      <c r="R590" s="443">
        <v>2.3161999999999999E-2</v>
      </c>
      <c r="S590" s="443">
        <v>3.1649999999999998E-2</v>
      </c>
    </row>
    <row r="591" spans="14:19">
      <c r="N591" s="440">
        <v>588</v>
      </c>
      <c r="O591" s="441">
        <v>48500</v>
      </c>
      <c r="P591" s="440" t="s">
        <v>1016</v>
      </c>
      <c r="Q591" s="442">
        <f t="shared" si="15"/>
        <v>3.1625E-2</v>
      </c>
      <c r="R591" s="443">
        <v>2.3141999999999999E-2</v>
      </c>
      <c r="S591" s="443">
        <v>3.1625E-2</v>
      </c>
    </row>
    <row r="592" spans="14:19">
      <c r="N592" s="440">
        <v>589</v>
      </c>
      <c r="O592" s="441">
        <v>48600</v>
      </c>
      <c r="P592" s="440" t="s">
        <v>1017</v>
      </c>
      <c r="Q592" s="442">
        <f t="shared" si="15"/>
        <v>3.1600000000000003E-2</v>
      </c>
      <c r="R592" s="443">
        <v>2.3122E-2</v>
      </c>
      <c r="S592" s="443">
        <v>3.1600000000000003E-2</v>
      </c>
    </row>
    <row r="593" spans="14:19">
      <c r="N593" s="440">
        <v>590</v>
      </c>
      <c r="O593" s="441">
        <v>48700</v>
      </c>
      <c r="P593" s="440" t="s">
        <v>1018</v>
      </c>
      <c r="Q593" s="442">
        <f t="shared" si="15"/>
        <v>3.1574999999999999E-2</v>
      </c>
      <c r="R593" s="443">
        <v>2.3102000000000001E-2</v>
      </c>
      <c r="S593" s="443">
        <v>3.1574999999999999E-2</v>
      </c>
    </row>
    <row r="594" spans="14:19">
      <c r="N594" s="440">
        <v>591</v>
      </c>
      <c r="O594" s="441">
        <v>48800</v>
      </c>
      <c r="P594" s="440" t="s">
        <v>1019</v>
      </c>
      <c r="Q594" s="442">
        <f t="shared" si="15"/>
        <v>3.1551000000000003E-2</v>
      </c>
      <c r="R594" s="443">
        <v>2.3082999999999999E-2</v>
      </c>
      <c r="S594" s="443">
        <v>3.1551000000000003E-2</v>
      </c>
    </row>
    <row r="595" spans="14:19">
      <c r="N595" s="440">
        <v>592</v>
      </c>
      <c r="O595" s="441">
        <v>48900</v>
      </c>
      <c r="P595" s="440" t="s">
        <v>1020</v>
      </c>
      <c r="Q595" s="442">
        <f t="shared" si="15"/>
        <v>3.1525999999999998E-2</v>
      </c>
      <c r="R595" s="443">
        <v>2.3063E-2</v>
      </c>
      <c r="S595" s="443">
        <v>3.1525999999999998E-2</v>
      </c>
    </row>
    <row r="596" spans="14:19">
      <c r="N596" s="440">
        <v>593</v>
      </c>
      <c r="O596" s="441">
        <v>49000</v>
      </c>
      <c r="P596" s="440" t="s">
        <v>1021</v>
      </c>
      <c r="Q596" s="442">
        <f t="shared" si="15"/>
        <v>3.1501000000000001E-2</v>
      </c>
      <c r="R596" s="443">
        <v>2.3043999999999999E-2</v>
      </c>
      <c r="S596" s="443">
        <v>3.1501000000000001E-2</v>
      </c>
    </row>
    <row r="597" spans="14:19">
      <c r="N597" s="440">
        <v>594</v>
      </c>
      <c r="O597" s="441">
        <v>49100</v>
      </c>
      <c r="P597" s="440" t="s">
        <v>1022</v>
      </c>
      <c r="Q597" s="442">
        <f t="shared" si="15"/>
        <v>3.1475999999999997E-2</v>
      </c>
      <c r="R597" s="443">
        <v>2.3023999999999999E-2</v>
      </c>
      <c r="S597" s="443">
        <v>3.1475999999999997E-2</v>
      </c>
    </row>
    <row r="598" spans="14:19">
      <c r="N598" s="440">
        <v>595</v>
      </c>
      <c r="O598" s="441">
        <v>49200</v>
      </c>
      <c r="P598" s="440" t="s">
        <v>1023</v>
      </c>
      <c r="Q598" s="442">
        <f t="shared" si="15"/>
        <v>3.1452000000000001E-2</v>
      </c>
      <c r="R598" s="443">
        <v>2.3005000000000001E-2</v>
      </c>
      <c r="S598" s="443">
        <v>3.1452000000000001E-2</v>
      </c>
    </row>
    <row r="599" spans="14:19">
      <c r="N599" s="440">
        <v>596</v>
      </c>
      <c r="O599" s="441">
        <v>49300</v>
      </c>
      <c r="P599" s="440" t="s">
        <v>1024</v>
      </c>
      <c r="Q599" s="442">
        <f t="shared" si="15"/>
        <v>3.1426999999999997E-2</v>
      </c>
      <c r="R599" s="443">
        <v>2.2984999999999998E-2</v>
      </c>
      <c r="S599" s="443">
        <v>3.1426999999999997E-2</v>
      </c>
    </row>
    <row r="600" spans="14:19">
      <c r="N600" s="440">
        <v>597</v>
      </c>
      <c r="O600" s="441">
        <v>49400</v>
      </c>
      <c r="P600" s="440" t="s">
        <v>1025</v>
      </c>
      <c r="Q600" s="442">
        <f t="shared" si="15"/>
        <v>3.1403E-2</v>
      </c>
      <c r="R600" s="443">
        <v>2.2966E-2</v>
      </c>
      <c r="S600" s="443">
        <v>3.1403E-2</v>
      </c>
    </row>
    <row r="601" spans="14:19">
      <c r="N601" s="440">
        <v>598</v>
      </c>
      <c r="O601" s="441">
        <v>49500</v>
      </c>
      <c r="P601" s="440" t="s">
        <v>1026</v>
      </c>
      <c r="Q601" s="442">
        <f t="shared" si="15"/>
        <v>3.1378000000000003E-2</v>
      </c>
      <c r="R601" s="443">
        <v>2.2946999999999999E-2</v>
      </c>
      <c r="S601" s="443">
        <v>3.1378000000000003E-2</v>
      </c>
    </row>
    <row r="602" spans="14:19">
      <c r="N602" s="440">
        <v>599</v>
      </c>
      <c r="O602" s="441">
        <v>49600</v>
      </c>
      <c r="P602" s="440" t="s">
        <v>1027</v>
      </c>
      <c r="Q602" s="442">
        <f t="shared" si="15"/>
        <v>3.1354E-2</v>
      </c>
      <c r="R602" s="443">
        <v>2.2926999999999999E-2</v>
      </c>
      <c r="S602" s="443">
        <v>3.1354E-2</v>
      </c>
    </row>
    <row r="603" spans="14:19">
      <c r="N603" s="440">
        <v>600</v>
      </c>
      <c r="O603" s="441">
        <v>49700</v>
      </c>
      <c r="P603" s="440" t="s">
        <v>1028</v>
      </c>
      <c r="Q603" s="442">
        <f t="shared" si="15"/>
        <v>3.1329999999999997E-2</v>
      </c>
      <c r="R603" s="443">
        <v>2.2908000000000001E-2</v>
      </c>
      <c r="S603" s="443">
        <v>3.1329999999999997E-2</v>
      </c>
    </row>
    <row r="604" spans="14:19">
      <c r="N604" s="440">
        <v>601</v>
      </c>
      <c r="O604" s="441">
        <v>49800</v>
      </c>
      <c r="P604" s="440" t="s">
        <v>1029</v>
      </c>
      <c r="Q604" s="442">
        <f t="shared" si="15"/>
        <v>3.1306E-2</v>
      </c>
      <c r="R604" s="443">
        <v>2.2889E-2</v>
      </c>
      <c r="S604" s="443">
        <v>3.1306E-2</v>
      </c>
    </row>
    <row r="605" spans="14:19">
      <c r="N605" s="440">
        <v>602</v>
      </c>
      <c r="O605" s="441">
        <v>49900</v>
      </c>
      <c r="P605" s="440" t="s">
        <v>1030</v>
      </c>
      <c r="Q605" s="442">
        <f t="shared" si="15"/>
        <v>3.1281999999999997E-2</v>
      </c>
      <c r="R605" s="443">
        <v>2.2870000000000001E-2</v>
      </c>
      <c r="S605" s="443">
        <v>3.1281999999999997E-2</v>
      </c>
    </row>
    <row r="606" spans="14:19">
      <c r="N606" s="440">
        <v>603</v>
      </c>
      <c r="O606" s="441">
        <v>50000</v>
      </c>
      <c r="P606" s="440" t="s">
        <v>1031</v>
      </c>
      <c r="Q606" s="442">
        <f t="shared" si="15"/>
        <v>3.1258000000000001E-2</v>
      </c>
      <c r="R606" s="443">
        <v>2.2851E-2</v>
      </c>
      <c r="S606" s="443">
        <v>3.1258000000000001E-2</v>
      </c>
    </row>
    <row r="607" spans="14:19">
      <c r="N607" s="440">
        <v>604</v>
      </c>
      <c r="O607" s="441">
        <v>50100</v>
      </c>
      <c r="P607" s="440" t="s">
        <v>1032</v>
      </c>
      <c r="Q607" s="442">
        <f t="shared" si="15"/>
        <v>3.1234000000000001E-2</v>
      </c>
      <c r="R607" s="443">
        <v>2.2832000000000002E-2</v>
      </c>
      <c r="S607" s="443">
        <v>3.1234000000000001E-2</v>
      </c>
    </row>
    <row r="608" spans="14:19">
      <c r="N608" s="440">
        <v>605</v>
      </c>
      <c r="O608" s="441">
        <v>50200</v>
      </c>
      <c r="P608" s="440" t="s">
        <v>1033</v>
      </c>
      <c r="Q608" s="442">
        <f t="shared" si="15"/>
        <v>3.1210000000000002E-2</v>
      </c>
      <c r="R608" s="443">
        <v>2.2813E-2</v>
      </c>
      <c r="S608" s="443">
        <v>3.1210000000000002E-2</v>
      </c>
    </row>
    <row r="609" spans="14:19">
      <c r="N609" s="440">
        <v>606</v>
      </c>
      <c r="O609" s="441">
        <v>50300</v>
      </c>
      <c r="P609" s="440" t="s">
        <v>1034</v>
      </c>
      <c r="Q609" s="442">
        <f t="shared" si="15"/>
        <v>3.1185999999999998E-2</v>
      </c>
      <c r="R609" s="443">
        <v>2.2793999999999998E-2</v>
      </c>
      <c r="S609" s="443">
        <v>3.1185999999999998E-2</v>
      </c>
    </row>
    <row r="610" spans="14:19">
      <c r="N610" s="440">
        <v>607</v>
      </c>
      <c r="O610" s="441">
        <v>50400</v>
      </c>
      <c r="P610" s="440" t="s">
        <v>1035</v>
      </c>
      <c r="Q610" s="442">
        <f t="shared" si="15"/>
        <v>3.1161999999999999E-2</v>
      </c>
      <c r="R610" s="443">
        <v>2.2776000000000001E-2</v>
      </c>
      <c r="S610" s="443">
        <v>3.1161999999999999E-2</v>
      </c>
    </row>
    <row r="611" spans="14:19">
      <c r="N611" s="440">
        <v>608</v>
      </c>
      <c r="O611" s="441">
        <v>50500</v>
      </c>
      <c r="P611" s="440" t="s">
        <v>1036</v>
      </c>
      <c r="Q611" s="442">
        <f t="shared" si="15"/>
        <v>3.1137999999999999E-2</v>
      </c>
      <c r="R611" s="443">
        <v>2.2756999999999999E-2</v>
      </c>
      <c r="S611" s="443">
        <v>3.1137999999999999E-2</v>
      </c>
    </row>
    <row r="612" spans="14:19">
      <c r="N612" s="440">
        <v>609</v>
      </c>
      <c r="O612" s="441">
        <v>50600</v>
      </c>
      <c r="P612" s="440" t="s">
        <v>1037</v>
      </c>
      <c r="Q612" s="442">
        <f t="shared" si="15"/>
        <v>3.1115E-2</v>
      </c>
      <c r="R612" s="443">
        <v>2.2738000000000001E-2</v>
      </c>
      <c r="S612" s="443">
        <v>3.1115E-2</v>
      </c>
    </row>
    <row r="613" spans="14:19">
      <c r="N613" s="440">
        <v>610</v>
      </c>
      <c r="O613" s="441">
        <v>50700</v>
      </c>
      <c r="P613" s="440" t="s">
        <v>1038</v>
      </c>
      <c r="Q613" s="442">
        <f t="shared" si="15"/>
        <v>3.1091000000000001E-2</v>
      </c>
      <c r="R613" s="443">
        <v>2.2720000000000001E-2</v>
      </c>
      <c r="S613" s="443">
        <v>3.1091000000000001E-2</v>
      </c>
    </row>
    <row r="614" spans="14:19">
      <c r="N614" s="440">
        <v>611</v>
      </c>
      <c r="O614" s="441">
        <v>50800</v>
      </c>
      <c r="P614" s="440" t="s">
        <v>1039</v>
      </c>
      <c r="Q614" s="442">
        <f t="shared" si="15"/>
        <v>3.1067999999999998E-2</v>
      </c>
      <c r="R614" s="443">
        <v>2.2700999999999999E-2</v>
      </c>
      <c r="S614" s="443">
        <v>3.1067999999999998E-2</v>
      </c>
    </row>
    <row r="615" spans="14:19">
      <c r="N615" s="440">
        <v>612</v>
      </c>
      <c r="O615" s="441">
        <v>50900</v>
      </c>
      <c r="P615" s="440" t="s">
        <v>1040</v>
      </c>
      <c r="Q615" s="442">
        <f t="shared" si="15"/>
        <v>3.1043999999999999E-2</v>
      </c>
      <c r="R615" s="443">
        <v>2.2682999999999998E-2</v>
      </c>
      <c r="S615" s="443">
        <v>3.1043999999999999E-2</v>
      </c>
    </row>
    <row r="616" spans="14:19">
      <c r="N616" s="440">
        <v>613</v>
      </c>
      <c r="O616" s="441">
        <v>51000</v>
      </c>
      <c r="P616" s="440" t="s">
        <v>1041</v>
      </c>
      <c r="Q616" s="442">
        <f t="shared" si="15"/>
        <v>3.1021E-2</v>
      </c>
      <c r="R616" s="443">
        <v>2.2664E-2</v>
      </c>
      <c r="S616" s="443">
        <v>3.1021E-2</v>
      </c>
    </row>
    <row r="617" spans="14:19">
      <c r="N617" s="440">
        <v>614</v>
      </c>
      <c r="O617" s="441">
        <v>51100</v>
      </c>
      <c r="P617" s="440" t="s">
        <v>1042</v>
      </c>
      <c r="Q617" s="442">
        <f t="shared" si="15"/>
        <v>3.0997E-2</v>
      </c>
      <c r="R617" s="443">
        <v>2.2645999999999999E-2</v>
      </c>
      <c r="S617" s="443">
        <v>3.0997E-2</v>
      </c>
    </row>
    <row r="618" spans="14:19">
      <c r="N618" s="440">
        <v>615</v>
      </c>
      <c r="O618" s="441">
        <v>51200</v>
      </c>
      <c r="P618" s="440" t="s">
        <v>1043</v>
      </c>
      <c r="Q618" s="442">
        <f t="shared" si="15"/>
        <v>3.0974000000000002E-2</v>
      </c>
      <c r="R618" s="443">
        <v>2.2627000000000001E-2</v>
      </c>
      <c r="S618" s="443">
        <v>3.0974000000000002E-2</v>
      </c>
    </row>
    <row r="619" spans="14:19">
      <c r="N619" s="440">
        <v>616</v>
      </c>
      <c r="O619" s="441">
        <v>51300</v>
      </c>
      <c r="P619" s="440" t="s">
        <v>1044</v>
      </c>
      <c r="Q619" s="442">
        <f t="shared" si="15"/>
        <v>3.0950999999999999E-2</v>
      </c>
      <c r="R619" s="443">
        <v>2.2609000000000001E-2</v>
      </c>
      <c r="S619" s="443">
        <v>3.0950999999999999E-2</v>
      </c>
    </row>
    <row r="620" spans="14:19">
      <c r="N620" s="440">
        <v>617</v>
      </c>
      <c r="O620" s="441">
        <v>51400</v>
      </c>
      <c r="P620" s="440" t="s">
        <v>1045</v>
      </c>
      <c r="Q620" s="442">
        <f t="shared" si="15"/>
        <v>3.0928000000000001E-2</v>
      </c>
      <c r="R620" s="443">
        <v>2.2591E-2</v>
      </c>
      <c r="S620" s="443">
        <v>3.0928000000000001E-2</v>
      </c>
    </row>
    <row r="621" spans="14:19">
      <c r="N621" s="440">
        <v>618</v>
      </c>
      <c r="O621" s="441">
        <v>51500</v>
      </c>
      <c r="P621" s="440" t="s">
        <v>1046</v>
      </c>
      <c r="Q621" s="442">
        <f t="shared" si="15"/>
        <v>3.0904999999999998E-2</v>
      </c>
      <c r="R621" s="443">
        <v>2.2572999999999999E-2</v>
      </c>
      <c r="S621" s="443">
        <v>3.0904999999999998E-2</v>
      </c>
    </row>
    <row r="622" spans="14:19">
      <c r="N622" s="440">
        <v>619</v>
      </c>
      <c r="O622" s="441">
        <v>51600</v>
      </c>
      <c r="P622" s="440" t="s">
        <v>1047</v>
      </c>
      <c r="Q622" s="442">
        <f t="shared" si="15"/>
        <v>3.0882E-2</v>
      </c>
      <c r="R622" s="443">
        <v>2.2554000000000001E-2</v>
      </c>
      <c r="S622" s="443">
        <v>3.0882E-2</v>
      </c>
    </row>
    <row r="623" spans="14:19">
      <c r="N623" s="440">
        <v>620</v>
      </c>
      <c r="O623" s="441">
        <v>51700</v>
      </c>
      <c r="P623" s="440" t="s">
        <v>1048</v>
      </c>
      <c r="Q623" s="442">
        <f t="shared" si="15"/>
        <v>3.0859000000000001E-2</v>
      </c>
      <c r="R623" s="443">
        <v>2.2536E-2</v>
      </c>
      <c r="S623" s="443">
        <v>3.0859000000000001E-2</v>
      </c>
    </row>
    <row r="624" spans="14:19">
      <c r="N624" s="440">
        <v>621</v>
      </c>
      <c r="O624" s="441">
        <v>51800</v>
      </c>
      <c r="P624" s="440" t="s">
        <v>1049</v>
      </c>
      <c r="Q624" s="442">
        <f t="shared" si="15"/>
        <v>3.0835999999999999E-2</v>
      </c>
      <c r="R624" s="443">
        <v>2.2518E-2</v>
      </c>
      <c r="S624" s="443">
        <v>3.0835999999999999E-2</v>
      </c>
    </row>
    <row r="625" spans="14:19">
      <c r="N625" s="440">
        <v>622</v>
      </c>
      <c r="O625" s="441">
        <v>51900</v>
      </c>
      <c r="P625" s="440" t="s">
        <v>1050</v>
      </c>
      <c r="Q625" s="442">
        <f t="shared" si="15"/>
        <v>3.0813E-2</v>
      </c>
      <c r="R625" s="443">
        <v>2.2499999999999999E-2</v>
      </c>
      <c r="S625" s="443">
        <v>3.0813E-2</v>
      </c>
    </row>
    <row r="626" spans="14:19">
      <c r="N626" s="440">
        <v>623</v>
      </c>
      <c r="O626" s="441">
        <v>52000</v>
      </c>
      <c r="P626" s="440" t="s">
        <v>1051</v>
      </c>
      <c r="Q626" s="442">
        <f t="shared" si="15"/>
        <v>3.0790000000000001E-2</v>
      </c>
      <c r="R626" s="443">
        <v>2.2481999999999999E-2</v>
      </c>
      <c r="S626" s="443">
        <v>3.0790000000000001E-2</v>
      </c>
    </row>
    <row r="627" spans="14:19">
      <c r="N627" s="440">
        <v>624</v>
      </c>
      <c r="O627" s="441">
        <v>52100</v>
      </c>
      <c r="P627" s="440" t="s">
        <v>1052</v>
      </c>
      <c r="Q627" s="442">
        <f t="shared" si="15"/>
        <v>3.0768E-2</v>
      </c>
      <c r="R627" s="443">
        <v>2.2464000000000001E-2</v>
      </c>
      <c r="S627" s="443">
        <v>3.0768E-2</v>
      </c>
    </row>
    <row r="628" spans="14:19">
      <c r="N628" s="440">
        <v>625</v>
      </c>
      <c r="O628" s="441">
        <v>52200</v>
      </c>
      <c r="P628" s="440" t="s">
        <v>1053</v>
      </c>
      <c r="Q628" s="442">
        <f t="shared" si="15"/>
        <v>3.0745000000000001E-2</v>
      </c>
      <c r="R628" s="443">
        <v>2.2446000000000001E-2</v>
      </c>
      <c r="S628" s="443">
        <v>3.0745000000000001E-2</v>
      </c>
    </row>
    <row r="629" spans="14:19">
      <c r="N629" s="440">
        <v>626</v>
      </c>
      <c r="O629" s="441">
        <v>52300</v>
      </c>
      <c r="P629" s="440" t="s">
        <v>1054</v>
      </c>
      <c r="Q629" s="442">
        <f t="shared" si="15"/>
        <v>3.0721999999999999E-2</v>
      </c>
      <c r="R629" s="443">
        <v>2.2429000000000001E-2</v>
      </c>
      <c r="S629" s="443">
        <v>3.0721999999999999E-2</v>
      </c>
    </row>
    <row r="630" spans="14:19">
      <c r="N630" s="440">
        <v>627</v>
      </c>
      <c r="O630" s="441">
        <v>52400</v>
      </c>
      <c r="P630" s="440" t="s">
        <v>1055</v>
      </c>
      <c r="Q630" s="442">
        <f t="shared" si="15"/>
        <v>3.0700000000000002E-2</v>
      </c>
      <c r="R630" s="443">
        <v>2.2411E-2</v>
      </c>
      <c r="S630" s="443">
        <v>3.0700000000000002E-2</v>
      </c>
    </row>
    <row r="631" spans="14:19">
      <c r="N631" s="440">
        <v>628</v>
      </c>
      <c r="O631" s="441">
        <v>52500</v>
      </c>
      <c r="P631" s="440" t="s">
        <v>1056</v>
      </c>
      <c r="Q631" s="442">
        <f t="shared" si="15"/>
        <v>3.0676999999999999E-2</v>
      </c>
      <c r="R631" s="443">
        <v>2.2393E-2</v>
      </c>
      <c r="S631" s="443">
        <v>3.0676999999999999E-2</v>
      </c>
    </row>
    <row r="632" spans="14:19">
      <c r="N632" s="440">
        <v>629</v>
      </c>
      <c r="O632" s="441">
        <v>52600</v>
      </c>
      <c r="P632" s="440" t="s">
        <v>1057</v>
      </c>
      <c r="Q632" s="442">
        <f t="shared" si="15"/>
        <v>3.0655000000000002E-2</v>
      </c>
      <c r="R632" s="443">
        <v>2.2374999999999999E-2</v>
      </c>
      <c r="S632" s="443">
        <v>3.0655000000000002E-2</v>
      </c>
    </row>
    <row r="633" spans="14:19">
      <c r="N633" s="440">
        <v>630</v>
      </c>
      <c r="O633" s="441">
        <v>52700</v>
      </c>
      <c r="P633" s="440" t="s">
        <v>1058</v>
      </c>
      <c r="Q633" s="442">
        <f t="shared" si="15"/>
        <v>3.0633000000000001E-2</v>
      </c>
      <c r="R633" s="443">
        <v>2.2357999999999999E-2</v>
      </c>
      <c r="S633" s="443">
        <v>3.0633000000000001E-2</v>
      </c>
    </row>
    <row r="634" spans="14:19">
      <c r="N634" s="440">
        <v>631</v>
      </c>
      <c r="O634" s="441">
        <v>52800</v>
      </c>
      <c r="P634" s="440" t="s">
        <v>1059</v>
      </c>
      <c r="Q634" s="442">
        <f t="shared" si="15"/>
        <v>3.0609999999999998E-2</v>
      </c>
      <c r="R634" s="443">
        <v>2.2339999999999999E-2</v>
      </c>
      <c r="S634" s="443">
        <v>3.0609999999999998E-2</v>
      </c>
    </row>
    <row r="635" spans="14:19">
      <c r="N635" s="440">
        <v>632</v>
      </c>
      <c r="O635" s="441">
        <v>52900</v>
      </c>
      <c r="P635" s="440" t="s">
        <v>1060</v>
      </c>
      <c r="Q635" s="442">
        <f t="shared" si="15"/>
        <v>3.0588000000000001E-2</v>
      </c>
      <c r="R635" s="443">
        <v>2.2322999999999999E-2</v>
      </c>
      <c r="S635" s="443">
        <v>3.0588000000000001E-2</v>
      </c>
    </row>
    <row r="636" spans="14:19">
      <c r="N636" s="440">
        <v>633</v>
      </c>
      <c r="O636" s="441">
        <v>53000</v>
      </c>
      <c r="P636" s="440" t="s">
        <v>1061</v>
      </c>
      <c r="Q636" s="442">
        <f t="shared" si="15"/>
        <v>3.0565999999999999E-2</v>
      </c>
      <c r="R636" s="443">
        <v>2.2304999999999998E-2</v>
      </c>
      <c r="S636" s="443">
        <v>3.0565999999999999E-2</v>
      </c>
    </row>
    <row r="637" spans="14:19">
      <c r="N637" s="440">
        <v>634</v>
      </c>
      <c r="O637" s="441">
        <v>53100</v>
      </c>
      <c r="P637" s="440" t="s">
        <v>1062</v>
      </c>
      <c r="Q637" s="442">
        <f t="shared" si="15"/>
        <v>3.0544000000000002E-2</v>
      </c>
      <c r="R637" s="443">
        <v>2.2287999999999999E-2</v>
      </c>
      <c r="S637" s="443">
        <v>3.0544000000000002E-2</v>
      </c>
    </row>
    <row r="638" spans="14:19">
      <c r="N638" s="440">
        <v>635</v>
      </c>
      <c r="O638" s="441">
        <v>53200</v>
      </c>
      <c r="P638" s="440" t="s">
        <v>1063</v>
      </c>
      <c r="Q638" s="442">
        <f t="shared" si="15"/>
        <v>3.0522000000000001E-2</v>
      </c>
      <c r="R638" s="443">
        <v>2.2270000000000002E-2</v>
      </c>
      <c r="S638" s="443">
        <v>3.0522000000000001E-2</v>
      </c>
    </row>
    <row r="639" spans="14:19">
      <c r="N639" s="440">
        <v>636</v>
      </c>
      <c r="O639" s="441">
        <v>53300</v>
      </c>
      <c r="P639" s="440" t="s">
        <v>1064</v>
      </c>
      <c r="Q639" s="442">
        <f t="shared" si="15"/>
        <v>3.0499999999999999E-2</v>
      </c>
      <c r="R639" s="443">
        <v>2.2252999999999998E-2</v>
      </c>
      <c r="S639" s="443">
        <v>3.0499999999999999E-2</v>
      </c>
    </row>
    <row r="640" spans="14:19">
      <c r="N640" s="440">
        <v>637</v>
      </c>
      <c r="O640" s="441">
        <v>53400</v>
      </c>
      <c r="P640" s="440" t="s">
        <v>1065</v>
      </c>
      <c r="Q640" s="442">
        <f t="shared" si="15"/>
        <v>3.0478000000000002E-2</v>
      </c>
      <c r="R640" s="443">
        <v>2.2235999999999999E-2</v>
      </c>
      <c r="S640" s="443">
        <v>3.0478000000000002E-2</v>
      </c>
    </row>
    <row r="641" spans="14:19">
      <c r="N641" s="440">
        <v>638</v>
      </c>
      <c r="O641" s="441">
        <v>53500</v>
      </c>
      <c r="P641" s="440" t="s">
        <v>1066</v>
      </c>
      <c r="Q641" s="442">
        <f t="shared" si="15"/>
        <v>3.0456E-2</v>
      </c>
      <c r="R641" s="443">
        <v>2.2218000000000002E-2</v>
      </c>
      <c r="S641" s="443">
        <v>3.0456E-2</v>
      </c>
    </row>
    <row r="642" spans="14:19">
      <c r="N642" s="440">
        <v>639</v>
      </c>
      <c r="O642" s="441">
        <v>53600</v>
      </c>
      <c r="P642" s="440" t="s">
        <v>1067</v>
      </c>
      <c r="Q642" s="442">
        <f t="shared" si="15"/>
        <v>3.0433999999999999E-2</v>
      </c>
      <c r="R642" s="443">
        <v>2.2200999999999999E-2</v>
      </c>
      <c r="S642" s="443">
        <v>3.0433999999999999E-2</v>
      </c>
    </row>
    <row r="643" spans="14:19">
      <c r="N643" s="440">
        <v>640</v>
      </c>
      <c r="O643" s="441">
        <v>53700</v>
      </c>
      <c r="P643" s="440" t="s">
        <v>1068</v>
      </c>
      <c r="Q643" s="442">
        <f t="shared" si="15"/>
        <v>3.0412000000000002E-2</v>
      </c>
      <c r="R643" s="443">
        <v>2.2183999999999999E-2</v>
      </c>
      <c r="S643" s="443">
        <v>3.0412000000000002E-2</v>
      </c>
    </row>
    <row r="644" spans="14:19">
      <c r="N644" s="440">
        <v>641</v>
      </c>
      <c r="O644" s="441">
        <v>53800</v>
      </c>
      <c r="P644" s="440" t="s">
        <v>1069</v>
      </c>
      <c r="Q644" s="442">
        <f t="shared" si="15"/>
        <v>3.0391000000000001E-2</v>
      </c>
      <c r="R644" s="443">
        <v>2.2166999999999999E-2</v>
      </c>
      <c r="S644" s="443">
        <v>3.0391000000000001E-2</v>
      </c>
    </row>
    <row r="645" spans="14:19">
      <c r="N645" s="440">
        <v>642</v>
      </c>
      <c r="O645" s="441">
        <v>53900</v>
      </c>
      <c r="P645" s="440" t="s">
        <v>1070</v>
      </c>
      <c r="Q645" s="442">
        <f t="shared" ref="Q645:Q656" si="16">+S645</f>
        <v>3.0369E-2</v>
      </c>
      <c r="R645" s="443">
        <v>2.215E-2</v>
      </c>
      <c r="S645" s="443">
        <v>3.0369E-2</v>
      </c>
    </row>
    <row r="646" spans="14:19">
      <c r="N646" s="440">
        <v>643</v>
      </c>
      <c r="O646" s="441">
        <v>54000</v>
      </c>
      <c r="P646" s="440" t="s">
        <v>1071</v>
      </c>
      <c r="Q646" s="442">
        <f t="shared" si="16"/>
        <v>3.0346999999999999E-2</v>
      </c>
      <c r="R646" s="443">
        <v>2.2133E-2</v>
      </c>
      <c r="S646" s="443">
        <v>3.0346999999999999E-2</v>
      </c>
    </row>
    <row r="647" spans="14:19">
      <c r="N647" s="440">
        <v>644</v>
      </c>
      <c r="O647" s="441">
        <v>54100</v>
      </c>
      <c r="P647" s="440" t="s">
        <v>1072</v>
      </c>
      <c r="Q647" s="442">
        <f t="shared" si="16"/>
        <v>3.0325999999999999E-2</v>
      </c>
      <c r="R647" s="443">
        <v>2.2116E-2</v>
      </c>
      <c r="S647" s="443">
        <v>3.0325999999999999E-2</v>
      </c>
    </row>
    <row r="648" spans="14:19">
      <c r="N648" s="440">
        <v>645</v>
      </c>
      <c r="O648" s="441">
        <v>54200</v>
      </c>
      <c r="P648" s="440" t="s">
        <v>1073</v>
      </c>
      <c r="Q648" s="442">
        <f t="shared" si="16"/>
        <v>3.0304000000000001E-2</v>
      </c>
      <c r="R648" s="443">
        <v>2.2099000000000001E-2</v>
      </c>
      <c r="S648" s="443">
        <v>3.0304000000000001E-2</v>
      </c>
    </row>
    <row r="649" spans="14:19">
      <c r="N649" s="440">
        <v>646</v>
      </c>
      <c r="O649" s="441">
        <v>54300</v>
      </c>
      <c r="P649" s="440" t="s">
        <v>1074</v>
      </c>
      <c r="Q649" s="442">
        <f t="shared" si="16"/>
        <v>3.0283000000000001E-2</v>
      </c>
      <c r="R649" s="443">
        <v>2.2082000000000001E-2</v>
      </c>
      <c r="S649" s="443">
        <v>3.0283000000000001E-2</v>
      </c>
    </row>
    <row r="650" spans="14:19">
      <c r="N650" s="440">
        <v>647</v>
      </c>
      <c r="O650" s="441">
        <v>54400</v>
      </c>
      <c r="P650" s="440" t="s">
        <v>1075</v>
      </c>
      <c r="Q650" s="442">
        <f t="shared" si="16"/>
        <v>3.0261E-2</v>
      </c>
      <c r="R650" s="443">
        <v>2.2065000000000001E-2</v>
      </c>
      <c r="S650" s="443">
        <v>3.0261E-2</v>
      </c>
    </row>
    <row r="651" spans="14:19">
      <c r="N651" s="440">
        <v>648</v>
      </c>
      <c r="O651" s="441">
        <v>54500</v>
      </c>
      <c r="P651" s="440" t="s">
        <v>1076</v>
      </c>
      <c r="Q651" s="442">
        <f t="shared" si="16"/>
        <v>3.024E-2</v>
      </c>
      <c r="R651" s="443">
        <v>2.2048000000000002E-2</v>
      </c>
      <c r="S651" s="443">
        <v>3.024E-2</v>
      </c>
    </row>
    <row r="652" spans="14:19">
      <c r="N652" s="440">
        <v>649</v>
      </c>
      <c r="O652" s="441">
        <v>54600</v>
      </c>
      <c r="P652" s="440" t="s">
        <v>1077</v>
      </c>
      <c r="Q652" s="442">
        <f t="shared" si="16"/>
        <v>3.0218999999999999E-2</v>
      </c>
      <c r="R652" s="443">
        <v>2.2032E-2</v>
      </c>
      <c r="S652" s="443">
        <v>3.0218999999999999E-2</v>
      </c>
    </row>
    <row r="653" spans="14:19">
      <c r="N653" s="440">
        <v>650</v>
      </c>
      <c r="O653" s="441">
        <v>54700</v>
      </c>
      <c r="P653" s="440" t="s">
        <v>1078</v>
      </c>
      <c r="Q653" s="442">
        <f t="shared" si="16"/>
        <v>3.0197999999999999E-2</v>
      </c>
      <c r="R653" s="443">
        <v>2.2015E-2</v>
      </c>
      <c r="S653" s="443">
        <v>3.0197999999999999E-2</v>
      </c>
    </row>
    <row r="654" spans="14:19">
      <c r="N654" s="440">
        <v>651</v>
      </c>
      <c r="O654" s="441">
        <v>54800</v>
      </c>
      <c r="P654" s="440" t="s">
        <v>1079</v>
      </c>
      <c r="Q654" s="442">
        <f t="shared" si="16"/>
        <v>3.0176000000000001E-2</v>
      </c>
      <c r="R654" s="443">
        <v>2.1998E-2</v>
      </c>
      <c r="S654" s="443">
        <v>3.0176000000000001E-2</v>
      </c>
    </row>
    <row r="655" spans="14:19">
      <c r="N655" s="440">
        <v>652</v>
      </c>
      <c r="O655" s="441">
        <v>54900</v>
      </c>
      <c r="P655" s="440" t="s">
        <v>1080</v>
      </c>
      <c r="Q655" s="442">
        <f t="shared" si="16"/>
        <v>3.0155000000000001E-2</v>
      </c>
      <c r="R655" s="443">
        <v>2.1982000000000002E-2</v>
      </c>
      <c r="S655" s="443">
        <v>3.0155000000000001E-2</v>
      </c>
    </row>
    <row r="656" spans="14:19">
      <c r="N656" s="440">
        <v>653</v>
      </c>
      <c r="O656" s="441">
        <v>55000</v>
      </c>
      <c r="P656" s="440" t="s">
        <v>1081</v>
      </c>
      <c r="Q656" s="442">
        <f t="shared" si="16"/>
        <v>3.0134000000000001E-2</v>
      </c>
      <c r="R656" s="443">
        <v>2.1964999999999998E-2</v>
      </c>
      <c r="S656" s="443">
        <v>3.0134000000000001E-2</v>
      </c>
    </row>
  </sheetData>
  <sheetProtection selectLockedCells="1" selectUnlockedCells="1"/>
  <mergeCells count="3">
    <mergeCell ref="AS3:AU3"/>
    <mergeCell ref="AS4:AT4"/>
    <mergeCell ref="AU4:AU5"/>
  </mergeCells>
  <phoneticPr fontId="9" type="noConversion"/>
  <printOptions gridLines="1" gridLinesSet="0"/>
  <pageMargins left="0.75" right="0.75" top="1" bottom="1" header="0.511811024" footer="0.511811024"/>
  <pageSetup orientation="portrait" horizontalDpi="300" verticalDpi="300" r:id="rId1"/>
  <headerFooter alignWithMargins="0">
    <oddHeader>&amp;A</oddHeader>
    <oddFooter>Página &amp;P</oddFooter>
  </headerFooter>
  <ignoredErrors>
    <ignoredError sqref="AS8:AS12"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AC1025"/>
  <sheetViews>
    <sheetView zoomScaleNormal="100" workbookViewId="0">
      <pane ySplit="2" topLeftCell="A3" activePane="bottomLeft" state="frozen"/>
      <selection pane="bottomLeft" activeCell="A3" sqref="A3"/>
    </sheetView>
  </sheetViews>
  <sheetFormatPr baseColWidth="10" defaultRowHeight="12.5"/>
  <cols>
    <col min="1" max="4" width="19" customWidth="1"/>
    <col min="5" max="5" width="19" style="1" customWidth="1"/>
    <col min="6" max="7" width="19" customWidth="1"/>
    <col min="8" max="8" width="6.1796875" bestFit="1" customWidth="1"/>
    <col min="9" max="9" width="10.54296875" customWidth="1"/>
    <col min="10" max="10" width="21.453125" customWidth="1"/>
    <col min="11" max="11" width="25.81640625" customWidth="1"/>
    <col min="12" max="12" width="2.81640625" customWidth="1"/>
    <col min="13" max="13" width="10.54296875" customWidth="1"/>
    <col min="14" max="23" width="19" customWidth="1"/>
    <col min="24" max="24" width="19" style="1" customWidth="1"/>
    <col min="25" max="25" width="13.1796875" bestFit="1" customWidth="1"/>
    <col min="26" max="26" width="21.453125" bestFit="1" customWidth="1"/>
    <col min="29" max="29" width="132.54296875" bestFit="1" customWidth="1"/>
  </cols>
  <sheetData>
    <row r="1" spans="1:26" ht="13.5" thickBot="1">
      <c r="A1" s="83" t="s">
        <v>48</v>
      </c>
      <c r="B1" s="83" t="s">
        <v>44</v>
      </c>
      <c r="C1" s="83" t="s">
        <v>42</v>
      </c>
      <c r="D1" s="84" t="s">
        <v>43</v>
      </c>
      <c r="E1" s="79" t="s">
        <v>49</v>
      </c>
      <c r="F1" s="3"/>
      <c r="G1" s="4"/>
      <c r="H1" s="15"/>
      <c r="I1" s="2" t="s">
        <v>64</v>
      </c>
      <c r="J1" s="3"/>
      <c r="K1" s="4"/>
      <c r="L1" s="5"/>
      <c r="M1" s="2" t="s">
        <v>141</v>
      </c>
      <c r="N1" s="2"/>
      <c r="O1" s="2"/>
      <c r="P1" s="2"/>
      <c r="S1" s="2" t="s">
        <v>50</v>
      </c>
      <c r="T1" s="4"/>
      <c r="X1" s="2" t="s">
        <v>82</v>
      </c>
      <c r="Y1" s="3"/>
      <c r="Z1" s="4"/>
    </row>
    <row r="2" spans="1:26" ht="13.5" thickBot="1">
      <c r="A2" s="83" t="str">
        <f ca="1">IF(OR(NOT(ISERR(CODE('CAPTURA LISTADO'!B7)=48)),'CAPTURA LISTADO'!B7&gt;0),'CAPTURA LISTADO'!B7,IF('CAPTURA LISTADO'!A7&lt;&gt;0,INT((TODAY()-'CAPTURA LISTADO'!A7)/365)," "))</f>
        <v xml:space="preserve"> </v>
      </c>
      <c r="B2" s="83" t="str">
        <f>IF('CAPTURA LISTADO'!D7&lt;&gt;"M",IF('CAPTURA LISTADO'!D7&lt;&gt;"F"," ",'CAPTURA LISTADO'!D7),'CAPTURA LISTADO'!D7)</f>
        <v xml:space="preserve"> </v>
      </c>
      <c r="C2" s="83" t="str">
        <f ca="1">+A2</f>
        <v xml:space="preserve"> </v>
      </c>
      <c r="D2" s="83" t="str">
        <f>IF(AND('CAPTURA LISTADO'!C7&lt;&gt;"T",'CAPTURA LISTADO'!C7&lt;&gt;"C",'CAPTURA LISTADO'!C7&lt;&gt;"H")," ",'CAPTURA LISTADO'!C7)</f>
        <v xml:space="preserve"> </v>
      </c>
      <c r="E2" s="80" t="s">
        <v>51</v>
      </c>
      <c r="F2" s="7" t="s">
        <v>45</v>
      </c>
      <c r="G2" s="8" t="s">
        <v>46</v>
      </c>
      <c r="H2" s="16"/>
      <c r="I2" s="6" t="s">
        <v>51</v>
      </c>
      <c r="J2" s="7" t="s">
        <v>45</v>
      </c>
      <c r="K2" s="8" t="s">
        <v>46</v>
      </c>
      <c r="L2" s="5"/>
      <c r="M2" s="6" t="s">
        <v>51</v>
      </c>
      <c r="N2" s="8" t="s">
        <v>143</v>
      </c>
      <c r="O2" s="8" t="s">
        <v>142</v>
      </c>
      <c r="P2" s="8" t="s">
        <v>52</v>
      </c>
      <c r="S2" s="6" t="s">
        <v>51</v>
      </c>
      <c r="T2" s="8" t="s">
        <v>46</v>
      </c>
      <c r="X2" s="6" t="s">
        <v>51</v>
      </c>
      <c r="Y2" s="7" t="s">
        <v>45</v>
      </c>
      <c r="Z2" s="8" t="s">
        <v>46</v>
      </c>
    </row>
    <row r="3" spans="1:26" ht="13.5" thickBot="1">
      <c r="A3" s="83" t="str">
        <f ca="1">IF(OR(NOT(ISERR(CODE('CAPTURA LISTADO'!B8)=48)),'CAPTURA LISTADO'!B8&gt;0),'CAPTURA LISTADO'!B8,IF('CAPTURA LISTADO'!A8&lt;&gt;0,INT((TODAY()-'CAPTURA LISTADO'!A8)/365)," "))</f>
        <v xml:space="preserve"> </v>
      </c>
      <c r="B3" s="83" t="str">
        <f>IF('CAPTURA LISTADO'!D8&lt;&gt;"M",IF('CAPTURA LISTADO'!D8&lt;&gt;"F"," ",'CAPTURA LISTADO'!D8),'CAPTURA LISTADO'!D8)</f>
        <v xml:space="preserve"> </v>
      </c>
      <c r="C3" s="83" t="str">
        <f t="shared" ref="C3:C9" ca="1" si="0">+A3</f>
        <v xml:space="preserve"> </v>
      </c>
      <c r="D3" s="83" t="str">
        <f>IF(AND('CAPTURA LISTADO'!C8&lt;&gt;"T",'CAPTURA LISTADO'!C8&lt;&gt;"C",'CAPTURA LISTADO'!C8&lt;&gt;"H")," ",'CAPTURA LISTADO'!C8)</f>
        <v xml:space="preserve"> </v>
      </c>
      <c r="E3" s="81">
        <v>0</v>
      </c>
      <c r="F3" s="10">
        <f ca="1">+DCOUNTA($B$1:$C$995,$C$1,E106:G107)</f>
        <v>0</v>
      </c>
      <c r="G3" s="10">
        <f ca="1">+DCOUNTA($B$1:$C$995,$C$1,E308:G309)</f>
        <v>0</v>
      </c>
      <c r="H3" s="5"/>
      <c r="I3" s="9">
        <v>0</v>
      </c>
      <c r="J3" s="10">
        <f ca="1">+DCOUNTA($B$1:$D$995,$C$1,I106:K107)</f>
        <v>0</v>
      </c>
      <c r="K3" s="10">
        <f ca="1">+DCOUNTA($B$1:$D$995,$C$1,I308:K309)</f>
        <v>0</v>
      </c>
      <c r="L3" s="5"/>
      <c r="M3" s="19">
        <v>18</v>
      </c>
      <c r="N3" s="10">
        <f ca="1">DCOUNTA($B$1:$D$995,$C$1,N89:P90)</f>
        <v>0</v>
      </c>
      <c r="O3" s="10">
        <f ca="1">DCOUNTA($B$1:$D$995,$C$1,N35:P36)</f>
        <v>0</v>
      </c>
      <c r="P3" s="10">
        <f t="shared" ref="P3:P29" ca="1" si="1">+N3+O3</f>
        <v>0</v>
      </c>
      <c r="S3" s="19">
        <v>18</v>
      </c>
      <c r="T3" s="10">
        <f ca="1">DCOUNTA($B$1:$D$995,$C$1,T35:V36)</f>
        <v>0</v>
      </c>
      <c r="X3" s="9">
        <v>0</v>
      </c>
      <c r="Y3" s="10">
        <f ca="1">+DCOUNTA($B$1:$D$995,$C$1,X106:Z107)</f>
        <v>0</v>
      </c>
      <c r="Z3" s="10">
        <f ca="1">+DCOUNTA($B$1:$D$995,$C$1,X308:Z309)</f>
        <v>0</v>
      </c>
    </row>
    <row r="4" spans="1:26" ht="13.5" thickBot="1">
      <c r="A4" s="83" t="str">
        <f ca="1">IF(OR(NOT(ISERR(CODE('CAPTURA LISTADO'!B9)=48)),'CAPTURA LISTADO'!B9&gt;0),'CAPTURA LISTADO'!B9,IF('CAPTURA LISTADO'!A9&lt;&gt;0,INT((TODAY()-'CAPTURA LISTADO'!A9)/365)," "))</f>
        <v xml:space="preserve"> </v>
      </c>
      <c r="B4" s="83" t="str">
        <f>IF('CAPTURA LISTADO'!D9&lt;&gt;"M",IF('CAPTURA LISTADO'!D9&lt;&gt;"F"," ",'CAPTURA LISTADO'!D9),'CAPTURA LISTADO'!D9)</f>
        <v xml:space="preserve"> </v>
      </c>
      <c r="C4" s="83" t="str">
        <f t="shared" ca="1" si="0"/>
        <v xml:space="preserve"> </v>
      </c>
      <c r="D4" s="83" t="str">
        <f>IF(AND('CAPTURA LISTADO'!C9&lt;&gt;"T",'CAPTURA LISTADO'!C9&lt;&gt;"C",'CAPTURA LISTADO'!C9&lt;&gt;"H")," ",'CAPTURA LISTADO'!C9)</f>
        <v xml:space="preserve"> </v>
      </c>
      <c r="E4" s="82">
        <v>1</v>
      </c>
      <c r="F4" s="10">
        <f ca="1">+DCOUNTA($B$1:$C$995,$C$1,E108:G109)</f>
        <v>0</v>
      </c>
      <c r="G4" s="10">
        <f ca="1">+DCOUNTA($B$1:$C$995,$C$1,E310:G311)</f>
        <v>0</v>
      </c>
      <c r="H4" s="5"/>
      <c r="I4" s="19">
        <v>1</v>
      </c>
      <c r="J4" s="10">
        <f ca="1">+DCOUNTA($B$1:$D$995,$C$1,I108:K109)</f>
        <v>0</v>
      </c>
      <c r="K4" s="10">
        <f ca="1">+DCOUNTA($B$1:$D$995,$C$1,I310:K311)</f>
        <v>0</v>
      </c>
      <c r="L4" s="5"/>
      <c r="M4" s="19">
        <v>19</v>
      </c>
      <c r="N4" s="10">
        <f ca="1">DCOUNTA($B$1:$D$995,$C$1,N91:P92)</f>
        <v>0</v>
      </c>
      <c r="O4" s="10">
        <f ca="1">DCOUNTA($B$1:$D$995,$C$1,N37:P38)</f>
        <v>0</v>
      </c>
      <c r="P4" s="10">
        <f t="shared" ca="1" si="1"/>
        <v>0</v>
      </c>
      <c r="S4" s="19">
        <v>19</v>
      </c>
      <c r="T4" s="10">
        <f ca="1">DCOUNTA($B$1:$D$995,$C$1,T37:V38)</f>
        <v>0</v>
      </c>
      <c r="X4" s="19">
        <v>1</v>
      </c>
      <c r="Y4" s="10">
        <f ca="1">+DCOUNTA($B$1:$D$995,$C$1,X108:Z109)</f>
        <v>0</v>
      </c>
      <c r="Z4" s="10">
        <f ca="1">+DCOUNTA($B$1:$D$995,$C$1,X310:Z311)</f>
        <v>0</v>
      </c>
    </row>
    <row r="5" spans="1:26" ht="13.5" thickBot="1">
      <c r="A5" s="83" t="str">
        <f ca="1">IF(OR(NOT(ISERR(CODE('CAPTURA LISTADO'!B10)=48)),'CAPTURA LISTADO'!B10&gt;0),'CAPTURA LISTADO'!B10,IF('CAPTURA LISTADO'!A10&lt;&gt;0,INT((TODAY()-'CAPTURA LISTADO'!A10)/365)," "))</f>
        <v xml:space="preserve"> </v>
      </c>
      <c r="B5" s="83" t="str">
        <f>IF('CAPTURA LISTADO'!D10&lt;&gt;"M",IF('CAPTURA LISTADO'!D10&lt;&gt;"F"," ",'CAPTURA LISTADO'!D10),'CAPTURA LISTADO'!D10)</f>
        <v xml:space="preserve"> </v>
      </c>
      <c r="C5" s="83" t="str">
        <f t="shared" ca="1" si="0"/>
        <v xml:space="preserve"> </v>
      </c>
      <c r="D5" s="83" t="str">
        <f>IF(AND('CAPTURA LISTADO'!C10&lt;&gt;"T",'CAPTURA LISTADO'!C10&lt;&gt;"C",'CAPTURA LISTADO'!C10&lt;&gt;"H")," ",'CAPTURA LISTADO'!C10)</f>
        <v xml:space="preserve"> </v>
      </c>
      <c r="E5" s="82">
        <v>2</v>
      </c>
      <c r="F5" s="10">
        <f ca="1">+DCOUNTA($B$1:$C$995,$C$1,E110:G111)</f>
        <v>0</v>
      </c>
      <c r="G5" s="10">
        <f ca="1">+DCOUNTA($B$1:$C$995,$C$1,E312:G313)</f>
        <v>0</v>
      </c>
      <c r="H5" s="5"/>
      <c r="I5" s="19">
        <v>2</v>
      </c>
      <c r="J5" s="10">
        <f ca="1">+DCOUNTA($B$1:$D$995,$C$1,I110:K111)</f>
        <v>0</v>
      </c>
      <c r="K5" s="10">
        <f ca="1">+DCOUNTA($B$1:$D$995,$C$1,I312:K313)</f>
        <v>0</v>
      </c>
      <c r="L5" s="5"/>
      <c r="M5" s="11">
        <v>20</v>
      </c>
      <c r="N5" s="10">
        <f ca="1">DCOUNTA($B$1:$D$995,$C$1,N93:P94)</f>
        <v>0</v>
      </c>
      <c r="O5" s="10">
        <f ca="1">DCOUNTA($B$1:$D$995,$C$1,N39:P40)</f>
        <v>0</v>
      </c>
      <c r="P5" s="10">
        <f t="shared" ca="1" si="1"/>
        <v>0</v>
      </c>
      <c r="S5" s="11">
        <v>20</v>
      </c>
      <c r="T5" s="10">
        <f ca="1">DCOUNTA($B$1:$D$995,$C$1,T39:V40)</f>
        <v>0</v>
      </c>
      <c r="X5" s="19">
        <v>2</v>
      </c>
      <c r="Y5" s="10">
        <f ca="1">+DCOUNTA($B$1:$D$995,$C$1,X110:Z111)</f>
        <v>0</v>
      </c>
      <c r="Z5" s="10">
        <f ca="1">+DCOUNTA($B$1:$D$995,$C$1,X312:Z313)</f>
        <v>0</v>
      </c>
    </row>
    <row r="6" spans="1:26" ht="13.5" thickBot="1">
      <c r="A6" s="83" t="str">
        <f ca="1">IF(OR(NOT(ISERR(CODE('CAPTURA LISTADO'!B11)=48)),'CAPTURA LISTADO'!B11&gt;0),'CAPTURA LISTADO'!B11,IF('CAPTURA LISTADO'!A11&lt;&gt;0,INT((TODAY()-'CAPTURA LISTADO'!A11)/365)," "))</f>
        <v xml:space="preserve"> </v>
      </c>
      <c r="B6" s="83" t="str">
        <f>IF('CAPTURA LISTADO'!D11&lt;&gt;"M",IF('CAPTURA LISTADO'!D11&lt;&gt;"F"," ",'CAPTURA LISTADO'!D11),'CAPTURA LISTADO'!D11)</f>
        <v xml:space="preserve"> </v>
      </c>
      <c r="C6" s="83" t="str">
        <f t="shared" ca="1" si="0"/>
        <v xml:space="preserve"> </v>
      </c>
      <c r="D6" s="83" t="str">
        <f>IF(AND('CAPTURA LISTADO'!C11&lt;&gt;"T",'CAPTURA LISTADO'!C11&lt;&gt;"C",'CAPTURA LISTADO'!C11&lt;&gt;"H")," ",'CAPTURA LISTADO'!C11)</f>
        <v xml:space="preserve"> </v>
      </c>
      <c r="E6" s="82">
        <v>3</v>
      </c>
      <c r="F6" s="10">
        <f ca="1">+DCOUNTA($B$1:$C$995,$C$1,E112:G113)</f>
        <v>0</v>
      </c>
      <c r="G6" s="10">
        <f ca="1">+DCOUNTA($B$1:$C$995,$C$1,E314:G315)</f>
        <v>0</v>
      </c>
      <c r="H6" s="5"/>
      <c r="I6" s="19">
        <v>3</v>
      </c>
      <c r="J6" s="10">
        <f ca="1">+DCOUNTA($B$1:$D$995,$C$1,I112:K113)</f>
        <v>0</v>
      </c>
      <c r="K6" s="10">
        <f ca="1">+DCOUNTA($B$1:$D$995,$C$1,I314:K315)</f>
        <v>0</v>
      </c>
      <c r="L6" s="5"/>
      <c r="M6" s="11">
        <v>21</v>
      </c>
      <c r="N6" s="10">
        <f ca="1">DCOUNTA($B$1:$D$995,$C$1,N95:P96)</f>
        <v>0</v>
      </c>
      <c r="O6" s="10">
        <f ca="1">DCOUNTA($B$1:$D$995,$C$1,N41:P42)</f>
        <v>0</v>
      </c>
      <c r="P6" s="10">
        <f t="shared" ca="1" si="1"/>
        <v>0</v>
      </c>
      <c r="S6" s="11">
        <v>21</v>
      </c>
      <c r="T6" s="10">
        <f ca="1">DCOUNTA($B$1:$D$995,$C$1,T41:V42)</f>
        <v>0</v>
      </c>
      <c r="X6" s="19">
        <v>3</v>
      </c>
      <c r="Y6" s="10">
        <f ca="1">+DCOUNTA($B$1:$D$995,$C$1,X112:Z113)</f>
        <v>0</v>
      </c>
      <c r="Z6" s="10">
        <f ca="1">+DCOUNTA($B$1:$D$995,$C$1,X314:Z315)</f>
        <v>0</v>
      </c>
    </row>
    <row r="7" spans="1:26" ht="13.5" thickBot="1">
      <c r="A7" s="83" t="str">
        <f ca="1">IF(OR(NOT(ISERR(CODE('CAPTURA LISTADO'!B12)=48)),'CAPTURA LISTADO'!B12&gt;0),'CAPTURA LISTADO'!B12,IF('CAPTURA LISTADO'!A12&lt;&gt;0,INT((TODAY()-'CAPTURA LISTADO'!A12)/365)," "))</f>
        <v xml:space="preserve"> </v>
      </c>
      <c r="B7" s="83" t="str">
        <f>IF('CAPTURA LISTADO'!D12&lt;&gt;"M",IF('CAPTURA LISTADO'!D12&lt;&gt;"F"," ",'CAPTURA LISTADO'!D12),'CAPTURA LISTADO'!D12)</f>
        <v xml:space="preserve"> </v>
      </c>
      <c r="C7" s="83" t="str">
        <f t="shared" ca="1" si="0"/>
        <v xml:space="preserve"> </v>
      </c>
      <c r="D7" s="83" t="str">
        <f>IF(AND('CAPTURA LISTADO'!C12&lt;&gt;"T",'CAPTURA LISTADO'!C12&lt;&gt;"C",'CAPTURA LISTADO'!C12&lt;&gt;"H")," ",'CAPTURA LISTADO'!C12)</f>
        <v xml:space="preserve"> </v>
      </c>
      <c r="E7" s="82">
        <v>4</v>
      </c>
      <c r="F7" s="10">
        <f ca="1">+DCOUNTA($B$1:$C$995,$C$1,E114:G115)</f>
        <v>0</v>
      </c>
      <c r="G7" s="10">
        <f ca="1">+DCOUNTA($B$1:$C$995,$C$1,E316:G317)</f>
        <v>0</v>
      </c>
      <c r="H7" s="5"/>
      <c r="I7" s="19">
        <v>4</v>
      </c>
      <c r="J7" s="10">
        <f ca="1">+DCOUNTA($B$1:$D$995,$C$1,I114:K115)</f>
        <v>0</v>
      </c>
      <c r="K7" s="10">
        <f ca="1">+DCOUNTA($B$1:$D$995,$C$1,I316:K317)</f>
        <v>0</v>
      </c>
      <c r="L7" s="5"/>
      <c r="M7" s="11">
        <v>22</v>
      </c>
      <c r="N7" s="10">
        <f ca="1">DCOUNTA($B$1:$D$995,$C$1,N97:P98)</f>
        <v>0</v>
      </c>
      <c r="O7" s="10">
        <f ca="1">DCOUNTA($B$1:$D$995,$C$1,N43:P44)</f>
        <v>0</v>
      </c>
      <c r="P7" s="10">
        <f t="shared" ca="1" si="1"/>
        <v>0</v>
      </c>
      <c r="S7" s="11">
        <v>22</v>
      </c>
      <c r="T7" s="10">
        <f ca="1">DCOUNTA($B$1:$D$995,$C$1,T43:V44)</f>
        <v>0</v>
      </c>
      <c r="X7" s="19">
        <v>4</v>
      </c>
      <c r="Y7" s="10">
        <f ca="1">+DCOUNTA($B$1:$D$995,$C$1,X114:Z115)</f>
        <v>0</v>
      </c>
      <c r="Z7" s="10">
        <f ca="1">+DCOUNTA($B$1:$D$995,$C$1,X316:Z317)</f>
        <v>0</v>
      </c>
    </row>
    <row r="8" spans="1:26" ht="13.5" thickBot="1">
      <c r="A8" s="83" t="str">
        <f ca="1">IF(OR(NOT(ISERR(CODE('CAPTURA LISTADO'!B13)=48)),'CAPTURA LISTADO'!B13&gt;0),'CAPTURA LISTADO'!B13,IF('CAPTURA LISTADO'!A13&lt;&gt;0,INT((TODAY()-'CAPTURA LISTADO'!A13)/365)," "))</f>
        <v xml:space="preserve"> </v>
      </c>
      <c r="B8" s="83" t="str">
        <f>IF('CAPTURA LISTADO'!D13&lt;&gt;"M",IF('CAPTURA LISTADO'!D13&lt;&gt;"F"," ",'CAPTURA LISTADO'!D13),'CAPTURA LISTADO'!D13)</f>
        <v xml:space="preserve"> </v>
      </c>
      <c r="C8" s="83" t="str">
        <f t="shared" ca="1" si="0"/>
        <v xml:space="preserve"> </v>
      </c>
      <c r="D8" s="83" t="str">
        <f>IF(AND('CAPTURA LISTADO'!C13&lt;&gt;"T",'CAPTURA LISTADO'!C13&lt;&gt;"C",'CAPTURA LISTADO'!C13&lt;&gt;"H")," ",'CAPTURA LISTADO'!C13)</f>
        <v xml:space="preserve"> </v>
      </c>
      <c r="E8" s="82">
        <v>5</v>
      </c>
      <c r="F8" s="10">
        <f ca="1">+DCOUNTA($B$1:$C$995,$C$1,E116:G117)</f>
        <v>0</v>
      </c>
      <c r="G8" s="10">
        <f ca="1">+DCOUNTA($B$1:$C$995,$C$1,E318:G319)</f>
        <v>0</v>
      </c>
      <c r="H8" s="5"/>
      <c r="I8" s="19">
        <v>5</v>
      </c>
      <c r="J8" s="10">
        <f ca="1">+DCOUNTA($B$1:$D$995,$C$1,I116:K117)</f>
        <v>0</v>
      </c>
      <c r="K8" s="10">
        <f ca="1">+DCOUNTA($B$1:$D$995,$C$1,I318:K319)</f>
        <v>0</v>
      </c>
      <c r="L8" s="5"/>
      <c r="M8" s="11">
        <v>23</v>
      </c>
      <c r="N8" s="10">
        <f ca="1">DCOUNTA($B$1:$D$995,$C$1,N99:P100)</f>
        <v>0</v>
      </c>
      <c r="O8" s="10">
        <f ca="1">DCOUNTA($B$1:$D$995,$C$1,N45:P46)</f>
        <v>0</v>
      </c>
      <c r="P8" s="10">
        <f t="shared" ca="1" si="1"/>
        <v>0</v>
      </c>
      <c r="S8" s="11">
        <v>23</v>
      </c>
      <c r="T8" s="10">
        <f ca="1">DCOUNTA($B$1:$D$995,$C$1,T45:V46)</f>
        <v>0</v>
      </c>
      <c r="X8" s="19">
        <v>5</v>
      </c>
      <c r="Y8" s="10">
        <f ca="1">+DCOUNTA($B$1:$D$995,$C$1,X116:Z117)</f>
        <v>0</v>
      </c>
      <c r="Z8" s="10">
        <f ca="1">+DCOUNTA($B$1:$D$995,$C$1,X318:Z319)</f>
        <v>0</v>
      </c>
    </row>
    <row r="9" spans="1:26" ht="13.5" thickBot="1">
      <c r="A9" s="83" t="str">
        <f ca="1">IF(OR(NOT(ISERR(CODE('CAPTURA LISTADO'!B14)=48)),'CAPTURA LISTADO'!B14&gt;0),'CAPTURA LISTADO'!B14,IF('CAPTURA LISTADO'!A14&lt;&gt;0,INT((TODAY()-'CAPTURA LISTADO'!A14)/365)," "))</f>
        <v xml:space="preserve"> </v>
      </c>
      <c r="B9" s="83" t="str">
        <f>IF('CAPTURA LISTADO'!D14&lt;&gt;"M",IF('CAPTURA LISTADO'!D14&lt;&gt;"F"," ",'CAPTURA LISTADO'!D14),'CAPTURA LISTADO'!D14)</f>
        <v xml:space="preserve"> </v>
      </c>
      <c r="C9" s="83" t="str">
        <f t="shared" ca="1" si="0"/>
        <v xml:space="preserve"> </v>
      </c>
      <c r="D9" s="83" t="str">
        <f>IF(AND('CAPTURA LISTADO'!C14&lt;&gt;"T",'CAPTURA LISTADO'!C14&lt;&gt;"C",'CAPTURA LISTADO'!C14&lt;&gt;"H")," ",'CAPTURA LISTADO'!C14)</f>
        <v xml:space="preserve"> </v>
      </c>
      <c r="E9" s="82">
        <v>6</v>
      </c>
      <c r="F9" s="10">
        <f ca="1">+DCOUNTA($B$1:$C$995,$C$1,E118:G119)</f>
        <v>0</v>
      </c>
      <c r="G9" s="10">
        <f ca="1">+DCOUNTA($B$1:$C$995,$C$1,E320:G321)</f>
        <v>0</v>
      </c>
      <c r="H9" s="5"/>
      <c r="I9" s="19">
        <v>6</v>
      </c>
      <c r="J9" s="10">
        <f ca="1">+DCOUNTA($B$1:$D$995,$C$1,I118:K119)</f>
        <v>0</v>
      </c>
      <c r="K9" s="10">
        <f ca="1">+DCOUNTA($B$1:$D$995,$C$1,I320:K321)</f>
        <v>0</v>
      </c>
      <c r="L9" s="5"/>
      <c r="M9" s="11">
        <v>24</v>
      </c>
      <c r="N9" s="10">
        <f ca="1">DCOUNTA($B$1:$D$995,$C$1,N101:P102)</f>
        <v>0</v>
      </c>
      <c r="O9" s="10">
        <f ca="1">DCOUNTA($B$1:$D$995,$C$1,N47:P48)</f>
        <v>0</v>
      </c>
      <c r="P9" s="10">
        <f t="shared" ca="1" si="1"/>
        <v>0</v>
      </c>
      <c r="S9" s="11">
        <v>24</v>
      </c>
      <c r="T9" s="10">
        <f ca="1">DCOUNTA($B$1:$D$995,$C$1,T47:V48)</f>
        <v>0</v>
      </c>
      <c r="X9" s="19">
        <v>6</v>
      </c>
      <c r="Y9" s="10">
        <f ca="1">+DCOUNTA($B$1:$D$995,$C$1,X118:Z119)</f>
        <v>0</v>
      </c>
      <c r="Z9" s="10">
        <f ca="1">+DCOUNTA($B$1:$D$995,$C$1,X320:Z321)</f>
        <v>0</v>
      </c>
    </row>
    <row r="10" spans="1:26" ht="13.5" thickBot="1">
      <c r="E10" s="19">
        <v>7</v>
      </c>
      <c r="F10" s="10">
        <f ca="1">+DCOUNTA($B$1:$C$995,$C$1,E120:G121)</f>
        <v>0</v>
      </c>
      <c r="G10" s="10">
        <f ca="1">+DCOUNTA($B$1:$C$995,$C$1,E322:G323)</f>
        <v>0</v>
      </c>
      <c r="H10" s="5"/>
      <c r="I10" s="19">
        <v>7</v>
      </c>
      <c r="J10" s="10">
        <f ca="1">+DCOUNTA($B$1:$D$995,$C$1,I120:K121)</f>
        <v>0</v>
      </c>
      <c r="K10" s="10">
        <f ca="1">+DCOUNTA($B$1:$D$995,$C$1,I322:K323)</f>
        <v>0</v>
      </c>
      <c r="L10" s="5"/>
      <c r="M10" s="11">
        <v>25</v>
      </c>
      <c r="N10" s="10">
        <f ca="1">DCOUNTA($B$1:$D$995,$C$1,N103:P104)</f>
        <v>0</v>
      </c>
      <c r="O10" s="10">
        <f ca="1">DCOUNTA($B$1:$D$995,$C$1,N49:P50)</f>
        <v>0</v>
      </c>
      <c r="P10" s="10">
        <f t="shared" ca="1" si="1"/>
        <v>0</v>
      </c>
      <c r="S10" s="11">
        <v>25</v>
      </c>
      <c r="T10" s="10">
        <f ca="1">DCOUNTA($B$1:$D$995,$C$1,T49:V50)</f>
        <v>0</v>
      </c>
      <c r="X10" s="19">
        <v>7</v>
      </c>
      <c r="Y10" s="10">
        <f ca="1">+DCOUNTA($B$1:$D$995,$C$1,X120:Z121)</f>
        <v>0</v>
      </c>
      <c r="Z10" s="10">
        <f ca="1">+DCOUNTA($B$1:$D$995,$C$1,X322:Z323)</f>
        <v>0</v>
      </c>
    </row>
    <row r="11" spans="1:26" ht="13.5" thickBot="1">
      <c r="E11" s="19">
        <v>8</v>
      </c>
      <c r="F11" s="10">
        <f ca="1">+DCOUNTA($B$1:$C$995,$C$1,E122:G123)</f>
        <v>0</v>
      </c>
      <c r="G11" s="10">
        <f ca="1">+DCOUNTA($B$1:$C$995,$C$1,E324:G325)</f>
        <v>0</v>
      </c>
      <c r="H11" s="5"/>
      <c r="I11" s="19">
        <v>8</v>
      </c>
      <c r="J11" s="10">
        <f ca="1">+DCOUNTA($B$1:$D$995,$C$1,I122:K123)</f>
        <v>0</v>
      </c>
      <c r="K11" s="10">
        <f ca="1">+DCOUNTA($B$1:$D$995,$C$1,I324:K325)</f>
        <v>0</v>
      </c>
      <c r="L11" s="5"/>
      <c r="M11" s="11">
        <v>26</v>
      </c>
      <c r="N11" s="10">
        <f ca="1">DCOUNTA($B$1:$D$995,$C$1,N105:P106)</f>
        <v>0</v>
      </c>
      <c r="O11" s="10">
        <f ca="1">DCOUNTA($B$1:$D$995,$C$1,N51:P52)</f>
        <v>0</v>
      </c>
      <c r="P11" s="10">
        <f t="shared" ca="1" si="1"/>
        <v>0</v>
      </c>
      <c r="S11" s="11">
        <v>26</v>
      </c>
      <c r="T11" s="10">
        <f ca="1">DCOUNTA($B$1:$D$995,$C$1,T51:V52)</f>
        <v>0</v>
      </c>
      <c r="X11" s="19">
        <v>8</v>
      </c>
      <c r="Y11" s="10">
        <f ca="1">+DCOUNTA($B$1:$D$995,$C$1,X122:Z123)</f>
        <v>0</v>
      </c>
      <c r="Z11" s="10">
        <f ca="1">+DCOUNTA($B$1:$D$995,$C$1,X324:Z325)</f>
        <v>0</v>
      </c>
    </row>
    <row r="12" spans="1:26" ht="13.5" thickBot="1">
      <c r="E12" s="19">
        <v>9</v>
      </c>
      <c r="F12" s="10">
        <f ca="1">+DCOUNTA($B$1:$C$995,$C$1,E124:G125)</f>
        <v>0</v>
      </c>
      <c r="G12" s="10">
        <f ca="1">+DCOUNTA($B$1:$C$995,$C$1,E326:G327)</f>
        <v>0</v>
      </c>
      <c r="H12" s="5"/>
      <c r="I12" s="19">
        <v>9</v>
      </c>
      <c r="J12" s="10">
        <f ca="1">+DCOUNTA($B$1:$D$995,$C$1,I124:K125)</f>
        <v>0</v>
      </c>
      <c r="K12" s="10">
        <f ca="1">+DCOUNTA($B$1:$D$995,$C$1,I326:K327)</f>
        <v>0</v>
      </c>
      <c r="L12" s="5"/>
      <c r="M12" s="11">
        <v>27</v>
      </c>
      <c r="N12" s="10">
        <f ca="1">DCOUNTA($B$1:$D$995,$C$1,N107:P108)</f>
        <v>0</v>
      </c>
      <c r="O12" s="10">
        <f ca="1">DCOUNTA($B$1:$D$995,$C$1,N53:P54)</f>
        <v>0</v>
      </c>
      <c r="P12" s="10">
        <f t="shared" ca="1" si="1"/>
        <v>0</v>
      </c>
      <c r="S12" s="11">
        <v>27</v>
      </c>
      <c r="T12" s="10">
        <f ca="1">DCOUNTA($B$1:$D$995,$C$1,T53:V54)</f>
        <v>0</v>
      </c>
      <c r="X12" s="19">
        <v>9</v>
      </c>
      <c r="Y12" s="10">
        <f ca="1">+DCOUNTA($B$1:$D$995,$C$1,X124:Z125)</f>
        <v>0</v>
      </c>
      <c r="Z12" s="10">
        <f ca="1">+DCOUNTA($B$1:$D$995,$C$1,X326:Z327)</f>
        <v>0</v>
      </c>
    </row>
    <row r="13" spans="1:26" ht="13.5" thickBot="1">
      <c r="E13" s="19">
        <v>10</v>
      </c>
      <c r="F13" s="10">
        <f ca="1">+DCOUNTA($B$1:$C$995,$C$1,E126:G127)</f>
        <v>0</v>
      </c>
      <c r="G13" s="10">
        <f ca="1">+DCOUNTA($B$1:$C$995,$C$1,E328:G329)</f>
        <v>0</v>
      </c>
      <c r="H13" s="5"/>
      <c r="I13" s="19">
        <v>10</v>
      </c>
      <c r="J13" s="10">
        <f ca="1">+DCOUNTA($B$1:$D$995,$C$1,I126:K127)</f>
        <v>0</v>
      </c>
      <c r="K13" s="10">
        <f ca="1">+DCOUNTA($B$1:$D$995,$C$1,I328:K329)</f>
        <v>0</v>
      </c>
      <c r="L13" s="5"/>
      <c r="M13" s="11">
        <v>28</v>
      </c>
      <c r="N13" s="10">
        <f ca="1">DCOUNTA($B$1:$D$995,$C$1,N109:P110)</f>
        <v>0</v>
      </c>
      <c r="O13" s="10">
        <f ca="1">DCOUNTA($B$1:$D$995,$C$1,N55:P56)</f>
        <v>0</v>
      </c>
      <c r="P13" s="10">
        <f t="shared" ca="1" si="1"/>
        <v>0</v>
      </c>
      <c r="S13" s="11">
        <v>28</v>
      </c>
      <c r="T13" s="10">
        <f ca="1">DCOUNTA($B$1:$D$995,$C$1,T55:V56)</f>
        <v>0</v>
      </c>
      <c r="X13" s="19">
        <v>10</v>
      </c>
      <c r="Y13" s="10">
        <f ca="1">+DCOUNTA($B$1:$D$995,$C$1,X126:Z127)</f>
        <v>0</v>
      </c>
      <c r="Z13" s="10">
        <f ca="1">+DCOUNTA($B$1:$D$995,$C$1,X328:Z329)</f>
        <v>0</v>
      </c>
    </row>
    <row r="14" spans="1:26" ht="13.5" thickBot="1">
      <c r="E14" s="19">
        <v>11</v>
      </c>
      <c r="F14" s="10">
        <f ca="1">+DCOUNTA($B$1:$C$995,$C$1,E128:G129)</f>
        <v>0</v>
      </c>
      <c r="G14" s="10">
        <f ca="1">+DCOUNTA($B$1:$C$995,$C$1,E330:G331)</f>
        <v>0</v>
      </c>
      <c r="H14" s="5"/>
      <c r="I14" s="19">
        <v>11</v>
      </c>
      <c r="J14" s="10">
        <f ca="1">+DCOUNTA($B$1:$D$995,$C$1,I128:K129)</f>
        <v>0</v>
      </c>
      <c r="K14" s="10">
        <f ca="1">+DCOUNTA($B$1:$D$995,$C$1,I330:K331)</f>
        <v>0</v>
      </c>
      <c r="L14" s="5"/>
      <c r="M14" s="11">
        <v>29</v>
      </c>
      <c r="N14" s="10">
        <f ca="1">DCOUNTA($B$1:$D$995,$C$1,N111:P112)</f>
        <v>0</v>
      </c>
      <c r="O14" s="10">
        <f ca="1">DCOUNTA($B$1:$D$995,$C$1,N57:P58)</f>
        <v>0</v>
      </c>
      <c r="P14" s="10">
        <f t="shared" ca="1" si="1"/>
        <v>0</v>
      </c>
      <c r="S14" s="11">
        <v>29</v>
      </c>
      <c r="T14" s="10">
        <f ca="1">DCOUNTA($B$1:$D$995,$C$1,T57:V58)</f>
        <v>0</v>
      </c>
      <c r="X14" s="19">
        <v>11</v>
      </c>
      <c r="Y14" s="10">
        <f ca="1">+DCOUNTA($B$1:$D$995,$C$1,X128:Z129)</f>
        <v>0</v>
      </c>
      <c r="Z14" s="10">
        <f ca="1">+DCOUNTA($B$1:$D$995,$C$1,X330:Z331)</f>
        <v>0</v>
      </c>
    </row>
    <row r="15" spans="1:26" ht="13.5" thickBot="1">
      <c r="E15" s="19">
        <v>12</v>
      </c>
      <c r="F15" s="10">
        <f ca="1">+DCOUNTA($B$1:$C$995,$C$1,E130:G131)</f>
        <v>0</v>
      </c>
      <c r="G15" s="10">
        <f ca="1">+DCOUNTA($B$1:$C$995,$C$1,E332:G333)</f>
        <v>0</v>
      </c>
      <c r="H15" s="5"/>
      <c r="I15" s="19">
        <v>12</v>
      </c>
      <c r="J15" s="10">
        <f ca="1">+DCOUNTA($B$1:$D$995,$C$1,I130:K131)</f>
        <v>0</v>
      </c>
      <c r="K15" s="10">
        <f ca="1">+DCOUNTA($B$1:$D$995,$C$1,I332:K333)</f>
        <v>0</v>
      </c>
      <c r="L15" s="5"/>
      <c r="M15" s="11">
        <v>30</v>
      </c>
      <c r="N15" s="10">
        <f ca="1">DCOUNTA($B$1:$D$995,$C$1,N113:P114)</f>
        <v>0</v>
      </c>
      <c r="O15" s="10">
        <f ca="1">DCOUNTA($B$1:$D$995,$C$1,N59:P60)</f>
        <v>0</v>
      </c>
      <c r="P15" s="10">
        <f t="shared" ca="1" si="1"/>
        <v>0</v>
      </c>
      <c r="S15" s="11">
        <v>30</v>
      </c>
      <c r="T15" s="10">
        <f ca="1">DCOUNTA($B$1:$D$995,$C$1,T59:V60)</f>
        <v>0</v>
      </c>
      <c r="X15" s="19">
        <v>12</v>
      </c>
      <c r="Y15" s="10">
        <f ca="1">+DCOUNTA($B$1:$D$995,$C$1,X130:Z131)</f>
        <v>0</v>
      </c>
      <c r="Z15" s="10">
        <f ca="1">+DCOUNTA($B$1:$D$995,$C$1,X332:Z333)</f>
        <v>0</v>
      </c>
    </row>
    <row r="16" spans="1:26" ht="13.5" thickBot="1">
      <c r="E16" s="19">
        <v>13</v>
      </c>
      <c r="F16" s="10">
        <f ca="1">+DCOUNTA($B$1:$C$995,$C$1,E132:G133)</f>
        <v>0</v>
      </c>
      <c r="G16" s="10">
        <f ca="1">+DCOUNTA($B$1:$C$995,$C$1,E334:G335)</f>
        <v>0</v>
      </c>
      <c r="H16" s="5"/>
      <c r="I16" s="19">
        <v>13</v>
      </c>
      <c r="J16" s="10">
        <f ca="1">+DCOUNTA($B$1:$D$995,$C$1,I132:K133)</f>
        <v>0</v>
      </c>
      <c r="K16" s="10">
        <f ca="1">+DCOUNTA($B$1:$D$995,$C$1,I334:K335)</f>
        <v>0</v>
      </c>
      <c r="L16" s="5"/>
      <c r="M16" s="11">
        <v>31</v>
      </c>
      <c r="N16" s="10">
        <f ca="1">DCOUNTA($B$1:$D$995,$C$1,N115:P116)</f>
        <v>0</v>
      </c>
      <c r="O16" s="10">
        <f ca="1">DCOUNTA($B$1:$D$995,$C$1,N61:P62)</f>
        <v>0</v>
      </c>
      <c r="P16" s="10">
        <f t="shared" ca="1" si="1"/>
        <v>0</v>
      </c>
      <c r="S16" s="11">
        <v>31</v>
      </c>
      <c r="T16" s="10">
        <f ca="1">DCOUNTA($B$1:$D$995,$C$1,T61:V62)</f>
        <v>0</v>
      </c>
      <c r="X16" s="19">
        <v>13</v>
      </c>
      <c r="Y16" s="10">
        <f ca="1">+DCOUNTA($B$1:$D$995,$C$1,X132:Z133)</f>
        <v>0</v>
      </c>
      <c r="Z16" s="10">
        <f ca="1">+DCOUNTA($B$1:$D$995,$C$1,X334:Z335)</f>
        <v>0</v>
      </c>
    </row>
    <row r="17" spans="5:26" ht="13.5" thickBot="1">
      <c r="E17" s="19">
        <v>14</v>
      </c>
      <c r="F17" s="10">
        <f ca="1">+DCOUNTA($B$1:$C$995,$C$1,E134:G135)</f>
        <v>0</v>
      </c>
      <c r="G17" s="10">
        <f ca="1">+DCOUNTA($B$1:$C$995,$C$1,E336:G337)</f>
        <v>0</v>
      </c>
      <c r="H17" s="5"/>
      <c r="I17" s="19">
        <v>14</v>
      </c>
      <c r="J17" s="10">
        <f ca="1">+DCOUNTA($B$1:$D$995,$C$1,I134:K135)</f>
        <v>0</v>
      </c>
      <c r="K17" s="10">
        <f ca="1">+DCOUNTA($B$1:$D$995,$C$1,I336:K337)</f>
        <v>0</v>
      </c>
      <c r="L17" s="5"/>
      <c r="M17" s="11">
        <v>32</v>
      </c>
      <c r="N17" s="10">
        <f ca="1">DCOUNTA($B$1:$D$995,$C$1,N117:P118)</f>
        <v>0</v>
      </c>
      <c r="O17" s="10">
        <f ca="1">DCOUNTA($B$1:$D$995,$C$1,N63:P64)</f>
        <v>0</v>
      </c>
      <c r="P17" s="10">
        <f t="shared" ca="1" si="1"/>
        <v>0</v>
      </c>
      <c r="S17" s="11">
        <v>32</v>
      </c>
      <c r="T17" s="10">
        <f ca="1">DCOUNTA($B$1:$D$995,$C$1,T63:V64)</f>
        <v>0</v>
      </c>
      <c r="X17" s="19">
        <v>14</v>
      </c>
      <c r="Y17" s="10">
        <f ca="1">+DCOUNTA($B$1:$D$995,$C$1,X134:Z135)</f>
        <v>0</v>
      </c>
      <c r="Z17" s="10">
        <f ca="1">+DCOUNTA($B$1:$D$995,$C$1,X336:Z337)</f>
        <v>0</v>
      </c>
    </row>
    <row r="18" spans="5:26" ht="13.5" thickBot="1">
      <c r="E18" s="19">
        <v>15</v>
      </c>
      <c r="F18" s="10">
        <f ca="1">+DCOUNTA($B$1:$C$995,$C$1,E136:G137)</f>
        <v>0</v>
      </c>
      <c r="G18" s="10">
        <f ca="1">+DCOUNTA($B$1:$C$995,$C$1,E338:G339)</f>
        <v>0</v>
      </c>
      <c r="H18" s="5"/>
      <c r="I18" s="19">
        <v>15</v>
      </c>
      <c r="J18" s="10">
        <f ca="1">+DCOUNTA($B$1:$D$995,$C$1,I136:K137)</f>
        <v>0</v>
      </c>
      <c r="K18" s="10">
        <f ca="1">+DCOUNTA($B$1:$D$995,$C$1,I338:K339)</f>
        <v>0</v>
      </c>
      <c r="L18" s="5"/>
      <c r="M18" s="11">
        <v>33</v>
      </c>
      <c r="N18" s="10">
        <f ca="1">DCOUNTA($B$1:$D$995,$C$1,N119:P120)</f>
        <v>0</v>
      </c>
      <c r="O18" s="10">
        <f ca="1">DCOUNTA($B$1:$D$995,$C$1,N65:P66)</f>
        <v>0</v>
      </c>
      <c r="P18" s="10">
        <f t="shared" ca="1" si="1"/>
        <v>0</v>
      </c>
      <c r="S18" s="11">
        <v>33</v>
      </c>
      <c r="T18" s="10">
        <f ca="1">DCOUNTA($B$1:$D$995,$C$1,T65:V66)</f>
        <v>0</v>
      </c>
      <c r="X18" s="19">
        <v>15</v>
      </c>
      <c r="Y18" s="10">
        <f ca="1">+DCOUNTA($B$1:$D$995,$C$1,X136:Z137)</f>
        <v>0</v>
      </c>
      <c r="Z18" s="10">
        <f ca="1">+DCOUNTA($B$1:$D$995,$C$1,X338:Z339)</f>
        <v>0</v>
      </c>
    </row>
    <row r="19" spans="5:26" ht="13.5" thickBot="1">
      <c r="E19" s="19">
        <v>16</v>
      </c>
      <c r="F19" s="10">
        <f ca="1">+DCOUNTA($B$1:$C$995,$C$1,E138:G139)</f>
        <v>0</v>
      </c>
      <c r="G19" s="10">
        <f ca="1">+DCOUNTA($B$1:$C$995,$C$1,E340:G341)</f>
        <v>0</v>
      </c>
      <c r="H19" s="5"/>
      <c r="I19" s="19">
        <v>16</v>
      </c>
      <c r="J19" s="10">
        <f ca="1">+DCOUNTA($B$1:$D$995,$C$1,I138:K139)</f>
        <v>0</v>
      </c>
      <c r="K19" s="10">
        <f ca="1">+DCOUNTA($B$1:$D$995,$C$1,I340:K341)</f>
        <v>0</v>
      </c>
      <c r="L19" s="5"/>
      <c r="M19" s="11">
        <v>34</v>
      </c>
      <c r="N19" s="10">
        <f ca="1">DCOUNTA($B$1:$D$995,$C$1,N121:P122)</f>
        <v>0</v>
      </c>
      <c r="O19" s="10">
        <f ca="1">DCOUNTA($B$1:$D$995,$C$1,N67:P68)</f>
        <v>0</v>
      </c>
      <c r="P19" s="10">
        <f t="shared" ca="1" si="1"/>
        <v>0</v>
      </c>
      <c r="S19" s="11">
        <v>34</v>
      </c>
      <c r="T19" s="10">
        <f ca="1">DCOUNTA($B$1:$D$995,$C$1,T67:V68)</f>
        <v>0</v>
      </c>
      <c r="X19" s="19">
        <v>16</v>
      </c>
      <c r="Y19" s="10">
        <f ca="1">+DCOUNTA($B$1:$D$995,$C$1,X138:Z139)</f>
        <v>0</v>
      </c>
      <c r="Z19" s="10">
        <f ca="1">+DCOUNTA($B$1:$D$995,$C$1,X340:Z341)</f>
        <v>0</v>
      </c>
    </row>
    <row r="20" spans="5:26" ht="13.5" thickBot="1">
      <c r="E20" s="19">
        <v>17</v>
      </c>
      <c r="F20" s="10">
        <f ca="1">+DCOUNTA($B$1:$C$995,$C$1,E140:G141)</f>
        <v>0</v>
      </c>
      <c r="G20" s="10">
        <f ca="1">+DCOUNTA($B$1:$C$995,$C$1,E342:G343)</f>
        <v>0</v>
      </c>
      <c r="H20" s="5"/>
      <c r="I20" s="19">
        <v>17</v>
      </c>
      <c r="J20" s="10">
        <f ca="1">+DCOUNTA($B$1:$D$995,$C$1,I140:K141)</f>
        <v>0</v>
      </c>
      <c r="K20" s="10">
        <f ca="1">+DCOUNTA($B$1:$D$995,$C$1,I342:K343)</f>
        <v>0</v>
      </c>
      <c r="L20" s="5"/>
      <c r="M20" s="11">
        <v>35</v>
      </c>
      <c r="N20" s="10">
        <f ca="1">DCOUNTA($B$1:$D$995,$C$1,N123:P124)</f>
        <v>0</v>
      </c>
      <c r="O20" s="10">
        <f ca="1">DCOUNTA($B$1:$D$995,$C$1,N69:P70)</f>
        <v>0</v>
      </c>
      <c r="P20" s="10">
        <f t="shared" ca="1" si="1"/>
        <v>0</v>
      </c>
      <c r="S20" s="11">
        <v>35</v>
      </c>
      <c r="T20" s="10">
        <f ca="1">DCOUNTA($B$1:$D$995,$C$1,T69:V70)</f>
        <v>0</v>
      </c>
      <c r="X20" s="19">
        <v>17</v>
      </c>
      <c r="Y20" s="10">
        <f ca="1">+DCOUNTA($B$1:$D$995,$C$1,X140:Z141)</f>
        <v>0</v>
      </c>
      <c r="Z20" s="10">
        <f ca="1">+DCOUNTA($B$1:$D$995,$C$1,X342:Z343)</f>
        <v>0</v>
      </c>
    </row>
    <row r="21" spans="5:26" ht="13.5" thickBot="1">
      <c r="E21" s="19">
        <v>18</v>
      </c>
      <c r="F21" s="10">
        <f ca="1">+DCOUNTA($B$1:$C$995,$C$1,E142:G143)</f>
        <v>0</v>
      </c>
      <c r="G21" s="10">
        <f ca="1">+DCOUNTA($B$1:$C$995,$C$1,E344:G345)</f>
        <v>0</v>
      </c>
      <c r="H21" s="5"/>
      <c r="I21" s="19">
        <v>18</v>
      </c>
      <c r="J21" s="10">
        <f ca="1">+DCOUNTA($B$1:$D$995,$C$1,I142:K143)</f>
        <v>0</v>
      </c>
      <c r="K21" s="10">
        <f ca="1">+DCOUNTA($B$1:$D$995,$C$1,I344:K345)</f>
        <v>0</v>
      </c>
      <c r="L21" s="5"/>
      <c r="M21" s="11">
        <v>36</v>
      </c>
      <c r="N21" s="10">
        <f ca="1">DCOUNTA($B$1:$D$995,$C$1,N125:P126)</f>
        <v>0</v>
      </c>
      <c r="O21" s="10">
        <f ca="1">DCOUNTA($B$1:$D$995,$C$1,N71:P72)</f>
        <v>0</v>
      </c>
      <c r="P21" s="10">
        <f t="shared" ca="1" si="1"/>
        <v>0</v>
      </c>
      <c r="S21" s="11">
        <v>36</v>
      </c>
      <c r="T21" s="10">
        <f ca="1">DCOUNTA($B$1:$D$995,$C$1,T71:V72)</f>
        <v>0</v>
      </c>
      <c r="X21" s="19">
        <v>18</v>
      </c>
      <c r="Y21" s="10">
        <f ca="1">+DCOUNTA($B$1:$D$995,$C$1,X142:Z143)</f>
        <v>0</v>
      </c>
      <c r="Z21" s="10">
        <f ca="1">+DCOUNTA($B$1:$D$995,$C$1,X344:Z345)</f>
        <v>0</v>
      </c>
    </row>
    <row r="22" spans="5:26" ht="13.5" thickBot="1">
      <c r="E22" s="19">
        <v>19</v>
      </c>
      <c r="F22" s="10">
        <f ca="1">+DCOUNTA($B$1:$C$995,$C$1,E144:G145)</f>
        <v>0</v>
      </c>
      <c r="G22" s="10">
        <f ca="1">+DCOUNTA($B$1:$C$995,$C$1,E346:G347)</f>
        <v>0</v>
      </c>
      <c r="H22" s="5"/>
      <c r="I22" s="19">
        <v>19</v>
      </c>
      <c r="J22" s="10">
        <f ca="1">+DCOUNTA($B$1:$D$995,$C$1,I144:K145)</f>
        <v>0</v>
      </c>
      <c r="K22" s="10">
        <f ca="1">+DCOUNTA($B$1:$D$995,$C$1,I346:K347)</f>
        <v>0</v>
      </c>
      <c r="L22" s="5"/>
      <c r="M22" s="11">
        <v>37</v>
      </c>
      <c r="N22" s="10">
        <f ca="1">DCOUNTA($B$1:$D$995,$C$1,N127:P128)</f>
        <v>0</v>
      </c>
      <c r="O22" s="10">
        <f ca="1">DCOUNTA($B$1:$D$995,$C$1,N73:P74)</f>
        <v>0</v>
      </c>
      <c r="P22" s="10">
        <f t="shared" ca="1" si="1"/>
        <v>0</v>
      </c>
      <c r="S22" s="11">
        <v>37</v>
      </c>
      <c r="T22" s="10">
        <f ca="1">DCOUNTA($B$1:$D$995,$C$1,T73:V74)</f>
        <v>0</v>
      </c>
      <c r="X22" s="19">
        <v>19</v>
      </c>
      <c r="Y22" s="10">
        <f ca="1">+DCOUNTA($B$1:$D$995,$C$1,X144:Z145)</f>
        <v>0</v>
      </c>
      <c r="Z22" s="10">
        <f ca="1">+DCOUNTA($B$1:$D$995,$C$1,X346:Z347)</f>
        <v>0</v>
      </c>
    </row>
    <row r="23" spans="5:26" ht="13.5" thickBot="1">
      <c r="E23" s="11">
        <v>20</v>
      </c>
      <c r="F23" s="10">
        <f ca="1">+DCOUNTA($B$1:$C$995,$C$1,E146:G147)</f>
        <v>0</v>
      </c>
      <c r="G23" s="10">
        <f ca="1">+DCOUNTA($B$1:$C$995,$C$1,E348:G349)</f>
        <v>0</v>
      </c>
      <c r="H23" s="5"/>
      <c r="I23" s="11">
        <v>20</v>
      </c>
      <c r="J23" s="10">
        <f ca="1">+DCOUNTA($B$1:$D$995,$C$1,I146:K147)</f>
        <v>0</v>
      </c>
      <c r="K23" s="10">
        <f ca="1">+DCOUNTA($B$1:$D$995,$C$1,I348:K349)</f>
        <v>0</v>
      </c>
      <c r="L23" s="5"/>
      <c r="M23" s="11">
        <v>38</v>
      </c>
      <c r="N23" s="10">
        <f ca="1">DCOUNTA($B$1:$D$995,$C$1,N129:P130)</f>
        <v>0</v>
      </c>
      <c r="O23" s="10">
        <f ca="1">DCOUNTA($B$1:$D$995,$C$1,N75:P76)</f>
        <v>0</v>
      </c>
      <c r="P23" s="10">
        <f t="shared" ca="1" si="1"/>
        <v>0</v>
      </c>
      <c r="S23" s="11">
        <v>38</v>
      </c>
      <c r="T23" s="10">
        <f ca="1">DCOUNTA($B$1:$D$995,$C$1,T75:V76)</f>
        <v>0</v>
      </c>
      <c r="X23" s="11">
        <v>20</v>
      </c>
      <c r="Y23" s="10">
        <f ca="1">+DCOUNTA($B$1:$D$995,$C$1,X146:Z147)</f>
        <v>0</v>
      </c>
      <c r="Z23" s="10">
        <f ca="1">+DCOUNTA($B$1:$D$995,$C$1,X348:Z349)</f>
        <v>0</v>
      </c>
    </row>
    <row r="24" spans="5:26" ht="13.5" thickBot="1">
      <c r="E24" s="11">
        <v>21</v>
      </c>
      <c r="F24" s="10">
        <f ca="1">+DCOUNTA($B$1:$C$995,$C$1,E148:G149)</f>
        <v>0</v>
      </c>
      <c r="G24" s="10">
        <f ca="1">+DCOUNTA($B$1:$C$995,$C$1,E350:G351)</f>
        <v>0</v>
      </c>
      <c r="H24" s="5"/>
      <c r="I24" s="11">
        <v>21</v>
      </c>
      <c r="J24" s="10">
        <f ca="1">+DCOUNTA($B$1:$D$995,$C$1,I148:K149)</f>
        <v>0</v>
      </c>
      <c r="K24" s="10">
        <f ca="1">+DCOUNTA($B$1:$D$995,$C$1,I350:K351)</f>
        <v>0</v>
      </c>
      <c r="L24" s="5"/>
      <c r="M24" s="11">
        <v>39</v>
      </c>
      <c r="N24" s="10">
        <f ca="1">DCOUNTA($B$1:$D$995,$C$1,N131:P132)</f>
        <v>0</v>
      </c>
      <c r="O24" s="10">
        <f ca="1">DCOUNTA($B$1:$D$995,$C$1,N77:P78)</f>
        <v>0</v>
      </c>
      <c r="P24" s="10">
        <f t="shared" ca="1" si="1"/>
        <v>0</v>
      </c>
      <c r="S24" s="11">
        <v>39</v>
      </c>
      <c r="T24" s="10">
        <f ca="1">DCOUNTA($B$1:$D$995,$C$1,T77:V78)</f>
        <v>0</v>
      </c>
      <c r="X24" s="11">
        <v>21</v>
      </c>
      <c r="Y24" s="10">
        <f ca="1">+DCOUNTA($B$1:$D$995,$C$1,X148:Z149)</f>
        <v>0</v>
      </c>
      <c r="Z24" s="10">
        <f ca="1">+DCOUNTA($B$1:$D$995,$C$1,X350:Z351)</f>
        <v>0</v>
      </c>
    </row>
    <row r="25" spans="5:26" ht="13.5" thickBot="1">
      <c r="E25" s="11">
        <v>22</v>
      </c>
      <c r="F25" s="10">
        <f ca="1">+DCOUNTA($B$1:$C$995,$C$1,E150:G151)</f>
        <v>0</v>
      </c>
      <c r="G25" s="10">
        <f ca="1">+DCOUNTA($B$1:$C$995,$C$1,E352:G353)</f>
        <v>0</v>
      </c>
      <c r="H25" s="5"/>
      <c r="I25" s="11">
        <v>22</v>
      </c>
      <c r="J25" s="10">
        <f ca="1">+DCOUNTA($B$1:$D$995,$C$1,I150:K151)</f>
        <v>0</v>
      </c>
      <c r="K25" s="10">
        <f ca="1">+DCOUNTA($B$1:$D$995,$C$1,I352:K353)</f>
        <v>0</v>
      </c>
      <c r="L25" s="5"/>
      <c r="M25" s="11">
        <v>40</v>
      </c>
      <c r="N25" s="10">
        <f ca="1">DCOUNTA($B$1:$D$995,$C$1,N133:P134)</f>
        <v>0</v>
      </c>
      <c r="O25" s="10">
        <f ca="1">DCOUNTA($B$1:$D$995,$C$1,N79:P80)</f>
        <v>0</v>
      </c>
      <c r="P25" s="10">
        <f t="shared" ca="1" si="1"/>
        <v>0</v>
      </c>
      <c r="S25" s="11">
        <v>40</v>
      </c>
      <c r="T25" s="10">
        <f ca="1">DCOUNTA($B$1:$D$995,$C$1,T79:V80)</f>
        <v>0</v>
      </c>
      <c r="X25" s="11">
        <v>22</v>
      </c>
      <c r="Y25" s="10">
        <f ca="1">+DCOUNTA($B$1:$D$995,$C$1,X150:Z151)</f>
        <v>0</v>
      </c>
      <c r="Z25" s="10">
        <f ca="1">+DCOUNTA($B$1:$D$995,$C$1,X352:Z353)</f>
        <v>0</v>
      </c>
    </row>
    <row r="26" spans="5:26" ht="13.5" thickBot="1">
      <c r="E26" s="11">
        <v>23</v>
      </c>
      <c r="F26" s="10">
        <f ca="1">+DCOUNTA($B$1:$C$995,$C$1,E152:G153)</f>
        <v>0</v>
      </c>
      <c r="G26" s="10">
        <f ca="1">+DCOUNTA($B$1:$C$995,$C$1,E354:G355)</f>
        <v>0</v>
      </c>
      <c r="H26" s="5"/>
      <c r="I26" s="11">
        <v>23</v>
      </c>
      <c r="J26" s="10">
        <f ca="1">+DCOUNTA($B$1:$D$995,$C$1,I152:K153)</f>
        <v>0</v>
      </c>
      <c r="K26" s="10">
        <f ca="1">+DCOUNTA($B$1:$D$995,$C$1,I354:K355)</f>
        <v>0</v>
      </c>
      <c r="L26" s="5"/>
      <c r="M26" s="11">
        <v>41</v>
      </c>
      <c r="N26" s="10">
        <f ca="1">DCOUNTA($B$1:$D$995,$C$1,N135:P136)</f>
        <v>0</v>
      </c>
      <c r="O26" s="10">
        <f ca="1">DCOUNTA($B$1:$D$995,$C$1,N81:P82)</f>
        <v>0</v>
      </c>
      <c r="P26" s="10">
        <f t="shared" ca="1" si="1"/>
        <v>0</v>
      </c>
      <c r="S26" s="11">
        <v>41</v>
      </c>
      <c r="T26" s="10">
        <f ca="1">DCOUNTA($B$1:$D$995,$C$1,T81:V82)</f>
        <v>0</v>
      </c>
      <c r="X26" s="11">
        <v>23</v>
      </c>
      <c r="Y26" s="10">
        <f ca="1">+DCOUNTA($B$1:$D$995,$C$1,X152:Z153)</f>
        <v>0</v>
      </c>
      <c r="Z26" s="10">
        <f ca="1">+DCOUNTA($B$1:$D$995,$C$1,X354:Z355)</f>
        <v>0</v>
      </c>
    </row>
    <row r="27" spans="5:26" ht="13.5" thickBot="1">
      <c r="E27" s="11">
        <v>24</v>
      </c>
      <c r="F27" s="10">
        <f ca="1">+DCOUNTA($B$1:$C$995,$C$1,E154:G155)</f>
        <v>0</v>
      </c>
      <c r="G27" s="10">
        <f ca="1">+DCOUNTA($B$1:$C$995,$C$1,E356:G357)</f>
        <v>0</v>
      </c>
      <c r="H27" s="5"/>
      <c r="I27" s="11">
        <v>24</v>
      </c>
      <c r="J27" s="10">
        <f ca="1">+DCOUNTA($B$1:$D$995,$C$1,I154:K155)</f>
        <v>0</v>
      </c>
      <c r="K27" s="10">
        <f ca="1">+DCOUNTA($B$1:$D$995,$C$1,I356:K357)</f>
        <v>0</v>
      </c>
      <c r="L27" s="5"/>
      <c r="M27" s="11">
        <v>42</v>
      </c>
      <c r="N27" s="10">
        <f ca="1">DCOUNTA($B$1:$D$995,$C$1,N137:P138)</f>
        <v>0</v>
      </c>
      <c r="O27" s="10">
        <f ca="1">DCOUNTA($B$1:$D$995,$C$1,N83:P84)</f>
        <v>0</v>
      </c>
      <c r="P27" s="10">
        <f t="shared" ca="1" si="1"/>
        <v>0</v>
      </c>
      <c r="S27" s="11">
        <v>42</v>
      </c>
      <c r="T27" s="10">
        <f ca="1">DCOUNTA($B$1:$D$995,$C$1,T83:V84)</f>
        <v>0</v>
      </c>
      <c r="X27" s="11">
        <v>24</v>
      </c>
      <c r="Y27" s="10">
        <f ca="1">+DCOUNTA($B$1:$D$995,$C$1,X154:Z155)</f>
        <v>0</v>
      </c>
      <c r="Z27" s="10">
        <f ca="1">+DCOUNTA($B$1:$D$995,$C$1,X356:Z357)</f>
        <v>0</v>
      </c>
    </row>
    <row r="28" spans="5:26" ht="13.5" thickBot="1">
      <c r="E28" s="11">
        <v>25</v>
      </c>
      <c r="F28" s="10">
        <f ca="1">+DCOUNTA($B$1:$C$995,$C$1,E156:G157)</f>
        <v>0</v>
      </c>
      <c r="G28" s="10">
        <f ca="1">+DCOUNTA($B$1:$C$995,$C$1,E358:G359)</f>
        <v>0</v>
      </c>
      <c r="H28" s="5"/>
      <c r="I28" s="11">
        <v>25</v>
      </c>
      <c r="J28" s="10">
        <f ca="1">+DCOUNTA($B$1:$D$995,$C$1,I156:K157)</f>
        <v>0</v>
      </c>
      <c r="K28" s="10">
        <f ca="1">+DCOUNTA($B$1:$D$995,$C$1,I358:K359)</f>
        <v>0</v>
      </c>
      <c r="L28" s="5"/>
      <c r="M28" s="11">
        <v>43</v>
      </c>
      <c r="N28" s="10">
        <f ca="1">DCOUNTA($B$1:$D$995,$C$1,N139:P140)</f>
        <v>0</v>
      </c>
      <c r="O28" s="10">
        <f ca="1">DCOUNTA($B$1:$D$995,$C$1,N85:P86)</f>
        <v>0</v>
      </c>
      <c r="P28" s="10">
        <f t="shared" ca="1" si="1"/>
        <v>0</v>
      </c>
      <c r="S28" s="11">
        <v>43</v>
      </c>
      <c r="T28" s="10">
        <f ca="1">DCOUNTA($B$1:$D$995,$C$1,T85:V86)</f>
        <v>0</v>
      </c>
      <c r="X28" s="11">
        <v>25</v>
      </c>
      <c r="Y28" s="10">
        <f ca="1">+DCOUNTA($B$1:$D$995,$C$1,X156:Z157)</f>
        <v>0</v>
      </c>
      <c r="Z28" s="10">
        <f ca="1">+DCOUNTA($B$1:$D$995,$C$1,X358:Z359)</f>
        <v>0</v>
      </c>
    </row>
    <row r="29" spans="5:26" ht="13.5" thickBot="1">
      <c r="E29" s="11">
        <v>26</v>
      </c>
      <c r="F29" s="10">
        <f ca="1">+DCOUNTA($B$1:$C$995,$C$1,E158:G159)</f>
        <v>0</v>
      </c>
      <c r="G29" s="10">
        <f ca="1">+DCOUNTA($B$1:$C$995,$C$1,E360:G361)</f>
        <v>0</v>
      </c>
      <c r="H29" s="5"/>
      <c r="I29" s="11">
        <v>26</v>
      </c>
      <c r="J29" s="10">
        <f ca="1">+DCOUNTA($B$1:$D$995,$C$1,I158:K159)</f>
        <v>0</v>
      </c>
      <c r="K29" s="10">
        <f ca="1">+DCOUNTA($B$1:$D$995,$C$1,I360:K361)</f>
        <v>0</v>
      </c>
      <c r="L29" s="5"/>
      <c r="M29" s="11">
        <v>44</v>
      </c>
      <c r="N29" s="10">
        <f ca="1">DCOUNTA($B$1:$D$995,$C$1,N141:P142)</f>
        <v>0</v>
      </c>
      <c r="O29" s="10">
        <f ca="1">DCOUNTA($B$1:$D$995,$C$1,N87:P88)</f>
        <v>0</v>
      </c>
      <c r="P29" s="10">
        <f t="shared" ca="1" si="1"/>
        <v>0</v>
      </c>
      <c r="S29" s="11">
        <v>44</v>
      </c>
      <c r="T29" s="10">
        <f ca="1">DCOUNTA($B$1:$D$995,$C$1,T87:V88)</f>
        <v>0</v>
      </c>
      <c r="X29" s="11">
        <v>26</v>
      </c>
      <c r="Y29" s="10">
        <f ca="1">+DCOUNTA($B$1:$D$995,$C$1,X158:Z159)</f>
        <v>0</v>
      </c>
      <c r="Z29" s="10">
        <f ca="1">+DCOUNTA($B$1:$D$995,$C$1,X360:Z361)</f>
        <v>0</v>
      </c>
    </row>
    <row r="30" spans="5:26" ht="13.5" thickBot="1">
      <c r="E30" s="11">
        <v>27</v>
      </c>
      <c r="F30" s="10">
        <f ca="1">+DCOUNTA($B$1:$C$995,$C$1,E160:G161)</f>
        <v>0</v>
      </c>
      <c r="G30" s="10">
        <f ca="1">+DCOUNTA($B$1:$C$995,$C$1,E362:G363)</f>
        <v>0</v>
      </c>
      <c r="H30" s="5"/>
      <c r="I30" s="11">
        <v>27</v>
      </c>
      <c r="J30" s="10">
        <f ca="1">+DCOUNTA($B$1:$D$995,$C$1,I160:K161)</f>
        <v>0</v>
      </c>
      <c r="K30" s="10">
        <f ca="1">+DCOUNTA($B$1:$D$995,$C$1,I362:K363)</f>
        <v>0</v>
      </c>
      <c r="L30" s="5"/>
      <c r="M30" s="12" t="s">
        <v>52</v>
      </c>
      <c r="N30" s="14">
        <f ca="1">SUM(N3:N29)</f>
        <v>0</v>
      </c>
      <c r="O30" s="14">
        <f ca="1">SUM(O3:O29)</f>
        <v>0</v>
      </c>
      <c r="P30" s="14">
        <f ca="1">SUM(P3:P29)</f>
        <v>0</v>
      </c>
      <c r="S30" s="12" t="s">
        <v>52</v>
      </c>
      <c r="T30" s="14">
        <f ca="1">SUM(T3:T29)</f>
        <v>0</v>
      </c>
      <c r="X30" s="11">
        <v>27</v>
      </c>
      <c r="Y30" s="10">
        <f ca="1">+DCOUNTA($B$1:$D$995,$C$1,X160:Z161)</f>
        <v>0</v>
      </c>
      <c r="Z30" s="10">
        <f ca="1">+DCOUNTA($B$1:$D$995,$C$1,X362:Z363)</f>
        <v>0</v>
      </c>
    </row>
    <row r="31" spans="5:26" ht="13.5" thickBot="1">
      <c r="E31" s="11">
        <v>28</v>
      </c>
      <c r="F31" s="10">
        <f ca="1">+DCOUNTA($B$1:$C$995,$C$1,E162:G163)</f>
        <v>0</v>
      </c>
      <c r="G31" s="10">
        <f ca="1">+DCOUNTA($B$1:$C$995,$C$1,E364:G365)</f>
        <v>0</v>
      </c>
      <c r="H31" s="5"/>
      <c r="I31" s="11">
        <v>28</v>
      </c>
      <c r="J31" s="10">
        <f ca="1">+DCOUNTA($B$1:$D$995,$C$1,I162:K163)</f>
        <v>0</v>
      </c>
      <c r="K31" s="10">
        <f ca="1">+DCOUNTA($B$1:$D$995,$C$1,I364:K365)</f>
        <v>0</v>
      </c>
      <c r="L31" s="5"/>
      <c r="M31" s="11"/>
      <c r="N31" s="10"/>
      <c r="O31" s="10"/>
      <c r="P31" s="10"/>
      <c r="X31" s="11">
        <v>28</v>
      </c>
      <c r="Y31" s="10">
        <f ca="1">+DCOUNTA($B$1:$D$995,$C$1,X162:Z163)</f>
        <v>0</v>
      </c>
      <c r="Z31" s="10">
        <f ca="1">+DCOUNTA($B$1:$D$995,$C$1,X364:Z365)</f>
        <v>0</v>
      </c>
    </row>
    <row r="32" spans="5:26" ht="13.5" thickBot="1">
      <c r="E32" s="11">
        <v>29</v>
      </c>
      <c r="F32" s="10">
        <f ca="1">+DCOUNTA($B$1:$C$995,$C$1,E164:G165)</f>
        <v>0</v>
      </c>
      <c r="G32" s="10">
        <f ca="1">+DCOUNTA($B$1:$C$995,$C$1,E366:G367)</f>
        <v>0</v>
      </c>
      <c r="H32" s="5"/>
      <c r="I32" s="11">
        <v>29</v>
      </c>
      <c r="J32" s="10">
        <f ca="1">+DCOUNTA($B$1:$D$995,$C$1,I164:K165)</f>
        <v>0</v>
      </c>
      <c r="K32" s="10">
        <f ca="1">+DCOUNTA($B$1:$D$995,$C$1,I366:K367)</f>
        <v>0</v>
      </c>
      <c r="L32" s="5"/>
      <c r="X32" s="11">
        <v>29</v>
      </c>
      <c r="Y32" s="10">
        <f ca="1">+DCOUNTA($B$1:$D$995,$C$1,X164:Z165)</f>
        <v>0</v>
      </c>
      <c r="Z32" s="10">
        <f ca="1">+DCOUNTA($B$1:$D$995,$C$1,X366:Z367)</f>
        <v>0</v>
      </c>
    </row>
    <row r="33" spans="5:26" ht="13.5" thickBot="1">
      <c r="E33" s="11">
        <v>30</v>
      </c>
      <c r="F33" s="10">
        <f ca="1">+DCOUNTA($B$1:$C$995,$C$1,E166:G167)</f>
        <v>0</v>
      </c>
      <c r="G33" s="10">
        <f ca="1">+DCOUNTA($B$1:$C$995,$C$1,E368:G369)</f>
        <v>0</v>
      </c>
      <c r="H33" s="5"/>
      <c r="I33" s="11">
        <v>30</v>
      </c>
      <c r="J33" s="10">
        <f ca="1">+DCOUNTA($B$1:$D$995,$C$1,I166:K167)</f>
        <v>0</v>
      </c>
      <c r="K33" s="10">
        <f ca="1">+DCOUNTA($B$1:$D$995,$C$1,I368:K369)</f>
        <v>0</v>
      </c>
      <c r="L33" s="5"/>
      <c r="Q33" s="1"/>
      <c r="R33" s="1"/>
      <c r="X33" s="11">
        <v>30</v>
      </c>
      <c r="Y33" s="10">
        <f ca="1">+DCOUNTA($B$1:$D$995,$C$1,X166:Z167)</f>
        <v>0</v>
      </c>
      <c r="Z33" s="10">
        <f ca="1">+DCOUNTA($B$1:$D$995,$C$1,X368:Z369)</f>
        <v>0</v>
      </c>
    </row>
    <row r="34" spans="5:26" ht="13.5" thickBot="1">
      <c r="E34" s="11">
        <v>31</v>
      </c>
      <c r="F34" s="10">
        <f ca="1">+DCOUNTA($B$1:$C$995,$C$1,E168:G169)</f>
        <v>0</v>
      </c>
      <c r="G34" s="10">
        <f ca="1">+DCOUNTA($B$1:$C$995,$C$1,E370:G371)</f>
        <v>0</v>
      </c>
      <c r="H34" s="5"/>
      <c r="I34" s="11">
        <v>31</v>
      </c>
      <c r="J34" s="10">
        <f ca="1">+DCOUNTA($B$1:$D$995,$C$1,I168:K169)</f>
        <v>0</v>
      </c>
      <c r="K34" s="10">
        <f ca="1">+DCOUNTA($B$1:$D$995,$C$1,I370:K371)</f>
        <v>0</v>
      </c>
      <c r="L34" s="5"/>
      <c r="M34" s="1"/>
      <c r="Q34" s="1"/>
      <c r="R34" s="1"/>
      <c r="X34" s="11">
        <v>31</v>
      </c>
      <c r="Y34" s="10">
        <f ca="1">+DCOUNTA($B$1:$D$995,$C$1,X168:Z169)</f>
        <v>0</v>
      </c>
      <c r="Z34" s="10">
        <f ca="1">+DCOUNTA($B$1:$D$995,$C$1,X370:Z371)</f>
        <v>0</v>
      </c>
    </row>
    <row r="35" spans="5:26" ht="13.5" thickBot="1">
      <c r="E35" s="11">
        <v>32</v>
      </c>
      <c r="F35" s="10">
        <f ca="1">+DCOUNTA($B$1:$C$995,$C$1,E170:G171)</f>
        <v>0</v>
      </c>
      <c r="G35" s="10">
        <f ca="1">+DCOUNTA($B$1:$C$995,$C$1,E372:G373)</f>
        <v>0</v>
      </c>
      <c r="I35" s="11">
        <v>32</v>
      </c>
      <c r="J35" s="10">
        <f ca="1">+DCOUNTA($B$1:$D$995,$C$1,I170:K171)</f>
        <v>0</v>
      </c>
      <c r="K35" s="10">
        <f ca="1">+DCOUNTA($B$1:$D$995,$C$1,I372:K373)</f>
        <v>0</v>
      </c>
      <c r="L35" s="5"/>
      <c r="N35" s="1" t="s">
        <v>42</v>
      </c>
      <c r="O35" s="1" t="s">
        <v>44</v>
      </c>
      <c r="P35" s="1" t="s">
        <v>43</v>
      </c>
      <c r="Q35" s="1"/>
      <c r="R35" s="1"/>
      <c r="T35" s="1" t="s">
        <v>42</v>
      </c>
      <c r="U35" s="1" t="s">
        <v>44</v>
      </c>
      <c r="V35" s="1" t="s">
        <v>43</v>
      </c>
      <c r="X35" s="11">
        <v>32</v>
      </c>
      <c r="Y35" s="10">
        <f ca="1">+DCOUNTA($B$1:$D$995,$C$1,X170:Z171)</f>
        <v>0</v>
      </c>
      <c r="Z35" s="10">
        <f ca="1">+DCOUNTA($B$1:$D$995,$C$1,X372:Z373)</f>
        <v>0</v>
      </c>
    </row>
    <row r="36" spans="5:26" ht="13.5" thickBot="1">
      <c r="E36" s="11">
        <v>33</v>
      </c>
      <c r="F36" s="10">
        <f ca="1">+DCOUNTA($B$1:$C$995,$C$1,E172:G173)</f>
        <v>0</v>
      </c>
      <c r="G36" s="10">
        <f ca="1">+DCOUNTA($B$1:$C$995,$C$1,E374:G375)</f>
        <v>0</v>
      </c>
      <c r="I36" s="11">
        <v>33</v>
      </c>
      <c r="J36" s="10">
        <f ca="1">+DCOUNTA($B$1:$D$995,$C$1,I172:K173)</f>
        <v>0</v>
      </c>
      <c r="K36" s="10">
        <f ca="1">+DCOUNTA($B$1:$D$995,$C$1,I374:K375)</f>
        <v>0</v>
      </c>
      <c r="L36" s="5"/>
      <c r="N36">
        <v>18</v>
      </c>
      <c r="O36" s="1" t="s">
        <v>55</v>
      </c>
      <c r="P36" s="1" t="s">
        <v>66</v>
      </c>
      <c r="Q36" s="1"/>
      <c r="R36" s="1"/>
      <c r="T36">
        <v>18</v>
      </c>
      <c r="U36" s="1" t="s">
        <v>55</v>
      </c>
      <c r="V36" s="1" t="s">
        <v>56</v>
      </c>
      <c r="X36" s="11">
        <v>33</v>
      </c>
      <c r="Y36" s="10">
        <f ca="1">+DCOUNTA($B$1:$D$995,$C$1,X172:Z173)</f>
        <v>0</v>
      </c>
      <c r="Z36" s="10">
        <f ca="1">+DCOUNTA($B$1:$D$995,$C$1,X374:Z375)</f>
        <v>0</v>
      </c>
    </row>
    <row r="37" spans="5:26" ht="13.5" thickBot="1">
      <c r="E37" s="11">
        <v>34</v>
      </c>
      <c r="F37" s="10">
        <f ca="1">+DCOUNTA($B$1:$C$995,$C$1,E174:G175)</f>
        <v>0</v>
      </c>
      <c r="G37" s="10">
        <f ca="1">+DCOUNTA($B$1:$C$995,$C$1,E376:G377)</f>
        <v>0</v>
      </c>
      <c r="I37" s="11">
        <v>34</v>
      </c>
      <c r="J37" s="10">
        <f ca="1">+DCOUNTA($B$1:$D$995,$C$1,I174:K175)</f>
        <v>0</v>
      </c>
      <c r="K37" s="10">
        <f ca="1">+DCOUNTA($B$1:$D$995,$C$1,I376:K377)</f>
        <v>0</v>
      </c>
      <c r="M37" s="1"/>
      <c r="N37" s="1" t="s">
        <v>42</v>
      </c>
      <c r="O37" s="1" t="s">
        <v>44</v>
      </c>
      <c r="P37" s="1" t="s">
        <v>43</v>
      </c>
      <c r="Q37" s="1"/>
      <c r="R37" s="1"/>
      <c r="S37" s="1"/>
      <c r="T37" s="1" t="s">
        <v>42</v>
      </c>
      <c r="U37" s="1" t="s">
        <v>44</v>
      </c>
      <c r="V37" s="1" t="s">
        <v>43</v>
      </c>
      <c r="X37" s="11">
        <v>34</v>
      </c>
      <c r="Y37" s="10">
        <f ca="1">+DCOUNTA($B$1:$D$995,$C$1,X174:Z175)</f>
        <v>0</v>
      </c>
      <c r="Z37" s="10">
        <f ca="1">+DCOUNTA($B$1:$D$995,$C$1,X376:Z377)</f>
        <v>0</v>
      </c>
    </row>
    <row r="38" spans="5:26" ht="13.5" thickBot="1">
      <c r="E38" s="11">
        <v>35</v>
      </c>
      <c r="F38" s="10">
        <f ca="1">+DCOUNTA($B$1:$C$995,$C$1,E176:G177)</f>
        <v>0</v>
      </c>
      <c r="G38" s="10">
        <f ca="1">+DCOUNTA($B$1:$C$995,$C$1,E378:G379)</f>
        <v>0</v>
      </c>
      <c r="I38" s="11">
        <v>35</v>
      </c>
      <c r="J38" s="10">
        <f ca="1">+DCOUNTA($B$1:$D$995,$C$1,I176:K177)</f>
        <v>0</v>
      </c>
      <c r="K38" s="10">
        <f ca="1">+DCOUNTA($B$1:$D$995,$C$1,I378:K379)</f>
        <v>0</v>
      </c>
      <c r="M38" s="1"/>
      <c r="N38">
        <v>19</v>
      </c>
      <c r="O38" s="1" t="s">
        <v>55</v>
      </c>
      <c r="P38" s="1" t="s">
        <v>66</v>
      </c>
      <c r="Q38" s="1"/>
      <c r="R38" s="1"/>
      <c r="S38" s="1"/>
      <c r="T38">
        <v>19</v>
      </c>
      <c r="U38" s="1" t="s">
        <v>55</v>
      </c>
      <c r="V38" s="1" t="s">
        <v>56</v>
      </c>
      <c r="X38" s="11">
        <v>35</v>
      </c>
      <c r="Y38" s="10">
        <f ca="1">+DCOUNTA($B$1:$D$995,$C$1,X176:Z177)</f>
        <v>0</v>
      </c>
      <c r="Z38" s="10">
        <f ca="1">+DCOUNTA($B$1:$D$995,$C$1,X378:Z379)</f>
        <v>0</v>
      </c>
    </row>
    <row r="39" spans="5:26" ht="13.5" thickBot="1">
      <c r="E39" s="11">
        <v>36</v>
      </c>
      <c r="F39" s="10">
        <f ca="1">+DCOUNTA($B$1:$C$995,$C$1,E178:G179)</f>
        <v>0</v>
      </c>
      <c r="G39" s="10">
        <f ca="1">+DCOUNTA($B$1:$C$995,$C$1,E380:G381)</f>
        <v>0</v>
      </c>
      <c r="I39" s="11">
        <v>36</v>
      </c>
      <c r="J39" s="10">
        <f ca="1">+DCOUNTA($B$1:$D$995,$C$1,I178:K179)</f>
        <v>0</v>
      </c>
      <c r="K39" s="10">
        <f ca="1">+DCOUNTA($B$1:$D$995,$C$1,I380:K381)</f>
        <v>0</v>
      </c>
      <c r="M39" s="1"/>
      <c r="N39" s="1" t="s">
        <v>42</v>
      </c>
      <c r="O39" s="1" t="s">
        <v>44</v>
      </c>
      <c r="P39" s="1" t="s">
        <v>43</v>
      </c>
      <c r="Q39" s="1"/>
      <c r="R39" s="1"/>
      <c r="S39" s="1"/>
      <c r="T39" s="1" t="s">
        <v>42</v>
      </c>
      <c r="U39" s="1" t="s">
        <v>44</v>
      </c>
      <c r="V39" s="1" t="s">
        <v>43</v>
      </c>
      <c r="X39" s="11">
        <v>36</v>
      </c>
      <c r="Y39" s="10">
        <f ca="1">+DCOUNTA($B$1:$D$995,$C$1,X178:Z179)</f>
        <v>0</v>
      </c>
      <c r="Z39" s="10">
        <f ca="1">+DCOUNTA($B$1:$D$995,$C$1,X380:Z381)</f>
        <v>0</v>
      </c>
    </row>
    <row r="40" spans="5:26" ht="13.5" thickBot="1">
      <c r="E40" s="11">
        <v>37</v>
      </c>
      <c r="F40" s="10">
        <f ca="1">+DCOUNTA($B$1:$C$995,$C$1,E180:G181)</f>
        <v>0</v>
      </c>
      <c r="G40" s="10">
        <f ca="1">+DCOUNTA($B$1:$C$995,$C$1,E382:G383)</f>
        <v>0</v>
      </c>
      <c r="I40" s="11">
        <v>37</v>
      </c>
      <c r="J40" s="10">
        <f ca="1">+DCOUNTA($B$1:$D$995,$C$1,I180:K181)</f>
        <v>0</v>
      </c>
      <c r="K40" s="10">
        <f ca="1">+DCOUNTA($B$1:$D$995,$C$1,I382:K383)</f>
        <v>0</v>
      </c>
      <c r="M40" s="1"/>
      <c r="N40">
        <v>20</v>
      </c>
      <c r="O40" s="1" t="s">
        <v>55</v>
      </c>
      <c r="P40" s="1" t="s">
        <v>66</v>
      </c>
      <c r="Q40" s="1"/>
      <c r="R40" s="1"/>
      <c r="S40" s="1"/>
      <c r="T40">
        <v>20</v>
      </c>
      <c r="U40" s="1" t="s">
        <v>55</v>
      </c>
      <c r="V40" s="1" t="s">
        <v>56</v>
      </c>
      <c r="X40" s="11">
        <v>37</v>
      </c>
      <c r="Y40" s="10">
        <f ca="1">+DCOUNTA($B$1:$D$995,$C$1,X180:Z181)</f>
        <v>0</v>
      </c>
      <c r="Z40" s="10">
        <f ca="1">+DCOUNTA($B$1:$D$995,$C$1,X382:Z383)</f>
        <v>0</v>
      </c>
    </row>
    <row r="41" spans="5:26" ht="13.5" thickBot="1">
      <c r="E41" s="11">
        <v>38</v>
      </c>
      <c r="F41" s="10">
        <f ca="1">+DCOUNTA($B$1:$C$995,$C$1,E182:G183)</f>
        <v>0</v>
      </c>
      <c r="G41" s="10">
        <f ca="1">+DCOUNTA($B$1:$C$995,$C$1,E384:G385)</f>
        <v>0</v>
      </c>
      <c r="I41" s="11">
        <v>38</v>
      </c>
      <c r="J41" s="10">
        <f ca="1">+DCOUNTA($B$1:$D$995,$C$1,I182:K183)</f>
        <v>0</v>
      </c>
      <c r="K41" s="10">
        <f ca="1">+DCOUNTA($B$1:$D$995,$C$1,I384:K385)</f>
        <v>0</v>
      </c>
      <c r="M41" s="1"/>
      <c r="N41" s="1" t="s">
        <v>42</v>
      </c>
      <c r="O41" s="1" t="s">
        <v>44</v>
      </c>
      <c r="P41" s="1" t="s">
        <v>43</v>
      </c>
      <c r="Q41" s="1"/>
      <c r="R41" s="1"/>
      <c r="S41" s="1"/>
      <c r="T41" s="1" t="s">
        <v>42</v>
      </c>
      <c r="U41" s="1" t="s">
        <v>44</v>
      </c>
      <c r="V41" s="1" t="s">
        <v>43</v>
      </c>
      <c r="X41" s="11">
        <v>38</v>
      </c>
      <c r="Y41" s="10">
        <f ca="1">+DCOUNTA($B$1:$D$995,$C$1,X182:Z183)</f>
        <v>0</v>
      </c>
      <c r="Z41" s="10">
        <f ca="1">+DCOUNTA($B$1:$D$995,$C$1,X384:Z385)</f>
        <v>0</v>
      </c>
    </row>
    <row r="42" spans="5:26" ht="13.5" thickBot="1">
      <c r="E42" s="11">
        <v>39</v>
      </c>
      <c r="F42" s="10">
        <f ca="1">+DCOUNTA($B$1:$C$995,$C$1,E184:G185)</f>
        <v>0</v>
      </c>
      <c r="G42" s="10">
        <f ca="1">+DCOUNTA($B$1:$C$995,$C$1,E386:G387)</f>
        <v>0</v>
      </c>
      <c r="I42" s="11">
        <v>39</v>
      </c>
      <c r="J42" s="10">
        <f ca="1">+DCOUNTA($B$1:$D$995,$C$1,I184:K185)</f>
        <v>0</v>
      </c>
      <c r="K42" s="10">
        <f ca="1">+DCOUNTA($B$1:$D$995,$C$1,I386:K387)</f>
        <v>0</v>
      </c>
      <c r="M42" s="1"/>
      <c r="N42">
        <v>21</v>
      </c>
      <c r="O42" s="1" t="s">
        <v>55</v>
      </c>
      <c r="P42" s="1" t="s">
        <v>66</v>
      </c>
      <c r="Q42" s="1"/>
      <c r="R42" s="1"/>
      <c r="S42" s="1"/>
      <c r="T42">
        <v>21</v>
      </c>
      <c r="U42" s="1" t="s">
        <v>55</v>
      </c>
      <c r="V42" s="1" t="s">
        <v>56</v>
      </c>
      <c r="X42" s="11">
        <v>39</v>
      </c>
      <c r="Y42" s="10">
        <f ca="1">+DCOUNTA($B$1:$D$995,$C$1,X184:Z185)</f>
        <v>0</v>
      </c>
      <c r="Z42" s="10">
        <f ca="1">+DCOUNTA($B$1:$D$995,$C$1,X386:Z387)</f>
        <v>0</v>
      </c>
    </row>
    <row r="43" spans="5:26" ht="13.5" thickBot="1">
      <c r="E43" s="11">
        <v>40</v>
      </c>
      <c r="F43" s="10">
        <f ca="1">+DCOUNTA($B$1:$C$995,$C$1,E186:G187)</f>
        <v>0</v>
      </c>
      <c r="G43" s="10">
        <f ca="1">+DCOUNTA($B$1:$C$995,$C$1,E388:G389)</f>
        <v>0</v>
      </c>
      <c r="I43" s="11">
        <v>40</v>
      </c>
      <c r="J43" s="10">
        <f ca="1">+DCOUNTA($B$1:$D$995,$C$1,I186:K187)</f>
        <v>0</v>
      </c>
      <c r="K43" s="10">
        <f ca="1">+DCOUNTA($B$1:$D$995,$C$1,I388:K389)</f>
        <v>0</v>
      </c>
      <c r="M43" s="1"/>
      <c r="N43" s="1" t="s">
        <v>42</v>
      </c>
      <c r="O43" s="1" t="s">
        <v>44</v>
      </c>
      <c r="P43" s="1" t="s">
        <v>43</v>
      </c>
      <c r="Q43" s="1"/>
      <c r="R43" s="1"/>
      <c r="S43" s="1"/>
      <c r="T43" s="1" t="s">
        <v>42</v>
      </c>
      <c r="U43" s="1" t="s">
        <v>44</v>
      </c>
      <c r="V43" s="1" t="s">
        <v>43</v>
      </c>
      <c r="X43" s="11">
        <v>40</v>
      </c>
      <c r="Y43" s="10">
        <f ca="1">+DCOUNTA($B$1:$D$995,$C$1,X186:Z187)</f>
        <v>0</v>
      </c>
      <c r="Z43" s="10">
        <f ca="1">+DCOUNTA($B$1:$D$995,$C$1,X388:Z389)</f>
        <v>0</v>
      </c>
    </row>
    <row r="44" spans="5:26" ht="13.5" thickBot="1">
      <c r="E44" s="11">
        <v>41</v>
      </c>
      <c r="F44" s="10">
        <f ca="1">+DCOUNTA($B$1:$C$995,$C$1,E188:G189)</f>
        <v>0</v>
      </c>
      <c r="G44" s="10">
        <f ca="1">+DCOUNTA($B$1:$C$995,$C$1,E390:G391)</f>
        <v>0</v>
      </c>
      <c r="I44" s="11">
        <v>41</v>
      </c>
      <c r="J44" s="10">
        <f ca="1">+DCOUNTA($B$1:$D$995,$C$1,I188:K189)</f>
        <v>0</v>
      </c>
      <c r="K44" s="10">
        <f ca="1">+DCOUNTA($B$1:$D$995,$C$1,I390:K391)</f>
        <v>0</v>
      </c>
      <c r="M44" s="1"/>
      <c r="N44">
        <v>22</v>
      </c>
      <c r="O44" s="1" t="s">
        <v>55</v>
      </c>
      <c r="P44" s="1" t="s">
        <v>66</v>
      </c>
      <c r="Q44" s="1"/>
      <c r="R44" s="1"/>
      <c r="S44" s="1"/>
      <c r="T44">
        <v>22</v>
      </c>
      <c r="U44" s="1" t="s">
        <v>55</v>
      </c>
      <c r="V44" s="1" t="s">
        <v>56</v>
      </c>
      <c r="X44" s="11">
        <v>41</v>
      </c>
      <c r="Y44" s="10">
        <f ca="1">+DCOUNTA($B$1:$D$995,$C$1,X188:Z189)</f>
        <v>0</v>
      </c>
      <c r="Z44" s="10">
        <f ca="1">+DCOUNTA($B$1:$D$995,$C$1,X390:Z391)</f>
        <v>0</v>
      </c>
    </row>
    <row r="45" spans="5:26" ht="13.5" thickBot="1">
      <c r="E45" s="11">
        <v>42</v>
      </c>
      <c r="F45" s="10">
        <f ca="1">+DCOUNTA($B$1:$C$995,$C$1,E190:G191)</f>
        <v>0</v>
      </c>
      <c r="G45" s="10">
        <f ca="1">+DCOUNTA($B$1:$C$995,$C$1,E392:G393)</f>
        <v>0</v>
      </c>
      <c r="I45" s="11">
        <v>42</v>
      </c>
      <c r="J45" s="10">
        <f ca="1">+DCOUNTA($B$1:$D$995,$C$1,I190:K191)</f>
        <v>0</v>
      </c>
      <c r="K45" s="10">
        <f ca="1">+DCOUNTA($B$1:$D$995,$C$1,I392:K393)</f>
        <v>0</v>
      </c>
      <c r="M45" s="1"/>
      <c r="N45" s="1" t="s">
        <v>42</v>
      </c>
      <c r="O45" s="1" t="s">
        <v>44</v>
      </c>
      <c r="P45" s="1" t="s">
        <v>43</v>
      </c>
      <c r="Q45" s="1"/>
      <c r="R45" s="1"/>
      <c r="S45" s="1"/>
      <c r="T45" s="1" t="s">
        <v>42</v>
      </c>
      <c r="U45" s="1" t="s">
        <v>44</v>
      </c>
      <c r="V45" s="1" t="s">
        <v>43</v>
      </c>
      <c r="X45" s="11">
        <v>42</v>
      </c>
      <c r="Y45" s="10">
        <f ca="1">+DCOUNTA($B$1:$D$995,$C$1,X190:Z191)</f>
        <v>0</v>
      </c>
      <c r="Z45" s="10">
        <f ca="1">+DCOUNTA($B$1:$D$995,$C$1,X392:Z393)</f>
        <v>0</v>
      </c>
    </row>
    <row r="46" spans="5:26" ht="13.5" thickBot="1">
      <c r="E46" s="11">
        <v>43</v>
      </c>
      <c r="F46" s="10">
        <f ca="1">+DCOUNTA($B$1:$C$995,$C$1,E192:G193)</f>
        <v>0</v>
      </c>
      <c r="G46" s="10">
        <f ca="1">+DCOUNTA($B$1:$C$995,$C$1,E394:G395)</f>
        <v>0</v>
      </c>
      <c r="I46" s="11">
        <v>43</v>
      </c>
      <c r="J46" s="10">
        <f ca="1">+DCOUNTA($B$1:$D$995,$C$1,I192:K193)</f>
        <v>0</v>
      </c>
      <c r="K46" s="10">
        <f ca="1">+DCOUNTA($B$1:$D$995,$C$1,I394:K395)</f>
        <v>0</v>
      </c>
      <c r="M46" s="1"/>
      <c r="N46">
        <v>23</v>
      </c>
      <c r="O46" s="1" t="s">
        <v>55</v>
      </c>
      <c r="P46" s="1" t="s">
        <v>66</v>
      </c>
      <c r="Q46" s="1"/>
      <c r="R46" s="1"/>
      <c r="S46" s="1"/>
      <c r="T46">
        <v>23</v>
      </c>
      <c r="U46" s="1" t="s">
        <v>55</v>
      </c>
      <c r="V46" s="1" t="s">
        <v>56</v>
      </c>
      <c r="X46" s="11">
        <v>43</v>
      </c>
      <c r="Y46" s="10">
        <f ca="1">+DCOUNTA($B$1:$D$995,$C$1,X192:Z193)</f>
        <v>0</v>
      </c>
      <c r="Z46" s="10">
        <f ca="1">+DCOUNTA($B$1:$D$995,$C$1,X394:Z395)</f>
        <v>0</v>
      </c>
    </row>
    <row r="47" spans="5:26" ht="13.5" thickBot="1">
      <c r="E47" s="11">
        <v>44</v>
      </c>
      <c r="F47" s="10">
        <f ca="1">+DCOUNTA($B$1:$C$995,$C$1,E194:G195)</f>
        <v>0</v>
      </c>
      <c r="G47" s="10">
        <f ca="1">+DCOUNTA($B$1:$C$995,$C$1,E396:G397)</f>
        <v>0</v>
      </c>
      <c r="I47" s="11">
        <v>44</v>
      </c>
      <c r="J47" s="10">
        <f ca="1">+DCOUNTA($B$1:$D$995,$C$1,I194:K195)</f>
        <v>0</v>
      </c>
      <c r="K47" s="10">
        <f ca="1">+DCOUNTA($B$1:$D$995,$C$1,I396:K397)</f>
        <v>0</v>
      </c>
      <c r="M47" s="1"/>
      <c r="N47" s="1" t="s">
        <v>42</v>
      </c>
      <c r="O47" s="1" t="s">
        <v>44</v>
      </c>
      <c r="P47" s="1" t="s">
        <v>43</v>
      </c>
      <c r="Q47" s="1"/>
      <c r="R47" s="1"/>
      <c r="S47" s="1"/>
      <c r="T47" s="1" t="s">
        <v>42</v>
      </c>
      <c r="U47" s="1" t="s">
        <v>44</v>
      </c>
      <c r="V47" s="1" t="s">
        <v>43</v>
      </c>
      <c r="X47" s="11">
        <v>44</v>
      </c>
      <c r="Y47" s="10">
        <f ca="1">+DCOUNTA($B$1:$D$995,$C$1,X194:Z195)</f>
        <v>0</v>
      </c>
      <c r="Z47" s="10">
        <f ca="1">+DCOUNTA($B$1:$D$995,$C$1,X396:Z397)</f>
        <v>0</v>
      </c>
    </row>
    <row r="48" spans="5:26" ht="13.5" thickBot="1">
      <c r="E48" s="11">
        <v>45</v>
      </c>
      <c r="F48" s="10">
        <f ca="1">+DCOUNTA($B$1:$C$995,$C$1,E196:G197)</f>
        <v>0</v>
      </c>
      <c r="G48" s="10">
        <f ca="1">+DCOUNTA($B$1:$C$995,$C$1,E398:G399)</f>
        <v>0</v>
      </c>
      <c r="I48" s="11">
        <v>45</v>
      </c>
      <c r="J48" s="10">
        <f ca="1">+DCOUNTA($B$1:$D$995,$C$1,I196:K197)</f>
        <v>0</v>
      </c>
      <c r="K48" s="10">
        <f ca="1">+DCOUNTA($B$1:$D$995,$C$1,I398:K399)</f>
        <v>0</v>
      </c>
      <c r="M48" s="1"/>
      <c r="N48">
        <v>24</v>
      </c>
      <c r="O48" s="1" t="s">
        <v>55</v>
      </c>
      <c r="P48" s="1" t="s">
        <v>66</v>
      </c>
      <c r="Q48" s="1"/>
      <c r="R48" s="1"/>
      <c r="S48" s="1"/>
      <c r="T48">
        <v>24</v>
      </c>
      <c r="U48" s="1" t="s">
        <v>55</v>
      </c>
      <c r="V48" s="1" t="s">
        <v>56</v>
      </c>
      <c r="X48" s="11">
        <v>45</v>
      </c>
      <c r="Y48" s="10">
        <f ca="1">+DCOUNTA($B$1:$D$995,$C$1,X196:Z197)</f>
        <v>0</v>
      </c>
      <c r="Z48" s="10">
        <f ca="1">+DCOUNTA($B$1:$D$995,$C$1,X398:Z399)</f>
        <v>0</v>
      </c>
    </row>
    <row r="49" spans="5:29" ht="13.5" thickBot="1">
      <c r="E49" s="11">
        <v>46</v>
      </c>
      <c r="F49" s="10">
        <f ca="1">+DCOUNTA($B$1:$C$995,$C$1,E198:G199)</f>
        <v>0</v>
      </c>
      <c r="G49" s="10">
        <f ca="1">+DCOUNTA($B$1:$C$995,$C$1,E400:G401)</f>
        <v>0</v>
      </c>
      <c r="I49" s="11">
        <v>46</v>
      </c>
      <c r="J49" s="10">
        <f ca="1">+DCOUNTA($B$1:$D$995,$C$1,I198:K199)</f>
        <v>0</v>
      </c>
      <c r="K49" s="10">
        <f ca="1">+DCOUNTA($B$1:$D$995,$C$1,I400:K401)</f>
        <v>0</v>
      </c>
      <c r="M49" s="1"/>
      <c r="N49" s="1" t="s">
        <v>42</v>
      </c>
      <c r="O49" s="1" t="s">
        <v>44</v>
      </c>
      <c r="P49" s="1" t="s">
        <v>43</v>
      </c>
      <c r="Q49" s="1"/>
      <c r="R49" s="1"/>
      <c r="S49" s="1"/>
      <c r="T49" s="1" t="s">
        <v>42</v>
      </c>
      <c r="U49" s="1" t="s">
        <v>44</v>
      </c>
      <c r="V49" s="1" t="s">
        <v>43</v>
      </c>
      <c r="X49" s="11">
        <v>46</v>
      </c>
      <c r="Y49" s="10">
        <f ca="1">+DCOUNTA($B$1:$D$995,$C$1,X198:Z199)</f>
        <v>0</v>
      </c>
      <c r="Z49" s="10">
        <f ca="1">+DCOUNTA($B$1:$D$995,$C$1,X400:Z401)</f>
        <v>0</v>
      </c>
    </row>
    <row r="50" spans="5:29" ht="13.5" thickBot="1">
      <c r="E50" s="11">
        <v>47</v>
      </c>
      <c r="F50" s="10">
        <f ca="1">+DCOUNTA($B$1:$C$995,$C$1,E200:G201)</f>
        <v>0</v>
      </c>
      <c r="G50" s="10">
        <f ca="1">+DCOUNTA($B$1:$C$995,$C$1,E402:G403)</f>
        <v>0</v>
      </c>
      <c r="I50" s="11">
        <v>47</v>
      </c>
      <c r="J50" s="10">
        <f ca="1">+DCOUNTA($B$1:$D$995,$C$1,I200:K201)</f>
        <v>0</v>
      </c>
      <c r="K50" s="10">
        <f ca="1">+DCOUNTA($B$1:$D$995,$C$1,I402:K403)</f>
        <v>0</v>
      </c>
      <c r="M50" s="1"/>
      <c r="N50">
        <v>25</v>
      </c>
      <c r="O50" s="1" t="s">
        <v>55</v>
      </c>
      <c r="P50" s="1" t="s">
        <v>66</v>
      </c>
      <c r="Q50" s="1"/>
      <c r="R50" s="1"/>
      <c r="S50" s="1"/>
      <c r="T50">
        <v>25</v>
      </c>
      <c r="U50" s="1" t="s">
        <v>55</v>
      </c>
      <c r="V50" s="1" t="s">
        <v>56</v>
      </c>
      <c r="X50" s="11">
        <v>47</v>
      </c>
      <c r="Y50" s="10">
        <f ca="1">+DCOUNTA($B$1:$D$995,$C$1,X200:Z201)</f>
        <v>0</v>
      </c>
      <c r="Z50" s="10">
        <f ca="1">+DCOUNTA($B$1:$D$995,$C$1,X402:Z403)</f>
        <v>0</v>
      </c>
    </row>
    <row r="51" spans="5:29" ht="13.5" thickBot="1">
      <c r="E51" s="11">
        <v>48</v>
      </c>
      <c r="F51" s="10">
        <f ca="1">+DCOUNTA($B$1:$C$995,$C$1,E202:G203)</f>
        <v>0</v>
      </c>
      <c r="G51" s="10">
        <f ca="1">+DCOUNTA($B$1:$C$995,$C$1,E404:G405)</f>
        <v>0</v>
      </c>
      <c r="I51" s="11">
        <v>48</v>
      </c>
      <c r="J51" s="10">
        <f ca="1">+DCOUNTA($B$1:$D$995,$C$1,I202:K203)</f>
        <v>0</v>
      </c>
      <c r="K51" s="10">
        <f ca="1">+DCOUNTA($B$1:$D$995,$C$1,I404:K405)</f>
        <v>0</v>
      </c>
      <c r="M51" s="1"/>
      <c r="N51" s="1" t="s">
        <v>42</v>
      </c>
      <c r="O51" s="1" t="s">
        <v>44</v>
      </c>
      <c r="P51" s="1" t="s">
        <v>43</v>
      </c>
      <c r="Q51" s="1"/>
      <c r="R51" s="1"/>
      <c r="S51" s="1"/>
      <c r="T51" s="1" t="s">
        <v>42</v>
      </c>
      <c r="U51" s="1" t="s">
        <v>44</v>
      </c>
      <c r="V51" s="1" t="s">
        <v>43</v>
      </c>
      <c r="X51" s="11">
        <v>48</v>
      </c>
      <c r="Y51" s="10">
        <f ca="1">+DCOUNTA($B$1:$D$995,$C$1,X202:Z203)</f>
        <v>0</v>
      </c>
      <c r="Z51" s="10">
        <f ca="1">+DCOUNTA($B$1:$D$995,$C$1,X404:Z405)</f>
        <v>0</v>
      </c>
    </row>
    <row r="52" spans="5:29" ht="13.5" thickBot="1">
      <c r="E52" s="11">
        <v>49</v>
      </c>
      <c r="F52" s="10">
        <f ca="1">+DCOUNTA($B$1:$C$995,$C$1,E204:G205)</f>
        <v>0</v>
      </c>
      <c r="G52" s="10">
        <f ca="1">+DCOUNTA($B$1:$C$995,$C$1,E406:G407)</f>
        <v>0</v>
      </c>
      <c r="I52" s="11">
        <v>49</v>
      </c>
      <c r="J52" s="10">
        <f ca="1">+DCOUNTA($B$1:$D$995,$C$1,I204:K205)</f>
        <v>0</v>
      </c>
      <c r="K52" s="10">
        <f ca="1">+DCOUNTA($B$1:$D$995,$C$1,I406:K407)</f>
        <v>0</v>
      </c>
      <c r="M52" s="1"/>
      <c r="N52">
        <v>26</v>
      </c>
      <c r="O52" s="1" t="s">
        <v>55</v>
      </c>
      <c r="P52" s="1" t="s">
        <v>66</v>
      </c>
      <c r="Q52" s="1"/>
      <c r="R52" s="1"/>
      <c r="S52" s="1"/>
      <c r="T52">
        <v>26</v>
      </c>
      <c r="U52" s="1" t="s">
        <v>55</v>
      </c>
      <c r="V52" s="1" t="s">
        <v>56</v>
      </c>
      <c r="X52" s="11">
        <v>49</v>
      </c>
      <c r="Y52" s="10">
        <f ca="1">+DCOUNTA($B$1:$D$995,$C$1,X204:Z205)</f>
        <v>0</v>
      </c>
      <c r="Z52" s="10">
        <f ca="1">+DCOUNTA($B$1:$D$995,$C$1,X406:Z407)</f>
        <v>0</v>
      </c>
    </row>
    <row r="53" spans="5:29" ht="13.5" thickBot="1">
      <c r="E53" s="11">
        <v>50</v>
      </c>
      <c r="F53" s="10">
        <f ca="1">+DCOUNTA($B$1:$C$995,$C$1,E206:G207)</f>
        <v>0</v>
      </c>
      <c r="G53" s="10">
        <f ca="1">+DCOUNTA($B$1:$C$995,$C$1,E408:G409)</f>
        <v>0</v>
      </c>
      <c r="I53" s="11">
        <v>50</v>
      </c>
      <c r="J53" s="10">
        <f ca="1">+DCOUNTA($B$1:$D$995,$C$1,I206:K207)</f>
        <v>0</v>
      </c>
      <c r="K53" s="10">
        <f ca="1">+DCOUNTA($B$1:$D$995,$C$1,I408:K409)</f>
        <v>0</v>
      </c>
      <c r="M53" s="1"/>
      <c r="N53" s="1" t="s">
        <v>42</v>
      </c>
      <c r="O53" s="1" t="s">
        <v>44</v>
      </c>
      <c r="P53" s="1" t="s">
        <v>43</v>
      </c>
      <c r="Q53" s="1"/>
      <c r="R53" s="1"/>
      <c r="S53" s="1"/>
      <c r="T53" s="1" t="s">
        <v>42</v>
      </c>
      <c r="U53" s="1" t="s">
        <v>44</v>
      </c>
      <c r="V53" s="1" t="s">
        <v>43</v>
      </c>
      <c r="X53" s="11">
        <v>50</v>
      </c>
      <c r="Y53" s="10">
        <f ca="1">+DCOUNTA($B$1:$D$995,$C$1,X206:Z207)</f>
        <v>0</v>
      </c>
      <c r="Z53" s="10">
        <f ca="1">+DCOUNTA($B$1:$D$995,$C$1,X408:Z409)</f>
        <v>0</v>
      </c>
    </row>
    <row r="54" spans="5:29" ht="13.5" thickBot="1">
      <c r="E54" s="11">
        <v>51</v>
      </c>
      <c r="F54" s="10">
        <f ca="1">+DCOUNTA($B$1:$C$995,$C$1,E208:G209)</f>
        <v>0</v>
      </c>
      <c r="G54" s="10">
        <f ca="1">+DCOUNTA($B$1:$C$995,$C$1,E410:G411)</f>
        <v>0</v>
      </c>
      <c r="I54" s="11">
        <v>51</v>
      </c>
      <c r="J54" s="10">
        <f ca="1">+DCOUNTA($B$1:$D$995,$C$1,I208:K209)</f>
        <v>0</v>
      </c>
      <c r="K54" s="10">
        <f ca="1">+DCOUNTA($B$1:$D$995,$C$1,I410:K411)</f>
        <v>0</v>
      </c>
      <c r="M54" s="1"/>
      <c r="N54">
        <v>27</v>
      </c>
      <c r="O54" s="1" t="s">
        <v>55</v>
      </c>
      <c r="P54" s="1" t="s">
        <v>66</v>
      </c>
      <c r="Q54" s="1"/>
      <c r="R54" s="1"/>
      <c r="S54" s="1"/>
      <c r="T54">
        <v>27</v>
      </c>
      <c r="U54" s="1" t="s">
        <v>55</v>
      </c>
      <c r="V54" s="1" t="s">
        <v>56</v>
      </c>
      <c r="X54" s="11">
        <v>51</v>
      </c>
      <c r="Y54" s="10">
        <f ca="1">+DCOUNTA($B$1:$D$995,$C$1,X208:Z209)</f>
        <v>0</v>
      </c>
      <c r="Z54" s="10">
        <f ca="1">+DCOUNTA($B$1:$D$995,$C$1,X410:Z411)</f>
        <v>0</v>
      </c>
    </row>
    <row r="55" spans="5:29" ht="13.5" thickBot="1">
      <c r="E55" s="11">
        <v>52</v>
      </c>
      <c r="F55" s="10">
        <f ca="1">+DCOUNTA($B$1:$C$995,$C$1,E210:G211)</f>
        <v>0</v>
      </c>
      <c r="G55" s="10">
        <f ca="1">+DCOUNTA($B$1:$C$995,$C$1,E412:G413)</f>
        <v>0</v>
      </c>
      <c r="I55" s="11">
        <v>52</v>
      </c>
      <c r="J55" s="10">
        <f ca="1">+DCOUNTA($B$1:$D$995,$C$1,I210:K211)</f>
        <v>0</v>
      </c>
      <c r="K55" s="10">
        <f ca="1">+DCOUNTA($B$1:$D$995,$C$1,I412:K413)</f>
        <v>0</v>
      </c>
      <c r="M55" s="1"/>
      <c r="N55" s="1" t="s">
        <v>42</v>
      </c>
      <c r="O55" s="1" t="s">
        <v>44</v>
      </c>
      <c r="P55" s="1" t="s">
        <v>43</v>
      </c>
      <c r="Q55" s="1"/>
      <c r="R55" s="1"/>
      <c r="S55" s="1"/>
      <c r="T55" s="1" t="s">
        <v>42</v>
      </c>
      <c r="U55" s="1" t="s">
        <v>44</v>
      </c>
      <c r="V55" s="1" t="s">
        <v>43</v>
      </c>
      <c r="X55" s="11">
        <v>52</v>
      </c>
      <c r="Y55" s="10">
        <f ca="1">+DCOUNTA($B$1:$D$995,$C$1,X210:Z211)</f>
        <v>0</v>
      </c>
      <c r="Z55" s="10">
        <f ca="1">+DCOUNTA($B$1:$D$995,$C$1,X412:Z413)</f>
        <v>0</v>
      </c>
    </row>
    <row r="56" spans="5:29" ht="13.5" thickBot="1">
      <c r="E56" s="11">
        <v>53</v>
      </c>
      <c r="F56" s="10">
        <f ca="1">+DCOUNTA($B$1:$C$995,$C$1,E212:G213)</f>
        <v>0</v>
      </c>
      <c r="G56" s="10">
        <f ca="1">+DCOUNTA($B$1:$C$995,$C$1,E414:G415)</f>
        <v>0</v>
      </c>
      <c r="I56" s="11">
        <v>53</v>
      </c>
      <c r="J56" s="10">
        <f ca="1">+DCOUNTA($B$1:$D$995,$C$1,I212:K213)</f>
        <v>0</v>
      </c>
      <c r="K56" s="10">
        <f ca="1">+DCOUNTA($B$1:$D$995,$C$1,I414:K415)</f>
        <v>0</v>
      </c>
      <c r="M56" s="1"/>
      <c r="N56">
        <v>28</v>
      </c>
      <c r="O56" s="1" t="s">
        <v>55</v>
      </c>
      <c r="P56" s="1" t="s">
        <v>66</v>
      </c>
      <c r="Q56" s="1"/>
      <c r="R56" s="1"/>
      <c r="S56" s="1"/>
      <c r="T56">
        <v>28</v>
      </c>
      <c r="U56" s="1" t="s">
        <v>55</v>
      </c>
      <c r="V56" s="1" t="s">
        <v>56</v>
      </c>
      <c r="X56" s="11">
        <v>53</v>
      </c>
      <c r="Y56" s="10">
        <f ca="1">+DCOUNTA($B$1:$D$995,$C$1,X212:Z213)</f>
        <v>0</v>
      </c>
      <c r="Z56" s="10">
        <f ca="1">+DCOUNTA($B$1:$D$995,$C$1,X414:Z415)</f>
        <v>0</v>
      </c>
    </row>
    <row r="57" spans="5:29" ht="13.5" thickBot="1">
      <c r="E57" s="11">
        <v>54</v>
      </c>
      <c r="F57" s="10">
        <f ca="1">+DCOUNTA($B$1:$C$995,$C$1,E214:G215)</f>
        <v>0</v>
      </c>
      <c r="G57" s="10">
        <f ca="1">+DCOUNTA($B$1:$C$995,$C$1,E416:G417)</f>
        <v>0</v>
      </c>
      <c r="I57" s="11">
        <v>54</v>
      </c>
      <c r="J57" s="10">
        <f ca="1">+DCOUNTA($B$1:$D$995,$C$1,I214:K215)</f>
        <v>0</v>
      </c>
      <c r="K57" s="10">
        <f ca="1">+DCOUNTA($B$1:$D$995,$C$1,I416:K417)</f>
        <v>0</v>
      </c>
      <c r="M57" s="1"/>
      <c r="N57" s="1" t="s">
        <v>42</v>
      </c>
      <c r="O57" s="1" t="s">
        <v>44</v>
      </c>
      <c r="P57" s="1" t="s">
        <v>43</v>
      </c>
      <c r="Q57" s="1"/>
      <c r="R57" s="1"/>
      <c r="S57" s="1"/>
      <c r="T57" s="1" t="s">
        <v>42</v>
      </c>
      <c r="U57" s="1" t="s">
        <v>44</v>
      </c>
      <c r="V57" s="1" t="s">
        <v>43</v>
      </c>
      <c r="X57" s="11">
        <v>54</v>
      </c>
      <c r="Y57" s="10">
        <f ca="1">+DCOUNTA($B$1:$D$995,$C$1,X214:Z215)</f>
        <v>0</v>
      </c>
      <c r="Z57" s="10">
        <f ca="1">+DCOUNTA($B$1:$D$995,$C$1,X416:Z417)</f>
        <v>0</v>
      </c>
    </row>
    <row r="58" spans="5:29" ht="13.5" thickBot="1">
      <c r="E58" s="11">
        <v>55</v>
      </c>
      <c r="F58" s="10">
        <f ca="1">+DCOUNTA($B$1:$C$995,$C$1,E216:G217)</f>
        <v>0</v>
      </c>
      <c r="G58" s="10">
        <f ca="1">+DCOUNTA($B$1:$C$995,$C$1,E418:G419)</f>
        <v>0</v>
      </c>
      <c r="I58" s="11">
        <v>55</v>
      </c>
      <c r="J58" s="10">
        <f ca="1">+DCOUNTA($B$1:$D$995,$C$1,I216:K217)</f>
        <v>0</v>
      </c>
      <c r="K58" s="10">
        <f ca="1">+DCOUNTA($B$1:$D$995,$C$1,I418:K419)</f>
        <v>0</v>
      </c>
      <c r="M58" s="1"/>
      <c r="N58">
        <v>29</v>
      </c>
      <c r="O58" s="1" t="s">
        <v>55</v>
      </c>
      <c r="P58" s="1" t="s">
        <v>66</v>
      </c>
      <c r="Q58" s="1"/>
      <c r="R58" s="1"/>
      <c r="S58" s="1"/>
      <c r="T58">
        <v>29</v>
      </c>
      <c r="U58" s="1" t="s">
        <v>55</v>
      </c>
      <c r="V58" s="1" t="s">
        <v>56</v>
      </c>
      <c r="X58" s="11">
        <v>55</v>
      </c>
      <c r="Y58" s="10">
        <f ca="1">+DCOUNTA($B$1:$D$995,$C$1,X216:Z217)</f>
        <v>0</v>
      </c>
      <c r="Z58" s="10">
        <f ca="1">+DCOUNTA($B$1:$D$995,$C$1,X418:Z419)</f>
        <v>0</v>
      </c>
    </row>
    <row r="59" spans="5:29" ht="13.5" thickBot="1">
      <c r="E59" s="11">
        <v>56</v>
      </c>
      <c r="F59" s="10">
        <f ca="1">+DCOUNTA($B$1:$C$995,$C$1,E218:G219)</f>
        <v>0</v>
      </c>
      <c r="G59" s="10">
        <f ca="1">+DCOUNTA($B$1:$C$995,$C$1,E420:G421)</f>
        <v>0</v>
      </c>
      <c r="I59" s="11">
        <v>56</v>
      </c>
      <c r="J59" s="10">
        <f ca="1">+DCOUNTA($B$1:$D$995,$C$1,I218:K219)</f>
        <v>0</v>
      </c>
      <c r="K59" s="10">
        <f ca="1">+DCOUNTA($B$1:$D$995,$C$1,I420:K421)</f>
        <v>0</v>
      </c>
      <c r="M59" s="1"/>
      <c r="N59" s="1" t="s">
        <v>42</v>
      </c>
      <c r="O59" s="1" t="s">
        <v>44</v>
      </c>
      <c r="P59" s="1" t="s">
        <v>43</v>
      </c>
      <c r="Q59" s="1"/>
      <c r="R59" s="1"/>
      <c r="S59" s="1"/>
      <c r="T59" s="1" t="s">
        <v>42</v>
      </c>
      <c r="U59" s="1" t="s">
        <v>44</v>
      </c>
      <c r="V59" s="1" t="s">
        <v>43</v>
      </c>
      <c r="X59" s="11">
        <v>56</v>
      </c>
      <c r="Y59" s="10">
        <f ca="1">+DCOUNTA($B$1:$D$995,$C$1,X218:Z219)</f>
        <v>0</v>
      </c>
      <c r="Z59" s="10">
        <f ca="1">+DCOUNTA($B$1:$D$995,$C$1,X420:Z421)</f>
        <v>0</v>
      </c>
    </row>
    <row r="60" spans="5:29" ht="13.5" thickBot="1">
      <c r="E60" s="11">
        <v>57</v>
      </c>
      <c r="F60" s="10">
        <f ca="1">+DCOUNTA($B$1:$C$995,$C$1,E220:G221)</f>
        <v>0</v>
      </c>
      <c r="G60" s="10">
        <f ca="1">+DCOUNTA($B$1:$C$995,$C$1,E422:G423)</f>
        <v>0</v>
      </c>
      <c r="I60" s="11">
        <v>57</v>
      </c>
      <c r="J60" s="10">
        <f ca="1">+DCOUNTA($B$1:$D$995,$C$1,I220:K221)</f>
        <v>0</v>
      </c>
      <c r="K60" s="10">
        <f ca="1">+DCOUNTA($B$1:$D$995,$C$1,I422:K423)</f>
        <v>0</v>
      </c>
      <c r="M60" s="1"/>
      <c r="N60">
        <v>30</v>
      </c>
      <c r="O60" s="1" t="s">
        <v>55</v>
      </c>
      <c r="P60" s="1" t="s">
        <v>66</v>
      </c>
      <c r="Q60" s="1"/>
      <c r="R60" s="1"/>
      <c r="S60" s="1"/>
      <c r="T60">
        <v>30</v>
      </c>
      <c r="U60" s="1" t="s">
        <v>55</v>
      </c>
      <c r="V60" s="1" t="s">
        <v>56</v>
      </c>
      <c r="X60" s="11">
        <v>57</v>
      </c>
      <c r="Y60" s="10">
        <f ca="1">+DCOUNTA($B$1:$D$995,$C$1,X220:Z221)</f>
        <v>0</v>
      </c>
      <c r="Z60" s="10">
        <f ca="1">+DCOUNTA($B$1:$D$995,$C$1,X422:Z423)</f>
        <v>0</v>
      </c>
    </row>
    <row r="61" spans="5:29" ht="13.5" thickBot="1">
      <c r="E61" s="11">
        <v>58</v>
      </c>
      <c r="F61" s="10">
        <f ca="1">+DCOUNTA($B$1:$C$995,$C$1,E222:G223)</f>
        <v>0</v>
      </c>
      <c r="G61" s="10">
        <f ca="1">+DCOUNTA($B$1:$C$995,$C$1,E424:G425)</f>
        <v>0</v>
      </c>
      <c r="I61" s="11">
        <v>58</v>
      </c>
      <c r="J61" s="10">
        <f ca="1">+DCOUNTA($B$1:$D$995,$C$1,I222:K223)</f>
        <v>0</v>
      </c>
      <c r="K61" s="10">
        <f ca="1">+DCOUNTA($B$1:$D$995,$C$1,I424:K425)</f>
        <v>0</v>
      </c>
      <c r="M61" s="1"/>
      <c r="N61" s="1" t="s">
        <v>42</v>
      </c>
      <c r="O61" s="1" t="s">
        <v>44</v>
      </c>
      <c r="P61" s="1" t="s">
        <v>43</v>
      </c>
      <c r="Q61" s="1"/>
      <c r="R61" s="1"/>
      <c r="S61" s="1"/>
      <c r="T61" s="1" t="s">
        <v>42</v>
      </c>
      <c r="U61" s="1" t="s">
        <v>44</v>
      </c>
      <c r="V61" s="1" t="s">
        <v>43</v>
      </c>
      <c r="X61" s="11">
        <v>58</v>
      </c>
      <c r="Y61" s="10">
        <f ca="1">+DCOUNTA($B$1:$D$995,$C$1,X222:Z223)</f>
        <v>0</v>
      </c>
      <c r="Z61" s="10">
        <f ca="1">+DCOUNTA($B$1:$D$995,$C$1,X424:Z425)</f>
        <v>0</v>
      </c>
    </row>
    <row r="62" spans="5:29" ht="13.5" thickBot="1">
      <c r="E62" s="11">
        <v>59</v>
      </c>
      <c r="F62" s="10">
        <f ca="1">+DCOUNTA($B$1:$C$995,$C$1,E224:G225)</f>
        <v>0</v>
      </c>
      <c r="G62" s="10">
        <f ca="1">+DCOUNTA($B$1:$C$995,$C$1,E426:G427)</f>
        <v>0</v>
      </c>
      <c r="I62" s="11">
        <v>59</v>
      </c>
      <c r="J62" s="10">
        <f ca="1">+DCOUNTA($B$1:$D$995,$C$1,I224:K225)</f>
        <v>0</v>
      </c>
      <c r="K62" s="10">
        <f ca="1">+DCOUNTA($B$1:$D$995,$C$1,I426:K427)</f>
        <v>0</v>
      </c>
      <c r="M62" s="1"/>
      <c r="N62">
        <v>31</v>
      </c>
      <c r="O62" s="1" t="s">
        <v>55</v>
      </c>
      <c r="P62" s="1" t="s">
        <v>66</v>
      </c>
      <c r="Q62" s="1"/>
      <c r="R62" s="1"/>
      <c r="S62" s="1"/>
      <c r="T62">
        <v>31</v>
      </c>
      <c r="U62" s="1" t="s">
        <v>55</v>
      </c>
      <c r="V62" s="1" t="s">
        <v>56</v>
      </c>
      <c r="X62" s="11">
        <v>59</v>
      </c>
      <c r="Y62" s="10">
        <f ca="1">+DCOUNTA($B$1:$D$995,$C$1,X224:Z225)</f>
        <v>0</v>
      </c>
      <c r="Z62" s="10">
        <f ca="1">+DCOUNTA($B$1:$D$995,$C$1,X426:Z427)</f>
        <v>0</v>
      </c>
      <c r="AA62" s="18">
        <f ca="1">SUM(Y3:Y62)</f>
        <v>0</v>
      </c>
      <c r="AB62" s="18">
        <f ca="1">SUM(Z3:Z62)</f>
        <v>0</v>
      </c>
      <c r="AC62" t="s">
        <v>104</v>
      </c>
    </row>
    <row r="63" spans="5:29" ht="13.5" thickBot="1">
      <c r="E63" s="11">
        <v>60</v>
      </c>
      <c r="F63" s="10">
        <f ca="1">+DCOUNTA($B$1:$C$995,$C$1,E226:G227)</f>
        <v>0</v>
      </c>
      <c r="G63" s="10">
        <f ca="1">+DCOUNTA($B$1:$C$995,$C$1,E428:G429)</f>
        <v>0</v>
      </c>
      <c r="I63" s="11">
        <v>60</v>
      </c>
      <c r="J63" s="10">
        <f ca="1">+DCOUNTA($B$1:$D$995,$C$1,I226:K227)</f>
        <v>0</v>
      </c>
      <c r="K63" s="10">
        <f ca="1">+DCOUNTA($B$1:$D$995,$C$1,I428:K429)</f>
        <v>0</v>
      </c>
      <c r="M63" s="1"/>
      <c r="N63" s="1" t="s">
        <v>42</v>
      </c>
      <c r="O63" s="1" t="s">
        <v>44</v>
      </c>
      <c r="P63" s="1" t="s">
        <v>43</v>
      </c>
      <c r="Q63" s="1"/>
      <c r="R63" s="1"/>
      <c r="S63" s="1"/>
      <c r="T63" s="1" t="s">
        <v>42</v>
      </c>
      <c r="U63" s="1" t="s">
        <v>44</v>
      </c>
      <c r="V63" s="1" t="s">
        <v>43</v>
      </c>
      <c r="X63" s="11">
        <v>60</v>
      </c>
      <c r="Y63" s="10">
        <f ca="1">+DCOUNTA($B$1:$D$995,$C$1,X226:Z227)</f>
        <v>0</v>
      </c>
      <c r="Z63" s="10">
        <f ca="1">+DCOUNTA($B$1:$D$995,$C$1,X428:Z429)</f>
        <v>0</v>
      </c>
    </row>
    <row r="64" spans="5:29" ht="13.5" thickBot="1">
      <c r="E64" s="11">
        <v>61</v>
      </c>
      <c r="F64" s="10">
        <f ca="1">+DCOUNTA($B$1:$C$995,$C$1,E228:G229)</f>
        <v>0</v>
      </c>
      <c r="G64" s="10">
        <f ca="1">+DCOUNTA($B$1:$C$995,$C$1,E430:G431)</f>
        <v>0</v>
      </c>
      <c r="I64" s="11">
        <v>61</v>
      </c>
      <c r="J64" s="10">
        <f ca="1">+DCOUNTA($B$1:$D$995,$C$1,I228:K229)</f>
        <v>0</v>
      </c>
      <c r="K64" s="10">
        <f ca="1">+DCOUNTA($B$1:$D$995,$C$1,I430:K431)</f>
        <v>0</v>
      </c>
      <c r="M64" s="1"/>
      <c r="N64">
        <v>32</v>
      </c>
      <c r="O64" s="1" t="s">
        <v>55</v>
      </c>
      <c r="P64" s="1" t="s">
        <v>66</v>
      </c>
      <c r="Q64" s="1"/>
      <c r="R64" s="1"/>
      <c r="S64" s="1"/>
      <c r="T64">
        <v>32</v>
      </c>
      <c r="U64" s="1" t="s">
        <v>55</v>
      </c>
      <c r="V64" s="1" t="s">
        <v>56</v>
      </c>
      <c r="X64" s="11">
        <v>61</v>
      </c>
      <c r="Y64" s="10">
        <f ca="1">+DCOUNTA($B$1:$D$995,$C$1,X228:Z229)</f>
        <v>0</v>
      </c>
      <c r="Z64" s="10">
        <f ca="1">+DCOUNTA($B$1:$D$995,$C$1,X430:Z431)</f>
        <v>0</v>
      </c>
    </row>
    <row r="65" spans="5:29" ht="13.5" thickBot="1">
      <c r="E65" s="11">
        <v>62</v>
      </c>
      <c r="F65" s="10">
        <f ca="1">+DCOUNTA($B$1:$C$995,$C$1,E230:G231)</f>
        <v>0</v>
      </c>
      <c r="G65" s="10">
        <f ca="1">+DCOUNTA($B$1:$C$995,$C$1,E432:G433)</f>
        <v>0</v>
      </c>
      <c r="I65" s="11">
        <v>62</v>
      </c>
      <c r="J65" s="10">
        <f ca="1">+DCOUNTA($B$1:$D$995,$C$1,I230:K231)</f>
        <v>0</v>
      </c>
      <c r="K65" s="10">
        <f ca="1">+DCOUNTA($B$1:$D$995,$C$1,I432:K433)</f>
        <v>0</v>
      </c>
      <c r="M65" s="1"/>
      <c r="N65" s="1" t="s">
        <v>42</v>
      </c>
      <c r="O65" s="1" t="s">
        <v>44</v>
      </c>
      <c r="P65" s="1" t="s">
        <v>43</v>
      </c>
      <c r="Q65" s="1"/>
      <c r="R65" s="1"/>
      <c r="S65" s="1"/>
      <c r="T65" s="1" t="s">
        <v>42</v>
      </c>
      <c r="U65" s="1" t="s">
        <v>44</v>
      </c>
      <c r="V65" s="1" t="s">
        <v>43</v>
      </c>
      <c r="X65" s="11">
        <v>62</v>
      </c>
      <c r="Y65" s="10">
        <f ca="1">+DCOUNTA($B$1:$D$995,$C$1,X230:Z231)</f>
        <v>0</v>
      </c>
      <c r="Z65" s="10">
        <f ca="1">+DCOUNTA($B$1:$D$995,$C$1,X432:Z433)</f>
        <v>0</v>
      </c>
    </row>
    <row r="66" spans="5:29" ht="13.5" thickBot="1">
      <c r="E66" s="11">
        <v>63</v>
      </c>
      <c r="F66" s="10">
        <f ca="1">+DCOUNTA($B$1:$C$995,$C$1,E232:G233)</f>
        <v>0</v>
      </c>
      <c r="G66" s="10">
        <f ca="1">+DCOUNTA($B$1:$C$995,$C$1,E434:G435)</f>
        <v>0</v>
      </c>
      <c r="I66" s="11">
        <v>63</v>
      </c>
      <c r="J66" s="10">
        <f ca="1">+DCOUNTA($B$1:$D$995,$C$1,I232:K233)</f>
        <v>0</v>
      </c>
      <c r="K66" s="10">
        <f ca="1">+DCOUNTA($B$1:$D$995,$C$1,I434:K435)</f>
        <v>0</v>
      </c>
      <c r="M66" s="1"/>
      <c r="N66">
        <v>33</v>
      </c>
      <c r="O66" s="1" t="s">
        <v>55</v>
      </c>
      <c r="P66" s="1" t="s">
        <v>66</v>
      </c>
      <c r="Q66" s="1"/>
      <c r="R66" s="1"/>
      <c r="S66" s="1"/>
      <c r="T66">
        <v>33</v>
      </c>
      <c r="U66" s="1" t="s">
        <v>55</v>
      </c>
      <c r="V66" s="1" t="s">
        <v>56</v>
      </c>
      <c r="X66" s="11">
        <v>63</v>
      </c>
      <c r="Y66" s="10">
        <f ca="1">+DCOUNTA($B$1:$D$995,$C$1,X232:Z233)</f>
        <v>0</v>
      </c>
      <c r="Z66" s="10">
        <f ca="1">+DCOUNTA($B$1:$D$995,$C$1,X434:Z435)</f>
        <v>0</v>
      </c>
    </row>
    <row r="67" spans="5:29" ht="13.5" thickBot="1">
      <c r="E67" s="11">
        <v>64</v>
      </c>
      <c r="F67" s="10">
        <f ca="1">+DCOUNTA($B$1:$C$995,$C$1,E234:G235)</f>
        <v>0</v>
      </c>
      <c r="G67" s="10">
        <f ca="1">+DCOUNTA($B$1:$C$995,$C$1,E436:G437)</f>
        <v>0</v>
      </c>
      <c r="I67" s="11">
        <v>64</v>
      </c>
      <c r="J67" s="10">
        <f ca="1">+DCOUNTA($B$1:$D$995,$C$1,I234:K235)</f>
        <v>0</v>
      </c>
      <c r="K67" s="10">
        <f ca="1">+DCOUNTA($B$1:$D$995,$C$1,I436:K437)</f>
        <v>0</v>
      </c>
      <c r="N67" s="1" t="s">
        <v>42</v>
      </c>
      <c r="O67" s="1" t="s">
        <v>44</v>
      </c>
      <c r="P67" s="1" t="s">
        <v>43</v>
      </c>
      <c r="Q67" s="1"/>
      <c r="R67" s="1"/>
      <c r="T67" s="1" t="s">
        <v>42</v>
      </c>
      <c r="U67" s="1" t="s">
        <v>44</v>
      </c>
      <c r="V67" s="1" t="s">
        <v>43</v>
      </c>
      <c r="X67" s="11">
        <v>64</v>
      </c>
      <c r="Y67" s="10">
        <f ca="1">+DCOUNTA($B$1:$D$995,$C$1,X234:Z235)</f>
        <v>0</v>
      </c>
      <c r="Z67" s="10">
        <f ca="1">+DCOUNTA($B$1:$D$995,$C$1,X436:Z437)</f>
        <v>0</v>
      </c>
      <c r="AA67" s="18">
        <f ca="1">SUM(Y3:Y67)</f>
        <v>0</v>
      </c>
      <c r="AB67" s="18">
        <f ca="1">SUM(Z3:Z67)</f>
        <v>0</v>
      </c>
      <c r="AC67" t="s">
        <v>105</v>
      </c>
    </row>
    <row r="68" spans="5:29" ht="13.5" thickBot="1">
      <c r="E68" s="11">
        <v>65</v>
      </c>
      <c r="F68" s="10">
        <f ca="1">+DCOUNTA($B$1:$C$995,$C$1,E236:G237)</f>
        <v>0</v>
      </c>
      <c r="G68" s="10">
        <f ca="1">+DCOUNTA($B$1:$C$995,$C$1,E438:G439)</f>
        <v>0</v>
      </c>
      <c r="I68" s="11">
        <v>65</v>
      </c>
      <c r="J68" s="10">
        <f ca="1">+DCOUNTA($B$1:$D$995,$C$1,I236:K237)</f>
        <v>0</v>
      </c>
      <c r="K68" s="10">
        <f ca="1">+DCOUNTA($B$1:$D$995,$C$1,I438:K439)</f>
        <v>0</v>
      </c>
      <c r="N68">
        <v>34</v>
      </c>
      <c r="O68" s="1" t="s">
        <v>55</v>
      </c>
      <c r="P68" s="1" t="s">
        <v>66</v>
      </c>
      <c r="Q68" s="1"/>
      <c r="R68" s="1"/>
      <c r="T68">
        <v>34</v>
      </c>
      <c r="U68" s="1" t="s">
        <v>55</v>
      </c>
      <c r="V68" s="1" t="s">
        <v>56</v>
      </c>
      <c r="X68" s="11">
        <v>65</v>
      </c>
      <c r="Y68" s="10">
        <f ca="1">+DCOUNTA($B$1:$D$995,$C$1,X236:Z237)</f>
        <v>0</v>
      </c>
      <c r="Z68" s="10">
        <f ca="1">+DCOUNTA($B$1:$D$995,$C$1,X438:Z439)</f>
        <v>0</v>
      </c>
    </row>
    <row r="69" spans="5:29" ht="13.5" thickBot="1">
      <c r="E69" s="11">
        <v>66</v>
      </c>
      <c r="F69" s="10">
        <f ca="1">+DCOUNTA($B$1:$C$995,$C$1,E238:G239)</f>
        <v>0</v>
      </c>
      <c r="G69" s="10">
        <f ca="1">+DCOUNTA($B$1:$C$995,$C$1,E440:G441)</f>
        <v>0</v>
      </c>
      <c r="I69" s="11">
        <v>66</v>
      </c>
      <c r="J69" s="10">
        <f ca="1">+DCOUNTA($B$1:$D$995,$C$1,I238:K239)</f>
        <v>0</v>
      </c>
      <c r="K69" s="10">
        <f ca="1">+DCOUNTA($B$1:$D$995,$C$1,I440:K441)</f>
        <v>0</v>
      </c>
      <c r="N69" s="1" t="s">
        <v>42</v>
      </c>
      <c r="O69" s="1" t="s">
        <v>44</v>
      </c>
      <c r="P69" s="1" t="s">
        <v>43</v>
      </c>
      <c r="Q69" s="1"/>
      <c r="R69" s="1"/>
      <c r="T69" s="1" t="s">
        <v>42</v>
      </c>
      <c r="U69" s="1" t="s">
        <v>44</v>
      </c>
      <c r="V69" s="1" t="s">
        <v>43</v>
      </c>
      <c r="X69" s="11">
        <v>66</v>
      </c>
      <c r="Y69" s="10">
        <f ca="1">+DCOUNTA($B$1:$D$995,$C$1,X238:Z239)</f>
        <v>0</v>
      </c>
      <c r="Z69" s="10">
        <f ca="1">+DCOUNTA($B$1:$D$995,$C$1,X440:Z441)</f>
        <v>0</v>
      </c>
    </row>
    <row r="70" spans="5:29" ht="13.5" thickBot="1">
      <c r="E70" s="11">
        <v>67</v>
      </c>
      <c r="F70" s="10">
        <f ca="1">+DCOUNTA($B$1:$C$995,$C$1,E240:G241)</f>
        <v>0</v>
      </c>
      <c r="G70" s="10">
        <f ca="1">+DCOUNTA($B$1:$C$995,$C$1,E442:G443)</f>
        <v>0</v>
      </c>
      <c r="I70" s="11">
        <v>67</v>
      </c>
      <c r="J70" s="10">
        <f ca="1">+DCOUNTA($B$1:$D$995,$C$1,I240:K241)</f>
        <v>0</v>
      </c>
      <c r="K70" s="10">
        <f ca="1">+DCOUNTA($B$1:$D$995,$C$1,I442:K443)</f>
        <v>0</v>
      </c>
      <c r="N70">
        <v>35</v>
      </c>
      <c r="O70" s="1" t="s">
        <v>55</v>
      </c>
      <c r="P70" s="1" t="s">
        <v>66</v>
      </c>
      <c r="Q70" s="1"/>
      <c r="R70" s="1"/>
      <c r="T70">
        <v>35</v>
      </c>
      <c r="U70" s="1" t="s">
        <v>55</v>
      </c>
      <c r="V70" s="1" t="s">
        <v>56</v>
      </c>
      <c r="X70" s="11">
        <v>67</v>
      </c>
      <c r="Y70" s="10">
        <f ca="1">+DCOUNTA($B$1:$D$995,$C$1,X240:Z241)</f>
        <v>0</v>
      </c>
      <c r="Z70" s="10">
        <f ca="1">+DCOUNTA($B$1:$D$995,$C$1,X442:Z443)</f>
        <v>0</v>
      </c>
    </row>
    <row r="71" spans="5:29" ht="13.5" thickBot="1">
      <c r="E71" s="11">
        <v>68</v>
      </c>
      <c r="F71" s="10">
        <f ca="1">+DCOUNTA($B$1:$C$995,$C$1,E242:G243)</f>
        <v>0</v>
      </c>
      <c r="G71" s="10">
        <f ca="1">+DCOUNTA($B$1:$C$995,$C$1,E444:G445)</f>
        <v>0</v>
      </c>
      <c r="I71" s="11">
        <v>68</v>
      </c>
      <c r="J71" s="10">
        <f ca="1">+DCOUNTA($B$1:$D$995,$C$1,I242:K243)</f>
        <v>0</v>
      </c>
      <c r="K71" s="10">
        <f ca="1">+DCOUNTA($B$1:$D$995,$C$1,I444:K445)</f>
        <v>0</v>
      </c>
      <c r="N71" s="1" t="s">
        <v>42</v>
      </c>
      <c r="O71" s="1" t="s">
        <v>44</v>
      </c>
      <c r="P71" s="1" t="s">
        <v>43</v>
      </c>
      <c r="Q71" s="1"/>
      <c r="R71" s="1"/>
      <c r="T71" s="1" t="s">
        <v>42</v>
      </c>
      <c r="U71" s="1" t="s">
        <v>44</v>
      </c>
      <c r="V71" s="1" t="s">
        <v>43</v>
      </c>
      <c r="X71" s="11">
        <v>68</v>
      </c>
      <c r="Y71" s="10">
        <f ca="1">+DCOUNTA($B$1:$D$995,$C$1,X242:Z243)</f>
        <v>0</v>
      </c>
      <c r="Z71" s="10">
        <f ca="1">+DCOUNTA($B$1:$D$995,$C$1,X444:Z445)</f>
        <v>0</v>
      </c>
    </row>
    <row r="72" spans="5:29" ht="13.5" thickBot="1">
      <c r="E72" s="11">
        <v>69</v>
      </c>
      <c r="F72" s="10">
        <f ca="1">+DCOUNTA($B$1:$C$995,$C$1,E244:G245)</f>
        <v>0</v>
      </c>
      <c r="G72" s="10">
        <f ca="1">+DCOUNTA($B$1:$C$995,$C$1,E446:G447)</f>
        <v>0</v>
      </c>
      <c r="I72" s="11">
        <v>69</v>
      </c>
      <c r="J72" s="10">
        <f ca="1">+DCOUNTA($B$1:$D$995,$C$1,I244:K245)</f>
        <v>0</v>
      </c>
      <c r="K72" s="10">
        <f ca="1">+DCOUNTA($B$1:$D$995,$C$1,I446:K447)</f>
        <v>0</v>
      </c>
      <c r="N72">
        <v>36</v>
      </c>
      <c r="O72" s="1" t="s">
        <v>55</v>
      </c>
      <c r="P72" s="1" t="s">
        <v>66</v>
      </c>
      <c r="Q72" s="1"/>
      <c r="R72" s="1"/>
      <c r="T72">
        <v>36</v>
      </c>
      <c r="U72" s="1" t="s">
        <v>55</v>
      </c>
      <c r="V72" s="1" t="s">
        <v>56</v>
      </c>
      <c r="X72" s="11">
        <v>69</v>
      </c>
      <c r="Y72" s="10">
        <f ca="1">+DCOUNTA($B$1:$D$995,$C$1,X244:Z245)</f>
        <v>0</v>
      </c>
      <c r="Z72" s="10">
        <f ca="1">+DCOUNTA($B$1:$D$995,$C$1,X446:Z447)</f>
        <v>0</v>
      </c>
    </row>
    <row r="73" spans="5:29" ht="13.5" thickBot="1">
      <c r="E73" s="11">
        <v>70</v>
      </c>
      <c r="F73" s="10">
        <f ca="1">+DCOUNTA($B$1:$C$995,$C$1,E246:G247)</f>
        <v>0</v>
      </c>
      <c r="G73" s="10">
        <f ca="1">+DCOUNTA($B$1:$C$995,$C$1,E448:G449)</f>
        <v>0</v>
      </c>
      <c r="I73" s="11">
        <v>70</v>
      </c>
      <c r="J73" s="10">
        <f ca="1">+DCOUNTA($B$1:$D$995,$C$1,I246:K247)</f>
        <v>0</v>
      </c>
      <c r="K73" s="10">
        <f ca="1">+DCOUNTA($B$1:$D$995,$C$1,I448:K449)</f>
        <v>0</v>
      </c>
      <c r="N73" s="1" t="s">
        <v>42</v>
      </c>
      <c r="O73" s="1" t="s">
        <v>44</v>
      </c>
      <c r="P73" s="1" t="s">
        <v>43</v>
      </c>
      <c r="Q73" s="1"/>
      <c r="R73" s="1"/>
      <c r="T73" s="1" t="s">
        <v>42</v>
      </c>
      <c r="U73" s="1" t="s">
        <v>44</v>
      </c>
      <c r="V73" s="1" t="s">
        <v>43</v>
      </c>
      <c r="X73" s="11">
        <v>70</v>
      </c>
      <c r="Y73" s="10">
        <f ca="1">+DCOUNTA($B$1:$D$995,$C$1,X246:Z247)</f>
        <v>0</v>
      </c>
      <c r="Z73" s="10">
        <f ca="1">+DCOUNTA($B$1:$D$995,$C$1,X448:Z449)</f>
        <v>0</v>
      </c>
    </row>
    <row r="74" spans="5:29" ht="13.5" thickBot="1">
      <c r="E74" s="11">
        <v>71</v>
      </c>
      <c r="F74" s="10">
        <f ca="1">+DCOUNTA($B$1:$C$995,$C$1,E248:G249)</f>
        <v>0</v>
      </c>
      <c r="G74" s="10">
        <f ca="1">+DCOUNTA($B$1:$C$995,$C$1,E450:G451)</f>
        <v>0</v>
      </c>
      <c r="I74" s="11">
        <v>71</v>
      </c>
      <c r="J74" s="10">
        <f ca="1">+DCOUNTA($B$1:$D$995,$C$1,I248:K249)</f>
        <v>0</v>
      </c>
      <c r="K74" s="10">
        <f ca="1">+DCOUNTA($B$1:$D$995,$C$1,I450:K451)</f>
        <v>0</v>
      </c>
      <c r="N74">
        <v>37</v>
      </c>
      <c r="O74" s="1" t="s">
        <v>55</v>
      </c>
      <c r="P74" s="1" t="s">
        <v>66</v>
      </c>
      <c r="Q74" s="1"/>
      <c r="R74" s="1"/>
      <c r="T74">
        <v>37</v>
      </c>
      <c r="U74" s="1" t="s">
        <v>55</v>
      </c>
      <c r="V74" s="1" t="s">
        <v>56</v>
      </c>
      <c r="X74" s="11">
        <v>71</v>
      </c>
      <c r="Y74" s="10">
        <f ca="1">+DCOUNTA($B$1:$D$995,$C$1,X248:Z249)</f>
        <v>0</v>
      </c>
      <c r="Z74" s="10">
        <f ca="1">+DCOUNTA($B$1:$D$995,$C$1,X450:Z451)</f>
        <v>0</v>
      </c>
    </row>
    <row r="75" spans="5:29" ht="13.5" thickBot="1">
      <c r="E75" s="11">
        <v>72</v>
      </c>
      <c r="F75" s="10">
        <f ca="1">+DCOUNTA($B$1:$C$995,$C$1,E250:G251)</f>
        <v>0</v>
      </c>
      <c r="G75" s="10">
        <f ca="1">+DCOUNTA($B$1:$C$995,$C$1,E452:G453)</f>
        <v>0</v>
      </c>
      <c r="I75" s="11">
        <v>72</v>
      </c>
      <c r="J75" s="10">
        <f ca="1">+DCOUNTA($B$1:$D$995,$C$1,I250:K251)</f>
        <v>0</v>
      </c>
      <c r="K75" s="10">
        <f ca="1">+DCOUNTA($B$1:$D$995,$C$1,I452:K453)</f>
        <v>0</v>
      </c>
      <c r="N75" s="1" t="s">
        <v>42</v>
      </c>
      <c r="O75" s="1" t="s">
        <v>44</v>
      </c>
      <c r="P75" s="1" t="s">
        <v>43</v>
      </c>
      <c r="Q75" s="1"/>
      <c r="R75" s="1"/>
      <c r="T75" s="1" t="s">
        <v>42</v>
      </c>
      <c r="U75" s="1" t="s">
        <v>44</v>
      </c>
      <c r="V75" s="1" t="s">
        <v>43</v>
      </c>
      <c r="X75" s="11">
        <v>72</v>
      </c>
      <c r="Y75" s="10">
        <f ca="1">+DCOUNTA($B$1:$D$995,$C$1,X250:Z251)</f>
        <v>0</v>
      </c>
      <c r="Z75" s="10">
        <f ca="1">+DCOUNTA($B$1:$D$995,$C$1,X452:Z453)</f>
        <v>0</v>
      </c>
    </row>
    <row r="76" spans="5:29" ht="13.5" thickBot="1">
      <c r="E76" s="11">
        <v>73</v>
      </c>
      <c r="F76" s="10">
        <f ca="1">+DCOUNTA($B$1:$C$995,$C$1,E252:G253)</f>
        <v>0</v>
      </c>
      <c r="G76" s="10">
        <f ca="1">+DCOUNTA($B$1:$C$995,$C$1,E454:G455)</f>
        <v>0</v>
      </c>
      <c r="I76" s="11">
        <v>73</v>
      </c>
      <c r="J76" s="10">
        <f ca="1">+DCOUNTA($B$1:$D$995,$C$1,I252:K253)</f>
        <v>0</v>
      </c>
      <c r="K76" s="10">
        <f ca="1">+DCOUNTA($B$1:$D$995,$C$1,I454:K455)</f>
        <v>0</v>
      </c>
      <c r="N76">
        <v>38</v>
      </c>
      <c r="O76" s="1" t="s">
        <v>55</v>
      </c>
      <c r="P76" s="1" t="s">
        <v>66</v>
      </c>
      <c r="Q76" s="1"/>
      <c r="R76" s="1"/>
      <c r="T76">
        <v>38</v>
      </c>
      <c r="U76" s="1" t="s">
        <v>55</v>
      </c>
      <c r="V76" s="1" t="s">
        <v>56</v>
      </c>
      <c r="X76" s="11">
        <v>73</v>
      </c>
      <c r="Y76" s="10">
        <f ca="1">+DCOUNTA($B$1:$D$995,$C$1,X252:Z253)</f>
        <v>0</v>
      </c>
      <c r="Z76" s="10">
        <f ca="1">+DCOUNTA($B$1:$D$995,$C$1,X454:Z455)</f>
        <v>0</v>
      </c>
    </row>
    <row r="77" spans="5:29" ht="13.5" thickBot="1">
      <c r="E77" s="11">
        <v>74</v>
      </c>
      <c r="F77" s="10">
        <f ca="1">+DCOUNTA($B$1:$C$995,$C$1,E254:G255)</f>
        <v>0</v>
      </c>
      <c r="G77" s="10">
        <f ca="1">+DCOUNTA($B$1:$C$995,$C$1,E456:G457)</f>
        <v>0</v>
      </c>
      <c r="I77" s="11">
        <v>74</v>
      </c>
      <c r="J77" s="10">
        <f ca="1">+DCOUNTA($B$1:$D$995,$C$1,I254:K255)</f>
        <v>0</v>
      </c>
      <c r="K77" s="10">
        <f ca="1">+DCOUNTA($B$1:$D$995,$C$1,I456:K457)</f>
        <v>0</v>
      </c>
      <c r="N77" s="1" t="s">
        <v>42</v>
      </c>
      <c r="O77" s="1" t="s">
        <v>44</v>
      </c>
      <c r="P77" s="1" t="s">
        <v>43</v>
      </c>
      <c r="Q77" s="1"/>
      <c r="R77" s="1"/>
      <c r="T77" s="1" t="s">
        <v>42</v>
      </c>
      <c r="U77" s="1" t="s">
        <v>44</v>
      </c>
      <c r="V77" s="1" t="s">
        <v>43</v>
      </c>
      <c r="X77" s="11">
        <v>74</v>
      </c>
      <c r="Y77" s="10">
        <f ca="1">+DCOUNTA($B$1:$D$995,$C$1,X254:Z255)</f>
        <v>0</v>
      </c>
      <c r="Z77" s="10">
        <f ca="1">+DCOUNTA($B$1:$D$995,$C$1,X456:Z457)</f>
        <v>0</v>
      </c>
    </row>
    <row r="78" spans="5:29" ht="13.5" thickBot="1">
      <c r="E78" s="11">
        <v>75</v>
      </c>
      <c r="F78" s="10">
        <f ca="1">+DCOUNTA($B$1:$C$995,$C$1,E256:G257)</f>
        <v>0</v>
      </c>
      <c r="G78" s="10">
        <f ca="1">+DCOUNTA($B$1:$C$995,$C$1,E458:G459)</f>
        <v>0</v>
      </c>
      <c r="I78" s="11">
        <v>75</v>
      </c>
      <c r="J78" s="10">
        <f ca="1">+DCOUNTA($B$1:$D$995,$C$1,I256:K257)</f>
        <v>0</v>
      </c>
      <c r="K78" s="10">
        <f ca="1">+DCOUNTA($B$1:$D$995,$C$1,I458:K459)</f>
        <v>0</v>
      </c>
      <c r="N78">
        <v>39</v>
      </c>
      <c r="O78" s="1" t="s">
        <v>55</v>
      </c>
      <c r="P78" s="1" t="s">
        <v>66</v>
      </c>
      <c r="Q78" s="1"/>
      <c r="R78" s="1"/>
      <c r="T78">
        <v>39</v>
      </c>
      <c r="U78" s="1" t="s">
        <v>55</v>
      </c>
      <c r="V78" s="1" t="s">
        <v>56</v>
      </c>
      <c r="X78" s="11">
        <v>75</v>
      </c>
      <c r="Y78" s="10">
        <f ca="1">+DCOUNTA($B$1:$D$995,$C$1,X256:Z257)</f>
        <v>0</v>
      </c>
      <c r="Z78" s="10">
        <f ca="1">+DCOUNTA($B$1:$D$995,$C$1,X458:Z459)</f>
        <v>0</v>
      </c>
    </row>
    <row r="79" spans="5:29" ht="13.5" thickBot="1">
      <c r="E79" s="11">
        <v>76</v>
      </c>
      <c r="F79" s="10">
        <f ca="1">+DCOUNTA($B$1:$C$995,$C$1,E258:G259)</f>
        <v>0</v>
      </c>
      <c r="G79" s="10">
        <f ca="1">+DCOUNTA($B$1:$C$995,$C$1,E460:G461)</f>
        <v>0</v>
      </c>
      <c r="I79" s="11">
        <v>76</v>
      </c>
      <c r="J79" s="10">
        <f ca="1">+DCOUNTA($B$1:$D$995,$C$1,I258:K259)</f>
        <v>0</v>
      </c>
      <c r="K79" s="10">
        <f ca="1">+DCOUNTA($B$1:$D$995,$C$1,I460:K461)</f>
        <v>0</v>
      </c>
      <c r="N79" s="1" t="s">
        <v>42</v>
      </c>
      <c r="O79" s="1" t="s">
        <v>44</v>
      </c>
      <c r="P79" s="1" t="s">
        <v>43</v>
      </c>
      <c r="Q79" s="1"/>
      <c r="R79" s="1"/>
      <c r="T79" s="1" t="s">
        <v>42</v>
      </c>
      <c r="U79" s="1" t="s">
        <v>44</v>
      </c>
      <c r="V79" s="1" t="s">
        <v>43</v>
      </c>
      <c r="X79" s="11">
        <v>76</v>
      </c>
      <c r="Y79" s="10">
        <f ca="1">+DCOUNTA($B$1:$D$995,$C$1,X258:Z259)</f>
        <v>0</v>
      </c>
      <c r="Z79" s="10">
        <f ca="1">+DCOUNTA($B$1:$D$995,$C$1,X460:Z461)</f>
        <v>0</v>
      </c>
    </row>
    <row r="80" spans="5:29" ht="13.5" thickBot="1">
      <c r="E80" s="11">
        <v>77</v>
      </c>
      <c r="F80" s="10">
        <f ca="1">+DCOUNTA($B$1:$C$995,$C$1,E260:G261)</f>
        <v>0</v>
      </c>
      <c r="G80" s="10">
        <f ca="1">+DCOUNTA($B$1:$C$995,$C$1,E462:G463)</f>
        <v>0</v>
      </c>
      <c r="I80" s="11">
        <v>77</v>
      </c>
      <c r="J80" s="10">
        <f ca="1">+DCOUNTA($B$1:$D$995,$C$1,I260:K261)</f>
        <v>0</v>
      </c>
      <c r="K80" s="10">
        <f ca="1">+DCOUNTA($B$1:$D$995,$C$1,I462:K463)</f>
        <v>0</v>
      </c>
      <c r="N80">
        <v>40</v>
      </c>
      <c r="O80" s="1" t="s">
        <v>55</v>
      </c>
      <c r="P80" s="1" t="s">
        <v>66</v>
      </c>
      <c r="Q80" s="1"/>
      <c r="R80" s="1"/>
      <c r="T80">
        <v>40</v>
      </c>
      <c r="U80" s="1" t="s">
        <v>55</v>
      </c>
      <c r="V80" s="1" t="s">
        <v>56</v>
      </c>
      <c r="X80" s="11">
        <v>77</v>
      </c>
      <c r="Y80" s="10">
        <f ca="1">+DCOUNTA($B$1:$D$995,$C$1,X260:Z261)</f>
        <v>0</v>
      </c>
      <c r="Z80" s="10">
        <f ca="1">+DCOUNTA($B$1:$D$995,$C$1,X462:Z463)</f>
        <v>0</v>
      </c>
    </row>
    <row r="81" spans="5:26" ht="13.5" thickBot="1">
      <c r="E81" s="11">
        <v>78</v>
      </c>
      <c r="F81" s="10">
        <f ca="1">+DCOUNTA($B$1:$C$995,$C$1,E262:G263)</f>
        <v>0</v>
      </c>
      <c r="G81" s="10">
        <f ca="1">+DCOUNTA($B$1:$C$995,$C$1,E464:G465)</f>
        <v>0</v>
      </c>
      <c r="I81" s="11">
        <v>78</v>
      </c>
      <c r="J81" s="10">
        <f ca="1">+DCOUNTA($B$1:$D$995,$C$1,I262:K263)</f>
        <v>0</v>
      </c>
      <c r="K81" s="10">
        <f ca="1">+DCOUNTA($B$1:$D$995,$C$1,I464:K465)</f>
        <v>0</v>
      </c>
      <c r="N81" s="1" t="s">
        <v>42</v>
      </c>
      <c r="O81" s="1" t="s">
        <v>44</v>
      </c>
      <c r="P81" s="1" t="s">
        <v>43</v>
      </c>
      <c r="Q81" s="1"/>
      <c r="R81" s="1"/>
      <c r="T81" s="1" t="s">
        <v>42</v>
      </c>
      <c r="U81" s="1" t="s">
        <v>44</v>
      </c>
      <c r="V81" s="1" t="s">
        <v>43</v>
      </c>
      <c r="X81" s="11">
        <v>78</v>
      </c>
      <c r="Y81" s="10">
        <f ca="1">+DCOUNTA($B$1:$D$995,$C$1,X262:Z263)</f>
        <v>0</v>
      </c>
      <c r="Z81" s="10">
        <f ca="1">+DCOUNTA($B$1:$D$995,$C$1,X464:Z465)</f>
        <v>0</v>
      </c>
    </row>
    <row r="82" spans="5:26" ht="13.5" thickBot="1">
      <c r="E82" s="11">
        <v>79</v>
      </c>
      <c r="F82" s="10">
        <f ca="1">+DCOUNTA($B$1:$C$995,$C$1,E264:G265)</f>
        <v>0</v>
      </c>
      <c r="G82" s="10">
        <f ca="1">+DCOUNTA($B$1:$C$995,$C$1,E466:G467)</f>
        <v>0</v>
      </c>
      <c r="I82" s="11">
        <v>79</v>
      </c>
      <c r="J82" s="10">
        <f ca="1">+DCOUNTA($B$1:$D$995,$C$1,I264:K265)</f>
        <v>0</v>
      </c>
      <c r="K82" s="10">
        <f ca="1">+DCOUNTA($B$1:$D$995,$C$1,I466:K467)</f>
        <v>0</v>
      </c>
      <c r="N82">
        <v>41</v>
      </c>
      <c r="O82" s="1" t="s">
        <v>55</v>
      </c>
      <c r="P82" s="1" t="s">
        <v>66</v>
      </c>
      <c r="Q82" s="1"/>
      <c r="R82" s="1"/>
      <c r="T82">
        <v>41</v>
      </c>
      <c r="U82" s="1" t="s">
        <v>55</v>
      </c>
      <c r="V82" s="1" t="s">
        <v>56</v>
      </c>
      <c r="X82" s="11">
        <v>79</v>
      </c>
      <c r="Y82" s="10">
        <f ca="1">+DCOUNTA($B$1:$D$995,$C$1,X264:Z265)</f>
        <v>0</v>
      </c>
      <c r="Z82" s="10">
        <f ca="1">+DCOUNTA($B$1:$D$995,$C$1,X466:Z467)</f>
        <v>0</v>
      </c>
    </row>
    <row r="83" spans="5:26" ht="13.5" thickBot="1">
      <c r="E83" s="11">
        <v>80</v>
      </c>
      <c r="F83" s="10">
        <f ca="1">+DCOUNTA($B$1:$C$995,$C$1,E266:G267)</f>
        <v>0</v>
      </c>
      <c r="G83" s="10">
        <f ca="1">+DCOUNTA($B$1:$C$995,$C$1,E468:G469)</f>
        <v>0</v>
      </c>
      <c r="I83" s="11">
        <v>80</v>
      </c>
      <c r="J83" s="10">
        <f ca="1">+DCOUNTA($B$1:$D$995,$C$1,I266:K267)</f>
        <v>0</v>
      </c>
      <c r="K83" s="10">
        <f ca="1">+DCOUNTA($B$1:$D$995,$C$1,I468:K469)</f>
        <v>0</v>
      </c>
      <c r="N83" s="1" t="s">
        <v>42</v>
      </c>
      <c r="O83" s="1" t="s">
        <v>44</v>
      </c>
      <c r="P83" s="1" t="s">
        <v>43</v>
      </c>
      <c r="Q83" s="1"/>
      <c r="R83" s="1"/>
      <c r="T83" s="1" t="s">
        <v>42</v>
      </c>
      <c r="U83" s="1" t="s">
        <v>44</v>
      </c>
      <c r="V83" s="1" t="s">
        <v>43</v>
      </c>
      <c r="X83" s="11">
        <v>80</v>
      </c>
      <c r="Y83" s="10">
        <f ca="1">+DCOUNTA($B$1:$D$995,$C$1,X266:Z267)</f>
        <v>0</v>
      </c>
      <c r="Z83" s="10">
        <f ca="1">+DCOUNTA($B$1:$D$995,$C$1,X468:Z469)</f>
        <v>0</v>
      </c>
    </row>
    <row r="84" spans="5:26" ht="13.5" thickBot="1">
      <c r="E84" s="11">
        <v>81</v>
      </c>
      <c r="F84" s="10">
        <f ca="1">+DCOUNTA($B$1:$C$995,$C$1,E268:G269)</f>
        <v>0</v>
      </c>
      <c r="G84" s="10">
        <f ca="1">+DCOUNTA($B$1:$C$995,$C$1,E470:G471)</f>
        <v>0</v>
      </c>
      <c r="I84" s="11">
        <v>81</v>
      </c>
      <c r="J84" s="10">
        <f ca="1">+DCOUNTA($B$1:$D$995,$C$1,I268:K269)</f>
        <v>0</v>
      </c>
      <c r="K84" s="10">
        <f ca="1">+DCOUNTA($B$1:$D$995,$C$1,I470:K471)</f>
        <v>0</v>
      </c>
      <c r="N84">
        <v>42</v>
      </c>
      <c r="O84" s="1" t="s">
        <v>55</v>
      </c>
      <c r="P84" s="1" t="s">
        <v>66</v>
      </c>
      <c r="Q84" s="1"/>
      <c r="R84" s="1"/>
      <c r="T84">
        <v>42</v>
      </c>
      <c r="U84" s="1" t="s">
        <v>55</v>
      </c>
      <c r="V84" s="1" t="s">
        <v>56</v>
      </c>
      <c r="X84" s="11">
        <v>81</v>
      </c>
      <c r="Y84" s="10">
        <f ca="1">+DCOUNTA($B$1:$D$995,$C$1,X268:Z269)</f>
        <v>0</v>
      </c>
      <c r="Z84" s="10">
        <f ca="1">+DCOUNTA($B$1:$D$995,$C$1,X470:Z471)</f>
        <v>0</v>
      </c>
    </row>
    <row r="85" spans="5:26" ht="13.5" thickBot="1">
      <c r="E85" s="11">
        <v>82</v>
      </c>
      <c r="F85" s="10">
        <f ca="1">+DCOUNTA($B$1:$C$995,$C$1,E270:G271)</f>
        <v>0</v>
      </c>
      <c r="G85" s="10">
        <f ca="1">+DCOUNTA($B$1:$C$995,$C$1,E472:G473)</f>
        <v>0</v>
      </c>
      <c r="I85" s="11">
        <v>82</v>
      </c>
      <c r="J85" s="10">
        <f ca="1">+DCOUNTA($B$1:$D$995,$C$1,I270:K271)</f>
        <v>0</v>
      </c>
      <c r="K85" s="10">
        <f ca="1">+DCOUNTA($B$1:$D$995,$C$1,I472:K473)</f>
        <v>0</v>
      </c>
      <c r="N85" s="1" t="s">
        <v>42</v>
      </c>
      <c r="O85" s="1" t="s">
        <v>44</v>
      </c>
      <c r="P85" s="1" t="s">
        <v>43</v>
      </c>
      <c r="Q85" s="1"/>
      <c r="R85" s="1"/>
      <c r="T85" s="1" t="s">
        <v>42</v>
      </c>
      <c r="U85" s="1" t="s">
        <v>44</v>
      </c>
      <c r="V85" s="1" t="s">
        <v>43</v>
      </c>
      <c r="X85" s="11">
        <v>82</v>
      </c>
      <c r="Y85" s="10">
        <f ca="1">+DCOUNTA($B$1:$D$995,$C$1,X270:Z271)</f>
        <v>0</v>
      </c>
      <c r="Z85" s="10">
        <f ca="1">+DCOUNTA($B$1:$D$995,$C$1,X472:Z473)</f>
        <v>0</v>
      </c>
    </row>
    <row r="86" spans="5:26" ht="13.5" thickBot="1">
      <c r="E86" s="11">
        <v>83</v>
      </c>
      <c r="F86" s="10">
        <f ca="1">+DCOUNTA($B$1:$C$995,$C$1,E272:G273)</f>
        <v>0</v>
      </c>
      <c r="G86" s="10">
        <f ca="1">+DCOUNTA($B$1:$C$995,$C$1,E474:G475)</f>
        <v>0</v>
      </c>
      <c r="I86" s="11">
        <v>83</v>
      </c>
      <c r="J86" s="10">
        <f ca="1">+DCOUNTA($B$1:$D$995,$C$1,I272:K273)</f>
        <v>0</v>
      </c>
      <c r="K86" s="10">
        <f ca="1">+DCOUNTA($B$1:$D$995,$C$1,I474:K475)</f>
        <v>0</v>
      </c>
      <c r="N86">
        <v>43</v>
      </c>
      <c r="O86" s="1" t="s">
        <v>55</v>
      </c>
      <c r="P86" s="1" t="s">
        <v>66</v>
      </c>
      <c r="Q86" s="1"/>
      <c r="R86" s="1"/>
      <c r="T86">
        <v>43</v>
      </c>
      <c r="U86" s="1" t="s">
        <v>55</v>
      </c>
      <c r="V86" s="1" t="s">
        <v>56</v>
      </c>
      <c r="X86" s="11">
        <v>83</v>
      </c>
      <c r="Y86" s="10">
        <f ca="1">+DCOUNTA($B$1:$D$995,$C$1,X272:Z273)</f>
        <v>0</v>
      </c>
      <c r="Z86" s="10">
        <f ca="1">+DCOUNTA($B$1:$D$995,$C$1,X474:Z475)</f>
        <v>0</v>
      </c>
    </row>
    <row r="87" spans="5:26" ht="13.5" thickBot="1">
      <c r="E87" s="11">
        <v>84</v>
      </c>
      <c r="F87" s="10">
        <f ca="1">+DCOUNTA($B$1:$C$995,$C$1,E274:G275)</f>
        <v>0</v>
      </c>
      <c r="G87" s="10">
        <f ca="1">+DCOUNTA($B$1:$C$995,$C$1,E476:G477)</f>
        <v>0</v>
      </c>
      <c r="I87" s="11">
        <v>84</v>
      </c>
      <c r="J87" s="10">
        <f ca="1">+DCOUNTA($B$1:$D$995,$C$1,I274:K275)</f>
        <v>0</v>
      </c>
      <c r="K87" s="10">
        <f ca="1">+DCOUNTA($B$1:$D$995,$C$1,I476:K477)</f>
        <v>0</v>
      </c>
      <c r="N87" s="1" t="s">
        <v>42</v>
      </c>
      <c r="O87" s="1" t="s">
        <v>44</v>
      </c>
      <c r="P87" s="1" t="s">
        <v>43</v>
      </c>
      <c r="Q87" s="1"/>
      <c r="R87" s="1"/>
      <c r="T87" s="1" t="s">
        <v>42</v>
      </c>
      <c r="U87" s="1" t="s">
        <v>44</v>
      </c>
      <c r="V87" s="1" t="s">
        <v>43</v>
      </c>
      <c r="X87" s="11">
        <v>84</v>
      </c>
      <c r="Y87" s="10">
        <f ca="1">+DCOUNTA($B$1:$D$995,$C$1,X274:Z275)</f>
        <v>0</v>
      </c>
      <c r="Z87" s="10">
        <f ca="1">+DCOUNTA($B$1:$D$995,$C$1,X476:Z477)</f>
        <v>0</v>
      </c>
    </row>
    <row r="88" spans="5:26" ht="13.5" thickBot="1">
      <c r="E88" s="11">
        <v>85</v>
      </c>
      <c r="F88" s="10">
        <f ca="1">+DCOUNTA($B$1:$C$995,$C$1,E276:G277)</f>
        <v>0</v>
      </c>
      <c r="G88" s="10">
        <f ca="1">+DCOUNTA($B$1:$C$995,$C$1,E478:G479)</f>
        <v>0</v>
      </c>
      <c r="I88" s="11">
        <v>85</v>
      </c>
      <c r="J88" s="10">
        <f ca="1">+DCOUNTA($B$1:$D$995,$C$1,I276:K277)</f>
        <v>0</v>
      </c>
      <c r="K88" s="10">
        <f ca="1">+DCOUNTA($B$1:$D$995,$C$1,I478:K479)</f>
        <v>0</v>
      </c>
      <c r="N88">
        <v>44</v>
      </c>
      <c r="O88" s="1" t="s">
        <v>55</v>
      </c>
      <c r="P88" s="1" t="s">
        <v>66</v>
      </c>
      <c r="Q88" s="1"/>
      <c r="R88" s="1"/>
      <c r="T88">
        <v>44</v>
      </c>
      <c r="U88" s="1" t="s">
        <v>55</v>
      </c>
      <c r="V88" s="1" t="s">
        <v>56</v>
      </c>
      <c r="X88" s="11">
        <v>85</v>
      </c>
      <c r="Y88" s="10">
        <f ca="1">+DCOUNTA($B$1:$D$995,$C$1,X276:Z277)</f>
        <v>0</v>
      </c>
      <c r="Z88" s="10">
        <f ca="1">+DCOUNTA($B$1:$D$995,$C$1,X478:Z479)</f>
        <v>0</v>
      </c>
    </row>
    <row r="89" spans="5:26" ht="13.5" thickBot="1">
      <c r="E89" s="11">
        <v>86</v>
      </c>
      <c r="F89" s="10">
        <f ca="1">+DCOUNTA($B$1:$C$995,$C$1,E278:G279)</f>
        <v>0</v>
      </c>
      <c r="G89" s="10">
        <f ca="1">+DCOUNTA($B$1:$C$995,$C$1,E480:G481)</f>
        <v>0</v>
      </c>
      <c r="I89" s="11">
        <v>86</v>
      </c>
      <c r="J89" s="10">
        <f ca="1">+DCOUNTA($B$1:$D$995,$C$1,I278:K279)</f>
        <v>0</v>
      </c>
      <c r="K89" s="10">
        <f ca="1">+DCOUNTA($B$1:$D$995,$C$1,I480:K481)</f>
        <v>0</v>
      </c>
      <c r="N89" s="1" t="s">
        <v>42</v>
      </c>
      <c r="O89" s="1" t="s">
        <v>44</v>
      </c>
      <c r="P89" s="1" t="s">
        <v>43</v>
      </c>
      <c r="Q89" s="1"/>
      <c r="R89" s="1"/>
      <c r="X89" s="11">
        <v>86</v>
      </c>
      <c r="Y89" s="10">
        <f ca="1">+DCOUNTA($B$1:$D$995,$C$1,X278:Z279)</f>
        <v>0</v>
      </c>
      <c r="Z89" s="10">
        <f ca="1">+DCOUNTA($B$1:$D$995,$C$1,X480:Z481)</f>
        <v>0</v>
      </c>
    </row>
    <row r="90" spans="5:26" ht="13.5" thickBot="1">
      <c r="E90" s="11">
        <v>87</v>
      </c>
      <c r="F90" s="10">
        <f ca="1">+DCOUNTA($B$1:$C$995,$C$1,E280:G281)</f>
        <v>0</v>
      </c>
      <c r="G90" s="10">
        <f ca="1">+DCOUNTA($B$1:$C$995,$C$1,E482:G483)</f>
        <v>0</v>
      </c>
      <c r="I90" s="11">
        <v>87</v>
      </c>
      <c r="J90" s="10">
        <f ca="1">+DCOUNTA($B$1:$D$995,$C$1,I280:K281)</f>
        <v>0</v>
      </c>
      <c r="K90" s="10">
        <f ca="1">+DCOUNTA($B$1:$D$995,$C$1,I482:K483)</f>
        <v>0</v>
      </c>
      <c r="N90">
        <v>18</v>
      </c>
      <c r="O90" s="1" t="s">
        <v>55</v>
      </c>
      <c r="P90" s="1" t="s">
        <v>13</v>
      </c>
      <c r="Q90" s="1"/>
      <c r="R90" s="1"/>
      <c r="S90" s="1"/>
      <c r="T90" s="1"/>
      <c r="U90" s="1"/>
      <c r="V90" s="1"/>
      <c r="X90" s="11">
        <v>87</v>
      </c>
      <c r="Y90" s="10">
        <f ca="1">+DCOUNTA($B$1:$D$995,$C$1,X280:Z281)</f>
        <v>0</v>
      </c>
      <c r="Z90" s="10">
        <f ca="1">+DCOUNTA($B$1:$D$995,$C$1,X482:Z483)</f>
        <v>0</v>
      </c>
    </row>
    <row r="91" spans="5:26" ht="13.5" thickBot="1">
      <c r="E91" s="11">
        <v>88</v>
      </c>
      <c r="F91" s="10">
        <f ca="1">+DCOUNTA($B$1:$C$995,$C$1,E282:G283)</f>
        <v>0</v>
      </c>
      <c r="G91" s="10">
        <f ca="1">+DCOUNTA($B$1:$C$995,$C$1,E484:G485)</f>
        <v>0</v>
      </c>
      <c r="I91" s="11">
        <v>88</v>
      </c>
      <c r="J91" s="10">
        <f ca="1">+DCOUNTA($B$1:$D$995,$C$1,I282:K283)</f>
        <v>0</v>
      </c>
      <c r="K91" s="10">
        <f ca="1">+DCOUNTA($B$1:$D$995,$C$1,I484:K485)</f>
        <v>0</v>
      </c>
      <c r="N91" s="1" t="s">
        <v>42</v>
      </c>
      <c r="O91" s="1" t="s">
        <v>44</v>
      </c>
      <c r="P91" s="1" t="s">
        <v>43</v>
      </c>
      <c r="Q91" s="1"/>
      <c r="R91" s="1"/>
      <c r="S91" s="1"/>
      <c r="U91" s="1"/>
      <c r="V91" s="1"/>
      <c r="X91" s="11">
        <v>88</v>
      </c>
      <c r="Y91" s="10">
        <f ca="1">+DCOUNTA($B$1:$D$995,$C$1,X282:Z283)</f>
        <v>0</v>
      </c>
      <c r="Z91" s="10">
        <f ca="1">+DCOUNTA($B$1:$D$995,$C$1,X484:Z485)</f>
        <v>0</v>
      </c>
    </row>
    <row r="92" spans="5:26" ht="13.5" thickBot="1">
      <c r="E92" s="11">
        <v>89</v>
      </c>
      <c r="F92" s="10">
        <f ca="1">+DCOUNTA($B$1:$C$995,$C$1,E284:G285)</f>
        <v>0</v>
      </c>
      <c r="G92" s="10">
        <f ca="1">+DCOUNTA($B$1:$C$995,$C$1,E486:G487)</f>
        <v>0</v>
      </c>
      <c r="I92" s="11">
        <v>89</v>
      </c>
      <c r="J92" s="10">
        <f ca="1">+DCOUNTA($B$1:$D$995,$C$1,I284:K285)</f>
        <v>0</v>
      </c>
      <c r="K92" s="10">
        <f ca="1">+DCOUNTA($B$1:$D$995,$C$1,I486:K487)</f>
        <v>0</v>
      </c>
      <c r="N92">
        <v>19</v>
      </c>
      <c r="O92" s="1" t="s">
        <v>55</v>
      </c>
      <c r="P92" s="1" t="s">
        <v>13</v>
      </c>
      <c r="Q92" s="1"/>
      <c r="R92" s="1"/>
      <c r="S92" s="1"/>
      <c r="T92" s="1"/>
      <c r="U92" s="1"/>
      <c r="V92" s="1"/>
      <c r="X92" s="11">
        <v>89</v>
      </c>
      <c r="Y92" s="10">
        <f ca="1">+DCOUNTA($B$1:$D$995,$C$1,X284:Z285)</f>
        <v>0</v>
      </c>
      <c r="Z92" s="10">
        <f ca="1">+DCOUNTA($B$1:$D$995,$C$1,X486:Z487)</f>
        <v>0</v>
      </c>
    </row>
    <row r="93" spans="5:26" ht="13.5" thickBot="1">
      <c r="E93" s="11">
        <v>90</v>
      </c>
      <c r="F93" s="10">
        <f ca="1">+DCOUNTA($B$1:$C$995,$C$1,E286:G287)</f>
        <v>0</v>
      </c>
      <c r="G93" s="10">
        <f ca="1">+DCOUNTA($B$1:$C$995,$C$1,E488:G489)</f>
        <v>0</v>
      </c>
      <c r="I93" s="11">
        <v>90</v>
      </c>
      <c r="J93" s="10">
        <f ca="1">+DCOUNTA($B$1:$D$995,$C$1,I286:K287)</f>
        <v>0</v>
      </c>
      <c r="K93" s="10">
        <f ca="1">+DCOUNTA($B$1:$D$995,$C$1,I488:K489)</f>
        <v>0</v>
      </c>
      <c r="N93" s="1" t="s">
        <v>42</v>
      </c>
      <c r="O93" s="1" t="s">
        <v>44</v>
      </c>
      <c r="P93" s="1" t="s">
        <v>43</v>
      </c>
      <c r="Q93" s="1"/>
      <c r="R93" s="1"/>
      <c r="S93" s="1"/>
      <c r="U93" s="1"/>
      <c r="V93" s="1"/>
      <c r="X93" s="11">
        <v>90</v>
      </c>
      <c r="Y93" s="10">
        <f ca="1">+DCOUNTA($B$1:$D$995,$C$1,X286:Z287)</f>
        <v>0</v>
      </c>
      <c r="Z93" s="10">
        <f ca="1">+DCOUNTA($B$1:$D$995,$C$1,X488:Z489)</f>
        <v>0</v>
      </c>
    </row>
    <row r="94" spans="5:26" ht="13.5" thickBot="1">
      <c r="E94" s="11">
        <v>91</v>
      </c>
      <c r="F94" s="10">
        <f ca="1">+DCOUNTA($B$1:$C$995,$C$1,E288:G289)</f>
        <v>0</v>
      </c>
      <c r="G94" s="10">
        <f ca="1">+DCOUNTA($B$1:$C$995,$C$1,E490:G491)</f>
        <v>0</v>
      </c>
      <c r="I94" s="11">
        <v>91</v>
      </c>
      <c r="J94" s="10">
        <f ca="1">+DCOUNTA($B$1:$D$995,$C$1,I288:K289)</f>
        <v>0</v>
      </c>
      <c r="K94" s="10">
        <f ca="1">+DCOUNTA($B$1:$D$995,$C$1,I490:K491)</f>
        <v>0</v>
      </c>
      <c r="N94">
        <v>20</v>
      </c>
      <c r="O94" s="1" t="s">
        <v>55</v>
      </c>
      <c r="P94" s="1" t="s">
        <v>13</v>
      </c>
      <c r="Q94" s="1"/>
      <c r="R94" s="1"/>
      <c r="S94" s="1"/>
      <c r="T94" s="1"/>
      <c r="U94" s="1"/>
      <c r="V94" s="1"/>
      <c r="X94" s="11">
        <v>91</v>
      </c>
      <c r="Y94" s="10">
        <f ca="1">+DCOUNTA($B$1:$D$995,$C$1,X288:Z289)</f>
        <v>0</v>
      </c>
      <c r="Z94" s="10">
        <f ca="1">+DCOUNTA($B$1:$D$995,$C$1,X490:Z491)</f>
        <v>0</v>
      </c>
    </row>
    <row r="95" spans="5:26" ht="13.5" thickBot="1">
      <c r="E95" s="11">
        <v>92</v>
      </c>
      <c r="F95" s="10">
        <f ca="1">+DCOUNTA($B$1:$C$995,$C$1,E290:G291)</f>
        <v>0</v>
      </c>
      <c r="G95" s="10">
        <f ca="1">+DCOUNTA($B$1:$C$995,$C$1,E492:G493)</f>
        <v>0</v>
      </c>
      <c r="I95" s="11">
        <v>92</v>
      </c>
      <c r="J95" s="10">
        <f ca="1">+DCOUNTA($B$1:$D$995,$C$1,I290:K291)</f>
        <v>0</v>
      </c>
      <c r="K95" s="10">
        <f ca="1">+DCOUNTA($B$1:$D$995,$C$1,I492:K493)</f>
        <v>0</v>
      </c>
      <c r="L95" s="1"/>
      <c r="N95" s="1" t="s">
        <v>42</v>
      </c>
      <c r="O95" s="1" t="s">
        <v>44</v>
      </c>
      <c r="P95" s="1" t="s">
        <v>43</v>
      </c>
      <c r="Q95" s="1"/>
      <c r="R95" s="1"/>
      <c r="S95" s="1"/>
      <c r="U95" s="1"/>
      <c r="V95" s="1"/>
      <c r="X95" s="11">
        <v>92</v>
      </c>
      <c r="Y95" s="10">
        <f ca="1">+DCOUNTA($B$1:$D$995,$C$1,X290:Z291)</f>
        <v>0</v>
      </c>
      <c r="Z95" s="10">
        <f ca="1">+DCOUNTA($B$1:$D$995,$C$1,X492:Z493)</f>
        <v>0</v>
      </c>
    </row>
    <row r="96" spans="5:26" ht="13.5" thickBot="1">
      <c r="E96" s="11">
        <v>93</v>
      </c>
      <c r="F96" s="10">
        <f ca="1">+DCOUNTA($B$1:$C$995,$C$1,E292:G293)</f>
        <v>0</v>
      </c>
      <c r="G96" s="10">
        <f ca="1">+DCOUNTA($B$1:$C$995,$C$1,E494:G495)</f>
        <v>0</v>
      </c>
      <c r="I96" s="11">
        <v>93</v>
      </c>
      <c r="J96" s="10">
        <f ca="1">+DCOUNTA($B$1:$D$995,$C$1,I292:K293)</f>
        <v>0</v>
      </c>
      <c r="K96" s="10">
        <f ca="1">+DCOUNTA($B$1:$D$995,$C$1,I494:K495)</f>
        <v>0</v>
      </c>
      <c r="N96">
        <v>21</v>
      </c>
      <c r="O96" s="1" t="s">
        <v>55</v>
      </c>
      <c r="P96" s="1" t="s">
        <v>13</v>
      </c>
      <c r="Q96" s="1"/>
      <c r="R96" s="1"/>
      <c r="S96" s="1"/>
      <c r="T96" s="1"/>
      <c r="U96" s="1"/>
      <c r="V96" s="1"/>
      <c r="X96" s="11">
        <v>93</v>
      </c>
      <c r="Y96" s="10">
        <f ca="1">+DCOUNTA($B$1:$D$995,$C$1,X292:Z293)</f>
        <v>0</v>
      </c>
      <c r="Z96" s="10">
        <f ca="1">+DCOUNTA($B$1:$D$995,$C$1,X494:Z495)</f>
        <v>0</v>
      </c>
    </row>
    <row r="97" spans="5:27" ht="13.5" thickBot="1">
      <c r="E97" s="11">
        <v>94</v>
      </c>
      <c r="F97" s="10">
        <f ca="1">+DCOUNTA($B$1:$C$995,$C$1,E294:G295)</f>
        <v>0</v>
      </c>
      <c r="G97" s="10">
        <f ca="1">+DCOUNTA($B$1:$C$995,$C$1,E496:G497)</f>
        <v>0</v>
      </c>
      <c r="I97" s="11">
        <v>94</v>
      </c>
      <c r="J97" s="10">
        <f ca="1">+DCOUNTA($B$1:$D$995,$C$1,I294:K295)</f>
        <v>0</v>
      </c>
      <c r="K97" s="10">
        <f ca="1">+DCOUNTA($B$1:$D$995,$C$1,I496:K497)</f>
        <v>0</v>
      </c>
      <c r="N97" s="1" t="s">
        <v>42</v>
      </c>
      <c r="O97" s="1" t="s">
        <v>44</v>
      </c>
      <c r="P97" s="1" t="s">
        <v>43</v>
      </c>
      <c r="Q97" s="1"/>
      <c r="R97" s="1"/>
      <c r="S97" s="1"/>
      <c r="U97" s="1"/>
      <c r="V97" s="1"/>
      <c r="X97" s="11">
        <v>94</v>
      </c>
      <c r="Y97" s="10">
        <f ca="1">+DCOUNTA($B$1:$D$995,$C$1,X294:Z295)</f>
        <v>0</v>
      </c>
      <c r="Z97" s="10">
        <f ca="1">+DCOUNTA($B$1:$D$995,$C$1,X496:Z497)</f>
        <v>0</v>
      </c>
    </row>
    <row r="98" spans="5:27" ht="13.5" thickBot="1">
      <c r="E98" s="11">
        <v>95</v>
      </c>
      <c r="F98" s="10">
        <f ca="1">+DCOUNTA($B$1:$C$995,$C$1,E296:G297)</f>
        <v>0</v>
      </c>
      <c r="G98" s="10">
        <f ca="1">+DCOUNTA($B$1:$C$995,$C$1,E498:G499)</f>
        <v>0</v>
      </c>
      <c r="I98" s="11">
        <v>95</v>
      </c>
      <c r="J98" s="10">
        <f ca="1">+DCOUNTA($B$1:$D$995,$C$1,I296:K297)</f>
        <v>0</v>
      </c>
      <c r="K98" s="10">
        <f ca="1">+DCOUNTA($B$1:$D$995,$C$1,I498:K499)</f>
        <v>0</v>
      </c>
      <c r="N98">
        <v>22</v>
      </c>
      <c r="O98" s="1" t="s">
        <v>55</v>
      </c>
      <c r="P98" s="1" t="s">
        <v>13</v>
      </c>
      <c r="Q98" s="1"/>
      <c r="R98" s="1"/>
      <c r="S98" s="1"/>
      <c r="T98" s="1"/>
      <c r="U98" s="1"/>
      <c r="V98" s="1"/>
      <c r="X98" s="11">
        <v>95</v>
      </c>
      <c r="Y98" s="10">
        <f ca="1">+DCOUNTA($B$1:$D$995,$C$1,X296:Z297)</f>
        <v>0</v>
      </c>
      <c r="Z98" s="10">
        <f ca="1">+DCOUNTA($B$1:$D$995,$C$1,X498:Z499)</f>
        <v>0</v>
      </c>
    </row>
    <row r="99" spans="5:27" ht="13.5" thickBot="1">
      <c r="E99" s="11">
        <v>96</v>
      </c>
      <c r="F99" s="10">
        <f ca="1">+DCOUNTA($B$1:$C$995,$C$1,E298:G299)</f>
        <v>0</v>
      </c>
      <c r="G99" s="10">
        <f ca="1">+DCOUNTA($B$1:$C$995,$C$1,E500:G501)</f>
        <v>0</v>
      </c>
      <c r="I99" s="11">
        <v>96</v>
      </c>
      <c r="J99" s="10">
        <f ca="1">+DCOUNTA($B$1:$D$995,$C$1,I298:K299)</f>
        <v>0</v>
      </c>
      <c r="K99" s="10">
        <f ca="1">+DCOUNTA($B$1:$D$995,$C$1,I500:K501)</f>
        <v>0</v>
      </c>
      <c r="N99" s="1" t="s">
        <v>42</v>
      </c>
      <c r="O99" s="1" t="s">
        <v>44</v>
      </c>
      <c r="P99" s="1" t="s">
        <v>43</v>
      </c>
      <c r="Q99" s="1"/>
      <c r="R99" s="1"/>
      <c r="S99" s="1"/>
      <c r="U99" s="1"/>
      <c r="V99" s="1"/>
      <c r="X99" s="11">
        <v>96</v>
      </c>
      <c r="Y99" s="10">
        <f ca="1">+DCOUNTA($B$1:$D$995,$C$1,X298:Z299)</f>
        <v>0</v>
      </c>
      <c r="Z99" s="10">
        <f ca="1">+DCOUNTA($B$1:$D$995,$C$1,X500:Z501)</f>
        <v>0</v>
      </c>
    </row>
    <row r="100" spans="5:27" ht="13.5" thickBot="1">
      <c r="E100" s="11">
        <v>97</v>
      </c>
      <c r="F100" s="10">
        <f ca="1">+DCOUNTA($B$1:$C$995,$C$1,E300:G301)</f>
        <v>0</v>
      </c>
      <c r="G100" s="10">
        <f ca="1">+DCOUNTA($B$1:$C$995,$C$1,E502:G503)</f>
        <v>0</v>
      </c>
      <c r="I100" s="11">
        <v>97</v>
      </c>
      <c r="J100" s="10">
        <f ca="1">+DCOUNTA($B$1:$D$995,$C$1,I300:K301)</f>
        <v>0</v>
      </c>
      <c r="K100" s="10">
        <f ca="1">+DCOUNTA($B$1:$D$995,$C$1,I502:K503)</f>
        <v>0</v>
      </c>
      <c r="N100">
        <v>23</v>
      </c>
      <c r="O100" s="1" t="s">
        <v>55</v>
      </c>
      <c r="P100" s="1" t="s">
        <v>13</v>
      </c>
      <c r="Q100" s="1"/>
      <c r="R100" s="1"/>
      <c r="S100" s="1"/>
      <c r="T100" s="1"/>
      <c r="U100" s="1"/>
      <c r="V100" s="1"/>
      <c r="X100" s="11">
        <v>97</v>
      </c>
      <c r="Y100" s="10">
        <f ca="1">+DCOUNTA($B$1:$D$995,$C$1,X300:Z301)</f>
        <v>0</v>
      </c>
      <c r="Z100" s="10">
        <f ca="1">+DCOUNTA($B$1:$D$995,$C$1,X502:Z503)</f>
        <v>0</v>
      </c>
    </row>
    <row r="101" spans="5:27" ht="13.5" thickBot="1">
      <c r="E101" s="11">
        <v>98</v>
      </c>
      <c r="F101" s="10">
        <f ca="1">+DCOUNTA($B$1:$C$995,$C$1,E302:G303)</f>
        <v>0</v>
      </c>
      <c r="G101" s="10">
        <f ca="1">+DCOUNTA($B$1:$C$995,$C$1,E504:G505)</f>
        <v>0</v>
      </c>
      <c r="I101" s="11">
        <v>98</v>
      </c>
      <c r="J101" s="10">
        <f ca="1">+DCOUNTA($B$1:$D$995,$C$1,I302:K303)</f>
        <v>0</v>
      </c>
      <c r="K101" s="10">
        <f ca="1">+DCOUNTA($B$1:$D$995,$C$1,I504:K505)</f>
        <v>0</v>
      </c>
      <c r="N101" s="1" t="s">
        <v>42</v>
      </c>
      <c r="O101" s="1" t="s">
        <v>44</v>
      </c>
      <c r="P101" s="1" t="s">
        <v>43</v>
      </c>
      <c r="Q101" s="1"/>
      <c r="R101" s="1"/>
      <c r="S101" s="1"/>
      <c r="U101" s="1"/>
      <c r="V101" s="1"/>
      <c r="X101" s="11">
        <v>98</v>
      </c>
      <c r="Y101" s="10">
        <f ca="1">+DCOUNTA($B$1:$D$995,$C$1,X302:Z303)</f>
        <v>0</v>
      </c>
      <c r="Z101" s="10">
        <f ca="1">+DCOUNTA($B$1:$D$995,$C$1,X504:Z505)</f>
        <v>0</v>
      </c>
    </row>
    <row r="102" spans="5:27" ht="13.5" thickBot="1">
      <c r="E102" s="11">
        <v>99</v>
      </c>
      <c r="F102" s="10">
        <f ca="1">+DCOUNTA($B$1:$C$995,$C$1,E304:G305)</f>
        <v>0</v>
      </c>
      <c r="G102" s="10">
        <f ca="1">+DCOUNTA($B$1:$C$995,$C$1,E506:G507)</f>
        <v>0</v>
      </c>
      <c r="I102" s="11">
        <v>99</v>
      </c>
      <c r="J102" s="10">
        <f ca="1">+DCOUNTA($B$1:$D$995,$C$1,I304:K305)</f>
        <v>0</v>
      </c>
      <c r="K102" s="10">
        <f ca="1">+DCOUNTA($B$1:$D$995,$C$1,I506:K507)</f>
        <v>0</v>
      </c>
      <c r="N102">
        <v>24</v>
      </c>
      <c r="O102" s="1" t="s">
        <v>55</v>
      </c>
      <c r="P102" s="1" t="s">
        <v>13</v>
      </c>
      <c r="Q102" s="1"/>
      <c r="R102" s="1"/>
      <c r="S102" s="1"/>
      <c r="T102" s="1"/>
      <c r="U102" s="1"/>
      <c r="V102" s="1"/>
      <c r="X102" s="11">
        <v>99</v>
      </c>
      <c r="Y102" s="10">
        <f ca="1">+DCOUNTA($B$1:$D$995,$C$1,X304:Z305)</f>
        <v>0</v>
      </c>
      <c r="Z102" s="10">
        <f ca="1">+DCOUNTA($B$1:$D$995,$C$1,X506:Z507)</f>
        <v>0</v>
      </c>
    </row>
    <row r="103" spans="5:27" ht="13">
      <c r="E103" s="11">
        <v>100</v>
      </c>
      <c r="F103" s="10">
        <f ca="1">+DCOUNTA($B$1:$C$995,$C$1,E306:G307)</f>
        <v>0</v>
      </c>
      <c r="G103" s="10">
        <f ca="1">+DCOUNTA($B$1:$C$995,$C$1,E508:G509)</f>
        <v>0</v>
      </c>
      <c r="H103" s="5"/>
      <c r="I103" s="11">
        <v>100</v>
      </c>
      <c r="J103" s="10">
        <f ca="1">+DCOUNTA($B$1:$D$995,$C$1,I306:K307)</f>
        <v>0</v>
      </c>
      <c r="K103" s="10">
        <f ca="1">+DCOUNTA($B$1:$D$995,$C$1,I508:K509)</f>
        <v>0</v>
      </c>
      <c r="N103" s="1" t="s">
        <v>42</v>
      </c>
      <c r="O103" s="1" t="s">
        <v>44</v>
      </c>
      <c r="P103" s="1" t="s">
        <v>43</v>
      </c>
      <c r="Q103" s="1"/>
      <c r="R103" s="1"/>
      <c r="S103" s="1"/>
      <c r="U103" s="1"/>
      <c r="V103" s="1"/>
      <c r="X103" s="11">
        <v>100</v>
      </c>
      <c r="Y103" s="10">
        <f ca="1">+DCOUNTA($B$1:$D$995,$C$1,X306:Z307)</f>
        <v>0</v>
      </c>
      <c r="Z103" s="10">
        <f ca="1">+DCOUNTA($B$1:$D$995,$C$1,X508:Z509)</f>
        <v>0</v>
      </c>
    </row>
    <row r="104" spans="5:27" ht="13.5" thickBot="1">
      <c r="E104" s="12" t="s">
        <v>52</v>
      </c>
      <c r="F104" s="13">
        <f ca="1">SUM(F3:F103)</f>
        <v>0</v>
      </c>
      <c r="G104" s="14">
        <f ca="1">SUM(G3:G103)</f>
        <v>0</v>
      </c>
      <c r="H104" s="17"/>
      <c r="I104" s="12" t="s">
        <v>52</v>
      </c>
      <c r="J104" s="13">
        <f ca="1">SUM(J3:J103)</f>
        <v>0</v>
      </c>
      <c r="K104" s="14">
        <f ca="1">SUM(K3:K103)</f>
        <v>0</v>
      </c>
      <c r="N104">
        <v>25</v>
      </c>
      <c r="O104" s="1" t="s">
        <v>55</v>
      </c>
      <c r="P104" s="1" t="s">
        <v>13</v>
      </c>
      <c r="Q104" s="1"/>
      <c r="R104" s="1"/>
      <c r="S104" s="1"/>
      <c r="T104" s="1"/>
      <c r="U104" s="1"/>
      <c r="V104" s="1"/>
      <c r="X104" s="12" t="s">
        <v>52</v>
      </c>
      <c r="Y104" s="13">
        <f ca="1">SUM(Y3:Y103)</f>
        <v>0</v>
      </c>
      <c r="Z104" s="14">
        <f ca="1">SUM(Z3:Z103)</f>
        <v>0</v>
      </c>
      <c r="AA104" s="91">
        <f ca="1">+Y104+Z104</f>
        <v>0</v>
      </c>
    </row>
    <row r="105" spans="5:27">
      <c r="N105" s="1" t="s">
        <v>42</v>
      </c>
      <c r="O105" s="1" t="s">
        <v>44</v>
      </c>
      <c r="P105" s="1" t="s">
        <v>43</v>
      </c>
      <c r="Q105" s="1"/>
      <c r="R105" s="1"/>
      <c r="S105" s="1"/>
      <c r="U105" s="1"/>
      <c r="V105" s="1"/>
      <c r="W105" s="1"/>
    </row>
    <row r="106" spans="5:27">
      <c r="F106" s="1" t="s">
        <v>42</v>
      </c>
      <c r="G106" s="1" t="s">
        <v>44</v>
      </c>
      <c r="H106" s="1"/>
      <c r="I106" s="1" t="s">
        <v>42</v>
      </c>
      <c r="J106" s="1" t="s">
        <v>44</v>
      </c>
      <c r="K106" s="1" t="s">
        <v>43</v>
      </c>
      <c r="N106">
        <v>26</v>
      </c>
      <c r="O106" s="1" t="s">
        <v>55</v>
      </c>
      <c r="P106" s="1" t="s">
        <v>13</v>
      </c>
      <c r="Q106" s="1"/>
      <c r="R106" s="1"/>
      <c r="S106" s="1"/>
      <c r="T106" s="1"/>
      <c r="U106" s="1"/>
      <c r="V106" s="1"/>
      <c r="W106" s="1"/>
      <c r="X106" s="1" t="s">
        <v>42</v>
      </c>
      <c r="Y106" s="1" t="s">
        <v>44</v>
      </c>
      <c r="Z106" s="1" t="s">
        <v>43</v>
      </c>
    </row>
    <row r="107" spans="5:27">
      <c r="F107">
        <v>0</v>
      </c>
      <c r="G107" s="1" t="str">
        <f>"M"</f>
        <v>M</v>
      </c>
      <c r="H107" s="1"/>
      <c r="I107">
        <v>0</v>
      </c>
      <c r="J107" s="1" t="s">
        <v>53</v>
      </c>
      <c r="K107" s="1" t="s">
        <v>54</v>
      </c>
      <c r="N107" s="1" t="s">
        <v>42</v>
      </c>
      <c r="O107" s="1" t="s">
        <v>44</v>
      </c>
      <c r="P107" s="1" t="s">
        <v>43</v>
      </c>
      <c r="Q107" s="1"/>
      <c r="R107" s="1"/>
      <c r="S107" s="1"/>
      <c r="U107" s="1"/>
      <c r="V107" s="1"/>
      <c r="W107" s="1"/>
      <c r="X107">
        <v>0</v>
      </c>
      <c r="Y107" s="1" t="s">
        <v>53</v>
      </c>
      <c r="Z107" s="1" t="s">
        <v>56</v>
      </c>
    </row>
    <row r="108" spans="5:27">
      <c r="F108" s="1" t="s">
        <v>42</v>
      </c>
      <c r="G108" s="1" t="s">
        <v>44</v>
      </c>
      <c r="H108" s="1"/>
      <c r="I108" s="1" t="s">
        <v>42</v>
      </c>
      <c r="J108" s="1" t="s">
        <v>44</v>
      </c>
      <c r="K108" s="1" t="s">
        <v>43</v>
      </c>
      <c r="N108">
        <v>27</v>
      </c>
      <c r="O108" s="1" t="s">
        <v>55</v>
      </c>
      <c r="P108" s="1" t="s">
        <v>13</v>
      </c>
      <c r="Q108" s="1"/>
      <c r="R108" s="1"/>
      <c r="S108" s="1"/>
      <c r="T108" s="1"/>
      <c r="U108" s="1"/>
      <c r="V108" s="1"/>
      <c r="W108" s="1"/>
      <c r="X108" s="1" t="s">
        <v>42</v>
      </c>
      <c r="Y108" s="1" t="s">
        <v>44</v>
      </c>
      <c r="Z108" s="1" t="s">
        <v>43</v>
      </c>
    </row>
    <row r="109" spans="5:27">
      <c r="F109">
        <v>1</v>
      </c>
      <c r="G109" s="1" t="s">
        <v>53</v>
      </c>
      <c r="H109" s="1"/>
      <c r="I109">
        <v>1</v>
      </c>
      <c r="J109" s="1" t="s">
        <v>53</v>
      </c>
      <c r="K109" s="1" t="s">
        <v>54</v>
      </c>
      <c r="N109" s="1" t="s">
        <v>42</v>
      </c>
      <c r="O109" s="1" t="s">
        <v>44</v>
      </c>
      <c r="P109" s="1" t="s">
        <v>43</v>
      </c>
      <c r="Q109" s="1"/>
      <c r="R109" s="1"/>
      <c r="S109" s="1"/>
      <c r="U109" s="1"/>
      <c r="V109" s="1"/>
      <c r="W109" s="1"/>
      <c r="X109">
        <v>1</v>
      </c>
      <c r="Y109" s="1" t="s">
        <v>53</v>
      </c>
      <c r="Z109" s="1" t="s">
        <v>56</v>
      </c>
    </row>
    <row r="110" spans="5:27">
      <c r="F110" s="1" t="s">
        <v>42</v>
      </c>
      <c r="G110" s="1" t="s">
        <v>44</v>
      </c>
      <c r="H110" s="1"/>
      <c r="I110" s="1" t="s">
        <v>42</v>
      </c>
      <c r="J110" s="1" t="s">
        <v>44</v>
      </c>
      <c r="K110" s="1" t="s">
        <v>43</v>
      </c>
      <c r="N110">
        <v>28</v>
      </c>
      <c r="O110" s="1" t="s">
        <v>55</v>
      </c>
      <c r="P110" s="1" t="s">
        <v>13</v>
      </c>
      <c r="Q110" s="1"/>
      <c r="R110" s="1"/>
      <c r="S110" s="1"/>
      <c r="T110" s="1"/>
      <c r="U110" s="1"/>
      <c r="V110" s="1"/>
      <c r="W110" s="1"/>
      <c r="X110" s="1" t="s">
        <v>42</v>
      </c>
      <c r="Y110" s="1" t="s">
        <v>44</v>
      </c>
      <c r="Z110" s="1" t="s">
        <v>43</v>
      </c>
    </row>
    <row r="111" spans="5:27">
      <c r="F111">
        <v>2</v>
      </c>
      <c r="G111" s="1" t="s">
        <v>53</v>
      </c>
      <c r="H111" s="1"/>
      <c r="I111">
        <v>2</v>
      </c>
      <c r="J111" s="1" t="s">
        <v>53</v>
      </c>
      <c r="K111" s="1" t="s">
        <v>54</v>
      </c>
      <c r="N111" s="1" t="s">
        <v>42</v>
      </c>
      <c r="O111" s="1" t="s">
        <v>44</v>
      </c>
      <c r="P111" s="1" t="s">
        <v>43</v>
      </c>
      <c r="Q111" s="1"/>
      <c r="R111" s="1"/>
      <c r="S111" s="1"/>
      <c r="U111" s="1"/>
      <c r="V111" s="1"/>
      <c r="W111" s="1"/>
      <c r="X111">
        <v>2</v>
      </c>
      <c r="Y111" s="1" t="s">
        <v>53</v>
      </c>
      <c r="Z111" s="1" t="s">
        <v>56</v>
      </c>
    </row>
    <row r="112" spans="5:27">
      <c r="F112" s="1" t="s">
        <v>42</v>
      </c>
      <c r="G112" s="1" t="s">
        <v>44</v>
      </c>
      <c r="H112" s="1"/>
      <c r="I112" s="1" t="s">
        <v>42</v>
      </c>
      <c r="J112" s="1" t="s">
        <v>44</v>
      </c>
      <c r="K112" s="1" t="s">
        <v>43</v>
      </c>
      <c r="N112">
        <v>29</v>
      </c>
      <c r="O112" s="1" t="s">
        <v>55</v>
      </c>
      <c r="P112" s="1" t="s">
        <v>13</v>
      </c>
      <c r="Q112" s="1"/>
      <c r="R112" s="1"/>
      <c r="S112" s="1"/>
      <c r="T112" s="1"/>
      <c r="U112" s="1"/>
      <c r="V112" s="1"/>
      <c r="W112" s="1"/>
      <c r="X112" s="1" t="s">
        <v>42</v>
      </c>
      <c r="Y112" s="1" t="s">
        <v>44</v>
      </c>
      <c r="Z112" s="1" t="s">
        <v>43</v>
      </c>
    </row>
    <row r="113" spans="6:26">
      <c r="F113">
        <v>3</v>
      </c>
      <c r="G113" s="1" t="s">
        <v>53</v>
      </c>
      <c r="H113" s="1"/>
      <c r="I113">
        <v>3</v>
      </c>
      <c r="J113" s="1" t="s">
        <v>53</v>
      </c>
      <c r="K113" s="1" t="s">
        <v>54</v>
      </c>
      <c r="N113" s="1" t="s">
        <v>42</v>
      </c>
      <c r="O113" s="1" t="s">
        <v>44</v>
      </c>
      <c r="P113" s="1" t="s">
        <v>43</v>
      </c>
      <c r="Q113" s="1"/>
      <c r="R113" s="1"/>
      <c r="S113" s="1"/>
      <c r="T113" s="1"/>
      <c r="U113" s="1"/>
      <c r="V113" s="1"/>
      <c r="W113" s="1"/>
      <c r="X113">
        <v>3</v>
      </c>
      <c r="Y113" s="1" t="s">
        <v>53</v>
      </c>
      <c r="Z113" s="1" t="s">
        <v>56</v>
      </c>
    </row>
    <row r="114" spans="6:26">
      <c r="F114" s="1" t="s">
        <v>42</v>
      </c>
      <c r="G114" s="1" t="s">
        <v>44</v>
      </c>
      <c r="H114" s="1"/>
      <c r="I114" s="1" t="s">
        <v>42</v>
      </c>
      <c r="J114" s="1" t="s">
        <v>44</v>
      </c>
      <c r="K114" s="1" t="s">
        <v>43</v>
      </c>
      <c r="N114">
        <v>30</v>
      </c>
      <c r="O114" s="1" t="s">
        <v>55</v>
      </c>
      <c r="P114" s="1" t="s">
        <v>13</v>
      </c>
      <c r="Q114" s="1"/>
      <c r="R114" s="1"/>
      <c r="S114" s="1"/>
      <c r="T114" s="1"/>
      <c r="U114" s="1"/>
      <c r="V114" s="1"/>
      <c r="W114" s="1"/>
      <c r="X114" s="1" t="s">
        <v>42</v>
      </c>
      <c r="Y114" s="1" t="s">
        <v>44</v>
      </c>
      <c r="Z114" s="1" t="s">
        <v>43</v>
      </c>
    </row>
    <row r="115" spans="6:26">
      <c r="F115">
        <v>4</v>
      </c>
      <c r="G115" s="1" t="s">
        <v>53</v>
      </c>
      <c r="H115" s="1"/>
      <c r="I115">
        <v>4</v>
      </c>
      <c r="J115" s="1" t="s">
        <v>53</v>
      </c>
      <c r="K115" s="1" t="s">
        <v>54</v>
      </c>
      <c r="N115" s="1" t="s">
        <v>42</v>
      </c>
      <c r="O115" s="1" t="s">
        <v>44</v>
      </c>
      <c r="P115" s="1" t="s">
        <v>43</v>
      </c>
      <c r="Q115" s="1"/>
      <c r="R115" s="1"/>
      <c r="S115" s="1"/>
      <c r="T115" s="1"/>
      <c r="U115" s="1"/>
      <c r="V115" s="1"/>
      <c r="W115" s="1"/>
      <c r="X115">
        <v>4</v>
      </c>
      <c r="Y115" s="1" t="s">
        <v>53</v>
      </c>
      <c r="Z115" s="1" t="s">
        <v>56</v>
      </c>
    </row>
    <row r="116" spans="6:26">
      <c r="F116" s="1" t="s">
        <v>42</v>
      </c>
      <c r="G116" s="1" t="s">
        <v>44</v>
      </c>
      <c r="H116" s="1"/>
      <c r="I116" s="1" t="s">
        <v>42</v>
      </c>
      <c r="J116" s="1" t="s">
        <v>44</v>
      </c>
      <c r="K116" s="1" t="s">
        <v>43</v>
      </c>
      <c r="N116">
        <v>31</v>
      </c>
      <c r="O116" s="1" t="s">
        <v>55</v>
      </c>
      <c r="P116" s="1" t="s">
        <v>13</v>
      </c>
      <c r="Q116" s="1"/>
      <c r="R116" s="1"/>
      <c r="S116" s="1"/>
      <c r="T116" s="1"/>
      <c r="U116" s="1"/>
      <c r="V116" s="1"/>
      <c r="W116" s="1"/>
      <c r="X116" s="1" t="s">
        <v>42</v>
      </c>
      <c r="Y116" s="1" t="s">
        <v>44</v>
      </c>
      <c r="Z116" s="1" t="s">
        <v>43</v>
      </c>
    </row>
    <row r="117" spans="6:26">
      <c r="F117">
        <v>5</v>
      </c>
      <c r="G117" s="1" t="s">
        <v>53</v>
      </c>
      <c r="H117" s="1"/>
      <c r="I117">
        <v>5</v>
      </c>
      <c r="J117" s="1" t="s">
        <v>53</v>
      </c>
      <c r="K117" s="1" t="s">
        <v>54</v>
      </c>
      <c r="N117" s="1" t="s">
        <v>42</v>
      </c>
      <c r="O117" s="1" t="s">
        <v>44</v>
      </c>
      <c r="P117" s="1" t="s">
        <v>43</v>
      </c>
      <c r="Q117" s="1"/>
      <c r="R117" s="1"/>
      <c r="S117" s="1"/>
      <c r="T117" s="1"/>
      <c r="U117" s="1"/>
      <c r="V117" s="1"/>
      <c r="W117" s="1"/>
      <c r="X117">
        <v>5</v>
      </c>
      <c r="Y117" s="1" t="s">
        <v>53</v>
      </c>
      <c r="Z117" s="1" t="s">
        <v>56</v>
      </c>
    </row>
    <row r="118" spans="6:26">
      <c r="F118" s="1" t="s">
        <v>42</v>
      </c>
      <c r="G118" s="1" t="s">
        <v>44</v>
      </c>
      <c r="H118" s="1"/>
      <c r="I118" s="1" t="s">
        <v>42</v>
      </c>
      <c r="J118" s="1" t="s">
        <v>44</v>
      </c>
      <c r="K118" s="1" t="s">
        <v>43</v>
      </c>
      <c r="N118">
        <v>32</v>
      </c>
      <c r="O118" s="1" t="s">
        <v>55</v>
      </c>
      <c r="P118" s="1" t="s">
        <v>13</v>
      </c>
      <c r="Q118" s="1"/>
      <c r="R118" s="1"/>
      <c r="W118" s="1"/>
      <c r="X118" s="1" t="s">
        <v>42</v>
      </c>
      <c r="Y118" s="1" t="s">
        <v>44</v>
      </c>
      <c r="Z118" s="1" t="s">
        <v>43</v>
      </c>
    </row>
    <row r="119" spans="6:26">
      <c r="F119">
        <v>6</v>
      </c>
      <c r="G119" s="1" t="s">
        <v>53</v>
      </c>
      <c r="H119" s="1"/>
      <c r="I119">
        <v>6</v>
      </c>
      <c r="J119" s="1" t="s">
        <v>53</v>
      </c>
      <c r="K119" s="1" t="s">
        <v>54</v>
      </c>
      <c r="N119" s="1" t="s">
        <v>42</v>
      </c>
      <c r="O119" s="1" t="s">
        <v>44</v>
      </c>
      <c r="P119" s="1" t="s">
        <v>43</v>
      </c>
      <c r="Q119" s="1"/>
      <c r="R119" s="1"/>
      <c r="W119" s="1"/>
      <c r="X119">
        <v>6</v>
      </c>
      <c r="Y119" s="1" t="s">
        <v>53</v>
      </c>
      <c r="Z119" s="1" t="s">
        <v>56</v>
      </c>
    </row>
    <row r="120" spans="6:26">
      <c r="F120" s="1" t="s">
        <v>42</v>
      </c>
      <c r="G120" s="1" t="s">
        <v>44</v>
      </c>
      <c r="H120" s="1"/>
      <c r="I120" s="1" t="s">
        <v>42</v>
      </c>
      <c r="J120" s="1" t="s">
        <v>44</v>
      </c>
      <c r="K120" s="1" t="s">
        <v>43</v>
      </c>
      <c r="N120">
        <v>33</v>
      </c>
      <c r="O120" s="1" t="s">
        <v>55</v>
      </c>
      <c r="P120" s="1" t="s">
        <v>13</v>
      </c>
      <c r="Q120" s="1"/>
      <c r="R120" s="1"/>
      <c r="W120" s="1"/>
      <c r="X120" s="1" t="s">
        <v>42</v>
      </c>
      <c r="Y120" s="1" t="s">
        <v>44</v>
      </c>
      <c r="Z120" s="1" t="s">
        <v>43</v>
      </c>
    </row>
    <row r="121" spans="6:26">
      <c r="F121">
        <v>7</v>
      </c>
      <c r="G121" s="1" t="s">
        <v>53</v>
      </c>
      <c r="H121" s="1"/>
      <c r="I121">
        <v>7</v>
      </c>
      <c r="J121" s="1" t="s">
        <v>53</v>
      </c>
      <c r="K121" s="1" t="s">
        <v>54</v>
      </c>
      <c r="N121" s="1" t="s">
        <v>42</v>
      </c>
      <c r="O121" s="1" t="s">
        <v>44</v>
      </c>
      <c r="P121" s="1" t="s">
        <v>43</v>
      </c>
      <c r="Q121" s="1"/>
      <c r="R121" s="1"/>
      <c r="W121" s="1"/>
      <c r="X121">
        <v>7</v>
      </c>
      <c r="Y121" s="1" t="s">
        <v>53</v>
      </c>
      <c r="Z121" s="1" t="s">
        <v>56</v>
      </c>
    </row>
    <row r="122" spans="6:26">
      <c r="F122" s="1" t="s">
        <v>42</v>
      </c>
      <c r="G122" s="1" t="s">
        <v>44</v>
      </c>
      <c r="H122" s="1"/>
      <c r="I122" s="1" t="s">
        <v>42</v>
      </c>
      <c r="J122" s="1" t="s">
        <v>44</v>
      </c>
      <c r="K122" s="1" t="s">
        <v>43</v>
      </c>
      <c r="N122">
        <v>34</v>
      </c>
      <c r="O122" s="1" t="s">
        <v>55</v>
      </c>
      <c r="P122" s="1" t="s">
        <v>13</v>
      </c>
      <c r="Q122" s="1"/>
      <c r="R122" s="1"/>
      <c r="W122" s="1"/>
      <c r="X122" s="1" t="s">
        <v>42</v>
      </c>
      <c r="Y122" s="1" t="s">
        <v>44</v>
      </c>
      <c r="Z122" s="1" t="s">
        <v>43</v>
      </c>
    </row>
    <row r="123" spans="6:26">
      <c r="F123">
        <v>8</v>
      </c>
      <c r="G123" s="1" t="s">
        <v>53</v>
      </c>
      <c r="H123" s="1"/>
      <c r="I123">
        <v>8</v>
      </c>
      <c r="J123" s="1" t="s">
        <v>53</v>
      </c>
      <c r="K123" s="1" t="s">
        <v>54</v>
      </c>
      <c r="N123" s="1" t="s">
        <v>42</v>
      </c>
      <c r="O123" s="1" t="s">
        <v>44</v>
      </c>
      <c r="P123" s="1" t="s">
        <v>43</v>
      </c>
      <c r="Q123" s="1"/>
      <c r="R123" s="1"/>
      <c r="W123" s="1"/>
      <c r="X123">
        <v>8</v>
      </c>
      <c r="Y123" s="1" t="s">
        <v>53</v>
      </c>
      <c r="Z123" s="1" t="s">
        <v>56</v>
      </c>
    </row>
    <row r="124" spans="6:26">
      <c r="F124" s="1" t="s">
        <v>42</v>
      </c>
      <c r="G124" s="1" t="s">
        <v>44</v>
      </c>
      <c r="H124" s="1"/>
      <c r="I124" s="1" t="s">
        <v>42</v>
      </c>
      <c r="J124" s="1" t="s">
        <v>44</v>
      </c>
      <c r="K124" s="1" t="s">
        <v>43</v>
      </c>
      <c r="N124">
        <v>35</v>
      </c>
      <c r="O124" s="1" t="s">
        <v>55</v>
      </c>
      <c r="P124" s="1" t="s">
        <v>13</v>
      </c>
      <c r="Q124" s="1"/>
      <c r="R124" s="1"/>
      <c r="W124" s="1"/>
      <c r="X124" s="1" t="s">
        <v>42</v>
      </c>
      <c r="Y124" s="1" t="s">
        <v>44</v>
      </c>
      <c r="Z124" s="1" t="s">
        <v>43</v>
      </c>
    </row>
    <row r="125" spans="6:26">
      <c r="F125">
        <v>9</v>
      </c>
      <c r="G125" s="1" t="s">
        <v>53</v>
      </c>
      <c r="H125" s="1"/>
      <c r="I125">
        <v>9</v>
      </c>
      <c r="J125" s="1" t="s">
        <v>53</v>
      </c>
      <c r="K125" s="1" t="s">
        <v>54</v>
      </c>
      <c r="N125" s="1" t="s">
        <v>42</v>
      </c>
      <c r="O125" s="1" t="s">
        <v>44</v>
      </c>
      <c r="P125" s="1" t="s">
        <v>43</v>
      </c>
      <c r="Q125" s="1"/>
      <c r="R125" s="1"/>
      <c r="W125" s="1"/>
      <c r="X125">
        <v>9</v>
      </c>
      <c r="Y125" s="1" t="s">
        <v>53</v>
      </c>
      <c r="Z125" s="1" t="s">
        <v>56</v>
      </c>
    </row>
    <row r="126" spans="6:26">
      <c r="F126" s="1" t="s">
        <v>42</v>
      </c>
      <c r="G126" s="1" t="s">
        <v>44</v>
      </c>
      <c r="H126" s="1"/>
      <c r="I126" s="1" t="s">
        <v>42</v>
      </c>
      <c r="J126" s="1" t="s">
        <v>44</v>
      </c>
      <c r="K126" s="1" t="s">
        <v>43</v>
      </c>
      <c r="N126">
        <v>36</v>
      </c>
      <c r="O126" s="1" t="s">
        <v>55</v>
      </c>
      <c r="P126" s="1" t="s">
        <v>13</v>
      </c>
      <c r="Q126" s="1"/>
      <c r="R126" s="1"/>
      <c r="W126" s="1"/>
      <c r="X126" s="1" t="s">
        <v>42</v>
      </c>
      <c r="Y126" s="1" t="s">
        <v>44</v>
      </c>
      <c r="Z126" s="1" t="s">
        <v>43</v>
      </c>
    </row>
    <row r="127" spans="6:26">
      <c r="F127">
        <v>10</v>
      </c>
      <c r="G127" s="1" t="s">
        <v>53</v>
      </c>
      <c r="H127" s="1"/>
      <c r="I127">
        <v>10</v>
      </c>
      <c r="J127" s="1" t="s">
        <v>53</v>
      </c>
      <c r="K127" s="1" t="s">
        <v>54</v>
      </c>
      <c r="N127" s="1" t="s">
        <v>42</v>
      </c>
      <c r="O127" s="1" t="s">
        <v>44</v>
      </c>
      <c r="P127" s="1" t="s">
        <v>43</v>
      </c>
      <c r="Q127" s="1"/>
      <c r="R127" s="1"/>
      <c r="W127" s="1"/>
      <c r="X127">
        <v>10</v>
      </c>
      <c r="Y127" s="1" t="s">
        <v>53</v>
      </c>
      <c r="Z127" s="1" t="s">
        <v>56</v>
      </c>
    </row>
    <row r="128" spans="6:26">
      <c r="F128" s="1" t="s">
        <v>42</v>
      </c>
      <c r="G128" s="1" t="s">
        <v>44</v>
      </c>
      <c r="H128" s="1"/>
      <c r="I128" s="1" t="s">
        <v>42</v>
      </c>
      <c r="J128" s="1" t="s">
        <v>44</v>
      </c>
      <c r="K128" s="1" t="s">
        <v>43</v>
      </c>
      <c r="N128">
        <v>37</v>
      </c>
      <c r="O128" s="1" t="s">
        <v>55</v>
      </c>
      <c r="P128" s="1" t="s">
        <v>13</v>
      </c>
      <c r="Q128" s="1"/>
      <c r="R128" s="1"/>
      <c r="W128" s="1"/>
      <c r="X128" s="1" t="s">
        <v>42</v>
      </c>
      <c r="Y128" s="1" t="s">
        <v>44</v>
      </c>
      <c r="Z128" s="1" t="s">
        <v>43</v>
      </c>
    </row>
    <row r="129" spans="6:26">
      <c r="F129">
        <v>11</v>
      </c>
      <c r="G129" s="1" t="s">
        <v>53</v>
      </c>
      <c r="H129" s="1"/>
      <c r="I129">
        <v>11</v>
      </c>
      <c r="J129" s="1" t="s">
        <v>53</v>
      </c>
      <c r="K129" s="1" t="s">
        <v>54</v>
      </c>
      <c r="N129" s="1" t="s">
        <v>42</v>
      </c>
      <c r="O129" s="1" t="s">
        <v>44</v>
      </c>
      <c r="P129" s="1" t="s">
        <v>43</v>
      </c>
      <c r="Q129" s="1"/>
      <c r="R129" s="1"/>
      <c r="W129" s="1"/>
      <c r="X129">
        <v>11</v>
      </c>
      <c r="Y129" s="1" t="s">
        <v>53</v>
      </c>
      <c r="Z129" s="1" t="s">
        <v>56</v>
      </c>
    </row>
    <row r="130" spans="6:26">
      <c r="F130" s="1" t="s">
        <v>42</v>
      </c>
      <c r="G130" s="1" t="s">
        <v>44</v>
      </c>
      <c r="H130" s="1"/>
      <c r="I130" s="1" t="s">
        <v>42</v>
      </c>
      <c r="J130" s="1" t="s">
        <v>44</v>
      </c>
      <c r="K130" s="1" t="s">
        <v>43</v>
      </c>
      <c r="N130">
        <v>38</v>
      </c>
      <c r="O130" s="1" t="s">
        <v>55</v>
      </c>
      <c r="P130" s="1" t="s">
        <v>13</v>
      </c>
      <c r="Q130" s="1"/>
      <c r="R130" s="1"/>
      <c r="W130" s="1"/>
      <c r="X130" s="1" t="s">
        <v>42</v>
      </c>
      <c r="Y130" s="1" t="s">
        <v>44</v>
      </c>
      <c r="Z130" s="1" t="s">
        <v>43</v>
      </c>
    </row>
    <row r="131" spans="6:26">
      <c r="F131">
        <v>12</v>
      </c>
      <c r="G131" s="1" t="s">
        <v>53</v>
      </c>
      <c r="H131" s="1"/>
      <c r="I131">
        <v>12</v>
      </c>
      <c r="J131" s="1" t="s">
        <v>53</v>
      </c>
      <c r="K131" s="1" t="s">
        <v>54</v>
      </c>
      <c r="N131" s="1" t="s">
        <v>42</v>
      </c>
      <c r="O131" s="1" t="s">
        <v>44</v>
      </c>
      <c r="P131" s="1" t="s">
        <v>43</v>
      </c>
      <c r="Q131" s="1"/>
      <c r="R131" s="1"/>
      <c r="W131" s="1"/>
      <c r="X131">
        <v>12</v>
      </c>
      <c r="Y131" s="1" t="s">
        <v>53</v>
      </c>
      <c r="Z131" s="1" t="s">
        <v>56</v>
      </c>
    </row>
    <row r="132" spans="6:26">
      <c r="F132" s="1" t="s">
        <v>42</v>
      </c>
      <c r="G132" s="1" t="s">
        <v>44</v>
      </c>
      <c r="H132" s="1"/>
      <c r="I132" s="1" t="s">
        <v>42</v>
      </c>
      <c r="J132" s="1" t="s">
        <v>44</v>
      </c>
      <c r="K132" s="1" t="s">
        <v>43</v>
      </c>
      <c r="N132">
        <v>39</v>
      </c>
      <c r="O132" s="1" t="s">
        <v>55</v>
      </c>
      <c r="P132" s="1" t="s">
        <v>13</v>
      </c>
      <c r="Q132" s="1"/>
      <c r="R132" s="1"/>
      <c r="W132" s="1"/>
      <c r="X132" s="1" t="s">
        <v>42</v>
      </c>
      <c r="Y132" s="1" t="s">
        <v>44</v>
      </c>
      <c r="Z132" s="1" t="s">
        <v>43</v>
      </c>
    </row>
    <row r="133" spans="6:26">
      <c r="F133">
        <v>13</v>
      </c>
      <c r="G133" s="1" t="s">
        <v>53</v>
      </c>
      <c r="H133" s="1"/>
      <c r="I133">
        <v>13</v>
      </c>
      <c r="J133" s="1" t="s">
        <v>53</v>
      </c>
      <c r="K133" s="1" t="s">
        <v>54</v>
      </c>
      <c r="N133" s="1" t="s">
        <v>42</v>
      </c>
      <c r="O133" s="1" t="s">
        <v>44</v>
      </c>
      <c r="P133" s="1" t="s">
        <v>43</v>
      </c>
      <c r="Q133" s="1"/>
      <c r="R133" s="1"/>
      <c r="W133" s="1"/>
      <c r="X133">
        <v>13</v>
      </c>
      <c r="Y133" s="1" t="s">
        <v>53</v>
      </c>
      <c r="Z133" s="1" t="s">
        <v>56</v>
      </c>
    </row>
    <row r="134" spans="6:26">
      <c r="F134" s="1" t="s">
        <v>42</v>
      </c>
      <c r="G134" s="1" t="s">
        <v>44</v>
      </c>
      <c r="H134" s="1"/>
      <c r="I134" s="1" t="s">
        <v>42</v>
      </c>
      <c r="J134" s="1" t="s">
        <v>44</v>
      </c>
      <c r="K134" s="1" t="s">
        <v>43</v>
      </c>
      <c r="N134">
        <v>40</v>
      </c>
      <c r="O134" s="1" t="s">
        <v>55</v>
      </c>
      <c r="P134" s="1" t="s">
        <v>13</v>
      </c>
      <c r="Q134" s="1"/>
      <c r="R134" s="1"/>
      <c r="W134" s="1"/>
      <c r="X134" s="1" t="s">
        <v>42</v>
      </c>
      <c r="Y134" s="1" t="s">
        <v>44</v>
      </c>
      <c r="Z134" s="1" t="s">
        <v>43</v>
      </c>
    </row>
    <row r="135" spans="6:26">
      <c r="F135">
        <v>14</v>
      </c>
      <c r="G135" s="1" t="s">
        <v>53</v>
      </c>
      <c r="H135" s="1"/>
      <c r="I135">
        <v>14</v>
      </c>
      <c r="J135" s="1" t="s">
        <v>53</v>
      </c>
      <c r="K135" s="1" t="s">
        <v>54</v>
      </c>
      <c r="N135" s="1" t="s">
        <v>42</v>
      </c>
      <c r="O135" s="1" t="s">
        <v>44</v>
      </c>
      <c r="P135" s="1" t="s">
        <v>43</v>
      </c>
      <c r="Q135" s="1"/>
      <c r="R135" s="1"/>
      <c r="W135" s="1"/>
      <c r="X135">
        <v>14</v>
      </c>
      <c r="Y135" s="1" t="s">
        <v>53</v>
      </c>
      <c r="Z135" s="1" t="s">
        <v>56</v>
      </c>
    </row>
    <row r="136" spans="6:26">
      <c r="F136" s="1" t="s">
        <v>42</v>
      </c>
      <c r="G136" s="1" t="s">
        <v>44</v>
      </c>
      <c r="H136" s="1"/>
      <c r="I136" s="1" t="s">
        <v>42</v>
      </c>
      <c r="J136" s="1" t="s">
        <v>44</v>
      </c>
      <c r="K136" s="1" t="s">
        <v>43</v>
      </c>
      <c r="N136">
        <v>41</v>
      </c>
      <c r="O136" s="1" t="s">
        <v>55</v>
      </c>
      <c r="P136" s="1" t="s">
        <v>13</v>
      </c>
      <c r="Q136" s="1"/>
      <c r="R136" s="1"/>
      <c r="W136" s="1"/>
      <c r="X136" s="1" t="s">
        <v>42</v>
      </c>
      <c r="Y136" s="1" t="s">
        <v>44</v>
      </c>
      <c r="Z136" s="1" t="s">
        <v>43</v>
      </c>
    </row>
    <row r="137" spans="6:26">
      <c r="F137">
        <v>15</v>
      </c>
      <c r="G137" s="1" t="s">
        <v>53</v>
      </c>
      <c r="H137" s="1"/>
      <c r="I137">
        <v>15</v>
      </c>
      <c r="J137" s="1" t="s">
        <v>53</v>
      </c>
      <c r="K137" s="1" t="s">
        <v>54</v>
      </c>
      <c r="N137" s="1" t="s">
        <v>42</v>
      </c>
      <c r="O137" s="1" t="s">
        <v>44</v>
      </c>
      <c r="P137" s="1" t="s">
        <v>43</v>
      </c>
      <c r="Q137" s="1"/>
      <c r="R137" s="1"/>
      <c r="W137" s="1"/>
      <c r="X137">
        <v>15</v>
      </c>
      <c r="Y137" s="1" t="s">
        <v>53</v>
      </c>
      <c r="Z137" s="1" t="s">
        <v>56</v>
      </c>
    </row>
    <row r="138" spans="6:26">
      <c r="F138" s="1" t="s">
        <v>42</v>
      </c>
      <c r="G138" s="1" t="s">
        <v>44</v>
      </c>
      <c r="H138" s="1"/>
      <c r="I138" s="1" t="s">
        <v>42</v>
      </c>
      <c r="J138" s="1" t="s">
        <v>44</v>
      </c>
      <c r="K138" s="1" t="s">
        <v>43</v>
      </c>
      <c r="N138">
        <v>42</v>
      </c>
      <c r="O138" s="1" t="s">
        <v>55</v>
      </c>
      <c r="P138" s="1" t="s">
        <v>13</v>
      </c>
      <c r="Q138" s="1"/>
      <c r="R138" s="1"/>
      <c r="W138" s="1"/>
      <c r="X138" s="1" t="s">
        <v>42</v>
      </c>
      <c r="Y138" s="1" t="s">
        <v>44</v>
      </c>
      <c r="Z138" s="1" t="s">
        <v>43</v>
      </c>
    </row>
    <row r="139" spans="6:26">
      <c r="F139">
        <v>16</v>
      </c>
      <c r="G139" s="1" t="s">
        <v>53</v>
      </c>
      <c r="H139" s="1"/>
      <c r="I139">
        <v>16</v>
      </c>
      <c r="J139" s="1" t="s">
        <v>53</v>
      </c>
      <c r="K139" s="1" t="s">
        <v>54</v>
      </c>
      <c r="N139" s="1" t="s">
        <v>42</v>
      </c>
      <c r="O139" s="1" t="s">
        <v>44</v>
      </c>
      <c r="P139" s="1" t="s">
        <v>43</v>
      </c>
      <c r="Q139" s="1"/>
      <c r="R139" s="1"/>
      <c r="W139" s="1"/>
      <c r="X139">
        <v>16</v>
      </c>
      <c r="Y139" s="1" t="s">
        <v>53</v>
      </c>
      <c r="Z139" s="1" t="s">
        <v>56</v>
      </c>
    </row>
    <row r="140" spans="6:26">
      <c r="F140" s="1" t="s">
        <v>42</v>
      </c>
      <c r="G140" s="1" t="s">
        <v>44</v>
      </c>
      <c r="H140" s="1"/>
      <c r="I140" s="1" t="s">
        <v>42</v>
      </c>
      <c r="J140" s="1" t="s">
        <v>44</v>
      </c>
      <c r="K140" s="1" t="s">
        <v>43</v>
      </c>
      <c r="N140">
        <v>43</v>
      </c>
      <c r="O140" s="1" t="s">
        <v>55</v>
      </c>
      <c r="P140" s="1" t="s">
        <v>13</v>
      </c>
      <c r="Q140" s="1"/>
      <c r="R140" s="1"/>
      <c r="W140" s="1"/>
      <c r="X140" s="1" t="s">
        <v>42</v>
      </c>
      <c r="Y140" s="1" t="s">
        <v>44</v>
      </c>
      <c r="Z140" s="1" t="s">
        <v>43</v>
      </c>
    </row>
    <row r="141" spans="6:26">
      <c r="F141">
        <v>17</v>
      </c>
      <c r="G141" s="1" t="s">
        <v>53</v>
      </c>
      <c r="H141" s="1"/>
      <c r="I141">
        <v>17</v>
      </c>
      <c r="J141" s="1" t="s">
        <v>53</v>
      </c>
      <c r="K141" s="1" t="s">
        <v>54</v>
      </c>
      <c r="N141" s="1" t="s">
        <v>42</v>
      </c>
      <c r="O141" s="1" t="s">
        <v>44</v>
      </c>
      <c r="P141" s="1" t="s">
        <v>43</v>
      </c>
      <c r="Q141" s="1"/>
      <c r="R141" s="1"/>
      <c r="W141" s="1"/>
      <c r="X141">
        <v>17</v>
      </c>
      <c r="Y141" s="1" t="s">
        <v>53</v>
      </c>
      <c r="Z141" s="1" t="s">
        <v>56</v>
      </c>
    </row>
    <row r="142" spans="6:26">
      <c r="F142" s="1" t="s">
        <v>42</v>
      </c>
      <c r="G142" s="1" t="s">
        <v>44</v>
      </c>
      <c r="H142" s="1"/>
      <c r="I142" s="1" t="s">
        <v>42</v>
      </c>
      <c r="J142" s="1" t="s">
        <v>44</v>
      </c>
      <c r="K142" s="1" t="s">
        <v>43</v>
      </c>
      <c r="N142">
        <v>44</v>
      </c>
      <c r="O142" s="1" t="s">
        <v>55</v>
      </c>
      <c r="P142" s="1" t="s">
        <v>13</v>
      </c>
      <c r="Q142" s="1"/>
      <c r="R142" s="1"/>
      <c r="W142" s="1"/>
      <c r="X142" s="1" t="s">
        <v>42</v>
      </c>
      <c r="Y142" s="1" t="s">
        <v>44</v>
      </c>
      <c r="Z142" s="1" t="s">
        <v>43</v>
      </c>
    </row>
    <row r="143" spans="6:26">
      <c r="F143">
        <v>18</v>
      </c>
      <c r="G143" s="1" t="s">
        <v>53</v>
      </c>
      <c r="H143" s="1"/>
      <c r="I143">
        <v>18</v>
      </c>
      <c r="J143" s="1" t="s">
        <v>53</v>
      </c>
      <c r="K143" s="1" t="s">
        <v>54</v>
      </c>
      <c r="N143" s="1"/>
      <c r="O143" s="1"/>
      <c r="P143" s="1"/>
      <c r="Q143" s="1"/>
      <c r="R143" s="1"/>
      <c r="W143" s="1"/>
      <c r="X143">
        <v>18</v>
      </c>
      <c r="Y143" s="1" t="s">
        <v>53</v>
      </c>
      <c r="Z143" s="1" t="s">
        <v>56</v>
      </c>
    </row>
    <row r="144" spans="6:26">
      <c r="F144" s="1" t="s">
        <v>42</v>
      </c>
      <c r="G144" s="1" t="s">
        <v>44</v>
      </c>
      <c r="H144" s="1"/>
      <c r="I144" s="1" t="s">
        <v>42</v>
      </c>
      <c r="J144" s="1" t="s">
        <v>44</v>
      </c>
      <c r="K144" s="1" t="s">
        <v>43</v>
      </c>
      <c r="O144" s="1"/>
      <c r="P144" s="1"/>
      <c r="Q144" s="1"/>
      <c r="R144" s="1"/>
      <c r="W144" s="1"/>
      <c r="X144" s="1" t="s">
        <v>42</v>
      </c>
      <c r="Y144" s="1" t="s">
        <v>44</v>
      </c>
      <c r="Z144" s="1" t="s">
        <v>43</v>
      </c>
    </row>
    <row r="145" spans="6:26">
      <c r="F145">
        <v>19</v>
      </c>
      <c r="G145" s="1" t="s">
        <v>53</v>
      </c>
      <c r="H145" s="1"/>
      <c r="I145">
        <v>19</v>
      </c>
      <c r="J145" s="1" t="s">
        <v>53</v>
      </c>
      <c r="K145" s="1" t="s">
        <v>54</v>
      </c>
      <c r="N145" s="1"/>
      <c r="O145" s="1"/>
      <c r="P145" s="1"/>
      <c r="Q145" s="1"/>
      <c r="R145" s="1"/>
      <c r="W145" s="1"/>
      <c r="X145">
        <v>19</v>
      </c>
      <c r="Y145" s="1" t="s">
        <v>53</v>
      </c>
      <c r="Z145" s="1" t="s">
        <v>56</v>
      </c>
    </row>
    <row r="146" spans="6:26">
      <c r="F146" s="1" t="s">
        <v>42</v>
      </c>
      <c r="G146" s="1" t="s">
        <v>44</v>
      </c>
      <c r="H146" s="1"/>
      <c r="I146" s="1" t="s">
        <v>42</v>
      </c>
      <c r="J146" s="1" t="s">
        <v>44</v>
      </c>
      <c r="K146" s="1" t="s">
        <v>43</v>
      </c>
      <c r="O146" s="1"/>
      <c r="P146" s="1"/>
      <c r="Q146" s="1"/>
      <c r="R146" s="1"/>
      <c r="W146" s="1"/>
      <c r="X146" s="1" t="s">
        <v>42</v>
      </c>
      <c r="Y146" s="1" t="s">
        <v>44</v>
      </c>
      <c r="Z146" s="1" t="s">
        <v>43</v>
      </c>
    </row>
    <row r="147" spans="6:26">
      <c r="F147">
        <v>20</v>
      </c>
      <c r="G147" s="1" t="s">
        <v>53</v>
      </c>
      <c r="H147" s="1"/>
      <c r="I147">
        <v>20</v>
      </c>
      <c r="J147" s="1" t="s">
        <v>53</v>
      </c>
      <c r="K147" s="1" t="s">
        <v>54</v>
      </c>
      <c r="N147" s="1"/>
      <c r="O147" s="1"/>
      <c r="P147" s="1"/>
      <c r="Q147" s="1"/>
      <c r="R147" s="1"/>
      <c r="W147" s="1"/>
      <c r="X147">
        <v>20</v>
      </c>
      <c r="Y147" s="1" t="s">
        <v>53</v>
      </c>
      <c r="Z147" s="1" t="s">
        <v>56</v>
      </c>
    </row>
    <row r="148" spans="6:26">
      <c r="F148" s="1" t="s">
        <v>42</v>
      </c>
      <c r="G148" s="1" t="s">
        <v>44</v>
      </c>
      <c r="H148" s="1"/>
      <c r="I148" s="1" t="s">
        <v>42</v>
      </c>
      <c r="J148" s="1" t="s">
        <v>44</v>
      </c>
      <c r="K148" s="1" t="s">
        <v>43</v>
      </c>
      <c r="O148" s="1"/>
      <c r="P148" s="1"/>
      <c r="Q148" s="1"/>
      <c r="R148" s="1"/>
      <c r="W148" s="1"/>
      <c r="X148" s="1" t="s">
        <v>42</v>
      </c>
      <c r="Y148" s="1" t="s">
        <v>44</v>
      </c>
      <c r="Z148" s="1" t="s">
        <v>43</v>
      </c>
    </row>
    <row r="149" spans="6:26">
      <c r="F149">
        <v>21</v>
      </c>
      <c r="G149" s="1" t="s">
        <v>53</v>
      </c>
      <c r="H149" s="1"/>
      <c r="I149">
        <v>21</v>
      </c>
      <c r="J149" s="1" t="s">
        <v>53</v>
      </c>
      <c r="K149" s="1" t="s">
        <v>54</v>
      </c>
      <c r="N149" s="1"/>
      <c r="O149" s="1"/>
      <c r="P149" s="1"/>
      <c r="Q149" s="1"/>
      <c r="R149" s="1"/>
      <c r="W149" s="1"/>
      <c r="X149">
        <v>21</v>
      </c>
      <c r="Y149" s="1" t="s">
        <v>53</v>
      </c>
      <c r="Z149" s="1" t="s">
        <v>56</v>
      </c>
    </row>
    <row r="150" spans="6:26">
      <c r="F150" s="1" t="s">
        <v>42</v>
      </c>
      <c r="G150" s="1" t="s">
        <v>44</v>
      </c>
      <c r="H150" s="1"/>
      <c r="I150" s="1" t="s">
        <v>42</v>
      </c>
      <c r="J150" s="1" t="s">
        <v>44</v>
      </c>
      <c r="K150" s="1" t="s">
        <v>43</v>
      </c>
      <c r="O150" s="1"/>
      <c r="P150" s="1"/>
      <c r="Q150" s="1"/>
      <c r="R150" s="1"/>
      <c r="W150" s="1"/>
      <c r="X150" s="1" t="s">
        <v>42</v>
      </c>
      <c r="Y150" s="1" t="s">
        <v>44</v>
      </c>
      <c r="Z150" s="1" t="s">
        <v>43</v>
      </c>
    </row>
    <row r="151" spans="6:26">
      <c r="F151">
        <v>22</v>
      </c>
      <c r="G151" s="1" t="s">
        <v>53</v>
      </c>
      <c r="H151" s="1"/>
      <c r="I151">
        <v>22</v>
      </c>
      <c r="J151" s="1" t="s">
        <v>53</v>
      </c>
      <c r="K151" s="1" t="s">
        <v>54</v>
      </c>
      <c r="N151" s="1"/>
      <c r="O151" s="1"/>
      <c r="P151" s="1"/>
      <c r="Q151" s="1"/>
      <c r="R151" s="1"/>
      <c r="W151" s="1"/>
      <c r="X151">
        <v>22</v>
      </c>
      <c r="Y151" s="1" t="s">
        <v>53</v>
      </c>
      <c r="Z151" s="1" t="s">
        <v>56</v>
      </c>
    </row>
    <row r="152" spans="6:26">
      <c r="F152" s="1" t="s">
        <v>42</v>
      </c>
      <c r="G152" s="1" t="s">
        <v>44</v>
      </c>
      <c r="H152" s="1"/>
      <c r="I152" s="1" t="s">
        <v>42</v>
      </c>
      <c r="J152" s="1" t="s">
        <v>44</v>
      </c>
      <c r="K152" s="1" t="s">
        <v>43</v>
      </c>
      <c r="O152" s="1"/>
      <c r="P152" s="1"/>
      <c r="Q152" s="1"/>
      <c r="R152" s="1"/>
      <c r="W152" s="1"/>
      <c r="X152" s="1" t="s">
        <v>42</v>
      </c>
      <c r="Y152" s="1" t="s">
        <v>44</v>
      </c>
      <c r="Z152" s="1" t="s">
        <v>43</v>
      </c>
    </row>
    <row r="153" spans="6:26">
      <c r="F153">
        <v>23</v>
      </c>
      <c r="G153" s="1" t="s">
        <v>53</v>
      </c>
      <c r="H153" s="1"/>
      <c r="I153">
        <v>23</v>
      </c>
      <c r="J153" s="1" t="s">
        <v>53</v>
      </c>
      <c r="K153" s="1" t="s">
        <v>54</v>
      </c>
      <c r="N153" s="1"/>
      <c r="O153" s="1"/>
      <c r="P153" s="1"/>
      <c r="Q153" s="1"/>
      <c r="R153" s="1"/>
      <c r="W153" s="1"/>
      <c r="X153">
        <v>23</v>
      </c>
      <c r="Y153" s="1" t="s">
        <v>53</v>
      </c>
      <c r="Z153" s="1" t="s">
        <v>56</v>
      </c>
    </row>
    <row r="154" spans="6:26">
      <c r="F154" s="1" t="s">
        <v>42</v>
      </c>
      <c r="G154" s="1" t="s">
        <v>44</v>
      </c>
      <c r="H154" s="1"/>
      <c r="I154" s="1" t="s">
        <v>42</v>
      </c>
      <c r="J154" s="1" t="s">
        <v>44</v>
      </c>
      <c r="K154" s="1" t="s">
        <v>43</v>
      </c>
      <c r="O154" s="1"/>
      <c r="P154" s="1"/>
      <c r="Q154" s="1"/>
      <c r="R154" s="1"/>
      <c r="W154" s="1"/>
      <c r="X154" s="1" t="s">
        <v>42</v>
      </c>
      <c r="Y154" s="1" t="s">
        <v>44</v>
      </c>
      <c r="Z154" s="1" t="s">
        <v>43</v>
      </c>
    </row>
    <row r="155" spans="6:26">
      <c r="F155">
        <v>24</v>
      </c>
      <c r="G155" s="1" t="s">
        <v>53</v>
      </c>
      <c r="H155" s="1"/>
      <c r="I155">
        <v>24</v>
      </c>
      <c r="J155" s="1" t="s">
        <v>53</v>
      </c>
      <c r="K155" s="1" t="s">
        <v>54</v>
      </c>
      <c r="N155" s="1"/>
      <c r="O155" s="1"/>
      <c r="P155" s="1"/>
      <c r="Q155" s="1"/>
      <c r="R155" s="1"/>
      <c r="W155" s="1"/>
      <c r="X155">
        <v>24</v>
      </c>
      <c r="Y155" s="1" t="s">
        <v>53</v>
      </c>
      <c r="Z155" s="1" t="s">
        <v>56</v>
      </c>
    </row>
    <row r="156" spans="6:26">
      <c r="F156" s="1" t="s">
        <v>42</v>
      </c>
      <c r="G156" s="1" t="s">
        <v>44</v>
      </c>
      <c r="H156" s="1"/>
      <c r="I156" s="1" t="s">
        <v>42</v>
      </c>
      <c r="J156" s="1" t="s">
        <v>44</v>
      </c>
      <c r="K156" s="1" t="s">
        <v>43</v>
      </c>
      <c r="O156" s="1"/>
      <c r="P156" s="1"/>
      <c r="Q156" s="1"/>
      <c r="R156" s="1"/>
      <c r="W156" s="1"/>
      <c r="X156" s="1" t="s">
        <v>42</v>
      </c>
      <c r="Y156" s="1" t="s">
        <v>44</v>
      </c>
      <c r="Z156" s="1" t="s">
        <v>43</v>
      </c>
    </row>
    <row r="157" spans="6:26">
      <c r="F157">
        <v>25</v>
      </c>
      <c r="G157" s="1" t="s">
        <v>53</v>
      </c>
      <c r="H157" s="1"/>
      <c r="I157">
        <v>25</v>
      </c>
      <c r="J157" s="1" t="s">
        <v>53</v>
      </c>
      <c r="K157" s="1" t="s">
        <v>54</v>
      </c>
      <c r="N157" s="1"/>
      <c r="O157" s="1"/>
      <c r="P157" s="1"/>
      <c r="Q157" s="1"/>
      <c r="R157" s="1"/>
      <c r="W157" s="1"/>
      <c r="X157">
        <v>25</v>
      </c>
      <c r="Y157" s="1" t="s">
        <v>53</v>
      </c>
      <c r="Z157" s="1" t="s">
        <v>56</v>
      </c>
    </row>
    <row r="158" spans="6:26">
      <c r="F158" s="1" t="s">
        <v>42</v>
      </c>
      <c r="G158" s="1" t="s">
        <v>44</v>
      </c>
      <c r="H158" s="1"/>
      <c r="I158" s="1" t="s">
        <v>42</v>
      </c>
      <c r="J158" s="1" t="s">
        <v>44</v>
      </c>
      <c r="K158" s="1" t="s">
        <v>43</v>
      </c>
      <c r="O158" s="1"/>
      <c r="P158" s="1"/>
      <c r="Q158" s="1"/>
      <c r="R158" s="1"/>
      <c r="W158" s="1"/>
      <c r="X158" s="1" t="s">
        <v>42</v>
      </c>
      <c r="Y158" s="1" t="s">
        <v>44</v>
      </c>
      <c r="Z158" s="1" t="s">
        <v>43</v>
      </c>
    </row>
    <row r="159" spans="6:26">
      <c r="F159">
        <v>26</v>
      </c>
      <c r="G159" s="1" t="s">
        <v>53</v>
      </c>
      <c r="H159" s="1"/>
      <c r="I159">
        <v>26</v>
      </c>
      <c r="J159" s="1" t="s">
        <v>53</v>
      </c>
      <c r="K159" s="1" t="s">
        <v>54</v>
      </c>
      <c r="N159" s="1"/>
      <c r="O159" s="1"/>
      <c r="P159" s="1"/>
      <c r="Q159" s="1"/>
      <c r="R159" s="1"/>
      <c r="W159" s="1"/>
      <c r="X159">
        <v>26</v>
      </c>
      <c r="Y159" s="1" t="s">
        <v>53</v>
      </c>
      <c r="Z159" s="1" t="s">
        <v>56</v>
      </c>
    </row>
    <row r="160" spans="6:26">
      <c r="F160" s="1" t="s">
        <v>42</v>
      </c>
      <c r="G160" s="1" t="s">
        <v>44</v>
      </c>
      <c r="H160" s="1"/>
      <c r="I160" s="1" t="s">
        <v>42</v>
      </c>
      <c r="J160" s="1" t="s">
        <v>44</v>
      </c>
      <c r="K160" s="1" t="s">
        <v>43</v>
      </c>
      <c r="O160" s="1"/>
      <c r="P160" s="1"/>
      <c r="Q160" s="1"/>
      <c r="R160" s="1"/>
      <c r="W160" s="1"/>
      <c r="X160" s="1" t="s">
        <v>42</v>
      </c>
      <c r="Y160" s="1" t="s">
        <v>44</v>
      </c>
      <c r="Z160" s="1" t="s">
        <v>43</v>
      </c>
    </row>
    <row r="161" spans="6:26">
      <c r="F161">
        <v>27</v>
      </c>
      <c r="G161" s="1" t="s">
        <v>53</v>
      </c>
      <c r="H161" s="1"/>
      <c r="I161">
        <v>27</v>
      </c>
      <c r="J161" s="1" t="s">
        <v>53</v>
      </c>
      <c r="K161" s="1" t="s">
        <v>54</v>
      </c>
      <c r="N161" s="1"/>
      <c r="O161" s="1"/>
      <c r="P161" s="1"/>
      <c r="Q161" s="1"/>
      <c r="R161" s="1"/>
      <c r="X161">
        <v>27</v>
      </c>
      <c r="Y161" s="1" t="s">
        <v>53</v>
      </c>
      <c r="Z161" s="1" t="s">
        <v>56</v>
      </c>
    </row>
    <row r="162" spans="6:26">
      <c r="F162" s="1" t="s">
        <v>42</v>
      </c>
      <c r="G162" s="1" t="s">
        <v>44</v>
      </c>
      <c r="H162" s="1"/>
      <c r="I162" s="1" t="s">
        <v>42</v>
      </c>
      <c r="J162" s="1" t="s">
        <v>44</v>
      </c>
      <c r="K162" s="1" t="s">
        <v>43</v>
      </c>
      <c r="O162" s="1"/>
      <c r="P162" s="1"/>
      <c r="Q162" s="1"/>
      <c r="R162" s="1"/>
      <c r="X162" s="1" t="s">
        <v>42</v>
      </c>
      <c r="Y162" s="1" t="s">
        <v>44</v>
      </c>
      <c r="Z162" s="1" t="s">
        <v>43</v>
      </c>
    </row>
    <row r="163" spans="6:26">
      <c r="F163">
        <v>28</v>
      </c>
      <c r="G163" s="1" t="s">
        <v>53</v>
      </c>
      <c r="H163" s="1"/>
      <c r="I163">
        <v>28</v>
      </c>
      <c r="J163" s="1" t="s">
        <v>53</v>
      </c>
      <c r="K163" s="1" t="s">
        <v>54</v>
      </c>
      <c r="N163" s="1"/>
      <c r="O163" s="1"/>
      <c r="P163" s="1"/>
      <c r="Q163" s="1"/>
      <c r="R163" s="1"/>
      <c r="X163">
        <v>28</v>
      </c>
      <c r="Y163" s="1" t="s">
        <v>53</v>
      </c>
      <c r="Z163" s="1" t="s">
        <v>56</v>
      </c>
    </row>
    <row r="164" spans="6:26">
      <c r="F164" s="1" t="s">
        <v>42</v>
      </c>
      <c r="G164" s="1" t="s">
        <v>44</v>
      </c>
      <c r="H164" s="1"/>
      <c r="I164" s="1" t="s">
        <v>42</v>
      </c>
      <c r="J164" s="1" t="s">
        <v>44</v>
      </c>
      <c r="K164" s="1" t="s">
        <v>43</v>
      </c>
      <c r="O164" s="1"/>
      <c r="P164" s="1"/>
      <c r="Q164" s="1"/>
      <c r="R164" s="1"/>
      <c r="X164" s="1" t="s">
        <v>42</v>
      </c>
      <c r="Y164" s="1" t="s">
        <v>44</v>
      </c>
      <c r="Z164" s="1" t="s">
        <v>43</v>
      </c>
    </row>
    <row r="165" spans="6:26">
      <c r="F165">
        <v>29</v>
      </c>
      <c r="G165" s="1" t="s">
        <v>53</v>
      </c>
      <c r="H165" s="1"/>
      <c r="I165">
        <v>29</v>
      </c>
      <c r="J165" s="1" t="s">
        <v>53</v>
      </c>
      <c r="K165" s="1" t="s">
        <v>54</v>
      </c>
      <c r="N165" s="1"/>
      <c r="O165" s="1"/>
      <c r="P165" s="1"/>
      <c r="Q165" s="1"/>
      <c r="R165" s="1"/>
      <c r="X165">
        <v>29</v>
      </c>
      <c r="Y165" s="1" t="s">
        <v>53</v>
      </c>
      <c r="Z165" s="1" t="s">
        <v>56</v>
      </c>
    </row>
    <row r="166" spans="6:26">
      <c r="F166" s="1" t="s">
        <v>42</v>
      </c>
      <c r="G166" s="1" t="s">
        <v>44</v>
      </c>
      <c r="H166" s="1"/>
      <c r="I166" s="1" t="s">
        <v>42</v>
      </c>
      <c r="J166" s="1" t="s">
        <v>44</v>
      </c>
      <c r="K166" s="1" t="s">
        <v>43</v>
      </c>
      <c r="O166" s="1"/>
      <c r="P166" s="1"/>
      <c r="Q166" s="1"/>
      <c r="R166" s="1"/>
      <c r="X166" s="1" t="s">
        <v>42</v>
      </c>
      <c r="Y166" s="1" t="s">
        <v>44</v>
      </c>
      <c r="Z166" s="1" t="s">
        <v>43</v>
      </c>
    </row>
    <row r="167" spans="6:26">
      <c r="F167">
        <v>30</v>
      </c>
      <c r="G167" s="1" t="s">
        <v>53</v>
      </c>
      <c r="H167" s="1"/>
      <c r="I167">
        <v>30</v>
      </c>
      <c r="J167" s="1" t="s">
        <v>53</v>
      </c>
      <c r="K167" s="1" t="s">
        <v>54</v>
      </c>
      <c r="N167" s="1"/>
      <c r="O167" s="1"/>
      <c r="P167" s="1"/>
      <c r="Q167" s="1"/>
      <c r="R167" s="1"/>
      <c r="X167">
        <v>30</v>
      </c>
      <c r="Y167" s="1" t="s">
        <v>53</v>
      </c>
      <c r="Z167" s="1" t="s">
        <v>56</v>
      </c>
    </row>
    <row r="168" spans="6:26">
      <c r="F168" s="1" t="s">
        <v>42</v>
      </c>
      <c r="G168" s="1" t="s">
        <v>44</v>
      </c>
      <c r="H168" s="1"/>
      <c r="I168" s="1" t="s">
        <v>42</v>
      </c>
      <c r="J168" s="1" t="s">
        <v>44</v>
      </c>
      <c r="K168" s="1" t="s">
        <v>43</v>
      </c>
      <c r="O168" s="1"/>
      <c r="P168" s="1"/>
      <c r="Q168" s="1"/>
      <c r="R168" s="1"/>
      <c r="X168" s="1" t="s">
        <v>42</v>
      </c>
      <c r="Y168" s="1" t="s">
        <v>44</v>
      </c>
      <c r="Z168" s="1" t="s">
        <v>43</v>
      </c>
    </row>
    <row r="169" spans="6:26">
      <c r="F169">
        <v>31</v>
      </c>
      <c r="G169" s="1" t="s">
        <v>53</v>
      </c>
      <c r="H169" s="1"/>
      <c r="I169">
        <v>31</v>
      </c>
      <c r="J169" s="1" t="s">
        <v>53</v>
      </c>
      <c r="K169" s="1" t="s">
        <v>54</v>
      </c>
      <c r="N169" s="1"/>
      <c r="O169" s="1"/>
      <c r="P169" s="1"/>
      <c r="Q169" s="1"/>
      <c r="R169" s="1"/>
      <c r="X169">
        <v>31</v>
      </c>
      <c r="Y169" s="1" t="s">
        <v>53</v>
      </c>
      <c r="Z169" s="1" t="s">
        <v>56</v>
      </c>
    </row>
    <row r="170" spans="6:26">
      <c r="F170" s="1" t="s">
        <v>42</v>
      </c>
      <c r="G170" s="1" t="s">
        <v>44</v>
      </c>
      <c r="H170" s="1"/>
      <c r="I170" s="1" t="s">
        <v>42</v>
      </c>
      <c r="J170" s="1" t="s">
        <v>44</v>
      </c>
      <c r="K170" s="1" t="s">
        <v>43</v>
      </c>
      <c r="O170" s="1"/>
      <c r="P170" s="1"/>
      <c r="Q170" s="1"/>
      <c r="R170" s="1"/>
      <c r="X170" s="1" t="s">
        <v>42</v>
      </c>
      <c r="Y170" s="1" t="s">
        <v>44</v>
      </c>
      <c r="Z170" s="1" t="s">
        <v>43</v>
      </c>
    </row>
    <row r="171" spans="6:26">
      <c r="F171">
        <v>32</v>
      </c>
      <c r="G171" s="1" t="s">
        <v>53</v>
      </c>
      <c r="H171" s="1"/>
      <c r="I171">
        <v>32</v>
      </c>
      <c r="J171" s="1" t="s">
        <v>53</v>
      </c>
      <c r="K171" s="1" t="s">
        <v>54</v>
      </c>
      <c r="N171" s="1"/>
      <c r="O171" s="1"/>
      <c r="P171" s="1"/>
      <c r="Q171" s="1"/>
      <c r="R171" s="1"/>
      <c r="X171">
        <v>32</v>
      </c>
      <c r="Y171" s="1" t="s">
        <v>53</v>
      </c>
      <c r="Z171" s="1" t="s">
        <v>56</v>
      </c>
    </row>
    <row r="172" spans="6:26">
      <c r="F172" s="1" t="s">
        <v>42</v>
      </c>
      <c r="G172" s="1" t="s">
        <v>44</v>
      </c>
      <c r="H172" s="1"/>
      <c r="I172" s="1" t="s">
        <v>42</v>
      </c>
      <c r="J172" s="1" t="s">
        <v>44</v>
      </c>
      <c r="K172" s="1" t="s">
        <v>43</v>
      </c>
      <c r="O172" s="1"/>
      <c r="P172" s="1"/>
      <c r="Q172" s="1"/>
      <c r="R172" s="1"/>
      <c r="X172" s="1" t="s">
        <v>42</v>
      </c>
      <c r="Y172" s="1" t="s">
        <v>44</v>
      </c>
      <c r="Z172" s="1" t="s">
        <v>43</v>
      </c>
    </row>
    <row r="173" spans="6:26">
      <c r="F173">
        <v>33</v>
      </c>
      <c r="G173" s="1" t="s">
        <v>53</v>
      </c>
      <c r="H173" s="1"/>
      <c r="I173">
        <v>33</v>
      </c>
      <c r="J173" s="1" t="s">
        <v>53</v>
      </c>
      <c r="K173" s="1" t="s">
        <v>54</v>
      </c>
      <c r="N173" s="1"/>
      <c r="O173" s="1"/>
      <c r="P173" s="1"/>
      <c r="Q173" s="1"/>
      <c r="R173" s="1"/>
      <c r="X173">
        <v>33</v>
      </c>
      <c r="Y173" s="1" t="s">
        <v>53</v>
      </c>
      <c r="Z173" s="1" t="s">
        <v>56</v>
      </c>
    </row>
    <row r="174" spans="6:26">
      <c r="F174" s="1" t="s">
        <v>42</v>
      </c>
      <c r="G174" s="1" t="s">
        <v>44</v>
      </c>
      <c r="H174" s="1"/>
      <c r="I174" s="1" t="s">
        <v>42</v>
      </c>
      <c r="J174" s="1" t="s">
        <v>44</v>
      </c>
      <c r="K174" s="1" t="s">
        <v>43</v>
      </c>
      <c r="O174" s="1"/>
      <c r="P174" s="1"/>
      <c r="Q174" s="1"/>
      <c r="R174" s="1"/>
      <c r="X174" s="1" t="s">
        <v>42</v>
      </c>
      <c r="Y174" s="1" t="s">
        <v>44</v>
      </c>
      <c r="Z174" s="1" t="s">
        <v>43</v>
      </c>
    </row>
    <row r="175" spans="6:26">
      <c r="F175">
        <v>34</v>
      </c>
      <c r="G175" s="1" t="s">
        <v>53</v>
      </c>
      <c r="H175" s="1"/>
      <c r="I175">
        <v>34</v>
      </c>
      <c r="J175" s="1" t="s">
        <v>53</v>
      </c>
      <c r="K175" s="1" t="s">
        <v>54</v>
      </c>
      <c r="N175" s="1"/>
      <c r="O175" s="1"/>
      <c r="P175" s="1"/>
      <c r="Q175" s="1"/>
      <c r="R175" s="1"/>
      <c r="X175">
        <v>34</v>
      </c>
      <c r="Y175" s="1" t="s">
        <v>53</v>
      </c>
      <c r="Z175" s="1" t="s">
        <v>56</v>
      </c>
    </row>
    <row r="176" spans="6:26">
      <c r="F176" s="1" t="s">
        <v>42</v>
      </c>
      <c r="G176" s="1" t="s">
        <v>44</v>
      </c>
      <c r="H176" s="1"/>
      <c r="I176" s="1" t="s">
        <v>42</v>
      </c>
      <c r="J176" s="1" t="s">
        <v>44</v>
      </c>
      <c r="K176" s="1" t="s">
        <v>43</v>
      </c>
      <c r="O176" s="1"/>
      <c r="P176" s="1"/>
      <c r="Q176" s="1"/>
      <c r="R176" s="1"/>
      <c r="X176" s="1" t="s">
        <v>42</v>
      </c>
      <c r="Y176" s="1" t="s">
        <v>44</v>
      </c>
      <c r="Z176" s="1" t="s">
        <v>43</v>
      </c>
    </row>
    <row r="177" spans="6:26">
      <c r="F177">
        <v>35</v>
      </c>
      <c r="G177" s="1" t="s">
        <v>53</v>
      </c>
      <c r="H177" s="1"/>
      <c r="I177">
        <v>35</v>
      </c>
      <c r="J177" s="1" t="s">
        <v>53</v>
      </c>
      <c r="K177" s="1" t="s">
        <v>54</v>
      </c>
      <c r="N177" s="1"/>
      <c r="O177" s="1"/>
      <c r="P177" s="1"/>
      <c r="Q177" s="1"/>
      <c r="R177" s="1"/>
      <c r="X177">
        <v>35</v>
      </c>
      <c r="Y177" s="1" t="s">
        <v>53</v>
      </c>
      <c r="Z177" s="1" t="s">
        <v>56</v>
      </c>
    </row>
    <row r="178" spans="6:26">
      <c r="F178" s="1" t="s">
        <v>42</v>
      </c>
      <c r="G178" s="1" t="s">
        <v>44</v>
      </c>
      <c r="H178" s="1"/>
      <c r="I178" s="1" t="s">
        <v>42</v>
      </c>
      <c r="J178" s="1" t="s">
        <v>44</v>
      </c>
      <c r="K178" s="1" t="s">
        <v>43</v>
      </c>
      <c r="O178" s="1"/>
      <c r="P178" s="1"/>
      <c r="Q178" s="1"/>
      <c r="R178" s="1"/>
      <c r="X178" s="1" t="s">
        <v>42</v>
      </c>
      <c r="Y178" s="1" t="s">
        <v>44</v>
      </c>
      <c r="Z178" s="1" t="s">
        <v>43</v>
      </c>
    </row>
    <row r="179" spans="6:26">
      <c r="F179">
        <v>36</v>
      </c>
      <c r="G179" s="1" t="s">
        <v>53</v>
      </c>
      <c r="H179" s="1"/>
      <c r="I179">
        <v>36</v>
      </c>
      <c r="J179" s="1" t="s">
        <v>53</v>
      </c>
      <c r="K179" s="1" t="s">
        <v>54</v>
      </c>
      <c r="N179" s="1"/>
      <c r="O179" s="1"/>
      <c r="P179" s="1"/>
      <c r="Q179" s="1"/>
      <c r="R179" s="1"/>
      <c r="X179">
        <v>36</v>
      </c>
      <c r="Y179" s="1" t="s">
        <v>53</v>
      </c>
      <c r="Z179" s="1" t="s">
        <v>56</v>
      </c>
    </row>
    <row r="180" spans="6:26">
      <c r="F180" s="1" t="s">
        <v>42</v>
      </c>
      <c r="G180" s="1" t="s">
        <v>44</v>
      </c>
      <c r="H180" s="1"/>
      <c r="I180" s="1" t="s">
        <v>42</v>
      </c>
      <c r="J180" s="1" t="s">
        <v>44</v>
      </c>
      <c r="K180" s="1" t="s">
        <v>43</v>
      </c>
      <c r="O180" s="1"/>
      <c r="P180" s="1"/>
      <c r="Q180" s="1"/>
      <c r="R180" s="1"/>
      <c r="X180" s="1" t="s">
        <v>42</v>
      </c>
      <c r="Y180" s="1" t="s">
        <v>44</v>
      </c>
      <c r="Z180" s="1" t="s">
        <v>43</v>
      </c>
    </row>
    <row r="181" spans="6:26">
      <c r="F181">
        <v>37</v>
      </c>
      <c r="G181" s="1" t="s">
        <v>53</v>
      </c>
      <c r="H181" s="1"/>
      <c r="I181">
        <v>37</v>
      </c>
      <c r="J181" s="1" t="s">
        <v>53</v>
      </c>
      <c r="K181" s="1" t="s">
        <v>54</v>
      </c>
      <c r="N181" s="1"/>
      <c r="O181" s="1"/>
      <c r="P181" s="1"/>
      <c r="Q181" s="1"/>
      <c r="R181" s="1"/>
      <c r="X181">
        <v>37</v>
      </c>
      <c r="Y181" s="1" t="s">
        <v>53</v>
      </c>
      <c r="Z181" s="1" t="s">
        <v>56</v>
      </c>
    </row>
    <row r="182" spans="6:26">
      <c r="F182" s="1" t="s">
        <v>42</v>
      </c>
      <c r="G182" s="1" t="s">
        <v>44</v>
      </c>
      <c r="H182" s="1"/>
      <c r="I182" s="1" t="s">
        <v>42</v>
      </c>
      <c r="J182" s="1" t="s">
        <v>44</v>
      </c>
      <c r="K182" s="1" t="s">
        <v>43</v>
      </c>
      <c r="O182" s="1"/>
      <c r="P182" s="1"/>
      <c r="Q182" s="1"/>
      <c r="R182" s="1"/>
      <c r="X182" s="1" t="s">
        <v>42</v>
      </c>
      <c r="Y182" s="1" t="s">
        <v>44</v>
      </c>
      <c r="Z182" s="1" t="s">
        <v>43</v>
      </c>
    </row>
    <row r="183" spans="6:26">
      <c r="F183">
        <v>38</v>
      </c>
      <c r="G183" s="1" t="s">
        <v>53</v>
      </c>
      <c r="H183" s="1"/>
      <c r="I183">
        <v>38</v>
      </c>
      <c r="J183" s="1" t="s">
        <v>53</v>
      </c>
      <c r="K183" s="1" t="s">
        <v>54</v>
      </c>
      <c r="N183" s="1"/>
      <c r="O183" s="1"/>
      <c r="P183" s="1"/>
      <c r="Q183" s="1"/>
      <c r="R183" s="1"/>
      <c r="X183">
        <v>38</v>
      </c>
      <c r="Y183" s="1" t="s">
        <v>53</v>
      </c>
      <c r="Z183" s="1" t="s">
        <v>56</v>
      </c>
    </row>
    <row r="184" spans="6:26">
      <c r="F184" s="1" t="s">
        <v>42</v>
      </c>
      <c r="G184" s="1" t="s">
        <v>44</v>
      </c>
      <c r="H184" s="1"/>
      <c r="I184" s="1" t="s">
        <v>42</v>
      </c>
      <c r="J184" s="1" t="s">
        <v>44</v>
      </c>
      <c r="K184" s="1" t="s">
        <v>43</v>
      </c>
      <c r="O184" s="1"/>
      <c r="P184" s="1"/>
      <c r="Q184" s="1"/>
      <c r="R184" s="1"/>
      <c r="X184" s="1" t="s">
        <v>42</v>
      </c>
      <c r="Y184" s="1" t="s">
        <v>44</v>
      </c>
      <c r="Z184" s="1" t="s">
        <v>43</v>
      </c>
    </row>
    <row r="185" spans="6:26">
      <c r="F185">
        <v>39</v>
      </c>
      <c r="G185" s="1" t="s">
        <v>53</v>
      </c>
      <c r="H185" s="1"/>
      <c r="I185">
        <v>39</v>
      </c>
      <c r="J185" s="1" t="s">
        <v>53</v>
      </c>
      <c r="K185" s="1" t="s">
        <v>54</v>
      </c>
      <c r="N185" s="1"/>
      <c r="O185" s="1"/>
      <c r="P185" s="1"/>
      <c r="Q185" s="1"/>
      <c r="R185" s="1"/>
      <c r="X185">
        <v>39</v>
      </c>
      <c r="Y185" s="1" t="s">
        <v>53</v>
      </c>
      <c r="Z185" s="1" t="s">
        <v>56</v>
      </c>
    </row>
    <row r="186" spans="6:26">
      <c r="F186" s="1" t="s">
        <v>42</v>
      </c>
      <c r="G186" s="1" t="s">
        <v>44</v>
      </c>
      <c r="H186" s="1"/>
      <c r="I186" s="1" t="s">
        <v>42</v>
      </c>
      <c r="J186" s="1" t="s">
        <v>44</v>
      </c>
      <c r="K186" s="1" t="s">
        <v>43</v>
      </c>
      <c r="O186" s="1"/>
      <c r="P186" s="1"/>
      <c r="Q186" s="1"/>
      <c r="R186" s="1"/>
      <c r="X186" s="1" t="s">
        <v>42</v>
      </c>
      <c r="Y186" s="1" t="s">
        <v>44</v>
      </c>
      <c r="Z186" s="1" t="s">
        <v>43</v>
      </c>
    </row>
    <row r="187" spans="6:26">
      <c r="F187">
        <v>40</v>
      </c>
      <c r="G187" s="1" t="s">
        <v>53</v>
      </c>
      <c r="H187" s="1"/>
      <c r="I187">
        <v>40</v>
      </c>
      <c r="J187" s="1" t="s">
        <v>53</v>
      </c>
      <c r="K187" s="1" t="s">
        <v>54</v>
      </c>
      <c r="N187" s="1"/>
      <c r="O187" s="1"/>
      <c r="P187" s="1"/>
      <c r="Q187" s="1"/>
      <c r="R187" s="1"/>
      <c r="X187">
        <v>40</v>
      </c>
      <c r="Y187" s="1" t="s">
        <v>53</v>
      </c>
      <c r="Z187" s="1" t="s">
        <v>56</v>
      </c>
    </row>
    <row r="188" spans="6:26">
      <c r="F188" s="1" t="s">
        <v>42</v>
      </c>
      <c r="G188" s="1" t="s">
        <v>44</v>
      </c>
      <c r="H188" s="1"/>
      <c r="I188" s="1" t="s">
        <v>42</v>
      </c>
      <c r="J188" s="1" t="s">
        <v>44</v>
      </c>
      <c r="K188" s="1" t="s">
        <v>43</v>
      </c>
      <c r="O188" s="1"/>
      <c r="P188" s="1"/>
      <c r="Q188" s="1"/>
      <c r="R188" s="1"/>
      <c r="X188" s="1" t="s">
        <v>42</v>
      </c>
      <c r="Y188" s="1" t="s">
        <v>44</v>
      </c>
      <c r="Z188" s="1" t="s">
        <v>43</v>
      </c>
    </row>
    <row r="189" spans="6:26">
      <c r="F189">
        <v>41</v>
      </c>
      <c r="G189" s="1" t="s">
        <v>53</v>
      </c>
      <c r="H189" s="1"/>
      <c r="I189">
        <v>41</v>
      </c>
      <c r="J189" s="1" t="s">
        <v>53</v>
      </c>
      <c r="K189" s="1" t="s">
        <v>54</v>
      </c>
      <c r="N189" s="1"/>
      <c r="O189" s="1"/>
      <c r="P189" s="1"/>
      <c r="Q189" s="1"/>
      <c r="R189" s="1"/>
      <c r="X189">
        <v>41</v>
      </c>
      <c r="Y189" s="1" t="s">
        <v>53</v>
      </c>
      <c r="Z189" s="1" t="s">
        <v>56</v>
      </c>
    </row>
    <row r="190" spans="6:26">
      <c r="F190" s="1" t="s">
        <v>42</v>
      </c>
      <c r="G190" s="1" t="s">
        <v>44</v>
      </c>
      <c r="H190" s="1"/>
      <c r="I190" s="1" t="s">
        <v>42</v>
      </c>
      <c r="J190" s="1" t="s">
        <v>44</v>
      </c>
      <c r="K190" s="1" t="s">
        <v>43</v>
      </c>
      <c r="O190" s="1"/>
      <c r="P190" s="1"/>
      <c r="Q190" s="1"/>
      <c r="R190" s="1"/>
      <c r="X190" s="1" t="s">
        <v>42</v>
      </c>
      <c r="Y190" s="1" t="s">
        <v>44</v>
      </c>
      <c r="Z190" s="1" t="s">
        <v>43</v>
      </c>
    </row>
    <row r="191" spans="6:26">
      <c r="F191">
        <v>42</v>
      </c>
      <c r="G191" s="1" t="s">
        <v>53</v>
      </c>
      <c r="H191" s="1"/>
      <c r="I191">
        <v>42</v>
      </c>
      <c r="J191" s="1" t="s">
        <v>53</v>
      </c>
      <c r="K191" s="1" t="s">
        <v>54</v>
      </c>
      <c r="N191" s="1"/>
      <c r="O191" s="1"/>
      <c r="P191" s="1"/>
      <c r="Q191" s="1"/>
      <c r="R191" s="1"/>
      <c r="X191">
        <v>42</v>
      </c>
      <c r="Y191" s="1" t="s">
        <v>53</v>
      </c>
      <c r="Z191" s="1" t="s">
        <v>56</v>
      </c>
    </row>
    <row r="192" spans="6:26">
      <c r="F192" s="1" t="s">
        <v>42</v>
      </c>
      <c r="G192" s="1" t="s">
        <v>44</v>
      </c>
      <c r="H192" s="1"/>
      <c r="I192" s="1" t="s">
        <v>42</v>
      </c>
      <c r="J192" s="1" t="s">
        <v>44</v>
      </c>
      <c r="K192" s="1" t="s">
        <v>43</v>
      </c>
      <c r="O192" s="1"/>
      <c r="P192" s="1"/>
      <c r="Q192" s="1"/>
      <c r="R192" s="1"/>
      <c r="X192" s="1" t="s">
        <v>42</v>
      </c>
      <c r="Y192" s="1" t="s">
        <v>44</v>
      </c>
      <c r="Z192" s="1" t="s">
        <v>43</v>
      </c>
    </row>
    <row r="193" spans="6:26">
      <c r="F193">
        <v>43</v>
      </c>
      <c r="G193" s="1" t="s">
        <v>53</v>
      </c>
      <c r="H193" s="1"/>
      <c r="I193">
        <v>43</v>
      </c>
      <c r="J193" s="1" t="s">
        <v>53</v>
      </c>
      <c r="K193" s="1" t="s">
        <v>54</v>
      </c>
      <c r="N193" s="1"/>
      <c r="O193" s="1"/>
      <c r="P193" s="1"/>
      <c r="Q193" s="1"/>
      <c r="R193" s="1"/>
      <c r="X193">
        <v>43</v>
      </c>
      <c r="Y193" s="1" t="s">
        <v>53</v>
      </c>
      <c r="Z193" s="1" t="s">
        <v>56</v>
      </c>
    </row>
    <row r="194" spans="6:26">
      <c r="F194" s="1" t="s">
        <v>42</v>
      </c>
      <c r="G194" s="1" t="s">
        <v>44</v>
      </c>
      <c r="H194" s="1"/>
      <c r="I194" s="1" t="s">
        <v>42</v>
      </c>
      <c r="J194" s="1" t="s">
        <v>44</v>
      </c>
      <c r="K194" s="1" t="s">
        <v>43</v>
      </c>
      <c r="O194" s="1"/>
      <c r="P194" s="1"/>
      <c r="Q194" s="1"/>
      <c r="R194" s="1"/>
      <c r="X194" s="1" t="s">
        <v>42</v>
      </c>
      <c r="Y194" s="1" t="s">
        <v>44</v>
      </c>
      <c r="Z194" s="1" t="s">
        <v>43</v>
      </c>
    </row>
    <row r="195" spans="6:26">
      <c r="F195">
        <v>44</v>
      </c>
      <c r="G195" s="1" t="s">
        <v>53</v>
      </c>
      <c r="H195" s="1"/>
      <c r="I195">
        <v>44</v>
      </c>
      <c r="J195" s="1" t="s">
        <v>53</v>
      </c>
      <c r="K195" s="1" t="s">
        <v>54</v>
      </c>
      <c r="N195" s="1"/>
      <c r="O195" s="1"/>
      <c r="P195" s="1"/>
      <c r="Q195" s="1"/>
      <c r="R195" s="1"/>
      <c r="X195">
        <v>44</v>
      </c>
      <c r="Y195" s="1" t="s">
        <v>53</v>
      </c>
      <c r="Z195" s="1" t="s">
        <v>56</v>
      </c>
    </row>
    <row r="196" spans="6:26">
      <c r="F196" s="1" t="s">
        <v>42</v>
      </c>
      <c r="G196" s="1" t="s">
        <v>44</v>
      </c>
      <c r="H196" s="1"/>
      <c r="I196" s="1" t="s">
        <v>42</v>
      </c>
      <c r="J196" s="1" t="s">
        <v>44</v>
      </c>
      <c r="K196" s="1" t="s">
        <v>43</v>
      </c>
      <c r="O196" s="1"/>
      <c r="P196" s="1"/>
      <c r="Q196" s="1"/>
      <c r="R196" s="1"/>
      <c r="X196" s="1" t="s">
        <v>42</v>
      </c>
      <c r="Y196" s="1" t="s">
        <v>44</v>
      </c>
      <c r="Z196" s="1" t="s">
        <v>43</v>
      </c>
    </row>
    <row r="197" spans="6:26">
      <c r="F197">
        <v>45</v>
      </c>
      <c r="G197" s="1" t="s">
        <v>53</v>
      </c>
      <c r="H197" s="1"/>
      <c r="I197">
        <v>45</v>
      </c>
      <c r="J197" s="1" t="s">
        <v>53</v>
      </c>
      <c r="K197" s="1" t="s">
        <v>54</v>
      </c>
      <c r="N197" s="1"/>
      <c r="O197" s="1"/>
      <c r="P197" s="1"/>
      <c r="Q197" s="1"/>
      <c r="R197" s="1"/>
      <c r="X197">
        <v>45</v>
      </c>
      <c r="Y197" s="1" t="s">
        <v>53</v>
      </c>
      <c r="Z197" s="1" t="s">
        <v>56</v>
      </c>
    </row>
    <row r="198" spans="6:26">
      <c r="F198" s="1" t="s">
        <v>42</v>
      </c>
      <c r="G198" s="1" t="s">
        <v>44</v>
      </c>
      <c r="H198" s="1"/>
      <c r="I198" s="1" t="s">
        <v>42</v>
      </c>
      <c r="J198" s="1" t="s">
        <v>44</v>
      </c>
      <c r="K198" s="1" t="s">
        <v>43</v>
      </c>
      <c r="O198" s="1"/>
      <c r="P198" s="1"/>
      <c r="Q198" s="1"/>
      <c r="R198" s="1"/>
      <c r="X198" s="1" t="s">
        <v>42</v>
      </c>
      <c r="Y198" s="1" t="s">
        <v>44</v>
      </c>
      <c r="Z198" s="1" t="s">
        <v>43</v>
      </c>
    </row>
    <row r="199" spans="6:26">
      <c r="F199">
        <v>46</v>
      </c>
      <c r="G199" s="1" t="s">
        <v>53</v>
      </c>
      <c r="H199" s="1"/>
      <c r="I199">
        <v>46</v>
      </c>
      <c r="J199" s="1" t="s">
        <v>53</v>
      </c>
      <c r="K199" s="1" t="s">
        <v>54</v>
      </c>
      <c r="N199" s="1"/>
      <c r="O199" s="1"/>
      <c r="P199" s="1"/>
      <c r="Q199" s="1"/>
      <c r="R199" s="1"/>
      <c r="X199">
        <v>46</v>
      </c>
      <c r="Y199" s="1" t="s">
        <v>53</v>
      </c>
      <c r="Z199" s="1" t="s">
        <v>56</v>
      </c>
    </row>
    <row r="200" spans="6:26">
      <c r="F200" s="1" t="s">
        <v>42</v>
      </c>
      <c r="G200" s="1" t="s">
        <v>44</v>
      </c>
      <c r="I200" s="1" t="s">
        <v>42</v>
      </c>
      <c r="J200" s="1" t="s">
        <v>44</v>
      </c>
      <c r="K200" s="1" t="s">
        <v>43</v>
      </c>
      <c r="O200" s="1"/>
      <c r="P200" s="1"/>
      <c r="Q200" s="1"/>
      <c r="R200" s="1"/>
      <c r="X200" s="1" t="s">
        <v>42</v>
      </c>
      <c r="Y200" s="1" t="s">
        <v>44</v>
      </c>
      <c r="Z200" s="1" t="s">
        <v>43</v>
      </c>
    </row>
    <row r="201" spans="6:26">
      <c r="F201">
        <v>47</v>
      </c>
      <c r="G201" s="1" t="s">
        <v>53</v>
      </c>
      <c r="I201">
        <v>47</v>
      </c>
      <c r="J201" s="1" t="s">
        <v>53</v>
      </c>
      <c r="K201" s="1" t="s">
        <v>54</v>
      </c>
      <c r="N201" s="1"/>
      <c r="O201" s="1"/>
      <c r="P201" s="1"/>
      <c r="X201">
        <v>47</v>
      </c>
      <c r="Y201" s="1" t="s">
        <v>53</v>
      </c>
      <c r="Z201" s="1" t="s">
        <v>56</v>
      </c>
    </row>
    <row r="202" spans="6:26">
      <c r="F202" s="1" t="s">
        <v>42</v>
      </c>
      <c r="G202" s="1" t="s">
        <v>44</v>
      </c>
      <c r="I202" s="1" t="s">
        <v>42</v>
      </c>
      <c r="J202" s="1" t="s">
        <v>44</v>
      </c>
      <c r="K202" s="1" t="s">
        <v>43</v>
      </c>
      <c r="O202" s="1"/>
      <c r="P202" s="1"/>
      <c r="X202" s="1" t="s">
        <v>42</v>
      </c>
      <c r="Y202" s="1" t="s">
        <v>44</v>
      </c>
      <c r="Z202" s="1" t="s">
        <v>43</v>
      </c>
    </row>
    <row r="203" spans="6:26">
      <c r="F203">
        <v>48</v>
      </c>
      <c r="G203" s="1" t="s">
        <v>53</v>
      </c>
      <c r="I203">
        <v>48</v>
      </c>
      <c r="J203" s="1" t="s">
        <v>53</v>
      </c>
      <c r="K203" s="1" t="s">
        <v>54</v>
      </c>
      <c r="N203" s="1"/>
      <c r="O203" s="1"/>
      <c r="P203" s="1"/>
      <c r="X203">
        <v>48</v>
      </c>
      <c r="Y203" s="1" t="s">
        <v>53</v>
      </c>
      <c r="Z203" s="1" t="s">
        <v>56</v>
      </c>
    </row>
    <row r="204" spans="6:26">
      <c r="F204" s="1" t="s">
        <v>42</v>
      </c>
      <c r="G204" s="1" t="s">
        <v>44</v>
      </c>
      <c r="I204" s="1" t="s">
        <v>42</v>
      </c>
      <c r="J204" s="1" t="s">
        <v>44</v>
      </c>
      <c r="K204" s="1" t="s">
        <v>43</v>
      </c>
      <c r="O204" s="1"/>
      <c r="P204" s="1"/>
      <c r="X204" s="1" t="s">
        <v>42</v>
      </c>
      <c r="Y204" s="1" t="s">
        <v>44</v>
      </c>
      <c r="Z204" s="1" t="s">
        <v>43</v>
      </c>
    </row>
    <row r="205" spans="6:26">
      <c r="F205">
        <v>49</v>
      </c>
      <c r="G205" s="1" t="s">
        <v>53</v>
      </c>
      <c r="I205">
        <v>49</v>
      </c>
      <c r="J205" s="1" t="s">
        <v>53</v>
      </c>
      <c r="K205" s="1" t="s">
        <v>54</v>
      </c>
      <c r="N205" s="1"/>
      <c r="O205" s="1"/>
      <c r="P205" s="1"/>
      <c r="X205">
        <v>49</v>
      </c>
      <c r="Y205" s="1" t="s">
        <v>53</v>
      </c>
      <c r="Z205" s="1" t="s">
        <v>56</v>
      </c>
    </row>
    <row r="206" spans="6:26">
      <c r="F206" s="1" t="s">
        <v>42</v>
      </c>
      <c r="G206" s="1" t="s">
        <v>44</v>
      </c>
      <c r="I206" s="1" t="s">
        <v>42</v>
      </c>
      <c r="J206" s="1" t="s">
        <v>44</v>
      </c>
      <c r="K206" s="1" t="s">
        <v>43</v>
      </c>
      <c r="O206" s="1"/>
      <c r="P206" s="1"/>
      <c r="X206" s="1" t="s">
        <v>42</v>
      </c>
      <c r="Y206" s="1" t="s">
        <v>44</v>
      </c>
      <c r="Z206" s="1" t="s">
        <v>43</v>
      </c>
    </row>
    <row r="207" spans="6:26">
      <c r="F207">
        <v>50</v>
      </c>
      <c r="G207" s="1" t="s">
        <v>53</v>
      </c>
      <c r="I207">
        <v>50</v>
      </c>
      <c r="J207" s="1" t="s">
        <v>53</v>
      </c>
      <c r="K207" s="1" t="s">
        <v>54</v>
      </c>
      <c r="N207" s="1"/>
      <c r="O207" s="1"/>
      <c r="P207" s="1"/>
      <c r="X207">
        <v>50</v>
      </c>
      <c r="Y207" s="1" t="s">
        <v>53</v>
      </c>
      <c r="Z207" s="1" t="s">
        <v>56</v>
      </c>
    </row>
    <row r="208" spans="6:26">
      <c r="F208" s="1" t="s">
        <v>42</v>
      </c>
      <c r="G208" s="1" t="s">
        <v>44</v>
      </c>
      <c r="I208" s="1" t="s">
        <v>42</v>
      </c>
      <c r="J208" s="1" t="s">
        <v>44</v>
      </c>
      <c r="K208" s="1" t="s">
        <v>43</v>
      </c>
      <c r="O208" s="1"/>
      <c r="P208" s="1"/>
      <c r="X208" s="1" t="s">
        <v>42</v>
      </c>
      <c r="Y208" s="1" t="s">
        <v>44</v>
      </c>
      <c r="Z208" s="1" t="s">
        <v>43</v>
      </c>
    </row>
    <row r="209" spans="6:26">
      <c r="F209">
        <v>51</v>
      </c>
      <c r="G209" s="1" t="s">
        <v>53</v>
      </c>
      <c r="I209">
        <v>51</v>
      </c>
      <c r="J209" s="1" t="s">
        <v>53</v>
      </c>
      <c r="K209" s="1" t="s">
        <v>54</v>
      </c>
      <c r="N209" s="1"/>
      <c r="O209" s="1"/>
      <c r="P209" s="1"/>
      <c r="X209">
        <v>51</v>
      </c>
      <c r="Y209" s="1" t="s">
        <v>53</v>
      </c>
      <c r="Z209" s="1" t="s">
        <v>56</v>
      </c>
    </row>
    <row r="210" spans="6:26">
      <c r="F210" s="1" t="s">
        <v>42</v>
      </c>
      <c r="G210" s="1" t="s">
        <v>44</v>
      </c>
      <c r="I210" s="1" t="s">
        <v>42</v>
      </c>
      <c r="J210" s="1" t="s">
        <v>44</v>
      </c>
      <c r="K210" s="1" t="s">
        <v>43</v>
      </c>
      <c r="O210" s="1"/>
      <c r="P210" s="1"/>
      <c r="X210" s="1" t="s">
        <v>42</v>
      </c>
      <c r="Y210" s="1" t="s">
        <v>44</v>
      </c>
      <c r="Z210" s="1" t="s">
        <v>43</v>
      </c>
    </row>
    <row r="211" spans="6:26">
      <c r="F211">
        <v>52</v>
      </c>
      <c r="G211" s="1" t="s">
        <v>53</v>
      </c>
      <c r="I211">
        <v>52</v>
      </c>
      <c r="J211" s="1" t="s">
        <v>53</v>
      </c>
      <c r="K211" s="1" t="s">
        <v>54</v>
      </c>
      <c r="N211" s="1"/>
      <c r="O211" s="1"/>
      <c r="P211" s="1"/>
      <c r="X211">
        <v>52</v>
      </c>
      <c r="Y211" s="1" t="s">
        <v>53</v>
      </c>
      <c r="Z211" s="1" t="s">
        <v>56</v>
      </c>
    </row>
    <row r="212" spans="6:26">
      <c r="F212" s="1" t="s">
        <v>42</v>
      </c>
      <c r="G212" s="1" t="s">
        <v>44</v>
      </c>
      <c r="I212" s="1" t="s">
        <v>42</v>
      </c>
      <c r="J212" s="1" t="s">
        <v>44</v>
      </c>
      <c r="K212" s="1" t="s">
        <v>43</v>
      </c>
      <c r="O212" s="1"/>
      <c r="P212" s="1"/>
      <c r="X212" s="1" t="s">
        <v>42</v>
      </c>
      <c r="Y212" s="1" t="s">
        <v>44</v>
      </c>
      <c r="Z212" s="1" t="s">
        <v>43</v>
      </c>
    </row>
    <row r="213" spans="6:26">
      <c r="F213">
        <v>53</v>
      </c>
      <c r="G213" s="1" t="s">
        <v>53</v>
      </c>
      <c r="I213">
        <v>53</v>
      </c>
      <c r="J213" s="1" t="s">
        <v>53</v>
      </c>
      <c r="K213" s="1" t="s">
        <v>54</v>
      </c>
      <c r="N213" s="1"/>
      <c r="O213" s="1"/>
      <c r="P213" s="1"/>
      <c r="X213">
        <v>53</v>
      </c>
      <c r="Y213" s="1" t="s">
        <v>53</v>
      </c>
      <c r="Z213" s="1" t="s">
        <v>56</v>
      </c>
    </row>
    <row r="214" spans="6:26">
      <c r="F214" s="1" t="s">
        <v>42</v>
      </c>
      <c r="G214" s="1" t="s">
        <v>44</v>
      </c>
      <c r="I214" s="1" t="s">
        <v>42</v>
      </c>
      <c r="J214" s="1" t="s">
        <v>44</v>
      </c>
      <c r="K214" s="1" t="s">
        <v>43</v>
      </c>
      <c r="O214" s="1"/>
      <c r="P214" s="1"/>
      <c r="X214" s="1" t="s">
        <v>42</v>
      </c>
      <c r="Y214" s="1" t="s">
        <v>44</v>
      </c>
      <c r="Z214" s="1" t="s">
        <v>43</v>
      </c>
    </row>
    <row r="215" spans="6:26">
      <c r="F215">
        <v>54</v>
      </c>
      <c r="G215" s="1" t="s">
        <v>53</v>
      </c>
      <c r="I215">
        <v>54</v>
      </c>
      <c r="J215" s="1" t="s">
        <v>53</v>
      </c>
      <c r="K215" s="1" t="s">
        <v>54</v>
      </c>
      <c r="N215" s="1"/>
      <c r="O215" s="1"/>
      <c r="P215" s="1"/>
      <c r="X215">
        <v>54</v>
      </c>
      <c r="Y215" s="1" t="s">
        <v>53</v>
      </c>
      <c r="Z215" s="1" t="s">
        <v>56</v>
      </c>
    </row>
    <row r="216" spans="6:26">
      <c r="F216" s="1" t="s">
        <v>42</v>
      </c>
      <c r="G216" s="1" t="s">
        <v>44</v>
      </c>
      <c r="I216" s="1" t="s">
        <v>42</v>
      </c>
      <c r="J216" s="1" t="s">
        <v>44</v>
      </c>
      <c r="K216" s="1" t="s">
        <v>43</v>
      </c>
      <c r="O216" s="1"/>
      <c r="P216" s="1"/>
      <c r="X216" s="1" t="s">
        <v>42</v>
      </c>
      <c r="Y216" s="1" t="s">
        <v>44</v>
      </c>
      <c r="Z216" s="1" t="s">
        <v>43</v>
      </c>
    </row>
    <row r="217" spans="6:26">
      <c r="F217">
        <v>55</v>
      </c>
      <c r="G217" s="1" t="s">
        <v>53</v>
      </c>
      <c r="I217">
        <v>55</v>
      </c>
      <c r="J217" s="1" t="s">
        <v>53</v>
      </c>
      <c r="K217" s="1" t="s">
        <v>54</v>
      </c>
      <c r="N217" s="1"/>
      <c r="O217" s="1"/>
      <c r="P217" s="1"/>
      <c r="X217">
        <v>55</v>
      </c>
      <c r="Y217" s="1" t="s">
        <v>53</v>
      </c>
      <c r="Z217" s="1" t="s">
        <v>56</v>
      </c>
    </row>
    <row r="218" spans="6:26">
      <c r="F218" s="1" t="s">
        <v>42</v>
      </c>
      <c r="G218" s="1" t="s">
        <v>44</v>
      </c>
      <c r="I218" s="1" t="s">
        <v>42</v>
      </c>
      <c r="J218" s="1" t="s">
        <v>44</v>
      </c>
      <c r="K218" s="1" t="s">
        <v>43</v>
      </c>
      <c r="O218" s="1"/>
      <c r="P218" s="1"/>
      <c r="X218" s="1" t="s">
        <v>42</v>
      </c>
      <c r="Y218" s="1" t="s">
        <v>44</v>
      </c>
      <c r="Z218" s="1" t="s">
        <v>43</v>
      </c>
    </row>
    <row r="219" spans="6:26">
      <c r="F219">
        <v>56</v>
      </c>
      <c r="G219" s="1" t="s">
        <v>53</v>
      </c>
      <c r="I219">
        <v>56</v>
      </c>
      <c r="J219" s="1" t="s">
        <v>53</v>
      </c>
      <c r="K219" s="1" t="s">
        <v>54</v>
      </c>
      <c r="N219" s="1"/>
      <c r="O219" s="1"/>
      <c r="P219" s="1"/>
      <c r="X219">
        <v>56</v>
      </c>
      <c r="Y219" s="1" t="s">
        <v>53</v>
      </c>
      <c r="Z219" s="1" t="s">
        <v>56</v>
      </c>
    </row>
    <row r="220" spans="6:26">
      <c r="F220" s="1" t="s">
        <v>42</v>
      </c>
      <c r="G220" s="1" t="s">
        <v>44</v>
      </c>
      <c r="I220" s="1" t="s">
        <v>42</v>
      </c>
      <c r="J220" s="1" t="s">
        <v>44</v>
      </c>
      <c r="K220" s="1" t="s">
        <v>43</v>
      </c>
      <c r="O220" s="1"/>
      <c r="P220" s="1"/>
      <c r="X220" s="1" t="s">
        <v>42</v>
      </c>
      <c r="Y220" s="1" t="s">
        <v>44</v>
      </c>
      <c r="Z220" s="1" t="s">
        <v>43</v>
      </c>
    </row>
    <row r="221" spans="6:26">
      <c r="F221">
        <v>57</v>
      </c>
      <c r="G221" s="1" t="s">
        <v>53</v>
      </c>
      <c r="I221">
        <v>57</v>
      </c>
      <c r="J221" s="1" t="s">
        <v>53</v>
      </c>
      <c r="K221" s="1" t="s">
        <v>54</v>
      </c>
      <c r="N221" s="1"/>
      <c r="O221" s="1"/>
      <c r="P221" s="1"/>
      <c r="X221">
        <v>57</v>
      </c>
      <c r="Y221" s="1" t="s">
        <v>53</v>
      </c>
      <c r="Z221" s="1" t="s">
        <v>56</v>
      </c>
    </row>
    <row r="222" spans="6:26">
      <c r="F222" s="1" t="s">
        <v>42</v>
      </c>
      <c r="G222" s="1" t="s">
        <v>44</v>
      </c>
      <c r="I222" s="1" t="s">
        <v>42</v>
      </c>
      <c r="J222" s="1" t="s">
        <v>44</v>
      </c>
      <c r="K222" s="1" t="s">
        <v>43</v>
      </c>
      <c r="O222" s="1"/>
      <c r="P222" s="1"/>
      <c r="X222" s="1" t="s">
        <v>42</v>
      </c>
      <c r="Y222" s="1" t="s">
        <v>44</v>
      </c>
      <c r="Z222" s="1" t="s">
        <v>43</v>
      </c>
    </row>
    <row r="223" spans="6:26">
      <c r="F223">
        <v>58</v>
      </c>
      <c r="G223" s="1" t="s">
        <v>53</v>
      </c>
      <c r="I223">
        <v>58</v>
      </c>
      <c r="J223" s="1" t="s">
        <v>53</v>
      </c>
      <c r="K223" s="1" t="s">
        <v>54</v>
      </c>
      <c r="N223" s="1"/>
      <c r="O223" s="1"/>
      <c r="P223" s="1"/>
      <c r="X223">
        <v>58</v>
      </c>
      <c r="Y223" s="1" t="s">
        <v>53</v>
      </c>
      <c r="Z223" s="1" t="s">
        <v>56</v>
      </c>
    </row>
    <row r="224" spans="6:26">
      <c r="F224" s="1" t="s">
        <v>42</v>
      </c>
      <c r="G224" s="1" t="s">
        <v>44</v>
      </c>
      <c r="I224" s="1" t="s">
        <v>42</v>
      </c>
      <c r="J224" s="1" t="s">
        <v>44</v>
      </c>
      <c r="K224" s="1" t="s">
        <v>43</v>
      </c>
      <c r="O224" s="1"/>
      <c r="P224" s="1"/>
      <c r="X224" s="1" t="s">
        <v>42</v>
      </c>
      <c r="Y224" s="1" t="s">
        <v>44</v>
      </c>
      <c r="Z224" s="1" t="s">
        <v>43</v>
      </c>
    </row>
    <row r="225" spans="6:26">
      <c r="F225">
        <v>59</v>
      </c>
      <c r="G225" s="1" t="s">
        <v>53</v>
      </c>
      <c r="I225">
        <v>59</v>
      </c>
      <c r="J225" s="1" t="s">
        <v>53</v>
      </c>
      <c r="K225" s="1" t="s">
        <v>54</v>
      </c>
      <c r="N225" s="1"/>
      <c r="O225" s="1"/>
      <c r="P225" s="1"/>
      <c r="X225">
        <v>59</v>
      </c>
      <c r="Y225" s="1" t="s">
        <v>53</v>
      </c>
      <c r="Z225" s="1" t="s">
        <v>56</v>
      </c>
    </row>
    <row r="226" spans="6:26">
      <c r="F226" s="1" t="s">
        <v>42</v>
      </c>
      <c r="G226" s="1" t="s">
        <v>44</v>
      </c>
      <c r="I226" s="1" t="s">
        <v>42</v>
      </c>
      <c r="J226" s="1" t="s">
        <v>44</v>
      </c>
      <c r="K226" s="1" t="s">
        <v>43</v>
      </c>
      <c r="O226" s="1"/>
      <c r="P226" s="1"/>
      <c r="X226" s="1" t="s">
        <v>42</v>
      </c>
      <c r="Y226" s="1" t="s">
        <v>44</v>
      </c>
      <c r="Z226" s="1" t="s">
        <v>43</v>
      </c>
    </row>
    <row r="227" spans="6:26">
      <c r="F227">
        <v>60</v>
      </c>
      <c r="G227" s="1" t="s">
        <v>53</v>
      </c>
      <c r="I227">
        <v>60</v>
      </c>
      <c r="J227" s="1" t="s">
        <v>53</v>
      </c>
      <c r="K227" s="1" t="s">
        <v>54</v>
      </c>
      <c r="N227" s="1"/>
      <c r="O227" s="1"/>
      <c r="P227" s="1"/>
      <c r="X227">
        <v>60</v>
      </c>
      <c r="Y227" s="1" t="s">
        <v>53</v>
      </c>
      <c r="Z227" s="1" t="s">
        <v>56</v>
      </c>
    </row>
    <row r="228" spans="6:26">
      <c r="F228" s="1" t="s">
        <v>42</v>
      </c>
      <c r="G228" s="1" t="s">
        <v>44</v>
      </c>
      <c r="I228" s="1" t="s">
        <v>42</v>
      </c>
      <c r="J228" s="1" t="s">
        <v>44</v>
      </c>
      <c r="K228" s="1" t="s">
        <v>43</v>
      </c>
      <c r="O228" s="1"/>
      <c r="P228" s="1"/>
      <c r="X228" s="1" t="s">
        <v>42</v>
      </c>
      <c r="Y228" s="1" t="s">
        <v>44</v>
      </c>
      <c r="Z228" s="1" t="s">
        <v>43</v>
      </c>
    </row>
    <row r="229" spans="6:26">
      <c r="F229">
        <v>61</v>
      </c>
      <c r="G229" s="1" t="s">
        <v>53</v>
      </c>
      <c r="I229">
        <v>61</v>
      </c>
      <c r="J229" s="1" t="s">
        <v>53</v>
      </c>
      <c r="K229" s="1" t="s">
        <v>54</v>
      </c>
      <c r="N229" s="1"/>
      <c r="O229" s="1"/>
      <c r="P229" s="1"/>
      <c r="X229">
        <v>61</v>
      </c>
      <c r="Y229" s="1" t="s">
        <v>53</v>
      </c>
      <c r="Z229" s="1" t="s">
        <v>56</v>
      </c>
    </row>
    <row r="230" spans="6:26">
      <c r="F230" s="1" t="s">
        <v>42</v>
      </c>
      <c r="G230" s="1" t="s">
        <v>44</v>
      </c>
      <c r="I230" s="1" t="s">
        <v>42</v>
      </c>
      <c r="J230" s="1" t="s">
        <v>44</v>
      </c>
      <c r="K230" s="1" t="s">
        <v>43</v>
      </c>
      <c r="O230" s="1"/>
      <c r="P230" s="1"/>
      <c r="X230" s="1" t="s">
        <v>42</v>
      </c>
      <c r="Y230" s="1" t="s">
        <v>44</v>
      </c>
      <c r="Z230" s="1" t="s">
        <v>43</v>
      </c>
    </row>
    <row r="231" spans="6:26">
      <c r="F231">
        <v>62</v>
      </c>
      <c r="G231" s="1" t="s">
        <v>53</v>
      </c>
      <c r="I231">
        <v>62</v>
      </c>
      <c r="J231" s="1" t="s">
        <v>53</v>
      </c>
      <c r="K231" s="1" t="s">
        <v>54</v>
      </c>
      <c r="N231" s="1"/>
      <c r="O231" s="1"/>
      <c r="P231" s="1"/>
      <c r="X231">
        <v>62</v>
      </c>
      <c r="Y231" s="1" t="s">
        <v>53</v>
      </c>
      <c r="Z231" s="1" t="s">
        <v>56</v>
      </c>
    </row>
    <row r="232" spans="6:26">
      <c r="F232" s="1" t="s">
        <v>42</v>
      </c>
      <c r="G232" s="1" t="s">
        <v>44</v>
      </c>
      <c r="I232" s="1" t="s">
        <v>42</v>
      </c>
      <c r="J232" s="1" t="s">
        <v>44</v>
      </c>
      <c r="K232" s="1" t="s">
        <v>43</v>
      </c>
      <c r="O232" s="1"/>
      <c r="P232" s="1"/>
      <c r="X232" s="1" t="s">
        <v>42</v>
      </c>
      <c r="Y232" s="1" t="s">
        <v>44</v>
      </c>
      <c r="Z232" s="1" t="s">
        <v>43</v>
      </c>
    </row>
    <row r="233" spans="6:26">
      <c r="F233">
        <v>63</v>
      </c>
      <c r="G233" s="1" t="s">
        <v>53</v>
      </c>
      <c r="I233">
        <v>63</v>
      </c>
      <c r="J233" s="1" t="s">
        <v>53</v>
      </c>
      <c r="K233" s="1" t="s">
        <v>54</v>
      </c>
      <c r="N233" s="1"/>
      <c r="O233" s="1"/>
      <c r="P233" s="1"/>
      <c r="X233">
        <v>63</v>
      </c>
      <c r="Y233" s="1" t="s">
        <v>53</v>
      </c>
      <c r="Z233" s="1" t="s">
        <v>56</v>
      </c>
    </row>
    <row r="234" spans="6:26">
      <c r="F234" s="1" t="s">
        <v>42</v>
      </c>
      <c r="G234" s="1" t="s">
        <v>44</v>
      </c>
      <c r="I234" s="1" t="s">
        <v>42</v>
      </c>
      <c r="J234" s="1" t="s">
        <v>44</v>
      </c>
      <c r="K234" s="1" t="s">
        <v>43</v>
      </c>
      <c r="O234" s="1"/>
      <c r="P234" s="1"/>
      <c r="X234" s="1" t="s">
        <v>42</v>
      </c>
      <c r="Y234" s="1" t="s">
        <v>44</v>
      </c>
      <c r="Z234" s="1" t="s">
        <v>43</v>
      </c>
    </row>
    <row r="235" spans="6:26">
      <c r="F235">
        <v>64</v>
      </c>
      <c r="G235" s="1" t="s">
        <v>53</v>
      </c>
      <c r="I235">
        <v>64</v>
      </c>
      <c r="J235" s="1" t="s">
        <v>53</v>
      </c>
      <c r="K235" s="1" t="s">
        <v>54</v>
      </c>
      <c r="N235" s="1"/>
      <c r="O235" s="1"/>
      <c r="P235" s="1"/>
      <c r="X235">
        <v>64</v>
      </c>
      <c r="Y235" s="1" t="s">
        <v>53</v>
      </c>
      <c r="Z235" s="1" t="s">
        <v>56</v>
      </c>
    </row>
    <row r="236" spans="6:26">
      <c r="F236" s="1" t="s">
        <v>42</v>
      </c>
      <c r="G236" s="1" t="s">
        <v>44</v>
      </c>
      <c r="I236" s="1" t="s">
        <v>42</v>
      </c>
      <c r="J236" s="1" t="s">
        <v>44</v>
      </c>
      <c r="K236" s="1" t="s">
        <v>43</v>
      </c>
      <c r="O236" s="1"/>
      <c r="P236" s="1"/>
      <c r="X236" s="1" t="s">
        <v>42</v>
      </c>
      <c r="Y236" s="1" t="s">
        <v>44</v>
      </c>
      <c r="Z236" s="1" t="s">
        <v>43</v>
      </c>
    </row>
    <row r="237" spans="6:26">
      <c r="F237">
        <v>65</v>
      </c>
      <c r="G237" s="1" t="s">
        <v>53</v>
      </c>
      <c r="I237">
        <v>65</v>
      </c>
      <c r="J237" s="1" t="s">
        <v>53</v>
      </c>
      <c r="K237" s="1" t="s">
        <v>54</v>
      </c>
      <c r="N237" s="1"/>
      <c r="O237" s="1"/>
      <c r="P237" s="1"/>
      <c r="X237">
        <v>65</v>
      </c>
      <c r="Y237" s="1" t="s">
        <v>53</v>
      </c>
      <c r="Z237" s="1" t="s">
        <v>56</v>
      </c>
    </row>
    <row r="238" spans="6:26">
      <c r="F238" s="1" t="s">
        <v>42</v>
      </c>
      <c r="G238" s="1" t="s">
        <v>44</v>
      </c>
      <c r="I238" s="1" t="s">
        <v>42</v>
      </c>
      <c r="J238" s="1" t="s">
        <v>44</v>
      </c>
      <c r="K238" s="1" t="s">
        <v>43</v>
      </c>
      <c r="O238" s="1"/>
      <c r="P238" s="1"/>
      <c r="X238" s="1" t="s">
        <v>42</v>
      </c>
      <c r="Y238" s="1" t="s">
        <v>44</v>
      </c>
      <c r="Z238" s="1" t="s">
        <v>43</v>
      </c>
    </row>
    <row r="239" spans="6:26">
      <c r="F239">
        <v>66</v>
      </c>
      <c r="G239" s="1" t="s">
        <v>53</v>
      </c>
      <c r="I239">
        <v>66</v>
      </c>
      <c r="J239" s="1" t="s">
        <v>53</v>
      </c>
      <c r="K239" s="1" t="s">
        <v>54</v>
      </c>
      <c r="N239" s="1"/>
      <c r="O239" s="1"/>
      <c r="P239" s="1"/>
      <c r="X239">
        <v>66</v>
      </c>
      <c r="Y239" s="1" t="s">
        <v>53</v>
      </c>
      <c r="Z239" s="1" t="s">
        <v>56</v>
      </c>
    </row>
    <row r="240" spans="6:26">
      <c r="F240" s="1" t="s">
        <v>42</v>
      </c>
      <c r="G240" s="1" t="s">
        <v>44</v>
      </c>
      <c r="I240" s="1" t="s">
        <v>42</v>
      </c>
      <c r="J240" s="1" t="s">
        <v>44</v>
      </c>
      <c r="K240" s="1" t="s">
        <v>43</v>
      </c>
      <c r="O240" s="1"/>
      <c r="P240" s="1"/>
      <c r="X240" s="1" t="s">
        <v>42</v>
      </c>
      <c r="Y240" s="1" t="s">
        <v>44</v>
      </c>
      <c r="Z240" s="1" t="s">
        <v>43</v>
      </c>
    </row>
    <row r="241" spans="6:26">
      <c r="F241">
        <v>67</v>
      </c>
      <c r="G241" s="1" t="s">
        <v>53</v>
      </c>
      <c r="I241">
        <v>67</v>
      </c>
      <c r="J241" s="1" t="s">
        <v>53</v>
      </c>
      <c r="K241" s="1" t="s">
        <v>54</v>
      </c>
      <c r="N241" s="1"/>
      <c r="O241" s="1"/>
      <c r="P241" s="1"/>
      <c r="X241">
        <v>67</v>
      </c>
      <c r="Y241" s="1" t="s">
        <v>53</v>
      </c>
      <c r="Z241" s="1" t="s">
        <v>56</v>
      </c>
    </row>
    <row r="242" spans="6:26">
      <c r="F242" s="1" t="s">
        <v>42</v>
      </c>
      <c r="G242" s="1" t="s">
        <v>44</v>
      </c>
      <c r="I242" s="1" t="s">
        <v>42</v>
      </c>
      <c r="J242" s="1" t="s">
        <v>44</v>
      </c>
      <c r="K242" s="1" t="s">
        <v>43</v>
      </c>
      <c r="O242" s="1"/>
      <c r="P242" s="1"/>
      <c r="X242" s="1" t="s">
        <v>42</v>
      </c>
      <c r="Y242" s="1" t="s">
        <v>44</v>
      </c>
      <c r="Z242" s="1" t="s">
        <v>43</v>
      </c>
    </row>
    <row r="243" spans="6:26">
      <c r="F243">
        <v>68</v>
      </c>
      <c r="G243" s="1" t="s">
        <v>53</v>
      </c>
      <c r="I243">
        <v>68</v>
      </c>
      <c r="J243" s="1" t="s">
        <v>53</v>
      </c>
      <c r="K243" s="1" t="s">
        <v>54</v>
      </c>
      <c r="N243" s="1"/>
      <c r="O243" s="1"/>
      <c r="P243" s="1"/>
      <c r="X243">
        <v>68</v>
      </c>
      <c r="Y243" s="1" t="s">
        <v>53</v>
      </c>
      <c r="Z243" s="1" t="s">
        <v>56</v>
      </c>
    </row>
    <row r="244" spans="6:26">
      <c r="F244" s="1" t="s">
        <v>42</v>
      </c>
      <c r="G244" s="1" t="s">
        <v>44</v>
      </c>
      <c r="I244" s="1" t="s">
        <v>42</v>
      </c>
      <c r="J244" s="1" t="s">
        <v>44</v>
      </c>
      <c r="K244" s="1" t="s">
        <v>43</v>
      </c>
      <c r="O244" s="1"/>
      <c r="P244" s="1"/>
      <c r="X244" s="1" t="s">
        <v>42</v>
      </c>
      <c r="Y244" s="1" t="s">
        <v>44</v>
      </c>
      <c r="Z244" s="1" t="s">
        <v>43</v>
      </c>
    </row>
    <row r="245" spans="6:26">
      <c r="F245">
        <v>69</v>
      </c>
      <c r="G245" s="1" t="s">
        <v>53</v>
      </c>
      <c r="I245">
        <v>69</v>
      </c>
      <c r="J245" s="1" t="s">
        <v>53</v>
      </c>
      <c r="K245" s="1" t="s">
        <v>54</v>
      </c>
      <c r="N245" s="1"/>
      <c r="O245" s="1"/>
      <c r="P245" s="1"/>
      <c r="X245">
        <v>69</v>
      </c>
      <c r="Y245" s="1" t="s">
        <v>53</v>
      </c>
      <c r="Z245" s="1" t="s">
        <v>56</v>
      </c>
    </row>
    <row r="246" spans="6:26">
      <c r="F246" s="1" t="s">
        <v>42</v>
      </c>
      <c r="G246" s="1" t="s">
        <v>44</v>
      </c>
      <c r="I246" s="1" t="s">
        <v>42</v>
      </c>
      <c r="J246" s="1" t="s">
        <v>44</v>
      </c>
      <c r="K246" s="1" t="s">
        <v>43</v>
      </c>
      <c r="O246" s="1"/>
      <c r="P246" s="1"/>
      <c r="X246" s="1" t="s">
        <v>42</v>
      </c>
      <c r="Y246" s="1" t="s">
        <v>44</v>
      </c>
      <c r="Z246" s="1" t="s">
        <v>43</v>
      </c>
    </row>
    <row r="247" spans="6:26">
      <c r="F247">
        <v>70</v>
      </c>
      <c r="G247" s="1" t="s">
        <v>53</v>
      </c>
      <c r="I247">
        <v>70</v>
      </c>
      <c r="J247" s="1" t="s">
        <v>53</v>
      </c>
      <c r="K247" s="1" t="s">
        <v>54</v>
      </c>
      <c r="N247" s="1"/>
      <c r="O247" s="1"/>
      <c r="P247" s="1"/>
      <c r="X247">
        <v>70</v>
      </c>
      <c r="Y247" s="1" t="s">
        <v>53</v>
      </c>
      <c r="Z247" s="1" t="s">
        <v>56</v>
      </c>
    </row>
    <row r="248" spans="6:26">
      <c r="F248" s="1" t="s">
        <v>42</v>
      </c>
      <c r="G248" s="1" t="s">
        <v>44</v>
      </c>
      <c r="I248" s="1" t="s">
        <v>42</v>
      </c>
      <c r="J248" s="1" t="s">
        <v>44</v>
      </c>
      <c r="K248" s="1" t="s">
        <v>43</v>
      </c>
      <c r="O248" s="1"/>
      <c r="P248" s="1"/>
      <c r="X248" s="1" t="s">
        <v>42</v>
      </c>
      <c r="Y248" s="1" t="s">
        <v>44</v>
      </c>
      <c r="Z248" s="1" t="s">
        <v>43</v>
      </c>
    </row>
    <row r="249" spans="6:26">
      <c r="F249">
        <v>71</v>
      </c>
      <c r="G249" s="1" t="s">
        <v>53</v>
      </c>
      <c r="I249">
        <v>71</v>
      </c>
      <c r="J249" s="1" t="s">
        <v>53</v>
      </c>
      <c r="K249" s="1" t="s">
        <v>54</v>
      </c>
      <c r="N249" s="1"/>
      <c r="O249" s="1"/>
      <c r="P249" s="1"/>
      <c r="X249">
        <v>71</v>
      </c>
      <c r="Y249" s="1" t="s">
        <v>53</v>
      </c>
      <c r="Z249" s="1" t="s">
        <v>56</v>
      </c>
    </row>
    <row r="250" spans="6:26">
      <c r="F250" s="1" t="s">
        <v>42</v>
      </c>
      <c r="G250" s="1" t="s">
        <v>44</v>
      </c>
      <c r="I250" s="1" t="s">
        <v>42</v>
      </c>
      <c r="J250" s="1" t="s">
        <v>44</v>
      </c>
      <c r="K250" s="1" t="s">
        <v>43</v>
      </c>
      <c r="O250" s="1"/>
      <c r="P250" s="1"/>
      <c r="X250" s="1" t="s">
        <v>42</v>
      </c>
      <c r="Y250" s="1" t="s">
        <v>44</v>
      </c>
      <c r="Z250" s="1" t="s">
        <v>43</v>
      </c>
    </row>
    <row r="251" spans="6:26">
      <c r="F251">
        <v>72</v>
      </c>
      <c r="G251" s="1" t="s">
        <v>53</v>
      </c>
      <c r="I251">
        <v>72</v>
      </c>
      <c r="J251" s="1" t="s">
        <v>53</v>
      </c>
      <c r="K251" s="1" t="s">
        <v>54</v>
      </c>
      <c r="N251" s="1"/>
      <c r="O251" s="1"/>
      <c r="P251" s="1"/>
      <c r="X251">
        <v>72</v>
      </c>
      <c r="Y251" s="1" t="s">
        <v>53</v>
      </c>
      <c r="Z251" s="1" t="s">
        <v>56</v>
      </c>
    </row>
    <row r="252" spans="6:26">
      <c r="F252" s="1" t="s">
        <v>42</v>
      </c>
      <c r="G252" s="1" t="s">
        <v>44</v>
      </c>
      <c r="I252" s="1" t="s">
        <v>42</v>
      </c>
      <c r="J252" s="1" t="s">
        <v>44</v>
      </c>
      <c r="K252" s="1" t="s">
        <v>43</v>
      </c>
      <c r="O252" s="1"/>
      <c r="P252" s="1"/>
      <c r="X252" s="1" t="s">
        <v>42</v>
      </c>
      <c r="Y252" s="1" t="s">
        <v>44</v>
      </c>
      <c r="Z252" s="1" t="s">
        <v>43</v>
      </c>
    </row>
    <row r="253" spans="6:26">
      <c r="F253">
        <v>73</v>
      </c>
      <c r="G253" s="1" t="s">
        <v>53</v>
      </c>
      <c r="I253">
        <v>73</v>
      </c>
      <c r="J253" s="1" t="s">
        <v>53</v>
      </c>
      <c r="K253" s="1" t="s">
        <v>54</v>
      </c>
      <c r="N253" s="1"/>
      <c r="O253" s="1"/>
      <c r="P253" s="1"/>
      <c r="X253">
        <v>73</v>
      </c>
      <c r="Y253" s="1" t="s">
        <v>53</v>
      </c>
      <c r="Z253" s="1" t="s">
        <v>56</v>
      </c>
    </row>
    <row r="254" spans="6:26">
      <c r="F254" s="1" t="s">
        <v>42</v>
      </c>
      <c r="G254" s="1" t="s">
        <v>44</v>
      </c>
      <c r="I254" s="1" t="s">
        <v>42</v>
      </c>
      <c r="J254" s="1" t="s">
        <v>44</v>
      </c>
      <c r="K254" s="1" t="s">
        <v>43</v>
      </c>
      <c r="O254" s="1"/>
      <c r="P254" s="1"/>
      <c r="X254" s="1" t="s">
        <v>42</v>
      </c>
      <c r="Y254" s="1" t="s">
        <v>44</v>
      </c>
      <c r="Z254" s="1" t="s">
        <v>43</v>
      </c>
    </row>
    <row r="255" spans="6:26">
      <c r="F255">
        <v>74</v>
      </c>
      <c r="G255" s="1" t="s">
        <v>53</v>
      </c>
      <c r="I255">
        <v>74</v>
      </c>
      <c r="J255" s="1" t="s">
        <v>53</v>
      </c>
      <c r="K255" s="1" t="s">
        <v>54</v>
      </c>
      <c r="X255">
        <v>74</v>
      </c>
      <c r="Y255" s="1" t="s">
        <v>53</v>
      </c>
      <c r="Z255" s="1" t="s">
        <v>56</v>
      </c>
    </row>
    <row r="256" spans="6:26">
      <c r="F256" s="1" t="s">
        <v>42</v>
      </c>
      <c r="G256" s="1" t="s">
        <v>44</v>
      </c>
      <c r="I256" s="1" t="s">
        <v>42</v>
      </c>
      <c r="J256" s="1" t="s">
        <v>44</v>
      </c>
      <c r="K256" s="1" t="s">
        <v>43</v>
      </c>
      <c r="Q256" s="1"/>
      <c r="R256" s="1"/>
      <c r="X256" s="1" t="s">
        <v>42</v>
      </c>
      <c r="Y256" s="1" t="s">
        <v>44</v>
      </c>
      <c r="Z256" s="1" t="s">
        <v>43</v>
      </c>
    </row>
    <row r="257" spans="6:26">
      <c r="F257">
        <v>75</v>
      </c>
      <c r="G257" s="1" t="s">
        <v>53</v>
      </c>
      <c r="I257">
        <v>75</v>
      </c>
      <c r="J257" s="1" t="s">
        <v>53</v>
      </c>
      <c r="K257" s="1" t="s">
        <v>54</v>
      </c>
      <c r="Q257" s="1"/>
      <c r="R257" s="1"/>
      <c r="X257">
        <v>75</v>
      </c>
      <c r="Y257" s="1" t="s">
        <v>53</v>
      </c>
      <c r="Z257" s="1" t="s">
        <v>56</v>
      </c>
    </row>
    <row r="258" spans="6:26">
      <c r="F258" s="1" t="s">
        <v>42</v>
      </c>
      <c r="G258" s="1" t="s">
        <v>44</v>
      </c>
      <c r="I258" s="1" t="s">
        <v>42</v>
      </c>
      <c r="J258" s="1" t="s">
        <v>44</v>
      </c>
      <c r="K258" s="1" t="s">
        <v>43</v>
      </c>
      <c r="Q258" s="1"/>
      <c r="R258" s="1"/>
      <c r="X258" s="1" t="s">
        <v>42</v>
      </c>
      <c r="Y258" s="1" t="s">
        <v>44</v>
      </c>
      <c r="Z258" s="1" t="s">
        <v>43</v>
      </c>
    </row>
    <row r="259" spans="6:26">
      <c r="F259">
        <v>76</v>
      </c>
      <c r="G259" s="1" t="s">
        <v>53</v>
      </c>
      <c r="I259">
        <v>76</v>
      </c>
      <c r="J259" s="1" t="s">
        <v>53</v>
      </c>
      <c r="K259" s="1" t="s">
        <v>54</v>
      </c>
      <c r="Q259" s="1"/>
      <c r="R259" s="1"/>
      <c r="X259">
        <v>76</v>
      </c>
      <c r="Y259" s="1" t="s">
        <v>53</v>
      </c>
      <c r="Z259" s="1" t="s">
        <v>56</v>
      </c>
    </row>
    <row r="260" spans="6:26">
      <c r="F260" s="1" t="s">
        <v>42</v>
      </c>
      <c r="G260" s="1" t="s">
        <v>44</v>
      </c>
      <c r="I260" s="1" t="s">
        <v>42</v>
      </c>
      <c r="J260" s="1" t="s">
        <v>44</v>
      </c>
      <c r="K260" s="1" t="s">
        <v>43</v>
      </c>
      <c r="Q260" s="1"/>
      <c r="R260" s="1"/>
      <c r="X260" s="1" t="s">
        <v>42</v>
      </c>
      <c r="Y260" s="1" t="s">
        <v>44</v>
      </c>
      <c r="Z260" s="1" t="s">
        <v>43</v>
      </c>
    </row>
    <row r="261" spans="6:26">
      <c r="F261">
        <v>77</v>
      </c>
      <c r="G261" s="1" t="s">
        <v>53</v>
      </c>
      <c r="I261">
        <v>77</v>
      </c>
      <c r="J261" s="1" t="s">
        <v>53</v>
      </c>
      <c r="K261" s="1" t="s">
        <v>54</v>
      </c>
      <c r="Q261" s="1"/>
      <c r="R261" s="1"/>
      <c r="X261">
        <v>77</v>
      </c>
      <c r="Y261" s="1" t="s">
        <v>53</v>
      </c>
      <c r="Z261" s="1" t="s">
        <v>56</v>
      </c>
    </row>
    <row r="262" spans="6:26">
      <c r="F262" s="1" t="s">
        <v>42</v>
      </c>
      <c r="G262" s="1" t="s">
        <v>44</v>
      </c>
      <c r="I262" s="1" t="s">
        <v>42</v>
      </c>
      <c r="J262" s="1" t="s">
        <v>44</v>
      </c>
      <c r="K262" s="1" t="s">
        <v>43</v>
      </c>
      <c r="Q262" s="1"/>
      <c r="R262" s="1"/>
      <c r="X262" s="1" t="s">
        <v>42</v>
      </c>
      <c r="Y262" s="1" t="s">
        <v>44</v>
      </c>
      <c r="Z262" s="1" t="s">
        <v>43</v>
      </c>
    </row>
    <row r="263" spans="6:26">
      <c r="F263">
        <v>78</v>
      </c>
      <c r="G263" s="1" t="s">
        <v>53</v>
      </c>
      <c r="I263">
        <v>78</v>
      </c>
      <c r="J263" s="1" t="s">
        <v>53</v>
      </c>
      <c r="K263" s="1" t="s">
        <v>54</v>
      </c>
      <c r="Q263" s="1"/>
      <c r="R263" s="1"/>
      <c r="X263">
        <v>78</v>
      </c>
      <c r="Y263" s="1" t="s">
        <v>53</v>
      </c>
      <c r="Z263" s="1" t="s">
        <v>56</v>
      </c>
    </row>
    <row r="264" spans="6:26">
      <c r="F264" s="1" t="s">
        <v>42</v>
      </c>
      <c r="G264" s="1" t="s">
        <v>44</v>
      </c>
      <c r="I264" s="1" t="s">
        <v>42</v>
      </c>
      <c r="J264" s="1" t="s">
        <v>44</v>
      </c>
      <c r="K264" s="1" t="s">
        <v>43</v>
      </c>
      <c r="Q264" s="1"/>
      <c r="R264" s="1"/>
      <c r="X264" s="1" t="s">
        <v>42</v>
      </c>
      <c r="Y264" s="1" t="s">
        <v>44</v>
      </c>
      <c r="Z264" s="1" t="s">
        <v>43</v>
      </c>
    </row>
    <row r="265" spans="6:26">
      <c r="F265">
        <v>79</v>
      </c>
      <c r="G265" s="1" t="s">
        <v>53</v>
      </c>
      <c r="I265">
        <v>79</v>
      </c>
      <c r="J265" s="1" t="s">
        <v>53</v>
      </c>
      <c r="K265" s="1" t="s">
        <v>54</v>
      </c>
      <c r="Q265" s="1"/>
      <c r="R265" s="1"/>
      <c r="X265">
        <v>79</v>
      </c>
      <c r="Y265" s="1" t="s">
        <v>53</v>
      </c>
      <c r="Z265" s="1" t="s">
        <v>56</v>
      </c>
    </row>
    <row r="266" spans="6:26">
      <c r="F266" s="1" t="s">
        <v>42</v>
      </c>
      <c r="G266" s="1" t="s">
        <v>44</v>
      </c>
      <c r="I266" s="1" t="s">
        <v>42</v>
      </c>
      <c r="J266" s="1" t="s">
        <v>44</v>
      </c>
      <c r="K266" s="1" t="s">
        <v>43</v>
      </c>
      <c r="Q266" s="1"/>
      <c r="R266" s="1"/>
      <c r="X266" s="1" t="s">
        <v>42</v>
      </c>
      <c r="Y266" s="1" t="s">
        <v>44</v>
      </c>
      <c r="Z266" s="1" t="s">
        <v>43</v>
      </c>
    </row>
    <row r="267" spans="6:26">
      <c r="F267">
        <v>80</v>
      </c>
      <c r="G267" s="1" t="s">
        <v>53</v>
      </c>
      <c r="I267">
        <v>80</v>
      </c>
      <c r="J267" s="1" t="s">
        <v>53</v>
      </c>
      <c r="K267" s="1" t="s">
        <v>54</v>
      </c>
      <c r="Q267" s="1"/>
      <c r="R267" s="1"/>
      <c r="X267">
        <v>80</v>
      </c>
      <c r="Y267" s="1" t="s">
        <v>53</v>
      </c>
      <c r="Z267" s="1" t="s">
        <v>56</v>
      </c>
    </row>
    <row r="268" spans="6:26">
      <c r="F268" s="1" t="s">
        <v>42</v>
      </c>
      <c r="G268" s="1" t="s">
        <v>44</v>
      </c>
      <c r="I268" s="1" t="s">
        <v>42</v>
      </c>
      <c r="J268" s="1" t="s">
        <v>44</v>
      </c>
      <c r="K268" s="1" t="s">
        <v>43</v>
      </c>
      <c r="Q268" s="1"/>
      <c r="R268" s="1"/>
      <c r="X268" s="1" t="s">
        <v>42</v>
      </c>
      <c r="Y268" s="1" t="s">
        <v>44</v>
      </c>
      <c r="Z268" s="1" t="s">
        <v>43</v>
      </c>
    </row>
    <row r="269" spans="6:26">
      <c r="F269">
        <v>81</v>
      </c>
      <c r="G269" s="1" t="s">
        <v>53</v>
      </c>
      <c r="I269">
        <v>81</v>
      </c>
      <c r="J269" s="1" t="s">
        <v>53</v>
      </c>
      <c r="K269" s="1" t="s">
        <v>54</v>
      </c>
      <c r="Q269" s="1"/>
      <c r="R269" s="1"/>
      <c r="W269" s="1"/>
      <c r="X269">
        <v>81</v>
      </c>
      <c r="Y269" s="1" t="s">
        <v>53</v>
      </c>
      <c r="Z269" s="1" t="s">
        <v>56</v>
      </c>
    </row>
    <row r="270" spans="6:26">
      <c r="F270" s="1" t="s">
        <v>42</v>
      </c>
      <c r="G270" s="1" t="s">
        <v>44</v>
      </c>
      <c r="I270" s="1" t="s">
        <v>42</v>
      </c>
      <c r="J270" s="1" t="s">
        <v>44</v>
      </c>
      <c r="K270" s="1" t="s">
        <v>43</v>
      </c>
      <c r="Q270" s="1"/>
      <c r="R270" s="1"/>
      <c r="W270" s="1"/>
      <c r="X270" s="1" t="s">
        <v>42</v>
      </c>
      <c r="Y270" s="1" t="s">
        <v>44</v>
      </c>
      <c r="Z270" s="1" t="s">
        <v>43</v>
      </c>
    </row>
    <row r="271" spans="6:26">
      <c r="F271">
        <v>82</v>
      </c>
      <c r="G271" s="1" t="s">
        <v>53</v>
      </c>
      <c r="I271">
        <v>82</v>
      </c>
      <c r="J271" s="1" t="s">
        <v>53</v>
      </c>
      <c r="K271" s="1" t="s">
        <v>54</v>
      </c>
      <c r="Q271" s="1"/>
      <c r="R271" s="1"/>
      <c r="X271">
        <v>82</v>
      </c>
      <c r="Y271" s="1" t="s">
        <v>53</v>
      </c>
      <c r="Z271" s="1" t="s">
        <v>56</v>
      </c>
    </row>
    <row r="272" spans="6:26">
      <c r="F272" s="1" t="s">
        <v>42</v>
      </c>
      <c r="G272" s="1" t="s">
        <v>44</v>
      </c>
      <c r="I272" s="1" t="s">
        <v>42</v>
      </c>
      <c r="J272" s="1" t="s">
        <v>44</v>
      </c>
      <c r="K272" s="1" t="s">
        <v>43</v>
      </c>
      <c r="Q272" s="1"/>
      <c r="R272" s="1"/>
      <c r="X272" s="1" t="s">
        <v>42</v>
      </c>
      <c r="Y272" s="1" t="s">
        <v>44</v>
      </c>
      <c r="Z272" s="1" t="s">
        <v>43</v>
      </c>
    </row>
    <row r="273" spans="6:26">
      <c r="F273">
        <v>83</v>
      </c>
      <c r="G273" s="1" t="s">
        <v>53</v>
      </c>
      <c r="I273">
        <v>83</v>
      </c>
      <c r="J273" s="1" t="s">
        <v>53</v>
      </c>
      <c r="K273" s="1" t="s">
        <v>54</v>
      </c>
      <c r="Q273" s="1"/>
      <c r="R273" s="1"/>
      <c r="X273">
        <v>83</v>
      </c>
      <c r="Y273" s="1" t="s">
        <v>53</v>
      </c>
      <c r="Z273" s="1" t="s">
        <v>56</v>
      </c>
    </row>
    <row r="274" spans="6:26">
      <c r="F274" s="1" t="s">
        <v>42</v>
      </c>
      <c r="G274" s="1" t="s">
        <v>44</v>
      </c>
      <c r="I274" s="1" t="s">
        <v>42</v>
      </c>
      <c r="J274" s="1" t="s">
        <v>44</v>
      </c>
      <c r="K274" s="1" t="s">
        <v>43</v>
      </c>
      <c r="Q274" s="1"/>
      <c r="R274" s="1"/>
      <c r="X274" s="1" t="s">
        <v>42</v>
      </c>
      <c r="Y274" s="1" t="s">
        <v>44</v>
      </c>
      <c r="Z274" s="1" t="s">
        <v>43</v>
      </c>
    </row>
    <row r="275" spans="6:26">
      <c r="F275">
        <v>84</v>
      </c>
      <c r="G275" s="1" t="s">
        <v>53</v>
      </c>
      <c r="I275">
        <v>84</v>
      </c>
      <c r="J275" s="1" t="s">
        <v>53</v>
      </c>
      <c r="K275" s="1" t="s">
        <v>54</v>
      </c>
      <c r="Q275" s="1"/>
      <c r="R275" s="1"/>
      <c r="X275">
        <v>84</v>
      </c>
      <c r="Y275" s="1" t="s">
        <v>53</v>
      </c>
      <c r="Z275" s="1" t="s">
        <v>56</v>
      </c>
    </row>
    <row r="276" spans="6:26">
      <c r="F276" s="1" t="s">
        <v>42</v>
      </c>
      <c r="G276" s="1" t="s">
        <v>44</v>
      </c>
      <c r="I276" s="1" t="s">
        <v>42</v>
      </c>
      <c r="J276" s="1" t="s">
        <v>44</v>
      </c>
      <c r="K276" s="1" t="s">
        <v>43</v>
      </c>
      <c r="Q276" s="1"/>
      <c r="R276" s="1"/>
      <c r="X276" s="1" t="s">
        <v>42</v>
      </c>
      <c r="Y276" s="1" t="s">
        <v>44</v>
      </c>
      <c r="Z276" s="1" t="s">
        <v>43</v>
      </c>
    </row>
    <row r="277" spans="6:26">
      <c r="F277">
        <v>85</v>
      </c>
      <c r="G277" s="1" t="s">
        <v>53</v>
      </c>
      <c r="I277">
        <v>85</v>
      </c>
      <c r="J277" s="1" t="s">
        <v>53</v>
      </c>
      <c r="K277" s="1" t="s">
        <v>54</v>
      </c>
      <c r="Q277" s="1"/>
      <c r="R277" s="1"/>
      <c r="X277">
        <v>85</v>
      </c>
      <c r="Y277" s="1" t="s">
        <v>53</v>
      </c>
      <c r="Z277" s="1" t="s">
        <v>56</v>
      </c>
    </row>
    <row r="278" spans="6:26">
      <c r="F278" s="1" t="s">
        <v>42</v>
      </c>
      <c r="G278" s="1" t="s">
        <v>44</v>
      </c>
      <c r="I278" s="1" t="s">
        <v>42</v>
      </c>
      <c r="J278" s="1" t="s">
        <v>44</v>
      </c>
      <c r="K278" s="1" t="s">
        <v>43</v>
      </c>
      <c r="Q278" s="1"/>
      <c r="R278" s="1"/>
      <c r="X278" s="1" t="s">
        <v>42</v>
      </c>
      <c r="Y278" s="1" t="s">
        <v>44</v>
      </c>
      <c r="Z278" s="1" t="s">
        <v>43</v>
      </c>
    </row>
    <row r="279" spans="6:26">
      <c r="F279">
        <v>86</v>
      </c>
      <c r="G279" s="1" t="s">
        <v>53</v>
      </c>
      <c r="I279">
        <v>86</v>
      </c>
      <c r="J279" s="1" t="s">
        <v>53</v>
      </c>
      <c r="K279" s="1" t="s">
        <v>54</v>
      </c>
      <c r="Q279" s="1"/>
      <c r="R279" s="1"/>
      <c r="X279">
        <v>86</v>
      </c>
      <c r="Y279" s="1" t="s">
        <v>53</v>
      </c>
      <c r="Z279" s="1" t="s">
        <v>56</v>
      </c>
    </row>
    <row r="280" spans="6:26">
      <c r="F280" s="1" t="s">
        <v>42</v>
      </c>
      <c r="G280" s="1" t="s">
        <v>44</v>
      </c>
      <c r="I280" s="1" t="s">
        <v>42</v>
      </c>
      <c r="J280" s="1" t="s">
        <v>44</v>
      </c>
      <c r="K280" s="1" t="s">
        <v>43</v>
      </c>
      <c r="Q280" s="1"/>
      <c r="R280" s="1"/>
      <c r="X280" s="1" t="s">
        <v>42</v>
      </c>
      <c r="Y280" s="1" t="s">
        <v>44</v>
      </c>
      <c r="Z280" s="1" t="s">
        <v>43</v>
      </c>
    </row>
    <row r="281" spans="6:26">
      <c r="F281">
        <v>87</v>
      </c>
      <c r="G281" s="1" t="s">
        <v>53</v>
      </c>
      <c r="I281">
        <v>87</v>
      </c>
      <c r="J281" s="1" t="s">
        <v>53</v>
      </c>
      <c r="K281" s="1" t="s">
        <v>54</v>
      </c>
      <c r="Q281" s="1"/>
      <c r="R281" s="1"/>
      <c r="X281">
        <v>87</v>
      </c>
      <c r="Y281" s="1" t="s">
        <v>53</v>
      </c>
      <c r="Z281" s="1" t="s">
        <v>56</v>
      </c>
    </row>
    <row r="282" spans="6:26">
      <c r="F282" s="1" t="s">
        <v>42</v>
      </c>
      <c r="G282" s="1" t="s">
        <v>44</v>
      </c>
      <c r="I282" s="1" t="s">
        <v>42</v>
      </c>
      <c r="J282" s="1" t="s">
        <v>44</v>
      </c>
      <c r="K282" s="1" t="s">
        <v>43</v>
      </c>
      <c r="Q282" s="1"/>
      <c r="R282" s="1"/>
      <c r="X282" s="1" t="s">
        <v>42</v>
      </c>
      <c r="Y282" s="1" t="s">
        <v>44</v>
      </c>
      <c r="Z282" s="1" t="s">
        <v>43</v>
      </c>
    </row>
    <row r="283" spans="6:26">
      <c r="F283">
        <v>88</v>
      </c>
      <c r="G283" s="1" t="s">
        <v>53</v>
      </c>
      <c r="I283">
        <v>88</v>
      </c>
      <c r="J283" s="1" t="s">
        <v>53</v>
      </c>
      <c r="K283" s="1" t="s">
        <v>54</v>
      </c>
      <c r="Q283" s="1"/>
      <c r="R283" s="1"/>
      <c r="X283">
        <v>88</v>
      </c>
      <c r="Y283" s="1" t="s">
        <v>53</v>
      </c>
      <c r="Z283" s="1" t="s">
        <v>56</v>
      </c>
    </row>
    <row r="284" spans="6:26">
      <c r="F284" s="1" t="s">
        <v>42</v>
      </c>
      <c r="G284" s="1" t="s">
        <v>44</v>
      </c>
      <c r="I284" s="1" t="s">
        <v>42</v>
      </c>
      <c r="J284" s="1" t="s">
        <v>44</v>
      </c>
      <c r="K284" s="1" t="s">
        <v>43</v>
      </c>
      <c r="Q284" s="1"/>
      <c r="R284" s="1"/>
      <c r="X284" s="1" t="s">
        <v>42</v>
      </c>
      <c r="Y284" s="1" t="s">
        <v>44</v>
      </c>
      <c r="Z284" s="1" t="s">
        <v>43</v>
      </c>
    </row>
    <row r="285" spans="6:26">
      <c r="F285">
        <v>89</v>
      </c>
      <c r="G285" s="1" t="s">
        <v>53</v>
      </c>
      <c r="I285">
        <v>89</v>
      </c>
      <c r="J285" s="1" t="s">
        <v>53</v>
      </c>
      <c r="K285" s="1" t="s">
        <v>54</v>
      </c>
      <c r="Q285" s="1"/>
      <c r="R285" s="1"/>
      <c r="X285">
        <v>89</v>
      </c>
      <c r="Y285" s="1" t="s">
        <v>53</v>
      </c>
      <c r="Z285" s="1" t="s">
        <v>56</v>
      </c>
    </row>
    <row r="286" spans="6:26">
      <c r="F286" s="1" t="s">
        <v>42</v>
      </c>
      <c r="G286" s="1" t="s">
        <v>44</v>
      </c>
      <c r="I286" s="1" t="s">
        <v>42</v>
      </c>
      <c r="J286" s="1" t="s">
        <v>44</v>
      </c>
      <c r="K286" s="1" t="s">
        <v>43</v>
      </c>
      <c r="X286" s="1" t="s">
        <v>42</v>
      </c>
      <c r="Y286" s="1" t="s">
        <v>44</v>
      </c>
      <c r="Z286" s="1" t="s">
        <v>43</v>
      </c>
    </row>
    <row r="287" spans="6:26">
      <c r="F287">
        <v>90</v>
      </c>
      <c r="G287" s="1" t="s">
        <v>53</v>
      </c>
      <c r="I287">
        <v>90</v>
      </c>
      <c r="J287" s="1" t="s">
        <v>53</v>
      </c>
      <c r="K287" s="1" t="s">
        <v>54</v>
      </c>
      <c r="X287">
        <v>90</v>
      </c>
      <c r="Y287" s="1" t="s">
        <v>53</v>
      </c>
      <c r="Z287" s="1" t="s">
        <v>56</v>
      </c>
    </row>
    <row r="288" spans="6:26">
      <c r="F288" s="1" t="s">
        <v>42</v>
      </c>
      <c r="G288" s="1" t="s">
        <v>44</v>
      </c>
      <c r="I288" s="1" t="s">
        <v>42</v>
      </c>
      <c r="J288" s="1" t="s">
        <v>44</v>
      </c>
      <c r="K288" s="1" t="s">
        <v>43</v>
      </c>
      <c r="X288" s="1" t="s">
        <v>42</v>
      </c>
      <c r="Y288" s="1" t="s">
        <v>44</v>
      </c>
      <c r="Z288" s="1" t="s">
        <v>43</v>
      </c>
    </row>
    <row r="289" spans="6:26">
      <c r="F289">
        <v>91</v>
      </c>
      <c r="G289" s="1" t="s">
        <v>53</v>
      </c>
      <c r="I289">
        <v>91</v>
      </c>
      <c r="J289" s="1" t="s">
        <v>53</v>
      </c>
      <c r="K289" s="1" t="s">
        <v>54</v>
      </c>
      <c r="X289">
        <v>91</v>
      </c>
      <c r="Y289" s="1" t="s">
        <v>53</v>
      </c>
      <c r="Z289" s="1" t="s">
        <v>56</v>
      </c>
    </row>
    <row r="290" spans="6:26">
      <c r="F290" s="1" t="s">
        <v>42</v>
      </c>
      <c r="G290" s="1" t="s">
        <v>44</v>
      </c>
      <c r="I290" s="1" t="s">
        <v>42</v>
      </c>
      <c r="J290" s="1" t="s">
        <v>44</v>
      </c>
      <c r="K290" s="1" t="s">
        <v>43</v>
      </c>
      <c r="X290" s="1" t="s">
        <v>42</v>
      </c>
      <c r="Y290" s="1" t="s">
        <v>44</v>
      </c>
      <c r="Z290" s="1" t="s">
        <v>43</v>
      </c>
    </row>
    <row r="291" spans="6:26">
      <c r="F291">
        <v>92</v>
      </c>
      <c r="G291" s="1" t="s">
        <v>53</v>
      </c>
      <c r="I291">
        <v>92</v>
      </c>
      <c r="J291" s="1" t="s">
        <v>53</v>
      </c>
      <c r="K291" s="1" t="s">
        <v>54</v>
      </c>
      <c r="X291">
        <v>92</v>
      </c>
      <c r="Y291" s="1" t="s">
        <v>53</v>
      </c>
      <c r="Z291" s="1" t="s">
        <v>56</v>
      </c>
    </row>
    <row r="292" spans="6:26">
      <c r="F292" s="1" t="s">
        <v>42</v>
      </c>
      <c r="G292" s="1" t="s">
        <v>44</v>
      </c>
      <c r="I292" s="1" t="s">
        <v>42</v>
      </c>
      <c r="J292" s="1" t="s">
        <v>44</v>
      </c>
      <c r="K292" s="1" t="s">
        <v>43</v>
      </c>
      <c r="X292" s="1" t="s">
        <v>42</v>
      </c>
      <c r="Y292" s="1" t="s">
        <v>44</v>
      </c>
      <c r="Z292" s="1" t="s">
        <v>43</v>
      </c>
    </row>
    <row r="293" spans="6:26">
      <c r="F293">
        <v>93</v>
      </c>
      <c r="G293" s="1" t="s">
        <v>53</v>
      </c>
      <c r="I293">
        <v>93</v>
      </c>
      <c r="J293" s="1" t="s">
        <v>53</v>
      </c>
      <c r="K293" s="1" t="s">
        <v>54</v>
      </c>
      <c r="X293">
        <v>93</v>
      </c>
      <c r="Y293" s="1" t="s">
        <v>53</v>
      </c>
      <c r="Z293" s="1" t="s">
        <v>56</v>
      </c>
    </row>
    <row r="294" spans="6:26">
      <c r="F294" s="1" t="s">
        <v>42</v>
      </c>
      <c r="G294" s="1" t="s">
        <v>44</v>
      </c>
      <c r="I294" s="1" t="s">
        <v>42</v>
      </c>
      <c r="J294" s="1" t="s">
        <v>44</v>
      </c>
      <c r="K294" s="1" t="s">
        <v>43</v>
      </c>
      <c r="X294" s="1" t="s">
        <v>42</v>
      </c>
      <c r="Y294" s="1" t="s">
        <v>44</v>
      </c>
      <c r="Z294" s="1" t="s">
        <v>43</v>
      </c>
    </row>
    <row r="295" spans="6:26">
      <c r="F295">
        <v>94</v>
      </c>
      <c r="G295" s="1" t="s">
        <v>53</v>
      </c>
      <c r="I295">
        <v>94</v>
      </c>
      <c r="J295" s="1" t="s">
        <v>53</v>
      </c>
      <c r="K295" s="1" t="s">
        <v>54</v>
      </c>
      <c r="X295">
        <v>94</v>
      </c>
      <c r="Y295" s="1" t="s">
        <v>53</v>
      </c>
      <c r="Z295" s="1" t="s">
        <v>56</v>
      </c>
    </row>
    <row r="296" spans="6:26">
      <c r="F296" s="1" t="s">
        <v>42</v>
      </c>
      <c r="G296" s="1" t="s">
        <v>44</v>
      </c>
      <c r="I296" s="1" t="s">
        <v>42</v>
      </c>
      <c r="J296" s="1" t="s">
        <v>44</v>
      </c>
      <c r="K296" s="1" t="s">
        <v>43</v>
      </c>
      <c r="X296" s="1" t="s">
        <v>42</v>
      </c>
      <c r="Y296" s="1" t="s">
        <v>44</v>
      </c>
      <c r="Z296" s="1" t="s">
        <v>43</v>
      </c>
    </row>
    <row r="297" spans="6:26">
      <c r="F297">
        <v>95</v>
      </c>
      <c r="G297" s="1" t="s">
        <v>53</v>
      </c>
      <c r="I297">
        <v>95</v>
      </c>
      <c r="J297" s="1" t="s">
        <v>53</v>
      </c>
      <c r="K297" s="1" t="s">
        <v>54</v>
      </c>
      <c r="X297">
        <v>95</v>
      </c>
      <c r="Y297" s="1" t="s">
        <v>53</v>
      </c>
      <c r="Z297" s="1" t="s">
        <v>56</v>
      </c>
    </row>
    <row r="298" spans="6:26">
      <c r="F298" s="1" t="s">
        <v>42</v>
      </c>
      <c r="G298" s="1" t="s">
        <v>44</v>
      </c>
      <c r="I298" s="1" t="s">
        <v>42</v>
      </c>
      <c r="J298" s="1" t="s">
        <v>44</v>
      </c>
      <c r="K298" s="1" t="s">
        <v>43</v>
      </c>
      <c r="X298" s="1" t="s">
        <v>42</v>
      </c>
      <c r="Y298" s="1" t="s">
        <v>44</v>
      </c>
      <c r="Z298" s="1" t="s">
        <v>43</v>
      </c>
    </row>
    <row r="299" spans="6:26">
      <c r="F299">
        <v>96</v>
      </c>
      <c r="G299" s="1" t="s">
        <v>53</v>
      </c>
      <c r="I299">
        <v>96</v>
      </c>
      <c r="J299" s="1" t="s">
        <v>53</v>
      </c>
      <c r="K299" s="1" t="s">
        <v>54</v>
      </c>
      <c r="X299">
        <v>96</v>
      </c>
      <c r="Y299" s="1" t="s">
        <v>53</v>
      </c>
      <c r="Z299" s="1" t="s">
        <v>56</v>
      </c>
    </row>
    <row r="300" spans="6:26">
      <c r="F300" s="1" t="s">
        <v>42</v>
      </c>
      <c r="G300" s="1" t="s">
        <v>44</v>
      </c>
      <c r="I300" s="1" t="s">
        <v>42</v>
      </c>
      <c r="J300" s="1" t="s">
        <v>44</v>
      </c>
      <c r="K300" s="1" t="s">
        <v>43</v>
      </c>
      <c r="X300" s="1" t="s">
        <v>42</v>
      </c>
      <c r="Y300" s="1" t="s">
        <v>44</v>
      </c>
      <c r="Z300" s="1" t="s">
        <v>43</v>
      </c>
    </row>
    <row r="301" spans="6:26">
      <c r="F301">
        <v>97</v>
      </c>
      <c r="G301" s="1" t="s">
        <v>53</v>
      </c>
      <c r="I301">
        <v>97</v>
      </c>
      <c r="J301" s="1" t="s">
        <v>53</v>
      </c>
      <c r="K301" s="1" t="s">
        <v>54</v>
      </c>
      <c r="X301">
        <v>97</v>
      </c>
      <c r="Y301" s="1" t="s">
        <v>53</v>
      </c>
      <c r="Z301" s="1" t="s">
        <v>56</v>
      </c>
    </row>
    <row r="302" spans="6:26">
      <c r="F302" s="1" t="s">
        <v>42</v>
      </c>
      <c r="G302" s="1" t="s">
        <v>44</v>
      </c>
      <c r="I302" s="1" t="s">
        <v>42</v>
      </c>
      <c r="J302" s="1" t="s">
        <v>44</v>
      </c>
      <c r="K302" s="1" t="s">
        <v>43</v>
      </c>
      <c r="X302" s="1" t="s">
        <v>42</v>
      </c>
      <c r="Y302" s="1" t="s">
        <v>44</v>
      </c>
      <c r="Z302" s="1" t="s">
        <v>43</v>
      </c>
    </row>
    <row r="303" spans="6:26">
      <c r="F303">
        <v>98</v>
      </c>
      <c r="G303" s="1" t="s">
        <v>53</v>
      </c>
      <c r="I303">
        <v>98</v>
      </c>
      <c r="J303" s="1" t="s">
        <v>53</v>
      </c>
      <c r="K303" s="1" t="s">
        <v>54</v>
      </c>
      <c r="X303">
        <v>98</v>
      </c>
      <c r="Y303" s="1" t="s">
        <v>53</v>
      </c>
      <c r="Z303" s="1" t="s">
        <v>56</v>
      </c>
    </row>
    <row r="304" spans="6:26">
      <c r="F304" s="1" t="s">
        <v>42</v>
      </c>
      <c r="G304" s="1" t="s">
        <v>44</v>
      </c>
      <c r="I304" s="1" t="s">
        <v>42</v>
      </c>
      <c r="J304" s="1" t="s">
        <v>44</v>
      </c>
      <c r="K304" s="1" t="s">
        <v>43</v>
      </c>
      <c r="X304" s="1" t="s">
        <v>42</v>
      </c>
      <c r="Y304" s="1" t="s">
        <v>44</v>
      </c>
      <c r="Z304" s="1" t="s">
        <v>43</v>
      </c>
    </row>
    <row r="305" spans="6:26">
      <c r="F305">
        <v>99</v>
      </c>
      <c r="G305" s="1" t="s">
        <v>53</v>
      </c>
      <c r="I305">
        <v>99</v>
      </c>
      <c r="J305" s="1" t="s">
        <v>53</v>
      </c>
      <c r="K305" s="1" t="s">
        <v>54</v>
      </c>
      <c r="X305">
        <v>99</v>
      </c>
      <c r="Y305" s="1" t="s">
        <v>53</v>
      </c>
      <c r="Z305" s="1" t="s">
        <v>56</v>
      </c>
    </row>
    <row r="306" spans="6:26">
      <c r="F306" s="1" t="s">
        <v>42</v>
      </c>
      <c r="G306" s="1" t="s">
        <v>44</v>
      </c>
      <c r="I306" s="1" t="s">
        <v>42</v>
      </c>
      <c r="J306" s="1" t="s">
        <v>44</v>
      </c>
      <c r="K306" s="1" t="s">
        <v>43</v>
      </c>
      <c r="X306" s="1" t="s">
        <v>42</v>
      </c>
      <c r="Y306" s="1" t="s">
        <v>44</v>
      </c>
      <c r="Z306" s="1" t="s">
        <v>43</v>
      </c>
    </row>
    <row r="307" spans="6:26">
      <c r="F307">
        <v>100</v>
      </c>
      <c r="G307" s="1" t="s">
        <v>53</v>
      </c>
      <c r="I307">
        <v>100</v>
      </c>
      <c r="J307" s="1" t="s">
        <v>53</v>
      </c>
      <c r="K307" s="1" t="s">
        <v>54</v>
      </c>
      <c r="X307">
        <v>100</v>
      </c>
      <c r="Y307" s="1" t="s">
        <v>53</v>
      </c>
      <c r="Z307" s="1" t="s">
        <v>56</v>
      </c>
    </row>
    <row r="308" spans="6:26">
      <c r="F308" s="1" t="s">
        <v>42</v>
      </c>
      <c r="G308" s="1" t="s">
        <v>44</v>
      </c>
      <c r="H308" s="1"/>
      <c r="I308" s="1" t="s">
        <v>42</v>
      </c>
      <c r="J308" s="1" t="s">
        <v>44</v>
      </c>
      <c r="K308" s="1" t="s">
        <v>43</v>
      </c>
      <c r="X308" s="1" t="s">
        <v>42</v>
      </c>
      <c r="Y308" s="1" t="s">
        <v>44</v>
      </c>
      <c r="Z308" s="1" t="s">
        <v>43</v>
      </c>
    </row>
    <row r="309" spans="6:26">
      <c r="F309">
        <v>0</v>
      </c>
      <c r="G309" s="1" t="s">
        <v>55</v>
      </c>
      <c r="H309" s="1"/>
      <c r="I309">
        <v>0</v>
      </c>
      <c r="J309" s="1" t="s">
        <v>55</v>
      </c>
      <c r="K309" s="1" t="s">
        <v>54</v>
      </c>
      <c r="X309">
        <v>0</v>
      </c>
      <c r="Y309" s="1" t="s">
        <v>55</v>
      </c>
      <c r="Z309" s="1" t="s">
        <v>56</v>
      </c>
    </row>
    <row r="310" spans="6:26">
      <c r="F310" s="1" t="s">
        <v>42</v>
      </c>
      <c r="G310" s="1" t="s">
        <v>44</v>
      </c>
      <c r="I310" s="1" t="s">
        <v>42</v>
      </c>
      <c r="J310" s="1" t="s">
        <v>44</v>
      </c>
      <c r="K310" s="1" t="s">
        <v>43</v>
      </c>
      <c r="P310" s="1"/>
      <c r="X310" s="1" t="s">
        <v>42</v>
      </c>
      <c r="Y310" s="1" t="s">
        <v>44</v>
      </c>
      <c r="Z310" s="1" t="s">
        <v>43</v>
      </c>
    </row>
    <row r="311" spans="6:26">
      <c r="F311">
        <v>1</v>
      </c>
      <c r="G311" s="1" t="s">
        <v>55</v>
      </c>
      <c r="I311">
        <v>1</v>
      </c>
      <c r="J311" s="1" t="s">
        <v>55</v>
      </c>
      <c r="K311" s="1" t="s">
        <v>54</v>
      </c>
      <c r="P311" s="1"/>
      <c r="X311">
        <v>1</v>
      </c>
      <c r="Y311" s="1" t="s">
        <v>55</v>
      </c>
      <c r="Z311" s="1" t="s">
        <v>56</v>
      </c>
    </row>
    <row r="312" spans="6:26">
      <c r="F312" s="1" t="s">
        <v>42</v>
      </c>
      <c r="G312" s="1" t="s">
        <v>44</v>
      </c>
      <c r="I312" s="1" t="s">
        <v>42</v>
      </c>
      <c r="J312" s="1" t="s">
        <v>44</v>
      </c>
      <c r="K312" s="1" t="s">
        <v>43</v>
      </c>
      <c r="P312" s="1"/>
      <c r="X312" s="1" t="s">
        <v>42</v>
      </c>
      <c r="Y312" s="1" t="s">
        <v>44</v>
      </c>
      <c r="Z312" s="1" t="s">
        <v>43</v>
      </c>
    </row>
    <row r="313" spans="6:26">
      <c r="F313">
        <v>2</v>
      </c>
      <c r="G313" s="1" t="s">
        <v>55</v>
      </c>
      <c r="I313">
        <v>2</v>
      </c>
      <c r="J313" s="1" t="s">
        <v>55</v>
      </c>
      <c r="K313" s="1" t="s">
        <v>54</v>
      </c>
      <c r="P313" s="1"/>
      <c r="X313">
        <v>2</v>
      </c>
      <c r="Y313" s="1" t="s">
        <v>55</v>
      </c>
      <c r="Z313" s="1" t="s">
        <v>56</v>
      </c>
    </row>
    <row r="314" spans="6:26">
      <c r="F314" s="1" t="s">
        <v>42</v>
      </c>
      <c r="G314" s="1" t="s">
        <v>44</v>
      </c>
      <c r="I314" s="1" t="s">
        <v>42</v>
      </c>
      <c r="J314" s="1" t="s">
        <v>44</v>
      </c>
      <c r="K314" s="1" t="s">
        <v>43</v>
      </c>
      <c r="P314" s="1"/>
      <c r="X314" s="1" t="s">
        <v>42</v>
      </c>
      <c r="Y314" s="1" t="s">
        <v>44</v>
      </c>
      <c r="Z314" s="1" t="s">
        <v>43</v>
      </c>
    </row>
    <row r="315" spans="6:26">
      <c r="F315">
        <v>3</v>
      </c>
      <c r="G315" s="1" t="s">
        <v>55</v>
      </c>
      <c r="I315">
        <v>3</v>
      </c>
      <c r="J315" s="1" t="s">
        <v>55</v>
      </c>
      <c r="K315" s="1" t="s">
        <v>54</v>
      </c>
      <c r="P315" s="1"/>
      <c r="X315">
        <v>3</v>
      </c>
      <c r="Y315" s="1" t="s">
        <v>55</v>
      </c>
      <c r="Z315" s="1" t="s">
        <v>56</v>
      </c>
    </row>
    <row r="316" spans="6:26">
      <c r="F316" s="1" t="s">
        <v>42</v>
      </c>
      <c r="G316" s="1" t="s">
        <v>44</v>
      </c>
      <c r="I316" s="1" t="s">
        <v>42</v>
      </c>
      <c r="J316" s="1" t="s">
        <v>44</v>
      </c>
      <c r="K316" s="1" t="s">
        <v>43</v>
      </c>
      <c r="P316" s="1"/>
      <c r="X316" s="1" t="s">
        <v>42</v>
      </c>
      <c r="Y316" s="1" t="s">
        <v>44</v>
      </c>
      <c r="Z316" s="1" t="s">
        <v>43</v>
      </c>
    </row>
    <row r="317" spans="6:26">
      <c r="F317">
        <v>4</v>
      </c>
      <c r="G317" s="1" t="s">
        <v>55</v>
      </c>
      <c r="I317">
        <v>4</v>
      </c>
      <c r="J317" s="1" t="s">
        <v>55</v>
      </c>
      <c r="K317" s="1" t="s">
        <v>54</v>
      </c>
      <c r="P317" s="1"/>
      <c r="X317">
        <v>4</v>
      </c>
      <c r="Y317" s="1" t="s">
        <v>55</v>
      </c>
      <c r="Z317" s="1" t="s">
        <v>56</v>
      </c>
    </row>
    <row r="318" spans="6:26">
      <c r="F318" s="1" t="s">
        <v>42</v>
      </c>
      <c r="G318" s="1" t="s">
        <v>44</v>
      </c>
      <c r="I318" s="1" t="s">
        <v>42</v>
      </c>
      <c r="J318" s="1" t="s">
        <v>44</v>
      </c>
      <c r="K318" s="1" t="s">
        <v>43</v>
      </c>
      <c r="P318" s="1"/>
      <c r="X318" s="1" t="s">
        <v>42</v>
      </c>
      <c r="Y318" s="1" t="s">
        <v>44</v>
      </c>
      <c r="Z318" s="1" t="s">
        <v>43</v>
      </c>
    </row>
    <row r="319" spans="6:26">
      <c r="F319">
        <v>5</v>
      </c>
      <c r="G319" s="1" t="s">
        <v>55</v>
      </c>
      <c r="I319">
        <v>5</v>
      </c>
      <c r="J319" s="1" t="s">
        <v>55</v>
      </c>
      <c r="K319" s="1" t="s">
        <v>54</v>
      </c>
      <c r="P319" s="1"/>
      <c r="X319">
        <v>5</v>
      </c>
      <c r="Y319" s="1" t="s">
        <v>55</v>
      </c>
      <c r="Z319" s="1" t="s">
        <v>56</v>
      </c>
    </row>
    <row r="320" spans="6:26">
      <c r="F320" s="1" t="s">
        <v>42</v>
      </c>
      <c r="G320" s="1" t="s">
        <v>44</v>
      </c>
      <c r="I320" s="1" t="s">
        <v>42</v>
      </c>
      <c r="J320" s="1" t="s">
        <v>44</v>
      </c>
      <c r="K320" s="1" t="s">
        <v>43</v>
      </c>
      <c r="P320" s="1"/>
      <c r="X320" s="1" t="s">
        <v>42</v>
      </c>
      <c r="Y320" s="1" t="s">
        <v>44</v>
      </c>
      <c r="Z320" s="1" t="s">
        <v>43</v>
      </c>
    </row>
    <row r="321" spans="6:26">
      <c r="F321">
        <v>6</v>
      </c>
      <c r="G321" s="1" t="s">
        <v>55</v>
      </c>
      <c r="I321">
        <v>6</v>
      </c>
      <c r="J321" s="1" t="s">
        <v>55</v>
      </c>
      <c r="K321" s="1" t="s">
        <v>54</v>
      </c>
      <c r="P321" s="1"/>
      <c r="X321">
        <v>6</v>
      </c>
      <c r="Y321" s="1" t="s">
        <v>55</v>
      </c>
      <c r="Z321" s="1" t="s">
        <v>56</v>
      </c>
    </row>
    <row r="322" spans="6:26">
      <c r="F322" s="1" t="s">
        <v>42</v>
      </c>
      <c r="G322" s="1" t="s">
        <v>44</v>
      </c>
      <c r="I322" s="1" t="s">
        <v>42</v>
      </c>
      <c r="J322" s="1" t="s">
        <v>44</v>
      </c>
      <c r="K322" s="1" t="s">
        <v>43</v>
      </c>
      <c r="P322" s="1"/>
      <c r="X322" s="1" t="s">
        <v>42</v>
      </c>
      <c r="Y322" s="1" t="s">
        <v>44</v>
      </c>
      <c r="Z322" s="1" t="s">
        <v>43</v>
      </c>
    </row>
    <row r="323" spans="6:26">
      <c r="F323">
        <v>7</v>
      </c>
      <c r="G323" s="1" t="s">
        <v>55</v>
      </c>
      <c r="I323">
        <v>7</v>
      </c>
      <c r="J323" s="1" t="s">
        <v>55</v>
      </c>
      <c r="K323" s="1" t="s">
        <v>54</v>
      </c>
      <c r="P323" s="1"/>
      <c r="X323">
        <v>7</v>
      </c>
      <c r="Y323" s="1" t="s">
        <v>55</v>
      </c>
      <c r="Z323" s="1" t="s">
        <v>56</v>
      </c>
    </row>
    <row r="324" spans="6:26">
      <c r="F324" s="1" t="s">
        <v>42</v>
      </c>
      <c r="G324" s="1" t="s">
        <v>44</v>
      </c>
      <c r="I324" s="1" t="s">
        <v>42</v>
      </c>
      <c r="J324" s="1" t="s">
        <v>44</v>
      </c>
      <c r="K324" s="1" t="s">
        <v>43</v>
      </c>
      <c r="P324" s="1"/>
      <c r="X324" s="1" t="s">
        <v>42</v>
      </c>
      <c r="Y324" s="1" t="s">
        <v>44</v>
      </c>
      <c r="Z324" s="1" t="s">
        <v>43</v>
      </c>
    </row>
    <row r="325" spans="6:26">
      <c r="F325">
        <v>8</v>
      </c>
      <c r="G325" s="1" t="s">
        <v>55</v>
      </c>
      <c r="I325">
        <v>8</v>
      </c>
      <c r="J325" s="1" t="s">
        <v>55</v>
      </c>
      <c r="K325" s="1" t="s">
        <v>54</v>
      </c>
      <c r="P325" s="1"/>
      <c r="X325">
        <v>8</v>
      </c>
      <c r="Y325" s="1" t="s">
        <v>55</v>
      </c>
      <c r="Z325" s="1" t="s">
        <v>56</v>
      </c>
    </row>
    <row r="326" spans="6:26">
      <c r="F326" s="1" t="s">
        <v>42</v>
      </c>
      <c r="G326" s="1" t="s">
        <v>44</v>
      </c>
      <c r="I326" s="1" t="s">
        <v>42</v>
      </c>
      <c r="J326" s="1" t="s">
        <v>44</v>
      </c>
      <c r="K326" s="1" t="s">
        <v>43</v>
      </c>
      <c r="P326" s="1"/>
      <c r="X326" s="1" t="s">
        <v>42</v>
      </c>
      <c r="Y326" s="1" t="s">
        <v>44</v>
      </c>
      <c r="Z326" s="1" t="s">
        <v>43</v>
      </c>
    </row>
    <row r="327" spans="6:26">
      <c r="F327">
        <v>9</v>
      </c>
      <c r="G327" s="1" t="s">
        <v>55</v>
      </c>
      <c r="I327">
        <v>9</v>
      </c>
      <c r="J327" s="1" t="s">
        <v>55</v>
      </c>
      <c r="K327" s="1" t="s">
        <v>54</v>
      </c>
      <c r="P327" s="1"/>
      <c r="X327">
        <v>9</v>
      </c>
      <c r="Y327" s="1" t="s">
        <v>55</v>
      </c>
      <c r="Z327" s="1" t="s">
        <v>56</v>
      </c>
    </row>
    <row r="328" spans="6:26">
      <c r="F328" s="1" t="s">
        <v>42</v>
      </c>
      <c r="G328" s="1" t="s">
        <v>44</v>
      </c>
      <c r="I328" s="1" t="s">
        <v>42</v>
      </c>
      <c r="J328" s="1" t="s">
        <v>44</v>
      </c>
      <c r="K328" s="1" t="s">
        <v>43</v>
      </c>
      <c r="P328" s="1"/>
      <c r="X328" s="1" t="s">
        <v>42</v>
      </c>
      <c r="Y328" s="1" t="s">
        <v>44</v>
      </c>
      <c r="Z328" s="1" t="s">
        <v>43</v>
      </c>
    </row>
    <row r="329" spans="6:26">
      <c r="F329">
        <v>10</v>
      </c>
      <c r="G329" s="1" t="s">
        <v>55</v>
      </c>
      <c r="I329">
        <v>10</v>
      </c>
      <c r="J329" s="1" t="s">
        <v>55</v>
      </c>
      <c r="K329" s="1" t="s">
        <v>54</v>
      </c>
      <c r="P329" s="1"/>
      <c r="X329">
        <v>10</v>
      </c>
      <c r="Y329" s="1" t="s">
        <v>55</v>
      </c>
      <c r="Z329" s="1" t="s">
        <v>56</v>
      </c>
    </row>
    <row r="330" spans="6:26">
      <c r="F330" s="1" t="s">
        <v>42</v>
      </c>
      <c r="G330" s="1" t="s">
        <v>44</v>
      </c>
      <c r="I330" s="1" t="s">
        <v>42</v>
      </c>
      <c r="J330" s="1" t="s">
        <v>44</v>
      </c>
      <c r="K330" s="1" t="s">
        <v>43</v>
      </c>
      <c r="P330" s="1"/>
      <c r="X330" s="1" t="s">
        <v>42</v>
      </c>
      <c r="Y330" s="1" t="s">
        <v>44</v>
      </c>
      <c r="Z330" s="1" t="s">
        <v>43</v>
      </c>
    </row>
    <row r="331" spans="6:26">
      <c r="F331">
        <v>11</v>
      </c>
      <c r="G331" s="1" t="s">
        <v>55</v>
      </c>
      <c r="I331">
        <v>11</v>
      </c>
      <c r="J331" s="1" t="s">
        <v>55</v>
      </c>
      <c r="K331" s="1" t="s">
        <v>54</v>
      </c>
      <c r="P331" s="1"/>
      <c r="X331">
        <v>11</v>
      </c>
      <c r="Y331" s="1" t="s">
        <v>55</v>
      </c>
      <c r="Z331" s="1" t="s">
        <v>56</v>
      </c>
    </row>
    <row r="332" spans="6:26">
      <c r="F332" s="1" t="s">
        <v>42</v>
      </c>
      <c r="G332" s="1" t="s">
        <v>44</v>
      </c>
      <c r="I332" s="1" t="s">
        <v>42</v>
      </c>
      <c r="J332" s="1" t="s">
        <v>44</v>
      </c>
      <c r="K332" s="1" t="s">
        <v>43</v>
      </c>
      <c r="P332" s="1"/>
      <c r="X332" s="1" t="s">
        <v>42</v>
      </c>
      <c r="Y332" s="1" t="s">
        <v>44</v>
      </c>
      <c r="Z332" s="1" t="s">
        <v>43</v>
      </c>
    </row>
    <row r="333" spans="6:26">
      <c r="F333">
        <v>12</v>
      </c>
      <c r="G333" s="1" t="s">
        <v>55</v>
      </c>
      <c r="I333">
        <v>12</v>
      </c>
      <c r="J333" s="1" t="s">
        <v>55</v>
      </c>
      <c r="K333" s="1" t="s">
        <v>54</v>
      </c>
      <c r="P333" s="1"/>
      <c r="X333">
        <v>12</v>
      </c>
      <c r="Y333" s="1" t="s">
        <v>55</v>
      </c>
      <c r="Z333" s="1" t="s">
        <v>56</v>
      </c>
    </row>
    <row r="334" spans="6:26">
      <c r="F334" s="1" t="s">
        <v>42</v>
      </c>
      <c r="G334" s="1" t="s">
        <v>44</v>
      </c>
      <c r="I334" s="1" t="s">
        <v>42</v>
      </c>
      <c r="J334" s="1" t="s">
        <v>44</v>
      </c>
      <c r="K334" s="1" t="s">
        <v>43</v>
      </c>
      <c r="P334" s="1"/>
      <c r="X334" s="1" t="s">
        <v>42</v>
      </c>
      <c r="Y334" s="1" t="s">
        <v>44</v>
      </c>
      <c r="Z334" s="1" t="s">
        <v>43</v>
      </c>
    </row>
    <row r="335" spans="6:26">
      <c r="F335">
        <v>13</v>
      </c>
      <c r="G335" s="1" t="s">
        <v>55</v>
      </c>
      <c r="I335">
        <v>13</v>
      </c>
      <c r="J335" s="1" t="s">
        <v>55</v>
      </c>
      <c r="K335" s="1" t="s">
        <v>54</v>
      </c>
      <c r="P335" s="1"/>
      <c r="X335">
        <v>13</v>
      </c>
      <c r="Y335" s="1" t="s">
        <v>55</v>
      </c>
      <c r="Z335" s="1" t="s">
        <v>56</v>
      </c>
    </row>
    <row r="336" spans="6:26">
      <c r="F336" s="1" t="s">
        <v>42</v>
      </c>
      <c r="G336" s="1" t="s">
        <v>44</v>
      </c>
      <c r="I336" s="1" t="s">
        <v>42</v>
      </c>
      <c r="J336" s="1" t="s">
        <v>44</v>
      </c>
      <c r="K336" s="1" t="s">
        <v>43</v>
      </c>
      <c r="P336" s="1"/>
      <c r="X336" s="1" t="s">
        <v>42</v>
      </c>
      <c r="Y336" s="1" t="s">
        <v>44</v>
      </c>
      <c r="Z336" s="1" t="s">
        <v>43</v>
      </c>
    </row>
    <row r="337" spans="6:26">
      <c r="F337">
        <v>14</v>
      </c>
      <c r="G337" s="1" t="s">
        <v>55</v>
      </c>
      <c r="I337">
        <v>14</v>
      </c>
      <c r="J337" s="1" t="s">
        <v>55</v>
      </c>
      <c r="K337" s="1" t="s">
        <v>54</v>
      </c>
      <c r="P337" s="1"/>
      <c r="X337">
        <v>14</v>
      </c>
      <c r="Y337" s="1" t="s">
        <v>55</v>
      </c>
      <c r="Z337" s="1" t="s">
        <v>56</v>
      </c>
    </row>
    <row r="338" spans="6:26">
      <c r="F338" s="1" t="s">
        <v>42</v>
      </c>
      <c r="G338" s="1" t="s">
        <v>44</v>
      </c>
      <c r="I338" s="1" t="s">
        <v>42</v>
      </c>
      <c r="J338" s="1" t="s">
        <v>44</v>
      </c>
      <c r="K338" s="1" t="s">
        <v>43</v>
      </c>
      <c r="P338" s="1"/>
      <c r="X338" s="1" t="s">
        <v>42</v>
      </c>
      <c r="Y338" s="1" t="s">
        <v>44</v>
      </c>
      <c r="Z338" s="1" t="s">
        <v>43</v>
      </c>
    </row>
    <row r="339" spans="6:26">
      <c r="F339">
        <v>15</v>
      </c>
      <c r="G339" s="1" t="s">
        <v>55</v>
      </c>
      <c r="I339">
        <v>15</v>
      </c>
      <c r="J339" s="1" t="s">
        <v>55</v>
      </c>
      <c r="K339" s="1" t="s">
        <v>54</v>
      </c>
      <c r="P339" s="1"/>
      <c r="X339">
        <v>15</v>
      </c>
      <c r="Y339" s="1" t="s">
        <v>55</v>
      </c>
      <c r="Z339" s="1" t="s">
        <v>56</v>
      </c>
    </row>
    <row r="340" spans="6:26">
      <c r="F340" s="1" t="s">
        <v>42</v>
      </c>
      <c r="G340" s="1" t="s">
        <v>44</v>
      </c>
      <c r="I340" s="1" t="s">
        <v>42</v>
      </c>
      <c r="J340" s="1" t="s">
        <v>44</v>
      </c>
      <c r="K340" s="1" t="s">
        <v>43</v>
      </c>
      <c r="X340" s="1" t="s">
        <v>42</v>
      </c>
      <c r="Y340" s="1" t="s">
        <v>44</v>
      </c>
      <c r="Z340" s="1" t="s">
        <v>43</v>
      </c>
    </row>
    <row r="341" spans="6:26">
      <c r="F341">
        <v>16</v>
      </c>
      <c r="G341" s="1" t="s">
        <v>55</v>
      </c>
      <c r="I341">
        <v>16</v>
      </c>
      <c r="J341" s="1" t="s">
        <v>55</v>
      </c>
      <c r="K341" s="1" t="s">
        <v>54</v>
      </c>
      <c r="X341">
        <v>16</v>
      </c>
      <c r="Y341" s="1" t="s">
        <v>55</v>
      </c>
      <c r="Z341" s="1" t="s">
        <v>56</v>
      </c>
    </row>
    <row r="342" spans="6:26">
      <c r="F342" s="1" t="s">
        <v>42</v>
      </c>
      <c r="G342" s="1" t="s">
        <v>44</v>
      </c>
      <c r="I342" s="1" t="s">
        <v>42</v>
      </c>
      <c r="J342" s="1" t="s">
        <v>44</v>
      </c>
      <c r="K342" s="1" t="s">
        <v>43</v>
      </c>
      <c r="X342" s="1" t="s">
        <v>42</v>
      </c>
      <c r="Y342" s="1" t="s">
        <v>44</v>
      </c>
      <c r="Z342" s="1" t="s">
        <v>43</v>
      </c>
    </row>
    <row r="343" spans="6:26">
      <c r="F343">
        <v>17</v>
      </c>
      <c r="G343" s="1" t="s">
        <v>55</v>
      </c>
      <c r="I343">
        <v>17</v>
      </c>
      <c r="J343" s="1" t="s">
        <v>55</v>
      </c>
      <c r="K343" s="1" t="s">
        <v>54</v>
      </c>
      <c r="X343">
        <v>17</v>
      </c>
      <c r="Y343" s="1" t="s">
        <v>55</v>
      </c>
      <c r="Z343" s="1" t="s">
        <v>56</v>
      </c>
    </row>
    <row r="344" spans="6:26">
      <c r="F344" s="1" t="s">
        <v>42</v>
      </c>
      <c r="G344" s="1" t="s">
        <v>44</v>
      </c>
      <c r="I344" s="1" t="s">
        <v>42</v>
      </c>
      <c r="J344" s="1" t="s">
        <v>44</v>
      </c>
      <c r="K344" s="1" t="s">
        <v>43</v>
      </c>
      <c r="X344" s="1" t="s">
        <v>42</v>
      </c>
      <c r="Y344" s="1" t="s">
        <v>44</v>
      </c>
      <c r="Z344" s="1" t="s">
        <v>43</v>
      </c>
    </row>
    <row r="345" spans="6:26">
      <c r="F345">
        <v>18</v>
      </c>
      <c r="G345" s="1" t="s">
        <v>55</v>
      </c>
      <c r="I345">
        <v>18</v>
      </c>
      <c r="J345" s="1" t="s">
        <v>55</v>
      </c>
      <c r="K345" s="1" t="s">
        <v>54</v>
      </c>
      <c r="X345">
        <v>18</v>
      </c>
      <c r="Y345" s="1" t="s">
        <v>55</v>
      </c>
      <c r="Z345" s="1" t="s">
        <v>56</v>
      </c>
    </row>
    <row r="346" spans="6:26">
      <c r="F346" s="1" t="s">
        <v>42</v>
      </c>
      <c r="G346" s="1" t="s">
        <v>44</v>
      </c>
      <c r="I346" s="1" t="s">
        <v>42</v>
      </c>
      <c r="J346" s="1" t="s">
        <v>44</v>
      </c>
      <c r="K346" s="1" t="s">
        <v>43</v>
      </c>
      <c r="X346" s="1" t="s">
        <v>42</v>
      </c>
      <c r="Y346" s="1" t="s">
        <v>44</v>
      </c>
      <c r="Z346" s="1" t="s">
        <v>43</v>
      </c>
    </row>
    <row r="347" spans="6:26">
      <c r="F347">
        <v>19</v>
      </c>
      <c r="G347" s="1" t="s">
        <v>55</v>
      </c>
      <c r="I347">
        <v>19</v>
      </c>
      <c r="J347" s="1" t="s">
        <v>55</v>
      </c>
      <c r="K347" s="1" t="s">
        <v>54</v>
      </c>
      <c r="X347">
        <v>19</v>
      </c>
      <c r="Y347" s="1" t="s">
        <v>55</v>
      </c>
      <c r="Z347" s="1" t="s">
        <v>56</v>
      </c>
    </row>
    <row r="348" spans="6:26">
      <c r="F348" s="1" t="s">
        <v>42</v>
      </c>
      <c r="G348" s="1" t="s">
        <v>44</v>
      </c>
      <c r="I348" s="1" t="s">
        <v>42</v>
      </c>
      <c r="J348" s="1" t="s">
        <v>44</v>
      </c>
      <c r="K348" s="1" t="s">
        <v>43</v>
      </c>
      <c r="X348" s="1" t="s">
        <v>42</v>
      </c>
      <c r="Y348" s="1" t="s">
        <v>44</v>
      </c>
      <c r="Z348" s="1" t="s">
        <v>43</v>
      </c>
    </row>
    <row r="349" spans="6:26">
      <c r="F349">
        <v>20</v>
      </c>
      <c r="G349" s="1" t="s">
        <v>55</v>
      </c>
      <c r="I349">
        <v>20</v>
      </c>
      <c r="J349" s="1" t="s">
        <v>55</v>
      </c>
      <c r="K349" s="1" t="s">
        <v>54</v>
      </c>
      <c r="X349">
        <v>20</v>
      </c>
      <c r="Y349" s="1" t="s">
        <v>55</v>
      </c>
      <c r="Z349" s="1" t="s">
        <v>56</v>
      </c>
    </row>
    <row r="350" spans="6:26">
      <c r="F350" s="1" t="s">
        <v>42</v>
      </c>
      <c r="G350" s="1" t="s">
        <v>44</v>
      </c>
      <c r="I350" s="1" t="s">
        <v>42</v>
      </c>
      <c r="J350" s="1" t="s">
        <v>44</v>
      </c>
      <c r="K350" s="1" t="s">
        <v>43</v>
      </c>
      <c r="X350" s="1" t="s">
        <v>42</v>
      </c>
      <c r="Y350" s="1" t="s">
        <v>44</v>
      </c>
      <c r="Z350" s="1" t="s">
        <v>43</v>
      </c>
    </row>
    <row r="351" spans="6:26">
      <c r="F351">
        <v>21</v>
      </c>
      <c r="G351" s="1" t="s">
        <v>55</v>
      </c>
      <c r="I351">
        <v>21</v>
      </c>
      <c r="J351" s="1" t="s">
        <v>55</v>
      </c>
      <c r="K351" s="1" t="s">
        <v>54</v>
      </c>
      <c r="X351">
        <v>21</v>
      </c>
      <c r="Y351" s="1" t="s">
        <v>55</v>
      </c>
      <c r="Z351" s="1" t="s">
        <v>56</v>
      </c>
    </row>
    <row r="352" spans="6:26">
      <c r="F352" s="1" t="s">
        <v>42</v>
      </c>
      <c r="G352" s="1" t="s">
        <v>44</v>
      </c>
      <c r="I352" s="1" t="s">
        <v>42</v>
      </c>
      <c r="J352" s="1" t="s">
        <v>44</v>
      </c>
      <c r="K352" s="1" t="s">
        <v>43</v>
      </c>
      <c r="X352" s="1" t="s">
        <v>42</v>
      </c>
      <c r="Y352" s="1" t="s">
        <v>44</v>
      </c>
      <c r="Z352" s="1" t="s">
        <v>43</v>
      </c>
    </row>
    <row r="353" spans="6:26">
      <c r="F353">
        <v>22</v>
      </c>
      <c r="G353" s="1" t="s">
        <v>55</v>
      </c>
      <c r="I353">
        <v>22</v>
      </c>
      <c r="J353" s="1" t="s">
        <v>55</v>
      </c>
      <c r="K353" s="1" t="s">
        <v>54</v>
      </c>
      <c r="X353">
        <v>22</v>
      </c>
      <c r="Y353" s="1" t="s">
        <v>55</v>
      </c>
      <c r="Z353" s="1" t="s">
        <v>56</v>
      </c>
    </row>
    <row r="354" spans="6:26">
      <c r="F354" s="1" t="s">
        <v>42</v>
      </c>
      <c r="G354" s="1" t="s">
        <v>44</v>
      </c>
      <c r="I354" s="1" t="s">
        <v>42</v>
      </c>
      <c r="J354" s="1" t="s">
        <v>44</v>
      </c>
      <c r="K354" s="1" t="s">
        <v>43</v>
      </c>
      <c r="X354" s="1" t="s">
        <v>42</v>
      </c>
      <c r="Y354" s="1" t="s">
        <v>44</v>
      </c>
      <c r="Z354" s="1" t="s">
        <v>43</v>
      </c>
    </row>
    <row r="355" spans="6:26">
      <c r="F355">
        <v>23</v>
      </c>
      <c r="G355" s="1" t="s">
        <v>55</v>
      </c>
      <c r="I355">
        <v>23</v>
      </c>
      <c r="J355" s="1" t="s">
        <v>55</v>
      </c>
      <c r="K355" s="1" t="s">
        <v>54</v>
      </c>
      <c r="X355">
        <v>23</v>
      </c>
      <c r="Y355" s="1" t="s">
        <v>55</v>
      </c>
      <c r="Z355" s="1" t="s">
        <v>56</v>
      </c>
    </row>
    <row r="356" spans="6:26">
      <c r="F356" s="1" t="s">
        <v>42</v>
      </c>
      <c r="G356" s="1" t="s">
        <v>44</v>
      </c>
      <c r="I356" s="1" t="s">
        <v>42</v>
      </c>
      <c r="J356" s="1" t="s">
        <v>44</v>
      </c>
      <c r="K356" s="1" t="s">
        <v>43</v>
      </c>
      <c r="X356" s="1" t="s">
        <v>42</v>
      </c>
      <c r="Y356" s="1" t="s">
        <v>44</v>
      </c>
      <c r="Z356" s="1" t="s">
        <v>43</v>
      </c>
    </row>
    <row r="357" spans="6:26">
      <c r="F357">
        <v>24</v>
      </c>
      <c r="G357" s="1" t="s">
        <v>55</v>
      </c>
      <c r="I357">
        <v>24</v>
      </c>
      <c r="J357" s="1" t="s">
        <v>55</v>
      </c>
      <c r="K357" s="1" t="s">
        <v>54</v>
      </c>
      <c r="X357">
        <v>24</v>
      </c>
      <c r="Y357" s="1" t="s">
        <v>55</v>
      </c>
      <c r="Z357" s="1" t="s">
        <v>56</v>
      </c>
    </row>
    <row r="358" spans="6:26">
      <c r="F358" s="1" t="s">
        <v>42</v>
      </c>
      <c r="G358" s="1" t="s">
        <v>44</v>
      </c>
      <c r="I358" s="1" t="s">
        <v>42</v>
      </c>
      <c r="J358" s="1" t="s">
        <v>44</v>
      </c>
      <c r="K358" s="1" t="s">
        <v>43</v>
      </c>
      <c r="X358" s="1" t="s">
        <v>42</v>
      </c>
      <c r="Y358" s="1" t="s">
        <v>44</v>
      </c>
      <c r="Z358" s="1" t="s">
        <v>43</v>
      </c>
    </row>
    <row r="359" spans="6:26">
      <c r="F359">
        <v>25</v>
      </c>
      <c r="G359" s="1" t="s">
        <v>55</v>
      </c>
      <c r="I359">
        <v>25</v>
      </c>
      <c r="J359" s="1" t="s">
        <v>55</v>
      </c>
      <c r="K359" s="1" t="s">
        <v>54</v>
      </c>
      <c r="X359">
        <v>25</v>
      </c>
      <c r="Y359" s="1" t="s">
        <v>55</v>
      </c>
      <c r="Z359" s="1" t="s">
        <v>56</v>
      </c>
    </row>
    <row r="360" spans="6:26">
      <c r="F360" s="1" t="s">
        <v>42</v>
      </c>
      <c r="G360" s="1" t="s">
        <v>44</v>
      </c>
      <c r="I360" s="1" t="s">
        <v>42</v>
      </c>
      <c r="J360" s="1" t="s">
        <v>44</v>
      </c>
      <c r="K360" s="1" t="s">
        <v>43</v>
      </c>
      <c r="X360" s="1" t="s">
        <v>42</v>
      </c>
      <c r="Y360" s="1" t="s">
        <v>44</v>
      </c>
      <c r="Z360" s="1" t="s">
        <v>43</v>
      </c>
    </row>
    <row r="361" spans="6:26">
      <c r="F361">
        <v>26</v>
      </c>
      <c r="G361" s="1" t="s">
        <v>55</v>
      </c>
      <c r="I361">
        <v>26</v>
      </c>
      <c r="J361" s="1" t="s">
        <v>55</v>
      </c>
      <c r="K361" s="1" t="s">
        <v>54</v>
      </c>
      <c r="X361">
        <v>26</v>
      </c>
      <c r="Y361" s="1" t="s">
        <v>55</v>
      </c>
      <c r="Z361" s="1" t="s">
        <v>56</v>
      </c>
    </row>
    <row r="362" spans="6:26">
      <c r="F362" s="1" t="s">
        <v>42</v>
      </c>
      <c r="G362" s="1" t="s">
        <v>44</v>
      </c>
      <c r="I362" s="1" t="s">
        <v>42</v>
      </c>
      <c r="J362" s="1" t="s">
        <v>44</v>
      </c>
      <c r="K362" s="1" t="s">
        <v>43</v>
      </c>
      <c r="X362" s="1" t="s">
        <v>42</v>
      </c>
      <c r="Y362" s="1" t="s">
        <v>44</v>
      </c>
      <c r="Z362" s="1" t="s">
        <v>43</v>
      </c>
    </row>
    <row r="363" spans="6:26">
      <c r="F363">
        <v>27</v>
      </c>
      <c r="G363" s="1" t="s">
        <v>55</v>
      </c>
      <c r="I363">
        <v>27</v>
      </c>
      <c r="J363" s="1" t="s">
        <v>55</v>
      </c>
      <c r="K363" s="1" t="s">
        <v>54</v>
      </c>
      <c r="X363">
        <v>27</v>
      </c>
      <c r="Y363" s="1" t="s">
        <v>55</v>
      </c>
      <c r="Z363" s="1" t="s">
        <v>56</v>
      </c>
    </row>
    <row r="364" spans="6:26">
      <c r="F364" s="1" t="s">
        <v>42</v>
      </c>
      <c r="G364" s="1" t="s">
        <v>44</v>
      </c>
      <c r="I364" s="1" t="s">
        <v>42</v>
      </c>
      <c r="J364" s="1" t="s">
        <v>44</v>
      </c>
      <c r="K364" s="1" t="s">
        <v>43</v>
      </c>
      <c r="X364" s="1" t="s">
        <v>42</v>
      </c>
      <c r="Y364" s="1" t="s">
        <v>44</v>
      </c>
      <c r="Z364" s="1" t="s">
        <v>43</v>
      </c>
    </row>
    <row r="365" spans="6:26">
      <c r="F365">
        <v>28</v>
      </c>
      <c r="G365" s="1" t="s">
        <v>55</v>
      </c>
      <c r="I365">
        <v>28</v>
      </c>
      <c r="J365" s="1" t="s">
        <v>55</v>
      </c>
      <c r="K365" s="1" t="s">
        <v>54</v>
      </c>
      <c r="X365">
        <v>28</v>
      </c>
      <c r="Y365" s="1" t="s">
        <v>55</v>
      </c>
      <c r="Z365" s="1" t="s">
        <v>56</v>
      </c>
    </row>
    <row r="366" spans="6:26">
      <c r="F366" s="1" t="s">
        <v>42</v>
      </c>
      <c r="G366" s="1" t="s">
        <v>44</v>
      </c>
      <c r="I366" s="1" t="s">
        <v>42</v>
      </c>
      <c r="J366" s="1" t="s">
        <v>44</v>
      </c>
      <c r="K366" s="1" t="s">
        <v>43</v>
      </c>
      <c r="X366" s="1" t="s">
        <v>42</v>
      </c>
      <c r="Y366" s="1" t="s">
        <v>44</v>
      </c>
      <c r="Z366" s="1" t="s">
        <v>43</v>
      </c>
    </row>
    <row r="367" spans="6:26">
      <c r="F367">
        <v>29</v>
      </c>
      <c r="G367" s="1" t="s">
        <v>55</v>
      </c>
      <c r="I367">
        <v>29</v>
      </c>
      <c r="J367" s="1" t="s">
        <v>55</v>
      </c>
      <c r="K367" s="1" t="s">
        <v>54</v>
      </c>
      <c r="X367">
        <v>29</v>
      </c>
      <c r="Y367" s="1" t="s">
        <v>55</v>
      </c>
      <c r="Z367" s="1" t="s">
        <v>56</v>
      </c>
    </row>
    <row r="368" spans="6:26">
      <c r="F368" s="1" t="s">
        <v>42</v>
      </c>
      <c r="G368" s="1" t="s">
        <v>44</v>
      </c>
      <c r="I368" s="1" t="s">
        <v>42</v>
      </c>
      <c r="J368" s="1" t="s">
        <v>44</v>
      </c>
      <c r="K368" s="1" t="s">
        <v>43</v>
      </c>
      <c r="X368" s="1" t="s">
        <v>42</v>
      </c>
      <c r="Y368" s="1" t="s">
        <v>44</v>
      </c>
      <c r="Z368" s="1" t="s">
        <v>43</v>
      </c>
    </row>
    <row r="369" spans="6:26">
      <c r="F369">
        <v>30</v>
      </c>
      <c r="G369" s="1" t="s">
        <v>55</v>
      </c>
      <c r="I369">
        <v>30</v>
      </c>
      <c r="J369" s="1" t="s">
        <v>55</v>
      </c>
      <c r="K369" s="1" t="s">
        <v>54</v>
      </c>
      <c r="X369">
        <v>30</v>
      </c>
      <c r="Y369" s="1" t="s">
        <v>55</v>
      </c>
      <c r="Z369" s="1" t="s">
        <v>56</v>
      </c>
    </row>
    <row r="370" spans="6:26">
      <c r="F370" s="1" t="s">
        <v>42</v>
      </c>
      <c r="G370" s="1" t="s">
        <v>44</v>
      </c>
      <c r="I370" s="1" t="s">
        <v>42</v>
      </c>
      <c r="J370" s="1" t="s">
        <v>44</v>
      </c>
      <c r="K370" s="1" t="s">
        <v>43</v>
      </c>
      <c r="X370" s="1" t="s">
        <v>42</v>
      </c>
      <c r="Y370" s="1" t="s">
        <v>44</v>
      </c>
      <c r="Z370" s="1" t="s">
        <v>43</v>
      </c>
    </row>
    <row r="371" spans="6:26">
      <c r="F371">
        <v>31</v>
      </c>
      <c r="G371" s="1" t="s">
        <v>55</v>
      </c>
      <c r="I371">
        <v>31</v>
      </c>
      <c r="J371" s="1" t="s">
        <v>55</v>
      </c>
      <c r="K371" s="1" t="s">
        <v>54</v>
      </c>
      <c r="X371">
        <v>31</v>
      </c>
      <c r="Y371" s="1" t="s">
        <v>55</v>
      </c>
      <c r="Z371" s="1" t="s">
        <v>56</v>
      </c>
    </row>
    <row r="372" spans="6:26">
      <c r="F372" s="1" t="s">
        <v>42</v>
      </c>
      <c r="G372" s="1" t="s">
        <v>44</v>
      </c>
      <c r="I372" s="1" t="s">
        <v>42</v>
      </c>
      <c r="J372" s="1" t="s">
        <v>44</v>
      </c>
      <c r="K372" s="1" t="s">
        <v>43</v>
      </c>
      <c r="X372" s="1" t="s">
        <v>42</v>
      </c>
      <c r="Y372" s="1" t="s">
        <v>44</v>
      </c>
      <c r="Z372" s="1" t="s">
        <v>43</v>
      </c>
    </row>
    <row r="373" spans="6:26">
      <c r="F373">
        <v>32</v>
      </c>
      <c r="G373" s="1" t="s">
        <v>55</v>
      </c>
      <c r="I373">
        <v>32</v>
      </c>
      <c r="J373" s="1" t="s">
        <v>55</v>
      </c>
      <c r="K373" s="1" t="s">
        <v>54</v>
      </c>
      <c r="X373">
        <v>32</v>
      </c>
      <c r="Y373" s="1" t="s">
        <v>55</v>
      </c>
      <c r="Z373" s="1" t="s">
        <v>56</v>
      </c>
    </row>
    <row r="374" spans="6:26">
      <c r="F374" s="1" t="s">
        <v>42</v>
      </c>
      <c r="G374" s="1" t="s">
        <v>44</v>
      </c>
      <c r="I374" s="1" t="s">
        <v>42</v>
      </c>
      <c r="J374" s="1" t="s">
        <v>44</v>
      </c>
      <c r="K374" s="1" t="s">
        <v>43</v>
      </c>
      <c r="X374" s="1" t="s">
        <v>42</v>
      </c>
      <c r="Y374" s="1" t="s">
        <v>44</v>
      </c>
      <c r="Z374" s="1" t="s">
        <v>43</v>
      </c>
    </row>
    <row r="375" spans="6:26">
      <c r="F375">
        <v>33</v>
      </c>
      <c r="G375" s="1" t="s">
        <v>55</v>
      </c>
      <c r="I375">
        <v>33</v>
      </c>
      <c r="J375" s="1" t="s">
        <v>55</v>
      </c>
      <c r="K375" s="1" t="s">
        <v>54</v>
      </c>
      <c r="X375">
        <v>33</v>
      </c>
      <c r="Y375" s="1" t="s">
        <v>55</v>
      </c>
      <c r="Z375" s="1" t="s">
        <v>56</v>
      </c>
    </row>
    <row r="376" spans="6:26">
      <c r="F376" s="1" t="s">
        <v>42</v>
      </c>
      <c r="G376" s="1" t="s">
        <v>44</v>
      </c>
      <c r="I376" s="1" t="s">
        <v>42</v>
      </c>
      <c r="J376" s="1" t="s">
        <v>44</v>
      </c>
      <c r="K376" s="1" t="s">
        <v>43</v>
      </c>
      <c r="X376" s="1" t="s">
        <v>42</v>
      </c>
      <c r="Y376" s="1" t="s">
        <v>44</v>
      </c>
      <c r="Z376" s="1" t="s">
        <v>43</v>
      </c>
    </row>
    <row r="377" spans="6:26">
      <c r="F377">
        <v>34</v>
      </c>
      <c r="G377" s="1" t="s">
        <v>55</v>
      </c>
      <c r="I377">
        <v>34</v>
      </c>
      <c r="J377" s="1" t="s">
        <v>55</v>
      </c>
      <c r="K377" s="1" t="s">
        <v>54</v>
      </c>
      <c r="X377">
        <v>34</v>
      </c>
      <c r="Y377" s="1" t="s">
        <v>55</v>
      </c>
      <c r="Z377" s="1" t="s">
        <v>56</v>
      </c>
    </row>
    <row r="378" spans="6:26">
      <c r="F378" s="1" t="s">
        <v>42</v>
      </c>
      <c r="G378" s="1" t="s">
        <v>44</v>
      </c>
      <c r="I378" s="1" t="s">
        <v>42</v>
      </c>
      <c r="J378" s="1" t="s">
        <v>44</v>
      </c>
      <c r="K378" s="1" t="s">
        <v>43</v>
      </c>
      <c r="X378" s="1" t="s">
        <v>42</v>
      </c>
      <c r="Y378" s="1" t="s">
        <v>44</v>
      </c>
      <c r="Z378" s="1" t="s">
        <v>43</v>
      </c>
    </row>
    <row r="379" spans="6:26">
      <c r="F379">
        <v>35</v>
      </c>
      <c r="G379" s="1" t="s">
        <v>55</v>
      </c>
      <c r="I379">
        <v>35</v>
      </c>
      <c r="J379" s="1" t="s">
        <v>55</v>
      </c>
      <c r="K379" s="1" t="s">
        <v>54</v>
      </c>
      <c r="X379">
        <v>35</v>
      </c>
      <c r="Y379" s="1" t="s">
        <v>55</v>
      </c>
      <c r="Z379" s="1" t="s">
        <v>56</v>
      </c>
    </row>
    <row r="380" spans="6:26">
      <c r="F380" s="1" t="s">
        <v>42</v>
      </c>
      <c r="G380" s="1" t="s">
        <v>44</v>
      </c>
      <c r="I380" s="1" t="s">
        <v>42</v>
      </c>
      <c r="J380" s="1" t="s">
        <v>44</v>
      </c>
      <c r="K380" s="1" t="s">
        <v>43</v>
      </c>
      <c r="X380" s="1" t="s">
        <v>42</v>
      </c>
      <c r="Y380" s="1" t="s">
        <v>44</v>
      </c>
      <c r="Z380" s="1" t="s">
        <v>43</v>
      </c>
    </row>
    <row r="381" spans="6:26">
      <c r="F381">
        <v>36</v>
      </c>
      <c r="G381" s="1" t="s">
        <v>55</v>
      </c>
      <c r="I381">
        <v>36</v>
      </c>
      <c r="J381" s="1" t="s">
        <v>55</v>
      </c>
      <c r="K381" s="1" t="s">
        <v>54</v>
      </c>
      <c r="X381">
        <v>36</v>
      </c>
      <c r="Y381" s="1" t="s">
        <v>55</v>
      </c>
      <c r="Z381" s="1" t="s">
        <v>56</v>
      </c>
    </row>
    <row r="382" spans="6:26">
      <c r="F382" s="1" t="s">
        <v>42</v>
      </c>
      <c r="G382" s="1" t="s">
        <v>44</v>
      </c>
      <c r="I382" s="1" t="s">
        <v>42</v>
      </c>
      <c r="J382" s="1" t="s">
        <v>44</v>
      </c>
      <c r="K382" s="1" t="s">
        <v>43</v>
      </c>
      <c r="X382" s="1" t="s">
        <v>42</v>
      </c>
      <c r="Y382" s="1" t="s">
        <v>44</v>
      </c>
      <c r="Z382" s="1" t="s">
        <v>43</v>
      </c>
    </row>
    <row r="383" spans="6:26">
      <c r="F383">
        <v>37</v>
      </c>
      <c r="G383" s="1" t="s">
        <v>55</v>
      </c>
      <c r="I383">
        <v>37</v>
      </c>
      <c r="J383" s="1" t="s">
        <v>55</v>
      </c>
      <c r="K383" s="1" t="s">
        <v>54</v>
      </c>
      <c r="X383">
        <v>37</v>
      </c>
      <c r="Y383" s="1" t="s">
        <v>55</v>
      </c>
      <c r="Z383" s="1" t="s">
        <v>56</v>
      </c>
    </row>
    <row r="384" spans="6:26">
      <c r="F384" s="1" t="s">
        <v>42</v>
      </c>
      <c r="G384" s="1" t="s">
        <v>44</v>
      </c>
      <c r="I384" s="1" t="s">
        <v>42</v>
      </c>
      <c r="J384" s="1" t="s">
        <v>44</v>
      </c>
      <c r="K384" s="1" t="s">
        <v>43</v>
      </c>
      <c r="X384" s="1" t="s">
        <v>42</v>
      </c>
      <c r="Y384" s="1" t="s">
        <v>44</v>
      </c>
      <c r="Z384" s="1" t="s">
        <v>43</v>
      </c>
    </row>
    <row r="385" spans="6:26">
      <c r="F385">
        <v>38</v>
      </c>
      <c r="G385" s="1" t="s">
        <v>55</v>
      </c>
      <c r="I385">
        <v>38</v>
      </c>
      <c r="J385" s="1" t="s">
        <v>55</v>
      </c>
      <c r="K385" s="1" t="s">
        <v>54</v>
      </c>
      <c r="X385">
        <v>38</v>
      </c>
      <c r="Y385" s="1" t="s">
        <v>55</v>
      </c>
      <c r="Z385" s="1" t="s">
        <v>56</v>
      </c>
    </row>
    <row r="386" spans="6:26">
      <c r="F386" s="1" t="s">
        <v>42</v>
      </c>
      <c r="G386" s="1" t="s">
        <v>44</v>
      </c>
      <c r="I386" s="1" t="s">
        <v>42</v>
      </c>
      <c r="J386" s="1" t="s">
        <v>44</v>
      </c>
      <c r="K386" s="1" t="s">
        <v>43</v>
      </c>
      <c r="X386" s="1" t="s">
        <v>42</v>
      </c>
      <c r="Y386" s="1" t="s">
        <v>44</v>
      </c>
      <c r="Z386" s="1" t="s">
        <v>43</v>
      </c>
    </row>
    <row r="387" spans="6:26">
      <c r="F387">
        <v>39</v>
      </c>
      <c r="G387" s="1" t="s">
        <v>55</v>
      </c>
      <c r="I387">
        <v>39</v>
      </c>
      <c r="J387" s="1" t="s">
        <v>55</v>
      </c>
      <c r="K387" s="1" t="s">
        <v>54</v>
      </c>
      <c r="X387">
        <v>39</v>
      </c>
      <c r="Y387" s="1" t="s">
        <v>55</v>
      </c>
      <c r="Z387" s="1" t="s">
        <v>56</v>
      </c>
    </row>
    <row r="388" spans="6:26">
      <c r="F388" s="1" t="s">
        <v>42</v>
      </c>
      <c r="G388" s="1" t="s">
        <v>44</v>
      </c>
      <c r="I388" s="1" t="s">
        <v>42</v>
      </c>
      <c r="J388" s="1" t="s">
        <v>44</v>
      </c>
      <c r="K388" s="1" t="s">
        <v>43</v>
      </c>
      <c r="X388" s="1" t="s">
        <v>42</v>
      </c>
      <c r="Y388" s="1" t="s">
        <v>44</v>
      </c>
      <c r="Z388" s="1" t="s">
        <v>43</v>
      </c>
    </row>
    <row r="389" spans="6:26">
      <c r="F389">
        <v>40</v>
      </c>
      <c r="G389" s="1" t="s">
        <v>55</v>
      </c>
      <c r="I389">
        <v>40</v>
      </c>
      <c r="J389" s="1" t="s">
        <v>55</v>
      </c>
      <c r="K389" s="1" t="s">
        <v>54</v>
      </c>
      <c r="X389">
        <v>40</v>
      </c>
      <c r="Y389" s="1" t="s">
        <v>55</v>
      </c>
      <c r="Z389" s="1" t="s">
        <v>56</v>
      </c>
    </row>
    <row r="390" spans="6:26">
      <c r="F390" s="1" t="s">
        <v>42</v>
      </c>
      <c r="G390" s="1" t="s">
        <v>44</v>
      </c>
      <c r="I390" s="1" t="s">
        <v>42</v>
      </c>
      <c r="J390" s="1" t="s">
        <v>44</v>
      </c>
      <c r="K390" s="1" t="s">
        <v>43</v>
      </c>
      <c r="X390" s="1" t="s">
        <v>42</v>
      </c>
      <c r="Y390" s="1" t="s">
        <v>44</v>
      </c>
      <c r="Z390" s="1" t="s">
        <v>43</v>
      </c>
    </row>
    <row r="391" spans="6:26">
      <c r="F391">
        <v>41</v>
      </c>
      <c r="G391" s="1" t="s">
        <v>55</v>
      </c>
      <c r="I391">
        <v>41</v>
      </c>
      <c r="J391" s="1" t="s">
        <v>55</v>
      </c>
      <c r="K391" s="1" t="s">
        <v>54</v>
      </c>
      <c r="X391">
        <v>41</v>
      </c>
      <c r="Y391" s="1" t="s">
        <v>55</v>
      </c>
      <c r="Z391" s="1" t="s">
        <v>56</v>
      </c>
    </row>
    <row r="392" spans="6:26">
      <c r="F392" s="1" t="s">
        <v>42</v>
      </c>
      <c r="G392" s="1" t="s">
        <v>44</v>
      </c>
      <c r="I392" s="1" t="s">
        <v>42</v>
      </c>
      <c r="J392" s="1" t="s">
        <v>44</v>
      </c>
      <c r="K392" s="1" t="s">
        <v>43</v>
      </c>
      <c r="X392" s="1" t="s">
        <v>42</v>
      </c>
      <c r="Y392" s="1" t="s">
        <v>44</v>
      </c>
      <c r="Z392" s="1" t="s">
        <v>43</v>
      </c>
    </row>
    <row r="393" spans="6:26">
      <c r="F393">
        <v>42</v>
      </c>
      <c r="G393" s="1" t="s">
        <v>55</v>
      </c>
      <c r="I393">
        <v>42</v>
      </c>
      <c r="J393" s="1" t="s">
        <v>55</v>
      </c>
      <c r="K393" s="1" t="s">
        <v>54</v>
      </c>
      <c r="X393">
        <v>42</v>
      </c>
      <c r="Y393" s="1" t="s">
        <v>55</v>
      </c>
      <c r="Z393" s="1" t="s">
        <v>56</v>
      </c>
    </row>
    <row r="394" spans="6:26">
      <c r="F394" s="1" t="s">
        <v>42</v>
      </c>
      <c r="G394" s="1" t="s">
        <v>44</v>
      </c>
      <c r="I394" s="1" t="s">
        <v>42</v>
      </c>
      <c r="J394" s="1" t="s">
        <v>44</v>
      </c>
      <c r="K394" s="1" t="s">
        <v>43</v>
      </c>
      <c r="X394" s="1" t="s">
        <v>42</v>
      </c>
      <c r="Y394" s="1" t="s">
        <v>44</v>
      </c>
      <c r="Z394" s="1" t="s">
        <v>43</v>
      </c>
    </row>
    <row r="395" spans="6:26">
      <c r="F395">
        <v>43</v>
      </c>
      <c r="G395" s="1" t="s">
        <v>55</v>
      </c>
      <c r="I395">
        <v>43</v>
      </c>
      <c r="J395" s="1" t="s">
        <v>55</v>
      </c>
      <c r="K395" s="1" t="s">
        <v>54</v>
      </c>
      <c r="X395">
        <v>43</v>
      </c>
      <c r="Y395" s="1" t="s">
        <v>55</v>
      </c>
      <c r="Z395" s="1" t="s">
        <v>56</v>
      </c>
    </row>
    <row r="396" spans="6:26">
      <c r="F396" s="1" t="s">
        <v>42</v>
      </c>
      <c r="G396" s="1" t="s">
        <v>44</v>
      </c>
      <c r="I396" s="1" t="s">
        <v>42</v>
      </c>
      <c r="J396" s="1" t="s">
        <v>44</v>
      </c>
      <c r="K396" s="1" t="s">
        <v>43</v>
      </c>
      <c r="X396" s="1" t="s">
        <v>42</v>
      </c>
      <c r="Y396" s="1" t="s">
        <v>44</v>
      </c>
      <c r="Z396" s="1" t="s">
        <v>43</v>
      </c>
    </row>
    <row r="397" spans="6:26">
      <c r="F397">
        <v>44</v>
      </c>
      <c r="G397" s="1" t="s">
        <v>55</v>
      </c>
      <c r="I397">
        <v>44</v>
      </c>
      <c r="J397" s="1" t="s">
        <v>55</v>
      </c>
      <c r="K397" s="1" t="s">
        <v>54</v>
      </c>
      <c r="X397">
        <v>44</v>
      </c>
      <c r="Y397" s="1" t="s">
        <v>55</v>
      </c>
      <c r="Z397" s="1" t="s">
        <v>56</v>
      </c>
    </row>
    <row r="398" spans="6:26">
      <c r="F398" s="1" t="s">
        <v>42</v>
      </c>
      <c r="G398" s="1" t="s">
        <v>44</v>
      </c>
      <c r="I398" s="1" t="s">
        <v>42</v>
      </c>
      <c r="J398" s="1" t="s">
        <v>44</v>
      </c>
      <c r="K398" s="1" t="s">
        <v>43</v>
      </c>
      <c r="X398" s="1" t="s">
        <v>42</v>
      </c>
      <c r="Y398" s="1" t="s">
        <v>44</v>
      </c>
      <c r="Z398" s="1" t="s">
        <v>43</v>
      </c>
    </row>
    <row r="399" spans="6:26">
      <c r="F399">
        <v>45</v>
      </c>
      <c r="G399" s="1" t="s">
        <v>55</v>
      </c>
      <c r="I399">
        <v>45</v>
      </c>
      <c r="J399" s="1" t="s">
        <v>55</v>
      </c>
      <c r="K399" s="1" t="s">
        <v>54</v>
      </c>
      <c r="X399">
        <v>45</v>
      </c>
      <c r="Y399" s="1" t="s">
        <v>55</v>
      </c>
      <c r="Z399" s="1" t="s">
        <v>56</v>
      </c>
    </row>
    <row r="400" spans="6:26">
      <c r="F400" s="1" t="s">
        <v>42</v>
      </c>
      <c r="G400" s="1" t="s">
        <v>44</v>
      </c>
      <c r="I400" s="1" t="s">
        <v>42</v>
      </c>
      <c r="J400" s="1" t="s">
        <v>44</v>
      </c>
      <c r="K400" s="1" t="s">
        <v>43</v>
      </c>
      <c r="X400" s="1" t="s">
        <v>42</v>
      </c>
      <c r="Y400" s="1" t="s">
        <v>44</v>
      </c>
      <c r="Z400" s="1" t="s">
        <v>43</v>
      </c>
    </row>
    <row r="401" spans="6:26">
      <c r="F401">
        <v>46</v>
      </c>
      <c r="G401" s="1" t="s">
        <v>55</v>
      </c>
      <c r="I401">
        <v>46</v>
      </c>
      <c r="J401" s="1" t="s">
        <v>55</v>
      </c>
      <c r="K401" s="1" t="s">
        <v>54</v>
      </c>
      <c r="X401">
        <v>46</v>
      </c>
      <c r="Y401" s="1" t="s">
        <v>55</v>
      </c>
      <c r="Z401" s="1" t="s">
        <v>56</v>
      </c>
    </row>
    <row r="402" spans="6:26">
      <c r="F402" s="1" t="s">
        <v>42</v>
      </c>
      <c r="G402" s="1" t="s">
        <v>44</v>
      </c>
      <c r="I402" s="1" t="s">
        <v>42</v>
      </c>
      <c r="J402" s="1" t="s">
        <v>44</v>
      </c>
      <c r="K402" s="1" t="s">
        <v>43</v>
      </c>
      <c r="X402" s="1" t="s">
        <v>42</v>
      </c>
      <c r="Y402" s="1" t="s">
        <v>44</v>
      </c>
      <c r="Z402" s="1" t="s">
        <v>43</v>
      </c>
    </row>
    <row r="403" spans="6:26">
      <c r="F403">
        <v>47</v>
      </c>
      <c r="G403" s="1" t="s">
        <v>55</v>
      </c>
      <c r="I403">
        <v>47</v>
      </c>
      <c r="J403" s="1" t="s">
        <v>55</v>
      </c>
      <c r="K403" s="1" t="s">
        <v>54</v>
      </c>
      <c r="X403">
        <v>47</v>
      </c>
      <c r="Y403" s="1" t="s">
        <v>55</v>
      </c>
      <c r="Z403" s="1" t="s">
        <v>56</v>
      </c>
    </row>
    <row r="404" spans="6:26">
      <c r="F404" s="1" t="s">
        <v>42</v>
      </c>
      <c r="G404" s="1" t="s">
        <v>44</v>
      </c>
      <c r="I404" s="1" t="s">
        <v>42</v>
      </c>
      <c r="J404" s="1" t="s">
        <v>44</v>
      </c>
      <c r="K404" s="1" t="s">
        <v>43</v>
      </c>
      <c r="X404" s="1" t="s">
        <v>42</v>
      </c>
      <c r="Y404" s="1" t="s">
        <v>44</v>
      </c>
      <c r="Z404" s="1" t="s">
        <v>43</v>
      </c>
    </row>
    <row r="405" spans="6:26">
      <c r="F405">
        <v>48</v>
      </c>
      <c r="G405" s="1" t="s">
        <v>55</v>
      </c>
      <c r="I405">
        <v>48</v>
      </c>
      <c r="J405" s="1" t="s">
        <v>55</v>
      </c>
      <c r="K405" s="1" t="s">
        <v>54</v>
      </c>
      <c r="X405">
        <v>48</v>
      </c>
      <c r="Y405" s="1" t="s">
        <v>55</v>
      </c>
      <c r="Z405" s="1" t="s">
        <v>56</v>
      </c>
    </row>
    <row r="406" spans="6:26">
      <c r="F406" s="1" t="s">
        <v>42</v>
      </c>
      <c r="G406" s="1" t="s">
        <v>44</v>
      </c>
      <c r="I406" s="1" t="s">
        <v>42</v>
      </c>
      <c r="J406" s="1" t="s">
        <v>44</v>
      </c>
      <c r="K406" s="1" t="s">
        <v>43</v>
      </c>
      <c r="X406" s="1" t="s">
        <v>42</v>
      </c>
      <c r="Y406" s="1" t="s">
        <v>44</v>
      </c>
      <c r="Z406" s="1" t="s">
        <v>43</v>
      </c>
    </row>
    <row r="407" spans="6:26">
      <c r="F407">
        <v>49</v>
      </c>
      <c r="G407" s="1" t="s">
        <v>55</v>
      </c>
      <c r="I407">
        <v>49</v>
      </c>
      <c r="J407" s="1" t="s">
        <v>55</v>
      </c>
      <c r="K407" s="1" t="s">
        <v>54</v>
      </c>
      <c r="X407">
        <v>49</v>
      </c>
      <c r="Y407" s="1" t="s">
        <v>55</v>
      </c>
      <c r="Z407" s="1" t="s">
        <v>56</v>
      </c>
    </row>
    <row r="408" spans="6:26">
      <c r="F408" s="1" t="s">
        <v>42</v>
      </c>
      <c r="G408" s="1" t="s">
        <v>44</v>
      </c>
      <c r="I408" s="1" t="s">
        <v>42</v>
      </c>
      <c r="J408" s="1" t="s">
        <v>44</v>
      </c>
      <c r="K408" s="1" t="s">
        <v>43</v>
      </c>
      <c r="X408" s="1" t="s">
        <v>42</v>
      </c>
      <c r="Y408" s="1" t="s">
        <v>44</v>
      </c>
      <c r="Z408" s="1" t="s">
        <v>43</v>
      </c>
    </row>
    <row r="409" spans="6:26">
      <c r="F409">
        <v>50</v>
      </c>
      <c r="G409" s="1" t="s">
        <v>55</v>
      </c>
      <c r="I409">
        <v>50</v>
      </c>
      <c r="J409" s="1" t="s">
        <v>55</v>
      </c>
      <c r="K409" s="1" t="s">
        <v>54</v>
      </c>
      <c r="X409">
        <v>50</v>
      </c>
      <c r="Y409" s="1" t="s">
        <v>55</v>
      </c>
      <c r="Z409" s="1" t="s">
        <v>56</v>
      </c>
    </row>
    <row r="410" spans="6:26">
      <c r="F410" s="1" t="s">
        <v>42</v>
      </c>
      <c r="G410" s="1" t="s">
        <v>44</v>
      </c>
      <c r="I410" s="1" t="s">
        <v>42</v>
      </c>
      <c r="J410" s="1" t="s">
        <v>44</v>
      </c>
      <c r="K410" s="1" t="s">
        <v>43</v>
      </c>
      <c r="X410" s="1" t="s">
        <v>42</v>
      </c>
      <c r="Y410" s="1" t="s">
        <v>44</v>
      </c>
      <c r="Z410" s="1" t="s">
        <v>43</v>
      </c>
    </row>
    <row r="411" spans="6:26">
      <c r="F411">
        <v>51</v>
      </c>
      <c r="G411" s="1" t="s">
        <v>55</v>
      </c>
      <c r="I411">
        <v>51</v>
      </c>
      <c r="J411" s="1" t="s">
        <v>55</v>
      </c>
      <c r="K411" s="1" t="s">
        <v>54</v>
      </c>
      <c r="X411">
        <v>51</v>
      </c>
      <c r="Y411" s="1" t="s">
        <v>55</v>
      </c>
      <c r="Z411" s="1" t="s">
        <v>56</v>
      </c>
    </row>
    <row r="412" spans="6:26">
      <c r="F412" s="1" t="s">
        <v>42</v>
      </c>
      <c r="G412" s="1" t="s">
        <v>44</v>
      </c>
      <c r="I412" s="1" t="s">
        <v>42</v>
      </c>
      <c r="J412" s="1" t="s">
        <v>44</v>
      </c>
      <c r="K412" s="1" t="s">
        <v>43</v>
      </c>
      <c r="X412" s="1" t="s">
        <v>42</v>
      </c>
      <c r="Y412" s="1" t="s">
        <v>44</v>
      </c>
      <c r="Z412" s="1" t="s">
        <v>43</v>
      </c>
    </row>
    <row r="413" spans="6:26">
      <c r="F413">
        <v>52</v>
      </c>
      <c r="G413" s="1" t="s">
        <v>55</v>
      </c>
      <c r="I413">
        <v>52</v>
      </c>
      <c r="J413" s="1" t="s">
        <v>55</v>
      </c>
      <c r="K413" s="1" t="s">
        <v>54</v>
      </c>
      <c r="X413">
        <v>52</v>
      </c>
      <c r="Y413" s="1" t="s">
        <v>55</v>
      </c>
      <c r="Z413" s="1" t="s">
        <v>56</v>
      </c>
    </row>
    <row r="414" spans="6:26">
      <c r="F414" s="1" t="s">
        <v>42</v>
      </c>
      <c r="G414" s="1" t="s">
        <v>44</v>
      </c>
      <c r="I414" s="1" t="s">
        <v>42</v>
      </c>
      <c r="J414" s="1" t="s">
        <v>44</v>
      </c>
      <c r="K414" s="1" t="s">
        <v>43</v>
      </c>
      <c r="X414" s="1" t="s">
        <v>42</v>
      </c>
      <c r="Y414" s="1" t="s">
        <v>44</v>
      </c>
      <c r="Z414" s="1" t="s">
        <v>43</v>
      </c>
    </row>
    <row r="415" spans="6:26">
      <c r="F415">
        <v>53</v>
      </c>
      <c r="G415" s="1" t="s">
        <v>55</v>
      </c>
      <c r="I415">
        <v>53</v>
      </c>
      <c r="J415" s="1" t="s">
        <v>55</v>
      </c>
      <c r="K415" s="1" t="s">
        <v>54</v>
      </c>
      <c r="X415">
        <v>53</v>
      </c>
      <c r="Y415" s="1" t="s">
        <v>55</v>
      </c>
      <c r="Z415" s="1" t="s">
        <v>56</v>
      </c>
    </row>
    <row r="416" spans="6:26">
      <c r="F416" s="1" t="s">
        <v>42</v>
      </c>
      <c r="G416" s="1" t="s">
        <v>44</v>
      </c>
      <c r="I416" s="1" t="s">
        <v>42</v>
      </c>
      <c r="J416" s="1" t="s">
        <v>44</v>
      </c>
      <c r="K416" s="1" t="s">
        <v>43</v>
      </c>
      <c r="X416" s="1" t="s">
        <v>42</v>
      </c>
      <c r="Y416" s="1" t="s">
        <v>44</v>
      </c>
      <c r="Z416" s="1" t="s">
        <v>43</v>
      </c>
    </row>
    <row r="417" spans="6:26">
      <c r="F417">
        <v>54</v>
      </c>
      <c r="G417" s="1" t="s">
        <v>55</v>
      </c>
      <c r="I417">
        <v>54</v>
      </c>
      <c r="J417" s="1" t="s">
        <v>55</v>
      </c>
      <c r="K417" s="1" t="s">
        <v>54</v>
      </c>
      <c r="X417">
        <v>54</v>
      </c>
      <c r="Y417" s="1" t="s">
        <v>55</v>
      </c>
      <c r="Z417" s="1" t="s">
        <v>56</v>
      </c>
    </row>
    <row r="418" spans="6:26">
      <c r="F418" s="1" t="s">
        <v>42</v>
      </c>
      <c r="G418" s="1" t="s">
        <v>44</v>
      </c>
      <c r="I418" s="1" t="s">
        <v>42</v>
      </c>
      <c r="J418" s="1" t="s">
        <v>44</v>
      </c>
      <c r="K418" s="1" t="s">
        <v>43</v>
      </c>
      <c r="X418" s="1" t="s">
        <v>42</v>
      </c>
      <c r="Y418" s="1" t="s">
        <v>44</v>
      </c>
      <c r="Z418" s="1" t="s">
        <v>43</v>
      </c>
    </row>
    <row r="419" spans="6:26">
      <c r="F419">
        <v>55</v>
      </c>
      <c r="G419" s="1" t="s">
        <v>55</v>
      </c>
      <c r="I419">
        <v>55</v>
      </c>
      <c r="J419" s="1" t="s">
        <v>55</v>
      </c>
      <c r="K419" s="1" t="s">
        <v>54</v>
      </c>
      <c r="X419">
        <v>55</v>
      </c>
      <c r="Y419" s="1" t="s">
        <v>55</v>
      </c>
      <c r="Z419" s="1" t="s">
        <v>56</v>
      </c>
    </row>
    <row r="420" spans="6:26">
      <c r="F420" s="1" t="s">
        <v>42</v>
      </c>
      <c r="G420" s="1" t="s">
        <v>44</v>
      </c>
      <c r="I420" s="1" t="s">
        <v>42</v>
      </c>
      <c r="J420" s="1" t="s">
        <v>44</v>
      </c>
      <c r="K420" s="1" t="s">
        <v>43</v>
      </c>
      <c r="X420" s="1" t="s">
        <v>42</v>
      </c>
      <c r="Y420" s="1" t="s">
        <v>44</v>
      </c>
      <c r="Z420" s="1" t="s">
        <v>43</v>
      </c>
    </row>
    <row r="421" spans="6:26">
      <c r="F421">
        <v>56</v>
      </c>
      <c r="G421" s="1" t="s">
        <v>55</v>
      </c>
      <c r="I421">
        <v>56</v>
      </c>
      <c r="J421" s="1" t="s">
        <v>55</v>
      </c>
      <c r="K421" s="1" t="s">
        <v>54</v>
      </c>
      <c r="X421">
        <v>56</v>
      </c>
      <c r="Y421" s="1" t="s">
        <v>55</v>
      </c>
      <c r="Z421" s="1" t="s">
        <v>56</v>
      </c>
    </row>
    <row r="422" spans="6:26">
      <c r="F422" s="1" t="s">
        <v>42</v>
      </c>
      <c r="G422" s="1" t="s">
        <v>44</v>
      </c>
      <c r="I422" s="1" t="s">
        <v>42</v>
      </c>
      <c r="J422" s="1" t="s">
        <v>44</v>
      </c>
      <c r="K422" s="1" t="s">
        <v>43</v>
      </c>
      <c r="X422" s="1" t="s">
        <v>42</v>
      </c>
      <c r="Y422" s="1" t="s">
        <v>44</v>
      </c>
      <c r="Z422" s="1" t="s">
        <v>43</v>
      </c>
    </row>
    <row r="423" spans="6:26">
      <c r="F423">
        <v>57</v>
      </c>
      <c r="G423" s="1" t="s">
        <v>55</v>
      </c>
      <c r="I423">
        <v>57</v>
      </c>
      <c r="J423" s="1" t="s">
        <v>55</v>
      </c>
      <c r="K423" s="1" t="s">
        <v>54</v>
      </c>
      <c r="X423">
        <v>57</v>
      </c>
      <c r="Y423" s="1" t="s">
        <v>55</v>
      </c>
      <c r="Z423" s="1" t="s">
        <v>56</v>
      </c>
    </row>
    <row r="424" spans="6:26">
      <c r="F424" s="1" t="s">
        <v>42</v>
      </c>
      <c r="G424" s="1" t="s">
        <v>44</v>
      </c>
      <c r="I424" s="1" t="s">
        <v>42</v>
      </c>
      <c r="J424" s="1" t="s">
        <v>44</v>
      </c>
      <c r="K424" s="1" t="s">
        <v>43</v>
      </c>
      <c r="X424" s="1" t="s">
        <v>42</v>
      </c>
      <c r="Y424" s="1" t="s">
        <v>44</v>
      </c>
      <c r="Z424" s="1" t="s">
        <v>43</v>
      </c>
    </row>
    <row r="425" spans="6:26">
      <c r="F425">
        <v>58</v>
      </c>
      <c r="G425" s="1" t="s">
        <v>55</v>
      </c>
      <c r="I425">
        <v>58</v>
      </c>
      <c r="J425" s="1" t="s">
        <v>55</v>
      </c>
      <c r="K425" s="1" t="s">
        <v>54</v>
      </c>
      <c r="X425">
        <v>58</v>
      </c>
      <c r="Y425" s="1" t="s">
        <v>55</v>
      </c>
      <c r="Z425" s="1" t="s">
        <v>56</v>
      </c>
    </row>
    <row r="426" spans="6:26">
      <c r="F426" s="1" t="s">
        <v>42</v>
      </c>
      <c r="G426" s="1" t="s">
        <v>44</v>
      </c>
      <c r="I426" s="1" t="s">
        <v>42</v>
      </c>
      <c r="J426" s="1" t="s">
        <v>44</v>
      </c>
      <c r="K426" s="1" t="s">
        <v>43</v>
      </c>
      <c r="X426" s="1" t="s">
        <v>42</v>
      </c>
      <c r="Y426" s="1" t="s">
        <v>44</v>
      </c>
      <c r="Z426" s="1" t="s">
        <v>43</v>
      </c>
    </row>
    <row r="427" spans="6:26">
      <c r="F427">
        <v>59</v>
      </c>
      <c r="G427" s="1" t="s">
        <v>55</v>
      </c>
      <c r="I427">
        <v>59</v>
      </c>
      <c r="J427" s="1" t="s">
        <v>55</v>
      </c>
      <c r="K427" s="1" t="s">
        <v>54</v>
      </c>
      <c r="X427">
        <v>59</v>
      </c>
      <c r="Y427" s="1" t="s">
        <v>55</v>
      </c>
      <c r="Z427" s="1" t="s">
        <v>56</v>
      </c>
    </row>
    <row r="428" spans="6:26">
      <c r="F428" s="1" t="s">
        <v>42</v>
      </c>
      <c r="G428" s="1" t="s">
        <v>44</v>
      </c>
      <c r="I428" s="1" t="s">
        <v>42</v>
      </c>
      <c r="J428" s="1" t="s">
        <v>44</v>
      </c>
      <c r="K428" s="1" t="s">
        <v>43</v>
      </c>
      <c r="X428" s="1" t="s">
        <v>42</v>
      </c>
      <c r="Y428" s="1" t="s">
        <v>44</v>
      </c>
      <c r="Z428" s="1" t="s">
        <v>43</v>
      </c>
    </row>
    <row r="429" spans="6:26">
      <c r="F429">
        <v>60</v>
      </c>
      <c r="G429" s="1" t="s">
        <v>55</v>
      </c>
      <c r="I429">
        <v>60</v>
      </c>
      <c r="J429" s="1" t="s">
        <v>55</v>
      </c>
      <c r="K429" s="1" t="s">
        <v>54</v>
      </c>
      <c r="X429">
        <v>60</v>
      </c>
      <c r="Y429" s="1" t="s">
        <v>55</v>
      </c>
      <c r="Z429" s="1" t="s">
        <v>56</v>
      </c>
    </row>
    <row r="430" spans="6:26">
      <c r="F430" s="1" t="s">
        <v>42</v>
      </c>
      <c r="G430" s="1" t="s">
        <v>44</v>
      </c>
      <c r="I430" s="1" t="s">
        <v>42</v>
      </c>
      <c r="J430" s="1" t="s">
        <v>44</v>
      </c>
      <c r="K430" s="1" t="s">
        <v>43</v>
      </c>
      <c r="X430" s="1" t="s">
        <v>42</v>
      </c>
      <c r="Y430" s="1" t="s">
        <v>44</v>
      </c>
      <c r="Z430" s="1" t="s">
        <v>43</v>
      </c>
    </row>
    <row r="431" spans="6:26">
      <c r="F431">
        <v>61</v>
      </c>
      <c r="G431" s="1" t="s">
        <v>55</v>
      </c>
      <c r="I431">
        <v>61</v>
      </c>
      <c r="J431" s="1" t="s">
        <v>55</v>
      </c>
      <c r="K431" s="1" t="s">
        <v>54</v>
      </c>
      <c r="X431">
        <v>61</v>
      </c>
      <c r="Y431" s="1" t="s">
        <v>55</v>
      </c>
      <c r="Z431" s="1" t="s">
        <v>56</v>
      </c>
    </row>
    <row r="432" spans="6:26">
      <c r="F432" s="1" t="s">
        <v>42</v>
      </c>
      <c r="G432" s="1" t="s">
        <v>44</v>
      </c>
      <c r="I432" s="1" t="s">
        <v>42</v>
      </c>
      <c r="J432" s="1" t="s">
        <v>44</v>
      </c>
      <c r="K432" s="1" t="s">
        <v>43</v>
      </c>
      <c r="X432" s="1" t="s">
        <v>42</v>
      </c>
      <c r="Y432" s="1" t="s">
        <v>44</v>
      </c>
      <c r="Z432" s="1" t="s">
        <v>43</v>
      </c>
    </row>
    <row r="433" spans="6:26">
      <c r="F433">
        <v>62</v>
      </c>
      <c r="G433" s="1" t="s">
        <v>55</v>
      </c>
      <c r="I433">
        <v>62</v>
      </c>
      <c r="J433" s="1" t="s">
        <v>55</v>
      </c>
      <c r="K433" s="1" t="s">
        <v>54</v>
      </c>
      <c r="X433">
        <v>62</v>
      </c>
      <c r="Y433" s="1" t="s">
        <v>55</v>
      </c>
      <c r="Z433" s="1" t="s">
        <v>56</v>
      </c>
    </row>
    <row r="434" spans="6:26">
      <c r="F434" s="1" t="s">
        <v>42</v>
      </c>
      <c r="G434" s="1" t="s">
        <v>44</v>
      </c>
      <c r="I434" s="1" t="s">
        <v>42</v>
      </c>
      <c r="J434" s="1" t="s">
        <v>44</v>
      </c>
      <c r="K434" s="1" t="s">
        <v>43</v>
      </c>
      <c r="X434" s="1" t="s">
        <v>42</v>
      </c>
      <c r="Y434" s="1" t="s">
        <v>44</v>
      </c>
      <c r="Z434" s="1" t="s">
        <v>43</v>
      </c>
    </row>
    <row r="435" spans="6:26">
      <c r="F435">
        <v>63</v>
      </c>
      <c r="G435" s="1" t="s">
        <v>55</v>
      </c>
      <c r="I435">
        <v>63</v>
      </c>
      <c r="J435" s="1" t="s">
        <v>55</v>
      </c>
      <c r="K435" s="1" t="s">
        <v>54</v>
      </c>
      <c r="X435">
        <v>63</v>
      </c>
      <c r="Y435" s="1" t="s">
        <v>55</v>
      </c>
      <c r="Z435" s="1" t="s">
        <v>56</v>
      </c>
    </row>
    <row r="436" spans="6:26">
      <c r="F436" s="1" t="s">
        <v>42</v>
      </c>
      <c r="G436" s="1" t="s">
        <v>44</v>
      </c>
      <c r="I436" s="1" t="s">
        <v>42</v>
      </c>
      <c r="J436" s="1" t="s">
        <v>44</v>
      </c>
      <c r="K436" s="1" t="s">
        <v>43</v>
      </c>
      <c r="X436" s="1" t="s">
        <v>42</v>
      </c>
      <c r="Y436" s="1" t="s">
        <v>44</v>
      </c>
      <c r="Z436" s="1" t="s">
        <v>43</v>
      </c>
    </row>
    <row r="437" spans="6:26">
      <c r="F437">
        <v>64</v>
      </c>
      <c r="G437" s="1" t="s">
        <v>55</v>
      </c>
      <c r="I437">
        <v>64</v>
      </c>
      <c r="J437" s="1" t="s">
        <v>55</v>
      </c>
      <c r="K437" s="1" t="s">
        <v>54</v>
      </c>
      <c r="X437">
        <v>64</v>
      </c>
      <c r="Y437" s="1" t="s">
        <v>55</v>
      </c>
      <c r="Z437" s="1" t="s">
        <v>56</v>
      </c>
    </row>
    <row r="438" spans="6:26">
      <c r="F438" s="1" t="s">
        <v>42</v>
      </c>
      <c r="G438" s="1" t="s">
        <v>44</v>
      </c>
      <c r="I438" s="1" t="s">
        <v>42</v>
      </c>
      <c r="J438" s="1" t="s">
        <v>44</v>
      </c>
      <c r="K438" s="1" t="s">
        <v>43</v>
      </c>
      <c r="X438" s="1" t="s">
        <v>42</v>
      </c>
      <c r="Y438" s="1" t="s">
        <v>44</v>
      </c>
      <c r="Z438" s="1" t="s">
        <v>43</v>
      </c>
    </row>
    <row r="439" spans="6:26">
      <c r="F439">
        <v>65</v>
      </c>
      <c r="G439" s="1" t="s">
        <v>55</v>
      </c>
      <c r="I439">
        <v>65</v>
      </c>
      <c r="J439" s="1" t="s">
        <v>55</v>
      </c>
      <c r="K439" s="1" t="s">
        <v>54</v>
      </c>
      <c r="X439">
        <v>65</v>
      </c>
      <c r="Y439" s="1" t="s">
        <v>55</v>
      </c>
      <c r="Z439" s="1" t="s">
        <v>56</v>
      </c>
    </row>
    <row r="440" spans="6:26">
      <c r="F440" s="1" t="s">
        <v>42</v>
      </c>
      <c r="G440" s="1" t="s">
        <v>44</v>
      </c>
      <c r="I440" s="1" t="s">
        <v>42</v>
      </c>
      <c r="J440" s="1" t="s">
        <v>44</v>
      </c>
      <c r="K440" s="1" t="s">
        <v>43</v>
      </c>
      <c r="X440" s="1" t="s">
        <v>42</v>
      </c>
      <c r="Y440" s="1" t="s">
        <v>44</v>
      </c>
      <c r="Z440" s="1" t="s">
        <v>43</v>
      </c>
    </row>
    <row r="441" spans="6:26">
      <c r="F441">
        <v>66</v>
      </c>
      <c r="G441" s="1" t="s">
        <v>55</v>
      </c>
      <c r="I441">
        <v>66</v>
      </c>
      <c r="J441" s="1" t="s">
        <v>55</v>
      </c>
      <c r="K441" s="1" t="s">
        <v>54</v>
      </c>
      <c r="X441">
        <v>66</v>
      </c>
      <c r="Y441" s="1" t="s">
        <v>55</v>
      </c>
      <c r="Z441" s="1" t="s">
        <v>56</v>
      </c>
    </row>
    <row r="442" spans="6:26">
      <c r="F442" s="1" t="s">
        <v>42</v>
      </c>
      <c r="G442" s="1" t="s">
        <v>44</v>
      </c>
      <c r="I442" s="1" t="s">
        <v>42</v>
      </c>
      <c r="J442" s="1" t="s">
        <v>44</v>
      </c>
      <c r="K442" s="1" t="s">
        <v>43</v>
      </c>
      <c r="X442" s="1" t="s">
        <v>42</v>
      </c>
      <c r="Y442" s="1" t="s">
        <v>44</v>
      </c>
      <c r="Z442" s="1" t="s">
        <v>43</v>
      </c>
    </row>
    <row r="443" spans="6:26">
      <c r="F443">
        <v>67</v>
      </c>
      <c r="G443" s="1" t="s">
        <v>55</v>
      </c>
      <c r="I443">
        <v>67</v>
      </c>
      <c r="J443" s="1" t="s">
        <v>55</v>
      </c>
      <c r="K443" s="1" t="s">
        <v>54</v>
      </c>
      <c r="X443">
        <v>67</v>
      </c>
      <c r="Y443" s="1" t="s">
        <v>55</v>
      </c>
      <c r="Z443" s="1" t="s">
        <v>56</v>
      </c>
    </row>
    <row r="444" spans="6:26">
      <c r="F444" s="1" t="s">
        <v>42</v>
      </c>
      <c r="G444" s="1" t="s">
        <v>44</v>
      </c>
      <c r="I444" s="1" t="s">
        <v>42</v>
      </c>
      <c r="J444" s="1" t="s">
        <v>44</v>
      </c>
      <c r="K444" s="1" t="s">
        <v>43</v>
      </c>
      <c r="X444" s="1" t="s">
        <v>42</v>
      </c>
      <c r="Y444" s="1" t="s">
        <v>44</v>
      </c>
      <c r="Z444" s="1" t="s">
        <v>43</v>
      </c>
    </row>
    <row r="445" spans="6:26">
      <c r="F445">
        <v>68</v>
      </c>
      <c r="G445" s="1" t="s">
        <v>55</v>
      </c>
      <c r="I445">
        <v>68</v>
      </c>
      <c r="J445" s="1" t="s">
        <v>55</v>
      </c>
      <c r="K445" s="1" t="s">
        <v>54</v>
      </c>
      <c r="X445">
        <v>68</v>
      </c>
      <c r="Y445" s="1" t="s">
        <v>55</v>
      </c>
      <c r="Z445" s="1" t="s">
        <v>56</v>
      </c>
    </row>
    <row r="446" spans="6:26">
      <c r="F446" s="1" t="s">
        <v>42</v>
      </c>
      <c r="G446" s="1" t="s">
        <v>44</v>
      </c>
      <c r="I446" s="1" t="s">
        <v>42</v>
      </c>
      <c r="J446" s="1" t="s">
        <v>44</v>
      </c>
      <c r="K446" s="1" t="s">
        <v>43</v>
      </c>
      <c r="X446" s="1" t="s">
        <v>42</v>
      </c>
      <c r="Y446" s="1" t="s">
        <v>44</v>
      </c>
      <c r="Z446" s="1" t="s">
        <v>43</v>
      </c>
    </row>
    <row r="447" spans="6:26">
      <c r="F447">
        <v>69</v>
      </c>
      <c r="G447" s="1" t="s">
        <v>55</v>
      </c>
      <c r="I447">
        <v>69</v>
      </c>
      <c r="J447" s="1" t="s">
        <v>55</v>
      </c>
      <c r="K447" s="1" t="s">
        <v>54</v>
      </c>
      <c r="X447">
        <v>69</v>
      </c>
      <c r="Y447" s="1" t="s">
        <v>55</v>
      </c>
      <c r="Z447" s="1" t="s">
        <v>56</v>
      </c>
    </row>
    <row r="448" spans="6:26">
      <c r="F448" s="1" t="s">
        <v>42</v>
      </c>
      <c r="G448" s="1" t="s">
        <v>44</v>
      </c>
      <c r="I448" s="1" t="s">
        <v>42</v>
      </c>
      <c r="J448" s="1" t="s">
        <v>44</v>
      </c>
      <c r="K448" s="1" t="s">
        <v>43</v>
      </c>
      <c r="X448" s="1" t="s">
        <v>42</v>
      </c>
      <c r="Y448" s="1" t="s">
        <v>44</v>
      </c>
      <c r="Z448" s="1" t="s">
        <v>43</v>
      </c>
    </row>
    <row r="449" spans="6:26">
      <c r="F449">
        <v>70</v>
      </c>
      <c r="G449" s="1" t="s">
        <v>55</v>
      </c>
      <c r="I449">
        <v>70</v>
      </c>
      <c r="J449" s="1" t="s">
        <v>55</v>
      </c>
      <c r="K449" s="1" t="s">
        <v>54</v>
      </c>
      <c r="X449">
        <v>70</v>
      </c>
      <c r="Y449" s="1" t="s">
        <v>55</v>
      </c>
      <c r="Z449" s="1" t="s">
        <v>56</v>
      </c>
    </row>
    <row r="450" spans="6:26">
      <c r="F450" s="1" t="s">
        <v>42</v>
      </c>
      <c r="G450" s="1" t="s">
        <v>44</v>
      </c>
      <c r="I450" s="1" t="s">
        <v>42</v>
      </c>
      <c r="J450" s="1" t="s">
        <v>44</v>
      </c>
      <c r="K450" s="1" t="s">
        <v>43</v>
      </c>
      <c r="X450" s="1" t="s">
        <v>42</v>
      </c>
      <c r="Y450" s="1" t="s">
        <v>44</v>
      </c>
      <c r="Z450" s="1" t="s">
        <v>43</v>
      </c>
    </row>
    <row r="451" spans="6:26">
      <c r="F451">
        <v>71</v>
      </c>
      <c r="G451" s="1" t="s">
        <v>55</v>
      </c>
      <c r="I451">
        <v>71</v>
      </c>
      <c r="J451" s="1" t="s">
        <v>55</v>
      </c>
      <c r="K451" s="1" t="s">
        <v>54</v>
      </c>
      <c r="X451">
        <v>71</v>
      </c>
      <c r="Y451" s="1" t="s">
        <v>55</v>
      </c>
      <c r="Z451" s="1" t="s">
        <v>56</v>
      </c>
    </row>
    <row r="452" spans="6:26">
      <c r="F452" s="1" t="s">
        <v>42</v>
      </c>
      <c r="G452" s="1" t="s">
        <v>44</v>
      </c>
      <c r="I452" s="1" t="s">
        <v>42</v>
      </c>
      <c r="J452" s="1" t="s">
        <v>44</v>
      </c>
      <c r="K452" s="1" t="s">
        <v>43</v>
      </c>
      <c r="X452" s="1" t="s">
        <v>42</v>
      </c>
      <c r="Y452" s="1" t="s">
        <v>44</v>
      </c>
      <c r="Z452" s="1" t="s">
        <v>43</v>
      </c>
    </row>
    <row r="453" spans="6:26">
      <c r="F453">
        <v>72</v>
      </c>
      <c r="G453" s="1" t="s">
        <v>55</v>
      </c>
      <c r="I453">
        <v>72</v>
      </c>
      <c r="J453" s="1" t="s">
        <v>55</v>
      </c>
      <c r="K453" s="1" t="s">
        <v>54</v>
      </c>
      <c r="X453">
        <v>72</v>
      </c>
      <c r="Y453" s="1" t="s">
        <v>55</v>
      </c>
      <c r="Z453" s="1" t="s">
        <v>56</v>
      </c>
    </row>
    <row r="454" spans="6:26">
      <c r="F454" s="1" t="s">
        <v>42</v>
      </c>
      <c r="G454" s="1" t="s">
        <v>44</v>
      </c>
      <c r="I454" s="1" t="s">
        <v>42</v>
      </c>
      <c r="J454" s="1" t="s">
        <v>44</v>
      </c>
      <c r="K454" s="1" t="s">
        <v>43</v>
      </c>
      <c r="X454" s="1" t="s">
        <v>42</v>
      </c>
      <c r="Y454" s="1" t="s">
        <v>44</v>
      </c>
      <c r="Z454" s="1" t="s">
        <v>43</v>
      </c>
    </row>
    <row r="455" spans="6:26">
      <c r="F455">
        <v>73</v>
      </c>
      <c r="G455" s="1" t="s">
        <v>55</v>
      </c>
      <c r="I455">
        <v>73</v>
      </c>
      <c r="J455" s="1" t="s">
        <v>55</v>
      </c>
      <c r="K455" s="1" t="s">
        <v>54</v>
      </c>
      <c r="X455">
        <v>73</v>
      </c>
      <c r="Y455" s="1" t="s">
        <v>55</v>
      </c>
      <c r="Z455" s="1" t="s">
        <v>56</v>
      </c>
    </row>
    <row r="456" spans="6:26">
      <c r="F456" s="1" t="s">
        <v>42</v>
      </c>
      <c r="G456" s="1" t="s">
        <v>44</v>
      </c>
      <c r="I456" s="1" t="s">
        <v>42</v>
      </c>
      <c r="J456" s="1" t="s">
        <v>44</v>
      </c>
      <c r="K456" s="1" t="s">
        <v>43</v>
      </c>
      <c r="X456" s="1" t="s">
        <v>42</v>
      </c>
      <c r="Y456" s="1" t="s">
        <v>44</v>
      </c>
      <c r="Z456" s="1" t="s">
        <v>43</v>
      </c>
    </row>
    <row r="457" spans="6:26">
      <c r="F457">
        <v>74</v>
      </c>
      <c r="G457" s="1" t="s">
        <v>55</v>
      </c>
      <c r="I457">
        <v>74</v>
      </c>
      <c r="J457" s="1" t="s">
        <v>55</v>
      </c>
      <c r="K457" s="1" t="s">
        <v>54</v>
      </c>
      <c r="X457">
        <v>74</v>
      </c>
      <c r="Y457" s="1" t="s">
        <v>55</v>
      </c>
      <c r="Z457" s="1" t="s">
        <v>56</v>
      </c>
    </row>
    <row r="458" spans="6:26">
      <c r="F458" s="1" t="s">
        <v>42</v>
      </c>
      <c r="G458" s="1" t="s">
        <v>44</v>
      </c>
      <c r="I458" s="1" t="s">
        <v>42</v>
      </c>
      <c r="J458" s="1" t="s">
        <v>44</v>
      </c>
      <c r="K458" s="1" t="s">
        <v>43</v>
      </c>
      <c r="X458" s="1" t="s">
        <v>42</v>
      </c>
      <c r="Y458" s="1" t="s">
        <v>44</v>
      </c>
      <c r="Z458" s="1" t="s">
        <v>43</v>
      </c>
    </row>
    <row r="459" spans="6:26">
      <c r="F459">
        <v>75</v>
      </c>
      <c r="G459" s="1" t="s">
        <v>55</v>
      </c>
      <c r="I459">
        <v>75</v>
      </c>
      <c r="J459" s="1" t="s">
        <v>55</v>
      </c>
      <c r="K459" s="1" t="s">
        <v>54</v>
      </c>
      <c r="X459">
        <v>75</v>
      </c>
      <c r="Y459" s="1" t="s">
        <v>55</v>
      </c>
      <c r="Z459" s="1" t="s">
        <v>56</v>
      </c>
    </row>
    <row r="460" spans="6:26">
      <c r="F460" s="1" t="s">
        <v>42</v>
      </c>
      <c r="G460" s="1" t="s">
        <v>44</v>
      </c>
      <c r="I460" s="1" t="s">
        <v>42</v>
      </c>
      <c r="J460" s="1" t="s">
        <v>44</v>
      </c>
      <c r="K460" s="1" t="s">
        <v>43</v>
      </c>
      <c r="X460" s="1" t="s">
        <v>42</v>
      </c>
      <c r="Y460" s="1" t="s">
        <v>44</v>
      </c>
      <c r="Z460" s="1" t="s">
        <v>43</v>
      </c>
    </row>
    <row r="461" spans="6:26">
      <c r="F461">
        <v>76</v>
      </c>
      <c r="G461" s="1" t="s">
        <v>55</v>
      </c>
      <c r="I461">
        <v>76</v>
      </c>
      <c r="J461" s="1" t="s">
        <v>55</v>
      </c>
      <c r="K461" s="1" t="s">
        <v>54</v>
      </c>
      <c r="X461">
        <v>76</v>
      </c>
      <c r="Y461" s="1" t="s">
        <v>55</v>
      </c>
      <c r="Z461" s="1" t="s">
        <v>56</v>
      </c>
    </row>
    <row r="462" spans="6:26">
      <c r="F462" s="1" t="s">
        <v>42</v>
      </c>
      <c r="G462" s="1" t="s">
        <v>44</v>
      </c>
      <c r="I462" s="1" t="s">
        <v>42</v>
      </c>
      <c r="J462" s="1" t="s">
        <v>44</v>
      </c>
      <c r="K462" s="1" t="s">
        <v>43</v>
      </c>
      <c r="X462" s="1" t="s">
        <v>42</v>
      </c>
      <c r="Y462" s="1" t="s">
        <v>44</v>
      </c>
      <c r="Z462" s="1" t="s">
        <v>43</v>
      </c>
    </row>
    <row r="463" spans="6:26">
      <c r="F463">
        <v>77</v>
      </c>
      <c r="G463" s="1" t="s">
        <v>55</v>
      </c>
      <c r="I463">
        <v>77</v>
      </c>
      <c r="J463" s="1" t="s">
        <v>55</v>
      </c>
      <c r="K463" s="1" t="s">
        <v>54</v>
      </c>
      <c r="X463">
        <v>77</v>
      </c>
      <c r="Y463" s="1" t="s">
        <v>55</v>
      </c>
      <c r="Z463" s="1" t="s">
        <v>56</v>
      </c>
    </row>
    <row r="464" spans="6:26">
      <c r="F464" s="1" t="s">
        <v>42</v>
      </c>
      <c r="G464" s="1" t="s">
        <v>44</v>
      </c>
      <c r="I464" s="1" t="s">
        <v>42</v>
      </c>
      <c r="J464" s="1" t="s">
        <v>44</v>
      </c>
      <c r="K464" s="1" t="s">
        <v>43</v>
      </c>
      <c r="X464" s="1" t="s">
        <v>42</v>
      </c>
      <c r="Y464" s="1" t="s">
        <v>44</v>
      </c>
      <c r="Z464" s="1" t="s">
        <v>43</v>
      </c>
    </row>
    <row r="465" spans="6:26">
      <c r="F465">
        <v>78</v>
      </c>
      <c r="G465" s="1" t="s">
        <v>55</v>
      </c>
      <c r="I465">
        <v>78</v>
      </c>
      <c r="J465" s="1" t="s">
        <v>55</v>
      </c>
      <c r="K465" s="1" t="s">
        <v>54</v>
      </c>
      <c r="X465">
        <v>78</v>
      </c>
      <c r="Y465" s="1" t="s">
        <v>55</v>
      </c>
      <c r="Z465" s="1" t="s">
        <v>56</v>
      </c>
    </row>
    <row r="466" spans="6:26">
      <c r="F466" s="1" t="s">
        <v>42</v>
      </c>
      <c r="G466" s="1" t="s">
        <v>44</v>
      </c>
      <c r="I466" s="1" t="s">
        <v>42</v>
      </c>
      <c r="J466" s="1" t="s">
        <v>44</v>
      </c>
      <c r="K466" s="1" t="s">
        <v>43</v>
      </c>
      <c r="X466" s="1" t="s">
        <v>42</v>
      </c>
      <c r="Y466" s="1" t="s">
        <v>44</v>
      </c>
      <c r="Z466" s="1" t="s">
        <v>43</v>
      </c>
    </row>
    <row r="467" spans="6:26">
      <c r="F467">
        <v>79</v>
      </c>
      <c r="G467" s="1" t="s">
        <v>55</v>
      </c>
      <c r="I467">
        <v>79</v>
      </c>
      <c r="J467" s="1" t="s">
        <v>55</v>
      </c>
      <c r="K467" s="1" t="s">
        <v>54</v>
      </c>
      <c r="X467">
        <v>79</v>
      </c>
      <c r="Y467" s="1" t="s">
        <v>55</v>
      </c>
      <c r="Z467" s="1" t="s">
        <v>56</v>
      </c>
    </row>
    <row r="468" spans="6:26">
      <c r="F468" s="1" t="s">
        <v>42</v>
      </c>
      <c r="G468" s="1" t="s">
        <v>44</v>
      </c>
      <c r="I468" s="1" t="s">
        <v>42</v>
      </c>
      <c r="J468" s="1" t="s">
        <v>44</v>
      </c>
      <c r="K468" s="1" t="s">
        <v>43</v>
      </c>
      <c r="X468" s="1" t="s">
        <v>42</v>
      </c>
      <c r="Y468" s="1" t="s">
        <v>44</v>
      </c>
      <c r="Z468" s="1" t="s">
        <v>43</v>
      </c>
    </row>
    <row r="469" spans="6:26">
      <c r="F469">
        <v>80</v>
      </c>
      <c r="G469" s="1" t="s">
        <v>55</v>
      </c>
      <c r="I469">
        <v>80</v>
      </c>
      <c r="J469" s="1" t="s">
        <v>55</v>
      </c>
      <c r="K469" s="1" t="s">
        <v>54</v>
      </c>
      <c r="X469">
        <v>80</v>
      </c>
      <c r="Y469" s="1" t="s">
        <v>55</v>
      </c>
      <c r="Z469" s="1" t="s">
        <v>56</v>
      </c>
    </row>
    <row r="470" spans="6:26">
      <c r="F470" s="1" t="s">
        <v>42</v>
      </c>
      <c r="G470" s="1" t="s">
        <v>44</v>
      </c>
      <c r="I470" s="1" t="s">
        <v>42</v>
      </c>
      <c r="J470" s="1" t="s">
        <v>44</v>
      </c>
      <c r="K470" s="1" t="s">
        <v>43</v>
      </c>
      <c r="X470" s="1" t="s">
        <v>42</v>
      </c>
      <c r="Y470" s="1" t="s">
        <v>44</v>
      </c>
      <c r="Z470" s="1" t="s">
        <v>43</v>
      </c>
    </row>
    <row r="471" spans="6:26">
      <c r="F471">
        <v>81</v>
      </c>
      <c r="G471" s="1" t="s">
        <v>55</v>
      </c>
      <c r="I471">
        <v>81</v>
      </c>
      <c r="J471" s="1" t="s">
        <v>55</v>
      </c>
      <c r="K471" s="1" t="s">
        <v>54</v>
      </c>
      <c r="X471">
        <v>81</v>
      </c>
      <c r="Y471" s="1" t="s">
        <v>55</v>
      </c>
      <c r="Z471" s="1" t="s">
        <v>56</v>
      </c>
    </row>
    <row r="472" spans="6:26">
      <c r="F472" s="1" t="s">
        <v>42</v>
      </c>
      <c r="G472" s="1" t="s">
        <v>44</v>
      </c>
      <c r="I472" s="1" t="s">
        <v>42</v>
      </c>
      <c r="J472" s="1" t="s">
        <v>44</v>
      </c>
      <c r="K472" s="1" t="s">
        <v>43</v>
      </c>
      <c r="X472" s="1" t="s">
        <v>42</v>
      </c>
      <c r="Y472" s="1" t="s">
        <v>44</v>
      </c>
      <c r="Z472" s="1" t="s">
        <v>43</v>
      </c>
    </row>
    <row r="473" spans="6:26">
      <c r="F473">
        <v>82</v>
      </c>
      <c r="G473" s="1" t="s">
        <v>55</v>
      </c>
      <c r="I473">
        <v>82</v>
      </c>
      <c r="J473" s="1" t="s">
        <v>55</v>
      </c>
      <c r="K473" s="1" t="s">
        <v>54</v>
      </c>
      <c r="X473">
        <v>82</v>
      </c>
      <c r="Y473" s="1" t="s">
        <v>55</v>
      </c>
      <c r="Z473" s="1" t="s">
        <v>56</v>
      </c>
    </row>
    <row r="474" spans="6:26">
      <c r="F474" s="1" t="s">
        <v>42</v>
      </c>
      <c r="G474" s="1" t="s">
        <v>44</v>
      </c>
      <c r="I474" s="1" t="s">
        <v>42</v>
      </c>
      <c r="J474" s="1" t="s">
        <v>44</v>
      </c>
      <c r="K474" s="1" t="s">
        <v>43</v>
      </c>
      <c r="X474" s="1" t="s">
        <v>42</v>
      </c>
      <c r="Y474" s="1" t="s">
        <v>44</v>
      </c>
      <c r="Z474" s="1" t="s">
        <v>43</v>
      </c>
    </row>
    <row r="475" spans="6:26">
      <c r="F475">
        <v>83</v>
      </c>
      <c r="G475" s="1" t="s">
        <v>55</v>
      </c>
      <c r="I475">
        <v>83</v>
      </c>
      <c r="J475" s="1" t="s">
        <v>55</v>
      </c>
      <c r="K475" s="1" t="s">
        <v>54</v>
      </c>
      <c r="X475">
        <v>83</v>
      </c>
      <c r="Y475" s="1" t="s">
        <v>55</v>
      </c>
      <c r="Z475" s="1" t="s">
        <v>56</v>
      </c>
    </row>
    <row r="476" spans="6:26">
      <c r="F476" s="1" t="s">
        <v>42</v>
      </c>
      <c r="G476" s="1" t="s">
        <v>44</v>
      </c>
      <c r="I476" s="1" t="s">
        <v>42</v>
      </c>
      <c r="J476" s="1" t="s">
        <v>44</v>
      </c>
      <c r="K476" s="1" t="s">
        <v>43</v>
      </c>
      <c r="X476" s="1" t="s">
        <v>42</v>
      </c>
      <c r="Y476" s="1" t="s">
        <v>44</v>
      </c>
      <c r="Z476" s="1" t="s">
        <v>43</v>
      </c>
    </row>
    <row r="477" spans="6:26">
      <c r="F477">
        <v>84</v>
      </c>
      <c r="G477" s="1" t="s">
        <v>55</v>
      </c>
      <c r="I477">
        <v>84</v>
      </c>
      <c r="J477" s="1" t="s">
        <v>55</v>
      </c>
      <c r="K477" s="1" t="s">
        <v>54</v>
      </c>
      <c r="X477">
        <v>84</v>
      </c>
      <c r="Y477" s="1" t="s">
        <v>55</v>
      </c>
      <c r="Z477" s="1" t="s">
        <v>56</v>
      </c>
    </row>
    <row r="478" spans="6:26">
      <c r="F478" s="1" t="s">
        <v>42</v>
      </c>
      <c r="G478" s="1" t="s">
        <v>44</v>
      </c>
      <c r="I478" s="1" t="s">
        <v>42</v>
      </c>
      <c r="J478" s="1" t="s">
        <v>44</v>
      </c>
      <c r="K478" s="1" t="s">
        <v>43</v>
      </c>
      <c r="X478" s="1" t="s">
        <v>42</v>
      </c>
      <c r="Y478" s="1" t="s">
        <v>44</v>
      </c>
      <c r="Z478" s="1" t="s">
        <v>43</v>
      </c>
    </row>
    <row r="479" spans="6:26">
      <c r="F479">
        <v>85</v>
      </c>
      <c r="G479" s="1" t="s">
        <v>55</v>
      </c>
      <c r="I479">
        <v>85</v>
      </c>
      <c r="J479" s="1" t="s">
        <v>55</v>
      </c>
      <c r="K479" s="1" t="s">
        <v>54</v>
      </c>
      <c r="X479">
        <v>85</v>
      </c>
      <c r="Y479" s="1" t="s">
        <v>55</v>
      </c>
      <c r="Z479" s="1" t="s">
        <v>56</v>
      </c>
    </row>
    <row r="480" spans="6:26">
      <c r="F480" s="1" t="s">
        <v>42</v>
      </c>
      <c r="G480" s="1" t="s">
        <v>44</v>
      </c>
      <c r="I480" s="1" t="s">
        <v>42</v>
      </c>
      <c r="J480" s="1" t="s">
        <v>44</v>
      </c>
      <c r="K480" s="1" t="s">
        <v>43</v>
      </c>
      <c r="X480" s="1" t="s">
        <v>42</v>
      </c>
      <c r="Y480" s="1" t="s">
        <v>44</v>
      </c>
      <c r="Z480" s="1" t="s">
        <v>43</v>
      </c>
    </row>
    <row r="481" spans="6:26">
      <c r="F481">
        <v>86</v>
      </c>
      <c r="G481" s="1" t="s">
        <v>55</v>
      </c>
      <c r="I481">
        <v>86</v>
      </c>
      <c r="J481" s="1" t="s">
        <v>55</v>
      </c>
      <c r="K481" s="1" t="s">
        <v>54</v>
      </c>
      <c r="X481">
        <v>86</v>
      </c>
      <c r="Y481" s="1" t="s">
        <v>55</v>
      </c>
      <c r="Z481" s="1" t="s">
        <v>56</v>
      </c>
    </row>
    <row r="482" spans="6:26">
      <c r="F482" s="1" t="s">
        <v>42</v>
      </c>
      <c r="G482" s="1" t="s">
        <v>44</v>
      </c>
      <c r="I482" s="1" t="s">
        <v>42</v>
      </c>
      <c r="J482" s="1" t="s">
        <v>44</v>
      </c>
      <c r="K482" s="1" t="s">
        <v>43</v>
      </c>
      <c r="X482" s="1" t="s">
        <v>42</v>
      </c>
      <c r="Y482" s="1" t="s">
        <v>44</v>
      </c>
      <c r="Z482" s="1" t="s">
        <v>43</v>
      </c>
    </row>
    <row r="483" spans="6:26">
      <c r="F483">
        <v>87</v>
      </c>
      <c r="G483" s="1" t="s">
        <v>55</v>
      </c>
      <c r="I483">
        <v>87</v>
      </c>
      <c r="J483" s="1" t="s">
        <v>55</v>
      </c>
      <c r="K483" s="1" t="s">
        <v>54</v>
      </c>
      <c r="X483">
        <v>87</v>
      </c>
      <c r="Y483" s="1" t="s">
        <v>55</v>
      </c>
      <c r="Z483" s="1" t="s">
        <v>56</v>
      </c>
    </row>
    <row r="484" spans="6:26">
      <c r="F484" s="1" t="s">
        <v>42</v>
      </c>
      <c r="G484" s="1" t="s">
        <v>44</v>
      </c>
      <c r="I484" s="1" t="s">
        <v>42</v>
      </c>
      <c r="J484" s="1" t="s">
        <v>44</v>
      </c>
      <c r="K484" s="1" t="s">
        <v>43</v>
      </c>
      <c r="X484" s="1" t="s">
        <v>42</v>
      </c>
      <c r="Y484" s="1" t="s">
        <v>44</v>
      </c>
      <c r="Z484" s="1" t="s">
        <v>43</v>
      </c>
    </row>
    <row r="485" spans="6:26">
      <c r="F485">
        <v>88</v>
      </c>
      <c r="G485" s="1" t="s">
        <v>55</v>
      </c>
      <c r="I485">
        <v>88</v>
      </c>
      <c r="J485" s="1" t="s">
        <v>55</v>
      </c>
      <c r="K485" s="1" t="s">
        <v>54</v>
      </c>
      <c r="X485">
        <v>88</v>
      </c>
      <c r="Y485" s="1" t="s">
        <v>55</v>
      </c>
      <c r="Z485" s="1" t="s">
        <v>56</v>
      </c>
    </row>
    <row r="486" spans="6:26">
      <c r="F486" s="1" t="s">
        <v>42</v>
      </c>
      <c r="G486" s="1" t="s">
        <v>44</v>
      </c>
      <c r="I486" s="1" t="s">
        <v>42</v>
      </c>
      <c r="J486" s="1" t="s">
        <v>44</v>
      </c>
      <c r="K486" s="1" t="s">
        <v>43</v>
      </c>
      <c r="X486" s="1" t="s">
        <v>42</v>
      </c>
      <c r="Y486" s="1" t="s">
        <v>44</v>
      </c>
      <c r="Z486" s="1" t="s">
        <v>43</v>
      </c>
    </row>
    <row r="487" spans="6:26">
      <c r="F487">
        <v>89</v>
      </c>
      <c r="G487" s="1" t="s">
        <v>55</v>
      </c>
      <c r="I487">
        <v>89</v>
      </c>
      <c r="J487" s="1" t="s">
        <v>55</v>
      </c>
      <c r="K487" s="1" t="s">
        <v>54</v>
      </c>
      <c r="X487">
        <v>89</v>
      </c>
      <c r="Y487" s="1" t="s">
        <v>55</v>
      </c>
      <c r="Z487" s="1" t="s">
        <v>56</v>
      </c>
    </row>
    <row r="488" spans="6:26">
      <c r="F488" s="1" t="s">
        <v>42</v>
      </c>
      <c r="G488" s="1" t="s">
        <v>44</v>
      </c>
      <c r="I488" s="1" t="s">
        <v>42</v>
      </c>
      <c r="J488" s="1" t="s">
        <v>44</v>
      </c>
      <c r="K488" s="1" t="s">
        <v>43</v>
      </c>
      <c r="X488" s="1" t="s">
        <v>42</v>
      </c>
      <c r="Y488" s="1" t="s">
        <v>44</v>
      </c>
      <c r="Z488" s="1" t="s">
        <v>43</v>
      </c>
    </row>
    <row r="489" spans="6:26">
      <c r="F489">
        <v>90</v>
      </c>
      <c r="G489" s="1" t="s">
        <v>55</v>
      </c>
      <c r="I489">
        <v>90</v>
      </c>
      <c r="J489" s="1" t="s">
        <v>55</v>
      </c>
      <c r="K489" s="1" t="s">
        <v>54</v>
      </c>
      <c r="X489">
        <v>90</v>
      </c>
      <c r="Y489" s="1" t="s">
        <v>55</v>
      </c>
      <c r="Z489" s="1" t="s">
        <v>56</v>
      </c>
    </row>
    <row r="490" spans="6:26">
      <c r="F490" s="1" t="s">
        <v>42</v>
      </c>
      <c r="G490" s="1" t="s">
        <v>44</v>
      </c>
      <c r="I490" s="1" t="s">
        <v>42</v>
      </c>
      <c r="J490" s="1" t="s">
        <v>44</v>
      </c>
      <c r="K490" s="1" t="s">
        <v>43</v>
      </c>
      <c r="X490" s="1" t="s">
        <v>42</v>
      </c>
      <c r="Y490" s="1" t="s">
        <v>44</v>
      </c>
      <c r="Z490" s="1" t="s">
        <v>43</v>
      </c>
    </row>
    <row r="491" spans="6:26">
      <c r="F491">
        <v>91</v>
      </c>
      <c r="G491" s="1" t="s">
        <v>55</v>
      </c>
      <c r="I491">
        <v>91</v>
      </c>
      <c r="J491" s="1" t="s">
        <v>55</v>
      </c>
      <c r="K491" s="1" t="s">
        <v>54</v>
      </c>
      <c r="X491">
        <v>91</v>
      </c>
      <c r="Y491" s="1" t="s">
        <v>55</v>
      </c>
      <c r="Z491" s="1" t="s">
        <v>56</v>
      </c>
    </row>
    <row r="492" spans="6:26">
      <c r="F492" s="1" t="s">
        <v>42</v>
      </c>
      <c r="G492" s="1" t="s">
        <v>44</v>
      </c>
      <c r="I492" s="1" t="s">
        <v>42</v>
      </c>
      <c r="J492" s="1" t="s">
        <v>44</v>
      </c>
      <c r="K492" s="1" t="s">
        <v>43</v>
      </c>
      <c r="X492" s="1" t="s">
        <v>42</v>
      </c>
      <c r="Y492" s="1" t="s">
        <v>44</v>
      </c>
      <c r="Z492" s="1" t="s">
        <v>43</v>
      </c>
    </row>
    <row r="493" spans="6:26">
      <c r="F493">
        <v>92</v>
      </c>
      <c r="G493" s="1" t="s">
        <v>55</v>
      </c>
      <c r="I493">
        <v>92</v>
      </c>
      <c r="J493" s="1" t="s">
        <v>55</v>
      </c>
      <c r="K493" s="1" t="s">
        <v>54</v>
      </c>
      <c r="X493">
        <v>92</v>
      </c>
      <c r="Y493" s="1" t="s">
        <v>55</v>
      </c>
      <c r="Z493" s="1" t="s">
        <v>56</v>
      </c>
    </row>
    <row r="494" spans="6:26">
      <c r="F494" s="1" t="s">
        <v>42</v>
      </c>
      <c r="G494" s="1" t="s">
        <v>44</v>
      </c>
      <c r="I494" s="1" t="s">
        <v>42</v>
      </c>
      <c r="J494" s="1" t="s">
        <v>44</v>
      </c>
      <c r="K494" s="1" t="s">
        <v>43</v>
      </c>
      <c r="X494" s="1" t="s">
        <v>42</v>
      </c>
      <c r="Y494" s="1" t="s">
        <v>44</v>
      </c>
      <c r="Z494" s="1" t="s">
        <v>43</v>
      </c>
    </row>
    <row r="495" spans="6:26">
      <c r="F495">
        <v>93</v>
      </c>
      <c r="G495" s="1" t="s">
        <v>55</v>
      </c>
      <c r="I495">
        <v>93</v>
      </c>
      <c r="J495" s="1" t="s">
        <v>55</v>
      </c>
      <c r="K495" s="1" t="s">
        <v>54</v>
      </c>
      <c r="X495">
        <v>93</v>
      </c>
      <c r="Y495" s="1" t="s">
        <v>55</v>
      </c>
      <c r="Z495" s="1" t="s">
        <v>56</v>
      </c>
    </row>
    <row r="496" spans="6:26">
      <c r="F496" s="1" t="s">
        <v>42</v>
      </c>
      <c r="G496" s="1" t="s">
        <v>44</v>
      </c>
      <c r="I496" s="1" t="s">
        <v>42</v>
      </c>
      <c r="J496" s="1" t="s">
        <v>44</v>
      </c>
      <c r="K496" s="1" t="s">
        <v>43</v>
      </c>
      <c r="X496" s="1" t="s">
        <v>42</v>
      </c>
      <c r="Y496" s="1" t="s">
        <v>44</v>
      </c>
      <c r="Z496" s="1" t="s">
        <v>43</v>
      </c>
    </row>
    <row r="497" spans="6:26">
      <c r="F497">
        <v>94</v>
      </c>
      <c r="G497" s="1" t="s">
        <v>55</v>
      </c>
      <c r="I497">
        <v>94</v>
      </c>
      <c r="J497" s="1" t="s">
        <v>55</v>
      </c>
      <c r="K497" s="1" t="s">
        <v>54</v>
      </c>
      <c r="X497">
        <v>94</v>
      </c>
      <c r="Y497" s="1" t="s">
        <v>55</v>
      </c>
      <c r="Z497" s="1" t="s">
        <v>56</v>
      </c>
    </row>
    <row r="498" spans="6:26">
      <c r="F498" s="1" t="s">
        <v>42</v>
      </c>
      <c r="G498" s="1" t="s">
        <v>44</v>
      </c>
      <c r="I498" s="1" t="s">
        <v>42</v>
      </c>
      <c r="J498" s="1" t="s">
        <v>44</v>
      </c>
      <c r="K498" s="1" t="s">
        <v>43</v>
      </c>
      <c r="X498" s="1" t="s">
        <v>42</v>
      </c>
      <c r="Y498" s="1" t="s">
        <v>44</v>
      </c>
      <c r="Z498" s="1" t="s">
        <v>43</v>
      </c>
    </row>
    <row r="499" spans="6:26">
      <c r="F499">
        <v>95</v>
      </c>
      <c r="G499" s="1" t="s">
        <v>55</v>
      </c>
      <c r="I499">
        <v>95</v>
      </c>
      <c r="J499" s="1" t="s">
        <v>55</v>
      </c>
      <c r="K499" s="1" t="s">
        <v>54</v>
      </c>
      <c r="X499">
        <v>95</v>
      </c>
      <c r="Y499" s="1" t="s">
        <v>55</v>
      </c>
      <c r="Z499" s="1" t="s">
        <v>56</v>
      </c>
    </row>
    <row r="500" spans="6:26">
      <c r="F500" s="1" t="s">
        <v>42</v>
      </c>
      <c r="G500" s="1" t="s">
        <v>44</v>
      </c>
      <c r="I500" s="1" t="s">
        <v>42</v>
      </c>
      <c r="J500" s="1" t="s">
        <v>44</v>
      </c>
      <c r="K500" s="1" t="s">
        <v>43</v>
      </c>
      <c r="X500" s="1" t="s">
        <v>42</v>
      </c>
      <c r="Y500" s="1" t="s">
        <v>44</v>
      </c>
      <c r="Z500" s="1" t="s">
        <v>43</v>
      </c>
    </row>
    <row r="501" spans="6:26">
      <c r="F501">
        <v>96</v>
      </c>
      <c r="G501" s="1" t="s">
        <v>55</v>
      </c>
      <c r="I501">
        <v>96</v>
      </c>
      <c r="J501" s="1" t="s">
        <v>55</v>
      </c>
      <c r="K501" s="1" t="s">
        <v>54</v>
      </c>
      <c r="X501">
        <v>96</v>
      </c>
      <c r="Y501" s="1" t="s">
        <v>55</v>
      </c>
      <c r="Z501" s="1" t="s">
        <v>56</v>
      </c>
    </row>
    <row r="502" spans="6:26">
      <c r="F502" s="1" t="s">
        <v>42</v>
      </c>
      <c r="G502" s="1" t="s">
        <v>44</v>
      </c>
      <c r="I502" s="1" t="s">
        <v>42</v>
      </c>
      <c r="J502" s="1" t="s">
        <v>44</v>
      </c>
      <c r="K502" s="1" t="s">
        <v>43</v>
      </c>
      <c r="X502" s="1" t="s">
        <v>42</v>
      </c>
      <c r="Y502" s="1" t="s">
        <v>44</v>
      </c>
      <c r="Z502" s="1" t="s">
        <v>43</v>
      </c>
    </row>
    <row r="503" spans="6:26">
      <c r="F503">
        <v>97</v>
      </c>
      <c r="G503" s="1" t="s">
        <v>55</v>
      </c>
      <c r="I503">
        <v>97</v>
      </c>
      <c r="J503" s="1" t="s">
        <v>55</v>
      </c>
      <c r="K503" s="1" t="s">
        <v>54</v>
      </c>
      <c r="X503">
        <v>97</v>
      </c>
      <c r="Y503" s="1" t="s">
        <v>55</v>
      </c>
      <c r="Z503" s="1" t="s">
        <v>56</v>
      </c>
    </row>
    <row r="504" spans="6:26">
      <c r="F504" s="1" t="s">
        <v>42</v>
      </c>
      <c r="G504" s="1" t="s">
        <v>44</v>
      </c>
      <c r="I504" s="1" t="s">
        <v>42</v>
      </c>
      <c r="J504" s="1" t="s">
        <v>44</v>
      </c>
      <c r="K504" s="1" t="s">
        <v>43</v>
      </c>
      <c r="X504" s="1" t="s">
        <v>42</v>
      </c>
      <c r="Y504" s="1" t="s">
        <v>44</v>
      </c>
      <c r="Z504" s="1" t="s">
        <v>43</v>
      </c>
    </row>
    <row r="505" spans="6:26">
      <c r="F505">
        <v>98</v>
      </c>
      <c r="G505" s="1" t="s">
        <v>55</v>
      </c>
      <c r="I505">
        <v>98</v>
      </c>
      <c r="J505" s="1" t="s">
        <v>55</v>
      </c>
      <c r="K505" s="1" t="s">
        <v>54</v>
      </c>
      <c r="X505">
        <v>98</v>
      </c>
      <c r="Y505" s="1" t="s">
        <v>55</v>
      </c>
      <c r="Z505" s="1" t="s">
        <v>56</v>
      </c>
    </row>
    <row r="506" spans="6:26">
      <c r="F506" s="1" t="s">
        <v>42</v>
      </c>
      <c r="G506" s="1" t="s">
        <v>44</v>
      </c>
      <c r="I506" s="1" t="s">
        <v>42</v>
      </c>
      <c r="J506" s="1" t="s">
        <v>44</v>
      </c>
      <c r="K506" s="1" t="s">
        <v>43</v>
      </c>
      <c r="X506" s="1" t="s">
        <v>42</v>
      </c>
      <c r="Y506" s="1" t="s">
        <v>44</v>
      </c>
      <c r="Z506" s="1" t="s">
        <v>43</v>
      </c>
    </row>
    <row r="507" spans="6:26">
      <c r="F507">
        <v>99</v>
      </c>
      <c r="G507" s="1" t="s">
        <v>55</v>
      </c>
      <c r="I507">
        <v>99</v>
      </c>
      <c r="J507" s="1" t="s">
        <v>55</v>
      </c>
      <c r="K507" s="1" t="s">
        <v>54</v>
      </c>
      <c r="X507">
        <v>99</v>
      </c>
      <c r="Y507" s="1" t="s">
        <v>55</v>
      </c>
      <c r="Z507" s="1" t="s">
        <v>56</v>
      </c>
    </row>
    <row r="508" spans="6:26">
      <c r="F508" s="1" t="s">
        <v>42</v>
      </c>
      <c r="G508" s="1" t="s">
        <v>44</v>
      </c>
      <c r="I508" s="1" t="s">
        <v>42</v>
      </c>
      <c r="J508" s="1" t="s">
        <v>44</v>
      </c>
      <c r="K508" s="1" t="s">
        <v>43</v>
      </c>
      <c r="X508" s="1" t="s">
        <v>42</v>
      </c>
      <c r="Y508" s="1" t="s">
        <v>44</v>
      </c>
      <c r="Z508" s="1" t="s">
        <v>43</v>
      </c>
    </row>
    <row r="509" spans="6:26">
      <c r="F509">
        <v>100</v>
      </c>
      <c r="G509" s="1" t="s">
        <v>55</v>
      </c>
      <c r="I509">
        <v>100</v>
      </c>
      <c r="J509" s="1" t="s">
        <v>55</v>
      </c>
      <c r="K509" s="1" t="s">
        <v>54</v>
      </c>
      <c r="X509">
        <v>100</v>
      </c>
      <c r="Y509" s="1" t="s">
        <v>55</v>
      </c>
      <c r="Z509" s="1" t="s">
        <v>56</v>
      </c>
    </row>
    <row r="510" spans="6:26">
      <c r="F510" s="1"/>
      <c r="G510" s="1"/>
      <c r="H510" s="1"/>
    </row>
    <row r="511" spans="6:26">
      <c r="G511" s="1"/>
      <c r="H511" s="1"/>
    </row>
    <row r="512" spans="6:26">
      <c r="F512" s="1"/>
      <c r="G512" s="1"/>
      <c r="H512" s="1"/>
      <c r="L512" s="1"/>
    </row>
    <row r="513" spans="6:12">
      <c r="G513" s="1"/>
      <c r="H513" s="1"/>
      <c r="L513" s="1"/>
    </row>
    <row r="514" spans="6:12">
      <c r="F514" s="1"/>
      <c r="G514" s="1"/>
      <c r="H514" s="1"/>
      <c r="L514" s="1"/>
    </row>
    <row r="515" spans="6:12">
      <c r="G515" s="1"/>
      <c r="H515" s="1"/>
      <c r="L515" s="1"/>
    </row>
    <row r="516" spans="6:12">
      <c r="F516" s="1"/>
      <c r="G516" s="1"/>
      <c r="H516" s="1"/>
      <c r="L516" s="1"/>
    </row>
    <row r="517" spans="6:12">
      <c r="G517" s="1"/>
      <c r="H517" s="1"/>
      <c r="L517" s="1"/>
    </row>
    <row r="518" spans="6:12">
      <c r="F518" s="1"/>
      <c r="G518" s="1"/>
      <c r="H518" s="1"/>
      <c r="L518" s="1"/>
    </row>
    <row r="519" spans="6:12">
      <c r="G519" s="1"/>
      <c r="H519" s="1"/>
      <c r="L519" s="1"/>
    </row>
    <row r="520" spans="6:12">
      <c r="F520" s="1"/>
      <c r="G520" s="1"/>
      <c r="H520" s="1"/>
      <c r="L520" s="1"/>
    </row>
    <row r="521" spans="6:12">
      <c r="G521" s="1"/>
      <c r="H521" s="1"/>
      <c r="L521" s="1"/>
    </row>
    <row r="522" spans="6:12">
      <c r="F522" s="1"/>
      <c r="G522" s="1"/>
      <c r="H522" s="1"/>
      <c r="L522" s="1"/>
    </row>
    <row r="523" spans="6:12">
      <c r="G523" s="1"/>
      <c r="H523" s="1"/>
      <c r="L523" s="1"/>
    </row>
    <row r="524" spans="6:12">
      <c r="F524" s="1"/>
      <c r="G524" s="1"/>
      <c r="H524" s="1"/>
      <c r="L524" s="1"/>
    </row>
    <row r="525" spans="6:12">
      <c r="G525" s="1"/>
      <c r="H525" s="1"/>
      <c r="L525" s="1"/>
    </row>
    <row r="526" spans="6:12">
      <c r="F526" s="1"/>
      <c r="G526" s="1"/>
      <c r="H526" s="1"/>
      <c r="L526" s="1"/>
    </row>
    <row r="527" spans="6:12">
      <c r="G527" s="1"/>
      <c r="H527" s="1"/>
      <c r="L527" s="1"/>
    </row>
    <row r="528" spans="6:12">
      <c r="F528" s="1"/>
      <c r="G528" s="1"/>
      <c r="H528" s="1"/>
      <c r="L528" s="1"/>
    </row>
    <row r="529" spans="6:12">
      <c r="G529" s="1"/>
      <c r="H529" s="1"/>
      <c r="L529" s="1"/>
    </row>
    <row r="530" spans="6:12">
      <c r="F530" s="1"/>
      <c r="G530" s="1"/>
      <c r="H530" s="1"/>
      <c r="L530" s="1"/>
    </row>
    <row r="531" spans="6:12">
      <c r="G531" s="1"/>
      <c r="H531" s="1"/>
      <c r="L531" s="1"/>
    </row>
    <row r="532" spans="6:12">
      <c r="F532" s="1"/>
      <c r="G532" s="1"/>
      <c r="H532" s="1"/>
      <c r="L532" s="1"/>
    </row>
    <row r="533" spans="6:12">
      <c r="G533" s="1"/>
      <c r="H533" s="1"/>
      <c r="L533" s="1"/>
    </row>
    <row r="534" spans="6:12">
      <c r="F534" s="1"/>
      <c r="G534" s="1"/>
      <c r="H534" s="1"/>
      <c r="L534" s="1"/>
    </row>
    <row r="535" spans="6:12">
      <c r="G535" s="1"/>
      <c r="H535" s="1"/>
      <c r="L535" s="1"/>
    </row>
    <row r="536" spans="6:12">
      <c r="F536" s="1"/>
      <c r="G536" s="1"/>
      <c r="H536" s="1"/>
      <c r="L536" s="1"/>
    </row>
    <row r="537" spans="6:12">
      <c r="G537" s="1"/>
      <c r="H537" s="1"/>
      <c r="L537" s="1"/>
    </row>
    <row r="538" spans="6:12">
      <c r="F538" s="1"/>
      <c r="G538" s="1"/>
      <c r="H538" s="1"/>
      <c r="L538" s="1"/>
    </row>
    <row r="539" spans="6:12">
      <c r="G539" s="1"/>
      <c r="H539" s="1"/>
      <c r="L539" s="1"/>
    </row>
    <row r="540" spans="6:12">
      <c r="F540" s="1"/>
      <c r="G540" s="1"/>
      <c r="H540" s="1"/>
      <c r="L540" s="1"/>
    </row>
    <row r="541" spans="6:12">
      <c r="G541" s="1"/>
      <c r="H541" s="1"/>
      <c r="L541" s="1"/>
    </row>
    <row r="542" spans="6:12">
      <c r="F542" s="1"/>
      <c r="G542" s="1"/>
      <c r="H542" s="1"/>
      <c r="L542" s="1"/>
    </row>
    <row r="543" spans="6:12">
      <c r="G543" s="1"/>
      <c r="H543" s="1"/>
      <c r="L543" s="1"/>
    </row>
    <row r="544" spans="6:12">
      <c r="F544" s="1"/>
      <c r="G544" s="1"/>
      <c r="H544" s="1"/>
      <c r="L544" s="1"/>
    </row>
    <row r="545" spans="6:12">
      <c r="G545" s="1"/>
      <c r="H545" s="1"/>
      <c r="L545" s="1"/>
    </row>
    <row r="546" spans="6:12">
      <c r="F546" s="1"/>
      <c r="G546" s="1"/>
      <c r="H546" s="1"/>
      <c r="L546" s="1"/>
    </row>
    <row r="547" spans="6:12">
      <c r="G547" s="1"/>
      <c r="H547" s="1"/>
      <c r="L547" s="1"/>
    </row>
    <row r="548" spans="6:12">
      <c r="F548" s="1"/>
      <c r="G548" s="1"/>
      <c r="H548" s="1"/>
      <c r="L548" s="1"/>
    </row>
    <row r="549" spans="6:12">
      <c r="G549" s="1"/>
      <c r="H549" s="1"/>
      <c r="L549" s="1"/>
    </row>
    <row r="550" spans="6:12">
      <c r="F550" s="1"/>
      <c r="G550" s="1"/>
      <c r="H550" s="1"/>
      <c r="L550" s="1"/>
    </row>
    <row r="551" spans="6:12">
      <c r="G551" s="1"/>
      <c r="H551" s="1"/>
      <c r="L551" s="1"/>
    </row>
    <row r="552" spans="6:12">
      <c r="F552" s="1"/>
      <c r="G552" s="1"/>
      <c r="H552" s="1"/>
      <c r="L552" s="1"/>
    </row>
    <row r="553" spans="6:12">
      <c r="G553" s="1"/>
      <c r="H553" s="1"/>
      <c r="L553" s="1"/>
    </row>
    <row r="554" spans="6:12">
      <c r="F554" s="1"/>
      <c r="G554" s="1"/>
      <c r="H554" s="1"/>
      <c r="L554" s="1"/>
    </row>
    <row r="555" spans="6:12">
      <c r="G555" s="1"/>
      <c r="H555" s="1"/>
      <c r="L555" s="1"/>
    </row>
    <row r="556" spans="6:12">
      <c r="F556" s="1"/>
      <c r="G556" s="1"/>
      <c r="H556" s="1"/>
      <c r="L556" s="1"/>
    </row>
    <row r="557" spans="6:12">
      <c r="G557" s="1"/>
      <c r="H557" s="1"/>
      <c r="L557" s="1"/>
    </row>
    <row r="558" spans="6:12">
      <c r="F558" s="1"/>
      <c r="G558" s="1"/>
      <c r="H558" s="1"/>
      <c r="L558" s="1"/>
    </row>
    <row r="559" spans="6:12">
      <c r="G559" s="1"/>
      <c r="H559" s="1"/>
      <c r="L559" s="1"/>
    </row>
    <row r="560" spans="6:12">
      <c r="F560" s="1"/>
      <c r="G560" s="1"/>
      <c r="H560" s="1"/>
      <c r="L560" s="1"/>
    </row>
    <row r="561" spans="6:12">
      <c r="G561" s="1"/>
      <c r="H561" s="1"/>
      <c r="L561" s="1"/>
    </row>
    <row r="562" spans="6:12">
      <c r="F562" s="1"/>
      <c r="G562" s="1"/>
      <c r="H562" s="1"/>
      <c r="L562" s="1"/>
    </row>
    <row r="563" spans="6:12">
      <c r="G563" s="1"/>
      <c r="H563" s="1"/>
      <c r="L563" s="1"/>
    </row>
    <row r="564" spans="6:12">
      <c r="F564" s="1"/>
      <c r="G564" s="1"/>
      <c r="H564" s="1"/>
      <c r="L564" s="1"/>
    </row>
    <row r="565" spans="6:12">
      <c r="G565" s="1"/>
      <c r="H565" s="1"/>
      <c r="L565" s="1"/>
    </row>
    <row r="566" spans="6:12">
      <c r="F566" s="1"/>
      <c r="G566" s="1"/>
      <c r="H566" s="1"/>
      <c r="L566" s="1"/>
    </row>
    <row r="567" spans="6:12">
      <c r="G567" s="1"/>
      <c r="H567" s="1"/>
      <c r="L567" s="1"/>
    </row>
    <row r="568" spans="6:12">
      <c r="F568" s="1"/>
      <c r="G568" s="1"/>
      <c r="H568" s="1"/>
      <c r="L568" s="1"/>
    </row>
    <row r="569" spans="6:12">
      <c r="G569" s="1"/>
      <c r="H569" s="1"/>
      <c r="L569" s="1"/>
    </row>
    <row r="570" spans="6:12">
      <c r="F570" s="1"/>
      <c r="G570" s="1"/>
      <c r="H570" s="1"/>
      <c r="L570" s="1"/>
    </row>
    <row r="571" spans="6:12">
      <c r="G571" s="1"/>
      <c r="H571" s="1"/>
      <c r="L571" s="1"/>
    </row>
    <row r="572" spans="6:12">
      <c r="F572" s="1"/>
      <c r="G572" s="1"/>
      <c r="H572" s="1"/>
      <c r="L572" s="1"/>
    </row>
    <row r="573" spans="6:12">
      <c r="G573" s="1"/>
      <c r="H573" s="1"/>
      <c r="L573" s="1"/>
    </row>
    <row r="574" spans="6:12">
      <c r="F574" s="1"/>
      <c r="G574" s="1"/>
      <c r="H574" s="1"/>
      <c r="L574" s="1"/>
    </row>
    <row r="575" spans="6:12">
      <c r="G575" s="1"/>
      <c r="H575" s="1"/>
      <c r="L575" s="1"/>
    </row>
    <row r="576" spans="6:12">
      <c r="F576" s="1"/>
      <c r="G576" s="1"/>
      <c r="H576" s="1"/>
      <c r="L576" s="1"/>
    </row>
    <row r="577" spans="6:12">
      <c r="G577" s="1"/>
      <c r="H577" s="1"/>
      <c r="L577" s="1"/>
    </row>
    <row r="578" spans="6:12">
      <c r="F578" s="1"/>
      <c r="G578" s="1"/>
      <c r="H578" s="1"/>
      <c r="L578" s="1"/>
    </row>
    <row r="579" spans="6:12">
      <c r="G579" s="1"/>
      <c r="H579" s="1"/>
      <c r="L579" s="1"/>
    </row>
    <row r="580" spans="6:12">
      <c r="F580" s="1"/>
      <c r="G580" s="1"/>
      <c r="H580" s="1"/>
      <c r="L580" s="1"/>
    </row>
    <row r="581" spans="6:12">
      <c r="G581" s="1"/>
      <c r="H581" s="1"/>
      <c r="L581" s="1"/>
    </row>
    <row r="582" spans="6:12">
      <c r="F582" s="1"/>
      <c r="G582" s="1"/>
      <c r="H582" s="1"/>
      <c r="L582" s="1"/>
    </row>
    <row r="583" spans="6:12">
      <c r="G583" s="1"/>
      <c r="H583" s="1"/>
      <c r="L583" s="1"/>
    </row>
    <row r="584" spans="6:12">
      <c r="F584" s="1"/>
      <c r="G584" s="1"/>
      <c r="H584" s="1"/>
      <c r="L584" s="1"/>
    </row>
    <row r="585" spans="6:12">
      <c r="G585" s="1"/>
      <c r="H585" s="1"/>
      <c r="L585" s="1"/>
    </row>
    <row r="586" spans="6:12">
      <c r="F586" s="1"/>
      <c r="G586" s="1"/>
      <c r="H586" s="1"/>
      <c r="L586" s="1"/>
    </row>
    <row r="587" spans="6:12">
      <c r="G587" s="1"/>
      <c r="H587" s="1"/>
      <c r="L587" s="1"/>
    </row>
    <row r="588" spans="6:12">
      <c r="F588" s="1"/>
      <c r="G588" s="1"/>
      <c r="H588" s="1"/>
      <c r="L588" s="1"/>
    </row>
    <row r="589" spans="6:12">
      <c r="G589" s="1"/>
      <c r="H589" s="1"/>
      <c r="L589" s="1"/>
    </row>
    <row r="590" spans="6:12">
      <c r="F590" s="1"/>
      <c r="G590" s="1"/>
      <c r="H590" s="1"/>
      <c r="L590" s="1"/>
    </row>
    <row r="591" spans="6:12">
      <c r="G591" s="1"/>
      <c r="H591" s="1"/>
      <c r="L591" s="1"/>
    </row>
    <row r="592" spans="6:12">
      <c r="F592" s="1"/>
      <c r="G592" s="1"/>
      <c r="H592" s="1"/>
      <c r="L592" s="1"/>
    </row>
    <row r="593" spans="6:12">
      <c r="G593" s="1"/>
      <c r="H593" s="1"/>
      <c r="L593" s="1"/>
    </row>
    <row r="594" spans="6:12">
      <c r="F594" s="1"/>
      <c r="G594" s="1"/>
      <c r="H594" s="1"/>
      <c r="L594" s="1"/>
    </row>
    <row r="595" spans="6:12">
      <c r="G595" s="1"/>
      <c r="H595" s="1"/>
      <c r="L595" s="1"/>
    </row>
    <row r="596" spans="6:12">
      <c r="F596" s="1"/>
      <c r="G596" s="1"/>
      <c r="H596" s="1"/>
      <c r="L596" s="1"/>
    </row>
    <row r="597" spans="6:12">
      <c r="G597" s="1"/>
      <c r="H597" s="1"/>
      <c r="L597" s="1"/>
    </row>
    <row r="598" spans="6:12">
      <c r="F598" s="1"/>
      <c r="G598" s="1"/>
      <c r="H598" s="1"/>
      <c r="L598" s="1"/>
    </row>
    <row r="599" spans="6:12">
      <c r="G599" s="1"/>
      <c r="H599" s="1"/>
      <c r="L599" s="1"/>
    </row>
    <row r="600" spans="6:12">
      <c r="F600" s="1"/>
      <c r="G600" s="1"/>
      <c r="H600" s="1"/>
      <c r="L600" s="1"/>
    </row>
    <row r="601" spans="6:12">
      <c r="G601" s="1"/>
      <c r="H601" s="1"/>
      <c r="L601" s="1"/>
    </row>
    <row r="602" spans="6:12">
      <c r="F602" s="1"/>
      <c r="G602" s="1"/>
      <c r="H602" s="1"/>
      <c r="L602" s="1"/>
    </row>
    <row r="603" spans="6:12">
      <c r="G603" s="1"/>
      <c r="H603" s="1"/>
      <c r="L603" s="1"/>
    </row>
    <row r="604" spans="6:12">
      <c r="F604" s="1"/>
      <c r="G604" s="1"/>
      <c r="H604" s="1"/>
      <c r="L604" s="1"/>
    </row>
    <row r="605" spans="6:12">
      <c r="G605" s="1"/>
      <c r="H605" s="1"/>
      <c r="L605" s="1"/>
    </row>
    <row r="606" spans="6:12">
      <c r="F606" s="1"/>
      <c r="G606" s="1"/>
      <c r="H606" s="1"/>
      <c r="L606" s="1"/>
    </row>
    <row r="607" spans="6:12">
      <c r="G607" s="1"/>
      <c r="H607" s="1"/>
      <c r="L607" s="1"/>
    </row>
    <row r="608" spans="6:12">
      <c r="F608" s="1"/>
      <c r="G608" s="1"/>
      <c r="H608" s="1"/>
      <c r="L608" s="1"/>
    </row>
    <row r="609" spans="6:12">
      <c r="G609" s="1"/>
      <c r="H609" s="1"/>
      <c r="L609" s="1"/>
    </row>
    <row r="610" spans="6:12">
      <c r="F610" s="1"/>
      <c r="G610" s="1"/>
      <c r="H610" s="1"/>
      <c r="L610" s="1"/>
    </row>
    <row r="611" spans="6:12">
      <c r="G611" s="1"/>
      <c r="H611" s="1"/>
      <c r="L611" s="1"/>
    </row>
    <row r="612" spans="6:12">
      <c r="F612" s="1"/>
      <c r="G612" s="1"/>
      <c r="H612" s="1"/>
      <c r="L612" s="1"/>
    </row>
    <row r="613" spans="6:12">
      <c r="G613" s="1"/>
      <c r="H613" s="1"/>
      <c r="L613" s="1"/>
    </row>
    <row r="614" spans="6:12">
      <c r="F614" s="1"/>
      <c r="G614" s="1"/>
      <c r="H614" s="1"/>
      <c r="L614" s="1"/>
    </row>
    <row r="615" spans="6:12">
      <c r="G615" s="1"/>
      <c r="H615" s="1"/>
      <c r="L615" s="1"/>
    </row>
    <row r="616" spans="6:12">
      <c r="F616" s="1"/>
      <c r="G616" s="1"/>
      <c r="H616" s="1"/>
      <c r="L616" s="1"/>
    </row>
    <row r="617" spans="6:12">
      <c r="G617" s="1"/>
      <c r="H617" s="1"/>
      <c r="L617" s="1"/>
    </row>
    <row r="618" spans="6:12">
      <c r="F618" s="1"/>
      <c r="G618" s="1"/>
      <c r="H618" s="1"/>
      <c r="L618" s="1"/>
    </row>
    <row r="619" spans="6:12">
      <c r="G619" s="1"/>
      <c r="H619" s="1"/>
      <c r="L619" s="1"/>
    </row>
    <row r="620" spans="6:12">
      <c r="F620" s="1"/>
      <c r="G620" s="1"/>
      <c r="H620" s="1"/>
      <c r="L620" s="1"/>
    </row>
    <row r="621" spans="6:12">
      <c r="G621" s="1"/>
      <c r="H621" s="1"/>
      <c r="L621" s="1"/>
    </row>
    <row r="622" spans="6:12">
      <c r="F622" s="1"/>
      <c r="G622" s="1"/>
      <c r="H622" s="1"/>
      <c r="L622" s="1"/>
    </row>
    <row r="623" spans="6:12">
      <c r="G623" s="1"/>
      <c r="H623" s="1"/>
      <c r="L623" s="1"/>
    </row>
    <row r="624" spans="6:12">
      <c r="F624" s="1"/>
      <c r="G624" s="1"/>
      <c r="H624" s="1"/>
      <c r="L624" s="1"/>
    </row>
    <row r="625" spans="6:12">
      <c r="G625" s="1"/>
      <c r="H625" s="1"/>
      <c r="L625" s="1"/>
    </row>
    <row r="626" spans="6:12">
      <c r="F626" s="1"/>
      <c r="G626" s="1"/>
      <c r="H626" s="1"/>
      <c r="L626" s="1"/>
    </row>
    <row r="627" spans="6:12">
      <c r="G627" s="1"/>
      <c r="H627" s="1"/>
      <c r="L627" s="1"/>
    </row>
    <row r="628" spans="6:12">
      <c r="F628" s="1"/>
      <c r="G628" s="1"/>
      <c r="H628" s="1"/>
      <c r="L628" s="1"/>
    </row>
    <row r="629" spans="6:12">
      <c r="G629" s="1"/>
      <c r="H629" s="1"/>
      <c r="L629" s="1"/>
    </row>
    <row r="630" spans="6:12">
      <c r="F630" s="1"/>
      <c r="G630" s="1"/>
      <c r="H630" s="1"/>
      <c r="L630" s="1"/>
    </row>
    <row r="631" spans="6:12">
      <c r="G631" s="1"/>
      <c r="H631" s="1"/>
      <c r="L631" s="1"/>
    </row>
    <row r="632" spans="6:12">
      <c r="F632" s="1"/>
      <c r="G632" s="1"/>
      <c r="H632" s="1"/>
    </row>
    <row r="633" spans="6:12">
      <c r="G633" s="1"/>
      <c r="H633" s="1"/>
    </row>
    <row r="634" spans="6:12">
      <c r="F634" s="1"/>
      <c r="G634" s="1"/>
      <c r="H634" s="1"/>
    </row>
    <row r="635" spans="6:12">
      <c r="G635" s="1"/>
      <c r="H635" s="1"/>
    </row>
    <row r="636" spans="6:12">
      <c r="F636" s="1"/>
      <c r="G636" s="1"/>
      <c r="H636" s="1"/>
    </row>
    <row r="637" spans="6:12">
      <c r="G637" s="1"/>
      <c r="H637" s="1"/>
    </row>
    <row r="638" spans="6:12">
      <c r="F638" s="1"/>
      <c r="G638" s="1"/>
      <c r="H638" s="1"/>
    </row>
    <row r="639" spans="6:12">
      <c r="G639" s="1"/>
      <c r="H639" s="1"/>
    </row>
    <row r="640" spans="6:12">
      <c r="F640" s="1"/>
      <c r="G640" s="1"/>
      <c r="H640" s="1"/>
    </row>
    <row r="641" spans="6:8">
      <c r="G641" s="1"/>
      <c r="H641" s="1"/>
    </row>
    <row r="642" spans="6:8">
      <c r="F642" s="1"/>
      <c r="G642" s="1"/>
      <c r="H642" s="1"/>
    </row>
    <row r="643" spans="6:8">
      <c r="G643" s="1"/>
      <c r="H643" s="1"/>
    </row>
    <row r="644" spans="6:8">
      <c r="F644" s="1"/>
      <c r="G644" s="1"/>
      <c r="H644" s="1"/>
    </row>
    <row r="645" spans="6:8">
      <c r="G645" s="1"/>
      <c r="H645" s="1"/>
    </row>
    <row r="646" spans="6:8">
      <c r="F646" s="1"/>
      <c r="G646" s="1"/>
      <c r="H646" s="1"/>
    </row>
    <row r="647" spans="6:8">
      <c r="G647" s="1"/>
      <c r="H647" s="1"/>
    </row>
    <row r="648" spans="6:8">
      <c r="F648" s="1"/>
      <c r="G648" s="1"/>
      <c r="H648" s="1"/>
    </row>
    <row r="649" spans="6:8">
      <c r="G649" s="1"/>
      <c r="H649" s="1"/>
    </row>
    <row r="650" spans="6:8">
      <c r="F650" s="1"/>
      <c r="G650" s="1"/>
      <c r="H650" s="1"/>
    </row>
    <row r="651" spans="6:8">
      <c r="G651" s="1"/>
      <c r="H651" s="1"/>
    </row>
    <row r="652" spans="6:8">
      <c r="F652" s="1"/>
      <c r="G652" s="1"/>
      <c r="H652" s="1"/>
    </row>
    <row r="653" spans="6:8">
      <c r="G653" s="1"/>
      <c r="H653" s="1"/>
    </row>
    <row r="654" spans="6:8">
      <c r="F654" s="1"/>
      <c r="G654" s="1"/>
      <c r="H654" s="1"/>
    </row>
    <row r="655" spans="6:8">
      <c r="G655" s="1"/>
      <c r="H655" s="1"/>
    </row>
    <row r="656" spans="6:8">
      <c r="F656" s="1"/>
      <c r="G656" s="1"/>
      <c r="H656" s="1"/>
    </row>
    <row r="657" spans="6:8">
      <c r="G657" s="1"/>
      <c r="H657" s="1"/>
    </row>
    <row r="658" spans="6:8">
      <c r="F658" s="1"/>
      <c r="G658" s="1"/>
      <c r="H658" s="1"/>
    </row>
    <row r="659" spans="6:8">
      <c r="G659" s="1"/>
      <c r="H659" s="1"/>
    </row>
    <row r="660" spans="6:8">
      <c r="F660" s="1"/>
      <c r="G660" s="1"/>
      <c r="H660" s="1"/>
    </row>
    <row r="661" spans="6:8">
      <c r="G661" s="1"/>
      <c r="H661" s="1"/>
    </row>
    <row r="662" spans="6:8">
      <c r="F662" s="1"/>
      <c r="G662" s="1"/>
      <c r="H662" s="1"/>
    </row>
    <row r="663" spans="6:8">
      <c r="G663" s="1"/>
      <c r="H663" s="1"/>
    </row>
    <row r="664" spans="6:8">
      <c r="F664" s="1"/>
      <c r="G664" s="1"/>
      <c r="H664" s="1"/>
    </row>
    <row r="665" spans="6:8">
      <c r="G665" s="1"/>
      <c r="H665" s="1"/>
    </row>
    <row r="666" spans="6:8">
      <c r="F666" s="1"/>
      <c r="G666" s="1"/>
      <c r="H666" s="1"/>
    </row>
    <row r="667" spans="6:8">
      <c r="G667" s="1"/>
      <c r="H667" s="1"/>
    </row>
    <row r="668" spans="6:8">
      <c r="F668" s="1"/>
      <c r="G668" s="1"/>
      <c r="H668" s="1"/>
    </row>
    <row r="669" spans="6:8">
      <c r="G669" s="1"/>
      <c r="H669" s="1"/>
    </row>
    <row r="670" spans="6:8">
      <c r="F670" s="1"/>
      <c r="G670" s="1"/>
      <c r="H670" s="1"/>
    </row>
    <row r="671" spans="6:8">
      <c r="G671" s="1"/>
      <c r="H671" s="1"/>
    </row>
    <row r="672" spans="6:8">
      <c r="F672" s="1"/>
      <c r="G672" s="1"/>
      <c r="H672" s="1"/>
    </row>
    <row r="673" spans="6:8">
      <c r="G673" s="1"/>
      <c r="H673" s="1"/>
    </row>
    <row r="674" spans="6:8">
      <c r="F674" s="1"/>
      <c r="G674" s="1"/>
      <c r="H674" s="1"/>
    </row>
    <row r="675" spans="6:8">
      <c r="G675" s="1"/>
      <c r="H675" s="1"/>
    </row>
    <row r="676" spans="6:8">
      <c r="F676" s="1"/>
      <c r="G676" s="1"/>
      <c r="H676" s="1"/>
    </row>
    <row r="677" spans="6:8">
      <c r="G677" s="1"/>
      <c r="H677" s="1"/>
    </row>
    <row r="678" spans="6:8">
      <c r="F678" s="1"/>
      <c r="G678" s="1"/>
      <c r="H678" s="1"/>
    </row>
    <row r="679" spans="6:8">
      <c r="G679" s="1"/>
      <c r="H679" s="1"/>
    </row>
    <row r="680" spans="6:8">
      <c r="F680" s="1"/>
      <c r="G680" s="1"/>
      <c r="H680" s="1"/>
    </row>
    <row r="681" spans="6:8">
      <c r="G681" s="1"/>
      <c r="H681" s="1"/>
    </row>
    <row r="682" spans="6:8">
      <c r="F682" s="1"/>
      <c r="G682" s="1"/>
      <c r="H682" s="1"/>
    </row>
    <row r="683" spans="6:8">
      <c r="G683" s="1"/>
      <c r="H683" s="1"/>
    </row>
    <row r="684" spans="6:8">
      <c r="F684" s="1"/>
      <c r="G684" s="1"/>
      <c r="H684" s="1"/>
    </row>
    <row r="685" spans="6:8">
      <c r="G685" s="1"/>
      <c r="H685" s="1"/>
    </row>
    <row r="686" spans="6:8">
      <c r="F686" s="1"/>
      <c r="G686" s="1"/>
      <c r="H686" s="1"/>
    </row>
    <row r="687" spans="6:8">
      <c r="G687" s="1"/>
      <c r="H687" s="1"/>
    </row>
    <row r="688" spans="6:8">
      <c r="F688" s="1"/>
      <c r="G688" s="1"/>
      <c r="H688" s="1"/>
    </row>
    <row r="689" spans="6:8">
      <c r="G689" s="1"/>
      <c r="H689" s="1"/>
    </row>
    <row r="690" spans="6:8">
      <c r="F690" s="1"/>
      <c r="G690" s="1"/>
      <c r="H690" s="1"/>
    </row>
    <row r="691" spans="6:8">
      <c r="G691" s="1"/>
      <c r="H691" s="1"/>
    </row>
    <row r="692" spans="6:8">
      <c r="F692" s="1"/>
      <c r="G692" s="1"/>
      <c r="H692" s="1"/>
    </row>
    <row r="693" spans="6:8">
      <c r="G693" s="1"/>
      <c r="H693" s="1"/>
    </row>
    <row r="694" spans="6:8">
      <c r="F694" s="1"/>
      <c r="G694" s="1"/>
      <c r="H694" s="1"/>
    </row>
    <row r="695" spans="6:8">
      <c r="G695" s="1"/>
      <c r="H695" s="1"/>
    </row>
    <row r="696" spans="6:8">
      <c r="F696" s="1"/>
      <c r="G696" s="1"/>
      <c r="H696" s="1"/>
    </row>
    <row r="697" spans="6:8">
      <c r="G697" s="1"/>
      <c r="H697" s="1"/>
    </row>
    <row r="698" spans="6:8">
      <c r="F698" s="1"/>
      <c r="G698" s="1"/>
      <c r="H698" s="1"/>
    </row>
    <row r="699" spans="6:8">
      <c r="G699" s="1"/>
      <c r="H699" s="1"/>
    </row>
    <row r="700" spans="6:8">
      <c r="F700" s="1"/>
      <c r="G700" s="1"/>
      <c r="H700" s="1"/>
    </row>
    <row r="701" spans="6:8">
      <c r="G701" s="1"/>
      <c r="H701" s="1"/>
    </row>
    <row r="702" spans="6:8">
      <c r="F702" s="1"/>
      <c r="G702" s="1"/>
      <c r="H702" s="1"/>
    </row>
    <row r="703" spans="6:8">
      <c r="G703" s="1"/>
      <c r="H703" s="1"/>
    </row>
    <row r="704" spans="6:8">
      <c r="F704" s="1"/>
      <c r="G704" s="1"/>
      <c r="H704" s="1"/>
    </row>
    <row r="705" spans="6:8">
      <c r="G705" s="1"/>
      <c r="H705" s="1"/>
    </row>
    <row r="706" spans="6:8">
      <c r="F706" s="1"/>
      <c r="G706" s="1"/>
      <c r="H706" s="1"/>
    </row>
    <row r="707" spans="6:8">
      <c r="G707" s="1"/>
      <c r="H707" s="1"/>
    </row>
    <row r="708" spans="6:8">
      <c r="F708" s="1"/>
      <c r="G708" s="1"/>
      <c r="H708" s="1"/>
    </row>
    <row r="709" spans="6:8">
      <c r="G709" s="1"/>
      <c r="H709" s="1"/>
    </row>
    <row r="710" spans="6:8">
      <c r="F710" s="1"/>
      <c r="G710" s="1"/>
      <c r="H710" s="1"/>
    </row>
    <row r="711" spans="6:8">
      <c r="G711" s="1"/>
      <c r="H711" s="1"/>
    </row>
    <row r="712" spans="6:8">
      <c r="F712" s="1"/>
      <c r="G712" s="1"/>
      <c r="H712" s="1"/>
    </row>
    <row r="713" spans="6:8">
      <c r="G713" s="1"/>
      <c r="H713" s="1"/>
    </row>
    <row r="714" spans="6:8">
      <c r="F714" s="1"/>
      <c r="G714" s="1"/>
      <c r="H714" s="1"/>
    </row>
    <row r="715" spans="6:8">
      <c r="G715" s="1"/>
      <c r="H715" s="1"/>
    </row>
    <row r="716" spans="6:8">
      <c r="F716" s="1"/>
      <c r="G716" s="1"/>
      <c r="H716" s="1"/>
    </row>
    <row r="717" spans="6:8">
      <c r="G717" s="1"/>
      <c r="H717" s="1"/>
    </row>
    <row r="718" spans="6:8">
      <c r="F718" s="1"/>
      <c r="G718" s="1"/>
      <c r="H718" s="1"/>
    </row>
    <row r="719" spans="6:8">
      <c r="G719" s="1"/>
      <c r="H719" s="1"/>
    </row>
    <row r="720" spans="6:8">
      <c r="F720" s="1"/>
      <c r="G720" s="1"/>
      <c r="H720" s="1"/>
    </row>
    <row r="721" spans="6:8">
      <c r="G721" s="1"/>
      <c r="H721" s="1"/>
    </row>
    <row r="722" spans="6:8">
      <c r="F722" s="1"/>
      <c r="G722" s="1"/>
      <c r="H722" s="1"/>
    </row>
    <row r="723" spans="6:8">
      <c r="G723" s="1"/>
      <c r="H723" s="1"/>
    </row>
    <row r="724" spans="6:8">
      <c r="F724" s="1"/>
      <c r="G724" s="1"/>
      <c r="H724" s="1"/>
    </row>
    <row r="725" spans="6:8">
      <c r="G725" s="1"/>
      <c r="H725" s="1"/>
    </row>
    <row r="726" spans="6:8">
      <c r="F726" s="1"/>
      <c r="G726" s="1"/>
      <c r="H726" s="1"/>
    </row>
    <row r="727" spans="6:8">
      <c r="G727" s="1"/>
      <c r="H727" s="1"/>
    </row>
    <row r="728" spans="6:8">
      <c r="F728" s="1"/>
      <c r="G728" s="1"/>
      <c r="H728" s="1"/>
    </row>
    <row r="729" spans="6:8">
      <c r="G729" s="1"/>
      <c r="H729" s="1"/>
    </row>
    <row r="730" spans="6:8">
      <c r="F730" s="1"/>
      <c r="G730" s="1"/>
      <c r="H730" s="1"/>
    </row>
    <row r="731" spans="6:8">
      <c r="G731" s="1"/>
      <c r="H731" s="1"/>
    </row>
    <row r="732" spans="6:8">
      <c r="F732" s="1"/>
      <c r="G732" s="1"/>
      <c r="H732" s="1"/>
    </row>
    <row r="733" spans="6:8">
      <c r="G733" s="1"/>
      <c r="H733" s="1"/>
    </row>
    <row r="734" spans="6:8">
      <c r="F734" s="1"/>
      <c r="G734" s="1"/>
      <c r="H734" s="1"/>
    </row>
    <row r="735" spans="6:8">
      <c r="G735" s="1"/>
      <c r="H735" s="1"/>
    </row>
    <row r="736" spans="6:8">
      <c r="F736" s="1"/>
      <c r="G736" s="1"/>
      <c r="H736" s="1"/>
    </row>
    <row r="737" spans="6:8">
      <c r="G737" s="1"/>
      <c r="H737" s="1"/>
    </row>
    <row r="738" spans="6:8">
      <c r="F738" s="1"/>
      <c r="G738" s="1"/>
      <c r="H738" s="1"/>
    </row>
    <row r="739" spans="6:8">
      <c r="G739" s="1"/>
      <c r="H739" s="1"/>
    </row>
    <row r="740" spans="6:8">
      <c r="F740" s="1"/>
      <c r="G740" s="1"/>
      <c r="H740" s="1"/>
    </row>
    <row r="741" spans="6:8">
      <c r="G741" s="1"/>
      <c r="H741" s="1"/>
    </row>
    <row r="742" spans="6:8">
      <c r="F742" s="1"/>
      <c r="G742" s="1"/>
      <c r="H742" s="1"/>
    </row>
    <row r="743" spans="6:8">
      <c r="G743" s="1"/>
      <c r="H743" s="1"/>
    </row>
    <row r="744" spans="6:8">
      <c r="F744" s="1"/>
      <c r="G744" s="1"/>
      <c r="H744" s="1"/>
    </row>
    <row r="745" spans="6:8">
      <c r="G745" s="1"/>
      <c r="H745" s="1"/>
    </row>
    <row r="746" spans="6:8">
      <c r="F746" s="1"/>
      <c r="G746" s="1"/>
      <c r="H746" s="1"/>
    </row>
    <row r="747" spans="6:8">
      <c r="G747" s="1"/>
      <c r="H747" s="1"/>
    </row>
    <row r="748" spans="6:8">
      <c r="F748" s="1"/>
      <c r="G748" s="1"/>
      <c r="H748" s="1"/>
    </row>
    <row r="749" spans="6:8">
      <c r="G749" s="1"/>
      <c r="H749" s="1"/>
    </row>
    <row r="750" spans="6:8">
      <c r="F750" s="1"/>
      <c r="G750" s="1"/>
      <c r="H750" s="1"/>
    </row>
    <row r="751" spans="6:8">
      <c r="G751" s="1"/>
      <c r="H751" s="1"/>
    </row>
    <row r="752" spans="6:8">
      <c r="F752" s="1"/>
      <c r="G752" s="1"/>
      <c r="H752" s="1"/>
    </row>
    <row r="753" spans="6:8">
      <c r="G753" s="1"/>
      <c r="H753" s="1"/>
    </row>
    <row r="754" spans="6:8">
      <c r="F754" s="1"/>
      <c r="G754" s="1"/>
      <c r="H754" s="1"/>
    </row>
    <row r="755" spans="6:8">
      <c r="G755" s="1"/>
      <c r="H755" s="1"/>
    </row>
    <row r="756" spans="6:8">
      <c r="F756" s="1"/>
      <c r="G756" s="1"/>
      <c r="H756" s="1"/>
    </row>
    <row r="757" spans="6:8">
      <c r="G757" s="1"/>
      <c r="H757" s="1"/>
    </row>
    <row r="758" spans="6:8">
      <c r="F758" s="1"/>
      <c r="G758" s="1"/>
      <c r="H758" s="1"/>
    </row>
    <row r="759" spans="6:8">
      <c r="G759" s="1"/>
      <c r="H759" s="1"/>
    </row>
    <row r="760" spans="6:8">
      <c r="F760" s="1"/>
      <c r="G760" s="1"/>
      <c r="H760" s="1"/>
    </row>
    <row r="761" spans="6:8">
      <c r="G761" s="1"/>
      <c r="H761" s="1"/>
    </row>
    <row r="762" spans="6:8">
      <c r="F762" s="1"/>
      <c r="G762" s="1"/>
      <c r="H762" s="1"/>
    </row>
    <row r="763" spans="6:8">
      <c r="G763" s="1"/>
      <c r="H763" s="1"/>
    </row>
    <row r="764" spans="6:8">
      <c r="F764" s="1"/>
      <c r="G764" s="1"/>
      <c r="H764" s="1"/>
    </row>
    <row r="765" spans="6:8">
      <c r="G765" s="1"/>
      <c r="H765" s="1"/>
    </row>
    <row r="766" spans="6:8">
      <c r="F766" s="1"/>
      <c r="G766" s="1"/>
      <c r="H766" s="1"/>
    </row>
    <row r="767" spans="6:8">
      <c r="G767" s="1"/>
      <c r="H767" s="1"/>
    </row>
    <row r="768" spans="6:8">
      <c r="F768" s="1"/>
      <c r="G768" s="1"/>
      <c r="H768" s="1"/>
    </row>
    <row r="769" spans="6:8">
      <c r="G769" s="1"/>
      <c r="H769" s="1"/>
    </row>
    <row r="770" spans="6:8">
      <c r="F770" s="1"/>
      <c r="G770" s="1"/>
      <c r="H770" s="1"/>
    </row>
    <row r="771" spans="6:8">
      <c r="G771" s="1"/>
      <c r="H771" s="1"/>
    </row>
    <row r="772" spans="6:8">
      <c r="F772" s="1"/>
      <c r="G772" s="1"/>
      <c r="H772" s="1"/>
    </row>
    <row r="773" spans="6:8">
      <c r="G773" s="1"/>
      <c r="H773" s="1"/>
    </row>
    <row r="774" spans="6:8">
      <c r="F774" s="1"/>
      <c r="G774" s="1"/>
      <c r="H774" s="1"/>
    </row>
    <row r="775" spans="6:8">
      <c r="G775" s="1"/>
      <c r="H775" s="1"/>
    </row>
    <row r="776" spans="6:8">
      <c r="F776" s="1"/>
      <c r="G776" s="1"/>
      <c r="H776" s="1"/>
    </row>
    <row r="777" spans="6:8">
      <c r="G777" s="1"/>
      <c r="H777" s="1"/>
    </row>
    <row r="778" spans="6:8">
      <c r="F778" s="1"/>
      <c r="G778" s="1"/>
      <c r="H778" s="1"/>
    </row>
    <row r="779" spans="6:8">
      <c r="G779" s="1"/>
      <c r="H779" s="1"/>
    </row>
    <row r="780" spans="6:8">
      <c r="F780" s="1"/>
      <c r="G780" s="1"/>
      <c r="H780" s="1"/>
    </row>
    <row r="781" spans="6:8">
      <c r="G781" s="1"/>
      <c r="H781" s="1"/>
    </row>
    <row r="782" spans="6:8">
      <c r="F782" s="1"/>
      <c r="G782" s="1"/>
      <c r="H782" s="1"/>
    </row>
    <row r="783" spans="6:8">
      <c r="G783" s="1"/>
      <c r="H783" s="1"/>
    </row>
    <row r="784" spans="6:8">
      <c r="F784" s="1"/>
      <c r="G784" s="1"/>
      <c r="H784" s="1"/>
    </row>
    <row r="785" spans="6:8">
      <c r="G785" s="1"/>
      <c r="H785" s="1"/>
    </row>
    <row r="786" spans="6:8">
      <c r="F786" s="1"/>
      <c r="G786" s="1"/>
      <c r="H786" s="1"/>
    </row>
    <row r="787" spans="6:8">
      <c r="G787" s="1"/>
      <c r="H787" s="1"/>
    </row>
    <row r="788" spans="6:8">
      <c r="F788" s="1"/>
      <c r="G788" s="1"/>
      <c r="H788" s="1"/>
    </row>
    <row r="789" spans="6:8">
      <c r="G789" s="1"/>
      <c r="H789" s="1"/>
    </row>
    <row r="790" spans="6:8">
      <c r="F790" s="1"/>
      <c r="G790" s="1"/>
      <c r="H790" s="1"/>
    </row>
    <row r="791" spans="6:8">
      <c r="G791" s="1"/>
      <c r="H791" s="1"/>
    </row>
    <row r="792" spans="6:8">
      <c r="F792" s="1"/>
      <c r="G792" s="1"/>
      <c r="H792" s="1"/>
    </row>
    <row r="793" spans="6:8">
      <c r="G793" s="1"/>
      <c r="H793" s="1"/>
    </row>
    <row r="794" spans="6:8">
      <c r="F794" s="1"/>
      <c r="G794" s="1"/>
      <c r="H794" s="1"/>
    </row>
    <row r="795" spans="6:8">
      <c r="G795" s="1"/>
      <c r="H795" s="1"/>
    </row>
    <row r="796" spans="6:8">
      <c r="F796" s="1"/>
      <c r="G796" s="1"/>
      <c r="H796" s="1"/>
    </row>
    <row r="797" spans="6:8">
      <c r="G797" s="1"/>
      <c r="H797" s="1"/>
    </row>
    <row r="798" spans="6:8">
      <c r="F798" s="1"/>
      <c r="G798" s="1"/>
      <c r="H798" s="1"/>
    </row>
    <row r="799" spans="6:8">
      <c r="G799" s="1"/>
      <c r="H799" s="1"/>
    </row>
    <row r="800" spans="6:8">
      <c r="F800" s="1"/>
      <c r="G800" s="1"/>
      <c r="H800" s="1"/>
    </row>
    <row r="801" spans="6:8">
      <c r="G801" s="1"/>
      <c r="H801" s="1"/>
    </row>
    <row r="802" spans="6:8">
      <c r="F802" s="1"/>
      <c r="G802" s="1"/>
      <c r="H802" s="1"/>
    </row>
    <row r="803" spans="6:8">
      <c r="G803" s="1"/>
      <c r="H803" s="1"/>
    </row>
    <row r="804" spans="6:8">
      <c r="F804" s="1"/>
      <c r="G804" s="1"/>
      <c r="H804" s="1"/>
    </row>
    <row r="805" spans="6:8">
      <c r="G805" s="1"/>
      <c r="H805" s="1"/>
    </row>
    <row r="806" spans="6:8">
      <c r="F806" s="1"/>
      <c r="G806" s="1"/>
      <c r="H806" s="1"/>
    </row>
    <row r="807" spans="6:8">
      <c r="G807" s="1"/>
      <c r="H807" s="1"/>
    </row>
    <row r="808" spans="6:8">
      <c r="F808" s="1"/>
      <c r="G808" s="1"/>
      <c r="H808" s="1"/>
    </row>
    <row r="809" spans="6:8">
      <c r="G809" s="1"/>
      <c r="H809" s="1"/>
    </row>
    <row r="810" spans="6:8">
      <c r="F810" s="1"/>
      <c r="G810" s="1"/>
      <c r="H810" s="1"/>
    </row>
    <row r="811" spans="6:8">
      <c r="G811" s="1"/>
      <c r="H811" s="1"/>
    </row>
    <row r="812" spans="6:8">
      <c r="F812" s="1"/>
      <c r="G812" s="1"/>
      <c r="H812" s="1"/>
    </row>
    <row r="813" spans="6:8">
      <c r="G813" s="1"/>
      <c r="H813" s="1"/>
    </row>
    <row r="814" spans="6:8">
      <c r="F814" s="1"/>
      <c r="G814" s="1"/>
      <c r="H814" s="1"/>
    </row>
    <row r="815" spans="6:8">
      <c r="G815" s="1"/>
      <c r="H815" s="1"/>
    </row>
    <row r="816" spans="6:8">
      <c r="F816" s="1"/>
      <c r="G816" s="1"/>
      <c r="H816" s="1"/>
    </row>
    <row r="817" spans="6:8">
      <c r="G817" s="1"/>
      <c r="H817" s="1"/>
    </row>
    <row r="818" spans="6:8">
      <c r="F818" s="1"/>
      <c r="G818" s="1"/>
      <c r="H818" s="1"/>
    </row>
    <row r="819" spans="6:8">
      <c r="G819" s="1"/>
      <c r="H819" s="1"/>
    </row>
    <row r="820" spans="6:8">
      <c r="F820" s="1"/>
      <c r="G820" s="1"/>
      <c r="H820" s="1"/>
    </row>
    <row r="821" spans="6:8">
      <c r="G821" s="1"/>
      <c r="H821" s="1"/>
    </row>
    <row r="822" spans="6:8">
      <c r="F822" s="1"/>
      <c r="G822" s="1"/>
      <c r="H822" s="1"/>
    </row>
    <row r="823" spans="6:8">
      <c r="G823" s="1"/>
      <c r="H823" s="1"/>
    </row>
    <row r="824" spans="6:8">
      <c r="F824" s="1"/>
      <c r="G824" s="1"/>
      <c r="H824" s="1"/>
    </row>
    <row r="825" spans="6:8">
      <c r="G825" s="1"/>
      <c r="H825" s="1"/>
    </row>
    <row r="826" spans="6:8">
      <c r="F826" s="1"/>
      <c r="G826" s="1"/>
      <c r="H826" s="1"/>
    </row>
    <row r="827" spans="6:8">
      <c r="G827" s="1"/>
      <c r="H827" s="1"/>
    </row>
    <row r="828" spans="6:8">
      <c r="F828" s="1"/>
      <c r="G828" s="1"/>
      <c r="H828" s="1"/>
    </row>
    <row r="829" spans="6:8">
      <c r="G829" s="1"/>
      <c r="H829" s="1"/>
    </row>
    <row r="830" spans="6:8">
      <c r="F830" s="1"/>
      <c r="G830" s="1"/>
      <c r="H830" s="1"/>
    </row>
    <row r="831" spans="6:8">
      <c r="G831" s="1"/>
      <c r="H831" s="1"/>
    </row>
    <row r="832" spans="6:8">
      <c r="F832" s="1"/>
      <c r="G832" s="1"/>
      <c r="H832" s="1"/>
    </row>
    <row r="833" spans="6:8">
      <c r="G833" s="1"/>
      <c r="H833" s="1"/>
    </row>
    <row r="834" spans="6:8">
      <c r="F834" s="1"/>
      <c r="G834" s="1"/>
      <c r="H834" s="1"/>
    </row>
    <row r="835" spans="6:8">
      <c r="G835" s="1"/>
      <c r="H835" s="1"/>
    </row>
    <row r="836" spans="6:8">
      <c r="F836" s="1"/>
      <c r="G836" s="1"/>
      <c r="H836" s="1"/>
    </row>
    <row r="837" spans="6:8">
      <c r="G837" s="1"/>
      <c r="H837" s="1"/>
    </row>
    <row r="838" spans="6:8">
      <c r="F838" s="1"/>
      <c r="G838" s="1"/>
      <c r="H838" s="1"/>
    </row>
    <row r="839" spans="6:8">
      <c r="G839" s="1"/>
      <c r="H839" s="1"/>
    </row>
    <row r="840" spans="6:8">
      <c r="F840" s="1"/>
      <c r="G840" s="1"/>
      <c r="H840" s="1"/>
    </row>
    <row r="841" spans="6:8">
      <c r="G841" s="1"/>
      <c r="H841" s="1"/>
    </row>
    <row r="842" spans="6:8">
      <c r="F842" s="1"/>
      <c r="G842" s="1"/>
      <c r="H842" s="1"/>
    </row>
    <row r="843" spans="6:8">
      <c r="G843" s="1"/>
      <c r="H843" s="1"/>
    </row>
    <row r="844" spans="6:8">
      <c r="F844" s="1"/>
      <c r="G844" s="1"/>
      <c r="H844" s="1"/>
    </row>
    <row r="845" spans="6:8">
      <c r="G845" s="1"/>
      <c r="H845" s="1"/>
    </row>
    <row r="846" spans="6:8">
      <c r="F846" s="1"/>
      <c r="G846" s="1"/>
      <c r="H846" s="1"/>
    </row>
    <row r="847" spans="6:8">
      <c r="G847" s="1"/>
      <c r="H847" s="1"/>
    </row>
    <row r="848" spans="6:8">
      <c r="F848" s="1"/>
      <c r="G848" s="1"/>
      <c r="H848" s="1"/>
    </row>
    <row r="849" spans="6:8">
      <c r="G849" s="1"/>
      <c r="H849" s="1"/>
    </row>
    <row r="850" spans="6:8">
      <c r="F850" s="1"/>
      <c r="G850" s="1"/>
      <c r="H850" s="1"/>
    </row>
    <row r="851" spans="6:8">
      <c r="G851" s="1"/>
      <c r="H851" s="1"/>
    </row>
    <row r="852" spans="6:8">
      <c r="F852" s="1"/>
      <c r="G852" s="1"/>
      <c r="H852" s="1"/>
    </row>
    <row r="853" spans="6:8">
      <c r="G853" s="1"/>
      <c r="H853" s="1"/>
    </row>
    <row r="854" spans="6:8">
      <c r="F854" s="1"/>
      <c r="G854" s="1"/>
      <c r="H854" s="1"/>
    </row>
    <row r="855" spans="6:8">
      <c r="G855" s="1"/>
      <c r="H855" s="1"/>
    </row>
    <row r="856" spans="6:8">
      <c r="F856" s="1"/>
      <c r="G856" s="1"/>
      <c r="H856" s="1"/>
    </row>
    <row r="857" spans="6:8">
      <c r="G857" s="1"/>
      <c r="H857" s="1"/>
    </row>
    <row r="858" spans="6:8">
      <c r="F858" s="1"/>
      <c r="G858" s="1"/>
      <c r="H858" s="1"/>
    </row>
    <row r="859" spans="6:8">
      <c r="G859" s="1"/>
      <c r="H859" s="1"/>
    </row>
    <row r="860" spans="6:8">
      <c r="F860" s="1"/>
      <c r="G860" s="1"/>
      <c r="H860" s="1"/>
    </row>
    <row r="861" spans="6:8">
      <c r="G861" s="1"/>
      <c r="H861" s="1"/>
    </row>
    <row r="862" spans="6:8">
      <c r="F862" s="1"/>
      <c r="G862" s="1"/>
      <c r="H862" s="1"/>
    </row>
    <row r="863" spans="6:8">
      <c r="G863" s="1"/>
      <c r="H863" s="1"/>
    </row>
    <row r="864" spans="6:8">
      <c r="F864" s="1"/>
      <c r="G864" s="1"/>
      <c r="H864" s="1"/>
    </row>
    <row r="865" spans="6:8">
      <c r="G865" s="1"/>
      <c r="H865" s="1"/>
    </row>
    <row r="866" spans="6:8">
      <c r="F866" s="1"/>
      <c r="G866" s="1"/>
      <c r="H866" s="1"/>
    </row>
    <row r="867" spans="6:8">
      <c r="G867" s="1"/>
      <c r="H867" s="1"/>
    </row>
    <row r="868" spans="6:8">
      <c r="F868" s="1"/>
      <c r="G868" s="1"/>
      <c r="H868" s="1"/>
    </row>
    <row r="869" spans="6:8">
      <c r="G869" s="1"/>
      <c r="H869" s="1"/>
    </row>
    <row r="870" spans="6:8">
      <c r="F870" s="1"/>
      <c r="G870" s="1"/>
      <c r="H870" s="1"/>
    </row>
    <row r="871" spans="6:8">
      <c r="G871" s="1"/>
      <c r="H871" s="1"/>
    </row>
    <row r="872" spans="6:8">
      <c r="F872" s="1"/>
      <c r="G872" s="1"/>
      <c r="H872" s="1"/>
    </row>
    <row r="873" spans="6:8">
      <c r="G873" s="1"/>
      <c r="H873" s="1"/>
    </row>
    <row r="874" spans="6:8">
      <c r="F874" s="1"/>
      <c r="G874" s="1"/>
      <c r="H874" s="1"/>
    </row>
    <row r="875" spans="6:8">
      <c r="G875" s="1"/>
      <c r="H875" s="1"/>
    </row>
    <row r="876" spans="6:8">
      <c r="F876" s="1"/>
      <c r="G876" s="1"/>
      <c r="H876" s="1"/>
    </row>
    <row r="877" spans="6:8">
      <c r="G877" s="1"/>
      <c r="H877" s="1"/>
    </row>
    <row r="878" spans="6:8">
      <c r="F878" s="1"/>
      <c r="G878" s="1"/>
      <c r="H878" s="1"/>
    </row>
    <row r="879" spans="6:8">
      <c r="G879" s="1"/>
      <c r="H879" s="1"/>
    </row>
    <row r="880" spans="6:8">
      <c r="F880" s="1"/>
      <c r="G880" s="1"/>
      <c r="H880" s="1"/>
    </row>
    <row r="881" spans="6:8">
      <c r="G881" s="1"/>
      <c r="H881" s="1"/>
    </row>
    <row r="882" spans="6:8">
      <c r="F882" s="1"/>
      <c r="G882" s="1"/>
      <c r="H882" s="1"/>
    </row>
    <row r="883" spans="6:8">
      <c r="G883" s="1"/>
      <c r="H883" s="1"/>
    </row>
    <row r="884" spans="6:8">
      <c r="F884" s="1"/>
      <c r="G884" s="1"/>
      <c r="H884" s="1"/>
    </row>
    <row r="885" spans="6:8">
      <c r="G885" s="1"/>
      <c r="H885" s="1"/>
    </row>
    <row r="886" spans="6:8">
      <c r="F886" s="1"/>
      <c r="G886" s="1"/>
      <c r="H886" s="1"/>
    </row>
    <row r="887" spans="6:8">
      <c r="G887" s="1"/>
      <c r="H887" s="1"/>
    </row>
    <row r="888" spans="6:8">
      <c r="F888" s="1"/>
      <c r="G888" s="1"/>
      <c r="H888" s="1"/>
    </row>
    <row r="889" spans="6:8">
      <c r="G889" s="1"/>
      <c r="H889" s="1"/>
    </row>
    <row r="890" spans="6:8">
      <c r="F890" s="1"/>
      <c r="G890" s="1"/>
      <c r="H890" s="1"/>
    </row>
    <row r="891" spans="6:8">
      <c r="G891" s="1"/>
      <c r="H891" s="1"/>
    </row>
    <row r="892" spans="6:8">
      <c r="F892" s="1"/>
      <c r="G892" s="1"/>
      <c r="H892" s="1"/>
    </row>
    <row r="893" spans="6:8">
      <c r="G893" s="1"/>
      <c r="H893" s="1"/>
    </row>
    <row r="894" spans="6:8">
      <c r="F894" s="1"/>
      <c r="G894" s="1"/>
      <c r="H894" s="1"/>
    </row>
    <row r="895" spans="6:8">
      <c r="G895" s="1"/>
      <c r="H895" s="1"/>
    </row>
    <row r="896" spans="6:8">
      <c r="F896" s="1"/>
      <c r="G896" s="1"/>
      <c r="H896" s="1"/>
    </row>
    <row r="897" spans="6:8">
      <c r="G897" s="1"/>
      <c r="H897" s="1"/>
    </row>
    <row r="898" spans="6:8">
      <c r="F898" s="1"/>
      <c r="G898" s="1"/>
      <c r="H898" s="1"/>
    </row>
    <row r="899" spans="6:8">
      <c r="G899" s="1"/>
      <c r="H899" s="1"/>
    </row>
    <row r="900" spans="6:8">
      <c r="F900" s="1"/>
      <c r="G900" s="1"/>
      <c r="H900" s="1"/>
    </row>
    <row r="901" spans="6:8">
      <c r="G901" s="1"/>
      <c r="H901" s="1"/>
    </row>
    <row r="902" spans="6:8">
      <c r="F902" s="1"/>
      <c r="G902" s="1"/>
      <c r="H902" s="1"/>
    </row>
    <row r="903" spans="6:8">
      <c r="G903" s="1"/>
      <c r="H903" s="1"/>
    </row>
    <row r="904" spans="6:8">
      <c r="F904" s="1"/>
      <c r="G904" s="1"/>
      <c r="H904" s="1"/>
    </row>
    <row r="905" spans="6:8">
      <c r="G905" s="1"/>
      <c r="H905" s="1"/>
    </row>
    <row r="906" spans="6:8">
      <c r="F906" s="1"/>
      <c r="G906" s="1"/>
      <c r="H906" s="1"/>
    </row>
    <row r="907" spans="6:8">
      <c r="G907" s="1"/>
      <c r="H907" s="1"/>
    </row>
    <row r="908" spans="6:8">
      <c r="F908" s="1"/>
      <c r="G908" s="1"/>
      <c r="H908" s="1"/>
    </row>
    <row r="909" spans="6:8">
      <c r="G909" s="1"/>
      <c r="H909" s="1"/>
    </row>
    <row r="910" spans="6:8">
      <c r="F910" s="1"/>
      <c r="G910" s="1"/>
      <c r="H910" s="1"/>
    </row>
    <row r="911" spans="6:8">
      <c r="G911" s="1"/>
      <c r="H911" s="1"/>
    </row>
    <row r="912" spans="6:8">
      <c r="F912" s="1"/>
      <c r="G912" s="1"/>
      <c r="H912" s="1"/>
    </row>
    <row r="913" spans="6:8">
      <c r="G913" s="1"/>
      <c r="H913" s="1"/>
    </row>
    <row r="914" spans="6:8">
      <c r="F914" s="1"/>
      <c r="G914" s="1"/>
      <c r="H914" s="1"/>
    </row>
    <row r="915" spans="6:8">
      <c r="G915" s="1"/>
      <c r="H915" s="1"/>
    </row>
    <row r="916" spans="6:8">
      <c r="F916" s="1"/>
      <c r="G916" s="1"/>
      <c r="H916" s="1"/>
    </row>
    <row r="917" spans="6:8">
      <c r="G917" s="1"/>
      <c r="H917" s="1"/>
    </row>
    <row r="918" spans="6:8">
      <c r="F918" s="1"/>
      <c r="G918" s="1"/>
      <c r="H918" s="1"/>
    </row>
    <row r="919" spans="6:8">
      <c r="G919" s="1"/>
      <c r="H919" s="1"/>
    </row>
    <row r="920" spans="6:8">
      <c r="F920" s="1"/>
      <c r="G920" s="1"/>
      <c r="H920" s="1"/>
    </row>
    <row r="921" spans="6:8">
      <c r="G921" s="1"/>
      <c r="H921" s="1"/>
    </row>
    <row r="922" spans="6:8">
      <c r="F922" s="1"/>
      <c r="G922" s="1"/>
      <c r="H922" s="1"/>
    </row>
    <row r="923" spans="6:8">
      <c r="G923" s="1"/>
      <c r="H923" s="1"/>
    </row>
    <row r="924" spans="6:8">
      <c r="F924" s="1"/>
      <c r="G924" s="1"/>
      <c r="H924" s="1"/>
    </row>
    <row r="925" spans="6:8">
      <c r="G925" s="1"/>
      <c r="H925" s="1"/>
    </row>
    <row r="926" spans="6:8">
      <c r="F926" s="1"/>
      <c r="G926" s="1"/>
      <c r="H926" s="1"/>
    </row>
    <row r="927" spans="6:8">
      <c r="G927" s="1"/>
      <c r="H927" s="1"/>
    </row>
    <row r="928" spans="6:8">
      <c r="F928" s="1"/>
      <c r="G928" s="1"/>
      <c r="H928" s="1"/>
    </row>
    <row r="929" spans="6:8">
      <c r="G929" s="1"/>
      <c r="H929" s="1"/>
    </row>
    <row r="930" spans="6:8">
      <c r="F930" s="1"/>
      <c r="G930" s="1"/>
      <c r="H930" s="1"/>
    </row>
    <row r="931" spans="6:8">
      <c r="G931" s="1"/>
      <c r="H931" s="1"/>
    </row>
    <row r="932" spans="6:8">
      <c r="F932" s="1"/>
      <c r="G932" s="1"/>
      <c r="H932" s="1"/>
    </row>
    <row r="933" spans="6:8">
      <c r="G933" s="1"/>
      <c r="H933" s="1"/>
    </row>
    <row r="934" spans="6:8">
      <c r="F934" s="1"/>
      <c r="G934" s="1"/>
      <c r="H934" s="1"/>
    </row>
    <row r="935" spans="6:8">
      <c r="G935" s="1"/>
      <c r="H935" s="1"/>
    </row>
    <row r="936" spans="6:8">
      <c r="F936" s="1"/>
      <c r="G936" s="1"/>
      <c r="H936" s="1"/>
    </row>
    <row r="937" spans="6:8">
      <c r="G937" s="1"/>
      <c r="H937" s="1"/>
    </row>
    <row r="938" spans="6:8">
      <c r="F938" s="1"/>
      <c r="G938" s="1"/>
      <c r="H938" s="1"/>
    </row>
    <row r="939" spans="6:8">
      <c r="G939" s="1"/>
      <c r="H939" s="1"/>
    </row>
    <row r="940" spans="6:8">
      <c r="F940" s="1"/>
      <c r="G940" s="1"/>
      <c r="H940" s="1"/>
    </row>
    <row r="941" spans="6:8">
      <c r="G941" s="1"/>
      <c r="H941" s="1"/>
    </row>
    <row r="942" spans="6:8">
      <c r="F942" s="1"/>
      <c r="G942" s="1"/>
      <c r="H942" s="1"/>
    </row>
    <row r="943" spans="6:8">
      <c r="G943" s="1"/>
      <c r="H943" s="1"/>
    </row>
    <row r="944" spans="6:8">
      <c r="F944" s="1"/>
      <c r="G944" s="1"/>
      <c r="H944" s="1"/>
    </row>
    <row r="945" spans="6:8">
      <c r="G945" s="1"/>
      <c r="H945" s="1"/>
    </row>
    <row r="946" spans="6:8">
      <c r="F946" s="1"/>
      <c r="G946" s="1"/>
      <c r="H946" s="1"/>
    </row>
    <row r="947" spans="6:8">
      <c r="G947" s="1"/>
      <c r="H947" s="1"/>
    </row>
    <row r="948" spans="6:8">
      <c r="F948" s="1"/>
      <c r="G948" s="1"/>
      <c r="H948" s="1"/>
    </row>
    <row r="949" spans="6:8">
      <c r="G949" s="1"/>
      <c r="H949" s="1"/>
    </row>
    <row r="950" spans="6:8">
      <c r="F950" s="1"/>
      <c r="G950" s="1"/>
      <c r="H950" s="1"/>
    </row>
    <row r="951" spans="6:8">
      <c r="G951" s="1"/>
      <c r="H951" s="1"/>
    </row>
    <row r="952" spans="6:8">
      <c r="F952" s="1"/>
      <c r="G952" s="1"/>
      <c r="H952" s="1"/>
    </row>
    <row r="953" spans="6:8">
      <c r="G953" s="1"/>
      <c r="H953" s="1"/>
    </row>
    <row r="954" spans="6:8">
      <c r="F954" s="1"/>
      <c r="G954" s="1"/>
      <c r="H954" s="1"/>
    </row>
    <row r="955" spans="6:8">
      <c r="G955" s="1"/>
      <c r="H955" s="1"/>
    </row>
    <row r="956" spans="6:8">
      <c r="F956" s="1"/>
      <c r="G956" s="1"/>
      <c r="H956" s="1"/>
    </row>
    <row r="957" spans="6:8">
      <c r="G957" s="1"/>
      <c r="H957" s="1"/>
    </row>
    <row r="958" spans="6:8">
      <c r="F958" s="1"/>
      <c r="G958" s="1"/>
      <c r="H958" s="1"/>
    </row>
    <row r="959" spans="6:8">
      <c r="G959" s="1"/>
      <c r="H959" s="1"/>
    </row>
    <row r="960" spans="6:8">
      <c r="F960" s="1"/>
      <c r="G960" s="1"/>
      <c r="H960" s="1"/>
    </row>
    <row r="961" spans="6:8">
      <c r="G961" s="1"/>
      <c r="H961" s="1"/>
    </row>
    <row r="962" spans="6:8">
      <c r="F962" s="1"/>
      <c r="G962" s="1"/>
      <c r="H962" s="1"/>
    </row>
    <row r="963" spans="6:8">
      <c r="G963" s="1"/>
      <c r="H963" s="1"/>
    </row>
    <row r="964" spans="6:8">
      <c r="F964" s="1"/>
      <c r="G964" s="1"/>
      <c r="H964" s="1"/>
    </row>
    <row r="965" spans="6:8">
      <c r="G965" s="1"/>
      <c r="H965" s="1"/>
    </row>
    <row r="966" spans="6:8">
      <c r="F966" s="1"/>
      <c r="G966" s="1"/>
      <c r="H966" s="1"/>
    </row>
    <row r="967" spans="6:8">
      <c r="G967" s="1"/>
      <c r="H967" s="1"/>
    </row>
    <row r="968" spans="6:8">
      <c r="F968" s="1"/>
      <c r="G968" s="1"/>
      <c r="H968" s="1"/>
    </row>
    <row r="969" spans="6:8">
      <c r="G969" s="1"/>
      <c r="H969" s="1"/>
    </row>
    <row r="970" spans="6:8">
      <c r="F970" s="1"/>
      <c r="G970" s="1"/>
      <c r="H970" s="1"/>
    </row>
    <row r="971" spans="6:8">
      <c r="G971" s="1"/>
      <c r="H971" s="1"/>
    </row>
    <row r="972" spans="6:8">
      <c r="F972" s="1"/>
      <c r="G972" s="1"/>
      <c r="H972" s="1"/>
    </row>
    <row r="973" spans="6:8">
      <c r="G973" s="1"/>
      <c r="H973" s="1"/>
    </row>
    <row r="974" spans="6:8">
      <c r="F974" s="1"/>
      <c r="G974" s="1"/>
      <c r="H974" s="1"/>
    </row>
    <row r="975" spans="6:8">
      <c r="G975" s="1"/>
      <c r="H975" s="1"/>
    </row>
    <row r="976" spans="6:8">
      <c r="F976" s="1"/>
      <c r="G976" s="1"/>
      <c r="H976" s="1"/>
    </row>
    <row r="977" spans="6:8">
      <c r="G977" s="1"/>
      <c r="H977" s="1"/>
    </row>
    <row r="978" spans="6:8">
      <c r="F978" s="1"/>
      <c r="G978" s="1"/>
      <c r="H978" s="1"/>
    </row>
    <row r="979" spans="6:8">
      <c r="G979" s="1"/>
      <c r="H979" s="1"/>
    </row>
    <row r="980" spans="6:8">
      <c r="F980" s="1"/>
      <c r="G980" s="1"/>
      <c r="H980" s="1"/>
    </row>
    <row r="981" spans="6:8">
      <c r="G981" s="1"/>
      <c r="H981" s="1"/>
    </row>
    <row r="982" spans="6:8">
      <c r="F982" s="1"/>
      <c r="G982" s="1"/>
      <c r="H982" s="1"/>
    </row>
    <row r="983" spans="6:8">
      <c r="G983" s="1"/>
      <c r="H983" s="1"/>
    </row>
    <row r="984" spans="6:8">
      <c r="F984" s="1"/>
      <c r="G984" s="1"/>
      <c r="H984" s="1"/>
    </row>
    <row r="985" spans="6:8">
      <c r="G985" s="1"/>
      <c r="H985" s="1"/>
    </row>
    <row r="986" spans="6:8">
      <c r="F986" s="1"/>
      <c r="G986" s="1"/>
      <c r="H986" s="1"/>
    </row>
    <row r="987" spans="6:8">
      <c r="G987" s="1"/>
      <c r="H987" s="1"/>
    </row>
    <row r="988" spans="6:8">
      <c r="F988" s="1"/>
      <c r="G988" s="1"/>
      <c r="H988" s="1"/>
    </row>
    <row r="989" spans="6:8">
      <c r="G989" s="1"/>
      <c r="H989" s="1"/>
    </row>
    <row r="990" spans="6:8">
      <c r="F990" s="1"/>
      <c r="G990" s="1"/>
      <c r="H990" s="1"/>
    </row>
    <row r="991" spans="6:8">
      <c r="G991" s="1"/>
      <c r="H991" s="1"/>
    </row>
    <row r="992" spans="6:8">
      <c r="F992" s="1"/>
      <c r="G992" s="1"/>
      <c r="H992" s="1"/>
    </row>
    <row r="993" spans="6:8">
      <c r="G993" s="1"/>
      <c r="H993" s="1"/>
    </row>
    <row r="994" spans="6:8">
      <c r="F994" s="1"/>
      <c r="G994" s="1"/>
      <c r="H994" s="1"/>
    </row>
    <row r="995" spans="6:8">
      <c r="G995" s="1"/>
      <c r="H995" s="1"/>
    </row>
    <row r="996" spans="6:8">
      <c r="F996" s="1"/>
      <c r="G996" s="1"/>
      <c r="H996" s="1"/>
    </row>
    <row r="997" spans="6:8">
      <c r="G997" s="1"/>
      <c r="H997" s="1"/>
    </row>
    <row r="998" spans="6:8">
      <c r="F998" s="1"/>
      <c r="G998" s="1"/>
      <c r="H998" s="1"/>
    </row>
    <row r="999" spans="6:8">
      <c r="G999" s="1"/>
      <c r="H999" s="1"/>
    </row>
    <row r="1000" spans="6:8">
      <c r="F1000" s="1"/>
      <c r="G1000" s="1"/>
      <c r="H1000" s="1"/>
    </row>
    <row r="1001" spans="6:8">
      <c r="G1001" s="1"/>
      <c r="H1001" s="1"/>
    </row>
    <row r="1002" spans="6:8">
      <c r="F1002" s="1"/>
      <c r="G1002" s="1"/>
      <c r="H1002" s="1"/>
    </row>
    <row r="1003" spans="6:8">
      <c r="G1003" s="1"/>
      <c r="H1003" s="1"/>
    </row>
    <row r="1004" spans="6:8">
      <c r="F1004" s="1"/>
      <c r="G1004" s="1"/>
      <c r="H1004" s="1"/>
    </row>
    <row r="1005" spans="6:8">
      <c r="G1005" s="1"/>
      <c r="H1005" s="1"/>
    </row>
    <row r="1006" spans="6:8">
      <c r="F1006" s="1"/>
      <c r="G1006" s="1"/>
      <c r="H1006" s="1"/>
    </row>
    <row r="1007" spans="6:8">
      <c r="G1007" s="1"/>
      <c r="H1007" s="1"/>
    </row>
    <row r="1008" spans="6:8">
      <c r="F1008" s="1"/>
      <c r="G1008" s="1"/>
      <c r="H1008" s="1"/>
    </row>
    <row r="1009" spans="6:8">
      <c r="G1009" s="1"/>
      <c r="H1009" s="1"/>
    </row>
    <row r="1010" spans="6:8">
      <c r="F1010" s="1"/>
      <c r="G1010" s="1"/>
      <c r="H1010" s="1"/>
    </row>
    <row r="1011" spans="6:8">
      <c r="G1011" s="1"/>
      <c r="H1011" s="1"/>
    </row>
    <row r="1012" spans="6:8">
      <c r="F1012" s="1"/>
      <c r="G1012" s="1"/>
      <c r="H1012" s="1"/>
    </row>
    <row r="1013" spans="6:8">
      <c r="G1013" s="1"/>
      <c r="H1013" s="1"/>
    </row>
    <row r="1014" spans="6:8">
      <c r="F1014" s="1"/>
      <c r="G1014" s="1"/>
      <c r="H1014" s="1"/>
    </row>
    <row r="1015" spans="6:8">
      <c r="G1015" s="1"/>
      <c r="H1015" s="1"/>
    </row>
    <row r="1016" spans="6:8">
      <c r="F1016" s="1"/>
      <c r="G1016" s="1"/>
      <c r="H1016" s="1"/>
    </row>
    <row r="1017" spans="6:8">
      <c r="G1017" s="1"/>
      <c r="H1017" s="1"/>
    </row>
    <row r="1018" spans="6:8">
      <c r="F1018" s="1"/>
      <c r="G1018" s="1"/>
      <c r="H1018" s="1"/>
    </row>
    <row r="1019" spans="6:8">
      <c r="G1019" s="1"/>
      <c r="H1019" s="1"/>
    </row>
    <row r="1020" spans="6:8">
      <c r="F1020" s="1"/>
      <c r="G1020" s="1"/>
      <c r="H1020" s="1"/>
    </row>
    <row r="1021" spans="6:8">
      <c r="G1021" s="1"/>
      <c r="H1021" s="1"/>
    </row>
    <row r="1022" spans="6:8">
      <c r="F1022" s="1"/>
      <c r="G1022" s="1"/>
      <c r="H1022" s="1"/>
    </row>
    <row r="1023" spans="6:8">
      <c r="G1023" s="1"/>
      <c r="H1023" s="1"/>
    </row>
    <row r="1024" spans="6:8">
      <c r="F1024" s="1"/>
      <c r="G1024" s="1"/>
      <c r="H1024" s="1"/>
    </row>
    <row r="1025" spans="7:8">
      <c r="G1025" s="1"/>
      <c r="H1025" s="1"/>
    </row>
  </sheetData>
  <sheetProtection selectLockedCells="1" selectUnlockedCells="1"/>
  <phoneticPr fontId="9" type="noConversion"/>
  <printOptions gridLines="1" gridLinesSet="0"/>
  <pageMargins left="0.75" right="0.75" top="1" bottom="1" header="0.511811024" footer="0.511811024"/>
  <headerFooter alignWithMargins="0">
    <oddHeader>&amp;A</oddHeader>
    <oddFooter>Página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A613"/>
  <sheetViews>
    <sheetView workbookViewId="0">
      <pane ySplit="2" topLeftCell="A3" activePane="bottomLeft" state="frozen"/>
      <selection pane="bottomLeft" activeCell="A4" sqref="A4"/>
    </sheetView>
  </sheetViews>
  <sheetFormatPr baseColWidth="10" defaultRowHeight="12.5"/>
  <sheetData>
    <row r="2" spans="1:1">
      <c r="A2" s="397" t="s">
        <v>1154</v>
      </c>
    </row>
    <row r="3" spans="1:1">
      <c r="A3" t="s">
        <v>1166</v>
      </c>
    </row>
    <row r="4" spans="1:1">
      <c r="A4" t="s">
        <v>1214</v>
      </c>
    </row>
    <row r="5" spans="1:1">
      <c r="A5" t="s">
        <v>1163</v>
      </c>
    </row>
    <row r="6" spans="1:1">
      <c r="A6" t="s">
        <v>1251</v>
      </c>
    </row>
    <row r="7" spans="1:1">
      <c r="A7" t="s">
        <v>1226</v>
      </c>
    </row>
    <row r="8" spans="1:1">
      <c r="A8" t="s">
        <v>1227</v>
      </c>
    </row>
    <row r="9" spans="1:1">
      <c r="A9" t="s">
        <v>1228</v>
      </c>
    </row>
    <row r="10" spans="1:1">
      <c r="A10" t="s">
        <v>1319</v>
      </c>
    </row>
    <row r="11" spans="1:1">
      <c r="A11" t="s">
        <v>1400</v>
      </c>
    </row>
    <row r="12" spans="1:1">
      <c r="A12" t="s">
        <v>1503</v>
      </c>
    </row>
    <row r="13" spans="1:1">
      <c r="A13" t="s">
        <v>1504</v>
      </c>
    </row>
    <row r="14" spans="1:1">
      <c r="A14" t="s">
        <v>1180</v>
      </c>
    </row>
    <row r="15" spans="1:1">
      <c r="A15" t="s">
        <v>1186</v>
      </c>
    </row>
    <row r="16" spans="1:1">
      <c r="A16" t="s">
        <v>1283</v>
      </c>
    </row>
    <row r="17" spans="1:1">
      <c r="A17" t="s">
        <v>1274</v>
      </c>
    </row>
    <row r="18" spans="1:1">
      <c r="A18" t="s">
        <v>1328</v>
      </c>
    </row>
    <row r="19" spans="1:1">
      <c r="A19" t="s">
        <v>1329</v>
      </c>
    </row>
    <row r="20" spans="1:1">
      <c r="A20" t="s">
        <v>1334</v>
      </c>
    </row>
    <row r="21" spans="1:1">
      <c r="A21" t="s">
        <v>1349</v>
      </c>
    </row>
    <row r="22" spans="1:1">
      <c r="A22" t="s">
        <v>1379</v>
      </c>
    </row>
    <row r="23" spans="1:1">
      <c r="A23" t="s">
        <v>1347</v>
      </c>
    </row>
    <row r="24" spans="1:1">
      <c r="A24" t="s">
        <v>1348</v>
      </c>
    </row>
    <row r="25" spans="1:1">
      <c r="A25" t="s">
        <v>1351</v>
      </c>
    </row>
    <row r="26" spans="1:1">
      <c r="A26" t="s">
        <v>1352</v>
      </c>
    </row>
    <row r="27" spans="1:1">
      <c r="A27" t="s">
        <v>1353</v>
      </c>
    </row>
    <row r="28" spans="1:1">
      <c r="A28" t="s">
        <v>1330</v>
      </c>
    </row>
    <row r="29" spans="1:1">
      <c r="A29" t="s">
        <v>1337</v>
      </c>
    </row>
    <row r="30" spans="1:1">
      <c r="A30" t="s">
        <v>1394</v>
      </c>
    </row>
    <row r="31" spans="1:1">
      <c r="A31" t="s">
        <v>1469</v>
      </c>
    </row>
    <row r="32" spans="1:1">
      <c r="A32" t="s">
        <v>1488</v>
      </c>
    </row>
    <row r="33" spans="1:1">
      <c r="A33" t="s">
        <v>1466</v>
      </c>
    </row>
    <row r="34" spans="1:1">
      <c r="A34" t="s">
        <v>1519</v>
      </c>
    </row>
    <row r="35" spans="1:1">
      <c r="A35" t="s">
        <v>1520</v>
      </c>
    </row>
    <row r="36" spans="1:1">
      <c r="A36" t="s">
        <v>1499</v>
      </c>
    </row>
    <row r="37" spans="1:1">
      <c r="A37" t="s">
        <v>1601</v>
      </c>
    </row>
    <row r="38" spans="1:1">
      <c r="A38" t="s">
        <v>1609</v>
      </c>
    </row>
    <row r="39" spans="1:1">
      <c r="A39" t="s">
        <v>1615</v>
      </c>
    </row>
    <row r="40" spans="1:1">
      <c r="A40" t="s">
        <v>1482</v>
      </c>
    </row>
    <row r="41" spans="1:1">
      <c r="A41" t="s">
        <v>1681</v>
      </c>
    </row>
    <row r="42" spans="1:1">
      <c r="A42" t="s">
        <v>1483</v>
      </c>
    </row>
    <row r="43" spans="1:1">
      <c r="A43" t="s">
        <v>1642</v>
      </c>
    </row>
    <row r="44" spans="1:1">
      <c r="A44" t="s">
        <v>1641</v>
      </c>
    </row>
    <row r="45" spans="1:1">
      <c r="A45" t="s">
        <v>1711</v>
      </c>
    </row>
    <row r="46" spans="1:1">
      <c r="A46" t="s">
        <v>1696</v>
      </c>
    </row>
    <row r="47" spans="1:1">
      <c r="A47" t="s">
        <v>1707</v>
      </c>
    </row>
    <row r="48" spans="1:1">
      <c r="A48" t="s">
        <v>1744</v>
      </c>
    </row>
    <row r="49" spans="1:1">
      <c r="A49" t="s">
        <v>1194</v>
      </c>
    </row>
    <row r="50" spans="1:1">
      <c r="A50" t="s">
        <v>1175</v>
      </c>
    </row>
    <row r="51" spans="1:1">
      <c r="A51" t="s">
        <v>1176</v>
      </c>
    </row>
    <row r="52" spans="1:1">
      <c r="A52" t="s">
        <v>1177</v>
      </c>
    </row>
    <row r="53" spans="1:1">
      <c r="A53" t="s">
        <v>1232</v>
      </c>
    </row>
    <row r="54" spans="1:1">
      <c r="A54" t="s">
        <v>1234</v>
      </c>
    </row>
    <row r="55" spans="1:1">
      <c r="A55" t="s">
        <v>1236</v>
      </c>
    </row>
    <row r="56" spans="1:1">
      <c r="A56" t="s">
        <v>1241</v>
      </c>
    </row>
    <row r="57" spans="1:1">
      <c r="A57" t="s">
        <v>1211</v>
      </c>
    </row>
    <row r="58" spans="1:1">
      <c r="A58" t="s">
        <v>1220</v>
      </c>
    </row>
    <row r="59" spans="1:1">
      <c r="A59" t="s">
        <v>1200</v>
      </c>
    </row>
    <row r="60" spans="1:1">
      <c r="A60" t="s">
        <v>1155</v>
      </c>
    </row>
    <row r="61" spans="1:1">
      <c r="A61" t="s">
        <v>1187</v>
      </c>
    </row>
    <row r="62" spans="1:1">
      <c r="A62" t="s">
        <v>1188</v>
      </c>
    </row>
    <row r="63" spans="1:1">
      <c r="A63" t="s">
        <v>1189</v>
      </c>
    </row>
    <row r="64" spans="1:1">
      <c r="A64" t="s">
        <v>1195</v>
      </c>
    </row>
    <row r="65" spans="1:1">
      <c r="A65" t="s">
        <v>1235</v>
      </c>
    </row>
    <row r="66" spans="1:1">
      <c r="A66" t="s">
        <v>1244</v>
      </c>
    </row>
    <row r="67" spans="1:1">
      <c r="A67" t="s">
        <v>1208</v>
      </c>
    </row>
    <row r="68" spans="1:1">
      <c r="A68" t="s">
        <v>1201</v>
      </c>
    </row>
    <row r="69" spans="1:1">
      <c r="A69" t="s">
        <v>1156</v>
      </c>
    </row>
    <row r="70" spans="1:1">
      <c r="A70" t="s">
        <v>1157</v>
      </c>
    </row>
    <row r="71" spans="1:1">
      <c r="A71" t="s">
        <v>1252</v>
      </c>
    </row>
    <row r="72" spans="1:1">
      <c r="A72" t="s">
        <v>1259</v>
      </c>
    </row>
    <row r="73" spans="1:1">
      <c r="A73" t="s">
        <v>1291</v>
      </c>
    </row>
    <row r="74" spans="1:1">
      <c r="A74" t="s">
        <v>1229</v>
      </c>
    </row>
    <row r="75" spans="1:1">
      <c r="A75" t="s">
        <v>1161</v>
      </c>
    </row>
    <row r="76" spans="1:1">
      <c r="A76" t="s">
        <v>1237</v>
      </c>
    </row>
    <row r="77" spans="1:1">
      <c r="A77" t="s">
        <v>1257</v>
      </c>
    </row>
    <row r="78" spans="1:1">
      <c r="A78" t="s">
        <v>1245</v>
      </c>
    </row>
    <row r="79" spans="1:1">
      <c r="A79" t="s">
        <v>1196</v>
      </c>
    </row>
    <row r="80" spans="1:1">
      <c r="A80" t="s">
        <v>1258</v>
      </c>
    </row>
    <row r="81" spans="1:1">
      <c r="A81" t="s">
        <v>1293</v>
      </c>
    </row>
    <row r="82" spans="1:1">
      <c r="A82" t="s">
        <v>1338</v>
      </c>
    </row>
    <row r="83" spans="1:1">
      <c r="A83" t="s">
        <v>1312</v>
      </c>
    </row>
    <row r="84" spans="1:1">
      <c r="A84" t="s">
        <v>1315</v>
      </c>
    </row>
    <row r="85" spans="1:1">
      <c r="A85" t="s">
        <v>1316</v>
      </c>
    </row>
    <row r="86" spans="1:1">
      <c r="A86" t="s">
        <v>1317</v>
      </c>
    </row>
    <row r="87" spans="1:1">
      <c r="A87" t="s">
        <v>1253</v>
      </c>
    </row>
    <row r="88" spans="1:1">
      <c r="A88" t="s">
        <v>1301</v>
      </c>
    </row>
    <row r="89" spans="1:1">
      <c r="A89" t="s">
        <v>1309</v>
      </c>
    </row>
    <row r="90" spans="1:1">
      <c r="A90" t="s">
        <v>1378</v>
      </c>
    </row>
    <row r="91" spans="1:1">
      <c r="A91" t="s">
        <v>1366</v>
      </c>
    </row>
    <row r="92" spans="1:1">
      <c r="A92" t="s">
        <v>1380</v>
      </c>
    </row>
    <row r="93" spans="1:1">
      <c r="A93" t="s">
        <v>1294</v>
      </c>
    </row>
    <row r="94" spans="1:1">
      <c r="A94" t="s">
        <v>1367</v>
      </c>
    </row>
    <row r="95" spans="1:1">
      <c r="A95" t="s">
        <v>1372</v>
      </c>
    </row>
    <row r="96" spans="1:1">
      <c r="A96" t="s">
        <v>1302</v>
      </c>
    </row>
    <row r="97" spans="1:1">
      <c r="A97" t="s">
        <v>1280</v>
      </c>
    </row>
    <row r="98" spans="1:1">
      <c r="A98" t="s">
        <v>1355</v>
      </c>
    </row>
    <row r="99" spans="1:1">
      <c r="A99" t="s">
        <v>1318</v>
      </c>
    </row>
    <row r="100" spans="1:1">
      <c r="A100" t="s">
        <v>1327</v>
      </c>
    </row>
    <row r="101" spans="1:1">
      <c r="A101" t="s">
        <v>1401</v>
      </c>
    </row>
    <row r="102" spans="1:1">
      <c r="A102" t="s">
        <v>1408</v>
      </c>
    </row>
    <row r="103" spans="1:1">
      <c r="A103" t="s">
        <v>1421</v>
      </c>
    </row>
    <row r="104" spans="1:1">
      <c r="A104" t="s">
        <v>1340</v>
      </c>
    </row>
    <row r="105" spans="1:1">
      <c r="A105" t="s">
        <v>1424</v>
      </c>
    </row>
    <row r="106" spans="1:1">
      <c r="A106" t="s">
        <v>1418</v>
      </c>
    </row>
    <row r="107" spans="1:1">
      <c r="A107" t="s">
        <v>1410</v>
      </c>
    </row>
    <row r="108" spans="1:1">
      <c r="A108" t="s">
        <v>1411</v>
      </c>
    </row>
    <row r="109" spans="1:1">
      <c r="A109" t="s">
        <v>1368</v>
      </c>
    </row>
    <row r="110" spans="1:1">
      <c r="A110" t="s">
        <v>1412</v>
      </c>
    </row>
    <row r="111" spans="1:1">
      <c r="A111" t="s">
        <v>1413</v>
      </c>
    </row>
    <row r="112" spans="1:1">
      <c r="A112" t="s">
        <v>1373</v>
      </c>
    </row>
    <row r="113" spans="1:1">
      <c r="A113" t="s">
        <v>1484</v>
      </c>
    </row>
    <row r="114" spans="1:1">
      <c r="A114" t="s">
        <v>1398</v>
      </c>
    </row>
    <row r="115" spans="1:1">
      <c r="A115" t="s">
        <v>1425</v>
      </c>
    </row>
    <row r="116" spans="1:1">
      <c r="A116" t="s">
        <v>1354</v>
      </c>
    </row>
    <row r="117" spans="1:1">
      <c r="A117" t="s">
        <v>1456</v>
      </c>
    </row>
    <row r="118" spans="1:1">
      <c r="A118" t="s">
        <v>1509</v>
      </c>
    </row>
    <row r="119" spans="1:1">
      <c r="A119" t="s">
        <v>1512</v>
      </c>
    </row>
    <row r="120" spans="1:1">
      <c r="A120" t="s">
        <v>1531</v>
      </c>
    </row>
    <row r="121" spans="1:1">
      <c r="A121" t="s">
        <v>1563</v>
      </c>
    </row>
    <row r="122" spans="1:1">
      <c r="A122" t="s">
        <v>1475</v>
      </c>
    </row>
    <row r="123" spans="1:1">
      <c r="A123" t="s">
        <v>1432</v>
      </c>
    </row>
    <row r="124" spans="1:1">
      <c r="A124" t="s">
        <v>1495</v>
      </c>
    </row>
    <row r="125" spans="1:1">
      <c r="A125" t="s">
        <v>1535</v>
      </c>
    </row>
    <row r="126" spans="1:1">
      <c r="A126" t="s">
        <v>1545</v>
      </c>
    </row>
    <row r="127" spans="1:1">
      <c r="A127" t="s">
        <v>1546</v>
      </c>
    </row>
    <row r="128" spans="1:1">
      <c r="A128" t="s">
        <v>1496</v>
      </c>
    </row>
    <row r="129" spans="1:1">
      <c r="A129" t="s">
        <v>1426</v>
      </c>
    </row>
    <row r="130" spans="1:1">
      <c r="A130" t="s">
        <v>1510</v>
      </c>
    </row>
    <row r="131" spans="1:1">
      <c r="A131" t="s">
        <v>1493</v>
      </c>
    </row>
    <row r="132" spans="1:1">
      <c r="A132" t="s">
        <v>1628</v>
      </c>
    </row>
    <row r="133" spans="1:1">
      <c r="A133" t="s">
        <v>1511</v>
      </c>
    </row>
    <row r="134" spans="1:1">
      <c r="A134" t="s">
        <v>1585</v>
      </c>
    </row>
    <row r="135" spans="1:1">
      <c r="A135" t="s">
        <v>1586</v>
      </c>
    </row>
    <row r="136" spans="1:1">
      <c r="A136" t="s">
        <v>1536</v>
      </c>
    </row>
    <row r="137" spans="1:1">
      <c r="A137" t="s">
        <v>1587</v>
      </c>
    </row>
    <row r="138" spans="1:1">
      <c r="A138" t="s">
        <v>1567</v>
      </c>
    </row>
    <row r="139" spans="1:1">
      <c r="A139" t="s">
        <v>1450</v>
      </c>
    </row>
    <row r="140" spans="1:1">
      <c r="A140" t="s">
        <v>1629</v>
      </c>
    </row>
    <row r="141" spans="1:1">
      <c r="A141" t="s">
        <v>1630</v>
      </c>
    </row>
    <row r="142" spans="1:1">
      <c r="A142" t="s">
        <v>1588</v>
      </c>
    </row>
    <row r="143" spans="1:1">
      <c r="A143" t="s">
        <v>1596</v>
      </c>
    </row>
    <row r="144" spans="1:1">
      <c r="A144" t="s">
        <v>1616</v>
      </c>
    </row>
    <row r="145" spans="1:1">
      <c r="A145" t="s">
        <v>1631</v>
      </c>
    </row>
    <row r="146" spans="1:1">
      <c r="A146" t="s">
        <v>1433</v>
      </c>
    </row>
    <row r="147" spans="1:1">
      <c r="A147" t="s">
        <v>1674</v>
      </c>
    </row>
    <row r="148" spans="1:1">
      <c r="A148" t="s">
        <v>1690</v>
      </c>
    </row>
    <row r="149" spans="1:1">
      <c r="A149" t="s">
        <v>1655</v>
      </c>
    </row>
    <row r="150" spans="1:1">
      <c r="A150" t="s">
        <v>1638</v>
      </c>
    </row>
    <row r="151" spans="1:1">
      <c r="A151" t="s">
        <v>1606</v>
      </c>
    </row>
    <row r="152" spans="1:1">
      <c r="A152" t="s">
        <v>1589</v>
      </c>
    </row>
    <row r="153" spans="1:1">
      <c r="A153" t="s">
        <v>1639</v>
      </c>
    </row>
    <row r="154" spans="1:1">
      <c r="A154" t="s">
        <v>1671</v>
      </c>
    </row>
    <row r="155" spans="1:1">
      <c r="A155" t="s">
        <v>1547</v>
      </c>
    </row>
    <row r="156" spans="1:1">
      <c r="A156" t="s">
        <v>1548</v>
      </c>
    </row>
    <row r="157" spans="1:1">
      <c r="A157" t="s">
        <v>1675</v>
      </c>
    </row>
    <row r="158" spans="1:1">
      <c r="A158" t="s">
        <v>1600</v>
      </c>
    </row>
    <row r="159" spans="1:1">
      <c r="A159" t="s">
        <v>1617</v>
      </c>
    </row>
    <row r="160" spans="1:1">
      <c r="A160" t="s">
        <v>1669</v>
      </c>
    </row>
    <row r="161" spans="1:1">
      <c r="A161" t="s">
        <v>1745</v>
      </c>
    </row>
    <row r="162" spans="1:1">
      <c r="A162" t="s">
        <v>1708</v>
      </c>
    </row>
    <row r="163" spans="1:1">
      <c r="A163" t="s">
        <v>1715</v>
      </c>
    </row>
    <row r="164" spans="1:1">
      <c r="A164" t="s">
        <v>1724</v>
      </c>
    </row>
    <row r="165" spans="1:1">
      <c r="A165" t="s">
        <v>1738</v>
      </c>
    </row>
    <row r="166" spans="1:1">
      <c r="A166" t="s">
        <v>1760</v>
      </c>
    </row>
    <row r="167" spans="1:1">
      <c r="A167" t="s">
        <v>1761</v>
      </c>
    </row>
    <row r="168" spans="1:1">
      <c r="A168" t="s">
        <v>1716</v>
      </c>
    </row>
    <row r="169" spans="1:1">
      <c r="A169" t="s">
        <v>1763</v>
      </c>
    </row>
    <row r="170" spans="1:1">
      <c r="A170" t="s">
        <v>1192</v>
      </c>
    </row>
    <row r="171" spans="1:1">
      <c r="A171" t="s">
        <v>1190</v>
      </c>
    </row>
    <row r="172" spans="1:1">
      <c r="A172" t="s">
        <v>1331</v>
      </c>
    </row>
    <row r="173" spans="1:1">
      <c r="A173" t="s">
        <v>1381</v>
      </c>
    </row>
    <row r="174" spans="1:1">
      <c r="A174" t="s">
        <v>1341</v>
      </c>
    </row>
    <row r="175" spans="1:1">
      <c r="A175" t="s">
        <v>1382</v>
      </c>
    </row>
    <row r="176" spans="1:1">
      <c r="A176" t="s">
        <v>1460</v>
      </c>
    </row>
    <row r="177" spans="1:1">
      <c r="A177" t="s">
        <v>1691</v>
      </c>
    </row>
    <row r="178" spans="1:1">
      <c r="A178" t="s">
        <v>1699</v>
      </c>
    </row>
    <row r="179" spans="1:1">
      <c r="A179" t="s">
        <v>1734</v>
      </c>
    </row>
    <row r="180" spans="1:1">
      <c r="A180" t="s">
        <v>1759</v>
      </c>
    </row>
    <row r="181" spans="1:1">
      <c r="A181" t="s">
        <v>1290</v>
      </c>
    </row>
    <row r="182" spans="1:1">
      <c r="A182" t="s">
        <v>1306</v>
      </c>
    </row>
    <row r="183" spans="1:1">
      <c r="A183" t="s">
        <v>1414</v>
      </c>
    </row>
    <row r="184" spans="1:1">
      <c r="A184" t="s">
        <v>1263</v>
      </c>
    </row>
    <row r="185" spans="1:1">
      <c r="A185" t="s">
        <v>1406</v>
      </c>
    </row>
    <row r="186" spans="1:1">
      <c r="A186" t="s">
        <v>1178</v>
      </c>
    </row>
    <row r="187" spans="1:1">
      <c r="A187" t="s">
        <v>1168</v>
      </c>
    </row>
    <row r="188" spans="1:1">
      <c r="A188" t="s">
        <v>1270</v>
      </c>
    </row>
    <row r="189" spans="1:1">
      <c r="A189" t="s">
        <v>1271</v>
      </c>
    </row>
    <row r="190" spans="1:1">
      <c r="A190" t="s">
        <v>1242</v>
      </c>
    </row>
    <row r="191" spans="1:1">
      <c r="A191" t="s">
        <v>1326</v>
      </c>
    </row>
    <row r="192" spans="1:1">
      <c r="A192" t="s">
        <v>1376</v>
      </c>
    </row>
    <row r="193" spans="1:1">
      <c r="A193" t="s">
        <v>1395</v>
      </c>
    </row>
    <row r="194" spans="1:1">
      <c r="A194" t="s">
        <v>1537</v>
      </c>
    </row>
    <row r="195" spans="1:1">
      <c r="A195" t="s">
        <v>1538</v>
      </c>
    </row>
    <row r="196" spans="1:1">
      <c r="A196" t="s">
        <v>1539</v>
      </c>
    </row>
    <row r="197" spans="1:1">
      <c r="A197" t="s">
        <v>1540</v>
      </c>
    </row>
    <row r="198" spans="1:1">
      <c r="A198" t="s">
        <v>1541</v>
      </c>
    </row>
    <row r="199" spans="1:1">
      <c r="A199" t="s">
        <v>1542</v>
      </c>
    </row>
    <row r="200" spans="1:1">
      <c r="A200" t="s">
        <v>1543</v>
      </c>
    </row>
    <row r="201" spans="1:1">
      <c r="A201" t="s">
        <v>1688</v>
      </c>
    </row>
    <row r="202" spans="1:1">
      <c r="A202" t="s">
        <v>1689</v>
      </c>
    </row>
    <row r="203" spans="1:1">
      <c r="A203" t="s">
        <v>1697</v>
      </c>
    </row>
    <row r="204" spans="1:1">
      <c r="A204" t="s">
        <v>1723</v>
      </c>
    </row>
    <row r="205" spans="1:1">
      <c r="A205" t="s">
        <v>1164</v>
      </c>
    </row>
    <row r="206" spans="1:1">
      <c r="A206" t="s">
        <v>1167</v>
      </c>
    </row>
    <row r="207" spans="1:1">
      <c r="A207" t="s">
        <v>1199</v>
      </c>
    </row>
    <row r="208" spans="1:1">
      <c r="A208" t="s">
        <v>1162</v>
      </c>
    </row>
    <row r="209" spans="1:1">
      <c r="A209" t="s">
        <v>1209</v>
      </c>
    </row>
    <row r="210" spans="1:1">
      <c r="A210" t="s">
        <v>1160</v>
      </c>
    </row>
    <row r="211" spans="1:1">
      <c r="A211" t="s">
        <v>1182</v>
      </c>
    </row>
    <row r="212" spans="1:1">
      <c r="A212" t="s">
        <v>1170</v>
      </c>
    </row>
    <row r="213" spans="1:1">
      <c r="A213" t="s">
        <v>1185</v>
      </c>
    </row>
    <row r="214" spans="1:1">
      <c r="A214" t="s">
        <v>1197</v>
      </c>
    </row>
    <row r="215" spans="1:1">
      <c r="A215" t="s">
        <v>1230</v>
      </c>
    </row>
    <row r="216" spans="1:1">
      <c r="A216" t="s">
        <v>1233</v>
      </c>
    </row>
    <row r="217" spans="1:1">
      <c r="A217" t="s">
        <v>1231</v>
      </c>
    </row>
    <row r="218" spans="1:1">
      <c r="A218" t="s">
        <v>1264</v>
      </c>
    </row>
    <row r="219" spans="1:1">
      <c r="A219" t="s">
        <v>1217</v>
      </c>
    </row>
    <row r="220" spans="1:1">
      <c r="A220" t="s">
        <v>1183</v>
      </c>
    </row>
    <row r="221" spans="1:1">
      <c r="A221" t="s">
        <v>1184</v>
      </c>
    </row>
    <row r="222" spans="1:1">
      <c r="A222" t="s">
        <v>1275</v>
      </c>
    </row>
    <row r="223" spans="1:1">
      <c r="A223" t="s">
        <v>1246</v>
      </c>
    </row>
    <row r="224" spans="1:1">
      <c r="A224" t="s">
        <v>1276</v>
      </c>
    </row>
    <row r="225" spans="1:1">
      <c r="A225" t="s">
        <v>1277</v>
      </c>
    </row>
    <row r="226" spans="1:1">
      <c r="A226" t="s">
        <v>1247</v>
      </c>
    </row>
    <row r="227" spans="1:1">
      <c r="A227" t="s">
        <v>1272</v>
      </c>
    </row>
    <row r="228" spans="1:1">
      <c r="A228" t="s">
        <v>1222</v>
      </c>
    </row>
    <row r="229" spans="1:1">
      <c r="A229" t="s">
        <v>1278</v>
      </c>
    </row>
    <row r="230" spans="1:1">
      <c r="A230" t="s">
        <v>1307</v>
      </c>
    </row>
    <row r="231" spans="1:1">
      <c r="A231" t="s">
        <v>1284</v>
      </c>
    </row>
    <row r="232" spans="1:1">
      <c r="A232" t="s">
        <v>1303</v>
      </c>
    </row>
    <row r="233" spans="1:1">
      <c r="A233" t="s">
        <v>1292</v>
      </c>
    </row>
    <row r="234" spans="1:1">
      <c r="A234" t="s">
        <v>1171</v>
      </c>
    </row>
    <row r="235" spans="1:1">
      <c r="A235" t="s">
        <v>1265</v>
      </c>
    </row>
    <row r="236" spans="1:1">
      <c r="A236" t="s">
        <v>1295</v>
      </c>
    </row>
    <row r="237" spans="1:1">
      <c r="A237" t="s">
        <v>1296</v>
      </c>
    </row>
    <row r="238" spans="1:1">
      <c r="A238" t="s">
        <v>1313</v>
      </c>
    </row>
    <row r="239" spans="1:1">
      <c r="A239" t="s">
        <v>1324</v>
      </c>
    </row>
    <row r="240" spans="1:1">
      <c r="A240" t="s">
        <v>1325</v>
      </c>
    </row>
    <row r="241" spans="1:1">
      <c r="A241" t="s">
        <v>1260</v>
      </c>
    </row>
    <row r="242" spans="1:1">
      <c r="A242" t="s">
        <v>1304</v>
      </c>
    </row>
    <row r="243" spans="1:1">
      <c r="A243" t="s">
        <v>1320</v>
      </c>
    </row>
    <row r="244" spans="1:1">
      <c r="A244" t="s">
        <v>1357</v>
      </c>
    </row>
    <row r="245" spans="1:1">
      <c r="A245" t="s">
        <v>1363</v>
      </c>
    </row>
    <row r="246" spans="1:1">
      <c r="A246" t="s">
        <v>1374</v>
      </c>
    </row>
    <row r="247" spans="1:1">
      <c r="A247" t="s">
        <v>1358</v>
      </c>
    </row>
    <row r="248" spans="1:1">
      <c r="A248" t="s">
        <v>1371</v>
      </c>
    </row>
    <row r="249" spans="1:1">
      <c r="A249" t="s">
        <v>1359</v>
      </c>
    </row>
    <row r="250" spans="1:1">
      <c r="A250" t="s">
        <v>1375</v>
      </c>
    </row>
    <row r="251" spans="1:1">
      <c r="A251" t="s">
        <v>1285</v>
      </c>
    </row>
    <row r="252" spans="1:1">
      <c r="A252" t="s">
        <v>1286</v>
      </c>
    </row>
    <row r="253" spans="1:1">
      <c r="A253" t="s">
        <v>1297</v>
      </c>
    </row>
    <row r="254" spans="1:1">
      <c r="A254" t="s">
        <v>1305</v>
      </c>
    </row>
    <row r="255" spans="1:1">
      <c r="A255" t="s">
        <v>1342</v>
      </c>
    </row>
    <row r="256" spans="1:1">
      <c r="A256" t="s">
        <v>1323</v>
      </c>
    </row>
    <row r="257" spans="1:1">
      <c r="A257" t="s">
        <v>1332</v>
      </c>
    </row>
    <row r="258" spans="1:1">
      <c r="A258" t="s">
        <v>1299</v>
      </c>
    </row>
    <row r="259" spans="1:1">
      <c r="A259" t="s">
        <v>1343</v>
      </c>
    </row>
    <row r="260" spans="1:1">
      <c r="A260" t="s">
        <v>1402</v>
      </c>
    </row>
    <row r="261" spans="1:1">
      <c r="A261" t="s">
        <v>1383</v>
      </c>
    </row>
    <row r="262" spans="1:1">
      <c r="A262" t="s">
        <v>1419</v>
      </c>
    </row>
    <row r="263" spans="1:1">
      <c r="A263" t="s">
        <v>1427</v>
      </c>
    </row>
    <row r="264" spans="1:1">
      <c r="A264" t="s">
        <v>1428</v>
      </c>
    </row>
    <row r="265" spans="1:1">
      <c r="A265" t="s">
        <v>1403</v>
      </c>
    </row>
    <row r="266" spans="1:1">
      <c r="A266" t="s">
        <v>1360</v>
      </c>
    </row>
    <row r="267" spans="1:1">
      <c r="A267" t="s">
        <v>1287</v>
      </c>
    </row>
    <row r="268" spans="1:1">
      <c r="A268" t="s">
        <v>1429</v>
      </c>
    </row>
    <row r="269" spans="1:1">
      <c r="A269" t="s">
        <v>1430</v>
      </c>
    </row>
    <row r="270" spans="1:1">
      <c r="A270" t="s">
        <v>1431</v>
      </c>
    </row>
    <row r="271" spans="1:1">
      <c r="A271" t="s">
        <v>1339</v>
      </c>
    </row>
    <row r="272" spans="1:1">
      <c r="A272" t="s">
        <v>1384</v>
      </c>
    </row>
    <row r="273" spans="1:1">
      <c r="A273" t="s">
        <v>1420</v>
      </c>
    </row>
    <row r="274" spans="1:1">
      <c r="A274" t="s">
        <v>1457</v>
      </c>
    </row>
    <row r="275" spans="1:1">
      <c r="A275" t="s">
        <v>1423</v>
      </c>
    </row>
    <row r="276" spans="1:1">
      <c r="A276" t="s">
        <v>1434</v>
      </c>
    </row>
    <row r="277" spans="1:1">
      <c r="A277" t="s">
        <v>1435</v>
      </c>
    </row>
    <row r="278" spans="1:1">
      <c r="A278" t="s">
        <v>1473</v>
      </c>
    </row>
    <row r="279" spans="1:1">
      <c r="A279" t="s">
        <v>1436</v>
      </c>
    </row>
    <row r="280" spans="1:1">
      <c r="A280" t="s">
        <v>1437</v>
      </c>
    </row>
    <row r="281" spans="1:1">
      <c r="A281" t="s">
        <v>1438</v>
      </c>
    </row>
    <row r="282" spans="1:1">
      <c r="A282" t="s">
        <v>1397</v>
      </c>
    </row>
    <row r="283" spans="1:1">
      <c r="A283" t="s">
        <v>1489</v>
      </c>
    </row>
    <row r="284" spans="1:1">
      <c r="A284" t="s">
        <v>1461</v>
      </c>
    </row>
    <row r="285" spans="1:1">
      <c r="A285" t="s">
        <v>1451</v>
      </c>
    </row>
    <row r="286" spans="1:1">
      <c r="A286" t="s">
        <v>1452</v>
      </c>
    </row>
    <row r="287" spans="1:1">
      <c r="A287" t="s">
        <v>1453</v>
      </c>
    </row>
    <row r="288" spans="1:1">
      <c r="A288" t="s">
        <v>1454</v>
      </c>
    </row>
    <row r="289" spans="1:1">
      <c r="A289" t="s">
        <v>1455</v>
      </c>
    </row>
    <row r="290" spans="1:1">
      <c r="A290" t="s">
        <v>1385</v>
      </c>
    </row>
    <row r="291" spans="1:1">
      <c r="A291" t="s">
        <v>1458</v>
      </c>
    </row>
    <row r="292" spans="1:1">
      <c r="A292" t="s">
        <v>1416</v>
      </c>
    </row>
    <row r="293" spans="1:1">
      <c r="A293" t="s">
        <v>1549</v>
      </c>
    </row>
    <row r="294" spans="1:1">
      <c r="A294" t="s">
        <v>1513</v>
      </c>
    </row>
    <row r="295" spans="1:1">
      <c r="A295" t="s">
        <v>1490</v>
      </c>
    </row>
    <row r="296" spans="1:1">
      <c r="A296" t="s">
        <v>1439</v>
      </c>
    </row>
    <row r="297" spans="1:1">
      <c r="A297" t="s">
        <v>1440</v>
      </c>
    </row>
    <row r="298" spans="1:1">
      <c r="A298" t="s">
        <v>1462</v>
      </c>
    </row>
    <row r="299" spans="1:1">
      <c r="A299" t="s">
        <v>1441</v>
      </c>
    </row>
    <row r="300" spans="1:1">
      <c r="A300" t="s">
        <v>1463</v>
      </c>
    </row>
    <row r="301" spans="1:1">
      <c r="A301" t="s">
        <v>1550</v>
      </c>
    </row>
    <row r="302" spans="1:1">
      <c r="A302" t="s">
        <v>1575</v>
      </c>
    </row>
    <row r="303" spans="1:1">
      <c r="A303" t="s">
        <v>1572</v>
      </c>
    </row>
    <row r="304" spans="1:1">
      <c r="A304" t="s">
        <v>1579</v>
      </c>
    </row>
    <row r="305" spans="1:1">
      <c r="A305" t="s">
        <v>1477</v>
      </c>
    </row>
    <row r="306" spans="1:1">
      <c r="A306" t="s">
        <v>1442</v>
      </c>
    </row>
    <row r="307" spans="1:1">
      <c r="A307" t="s">
        <v>1468</v>
      </c>
    </row>
    <row r="308" spans="1:1">
      <c r="A308" t="s">
        <v>1443</v>
      </c>
    </row>
    <row r="309" spans="1:1">
      <c r="A309" t="s">
        <v>1569</v>
      </c>
    </row>
    <row r="310" spans="1:1">
      <c r="A310" t="s">
        <v>1464</v>
      </c>
    </row>
    <row r="311" spans="1:1">
      <c r="A311" t="s">
        <v>1602</v>
      </c>
    </row>
    <row r="312" spans="1:1">
      <c r="A312" t="s">
        <v>1573</v>
      </c>
    </row>
    <row r="313" spans="1:1">
      <c r="A313" t="s">
        <v>1590</v>
      </c>
    </row>
    <row r="314" spans="1:1">
      <c r="A314" t="s">
        <v>1444</v>
      </c>
    </row>
    <row r="315" spans="1:1">
      <c r="A315" t="s">
        <v>1603</v>
      </c>
    </row>
    <row r="316" spans="1:1">
      <c r="A316" t="s">
        <v>1605</v>
      </c>
    </row>
    <row r="317" spans="1:1">
      <c r="A317" t="s">
        <v>1607</v>
      </c>
    </row>
    <row r="318" spans="1:1">
      <c r="A318" t="s">
        <v>1619</v>
      </c>
    </row>
    <row r="319" spans="1:1">
      <c r="A319" t="s">
        <v>1611</v>
      </c>
    </row>
    <row r="320" spans="1:1">
      <c r="A320" t="s">
        <v>1612</v>
      </c>
    </row>
    <row r="321" spans="1:1">
      <c r="A321" t="s">
        <v>1613</v>
      </c>
    </row>
    <row r="322" spans="1:1">
      <c r="A322" t="s">
        <v>1614</v>
      </c>
    </row>
    <row r="323" spans="1:1">
      <c r="A323" t="s">
        <v>1577</v>
      </c>
    </row>
    <row r="324" spans="1:1">
      <c r="A324" t="s">
        <v>1622</v>
      </c>
    </row>
    <row r="325" spans="1:1">
      <c r="A325" t="s">
        <v>1623</v>
      </c>
    </row>
    <row r="326" spans="1:1">
      <c r="A326" t="s">
        <v>1591</v>
      </c>
    </row>
    <row r="327" spans="1:1">
      <c r="A327" t="s">
        <v>1497</v>
      </c>
    </row>
    <row r="328" spans="1:1">
      <c r="A328" t="s">
        <v>1445</v>
      </c>
    </row>
    <row r="329" spans="1:1">
      <c r="A329" t="s">
        <v>1446</v>
      </c>
    </row>
    <row r="330" spans="1:1">
      <c r="A330" t="s">
        <v>1447</v>
      </c>
    </row>
    <row r="331" spans="1:1">
      <c r="A331" t="s">
        <v>1604</v>
      </c>
    </row>
    <row r="332" spans="1:1">
      <c r="A332" t="s">
        <v>1474</v>
      </c>
    </row>
    <row r="333" spans="1:1">
      <c r="A333" t="s">
        <v>1636</v>
      </c>
    </row>
    <row r="334" spans="1:1">
      <c r="A334" t="s">
        <v>1551</v>
      </c>
    </row>
    <row r="335" spans="1:1">
      <c r="A335" t="s">
        <v>1552</v>
      </c>
    </row>
    <row r="336" spans="1:1">
      <c r="A336" t="s">
        <v>1553</v>
      </c>
    </row>
    <row r="337" spans="1:1">
      <c r="A337" t="s">
        <v>1554</v>
      </c>
    </row>
    <row r="338" spans="1:1">
      <c r="A338" t="s">
        <v>1555</v>
      </c>
    </row>
    <row r="339" spans="1:1">
      <c r="A339" t="s">
        <v>1556</v>
      </c>
    </row>
    <row r="340" spans="1:1">
      <c r="A340" t="s">
        <v>1505</v>
      </c>
    </row>
    <row r="341" spans="1:1">
      <c r="A341" t="s">
        <v>1557</v>
      </c>
    </row>
    <row r="342" spans="1:1">
      <c r="A342" t="s">
        <v>1558</v>
      </c>
    </row>
    <row r="343" spans="1:1">
      <c r="A343" t="s">
        <v>1491</v>
      </c>
    </row>
    <row r="344" spans="1:1">
      <c r="A344" t="s">
        <v>1559</v>
      </c>
    </row>
    <row r="345" spans="1:1">
      <c r="A345" t="s">
        <v>1492</v>
      </c>
    </row>
    <row r="346" spans="1:1">
      <c r="A346" t="s">
        <v>1448</v>
      </c>
    </row>
    <row r="347" spans="1:1">
      <c r="A347" t="s">
        <v>1560</v>
      </c>
    </row>
    <row r="348" spans="1:1">
      <c r="A348" t="s">
        <v>1449</v>
      </c>
    </row>
    <row r="349" spans="1:1">
      <c r="A349" t="s">
        <v>1561</v>
      </c>
    </row>
    <row r="350" spans="1:1">
      <c r="A350" t="s">
        <v>1676</v>
      </c>
    </row>
    <row r="351" spans="1:1">
      <c r="A351" t="s">
        <v>1647</v>
      </c>
    </row>
    <row r="352" spans="1:1">
      <c r="A352" t="s">
        <v>1649</v>
      </c>
    </row>
    <row r="353" spans="1:1">
      <c r="A353" t="s">
        <v>1645</v>
      </c>
    </row>
    <row r="354" spans="1:1">
      <c r="A354" t="s">
        <v>1662</v>
      </c>
    </row>
    <row r="355" spans="1:1">
      <c r="A355" t="s">
        <v>1580</v>
      </c>
    </row>
    <row r="356" spans="1:1">
      <c r="A356" t="s">
        <v>1562</v>
      </c>
    </row>
    <row r="357" spans="1:1">
      <c r="A357" t="s">
        <v>1693</v>
      </c>
    </row>
    <row r="358" spans="1:1">
      <c r="A358" t="s">
        <v>1643</v>
      </c>
    </row>
    <row r="359" spans="1:1">
      <c r="A359" t="s">
        <v>1644</v>
      </c>
    </row>
    <row r="360" spans="1:1">
      <c r="A360" t="s">
        <v>1521</v>
      </c>
    </row>
    <row r="361" spans="1:1">
      <c r="A361" t="s">
        <v>1581</v>
      </c>
    </row>
    <row r="362" spans="1:1">
      <c r="A362" t="s">
        <v>1574</v>
      </c>
    </row>
    <row r="363" spans="1:1">
      <c r="A363" t="s">
        <v>1640</v>
      </c>
    </row>
    <row r="364" spans="1:1">
      <c r="A364" t="s">
        <v>1650</v>
      </c>
    </row>
    <row r="365" spans="1:1">
      <c r="A365" t="s">
        <v>1592</v>
      </c>
    </row>
    <row r="366" spans="1:1">
      <c r="A366" t="s">
        <v>1633</v>
      </c>
    </row>
    <row r="367" spans="1:1">
      <c r="A367" t="s">
        <v>1624</v>
      </c>
    </row>
    <row r="368" spans="1:1">
      <c r="A368" t="s">
        <v>1625</v>
      </c>
    </row>
    <row r="369" spans="1:1">
      <c r="A369" t="s">
        <v>1632</v>
      </c>
    </row>
    <row r="370" spans="1:1">
      <c r="A370" t="s">
        <v>1698</v>
      </c>
    </row>
    <row r="371" spans="1:1">
      <c r="A371" t="s">
        <v>1626</v>
      </c>
    </row>
    <row r="372" spans="1:1">
      <c r="A372" t="s">
        <v>1663</v>
      </c>
    </row>
    <row r="373" spans="1:1">
      <c r="A373" t="s">
        <v>1727</v>
      </c>
    </row>
    <row r="374" spans="1:1">
      <c r="A374" t="s">
        <v>1627</v>
      </c>
    </row>
    <row r="375" spans="1:1">
      <c r="A375" t="s">
        <v>1701</v>
      </c>
    </row>
    <row r="376" spans="1:1">
      <c r="A376" t="s">
        <v>1682</v>
      </c>
    </row>
    <row r="377" spans="1:1">
      <c r="A377" t="s">
        <v>1672</v>
      </c>
    </row>
    <row r="378" spans="1:1">
      <c r="A378" t="s">
        <v>1753</v>
      </c>
    </row>
    <row r="379" spans="1:1">
      <c r="A379" t="s">
        <v>1762</v>
      </c>
    </row>
    <row r="380" spans="1:1">
      <c r="A380" t="s">
        <v>1702</v>
      </c>
    </row>
    <row r="381" spans="1:1">
      <c r="A381" t="s">
        <v>1731</v>
      </c>
    </row>
    <row r="382" spans="1:1">
      <c r="A382" t="s">
        <v>1732</v>
      </c>
    </row>
    <row r="383" spans="1:1">
      <c r="A383" t="s">
        <v>1736</v>
      </c>
    </row>
    <row r="384" spans="1:1">
      <c r="A384" t="s">
        <v>1733</v>
      </c>
    </row>
    <row r="385" spans="1:1">
      <c r="A385" t="s">
        <v>1656</v>
      </c>
    </row>
    <row r="386" spans="1:1">
      <c r="A386" t="s">
        <v>1755</v>
      </c>
    </row>
    <row r="387" spans="1:1">
      <c r="A387" t="s">
        <v>1742</v>
      </c>
    </row>
    <row r="388" spans="1:1">
      <c r="A388" t="s">
        <v>1657</v>
      </c>
    </row>
    <row r="389" spans="1:1">
      <c r="A389" t="s">
        <v>1717</v>
      </c>
    </row>
    <row r="390" spans="1:1">
      <c r="A390" t="s">
        <v>1703</v>
      </c>
    </row>
    <row r="391" spans="1:1">
      <c r="A391" t="s">
        <v>1651</v>
      </c>
    </row>
    <row r="392" spans="1:1">
      <c r="A392" t="s">
        <v>1718</v>
      </c>
    </row>
    <row r="393" spans="1:1">
      <c r="A393" t="s">
        <v>1704</v>
      </c>
    </row>
    <row r="394" spans="1:1">
      <c r="A394" t="s">
        <v>1756</v>
      </c>
    </row>
    <row r="395" spans="1:1">
      <c r="A395" t="s">
        <v>1714</v>
      </c>
    </row>
    <row r="396" spans="1:1">
      <c r="A396" t="s">
        <v>1764</v>
      </c>
    </row>
    <row r="397" spans="1:1">
      <c r="A397" t="s">
        <v>1719</v>
      </c>
    </row>
    <row r="398" spans="1:1">
      <c r="A398" t="s">
        <v>1694</v>
      </c>
    </row>
    <row r="399" spans="1:1">
      <c r="A399" t="s">
        <v>1695</v>
      </c>
    </row>
    <row r="400" spans="1:1">
      <c r="A400" t="s">
        <v>1725</v>
      </c>
    </row>
    <row r="401" spans="1:1">
      <c r="A401" t="s">
        <v>1739</v>
      </c>
    </row>
    <row r="402" spans="1:1">
      <c r="A402" t="s">
        <v>1583</v>
      </c>
    </row>
    <row r="403" spans="1:1">
      <c r="A403" t="s">
        <v>1712</v>
      </c>
    </row>
    <row r="404" spans="1:1">
      <c r="A404" t="s">
        <v>1687</v>
      </c>
    </row>
    <row r="405" spans="1:1">
      <c r="A405" t="s">
        <v>1215</v>
      </c>
    </row>
    <row r="406" spans="1:1">
      <c r="A406" t="s">
        <v>1390</v>
      </c>
    </row>
    <row r="407" spans="1:1">
      <c r="A407" t="s">
        <v>1404</v>
      </c>
    </row>
    <row r="408" spans="1:1">
      <c r="A408" t="s">
        <v>1618</v>
      </c>
    </row>
    <row r="409" spans="1:1">
      <c r="A409" t="s">
        <v>1620</v>
      </c>
    </row>
    <row r="410" spans="1:1">
      <c r="A410" t="s">
        <v>1288</v>
      </c>
    </row>
    <row r="411" spans="1:1">
      <c r="A411" t="s">
        <v>1391</v>
      </c>
    </row>
    <row r="412" spans="1:1">
      <c r="A412" t="s">
        <v>1670</v>
      </c>
    </row>
    <row r="413" spans="1:1">
      <c r="A413" t="s">
        <v>1179</v>
      </c>
    </row>
    <row r="414" spans="1:1">
      <c r="A414" t="s">
        <v>1399</v>
      </c>
    </row>
    <row r="415" spans="1:1">
      <c r="A415" t="s">
        <v>1514</v>
      </c>
    </row>
    <row r="416" spans="1:1">
      <c r="A416" t="s">
        <v>1515</v>
      </c>
    </row>
    <row r="417" spans="1:1">
      <c r="A417" t="s">
        <v>1494</v>
      </c>
    </row>
    <row r="418" spans="1:1">
      <c r="A418" t="s">
        <v>1673</v>
      </c>
    </row>
    <row r="419" spans="1:1">
      <c r="A419" t="s">
        <v>1683</v>
      </c>
    </row>
    <row r="420" spans="1:1">
      <c r="A420" t="s">
        <v>1677</v>
      </c>
    </row>
    <row r="421" spans="1:1">
      <c r="A421" t="s">
        <v>1172</v>
      </c>
    </row>
    <row r="422" spans="1:1">
      <c r="A422" t="s">
        <v>1198</v>
      </c>
    </row>
    <row r="423" spans="1:1">
      <c r="A423" t="s">
        <v>1158</v>
      </c>
    </row>
    <row r="424" spans="1:1">
      <c r="A424" t="s">
        <v>1173</v>
      </c>
    </row>
    <row r="425" spans="1:1">
      <c r="A425" t="s">
        <v>1174</v>
      </c>
    </row>
    <row r="426" spans="1:1">
      <c r="A426" t="s">
        <v>1238</v>
      </c>
    </row>
    <row r="427" spans="1:1">
      <c r="A427" t="s">
        <v>1210</v>
      </c>
    </row>
    <row r="428" spans="1:1">
      <c r="A428" t="s">
        <v>1243</v>
      </c>
    </row>
    <row r="429" spans="1:1">
      <c r="A429" t="s">
        <v>1213</v>
      </c>
    </row>
    <row r="430" spans="1:1">
      <c r="A430" t="s">
        <v>1218</v>
      </c>
    </row>
    <row r="431" spans="1:1">
      <c r="A431" t="s">
        <v>1268</v>
      </c>
    </row>
    <row r="432" spans="1:1">
      <c r="A432" t="s">
        <v>1254</v>
      </c>
    </row>
    <row r="433" spans="1:1">
      <c r="A433" t="s">
        <v>1255</v>
      </c>
    </row>
    <row r="434" spans="1:1">
      <c r="A434" t="s">
        <v>1289</v>
      </c>
    </row>
    <row r="435" spans="1:1">
      <c r="A435" t="s">
        <v>1281</v>
      </c>
    </row>
    <row r="436" spans="1:1">
      <c r="A436" t="s">
        <v>1282</v>
      </c>
    </row>
    <row r="437" spans="1:1">
      <c r="A437" t="s">
        <v>1273</v>
      </c>
    </row>
    <row r="438" spans="1:1">
      <c r="A438" t="s">
        <v>1248</v>
      </c>
    </row>
    <row r="439" spans="1:1">
      <c r="A439" t="s">
        <v>1279</v>
      </c>
    </row>
    <row r="440" spans="1:1">
      <c r="A440" t="s">
        <v>1298</v>
      </c>
    </row>
    <row r="441" spans="1:1">
      <c r="A441" t="s">
        <v>1269</v>
      </c>
    </row>
    <row r="442" spans="1:1">
      <c r="A442" t="s">
        <v>1300</v>
      </c>
    </row>
    <row r="443" spans="1:1">
      <c r="A443" t="s">
        <v>1335</v>
      </c>
    </row>
    <row r="444" spans="1:1">
      <c r="A444" t="s">
        <v>1321</v>
      </c>
    </row>
    <row r="445" spans="1:1">
      <c r="A445" t="s">
        <v>1310</v>
      </c>
    </row>
    <row r="446" spans="1:1">
      <c r="A446" t="s">
        <v>1356</v>
      </c>
    </row>
    <row r="447" spans="1:1">
      <c r="A447" t="s">
        <v>1422</v>
      </c>
    </row>
    <row r="448" spans="1:1">
      <c r="A448" t="s">
        <v>1409</v>
      </c>
    </row>
    <row r="449" spans="1:1">
      <c r="A449" t="s">
        <v>1392</v>
      </c>
    </row>
    <row r="450" spans="1:1">
      <c r="A450" t="s">
        <v>1415</v>
      </c>
    </row>
    <row r="451" spans="1:1">
      <c r="A451" t="s">
        <v>1364</v>
      </c>
    </row>
    <row r="452" spans="1:1">
      <c r="A452" t="s">
        <v>1393</v>
      </c>
    </row>
    <row r="453" spans="1:1">
      <c r="A453" t="s">
        <v>1386</v>
      </c>
    </row>
    <row r="454" spans="1:1">
      <c r="A454" t="s">
        <v>1387</v>
      </c>
    </row>
    <row r="455" spans="1:1">
      <c r="A455" t="s">
        <v>1501</v>
      </c>
    </row>
    <row r="456" spans="1:1">
      <c r="A456" t="s">
        <v>1417</v>
      </c>
    </row>
    <row r="457" spans="1:1">
      <c r="A457" t="s">
        <v>1459</v>
      </c>
    </row>
    <row r="458" spans="1:1">
      <c r="A458" t="s">
        <v>1479</v>
      </c>
    </row>
    <row r="459" spans="1:1">
      <c r="A459" t="s">
        <v>1568</v>
      </c>
    </row>
    <row r="460" spans="1:1">
      <c r="A460" t="s">
        <v>1500</v>
      </c>
    </row>
    <row r="461" spans="1:1">
      <c r="A461" t="s">
        <v>1480</v>
      </c>
    </row>
    <row r="462" spans="1:1">
      <c r="A462" t="s">
        <v>1532</v>
      </c>
    </row>
    <row r="463" spans="1:1">
      <c r="A463" t="s">
        <v>1518</v>
      </c>
    </row>
    <row r="464" spans="1:1">
      <c r="A464" t="s">
        <v>1522</v>
      </c>
    </row>
    <row r="465" spans="1:1">
      <c r="A465" t="s">
        <v>1481</v>
      </c>
    </row>
    <row r="466" spans="1:1">
      <c r="A466" t="s">
        <v>1517</v>
      </c>
    </row>
    <row r="467" spans="1:1">
      <c r="A467" t="s">
        <v>1570</v>
      </c>
    </row>
    <row r="468" spans="1:1">
      <c r="A468" t="s">
        <v>1571</v>
      </c>
    </row>
    <row r="469" spans="1:1">
      <c r="A469" t="s">
        <v>1576</v>
      </c>
    </row>
    <row r="470" spans="1:1">
      <c r="A470" t="s">
        <v>1599</v>
      </c>
    </row>
    <row r="471" spans="1:1">
      <c r="A471" t="s">
        <v>1595</v>
      </c>
    </row>
    <row r="472" spans="1:1">
      <c r="A472" t="s">
        <v>1634</v>
      </c>
    </row>
    <row r="473" spans="1:1">
      <c r="A473" t="s">
        <v>1610</v>
      </c>
    </row>
    <row r="474" spans="1:1">
      <c r="A474" t="s">
        <v>1608</v>
      </c>
    </row>
    <row r="475" spans="1:1">
      <c r="A475" t="s">
        <v>1621</v>
      </c>
    </row>
    <row r="476" spans="1:1">
      <c r="A476" t="s">
        <v>1646</v>
      </c>
    </row>
    <row r="477" spans="1:1">
      <c r="A477" t="s">
        <v>1664</v>
      </c>
    </row>
    <row r="478" spans="1:1">
      <c r="A478" t="s">
        <v>1665</v>
      </c>
    </row>
    <row r="479" spans="1:1">
      <c r="A479" t="s">
        <v>1678</v>
      </c>
    </row>
    <row r="480" spans="1:1">
      <c r="A480" t="s">
        <v>1684</v>
      </c>
    </row>
    <row r="481" spans="1:1">
      <c r="A481" t="s">
        <v>1685</v>
      </c>
    </row>
    <row r="482" spans="1:1">
      <c r="A482" t="s">
        <v>1652</v>
      </c>
    </row>
    <row r="483" spans="1:1">
      <c r="A483" t="s">
        <v>1686</v>
      </c>
    </row>
    <row r="484" spans="1:1">
      <c r="A484" t="s">
        <v>1653</v>
      </c>
    </row>
    <row r="485" spans="1:1">
      <c r="A485" t="s">
        <v>1728</v>
      </c>
    </row>
    <row r="486" spans="1:1">
      <c r="A486" t="s">
        <v>1735</v>
      </c>
    </row>
    <row r="487" spans="1:1">
      <c r="A487" t="s">
        <v>1721</v>
      </c>
    </row>
    <row r="488" spans="1:1">
      <c r="A488" t="s">
        <v>1748</v>
      </c>
    </row>
    <row r="489" spans="1:1">
      <c r="A489" t="s">
        <v>1740</v>
      </c>
    </row>
    <row r="490" spans="1:1">
      <c r="A490" t="s">
        <v>1729</v>
      </c>
    </row>
    <row r="491" spans="1:1">
      <c r="A491" t="s">
        <v>1737</v>
      </c>
    </row>
    <row r="492" spans="1:1">
      <c r="A492" t="s">
        <v>1743</v>
      </c>
    </row>
    <row r="493" spans="1:1">
      <c r="A493" t="s">
        <v>1765</v>
      </c>
    </row>
    <row r="494" spans="1:1">
      <c r="A494" t="s">
        <v>1749</v>
      </c>
    </row>
    <row r="495" spans="1:1">
      <c r="A495" t="s">
        <v>1470</v>
      </c>
    </row>
    <row r="496" spans="1:1">
      <c r="A496" t="s">
        <v>1159</v>
      </c>
    </row>
    <row r="497" spans="1:1">
      <c r="A497" t="s">
        <v>1256</v>
      </c>
    </row>
    <row r="498" spans="1:1">
      <c r="A498" t="s">
        <v>1314</v>
      </c>
    </row>
    <row r="499" spans="1:1">
      <c r="A499" t="s">
        <v>1362</v>
      </c>
    </row>
    <row r="500" spans="1:1">
      <c r="A500" t="s">
        <v>1308</v>
      </c>
    </row>
    <row r="501" spans="1:1">
      <c r="A501" t="s">
        <v>1467</v>
      </c>
    </row>
    <row r="502" spans="1:1">
      <c r="A502" t="s">
        <v>1516</v>
      </c>
    </row>
    <row r="503" spans="1:1">
      <c r="A503" t="s">
        <v>1582</v>
      </c>
    </row>
    <row r="504" spans="1:1">
      <c r="A504" t="s">
        <v>1564</v>
      </c>
    </row>
    <row r="505" spans="1:1">
      <c r="A505" t="s">
        <v>1578</v>
      </c>
    </row>
    <row r="506" spans="1:1">
      <c r="A506" t="s">
        <v>1565</v>
      </c>
    </row>
    <row r="507" spans="1:1">
      <c r="A507" t="s">
        <v>1566</v>
      </c>
    </row>
    <row r="508" spans="1:1">
      <c r="A508" t="s">
        <v>1534</v>
      </c>
    </row>
    <row r="509" spans="1:1">
      <c r="A509" t="s">
        <v>1658</v>
      </c>
    </row>
    <row r="510" spans="1:1">
      <c r="A510" t="s">
        <v>1666</v>
      </c>
    </row>
    <row r="511" spans="1:1">
      <c r="A511" t="s">
        <v>1369</v>
      </c>
    </row>
    <row r="512" spans="1:1">
      <c r="A512" t="s">
        <v>1757</v>
      </c>
    </row>
    <row r="513" spans="1:1">
      <c r="A513" t="s">
        <v>1654</v>
      </c>
    </row>
    <row r="514" spans="1:1">
      <c r="A514" t="s">
        <v>1239</v>
      </c>
    </row>
    <row r="515" spans="1:1">
      <c r="A515" t="s">
        <v>1261</v>
      </c>
    </row>
    <row r="516" spans="1:1">
      <c r="A516" t="s">
        <v>1502</v>
      </c>
    </row>
    <row r="517" spans="1:1">
      <c r="A517" t="s">
        <v>1506</v>
      </c>
    </row>
    <row r="518" spans="1:1">
      <c r="A518" t="s">
        <v>1507</v>
      </c>
    </row>
    <row r="519" spans="1:1">
      <c r="A519" t="s">
        <v>1523</v>
      </c>
    </row>
    <row r="520" spans="1:1">
      <c r="A520" t="s">
        <v>1524</v>
      </c>
    </row>
    <row r="521" spans="1:1">
      <c r="A521" t="s">
        <v>1525</v>
      </c>
    </row>
    <row r="522" spans="1:1">
      <c r="A522" t="s">
        <v>1526</v>
      </c>
    </row>
    <row r="523" spans="1:1">
      <c r="A523" t="s">
        <v>1527</v>
      </c>
    </row>
    <row r="524" spans="1:1">
      <c r="A524" t="s">
        <v>1528</v>
      </c>
    </row>
    <row r="525" spans="1:1">
      <c r="A525" t="s">
        <v>1741</v>
      </c>
    </row>
    <row r="526" spans="1:1">
      <c r="A526" t="s">
        <v>1193</v>
      </c>
    </row>
    <row r="527" spans="1:1">
      <c r="A527" t="s">
        <v>1240</v>
      </c>
    </row>
    <row r="528" spans="1:1">
      <c r="A528" t="s">
        <v>1202</v>
      </c>
    </row>
    <row r="529" spans="1:1">
      <c r="A529" t="s">
        <v>1311</v>
      </c>
    </row>
    <row r="530" spans="1:1">
      <c r="A530" t="s">
        <v>1487</v>
      </c>
    </row>
    <row r="531" spans="1:1">
      <c r="A531" t="s">
        <v>1659</v>
      </c>
    </row>
    <row r="532" spans="1:1">
      <c r="A532" t="s">
        <v>1750</v>
      </c>
    </row>
    <row r="533" spans="1:1">
      <c r="A533" t="s">
        <v>1212</v>
      </c>
    </row>
    <row r="534" spans="1:1">
      <c r="A534" t="s">
        <v>1758</v>
      </c>
    </row>
    <row r="535" spans="1:1">
      <c r="A535" t="s">
        <v>1692</v>
      </c>
    </row>
    <row r="536" spans="1:1">
      <c r="A536" t="s">
        <v>1498</v>
      </c>
    </row>
    <row r="537" spans="1:1">
      <c r="A537" t="s">
        <v>1485</v>
      </c>
    </row>
    <row r="538" spans="1:1">
      <c r="A538" t="s">
        <v>1746</v>
      </c>
    </row>
    <row r="539" spans="1:1">
      <c r="A539" t="s">
        <v>1377</v>
      </c>
    </row>
    <row r="540" spans="1:1">
      <c r="A540" t="s">
        <v>1635</v>
      </c>
    </row>
    <row r="541" spans="1:1">
      <c r="A541" t="s">
        <v>1221</v>
      </c>
    </row>
    <row r="542" spans="1:1">
      <c r="A542" t="s">
        <v>1262</v>
      </c>
    </row>
    <row r="543" spans="1:1">
      <c r="A543" t="s">
        <v>1370</v>
      </c>
    </row>
    <row r="544" spans="1:1">
      <c r="A544" t="s">
        <v>1344</v>
      </c>
    </row>
    <row r="545" spans="1:1">
      <c r="A545" t="s">
        <v>1345</v>
      </c>
    </row>
    <row r="546" spans="1:1">
      <c r="A546" t="s">
        <v>1346</v>
      </c>
    </row>
    <row r="547" spans="1:1">
      <c r="A547" t="s">
        <v>1396</v>
      </c>
    </row>
    <row r="548" spans="1:1">
      <c r="A548" t="s">
        <v>1680</v>
      </c>
    </row>
    <row r="549" spans="1:1">
      <c r="A549" t="s">
        <v>1752</v>
      </c>
    </row>
    <row r="550" spans="1:1">
      <c r="A550" t="s">
        <v>1205</v>
      </c>
    </row>
    <row r="551" spans="1:1">
      <c r="A551" t="s">
        <v>1529</v>
      </c>
    </row>
    <row r="552" spans="1:1">
      <c r="A552" t="s">
        <v>1747</v>
      </c>
    </row>
    <row r="553" spans="1:1">
      <c r="A553" t="s">
        <v>1219</v>
      </c>
    </row>
    <row r="554" spans="1:1">
      <c r="A554" t="s">
        <v>1266</v>
      </c>
    </row>
    <row r="555" spans="1:1">
      <c r="A555" t="s">
        <v>1544</v>
      </c>
    </row>
    <row r="556" spans="1:1">
      <c r="A556" t="s">
        <v>1530</v>
      </c>
    </row>
    <row r="557" spans="1:1">
      <c r="A557" t="s">
        <v>1597</v>
      </c>
    </row>
    <row r="558" spans="1:1">
      <c r="A558" t="s">
        <v>1593</v>
      </c>
    </row>
    <row r="559" spans="1:1">
      <c r="A559" t="s">
        <v>1598</v>
      </c>
    </row>
    <row r="560" spans="1:1">
      <c r="A560" t="s">
        <v>1594</v>
      </c>
    </row>
    <row r="561" spans="1:1">
      <c r="A561" t="s">
        <v>1637</v>
      </c>
    </row>
    <row r="562" spans="1:1">
      <c r="A562" t="s">
        <v>1169</v>
      </c>
    </row>
    <row r="563" spans="1:1">
      <c r="A563" t="s">
        <v>1249</v>
      </c>
    </row>
    <row r="564" spans="1:1">
      <c r="A564" t="s">
        <v>1476</v>
      </c>
    </row>
    <row r="565" spans="1:1">
      <c r="A565" t="s">
        <v>1206</v>
      </c>
    </row>
    <row r="566" spans="1:1">
      <c r="A566" t="s">
        <v>1465</v>
      </c>
    </row>
    <row r="567" spans="1:1">
      <c r="A567" t="s">
        <v>1471</v>
      </c>
    </row>
    <row r="568" spans="1:1">
      <c r="A568" t="s">
        <v>1722</v>
      </c>
    </row>
    <row r="569" spans="1:1">
      <c r="A569" t="s">
        <v>1191</v>
      </c>
    </row>
    <row r="570" spans="1:1">
      <c r="A570" t="s">
        <v>1165</v>
      </c>
    </row>
    <row r="571" spans="1:1">
      <c r="A571" t="s">
        <v>1203</v>
      </c>
    </row>
    <row r="572" spans="1:1">
      <c r="A572" t="s">
        <v>1216</v>
      </c>
    </row>
    <row r="573" spans="1:1">
      <c r="A573" t="s">
        <v>1336</v>
      </c>
    </row>
    <row r="574" spans="1:1">
      <c r="A574" t="s">
        <v>1361</v>
      </c>
    </row>
    <row r="575" spans="1:1">
      <c r="A575" t="s">
        <v>1388</v>
      </c>
    </row>
    <row r="576" spans="1:1">
      <c r="A576" t="s">
        <v>1472</v>
      </c>
    </row>
    <row r="577" spans="1:1">
      <c r="A577" t="s">
        <v>1478</v>
      </c>
    </row>
    <row r="578" spans="1:1">
      <c r="A578" t="s">
        <v>1667</v>
      </c>
    </row>
    <row r="579" spans="1:1">
      <c r="A579" t="s">
        <v>1648</v>
      </c>
    </row>
    <row r="580" spans="1:1">
      <c r="A580" t="s">
        <v>1751</v>
      </c>
    </row>
    <row r="581" spans="1:1">
      <c r="A581" t="s">
        <v>1726</v>
      </c>
    </row>
    <row r="582" spans="1:1">
      <c r="A582" t="s">
        <v>1754</v>
      </c>
    </row>
    <row r="583" spans="1:1">
      <c r="A583" t="s">
        <v>1267</v>
      </c>
    </row>
    <row r="584" spans="1:1">
      <c r="A584" t="s">
        <v>1508</v>
      </c>
    </row>
    <row r="585" spans="1:1">
      <c r="A585" t="s">
        <v>1709</v>
      </c>
    </row>
    <row r="586" spans="1:1">
      <c r="A586" t="s">
        <v>1389</v>
      </c>
    </row>
    <row r="587" spans="1:1">
      <c r="A587" t="s">
        <v>1710</v>
      </c>
    </row>
    <row r="588" spans="1:1">
      <c r="A588" t="s">
        <v>1181</v>
      </c>
    </row>
    <row r="589" spans="1:1">
      <c r="A589" t="s">
        <v>1204</v>
      </c>
    </row>
    <row r="590" spans="1:1">
      <c r="A590" t="s">
        <v>1207</v>
      </c>
    </row>
    <row r="591" spans="1:1">
      <c r="A591" t="s">
        <v>1223</v>
      </c>
    </row>
    <row r="592" spans="1:1">
      <c r="A592" t="s">
        <v>1224</v>
      </c>
    </row>
    <row r="593" spans="1:1">
      <c r="A593" t="s">
        <v>1250</v>
      </c>
    </row>
    <row r="594" spans="1:1">
      <c r="A594" t="s">
        <v>1333</v>
      </c>
    </row>
    <row r="595" spans="1:1">
      <c r="A595" t="s">
        <v>1322</v>
      </c>
    </row>
    <row r="596" spans="1:1">
      <c r="A596" t="s">
        <v>1365</v>
      </c>
    </row>
    <row r="597" spans="1:1">
      <c r="A597" t="s">
        <v>1407</v>
      </c>
    </row>
    <row r="598" spans="1:1">
      <c r="A598" t="s">
        <v>1405</v>
      </c>
    </row>
    <row r="599" spans="1:1">
      <c r="A599" t="s">
        <v>1486</v>
      </c>
    </row>
    <row r="600" spans="1:1">
      <c r="A600" t="s">
        <v>1533</v>
      </c>
    </row>
    <row r="601" spans="1:1">
      <c r="A601" t="s">
        <v>1584</v>
      </c>
    </row>
    <row r="602" spans="1:1">
      <c r="A602" t="s">
        <v>1660</v>
      </c>
    </row>
    <row r="603" spans="1:1">
      <c r="A603" t="s">
        <v>1668</v>
      </c>
    </row>
    <row r="604" spans="1:1">
      <c r="A604" t="s">
        <v>1713</v>
      </c>
    </row>
    <row r="605" spans="1:1">
      <c r="A605" t="s">
        <v>1661</v>
      </c>
    </row>
    <row r="606" spans="1:1">
      <c r="A606" t="s">
        <v>1705</v>
      </c>
    </row>
    <row r="607" spans="1:1">
      <c r="A607" t="s">
        <v>1706</v>
      </c>
    </row>
    <row r="608" spans="1:1">
      <c r="A608" t="s">
        <v>1720</v>
      </c>
    </row>
    <row r="609" spans="1:1">
      <c r="A609" t="s">
        <v>1730</v>
      </c>
    </row>
    <row r="610" spans="1:1">
      <c r="A610" t="s">
        <v>1350</v>
      </c>
    </row>
    <row r="611" spans="1:1">
      <c r="A611" t="s">
        <v>1679</v>
      </c>
    </row>
    <row r="612" spans="1:1">
      <c r="A612" t="s">
        <v>1700</v>
      </c>
    </row>
    <row r="613" spans="1:1">
      <c r="A613" t="s">
        <v>1225</v>
      </c>
    </row>
  </sheetData>
  <autoFilter ref="A2:A613">
    <sortState ref="A3:A613">
      <sortCondition ref="A2:A613"/>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15</vt:i4>
      </vt:variant>
    </vt:vector>
  </HeadingPairs>
  <TitlesOfParts>
    <vt:vector size="22" baseType="lpstr">
      <vt:lpstr>DATOS GENERALES</vt:lpstr>
      <vt:lpstr>CAPTURA DP</vt:lpstr>
      <vt:lpstr>CAPTURA LISTADO</vt:lpstr>
      <vt:lpstr>CARTA-COTIZACION</vt:lpstr>
      <vt:lpstr>DATOS</vt:lpstr>
      <vt:lpstr>RESUMEN</vt:lpstr>
      <vt:lpstr>POLIZAS</vt:lpstr>
      <vt:lpstr>a</vt:lpstr>
      <vt:lpstr>'CARTA-COTIZACION'!Área_de_impresión</vt:lpstr>
      <vt:lpstr>b</vt:lpstr>
      <vt:lpstr>IVA</vt:lpstr>
      <vt:lpstr>MATERNIDAD</vt:lpstr>
      <vt:lpstr>Nueva</vt:lpstr>
      <vt:lpstr>p</vt:lpstr>
      <vt:lpstr>pcosto</vt:lpstr>
      <vt:lpstr>polizas</vt:lpstr>
      <vt:lpstr>PRIMA_N</vt:lpstr>
      <vt:lpstr>suma</vt:lpstr>
      <vt:lpstr>'CARTA-COTIZACION'!Títulos_a_imprimir</vt:lpstr>
      <vt:lpstr>ve</vt:lpstr>
      <vt:lpstr>vo</vt:lpstr>
      <vt:lpstr>vp</vt:lpstr>
    </vt:vector>
  </TitlesOfParts>
  <Manager>Act. Carlos Colin Moreno</Manager>
  <Company>Seguros Atlas,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ATLAS MED 2010, En vigor a partir del 01/05/2010</dc:title>
  <dc:subject>Cotizador GMM V.10-1</dc:subject>
  <dc:creator>Angel Andrés Sánchez Resendiz</dc:creator>
  <dc:description>Uso Exclusivo:_x000d_
   AGENTES Y EJECUTIVOS DE CUENTA</dc:description>
  <cp:lastModifiedBy>JESSICA FARIAS</cp:lastModifiedBy>
  <cp:lastPrinted>2023-06-26T21:16:03Z</cp:lastPrinted>
  <dcterms:created xsi:type="dcterms:W3CDTF">2002-02-17T01:33:09Z</dcterms:created>
  <dcterms:modified xsi:type="dcterms:W3CDTF">2023-06-27T20:21:09Z</dcterms:modified>
</cp:coreProperties>
</file>