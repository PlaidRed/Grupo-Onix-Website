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feYCNQQlGY6PqQwaMfw3DYnL+8SMNPDCHvz1gqEawZhpCw3tiKktne4/6/nWtZgOLX1pUa0U5+zEPbAv3qjh0g==" workbookSaltValue="HRZqu4RanqCZvOebD2OYig==" workbookSpinCount="100000" lockStructure="1"/>
  <bookViews>
    <workbookView xWindow="0" yWindow="0" windowWidth="19200" windowHeight="705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Tablas!$Q$4:$X$107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Tablas!$AA$89:$AA$91</definedName>
    <definedName name="_xlnm.Print_Area" localSheetId="2">Cotizacion!$B$1:$O$76</definedName>
    <definedName name="_xlnm.Print_Area" localSheetId="0">Cotizador!$B$2:$M$29</definedName>
    <definedName name="COASEGURO">Tablas!$AK$27:$AK$30</definedName>
    <definedName name="DEDUCIBLE">Tablas!$AK$4:$AK$21</definedName>
    <definedName name="EDAD" localSheetId="2">Cotizacion!#REF!</definedName>
    <definedName name="EDAD">Cotizador!$AG$6:$AG$105</definedName>
    <definedName name="ESTADO">Tablas!$Q$5:$Q$36</definedName>
    <definedName name="Estandar">Tablas!$AC$89:$AC$91</definedName>
    <definedName name="FAYUDADIARIA">Tablas!$N$25</definedName>
    <definedName name="FCOBEXT">Tablas!$N$10</definedName>
    <definedName name="FCONTINUIDAD">Tablas!$N$87</definedName>
    <definedName name="FCS">Tablas!$AL$25</definedName>
    <definedName name="FDCE">Tablas!$N$92</definedName>
    <definedName name="FDED">Tablas!$AL$2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Tablas!$AB$27</definedName>
    <definedName name="FR">Tablas!$AC$2</definedName>
    <definedName name="FRC">Tablas!$AR$2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Tablas!$AB$45</definedName>
    <definedName name="FTABHM">Tablas!$AB$61</definedName>
    <definedName name="GASADMON">Tablas!$AL$52</definedName>
    <definedName name="GASADQUI">Tablas!$AL$53</definedName>
    <definedName name="HM">Tablas!$AA$64:$AA$69</definedName>
    <definedName name="HONMED">Tablas!$AK$61:$AK$63</definedName>
    <definedName name="INFLACION2008">Tablas!$AL$45</definedName>
    <definedName name="INFLACION2009">Tablas!$AL$46</definedName>
    <definedName name="INFLACION2010">Tablas!$AL$47</definedName>
    <definedName name="INFLACION2011">Tablas!$AL$48</definedName>
    <definedName name="MARGENDESVIACION">Tablas!$AL$55</definedName>
    <definedName name="Medio">Tablas!$AB$89:$AB$91</definedName>
    <definedName name="Mr">Tablas!$AC$3</definedName>
    <definedName name="NH">Tablas!$AA$29:$AA$31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Tablas!$AA$35:$AA$42</definedName>
    <definedName name="SA">Tablas!$AA$47:$AA$58</definedName>
    <definedName name="TC">Tablas!#REF!</definedName>
    <definedName name="UTILIDAD">Tablas!$AL$54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27" l="1"/>
  <c r="E56" i="27" l="1"/>
  <c r="V36" i="25" l="1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AC14" i="25"/>
  <c r="AD14" i="25" s="1"/>
  <c r="AE14" i="25" s="1"/>
  <c r="AC13" i="25"/>
  <c r="AD13" i="25" s="1"/>
  <c r="AE13" i="25" s="1"/>
  <c r="AC12" i="25"/>
  <c r="AD12" i="25" s="1"/>
  <c r="AE12" i="25" s="1"/>
  <c r="AC11" i="25"/>
  <c r="AD11" i="25" s="1"/>
  <c r="AE11" i="25" s="1"/>
  <c r="AC10" i="25"/>
  <c r="AD10" i="25" s="1"/>
  <c r="AE10" i="25" s="1"/>
  <c r="AC9" i="25"/>
  <c r="AD9" i="25" s="1"/>
  <c r="AE9" i="25" s="1"/>
  <c r="AC8" i="25"/>
  <c r="AD8" i="25" s="1"/>
  <c r="AC7" i="25"/>
  <c r="AD7" i="25" s="1"/>
  <c r="AC6" i="25"/>
  <c r="AD6" i="25" s="1"/>
  <c r="AC5" i="25"/>
  <c r="AD5" i="25" s="1"/>
  <c r="AE5" i="25" s="1"/>
  <c r="Y20" i="25" l="1"/>
  <c r="Y6" i="25"/>
  <c r="Y9" i="25"/>
  <c r="Y5" i="25"/>
  <c r="X23" i="25"/>
  <c r="AE8" i="25"/>
  <c r="Y35" i="25"/>
  <c r="Y25" i="25"/>
  <c r="Y8" i="25"/>
  <c r="Y31" i="25"/>
  <c r="Y27" i="25"/>
  <c r="Y11" i="25"/>
  <c r="Y34" i="25"/>
  <c r="Y33" i="25"/>
  <c r="X18" i="25"/>
  <c r="AE7" i="25"/>
  <c r="Y18" i="25" s="1"/>
  <c r="Y28" i="25"/>
  <c r="Y15" i="25"/>
  <c r="Y23" i="25"/>
  <c r="Y19" i="25"/>
  <c r="Y13" i="25"/>
  <c r="X26" i="25"/>
  <c r="AE6" i="25"/>
  <c r="Y26" i="25" s="1"/>
  <c r="Y36" i="25"/>
  <c r="Y32" i="25"/>
  <c r="Y16" i="25"/>
  <c r="Y12" i="25"/>
  <c r="Y7" i="25"/>
  <c r="Y29" i="25"/>
  <c r="Y21" i="25"/>
  <c r="Y24" i="25"/>
  <c r="Y30" i="25"/>
  <c r="Y22" i="25"/>
  <c r="Y14" i="25"/>
  <c r="Y10" i="25"/>
  <c r="Y17" i="25"/>
  <c r="W5" i="25"/>
  <c r="W13" i="25"/>
  <c r="W21" i="25"/>
  <c r="W29" i="25"/>
  <c r="W6" i="25"/>
  <c r="W14" i="25"/>
  <c r="W22" i="25"/>
  <c r="W30" i="25"/>
  <c r="X19" i="25"/>
  <c r="X13" i="25"/>
  <c r="W7" i="25"/>
  <c r="W15" i="25"/>
  <c r="W23" i="25"/>
  <c r="W31" i="25"/>
  <c r="X36" i="25"/>
  <c r="X16" i="25"/>
  <c r="X32" i="25"/>
  <c r="X7" i="25"/>
  <c r="X21" i="25"/>
  <c r="X29" i="25"/>
  <c r="X12" i="25"/>
  <c r="W8" i="25"/>
  <c r="W16" i="25"/>
  <c r="W24" i="25"/>
  <c r="W32" i="25"/>
  <c r="X6" i="25"/>
  <c r="X9" i="25"/>
  <c r="X5" i="25"/>
  <c r="X20" i="25"/>
  <c r="W9" i="25"/>
  <c r="W17" i="25"/>
  <c r="W25" i="25"/>
  <c r="W33" i="25"/>
  <c r="X28" i="25"/>
  <c r="X15" i="25"/>
  <c r="W10" i="25"/>
  <c r="W18" i="25"/>
  <c r="W26" i="25"/>
  <c r="W34" i="25"/>
  <c r="X35" i="25"/>
  <c r="X25" i="25"/>
  <c r="X11" i="25"/>
  <c r="X27" i="25"/>
  <c r="X34" i="25"/>
  <c r="X33" i="25"/>
  <c r="X8" i="25"/>
  <c r="X31" i="25"/>
  <c r="W11" i="25"/>
  <c r="W19" i="25"/>
  <c r="W27" i="25"/>
  <c r="W35" i="25"/>
  <c r="X10" i="25"/>
  <c r="X17" i="25"/>
  <c r="X22" i="25"/>
  <c r="X24" i="25"/>
  <c r="X14" i="25"/>
  <c r="X30" i="25"/>
  <c r="W12" i="25"/>
  <c r="W20" i="25"/>
  <c r="W28" i="25"/>
  <c r="W36" i="25"/>
  <c r="AR59" i="25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L2" i="25" s="1"/>
  <c r="F7" i="25"/>
  <c r="T35" i="23"/>
  <c r="C31" i="27" s="1"/>
  <c r="F31" i="27" s="1"/>
  <c r="G8" i="25"/>
  <c r="G9" i="25"/>
  <c r="G10" i="25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G19" i="25"/>
  <c r="I19" i="25" s="1"/>
  <c r="K19" i="25" s="1"/>
  <c r="G20" i="25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G32" i="25"/>
  <c r="G33" i="25"/>
  <c r="G34" i="25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G43" i="25"/>
  <c r="I43" i="25" s="1"/>
  <c r="K43" i="25" s="1"/>
  <c r="G44" i="25"/>
  <c r="G45" i="25"/>
  <c r="I45" i="25" s="1"/>
  <c r="K45" i="25" s="1"/>
  <c r="G46" i="25"/>
  <c r="G47" i="25"/>
  <c r="I47" i="25" s="1"/>
  <c r="K47" i="25" s="1"/>
  <c r="G48" i="25"/>
  <c r="G49" i="25"/>
  <c r="G50" i="25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G58" i="25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G106" i="25"/>
  <c r="G107" i="25"/>
  <c r="G7" i="25"/>
  <c r="I7" i="25" s="1"/>
  <c r="K7" i="25" s="1"/>
  <c r="F8" i="25"/>
  <c r="H8" i="25" s="1"/>
  <c r="J8" i="25" s="1"/>
  <c r="F9" i="25"/>
  <c r="F10" i="25"/>
  <c r="F11" i="25"/>
  <c r="F12" i="25"/>
  <c r="H12" i="25" s="1"/>
  <c r="J12" i="25" s="1"/>
  <c r="F13" i="25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F38" i="25"/>
  <c r="H38" i="25" s="1"/>
  <c r="J38" i="25" s="1"/>
  <c r="F39" i="25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F59" i="25"/>
  <c r="F60" i="25"/>
  <c r="F61" i="25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F77" i="25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F83" i="25"/>
  <c r="F84" i="25"/>
  <c r="H84" i="25" s="1"/>
  <c r="J84" i="25" s="1"/>
  <c r="F85" i="25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F5" i="25"/>
  <c r="AF6" i="25"/>
  <c r="AF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/>
  <c r="T39" i="28"/>
  <c r="R53" i="28" s="1"/>
  <c r="T38" i="28"/>
  <c r="R52" i="28" s="1"/>
  <c r="T37" i="28"/>
  <c r="R51" i="28" s="1"/>
  <c r="T32" i="28"/>
  <c r="R49" i="28"/>
  <c r="T31" i="28"/>
  <c r="R48" i="28" s="1"/>
  <c r="T30" i="28"/>
  <c r="R47" i="28" s="1"/>
  <c r="T29" i="28"/>
  <c r="R46" i="28" s="1"/>
  <c r="T27" i="28"/>
  <c r="T25" i="28"/>
  <c r="R44" i="28" s="1"/>
  <c r="T23" i="28"/>
  <c r="T22" i="28"/>
  <c r="AF85" i="25"/>
  <c r="AF84" i="25"/>
  <c r="AF83" i="25"/>
  <c r="AF82" i="25"/>
  <c r="AF81" i="25"/>
  <c r="AF80" i="25"/>
  <c r="AF79" i="25"/>
  <c r="AF78" i="25"/>
  <c r="AF77" i="25"/>
  <c r="O75" i="27"/>
  <c r="H101" i="25"/>
  <c r="H99" i="25"/>
  <c r="J99" i="25" s="1"/>
  <c r="I98" i="25"/>
  <c r="K98" i="25" s="1"/>
  <c r="H97" i="25"/>
  <c r="J97" i="25" s="1"/>
  <c r="I96" i="25"/>
  <c r="K96" i="25" s="1"/>
  <c r="I94" i="25"/>
  <c r="K94" i="25" s="1"/>
  <c r="H93" i="25"/>
  <c r="J93" i="25" s="1"/>
  <c r="H91" i="25"/>
  <c r="J91" i="25" s="1"/>
  <c r="I90" i="25"/>
  <c r="K90" i="25" s="1"/>
  <c r="H89" i="25"/>
  <c r="I88" i="25"/>
  <c r="K88" i="25" s="1"/>
  <c r="I86" i="25"/>
  <c r="H85" i="25"/>
  <c r="H83" i="25"/>
  <c r="J83" i="25" s="1"/>
  <c r="I82" i="25"/>
  <c r="H82" i="25"/>
  <c r="J82" i="25" s="1"/>
  <c r="H81" i="25"/>
  <c r="J81" i="25" s="1"/>
  <c r="I80" i="25"/>
  <c r="K80" i="25" s="1"/>
  <c r="I78" i="25"/>
  <c r="K78" i="25" s="1"/>
  <c r="H77" i="25"/>
  <c r="H76" i="25"/>
  <c r="J76" i="25" s="1"/>
  <c r="H75" i="25"/>
  <c r="J75" i="25" s="1"/>
  <c r="I74" i="25"/>
  <c r="K74" i="25" s="1"/>
  <c r="H73" i="25"/>
  <c r="J73" i="25" s="1"/>
  <c r="I72" i="25"/>
  <c r="I70" i="25"/>
  <c r="H69" i="25"/>
  <c r="J69" i="25" s="1"/>
  <c r="H68" i="25"/>
  <c r="J68" i="25" s="1"/>
  <c r="H67" i="25"/>
  <c r="J67" i="25" s="1"/>
  <c r="I66" i="25"/>
  <c r="K66" i="25" s="1"/>
  <c r="H65" i="25"/>
  <c r="J65" i="25" s="1"/>
  <c r="I64" i="25"/>
  <c r="K64" i="25" s="1"/>
  <c r="I62" i="25"/>
  <c r="K62" i="25" s="1"/>
  <c r="H61" i="25"/>
  <c r="J61" i="25" s="1"/>
  <c r="H60" i="25"/>
  <c r="H59" i="25"/>
  <c r="J59" i="25" s="1"/>
  <c r="I58" i="25"/>
  <c r="K58" i="25" s="1"/>
  <c r="H58" i="25"/>
  <c r="J58" i="25" s="1"/>
  <c r="I57" i="25"/>
  <c r="K57" i="25" s="1"/>
  <c r="H57" i="25"/>
  <c r="J57" i="25" s="1"/>
  <c r="I56" i="25"/>
  <c r="K56" i="25" s="1"/>
  <c r="I54" i="25"/>
  <c r="K54" i="25" s="1"/>
  <c r="H53" i="25"/>
  <c r="J53" i="25" s="1"/>
  <c r="H51" i="25"/>
  <c r="J51" i="25" s="1"/>
  <c r="I50" i="25"/>
  <c r="K50" i="25" s="1"/>
  <c r="I49" i="25"/>
  <c r="K49" i="25" s="1"/>
  <c r="H49" i="25"/>
  <c r="J49" i="25" s="1"/>
  <c r="I48" i="25"/>
  <c r="K48" i="25" s="1"/>
  <c r="I46" i="25"/>
  <c r="K46" i="25" s="1"/>
  <c r="H45" i="25"/>
  <c r="J45" i="25" s="1"/>
  <c r="I44" i="25"/>
  <c r="K44" i="25" s="1"/>
  <c r="H43" i="25"/>
  <c r="J43" i="25" s="1"/>
  <c r="I42" i="25"/>
  <c r="K42" i="25" s="1"/>
  <c r="H41" i="25"/>
  <c r="I40" i="25"/>
  <c r="K40" i="25" s="1"/>
  <c r="I39" i="25"/>
  <c r="K39" i="25" s="1"/>
  <c r="H39" i="25"/>
  <c r="J39" i="25" s="1"/>
  <c r="I38" i="25"/>
  <c r="K38" i="25" s="1"/>
  <c r="H37" i="25"/>
  <c r="J37" i="25" s="1"/>
  <c r="H35" i="25"/>
  <c r="J35" i="25" s="1"/>
  <c r="I34" i="25"/>
  <c r="K34" i="25" s="1"/>
  <c r="I33" i="25"/>
  <c r="K33" i="25" s="1"/>
  <c r="H33" i="25"/>
  <c r="J33" i="25" s="1"/>
  <c r="I32" i="25"/>
  <c r="K32" i="25" s="1"/>
  <c r="I31" i="25"/>
  <c r="K31" i="25" s="1"/>
  <c r="I30" i="25"/>
  <c r="K30" i="25" s="1"/>
  <c r="H29" i="25"/>
  <c r="H27" i="25"/>
  <c r="J27" i="25" s="1"/>
  <c r="I26" i="25"/>
  <c r="K26" i="25" s="1"/>
  <c r="H25" i="25"/>
  <c r="J25" i="25" s="1"/>
  <c r="I24" i="25"/>
  <c r="I22" i="25"/>
  <c r="K22" i="25" s="1"/>
  <c r="H21" i="25"/>
  <c r="J21" i="25" s="1"/>
  <c r="I20" i="25"/>
  <c r="K20" i="25" s="1"/>
  <c r="H19" i="25"/>
  <c r="J19" i="25" s="1"/>
  <c r="I18" i="25"/>
  <c r="K18" i="25" s="1"/>
  <c r="H17" i="25"/>
  <c r="J17" i="25" s="1"/>
  <c r="I16" i="25"/>
  <c r="K16" i="25" s="1"/>
  <c r="I14" i="25"/>
  <c r="K14" i="25" s="1"/>
  <c r="H13" i="25"/>
  <c r="J13" i="25" s="1"/>
  <c r="I11" i="25"/>
  <c r="K11" i="25" s="1"/>
  <c r="H11" i="25"/>
  <c r="J11" i="25" s="1"/>
  <c r="I10" i="25"/>
  <c r="K10" i="25" s="1"/>
  <c r="H10" i="25"/>
  <c r="J10" i="25" s="1"/>
  <c r="I9" i="25"/>
  <c r="K9" i="25" s="1"/>
  <c r="H9" i="25"/>
  <c r="J9" i="25" s="1"/>
  <c r="I8" i="25"/>
  <c r="K8" i="25" s="1"/>
  <c r="H7" i="25"/>
  <c r="J7" i="25" s="1"/>
  <c r="AB45" i="25"/>
  <c r="E7" i="28"/>
  <c r="T27" i="23" s="1"/>
  <c r="E6" i="28"/>
  <c r="T23" i="23" s="1"/>
  <c r="H105" i="25"/>
  <c r="J105" i="25" s="1"/>
  <c r="I106" i="25"/>
  <c r="K106" i="25" s="1"/>
  <c r="I105" i="25"/>
  <c r="K105" i="25" s="1"/>
  <c r="I104" i="25"/>
  <c r="K104" i="25" s="1"/>
  <c r="I102" i="25"/>
  <c r="K102" i="25" s="1"/>
  <c r="N6" i="25"/>
  <c r="J101" i="25"/>
  <c r="J89" i="25"/>
  <c r="K86" i="25"/>
  <c r="J85" i="25"/>
  <c r="K82" i="25"/>
  <c r="J77" i="25"/>
  <c r="K72" i="25"/>
  <c r="K70" i="25"/>
  <c r="J60" i="25"/>
  <c r="J41" i="25"/>
  <c r="J29" i="25"/>
  <c r="K24" i="25"/>
  <c r="AC91" i="25"/>
  <c r="AC90" i="25"/>
  <c r="AC89" i="25"/>
  <c r="AB91" i="25"/>
  <c r="AB90" i="25"/>
  <c r="AB89" i="25"/>
  <c r="AA91" i="25"/>
  <c r="AA90" i="25"/>
  <c r="AA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N5" i="25"/>
  <c r="AN6" i="25" s="1"/>
  <c r="AN7" i="25" s="1"/>
  <c r="AN8" i="25" s="1"/>
  <c r="AN9" i="25" s="1"/>
  <c r="AN10" i="25" s="1"/>
  <c r="AN11" i="25" s="1"/>
  <c r="AN12" i="25" s="1"/>
  <c r="AN13" i="25" s="1"/>
  <c r="AN14" i="25" s="1"/>
  <c r="AN15" i="25" s="1"/>
  <c r="AN16" i="25" s="1"/>
  <c r="AN17" i="25" s="1"/>
  <c r="AN18" i="25" s="1"/>
  <c r="AN19" i="25" s="1"/>
  <c r="AN20" i="25" s="1"/>
  <c r="AN21" i="25" s="1"/>
  <c r="AN22" i="25" s="1"/>
  <c r="AN23" i="25" s="1"/>
  <c r="AN24" i="25" s="1"/>
  <c r="AN25" i="25" s="1"/>
  <c r="AN26" i="25" s="1"/>
  <c r="AN27" i="25" s="1"/>
  <c r="AN28" i="25" s="1"/>
  <c r="AN29" i="25" s="1"/>
  <c r="AN30" i="25" s="1"/>
  <c r="AN31" i="25" s="1"/>
  <c r="AN32" i="25" s="1"/>
  <c r="AN33" i="25" s="1"/>
  <c r="AN34" i="25" s="1"/>
  <c r="AN35" i="25" s="1"/>
  <c r="AN36" i="25" s="1"/>
  <c r="AN37" i="25" s="1"/>
  <c r="AN38" i="25" s="1"/>
  <c r="AN39" i="25" s="1"/>
  <c r="AN40" i="25" s="1"/>
  <c r="AN41" i="25" s="1"/>
  <c r="AN42" i="25" s="1"/>
  <c r="AN43" i="25" s="1"/>
  <c r="AN44" i="25" s="1"/>
  <c r="AN45" i="25" s="1"/>
  <c r="AN46" i="25" s="1"/>
  <c r="AN47" i="25" s="1"/>
  <c r="AN48" i="25" s="1"/>
  <c r="AN49" i="25" s="1"/>
  <c r="AN50" i="25" s="1"/>
  <c r="AN51" i="25" s="1"/>
  <c r="AN52" i="25" s="1"/>
  <c r="AN53" i="25" s="1"/>
  <c r="AN54" i="25" s="1"/>
  <c r="AN55" i="25" s="1"/>
  <c r="AN56" i="25" s="1"/>
  <c r="AN57" i="25" s="1"/>
  <c r="AN58" i="25" s="1"/>
  <c r="AN59" i="25" s="1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AN74" i="25" s="1"/>
  <c r="AN75" i="25" s="1"/>
  <c r="AN76" i="25" s="1"/>
  <c r="AN77" i="25" s="1"/>
  <c r="AN78" i="25" s="1"/>
  <c r="AN79" i="25" s="1"/>
  <c r="AN80" i="25" s="1"/>
  <c r="AN81" i="25" s="1"/>
  <c r="AN82" i="25" s="1"/>
  <c r="AN83" i="25" s="1"/>
  <c r="AN84" i="25" s="1"/>
  <c r="AN85" i="25" s="1"/>
  <c r="AN86" i="25" s="1"/>
  <c r="AN87" i="25" s="1"/>
  <c r="AN88" i="25" s="1"/>
  <c r="AN89" i="25" s="1"/>
  <c r="AN90" i="25" s="1"/>
  <c r="AN91" i="25" s="1"/>
  <c r="AN92" i="25" s="1"/>
  <c r="D6" i="27"/>
  <c r="D7" i="27"/>
  <c r="O7" i="27"/>
  <c r="N8" i="27"/>
  <c r="O8" i="27"/>
  <c r="O10" i="27"/>
  <c r="C20" i="27" s="1"/>
  <c r="F20" i="27" s="1"/>
  <c r="C19" i="27"/>
  <c r="C45" i="27"/>
  <c r="C47" i="27"/>
  <c r="K47" i="27"/>
  <c r="C58" i="27"/>
  <c r="L7" i="23"/>
  <c r="K51" i="27" l="1"/>
  <c r="X51" i="23"/>
  <c r="S55" i="23"/>
  <c r="V51" i="23"/>
  <c r="AC18" i="23"/>
  <c r="X55" i="23"/>
  <c r="W51" i="23"/>
  <c r="I45" i="27"/>
  <c r="U55" i="23"/>
  <c r="AC2" i="25"/>
  <c r="AC3" i="25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X57" i="23" s="1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L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A62" i="25"/>
  <c r="AB62" i="25" s="1"/>
  <c r="AB61" i="25" s="1"/>
  <c r="T40" i="23"/>
  <c r="C36" i="27" s="1"/>
  <c r="F36" i="27" s="1"/>
  <c r="K12" i="27"/>
  <c r="AB27" i="25"/>
  <c r="E10" i="27"/>
  <c r="F19" i="27" s="1"/>
  <c r="C34" i="27"/>
  <c r="F34" i="27" s="1"/>
  <c r="W47" i="23" l="1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Z59" i="23" s="1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S53" i="23" s="1"/>
  <c r="Z65" i="23" s="1"/>
  <c r="Z64" i="23"/>
  <c r="U79" i="23" l="1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AA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<sst xmlns="http://schemas.openxmlformats.org/spreadsheetml/2006/main" count="543" uniqueCount="323">
  <si>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</si>
  <si>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</si>
  <si>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</si>
  <si>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</si>
  <si>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</si>
  <si>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</si>
  <si>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</si>
  <si>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</si>
  <si>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</si>
  <si>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</si>
  <si>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</si>
  <si>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</si>
  <si>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</si>
  <si>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</si>
  <si>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</si>
  <si>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</si>
  <si>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</si>
  <si>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</si>
  <si>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</si>
  <si>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</si>
  <si>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</si>
  <si>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</si>
  <si>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</si>
  <si>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</si>
  <si>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</si>
  <si>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</si>
  <si>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</si>
  <si>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</si>
  <si>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</si>
  <si>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</si>
  <si>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</si>
  <si>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</si>
  <si>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</si>
  <si>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</si>
  <si>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</si>
  <si>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</si>
  <si>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</si>
  <si>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</si>
  <si>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</si>
  <si>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</si>
  <si>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</si>
  <si>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</si>
  <si>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</si>
  <si>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</si>
  <si>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</si>
  <si>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</si>
  <si>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</si>
  <si>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</si>
  <si>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</si>
  <si>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</si>
  <si>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</si>
  <si>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</si>
  <si>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</si>
  <si>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</si>
  <si>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</si>
  <si>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</si>
  <si>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</si>
  <si>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</si>
  <si>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</si>
  <si>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</si>
  <si>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</si>
  <si>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</si>
  <si>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</si>
  <si>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</si>
  <si>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</si>
  <si>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</si>
  <si>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</si>
  <si>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</si>
  <si>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</si>
  <si>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</si>
  <si>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</si>
  <si>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</si>
  <si>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</si>
  <si>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</si>
  <si>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</si>
  <si>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</si>
  <si>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</si>
  <si>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</si>
  <si>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</si>
  <si>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</si>
  <si>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</si>
  <si>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</si>
  <si>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</si>
  <si>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</si>
  <si>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</si>
  <si>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</si>
  <si>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</si>
  <si>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</si>
  <si>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</si>
  <si>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</si>
  <si>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</si>
  <si>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</si>
  <si>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</si>
  <si>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</si>
  <si>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</si>
  <si>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</si>
  <si>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</si>
  <si>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</si>
  <si>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</si>
  <si>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</si>
  <si>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</si>
  <si>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</si>
  <si>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</si>
  <si>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</si>
  <si>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</si>
  <si>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</si>
  <si>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</si>
  <si>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</si>
  <si>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</si>
  <si>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</si>
  <si>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</si>
  <si>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</si>
  <si>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</si>
  <si>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</si>
  <si>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</si>
  <si>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</si>
  <si>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</si>
  <si>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</si>
  <si>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</si>
  <si>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</si>
  <si>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</si>
  <si>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</si>
  <si>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</si>
  <si>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</si>
  <si>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</si>
  <si>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</si>
  <si>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</si>
  <si>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</si>
  <si>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</si>
  <si>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</si>
  <si>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</si>
  <si>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</si>
  <si>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</si>
  <si>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</si>
  <si>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</si>
  <si>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</si>
  <si>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</si>
  <si>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</si>
  <si>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</si>
  <si>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</si>
  <si>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</si>
  <si>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</si>
  <si>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</si>
  <si>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</si>
  <si>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</si>
  <si>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</si>
  <si>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</si>
  <si>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</si>
  <si>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</si>
  <si>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</si>
  <si>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</si>
  <si>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</si>
  <si>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</si>
  <si>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</si>
  <si>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</si>
  <si>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</si>
  <si>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</si>
  <si>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</si>
  <si>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</si>
  <si>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</si>
  <si>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</si>
  <si>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</si>
  <si>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</si>
  <si>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</si>
  <si>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</si>
  <si>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</si>
  <si>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</si>
  <si>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</si>
  <si>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</si>
  <si>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</si>
  <si>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</si>
  <si>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</si>
  <si>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</si>
  <si>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</si>
  <si>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</si>
  <si>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</si>
  <si>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</si>
  <si>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</si>
  <si>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</si>
  <si>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</si>
  <si>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</si>
  <si>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</si>
  <si>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</si>
  <si>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</si>
  <si>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</si>
  <si>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</si>
  <si>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</si>
  <si>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</si>
  <si>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</si>
  <si>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</si>
  <si>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</si>
  <si>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</si>
  <si>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</si>
  <si>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</si>
  <si>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</si>
  <si>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</si>
  <si>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</si>
  <si>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</si>
  <si>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</si>
  <si>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</si>
  <si>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</si>
  <si>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</si>
  <si>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</si>
  <si>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</si>
  <si>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</si>
  <si>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</si>
  <si>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</si>
  <si>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</si>
  <si>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</si>
  <si>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</si>
  <si>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</si>
  <si>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</si>
  <si>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</si>
  <si>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</si>
  <si>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</si>
  <si>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</si>
  <si>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</si>
  <si>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</si>
  <si>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</si>
  <si>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</si>
  <si>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</si>
  <si>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</si>
  <si>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</si>
  <si>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</si>
  <si>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</si>
  <si>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</si>
  <si>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</si>
  <si>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</si>
  <si>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</si>
  <si>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</si>
  <si>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</si>
  <si>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</si>
  <si>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</si>
  <si>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</si>
  <si>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</si>
  <si>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</si>
  <si>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</si>
  <si>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</si>
  <si>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</si>
  <si>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</si>
  <si>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</si>
  <si>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</si>
  <si>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</si>
  <si>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</si>
  <si>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</si>
  <si>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</si>
  <si>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</si>
  <si>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</si>
  <si>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</si>
  <si>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</si>
  <si>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</si>
  <si>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</si>
  <si>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</si>
  <si>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</si>
  <si>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</si>
  <si>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</si>
  <si>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</si>
  <si>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</si>
  <si>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</si>
  <si>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</si>
  <si>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</si>
  <si>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</si>
  <si>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</si>
  <si>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</si>
  <si>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</si>
  <si>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</si>
  <si>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</si>
  <si>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</si>
  <si>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</si>
  <si>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</si>
  <si>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</si>
  <si>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</si>
  <si>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</si>
  <si>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</si>
  <si>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</si>
  <si>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</si>
  <si>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</si>
  <si>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</si>
  <si>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</si>
  <si>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</si>
  <si>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</si>
  <si>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</si>
  <si>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</si>
  <si>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</si>
  <si>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</si>
  <si>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</si>
  <si>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</si>
  <si>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</si>
  <si>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</si>
  <si>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</si>
  <si>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</si>
  <si>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</si>
  <si>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</si>
  <si>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</si>
  <si>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</si>
  <si>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</si>
  <si>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</si>
  <si>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</si>
  <si>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</si>
  <si>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</si>
  <si>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</si>
  <si>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</si>
  <si>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</si>
  <si>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</si>
  <si>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</si>
  <si>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</si>
  <si>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</si>
  <si>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</si>
  <si>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</si>
  <si>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</si>
  <si>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</si>
  <si>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</si>
  <si>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</si>
  <si>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</si>
  <si>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</si>
  <si>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</si>
  <si>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</si>
  <si>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</si>
  <si>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</si>
  <si>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</si>
  <si>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</si>
  <si>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</si>
  <si>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GM Bx+ 2022. Versión: 4 23.08.31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</si>
</sst>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5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1" fillId="0" borderId="59" xfId="0" applyFont="1" applyFill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0" borderId="0" xfId="0" applyFont="1" applyAlignment="1" applyProtection="1">
      <alignment horizontal="center"/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0" fontId="117" fillId="0" borderId="17" xfId="0" applyFont="1" applyBorder="1" applyAlignment="1" applyProtection="1">
      <alignment horizontal="left" vertic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checked="Checked" fmlaLink="$L$25" lockText="1" noThreeD="1"/>
</file>

<file path=xl/ctrlProps/ctrlProp14.xml><?xml version="1.0" encoding="utf-8"?>
<formControlPr xmlns="http://schemas.microsoft.com/office/spreadsheetml/2009/9/main" objectType="CheckBox" checked="Checked" fmlaLink="$L$26" lockText="1" noThreeD="1"/>
</file>

<file path=xl/ctrlProps/ctrlProp15.xml><?xml version="1.0" encoding="utf-8"?>
<formControlPr xmlns="http://schemas.microsoft.com/office/spreadsheetml/2009/9/main" objectType="CheckBox" checked="Checked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B27" sqref="B27:M27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6">
        <v>1</v>
      </c>
    </row>
    <row r="2" spans="1:40" ht="23.5" x14ac:dyDescent="0.55000000000000004">
      <c r="B2" s="841"/>
      <c r="C2" s="841"/>
      <c r="D2" s="841"/>
      <c r="E2" s="841"/>
      <c r="F2" s="841"/>
      <c r="G2" s="841"/>
      <c r="H2" s="841"/>
      <c r="I2" s="841"/>
      <c r="J2" s="841"/>
      <c r="K2" s="841"/>
      <c r="L2" s="841"/>
      <c r="M2" s="841"/>
      <c r="N2" s="68"/>
      <c r="O2" s="19"/>
    </row>
    <row r="3" spans="1:40" ht="23.5" x14ac:dyDescent="0.55000000000000004"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68"/>
      <c r="O3" s="19"/>
      <c r="P3" s="496"/>
      <c r="R3" s="395" t="s">
        <v>287</v>
      </c>
      <c r="S3" s="127"/>
      <c r="T3" s="396" t="str">
        <f>IF(TRIM(S3)="VERDADERO","SI","NO")</f>
        <v>NO</v>
      </c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6" t="s">
        <v>252</v>
      </c>
      <c r="R4" s="397"/>
      <c r="S4" s="397"/>
      <c r="T4" s="397"/>
      <c r="U4" s="397"/>
      <c r="V4" s="397"/>
      <c r="W4" s="397"/>
      <c r="X4" s="398"/>
      <c r="Y4" s="398"/>
      <c r="Z4" s="397"/>
      <c r="AA4" s="552">
        <v>100000</v>
      </c>
      <c r="AB4" s="397"/>
      <c r="AC4" s="397"/>
      <c r="AD4" s="397"/>
      <c r="AE4" s="397"/>
      <c r="AN4" s="399"/>
    </row>
    <row r="5" spans="1:40" ht="16" thickBot="1" x14ac:dyDescent="0.4">
      <c r="B5" s="842" t="s">
        <v>98</v>
      </c>
      <c r="C5" s="842"/>
      <c r="D5" s="842"/>
      <c r="E5" s="842"/>
      <c r="F5" s="842"/>
      <c r="G5" s="842"/>
      <c r="H5" s="842"/>
      <c r="I5" s="842"/>
      <c r="J5" s="842"/>
      <c r="K5" s="842"/>
      <c r="L5" s="842"/>
      <c r="M5" s="842"/>
      <c r="N5" s="149"/>
      <c r="P5" s="496" t="s">
        <v>253</v>
      </c>
      <c r="R5" s="551" t="s">
        <v>86</v>
      </c>
      <c r="S5" s="401"/>
      <c r="T5" s="402"/>
      <c r="U5" s="403"/>
      <c r="V5" s="403"/>
      <c r="W5" s="553" t="s">
        <v>90</v>
      </c>
      <c r="X5" s="554" t="s">
        <v>36</v>
      </c>
      <c r="Y5" s="554" t="s">
        <v>36</v>
      </c>
      <c r="Z5" s="554" t="s">
        <v>93</v>
      </c>
      <c r="AA5" s="554" t="s">
        <v>96</v>
      </c>
      <c r="AB5" s="554" t="s">
        <v>56</v>
      </c>
      <c r="AC5" s="554" t="s">
        <v>71</v>
      </c>
      <c r="AD5" s="555" t="s">
        <v>90</v>
      </c>
      <c r="AE5" s="397"/>
      <c r="AG5" s="404" t="s">
        <v>0</v>
      </c>
      <c r="AH5" s="405" t="s">
        <v>89</v>
      </c>
    </row>
    <row r="6" spans="1:40" ht="15" customHeight="1" thickBot="1" x14ac:dyDescent="0.4">
      <c r="B6" s="695"/>
      <c r="C6" s="704"/>
      <c r="D6" s="705" t="s">
        <v>116</v>
      </c>
      <c r="E6" s="843"/>
      <c r="F6" s="844"/>
      <c r="G6" s="844"/>
      <c r="H6" s="844"/>
      <c r="I6" s="844"/>
      <c r="J6" s="845"/>
      <c r="K6" s="706"/>
      <c r="L6" s="707"/>
      <c r="M6" s="704"/>
      <c r="N6" s="150"/>
      <c r="P6" s="496" t="s">
        <v>254</v>
      </c>
      <c r="R6" s="565" t="s">
        <v>87</v>
      </c>
      <c r="S6" s="566" t="s">
        <v>131</v>
      </c>
      <c r="T6" s="566" t="s">
        <v>0</v>
      </c>
      <c r="U6" s="566" t="s">
        <v>53</v>
      </c>
      <c r="V6" s="566" t="s">
        <v>70</v>
      </c>
      <c r="W6" s="556" t="s">
        <v>36</v>
      </c>
      <c r="X6" s="557" t="s">
        <v>91</v>
      </c>
      <c r="Y6" s="557" t="s">
        <v>92</v>
      </c>
      <c r="Z6" s="557" t="s">
        <v>94</v>
      </c>
      <c r="AA6" s="557" t="s">
        <v>148</v>
      </c>
      <c r="AB6" s="557" t="s">
        <v>97</v>
      </c>
      <c r="AC6" s="557" t="s">
        <v>142</v>
      </c>
      <c r="AD6" s="558" t="s">
        <v>144</v>
      </c>
      <c r="AE6" s="397"/>
      <c r="AG6" s="406">
        <v>0</v>
      </c>
      <c r="AH6" s="407">
        <v>0</v>
      </c>
    </row>
    <row r="7" spans="1:40" ht="15" customHeight="1" x14ac:dyDescent="0.35">
      <c r="B7" s="695"/>
      <c r="C7" s="704"/>
      <c r="D7" s="705" t="s">
        <v>117</v>
      </c>
      <c r="E7" s="846"/>
      <c r="F7" s="847"/>
      <c r="G7" s="847"/>
      <c r="H7" s="847"/>
      <c r="I7" s="847"/>
      <c r="J7" s="848"/>
      <c r="K7" s="708" t="s">
        <v>172</v>
      </c>
      <c r="L7" s="637">
        <f ca="1">TODAY()</f>
        <v>44994</v>
      </c>
      <c r="M7" s="707"/>
      <c r="N7" s="151"/>
      <c r="O7" s="630"/>
      <c r="P7" s="496" t="s">
        <v>255</v>
      </c>
      <c r="R7" s="559"/>
      <c r="S7" s="560"/>
      <c r="T7" s="560"/>
      <c r="U7" s="560"/>
      <c r="V7" s="560"/>
      <c r="W7" s="589"/>
      <c r="X7" s="590"/>
      <c r="Y7" s="590"/>
      <c r="Z7" s="590"/>
      <c r="AA7" s="590"/>
      <c r="AB7" s="590"/>
      <c r="AC7" s="591"/>
      <c r="AD7" s="592"/>
      <c r="AE7" s="397"/>
      <c r="AG7" s="406">
        <f t="shared" ref="AG7:AG38" si="0">AG6+1</f>
        <v>1</v>
      </c>
      <c r="AH7" s="407">
        <v>1</v>
      </c>
    </row>
    <row r="8" spans="1:40" x14ac:dyDescent="0.35">
      <c r="B8" s="695"/>
      <c r="C8" s="704"/>
      <c r="D8" s="705" t="s">
        <v>171</v>
      </c>
      <c r="E8" s="709"/>
      <c r="F8" s="635"/>
      <c r="G8" s="635"/>
      <c r="H8" s="643"/>
      <c r="I8" s="641"/>
      <c r="J8" s="641"/>
      <c r="K8" s="708" t="s">
        <v>224</v>
      </c>
      <c r="L8" s="704"/>
      <c r="M8" s="704"/>
      <c r="N8" s="150"/>
      <c r="P8" s="496" t="s">
        <v>256</v>
      </c>
      <c r="Q8" s="495"/>
      <c r="R8" s="561" t="s">
        <v>80</v>
      </c>
      <c r="S8" s="562" t="str">
        <f>IF(P15=TRUE,"AMPARADA","")</f>
        <v/>
      </c>
      <c r="T8" s="562" t="str">
        <f ca="1">IF($K$11="","-",IF($G$11="EDAD",IF(I15="","",I15),IF(G15="","",DATEDIF(G15,TODAY(),"y"))))</f>
        <v/>
      </c>
      <c r="U8" s="562">
        <f>K15</f>
        <v>0</v>
      </c>
      <c r="V8" s="562" t="s">
        <v>75</v>
      </c>
      <c r="W8" s="468" t="str">
        <f>IF(U8="HOMBRE",4,IF(U8="MUJER",5,""))</f>
        <v/>
      </c>
      <c r="X8" s="593" t="str">
        <f>IF(S8="AMPARADA",VLOOKUP(VLOOKUP(T8,$AG$6:$AH$105,2,0),Tablas!$E$7:$K$106,Cotizador!W8,0),"")</f>
        <v/>
      </c>
      <c r="Y8" s="593" t="str">
        <f>IF(S8="AMPARADA",VLOOKUP(VLOOKUP(T8,$AG$6:$AH$105,2,0),Tablas!$E$113:$K$164,Cotizador!W8,0),"")</f>
        <v/>
      </c>
      <c r="Z8" s="594" t="str">
        <f>IF(S8="AMPARADA",VLOOKUP(V8,Tablas!$AA$35:$AB$42,2,0),"")</f>
        <v/>
      </c>
      <c r="AA8" s="593" t="str">
        <f>IF(S8="AMPARADA",IF(AND(T8&gt;=18,T8&lt;=64),$AA$4*VLOOKUP(T8,Tablas!$M$38:$O$84,AD8,0)/1000,0),"")</f>
        <v/>
      </c>
      <c r="AB8" s="595" t="str">
        <f>IF(S8="AMPARADA",IF(T8&lt;12,VLOOKUP(12,Tablas!$AN$4:$AO$92,2,0),VLOOKUP(T8,Tablas!$AN$4:$AO$92,2,0)),"")</f>
        <v/>
      </c>
      <c r="AC8" s="596">
        <f>IF(S8="AMPARADA",IF(AND(T8&lt;12,$U$28="NACIONAL"),AA35,IF(AND(T8&gt;=12,$U$28="NACIONAL"),AB35,IF(AND(T8&lt;12,$U$28="INTERNACIONAL"),AB35,IF(AND(T8&gt;=12,$U$28="INTERNACIONAL"),AC35,0)))),0)</f>
        <v>0</v>
      </c>
      <c r="AD8" s="597" t="str">
        <f>IF(U8="HOMBRE",2,IF(U8="MUJER",3,""))</f>
        <v/>
      </c>
      <c r="AE8" s="397"/>
      <c r="AG8" s="406">
        <f t="shared" si="0"/>
        <v>2</v>
      </c>
      <c r="AH8" s="407">
        <v>2</v>
      </c>
    </row>
    <row r="9" spans="1:40" x14ac:dyDescent="0.35">
      <c r="B9" s="710"/>
      <c r="C9" s="710"/>
      <c r="D9" s="710"/>
      <c r="E9" s="710"/>
      <c r="F9" s="710"/>
      <c r="G9" s="710"/>
      <c r="H9" s="710"/>
      <c r="I9" s="710"/>
      <c r="J9" s="710"/>
      <c r="K9" s="711"/>
      <c r="L9" s="710"/>
      <c r="M9" s="710"/>
      <c r="N9" s="150"/>
      <c r="P9" s="497"/>
      <c r="R9" s="559"/>
      <c r="S9" s="562"/>
      <c r="T9" s="562"/>
      <c r="U9" s="562"/>
      <c r="V9" s="562"/>
      <c r="W9" s="468"/>
      <c r="X9" s="593"/>
      <c r="Y9" s="593"/>
      <c r="Z9" s="598"/>
      <c r="AA9" s="593"/>
      <c r="AB9" s="595"/>
      <c r="AC9" s="596"/>
      <c r="AD9" s="597"/>
      <c r="AE9" s="397"/>
      <c r="AG9" s="406">
        <f t="shared" si="0"/>
        <v>3</v>
      </c>
      <c r="AH9" s="407">
        <v>3</v>
      </c>
    </row>
    <row r="10" spans="1:40" s="13" customFormat="1" x14ac:dyDescent="0.35">
      <c r="B10" s="704"/>
      <c r="C10" s="712"/>
      <c r="D10" s="712"/>
      <c r="E10" s="704"/>
      <c r="F10" s="704"/>
      <c r="G10" s="853" t="s">
        <v>264</v>
      </c>
      <c r="H10" s="853"/>
      <c r="I10" s="853"/>
      <c r="J10" s="704"/>
      <c r="K10" s="853" t="s">
        <v>295</v>
      </c>
      <c r="L10" s="853"/>
      <c r="M10" s="735"/>
      <c r="P10" s="498" t="s">
        <v>299</v>
      </c>
      <c r="Q10" s="491"/>
      <c r="R10" s="561" t="s">
        <v>81</v>
      </c>
      <c r="S10" s="562" t="str">
        <f>IF(P17=TRUE,"AMPARADA","")</f>
        <v/>
      </c>
      <c r="T10" s="562" t="str">
        <f ca="1">IF($K$11="","-",IF($G$11="EDAD",IF(I17="","",I17),IF(G17="","",DATEDIF(G17,TODAY(),"y"))))</f>
        <v/>
      </c>
      <c r="U10" s="562">
        <f>K17</f>
        <v>0</v>
      </c>
      <c r="V10" s="562" t="s">
        <v>75</v>
      </c>
      <c r="W10" s="468" t="str">
        <f>IF(U10="HOMBRE",4,IF(U10="MUJER",5,""))</f>
        <v/>
      </c>
      <c r="X10" s="593" t="str">
        <f>IF(S10="AMPARADA",VLOOKUP(VLOOKUP(T10,$AG$6:$AH$105,2,0),Tablas!$E$7:$K$106,Cotizador!W10,0),"")</f>
        <v/>
      </c>
      <c r="Y10" s="593" t="str">
        <f>IF(S10="AMPARADA",VLOOKUP(VLOOKUP(T10,$AG$6:$AH$105,2,0),Tablas!$E$113:$K$164,Cotizador!W10,0),"")</f>
        <v/>
      </c>
      <c r="Z10" s="594" t="str">
        <f>IF(S10="AMPARADA",VLOOKUP(V10,Tablas!$AA$35:$AB$42,2,0),"")</f>
        <v/>
      </c>
      <c r="AA10" s="593" t="str">
        <f>IF(S10="AMPARADA",IF(AND(T10&gt;=18,T10&lt;=64),$AA$4*VLOOKUP(T10,Tablas!$M$38:$O$84,AD10,0)/1000,0),"")</f>
        <v/>
      </c>
      <c r="AB10" s="595" t="str">
        <f>IF(S10="AMPARADA",IF(T10&lt;12,VLOOKUP(12,Tablas!$AN$4:$AO$92,2,0),VLOOKUP(T10,Tablas!$AN$4:$AO$92,2,0)),"")</f>
        <v/>
      </c>
      <c r="AC10" s="596">
        <f>IF(S10="AMPARADA",IF(AND(T10&lt;12,$U$28="NACIONAL"),AA35,IF(AND(T10&gt;=12,$U$28="NACIONAL"),AB35,IF(AND(T10&lt;12,$U$28="INTERNACIONAL"),AB35,IF(AND(T10&gt;=12,$U$28="INTERNACIONAL"),AC35,0)))),0)</f>
        <v>0</v>
      </c>
      <c r="AD10" s="597" t="str">
        <f>IF(U10="HOMBRE",2,IF(U10="MUJER",3,""))</f>
        <v/>
      </c>
      <c r="AE10" s="136"/>
      <c r="AF10" s="394"/>
      <c r="AG10" s="406">
        <f t="shared" si="0"/>
        <v>4</v>
      </c>
      <c r="AH10" s="407">
        <v>4</v>
      </c>
      <c r="AI10" s="394"/>
      <c r="AJ10" s="394"/>
      <c r="AK10" s="394"/>
      <c r="AL10" s="394"/>
      <c r="AM10" s="394"/>
      <c r="AN10" s="394"/>
    </row>
    <row r="11" spans="1:40" x14ac:dyDescent="0.35">
      <c r="A11" s="13"/>
      <c r="B11" s="704"/>
      <c r="C11" s="712"/>
      <c r="D11" s="712"/>
      <c r="E11" s="704"/>
      <c r="F11" s="704"/>
      <c r="G11" s="854" t="s">
        <v>0</v>
      </c>
      <c r="H11" s="854"/>
      <c r="I11" s="854"/>
      <c r="J11" s="704"/>
      <c r="K11" s="856" t="s">
        <v>304</v>
      </c>
      <c r="L11" s="856"/>
      <c r="M11" s="496"/>
      <c r="O11" s="13"/>
      <c r="P11" s="497" t="str">
        <f>K11</f>
        <v>SI</v>
      </c>
      <c r="R11" s="559"/>
      <c r="S11" s="562"/>
      <c r="T11" s="562"/>
      <c r="U11" s="562"/>
      <c r="V11" s="562"/>
      <c r="W11" s="468"/>
      <c r="X11" s="593"/>
      <c r="Y11" s="593"/>
      <c r="Z11" s="598"/>
      <c r="AA11" s="593"/>
      <c r="AB11" s="595"/>
      <c r="AC11" s="596"/>
      <c r="AD11" s="597"/>
      <c r="AE11" s="397"/>
      <c r="AG11" s="406">
        <f>AG10+1</f>
        <v>5</v>
      </c>
      <c r="AH11" s="409">
        <v>5</v>
      </c>
    </row>
    <row r="12" spans="1:40" x14ac:dyDescent="0.35">
      <c r="A12" s="13"/>
      <c r="B12" s="704"/>
      <c r="C12" s="712"/>
      <c r="D12" s="712"/>
      <c r="E12" s="704"/>
      <c r="F12" s="704"/>
      <c r="G12" s="713"/>
      <c r="H12" s="713"/>
      <c r="I12" s="713"/>
      <c r="J12" s="704"/>
      <c r="K12" s="704"/>
      <c r="L12" s="704"/>
      <c r="M12" s="704"/>
      <c r="O12" s="13"/>
      <c r="R12" s="561" t="s">
        <v>82</v>
      </c>
      <c r="S12" s="562" t="str">
        <f>IF(P19=TRUE,"AMPARADA","")</f>
        <v/>
      </c>
      <c r="T12" s="562" t="str">
        <f ca="1">IF($K$11="","-",IF($G$11="EDAD",IF(I19="","",I19),IF(G19="","",DATEDIF(G19,TODAY(),"y"))))</f>
        <v/>
      </c>
      <c r="U12" s="562">
        <f>K19</f>
        <v>0</v>
      </c>
      <c r="V12" s="562" t="s">
        <v>75</v>
      </c>
      <c r="W12" s="468" t="str">
        <f>IF(U12="HOMBRE",4,IF(U12="MUJER",5,""))</f>
        <v/>
      </c>
      <c r="X12" s="593" t="str">
        <f>IF(S12="AMPARADA",VLOOKUP(VLOOKUP(T12,$AG$6:$AH$105,2,0),Tablas!$E$7:$K$106,Cotizador!W12,0),"")</f>
        <v/>
      </c>
      <c r="Y12" s="593" t="str">
        <f>IF(S12="AMPARADA",VLOOKUP(VLOOKUP(T12,$AG$6:$AH$105,2,0),Tablas!$E$113:$K$164,Cotizador!W12,0),"")</f>
        <v/>
      </c>
      <c r="Z12" s="594" t="str">
        <f>IF(S12="AMPARADA",VLOOKUP(V12,Tablas!$AA$35:$AB$42,2,0),"")</f>
        <v/>
      </c>
      <c r="AA12" s="593" t="str">
        <f>IF(S12="AMPARADA",IF(AND(T12&gt;=18,T12&lt;=64),$AA$4*VLOOKUP(T12,Tablas!$M$38:$O$84,AD12,0)/1000,0),"")</f>
        <v/>
      </c>
      <c r="AB12" s="595" t="str">
        <f>IF(S12="AMPARADA",IF(T12&lt;12,VLOOKUP(12,Tablas!$AN$4:$AO$92,2,0),VLOOKUP(T12,Tablas!$AN$4:$AO$92,2,0)),"")</f>
        <v/>
      </c>
      <c r="AC12" s="596">
        <f>IF(S12="AMPARADA",IF(AND(T12&lt;12,$U$28="NACIONAL"),AA35,IF(AND(T12&gt;=12,$U$28="NACIONAL"),AB35,IF(AND(T12&lt;12,$U$28="INTERNACIONAL"),AB35,IF(AND(T12&gt;=12,$U$28="INTERNACIONAL"),AC35,0)))),0)</f>
        <v>0</v>
      </c>
      <c r="AD12" s="597" t="str">
        <f>IF(U12="HOMBRE",2,IF(U12="MUJER",3,""))</f>
        <v/>
      </c>
      <c r="AE12" s="397"/>
      <c r="AG12" s="406">
        <f t="shared" si="0"/>
        <v>6</v>
      </c>
      <c r="AH12" s="409">
        <v>6</v>
      </c>
    </row>
    <row r="13" spans="1:40" x14ac:dyDescent="0.35">
      <c r="A13" s="13"/>
      <c r="B13" s="855" t="s">
        <v>87</v>
      </c>
      <c r="C13" s="855"/>
      <c r="D13" s="855"/>
      <c r="E13" s="714" t="s">
        <v>99</v>
      </c>
      <c r="F13" s="715"/>
      <c r="G13" s="716" t="s">
        <v>263</v>
      </c>
      <c r="H13" s="716" t="s">
        <v>251</v>
      </c>
      <c r="I13" s="716" t="s">
        <v>0</v>
      </c>
      <c r="J13" s="717"/>
      <c r="K13" s="714" t="s">
        <v>53</v>
      </c>
      <c r="L13" s="704"/>
      <c r="M13" s="704"/>
      <c r="O13" s="13"/>
      <c r="R13" s="559"/>
      <c r="S13" s="562"/>
      <c r="T13" s="562"/>
      <c r="U13" s="562"/>
      <c r="V13" s="562"/>
      <c r="W13" s="468"/>
      <c r="X13" s="593"/>
      <c r="Y13" s="593"/>
      <c r="Z13" s="598"/>
      <c r="AA13" s="593"/>
      <c r="AB13" s="595"/>
      <c r="AC13" s="596"/>
      <c r="AD13" s="597"/>
      <c r="AE13" s="397"/>
      <c r="AG13" s="406">
        <f t="shared" si="0"/>
        <v>7</v>
      </c>
      <c r="AH13" s="409">
        <v>7</v>
      </c>
    </row>
    <row r="14" spans="1:40" x14ac:dyDescent="0.35">
      <c r="A14" s="13"/>
      <c r="B14" s="704"/>
      <c r="C14" s="718"/>
      <c r="D14" s="718"/>
      <c r="E14" s="718"/>
      <c r="F14" s="704"/>
      <c r="G14" s="713"/>
      <c r="H14" s="713"/>
      <c r="I14" s="713"/>
      <c r="J14" s="718"/>
      <c r="K14" s="718"/>
      <c r="L14" s="704"/>
      <c r="M14" s="704"/>
      <c r="O14" s="13"/>
      <c r="R14" s="561" t="s">
        <v>83</v>
      </c>
      <c r="S14" s="562" t="str">
        <f>IF(P21=TRUE,"AMPARADA","")</f>
        <v/>
      </c>
      <c r="T14" s="562" t="str">
        <f ca="1">IF($K$11="","-",IF($G$11="EDAD",IF(I21="","",I21),IF(G21="","",DATEDIF(G21,TODAY(),"y"))))</f>
        <v/>
      </c>
      <c r="U14" s="562">
        <f>K21</f>
        <v>0</v>
      </c>
      <c r="V14" s="562" t="s">
        <v>75</v>
      </c>
      <c r="W14" s="468" t="str">
        <f>IF(U14="HOMBRE",4,IF(U14="MUJER",5,""))</f>
        <v/>
      </c>
      <c r="X14" s="593" t="str">
        <f>IF(S14="AMPARADA",VLOOKUP(VLOOKUP(T14,$AG$6:$AH$105,2,0),Tablas!$E$7:$K$106,Cotizador!W14,0),"")</f>
        <v/>
      </c>
      <c r="Y14" s="593" t="str">
        <f>IF(S14="AMPARADA",VLOOKUP(VLOOKUP(T14,$AG$6:$AH$105,2,0),Tablas!$E$113:$K$164,Cotizador!W14,0),"")</f>
        <v/>
      </c>
      <c r="Z14" s="594" t="str">
        <f>IF(S14="AMPARADA",VLOOKUP(V14,Tablas!$AA$35:$AB$42,2,0),"")</f>
        <v/>
      </c>
      <c r="AA14" s="593" t="str">
        <f>IF(S14="AMPARADA",IF(AND(T14&gt;=18,T14&lt;=64),$AA$4*VLOOKUP(T14,Tablas!$M$38:$O$84,AD14,0)/1000,0),"")</f>
        <v/>
      </c>
      <c r="AB14" s="595" t="str">
        <f>IF(S14="AMPARADA",IF(T14&lt;12,VLOOKUP(12,Tablas!$AN$4:$AO$92,2,0),VLOOKUP(T14,Tablas!$AN$4:$AO$92,2,0)),"")</f>
        <v/>
      </c>
      <c r="AC14" s="599">
        <f>IF(S14="AMPARADA",IF(AND(T14&lt;12,$U$28="NACIONAL"),AA35,IF(AND(T14&gt;=12,$U$28="NACIONAL"),AB35,IF(AND(T14&lt;12,$U$28="INTERNACIONAL"),AB35,IF(AND(T14&gt;=12,$U$28="INTERNACIONAL"),AC35,0)))),0)</f>
        <v>0</v>
      </c>
      <c r="AD14" s="600" t="str">
        <f>IF(U14="HOMBRE",2,IF(U14="MUJER",3,""))</f>
        <v/>
      </c>
      <c r="AE14" s="410"/>
      <c r="AG14" s="406">
        <f t="shared" si="0"/>
        <v>8</v>
      </c>
      <c r="AH14" s="409">
        <v>8</v>
      </c>
    </row>
    <row r="15" spans="1:40" ht="15" thickBot="1" x14ac:dyDescent="0.4">
      <c r="A15" s="13"/>
      <c r="B15" s="704"/>
      <c r="C15" s="719" t="s">
        <v>80</v>
      </c>
      <c r="D15" s="720"/>
      <c r="E15" s="721"/>
      <c r="F15" s="633"/>
      <c r="G15" s="722"/>
      <c r="H15" s="723"/>
      <c r="I15" s="724"/>
      <c r="J15" s="725"/>
      <c r="K15" s="726"/>
      <c r="L15" s="704"/>
      <c r="M15" s="704"/>
      <c r="O15" s="13"/>
      <c r="P15" s="512" t="b">
        <v>0</v>
      </c>
      <c r="R15" s="559"/>
      <c r="S15" s="562"/>
      <c r="T15" s="562"/>
      <c r="U15" s="562"/>
      <c r="V15" s="562"/>
      <c r="W15" s="601"/>
      <c r="X15" s="602"/>
      <c r="Y15" s="602"/>
      <c r="Z15" s="594"/>
      <c r="AA15" s="602"/>
      <c r="AB15" s="603"/>
      <c r="AC15" s="604"/>
      <c r="AD15" s="600"/>
      <c r="AE15" s="411"/>
      <c r="AG15" s="406">
        <f t="shared" si="0"/>
        <v>9</v>
      </c>
      <c r="AH15" s="409">
        <v>9</v>
      </c>
    </row>
    <row r="16" spans="1:40" x14ac:dyDescent="0.35">
      <c r="A16" s="13"/>
      <c r="B16" s="704"/>
      <c r="C16" s="719"/>
      <c r="D16" s="718"/>
      <c r="E16" s="727"/>
      <c r="F16" s="633"/>
      <c r="G16" s="738"/>
      <c r="H16" s="723"/>
      <c r="I16" s="737"/>
      <c r="J16" s="725"/>
      <c r="K16" s="633"/>
      <c r="L16" s="704"/>
      <c r="M16" s="704"/>
      <c r="O16" s="13"/>
      <c r="P16" s="513"/>
      <c r="R16" s="561" t="s">
        <v>84</v>
      </c>
      <c r="S16" s="562" t="str">
        <f>IF(P23=TRUE,"AMPARADA","")</f>
        <v/>
      </c>
      <c r="T16" s="562" t="str">
        <f ca="1">IF($K$11="","-",IF($G$11="EDAD",IF(I23="","",I23),IF(G23="","",DATEDIF(G23,TODAY(),"y"))))</f>
        <v/>
      </c>
      <c r="U16" s="562">
        <f>K23</f>
        <v>0</v>
      </c>
      <c r="V16" s="562" t="s">
        <v>75</v>
      </c>
      <c r="W16" s="468" t="str">
        <f>IF(U16="HOMBRE",4,IF(U16="MUJER",5,""))</f>
        <v/>
      </c>
      <c r="X16" s="593" t="str">
        <f>IF(S16="AMPARADA",VLOOKUP(VLOOKUP(T16,$AG$6:$AH$105,2,0),Tablas!$E$7:$K$106,Cotizador!W16,0),"")</f>
        <v/>
      </c>
      <c r="Y16" s="593" t="str">
        <f>IF(S16="AMPARADA",VLOOKUP(VLOOKUP(T16,$AG$6:$AH$105,2,0),Tablas!$E$113:$K$164,Cotizador!W16,0),"")</f>
        <v/>
      </c>
      <c r="Z16" s="594" t="str">
        <f>IF(S16="AMPARADA",VLOOKUP(V16,Tablas!$AA$35:$AB$42,2,0),"")</f>
        <v/>
      </c>
      <c r="AA16" s="593" t="str">
        <f>IF(S16="AMPARADA",IF(AND(T16&gt;=18,T16&lt;=64),$AA$4*VLOOKUP(T16,Tablas!$M$38:$O$84,AD16,0)/1000,0),"")</f>
        <v/>
      </c>
      <c r="AB16" s="595" t="str">
        <f>IF(S16="AMPARADA",IF(T16&lt;12,VLOOKUP(12,Tablas!$AN$4:$AO$92,2,0),VLOOKUP(T16,Tablas!$AN$4:$AO$92,2,0)),"")</f>
        <v/>
      </c>
      <c r="AC16" s="599">
        <f>IF(S16="AMPARADA",IF(AND(T16&lt;12,$U$28="NACIONAL"),AA35,IF(AND(T16&gt;=12,$U$28="NACIONAL"),AB35,IF(AND(T16&lt;12,$U$28="INTERNACIONAL"),AB35,IF(AND(T16&gt;=12,$U$28="INTERNACIONAL"),AC35,0)))),0)</f>
        <v>0</v>
      </c>
      <c r="AD16" s="600" t="str">
        <f>IF(U16="HOMBRE",2,IF(U16="MUJER",3,""))</f>
        <v/>
      </c>
      <c r="AE16" s="410"/>
      <c r="AG16" s="406">
        <f t="shared" si="0"/>
        <v>10</v>
      </c>
      <c r="AH16" s="409">
        <v>10</v>
      </c>
    </row>
    <row r="17" spans="1:34" ht="15" thickBot="1" x14ac:dyDescent="0.4">
      <c r="A17" s="13"/>
      <c r="B17" s="704"/>
      <c r="C17" s="719" t="s">
        <v>81</v>
      </c>
      <c r="D17" s="720"/>
      <c r="E17" s="728"/>
      <c r="F17" s="633"/>
      <c r="G17" s="722"/>
      <c r="H17" s="723"/>
      <c r="I17" s="724"/>
      <c r="J17" s="725"/>
      <c r="K17" s="726"/>
      <c r="L17" s="704"/>
      <c r="M17" s="704"/>
      <c r="O17" s="13"/>
      <c r="P17" s="512" t="b">
        <v>0</v>
      </c>
      <c r="R17" s="559"/>
      <c r="S17" s="562"/>
      <c r="T17" s="562"/>
      <c r="U17" s="562"/>
      <c r="V17" s="562"/>
      <c r="W17" s="601"/>
      <c r="X17" s="602"/>
      <c r="Y17" s="602"/>
      <c r="Z17" s="605"/>
      <c r="AA17" s="602"/>
      <c r="AB17" s="603"/>
      <c r="AC17" s="604"/>
      <c r="AD17" s="600"/>
      <c r="AE17" s="410"/>
      <c r="AF17" s="412"/>
      <c r="AG17" s="406">
        <f t="shared" si="0"/>
        <v>11</v>
      </c>
      <c r="AH17" s="409">
        <v>11</v>
      </c>
    </row>
    <row r="18" spans="1:34" ht="15" thickBot="1" x14ac:dyDescent="0.4">
      <c r="A18" s="13"/>
      <c r="B18" s="704"/>
      <c r="C18" s="730" t="s">
        <v>293</v>
      </c>
      <c r="D18" s="712"/>
      <c r="E18" s="641"/>
      <c r="F18" s="633"/>
      <c r="G18" s="737"/>
      <c r="H18" s="723"/>
      <c r="I18" s="739"/>
      <c r="J18" s="633"/>
      <c r="K18" s="686"/>
      <c r="L18" s="704"/>
      <c r="M18" s="704"/>
      <c r="O18" s="13"/>
      <c r="P18" s="513"/>
      <c r="R18" s="563" t="s">
        <v>85</v>
      </c>
      <c r="S18" s="564" t="str">
        <f>IF(P25=TRUE,"AMPARADA","")</f>
        <v/>
      </c>
      <c r="T18" s="564" t="str">
        <f ca="1">IF($K$11="","-",IF($G$11="EDAD",IF(I25="","",I25),IF(G25="","",DATEDIF(G25,TODAY(),"y"))))</f>
        <v/>
      </c>
      <c r="U18" s="564">
        <f>K25</f>
        <v>0</v>
      </c>
      <c r="V18" s="564" t="s">
        <v>75</v>
      </c>
      <c r="W18" s="606" t="str">
        <f>IF(U18="HOMBRE",4,IF(U18="MUJER",5,""))</f>
        <v/>
      </c>
      <c r="X18" s="607" t="str">
        <f>IF(S18="AMPARADA",VLOOKUP(VLOOKUP(T18,$AG$6:$AH$105,2,0),Tablas!$E$7:$K$106,Cotizador!W18,0),"")</f>
        <v/>
      </c>
      <c r="Y18" s="607" t="str">
        <f>IF(S18="AMPARADA",VLOOKUP(VLOOKUP(T18,$AG$6:$AH$105,2,0),Tablas!$E$113:$K$164,Cotizador!W18,0),"")</f>
        <v/>
      </c>
      <c r="Z18" s="608" t="str">
        <f>IF(S18="AMPARADA",VLOOKUP(V18,Tablas!$AA$35:$AB$42,2,0),"")</f>
        <v/>
      </c>
      <c r="AA18" s="607" t="str">
        <f>IF(S18="AMPARADA",IF(AND(T18&gt;=18,T18&lt;=64),$AA$4*VLOOKUP(T18,Tablas!$M$38:$O$84,AD18,0)/1000,0),"")</f>
        <v/>
      </c>
      <c r="AB18" s="609" t="str">
        <f>IF(S18="AMPARADA",IF(T18&lt;12,VLOOKUP(12,Tablas!$AN$4:$AO$92,2,0),VLOOKUP(T18,Tablas!$AN$4:$AO$92,2,0)),"")</f>
        <v/>
      </c>
      <c r="AC18" s="610">
        <f>IF(S18="AMPARADA",IF(AND(T18&lt;12,$U$28="NACIONAL"),AA35,IF(AND(T18&gt;=12,$U$28="NACIONAL"),AB35,IF(AND(T18&lt;12,$U$28="INTERNACIONAL"),AB35,IF(AND(T18&gt;=12,$U$28="INTERNACIONAL"),AC35,0)))),0)</f>
        <v>0</v>
      </c>
      <c r="AD18" s="611" t="str">
        <f>IF(U18="HOMBRE",2,IF(U18="MUJER",3,""))</f>
        <v/>
      </c>
      <c r="AE18" s="410"/>
      <c r="AG18" s="406">
        <f t="shared" si="0"/>
        <v>12</v>
      </c>
      <c r="AH18" s="409">
        <v>12</v>
      </c>
    </row>
    <row r="19" spans="1:34" ht="15" thickBot="1" x14ac:dyDescent="0.4">
      <c r="A19" s="13"/>
      <c r="B19" s="704"/>
      <c r="C19" s="730" t="s">
        <v>82</v>
      </c>
      <c r="D19" s="720"/>
      <c r="E19" s="728"/>
      <c r="F19" s="633"/>
      <c r="G19" s="722"/>
      <c r="H19" s="723"/>
      <c r="I19" s="729"/>
      <c r="J19" s="633"/>
      <c r="K19" s="726"/>
      <c r="L19" s="704"/>
      <c r="M19" s="704"/>
      <c r="O19" s="13"/>
      <c r="P19" s="512" t="b">
        <v>0</v>
      </c>
      <c r="R19" s="397"/>
      <c r="S19" s="397"/>
      <c r="T19" s="397"/>
      <c r="U19" s="397"/>
      <c r="V19" s="397"/>
      <c r="W19" s="410"/>
      <c r="X19" s="410"/>
      <c r="Y19" s="410"/>
      <c r="Z19" s="410"/>
      <c r="AA19" s="410"/>
      <c r="AB19" s="410"/>
      <c r="AC19" s="410"/>
      <c r="AD19" s="410"/>
      <c r="AE19" s="410"/>
      <c r="AG19" s="406">
        <f t="shared" si="0"/>
        <v>13</v>
      </c>
      <c r="AH19" s="409">
        <v>13</v>
      </c>
    </row>
    <row r="20" spans="1:34" x14ac:dyDescent="0.35">
      <c r="A20" s="13"/>
      <c r="B20" s="704"/>
      <c r="C20" s="730"/>
      <c r="D20" s="712"/>
      <c r="E20" s="641"/>
      <c r="F20" s="633"/>
      <c r="G20" s="737"/>
      <c r="H20" s="723"/>
      <c r="I20" s="737"/>
      <c r="J20" s="633"/>
      <c r="K20" s="633"/>
      <c r="L20" s="704"/>
      <c r="M20" s="704"/>
      <c r="O20" s="13"/>
      <c r="P20" s="513"/>
      <c r="R20" s="397"/>
      <c r="S20" s="397"/>
      <c r="T20" s="397"/>
      <c r="U20" s="397"/>
      <c r="V20" s="397"/>
      <c r="W20" s="410"/>
      <c r="X20" s="410"/>
      <c r="Y20" s="410"/>
      <c r="Z20" s="410"/>
      <c r="AA20" s="410"/>
      <c r="AB20" s="410"/>
      <c r="AC20" s="410"/>
      <c r="AD20" s="410"/>
      <c r="AE20" s="410"/>
      <c r="AG20" s="406">
        <f t="shared" si="0"/>
        <v>14</v>
      </c>
      <c r="AH20" s="409">
        <v>14</v>
      </c>
    </row>
    <row r="21" spans="1:34" ht="16" thickBot="1" x14ac:dyDescent="0.4">
      <c r="A21" s="13"/>
      <c r="B21" s="704"/>
      <c r="C21" s="730" t="s">
        <v>83</v>
      </c>
      <c r="D21" s="720"/>
      <c r="E21" s="728"/>
      <c r="F21" s="633"/>
      <c r="G21" s="722"/>
      <c r="H21" s="723"/>
      <c r="I21" s="729"/>
      <c r="J21" s="633"/>
      <c r="K21" s="726"/>
      <c r="L21" s="704"/>
      <c r="M21" s="704"/>
      <c r="O21" s="13"/>
      <c r="P21" s="512" t="b">
        <v>0</v>
      </c>
      <c r="R21" s="551" t="s">
        <v>79</v>
      </c>
      <c r="S21" s="397"/>
      <c r="T21" s="397"/>
      <c r="U21" s="397"/>
      <c r="V21" s="397"/>
      <c r="W21" s="410"/>
      <c r="X21" s="410"/>
      <c r="Y21" s="410"/>
      <c r="Z21" s="410"/>
      <c r="AA21" s="410"/>
      <c r="AB21" s="410"/>
      <c r="AC21" s="410"/>
      <c r="AD21" s="410"/>
      <c r="AE21" s="410"/>
      <c r="AG21" s="406">
        <f t="shared" si="0"/>
        <v>15</v>
      </c>
      <c r="AH21" s="409">
        <v>15</v>
      </c>
    </row>
    <row r="22" spans="1:34" ht="15" thickBot="1" x14ac:dyDescent="0.4">
      <c r="A22" s="13"/>
      <c r="B22" s="704"/>
      <c r="C22" s="730"/>
      <c r="D22" s="712"/>
      <c r="E22" s="641"/>
      <c r="F22" s="633"/>
      <c r="G22" s="737"/>
      <c r="H22" s="723"/>
      <c r="I22" s="737"/>
      <c r="J22" s="633"/>
      <c r="K22" s="633"/>
      <c r="L22" s="704"/>
      <c r="M22" s="704"/>
      <c r="O22" s="13"/>
      <c r="P22" s="513"/>
      <c r="R22" s="567" t="s">
        <v>49</v>
      </c>
      <c r="S22" s="568"/>
      <c r="T22" s="569">
        <f>E8</f>
        <v>0</v>
      </c>
      <c r="U22" s="570"/>
      <c r="V22" s="397"/>
      <c r="W22" s="410"/>
      <c r="X22" s="410"/>
      <c r="Y22" s="410"/>
      <c r="Z22" s="410"/>
      <c r="AA22" s="410"/>
      <c r="AB22" s="629" t="e">
        <f>FGFTITULAR*AC8</f>
        <v>#VALUE!</v>
      </c>
      <c r="AC22" s="410"/>
      <c r="AD22" s="410"/>
      <c r="AE22" s="410"/>
      <c r="AG22" s="406">
        <f t="shared" si="0"/>
        <v>16</v>
      </c>
      <c r="AH22" s="409">
        <v>16</v>
      </c>
    </row>
    <row r="23" spans="1:34" ht="15" thickBot="1" x14ac:dyDescent="0.4">
      <c r="A23" s="13"/>
      <c r="B23" s="704"/>
      <c r="C23" s="730" t="s">
        <v>84</v>
      </c>
      <c r="D23" s="720"/>
      <c r="E23" s="728"/>
      <c r="F23" s="633"/>
      <c r="G23" s="722"/>
      <c r="H23" s="723"/>
      <c r="I23" s="729"/>
      <c r="J23" s="633"/>
      <c r="K23" s="726"/>
      <c r="L23" s="704"/>
      <c r="M23" s="704"/>
      <c r="O23" s="13"/>
      <c r="P23" s="512" t="b">
        <v>0</v>
      </c>
      <c r="R23" s="571" t="s">
        <v>38</v>
      </c>
      <c r="S23" s="572"/>
      <c r="T23" s="573" t="str">
        <f>Parametros!E6</f>
        <v/>
      </c>
      <c r="U23" s="397"/>
      <c r="V23" s="397"/>
      <c r="W23" s="410"/>
      <c r="X23" s="410"/>
      <c r="Y23" s="410"/>
      <c r="Z23" s="410"/>
      <c r="AA23" s="410"/>
      <c r="AB23" s="410"/>
      <c r="AC23" s="410"/>
      <c r="AD23" s="410"/>
      <c r="AE23" s="410"/>
      <c r="AG23" s="406">
        <f t="shared" si="0"/>
        <v>17</v>
      </c>
      <c r="AH23" s="409">
        <v>17</v>
      </c>
    </row>
    <row r="24" spans="1:34" x14ac:dyDescent="0.35">
      <c r="A24" s="13"/>
      <c r="B24" s="704"/>
      <c r="C24" s="730"/>
      <c r="D24" s="712"/>
      <c r="E24" s="641"/>
      <c r="F24" s="633"/>
      <c r="G24" s="737"/>
      <c r="H24" s="723"/>
      <c r="I24" s="737"/>
      <c r="J24" s="633"/>
      <c r="K24" s="633"/>
      <c r="L24" s="704"/>
      <c r="M24" s="704"/>
      <c r="O24" s="13"/>
      <c r="P24" s="513"/>
      <c r="R24" s="574" t="s">
        <v>71</v>
      </c>
      <c r="S24" s="575"/>
      <c r="T24" s="576">
        <f>Parametros!E8</f>
        <v>0</v>
      </c>
      <c r="U24" s="397"/>
      <c r="V24" s="397"/>
      <c r="W24" s="410"/>
      <c r="X24" s="410"/>
      <c r="Y24" s="410"/>
      <c r="Z24" s="410"/>
      <c r="AA24" s="410"/>
      <c r="AB24" s="410"/>
      <c r="AC24" s="410"/>
      <c r="AD24" s="410"/>
      <c r="AE24" s="410"/>
      <c r="AG24" s="406">
        <f t="shared" si="0"/>
        <v>18</v>
      </c>
      <c r="AH24" s="409">
        <v>18</v>
      </c>
    </row>
    <row r="25" spans="1:34" ht="15" thickBot="1" x14ac:dyDescent="0.4">
      <c r="A25" s="13"/>
      <c r="B25" s="704"/>
      <c r="C25" s="730" t="s">
        <v>85</v>
      </c>
      <c r="D25" s="720"/>
      <c r="E25" s="728"/>
      <c r="F25" s="633"/>
      <c r="G25" s="722"/>
      <c r="H25" s="723"/>
      <c r="I25" s="729"/>
      <c r="J25" s="633"/>
      <c r="K25" s="726"/>
      <c r="L25" s="704"/>
      <c r="M25" s="704"/>
      <c r="O25" s="13"/>
      <c r="P25" s="512" t="b">
        <v>0</v>
      </c>
      <c r="Q25" s="414"/>
      <c r="R25" s="574" t="s">
        <v>72</v>
      </c>
      <c r="S25" s="575"/>
      <c r="T25" s="576">
        <f>Parametros!E9</f>
        <v>0</v>
      </c>
      <c r="U25" s="397"/>
      <c r="V25" s="397"/>
      <c r="W25" s="410"/>
      <c r="X25" s="410"/>
      <c r="Y25" s="410"/>
      <c r="Z25" s="410"/>
      <c r="AA25" s="410"/>
      <c r="AB25" s="410"/>
      <c r="AC25" s="410"/>
      <c r="AD25" s="410"/>
      <c r="AE25" s="410"/>
      <c r="AG25" s="406">
        <f t="shared" si="0"/>
        <v>19</v>
      </c>
      <c r="AH25" s="409">
        <v>19</v>
      </c>
    </row>
    <row r="26" spans="1:34" ht="15" thickBot="1" x14ac:dyDescent="0.4">
      <c r="B26" s="710"/>
      <c r="C26" s="731"/>
      <c r="D26" s="731"/>
      <c r="E26" s="710"/>
      <c r="F26" s="710"/>
      <c r="G26" s="710"/>
      <c r="H26" s="710"/>
      <c r="I26" s="710"/>
      <c r="J26" s="710"/>
      <c r="K26" s="710"/>
      <c r="L26" s="732"/>
      <c r="M26" s="710"/>
      <c r="R26" s="577" t="s">
        <v>73</v>
      </c>
      <c r="S26" s="578"/>
      <c r="T26" s="579">
        <f>Parametros!E10</f>
        <v>0</v>
      </c>
      <c r="U26" s="582" t="s">
        <v>149</v>
      </c>
      <c r="V26" s="577"/>
      <c r="W26" s="583"/>
      <c r="X26" s="413"/>
      <c r="Y26" s="410"/>
      <c r="Z26" s="410"/>
      <c r="AA26" s="410"/>
      <c r="AB26" s="410"/>
      <c r="AC26" s="410"/>
      <c r="AD26" s="410"/>
      <c r="AE26" s="410"/>
      <c r="AG26" s="406">
        <f t="shared" si="0"/>
        <v>20</v>
      </c>
      <c r="AH26" s="409">
        <v>20</v>
      </c>
    </row>
    <row r="27" spans="1:34" ht="15" thickBot="1" x14ac:dyDescent="0.4">
      <c r="B27" s="842" t="s">
        <v>322</v>
      </c>
      <c r="C27" s="842"/>
      <c r="D27" s="842"/>
      <c r="E27" s="842"/>
      <c r="F27" s="842"/>
      <c r="G27" s="842"/>
      <c r="H27" s="842"/>
      <c r="I27" s="842"/>
      <c r="J27" s="842"/>
      <c r="K27" s="842"/>
      <c r="L27" s="842"/>
      <c r="M27" s="842"/>
      <c r="Q27" s="414"/>
      <c r="R27" s="577" t="s">
        <v>228</v>
      </c>
      <c r="S27" s="580"/>
      <c r="T27" s="576" t="str">
        <f>Parametros!E7</f>
        <v/>
      </c>
      <c r="U27" s="397"/>
      <c r="V27" s="397"/>
      <c r="W27" s="397"/>
      <c r="X27" s="397"/>
      <c r="Y27" s="397"/>
      <c r="Z27" s="397"/>
      <c r="AA27" s="397"/>
      <c r="AB27" s="397"/>
      <c r="AC27" s="397"/>
      <c r="AD27" s="397"/>
      <c r="AE27" s="397"/>
      <c r="AG27" s="406">
        <f t="shared" si="0"/>
        <v>21</v>
      </c>
      <c r="AH27" s="409">
        <f>+AH26+1</f>
        <v>21</v>
      </c>
    </row>
    <row r="28" spans="1:34" ht="15.75" hidden="1" customHeight="1" thickBot="1" x14ac:dyDescent="0.4">
      <c r="C28" s="91"/>
      <c r="F28" s="4"/>
      <c r="R28" s="839" t="s">
        <v>95</v>
      </c>
      <c r="S28" s="840"/>
      <c r="T28" s="581" t="s">
        <v>187</v>
      </c>
      <c r="U28" s="584" t="s">
        <v>140</v>
      </c>
      <c r="V28" s="397"/>
      <c r="W28" s="397"/>
      <c r="X28" s="397"/>
      <c r="Y28" s="397"/>
      <c r="Z28" s="397"/>
      <c r="AA28" s="397"/>
      <c r="AB28" s="397"/>
      <c r="AC28" s="397"/>
      <c r="AD28" s="397"/>
      <c r="AE28" s="397"/>
      <c r="AG28" s="406">
        <f t="shared" si="0"/>
        <v>22</v>
      </c>
      <c r="AH28" s="409">
        <f>+AH27+1</f>
        <v>22</v>
      </c>
    </row>
    <row r="29" spans="1:34" hidden="1" x14ac:dyDescent="0.35">
      <c r="R29" s="415"/>
      <c r="S29" s="415"/>
      <c r="T29" s="129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G29" s="406">
        <f t="shared" si="0"/>
        <v>23</v>
      </c>
      <c r="AH29" s="409">
        <f>+AH28+1</f>
        <v>23</v>
      </c>
    </row>
    <row r="30" spans="1:34" ht="16" hidden="1" thickBot="1" x14ac:dyDescent="0.4">
      <c r="C30" s="16"/>
      <c r="G30" s="5"/>
      <c r="R30" s="551" t="s">
        <v>150</v>
      </c>
      <c r="S30" s="130"/>
      <c r="T30" s="131"/>
      <c r="U30" s="398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G30" s="406">
        <f t="shared" si="0"/>
        <v>24</v>
      </c>
      <c r="AH30" s="409">
        <f t="shared" ref="AH30:AH93" si="1">+AH29+1</f>
        <v>24</v>
      </c>
    </row>
    <row r="31" spans="1:34" ht="15" hidden="1" customHeight="1" x14ac:dyDescent="0.35">
      <c r="C31" s="16"/>
      <c r="G31" s="5"/>
      <c r="R31" s="585" t="s">
        <v>119</v>
      </c>
      <c r="S31" s="572"/>
      <c r="T31" s="586" t="str">
        <f>IF(Parametros!L25=TRUE,"AMPARADA","")</f>
        <v>AMPARADA</v>
      </c>
      <c r="U31" s="128"/>
      <c r="V31" s="397"/>
      <c r="W31" s="416" t="s">
        <v>185</v>
      </c>
      <c r="X31" s="397"/>
      <c r="Y31" s="397"/>
      <c r="Z31" s="397"/>
      <c r="AA31" s="836" t="s">
        <v>186</v>
      </c>
      <c r="AB31" s="837"/>
      <c r="AC31" s="838"/>
      <c r="AD31" s="397"/>
      <c r="AE31" s="397"/>
      <c r="AG31" s="406">
        <f t="shared" si="0"/>
        <v>25</v>
      </c>
      <c r="AH31" s="409">
        <f t="shared" si="1"/>
        <v>25</v>
      </c>
    </row>
    <row r="32" spans="1:34" hidden="1" x14ac:dyDescent="0.35">
      <c r="C32" s="16"/>
      <c r="D32" s="7"/>
      <c r="G32" s="5"/>
      <c r="R32" s="574" t="s">
        <v>118</v>
      </c>
      <c r="S32" s="575"/>
      <c r="T32" s="587" t="str">
        <f>IF(Parametros!L26=TRUE,"AMPARADA","")</f>
        <v>AMPARADA</v>
      </c>
      <c r="U32" s="397"/>
      <c r="V32" s="397"/>
      <c r="W32" s="417" t="s">
        <v>136</v>
      </c>
      <c r="X32" s="418" t="s">
        <v>137</v>
      </c>
      <c r="Y32" s="419" t="s">
        <v>138</v>
      </c>
      <c r="Z32" s="397"/>
      <c r="AA32" s="420">
        <v>30</v>
      </c>
      <c r="AB32" s="127">
        <v>60</v>
      </c>
      <c r="AC32" s="396">
        <v>100</v>
      </c>
      <c r="AD32" s="397"/>
      <c r="AE32" s="397"/>
      <c r="AG32" s="406">
        <f t="shared" si="0"/>
        <v>26</v>
      </c>
      <c r="AH32" s="409">
        <f t="shared" si="1"/>
        <v>26</v>
      </c>
    </row>
    <row r="33" spans="3:34" hidden="1" x14ac:dyDescent="0.35">
      <c r="D33" s="7"/>
      <c r="H33" s="11"/>
      <c r="K33" s="11"/>
      <c r="R33" s="574" t="s">
        <v>147</v>
      </c>
      <c r="S33" s="575"/>
      <c r="T33" s="587" t="str">
        <f>IF(Parametros!L27=TRUE,"AMPARADA","")</f>
        <v>AMPARADA</v>
      </c>
      <c r="U33" s="397"/>
      <c r="V33" s="421" t="s">
        <v>183</v>
      </c>
      <c r="W33" s="422">
        <v>60.25</v>
      </c>
      <c r="X33" s="423">
        <v>58.55</v>
      </c>
      <c r="Y33" s="424">
        <v>57.11</v>
      </c>
      <c r="Z33" s="397"/>
      <c r="AA33" s="425"/>
      <c r="AB33" s="136"/>
      <c r="AC33" s="408"/>
      <c r="AD33" s="397"/>
      <c r="AE33" s="397"/>
      <c r="AG33" s="406">
        <f t="shared" si="0"/>
        <v>27</v>
      </c>
      <c r="AH33" s="409">
        <f t="shared" si="1"/>
        <v>27</v>
      </c>
    </row>
    <row r="34" spans="3:34" hidden="1" x14ac:dyDescent="0.35">
      <c r="C34" s="16"/>
      <c r="G34" s="5"/>
      <c r="R34" s="574" t="s">
        <v>195</v>
      </c>
      <c r="S34" s="575"/>
      <c r="T34" s="587" t="str">
        <f>IF(Parametros!L28=TRUE,"AMPARADA","")</f>
        <v/>
      </c>
      <c r="U34" s="397"/>
      <c r="V34" s="421" t="s">
        <v>184</v>
      </c>
      <c r="W34" s="426">
        <v>1832.58</v>
      </c>
      <c r="X34" s="427">
        <v>1780.75</v>
      </c>
      <c r="Y34" s="428">
        <v>1737.17</v>
      </c>
      <c r="Z34" s="397"/>
      <c r="AA34" s="429">
        <f>$W$34*AA32</f>
        <v>54977.399999999994</v>
      </c>
      <c r="AB34" s="430">
        <f>$W$34*AB32</f>
        <v>109954.79999999999</v>
      </c>
      <c r="AC34" s="431">
        <f>$W$34*AC32</f>
        <v>183258</v>
      </c>
      <c r="AD34" s="397"/>
      <c r="AE34" s="397"/>
      <c r="AG34" s="406">
        <f t="shared" si="0"/>
        <v>28</v>
      </c>
      <c r="AH34" s="409">
        <f t="shared" si="1"/>
        <v>28</v>
      </c>
    </row>
    <row r="35" spans="3:34" hidden="1" x14ac:dyDescent="0.35">
      <c r="C35" s="15"/>
      <c r="F35" s="3"/>
      <c r="J35" s="3"/>
      <c r="R35" s="574" t="s">
        <v>189</v>
      </c>
      <c r="S35" s="575"/>
      <c r="T35" s="587" t="str">
        <f>IF(Parametros!L29=TRUE,"AMPARADA","")</f>
        <v/>
      </c>
      <c r="U35" s="397"/>
      <c r="V35" s="421" t="s">
        <v>155</v>
      </c>
      <c r="W35" s="426">
        <v>21990.01</v>
      </c>
      <c r="X35" s="427">
        <v>21368.35</v>
      </c>
      <c r="Y35" s="428">
        <v>20845.39</v>
      </c>
      <c r="Z35" s="397"/>
      <c r="AA35" s="432">
        <v>100000</v>
      </c>
      <c r="AB35" s="433">
        <v>100000</v>
      </c>
      <c r="AC35" s="434">
        <v>100000</v>
      </c>
      <c r="AD35" s="397"/>
      <c r="AE35" s="397"/>
      <c r="AG35" s="406">
        <f t="shared" si="0"/>
        <v>29</v>
      </c>
      <c r="AH35" s="409">
        <f t="shared" si="1"/>
        <v>29</v>
      </c>
    </row>
    <row r="36" spans="3:34" hidden="1" x14ac:dyDescent="0.35">
      <c r="C36" s="15"/>
      <c r="F36" s="3"/>
      <c r="J36" s="3"/>
      <c r="R36" s="574" t="s">
        <v>216</v>
      </c>
      <c r="S36" s="575"/>
      <c r="T36" s="587" t="str">
        <f>IF(Parametros!L30=TRUE,"AMPARADA","")</f>
        <v/>
      </c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7"/>
      <c r="AG36" s="406">
        <f t="shared" si="0"/>
        <v>30</v>
      </c>
      <c r="AH36" s="409">
        <f t="shared" si="1"/>
        <v>30</v>
      </c>
    </row>
    <row r="37" spans="3:34" hidden="1" x14ac:dyDescent="0.35">
      <c r="C37" s="15"/>
      <c r="F37" s="3"/>
      <c r="J37" s="3"/>
      <c r="R37" s="574" t="s">
        <v>199</v>
      </c>
      <c r="S37" s="575"/>
      <c r="T37" s="587" t="str">
        <f>IF(Parametros!L31=TRUE,"AMPARADA","")</f>
        <v/>
      </c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7"/>
      <c r="AG37" s="406">
        <f t="shared" si="0"/>
        <v>31</v>
      </c>
      <c r="AH37" s="409">
        <f t="shared" si="1"/>
        <v>31</v>
      </c>
    </row>
    <row r="38" spans="3:34" hidden="1" x14ac:dyDescent="0.35">
      <c r="J38" s="6"/>
      <c r="L38" s="4"/>
      <c r="R38" s="574" t="s">
        <v>211</v>
      </c>
      <c r="S38" s="575"/>
      <c r="T38" s="587" t="str">
        <f>IF(Parametros!L32=TRUE,"AMPARADA","")</f>
        <v/>
      </c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G38" s="406">
        <f t="shared" si="0"/>
        <v>32</v>
      </c>
      <c r="AH38" s="409">
        <f t="shared" si="1"/>
        <v>32</v>
      </c>
    </row>
    <row r="39" spans="3:34" hidden="1" x14ac:dyDescent="0.35">
      <c r="D39" s="23"/>
      <c r="R39" s="574" t="s">
        <v>262</v>
      </c>
      <c r="S39" s="575"/>
      <c r="T39" s="587" t="str">
        <f>IF(Parametros!L33=TRUE,"AMPARADA","")</f>
        <v/>
      </c>
      <c r="U39" s="397"/>
      <c r="V39" s="397"/>
      <c r="W39" s="397"/>
      <c r="X39" s="397"/>
      <c r="Y39" s="397"/>
      <c r="Z39" s="397"/>
      <c r="AA39" s="397"/>
      <c r="AB39" s="397"/>
      <c r="AC39" s="397"/>
      <c r="AD39" s="397"/>
      <c r="AE39" s="397"/>
      <c r="AG39" s="406">
        <f t="shared" ref="AG39:AG71" si="2">AG38+1</f>
        <v>33</v>
      </c>
      <c r="AH39" s="409">
        <f t="shared" si="1"/>
        <v>33</v>
      </c>
    </row>
    <row r="40" spans="3:34" ht="15" hidden="1" thickBot="1" x14ac:dyDescent="0.4">
      <c r="R40" s="577" t="s">
        <v>250</v>
      </c>
      <c r="S40" s="578"/>
      <c r="T40" s="588" t="str">
        <f>IF(T27=90000,"AMPARADA","")</f>
        <v/>
      </c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  <c r="AG40" s="406">
        <f t="shared" si="2"/>
        <v>34</v>
      </c>
      <c r="AH40" s="409">
        <f t="shared" si="1"/>
        <v>34</v>
      </c>
    </row>
    <row r="41" spans="3:34" hidden="1" x14ac:dyDescent="0.35">
      <c r="P41" s="435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AD41" s="397"/>
      <c r="AE41" s="397"/>
      <c r="AG41" s="406">
        <f t="shared" si="2"/>
        <v>35</v>
      </c>
      <c r="AH41" s="409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1" t="s">
        <v>108</v>
      </c>
      <c r="S42" s="397"/>
      <c r="T42" s="397"/>
      <c r="U42" s="397"/>
      <c r="V42" s="397"/>
      <c r="W42" s="397"/>
      <c r="X42" s="397"/>
      <c r="Y42" s="397"/>
      <c r="Z42" s="397"/>
      <c r="AA42" s="397"/>
      <c r="AB42" s="397"/>
      <c r="AC42" s="397"/>
      <c r="AD42" s="397"/>
      <c r="AE42" s="397"/>
      <c r="AG42" s="406">
        <f t="shared" si="2"/>
        <v>36</v>
      </c>
      <c r="AH42" s="409">
        <f t="shared" si="1"/>
        <v>36</v>
      </c>
    </row>
    <row r="43" spans="3:34" ht="15" hidden="1" thickBot="1" x14ac:dyDescent="0.4">
      <c r="R43" s="624" t="s">
        <v>88</v>
      </c>
      <c r="S43" s="625" t="s">
        <v>80</v>
      </c>
      <c r="T43" s="625" t="s">
        <v>81</v>
      </c>
      <c r="U43" s="625" t="s">
        <v>82</v>
      </c>
      <c r="V43" s="625" t="s">
        <v>83</v>
      </c>
      <c r="W43" s="625" t="s">
        <v>84</v>
      </c>
      <c r="X43" s="626" t="s">
        <v>85</v>
      </c>
      <c r="Y43" s="397"/>
      <c r="Z43" s="397"/>
      <c r="AA43" s="397"/>
      <c r="AB43" s="397"/>
      <c r="AC43" s="397"/>
      <c r="AD43" s="397"/>
      <c r="AE43" s="397"/>
      <c r="AG43" s="406">
        <f t="shared" si="2"/>
        <v>37</v>
      </c>
      <c r="AH43" s="409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38"/>
      <c r="S44" s="539"/>
      <c r="T44" s="539"/>
      <c r="U44" s="539"/>
      <c r="V44" s="539"/>
      <c r="W44" s="539"/>
      <c r="X44" s="540"/>
      <c r="Y44" s="397"/>
      <c r="Z44" s="397"/>
      <c r="AA44" s="397"/>
      <c r="AB44" s="397"/>
      <c r="AC44" s="397"/>
      <c r="AD44" s="397"/>
      <c r="AE44" s="397"/>
      <c r="AG44" s="406">
        <f t="shared" si="2"/>
        <v>38</v>
      </c>
      <c r="AH44" s="409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6"/>
      <c r="R45" s="612" t="s">
        <v>190</v>
      </c>
      <c r="S45" s="613">
        <f>IF(S8="AMPARADA",(IF($T$28="PB",$X8,IF($T$28="PBSHQ",$Y8,0))),0)</f>
        <v>0</v>
      </c>
      <c r="T45" s="613">
        <f>IF(S10="AMPARADA",(IF($T$28="PB",$X10,IF($T$28="PBSHQ",$Y10,0))),0)</f>
        <v>0</v>
      </c>
      <c r="U45" s="613">
        <f>IF(S12="AMPARADA",(IF($T$28="PB",$X12,IF($T$28="PBSHQ",$Y12,0))),0)</f>
        <v>0</v>
      </c>
      <c r="V45" s="613">
        <f>IF(S14="AMPARADA",(IF($T$28="PB",$X14,IF($T$28="PBSHQ",$Y14,0))),0)</f>
        <v>0</v>
      </c>
      <c r="W45" s="613">
        <f>IF(S16="AMPARADA",(IF($T$28="PB",$X16,IF($T$28="PBSHQ",$Y16,0))),0)</f>
        <v>0</v>
      </c>
      <c r="X45" s="614">
        <f>IF(S18="AMPARADA",(IF($T$28="PB",$X18,IF($T$28="PBSHQ",$Y18,0))),0)</f>
        <v>0</v>
      </c>
      <c r="Y45" s="397"/>
      <c r="Z45" s="397"/>
      <c r="AA45" s="397"/>
      <c r="AB45" s="397"/>
      <c r="AC45" s="397"/>
      <c r="AD45" s="397"/>
      <c r="AE45" s="397"/>
      <c r="AG45" s="406">
        <f t="shared" si="2"/>
        <v>39</v>
      </c>
      <c r="AH45" s="409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6"/>
      <c r="R46" s="541"/>
      <c r="S46" s="542"/>
      <c r="T46" s="542"/>
      <c r="U46" s="542"/>
      <c r="V46" s="542"/>
      <c r="W46" s="542"/>
      <c r="X46" s="543"/>
      <c r="Y46" s="133"/>
      <c r="Z46" s="397"/>
      <c r="AA46" s="397"/>
      <c r="AB46" s="397"/>
      <c r="AC46" s="397"/>
      <c r="AD46" s="397"/>
      <c r="AE46" s="397"/>
      <c r="AG46" s="406">
        <f t="shared" si="2"/>
        <v>40</v>
      </c>
      <c r="AH46" s="409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6"/>
      <c r="Q47" s="437"/>
      <c r="R47" s="612" t="s">
        <v>191</v>
      </c>
      <c r="S47" s="613">
        <f>IF(S8="AMPARADA",S45*FR*FNH*FSA*FDED*FCS*FTABHM,0)</f>
        <v>0</v>
      </c>
      <c r="T47" s="613">
        <f>IF(S10="AMPARADA",T45*FR*FNH*FSA*FDED*FCS*FTABHM,0)</f>
        <v>0</v>
      </c>
      <c r="U47" s="613">
        <f>IF(S12="AMPARADA",U45*FR*FNH*FSA*FDED*FCS*FTABHM,0)</f>
        <v>0</v>
      </c>
      <c r="V47" s="613">
        <f>IF(S14="AMPARADA",V45*FR*FNH*FSA*FDED*FCS*FTABHM,0)</f>
        <v>0</v>
      </c>
      <c r="W47" s="613">
        <f>IF(S16="AMPARADA",W45*FR*FNH*FSA*FDED*FCS*FTABHM,0)</f>
        <v>0</v>
      </c>
      <c r="X47" s="614">
        <f>IF(S18="AMPARADA",X45*FR*FNH*FSA*FDED*FCS*FTABHM,0)</f>
        <v>0</v>
      </c>
      <c r="Y47" s="136"/>
      <c r="Z47" s="397"/>
      <c r="AA47" s="397"/>
      <c r="AB47" s="397"/>
      <c r="AC47" s="397"/>
      <c r="AD47" s="397"/>
      <c r="AE47" s="397"/>
      <c r="AG47" s="406">
        <f t="shared" si="2"/>
        <v>41</v>
      </c>
      <c r="AH47" s="409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6"/>
      <c r="R48" s="541"/>
      <c r="S48" s="542"/>
      <c r="T48" s="542"/>
      <c r="U48" s="542"/>
      <c r="V48" s="542"/>
      <c r="W48" s="542"/>
      <c r="X48" s="543"/>
      <c r="Y48" s="132"/>
      <c r="Z48" s="397"/>
      <c r="AA48" s="397"/>
      <c r="AB48" s="397"/>
      <c r="AC48" s="397"/>
      <c r="AD48" s="397"/>
      <c r="AE48" s="397"/>
      <c r="AG48" s="406">
        <f t="shared" si="2"/>
        <v>42</v>
      </c>
      <c r="AH48" s="409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6"/>
      <c r="Q49" s="438"/>
      <c r="R49" s="615" t="s">
        <v>104</v>
      </c>
      <c r="S49" s="613">
        <f>IF(S8="AMPARADA",ROUND(S47*(FEME-1),2),0)</f>
        <v>0</v>
      </c>
      <c r="T49" s="613">
        <f>IF(S10="AMPARADA",ROUND(T47*(FEME-1),2),0)</f>
        <v>0</v>
      </c>
      <c r="U49" s="613">
        <f>IF(S12="AMPARADA",ROUND(U47*(FEME-1),2),0)</f>
        <v>0</v>
      </c>
      <c r="V49" s="613">
        <f>IF(S14="AMPARADA",ROUND(V47*(FEME-1),2),0)</f>
        <v>0</v>
      </c>
      <c r="W49" s="613">
        <f>IF(S16="AMPARADA",ROUND(W47*(FEME-1),2),0)</f>
        <v>0</v>
      </c>
      <c r="X49" s="614">
        <f>IF(S18="AMPARADA",ROUND(X47*(FEME-1),2),0)</f>
        <v>0</v>
      </c>
      <c r="Y49" s="133"/>
      <c r="Z49" s="397"/>
      <c r="AA49" s="397"/>
      <c r="AB49" s="397"/>
      <c r="AC49" s="397"/>
      <c r="AD49" s="397"/>
      <c r="AE49" s="397"/>
      <c r="AG49" s="406">
        <f t="shared" si="2"/>
        <v>43</v>
      </c>
      <c r="AH49" s="409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6"/>
      <c r="Q50" s="439"/>
      <c r="R50" s="541"/>
      <c r="S50" s="542"/>
      <c r="T50" s="542"/>
      <c r="U50" s="542"/>
      <c r="V50" s="542"/>
      <c r="W50" s="542"/>
      <c r="X50" s="543"/>
      <c r="Y50" s="132"/>
      <c r="Z50" s="397"/>
      <c r="AA50" s="397"/>
      <c r="AB50" s="397"/>
      <c r="AC50" s="397"/>
      <c r="AD50" s="397"/>
      <c r="AE50" s="397"/>
      <c r="AG50" s="406">
        <f t="shared" si="2"/>
        <v>44</v>
      </c>
      <c r="AH50" s="409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0"/>
      <c r="R51" s="616" t="s">
        <v>106</v>
      </c>
      <c r="S51" s="536">
        <f>IF(S8="AMPARADA",ROUND(17.67,2),0)</f>
        <v>0</v>
      </c>
      <c r="T51" s="536">
        <f>IF(S10="AMPARADA",ROUND(17.67,2),0)</f>
        <v>0</v>
      </c>
      <c r="U51" s="536">
        <f>IF(S12="AMPARADA",ROUND(17.67,2),0)</f>
        <v>0</v>
      </c>
      <c r="V51" s="536">
        <f>IF(S14="AMPARADA",ROUND(17.67,2),0)</f>
        <v>0</v>
      </c>
      <c r="W51" s="536">
        <f>IF(S16="AMPARADA",ROUND(17.67,2),0)</f>
        <v>0</v>
      </c>
      <c r="X51" s="537">
        <f>IF(S18="AMPARADA",ROUND(17.67,2),0)</f>
        <v>0</v>
      </c>
      <c r="Y51" s="133"/>
      <c r="Z51" s="397"/>
      <c r="AA51" s="397"/>
      <c r="AB51" s="397"/>
      <c r="AC51" s="397"/>
      <c r="AD51" s="397"/>
      <c r="AE51" s="397"/>
      <c r="AG51" s="406">
        <f t="shared" si="2"/>
        <v>45</v>
      </c>
      <c r="AH51" s="409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1"/>
      <c r="S52" s="542"/>
      <c r="T52" s="542"/>
      <c r="U52" s="542"/>
      <c r="V52" s="542"/>
      <c r="W52" s="542"/>
      <c r="X52" s="543"/>
      <c r="Y52" s="132"/>
      <c r="Z52" s="441"/>
      <c r="AA52" s="397"/>
      <c r="AB52" s="397"/>
      <c r="AC52" s="397"/>
      <c r="AD52" s="397"/>
      <c r="AE52" s="397"/>
      <c r="AG52" s="406">
        <f t="shared" si="2"/>
        <v>46</v>
      </c>
      <c r="AH52" s="409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0"/>
      <c r="R53" s="617" t="s">
        <v>197</v>
      </c>
      <c r="S53" s="618">
        <f t="shared" ref="S53:X53" si="3">+S47+S49+S51</f>
        <v>0</v>
      </c>
      <c r="T53" s="618">
        <f t="shared" si="3"/>
        <v>0</v>
      </c>
      <c r="U53" s="618">
        <f t="shared" si="3"/>
        <v>0</v>
      </c>
      <c r="V53" s="618">
        <f t="shared" si="3"/>
        <v>0</v>
      </c>
      <c r="W53" s="618">
        <f t="shared" si="3"/>
        <v>0</v>
      </c>
      <c r="X53" s="619">
        <f t="shared" si="3"/>
        <v>0</v>
      </c>
      <c r="Y53" s="133"/>
      <c r="Z53" s="397"/>
      <c r="AA53" s="397"/>
      <c r="AB53" s="397"/>
      <c r="AC53" s="397"/>
      <c r="AD53" s="397"/>
      <c r="AE53" s="397"/>
      <c r="AG53" s="406">
        <f t="shared" si="2"/>
        <v>47</v>
      </c>
      <c r="AH53" s="409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2"/>
      <c r="R54" s="541"/>
      <c r="S54" s="542"/>
      <c r="T54" s="542"/>
      <c r="U54" s="542"/>
      <c r="V54" s="542"/>
      <c r="W54" s="542"/>
      <c r="X54" s="543"/>
      <c r="Y54" s="132"/>
      <c r="Z54" s="397"/>
      <c r="AA54" s="397"/>
      <c r="AB54" s="397"/>
      <c r="AC54" s="397"/>
      <c r="AD54" s="397"/>
      <c r="AE54" s="397"/>
      <c r="AG54" s="406">
        <f t="shared" si="2"/>
        <v>48</v>
      </c>
      <c r="AH54" s="409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0"/>
      <c r="R55" s="615" t="s">
        <v>211</v>
      </c>
      <c r="S55" s="613">
        <f>IF(AND(S8="AMPARADA",T38="AMPARADA"),ROUND((963.48)/(1-GASADMON-GASADQUI-UTILIDAD-MARGENDESVIACION),2),0)</f>
        <v>0</v>
      </c>
      <c r="T55" s="613">
        <f>IF(AND(S10="AMPARADA",T38="AMPARADA"),ROUND((963.48)/(1-GASADMON-GASADQUI-UTILIDAD-MARGENDESVIACION),2),0)</f>
        <v>0</v>
      </c>
      <c r="U55" s="613">
        <f>IF(AND(S12="AMPARADA",T38="AMPARADA"),ROUND((963.48)/(1-GASADMON-GASADQUI-UTILIDAD-MARGENDESVIACION),2),0)</f>
        <v>0</v>
      </c>
      <c r="V55" s="613">
        <f>IF(AND(S14="AMPARADA",T38="AMPARADA"),ROUND((963.48)/(1-GASADMON-GASADQUI-UTILIDAD-MARGENDESVIACION),2),0)</f>
        <v>0</v>
      </c>
      <c r="W55" s="613">
        <f>IF(AND(S16="AMPARADA",T38="AMPARADA"),ROUND((963.48)/(1-GASADMON-GASADQUI-UTILIDAD-MARGENDESVIACION),2),0)</f>
        <v>0</v>
      </c>
      <c r="X55" s="614">
        <f>IF(AND(S18="AMPARADA",T38="AMPARADA"),ROUND((963.48)/(1-GASADMON-GASADQUI-UTILIDAD-MARGENDESVIACION),2),0)</f>
        <v>0</v>
      </c>
      <c r="Y55" s="133"/>
      <c r="Z55" s="397"/>
      <c r="AA55" s="397"/>
      <c r="AB55" s="397"/>
      <c r="AC55" s="397"/>
      <c r="AD55" s="397"/>
      <c r="AE55" s="397"/>
      <c r="AG55" s="406">
        <f t="shared" si="2"/>
        <v>49</v>
      </c>
      <c r="AH55" s="409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1"/>
      <c r="S56" s="542"/>
      <c r="T56" s="542"/>
      <c r="U56" s="542"/>
      <c r="V56" s="542"/>
      <c r="W56" s="542"/>
      <c r="X56" s="543"/>
      <c r="Y56" s="132"/>
      <c r="Z56" s="397"/>
      <c r="AA56" s="397"/>
      <c r="AB56" s="397"/>
      <c r="AC56" s="397"/>
      <c r="AD56" s="397"/>
      <c r="AE56" s="397"/>
      <c r="AG56" s="406">
        <f t="shared" si="2"/>
        <v>50</v>
      </c>
      <c r="AH56" s="409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5" t="s">
        <v>107</v>
      </c>
      <c r="S57" s="613">
        <f>IF(AND(S8="AMPARADA",T31="AMPARADA"),ROUND((AC8*FGFTITULAR)/(1-GASADMON-GASADQUI-UTILIDAD-MARGENDESVIACION),2),0)</f>
        <v>0</v>
      </c>
      <c r="T57" s="613">
        <f>IF(AND(S10="AMPARADA",T31="AMPARADA"),ROUND((AC10*FGFD1)/(1-GASADMON-GASADQUI-UTILIDAD-MARGENDESVIACION),2),0)</f>
        <v>0</v>
      </c>
      <c r="U57" s="613">
        <f>IF(AND(S12="AMPARADA",T31="AMPARADA"),ROUND((AC12*FGFD2)/(1-GASADMON-GASADQUI-UTILIDAD-MARGENDESVIACION),2),0)</f>
        <v>0</v>
      </c>
      <c r="V57" s="613">
        <f>IF(AND(S14="AMPARADA",T31="AMPARADA"),ROUND((AC14*FGFD3)/(1-GASADMON-GASADQUI-UTILIDAD-MARGENDESVIACION),2),0)</f>
        <v>0</v>
      </c>
      <c r="W57" s="613">
        <f>IF(AND(S16="AMPARADA",T31="AMPARADA"),ROUND((AC16*FGFD4)/(1-GASADMON-GASADQUI-UTILIDAD-MARGENDESVIACION),2),0)</f>
        <v>0</v>
      </c>
      <c r="X57" s="614">
        <f>IF(AND(S18="AMPARADA",T31="AMPARADA"),ROUND((AC18*FGFD5)/(1-GASADMON-GASADQUI-UTILIDAD-MARGENDESVIACION),2),0)</f>
        <v>0</v>
      </c>
      <c r="Y57" s="133"/>
      <c r="Z57" s="397"/>
      <c r="AA57" s="397"/>
      <c r="AB57" s="397"/>
      <c r="AC57" s="397"/>
      <c r="AD57" s="397"/>
      <c r="AE57" s="397"/>
      <c r="AG57" s="406">
        <f t="shared" si="2"/>
        <v>51</v>
      </c>
      <c r="AH57" s="409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1"/>
      <c r="S58" s="542"/>
      <c r="T58" s="542"/>
      <c r="U58" s="542"/>
      <c r="V58" s="542"/>
      <c r="W58" s="542"/>
      <c r="X58" s="543"/>
      <c r="Y58" s="132"/>
      <c r="Z58" s="397"/>
      <c r="AA58" s="397"/>
      <c r="AB58" s="397"/>
      <c r="AC58" s="397"/>
      <c r="AD58" s="397"/>
      <c r="AE58" s="397"/>
      <c r="AG58" s="406">
        <f t="shared" si="2"/>
        <v>52</v>
      </c>
      <c r="AH58" s="409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5" t="s">
        <v>111</v>
      </c>
      <c r="S59" s="613">
        <v>0</v>
      </c>
      <c r="T59" s="613">
        <f>IF(AND(S8="AMPARADA",T32="AMPARADA"),ROUND(T47*IFERROR(VLOOKUP($T$8,Tablas!$AQ$6:$AR$73,2,),0),2),0)</f>
        <v>0</v>
      </c>
      <c r="U59" s="613">
        <f>IF(AND(S8="AMPARADA",T32="AMPARADA"),ROUND(U47*IFERROR(VLOOKUP($T$8,Tablas!$AQ$6:$AR$73,2,),0),2),0)</f>
        <v>0</v>
      </c>
      <c r="V59" s="613">
        <f>IF(AND(S8="AMPARADA",T32="AMPARADA"),ROUND(V47*IFERROR(VLOOKUP($T$8,Tablas!$AQ$6:$AR$73,2,),0),2),0)</f>
        <v>0</v>
      </c>
      <c r="W59" s="613">
        <f>IF(AND(S8="AMPARADA",T32="AMPARADA"),ROUND(W47*IFERROR(VLOOKUP($T$8,Tablas!$AQ$6:$AR$73,2,),0),2),0)</f>
        <v>0</v>
      </c>
      <c r="X59" s="614">
        <f>IF(AND(S8="AMPARADA",T32="AMPARADA"),ROUND(X47*IFERROR(VLOOKUP($T$8,Tablas!$AQ$6:$AR$73,2,),0),2),0)</f>
        <v>0</v>
      </c>
      <c r="Y59" s="133"/>
      <c r="Z59" s="627" t="e">
        <f>S67/S47</f>
        <v>#DIV/0!</v>
      </c>
      <c r="AA59" s="397"/>
      <c r="AB59" s="397"/>
      <c r="AC59" s="397"/>
      <c r="AD59" s="397"/>
      <c r="AE59" s="397"/>
      <c r="AG59" s="406">
        <f t="shared" si="2"/>
        <v>53</v>
      </c>
      <c r="AH59" s="409">
        <f t="shared" si="1"/>
        <v>53</v>
      </c>
    </row>
    <row r="60" spans="2:34" hidden="1" x14ac:dyDescent="0.35">
      <c r="B60" s="20"/>
      <c r="C60" s="17"/>
      <c r="K60" s="14"/>
      <c r="R60" s="541"/>
      <c r="S60" s="542"/>
      <c r="T60" s="542"/>
      <c r="U60" s="542"/>
      <c r="V60" s="542"/>
      <c r="W60" s="542"/>
      <c r="X60" s="543"/>
      <c r="Y60" s="132"/>
      <c r="Z60" s="628"/>
      <c r="AA60" s="397"/>
      <c r="AB60" s="397"/>
      <c r="AC60" s="397"/>
      <c r="AD60" s="397"/>
      <c r="AE60" s="397"/>
      <c r="AG60" s="406">
        <f t="shared" si="2"/>
        <v>54</v>
      </c>
      <c r="AH60" s="409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0"/>
      <c r="R61" s="615" t="s">
        <v>146</v>
      </c>
      <c r="S61" s="613">
        <f>IF(AND(S8="AMPARADA",T33="AMPARADA"),ROUND((PCATTITULAR)/(1-GASADMON-GASADQUI-UTILIDAD-MARGENDESVIACION),2),0)</f>
        <v>0</v>
      </c>
      <c r="T61" s="613">
        <f>IF(AND(S10="AMPARADA",T33="AMPARADA"),ROUND((PCATD1)/(1-GASADMON-GASADQUI-UTILIDAD-MARGENDESVIACION),2),0)</f>
        <v>0</v>
      </c>
      <c r="U61" s="613">
        <f>IF(AND(S12="AMPARADA",T33="AMPARADA"),ROUND((PCATD2)/(1-GASADMON-GASADQUI-UTILIDAD-MARGENDESVIACION),2),0)</f>
        <v>0</v>
      </c>
      <c r="V61" s="613">
        <f>IF(AND(S14="AMPARADA",T33="AMPARADA"),ROUND((PCATD3)/(1-GASADMON-GASADQUI-UTILIDAD-MARGENDESVIACION),2),0)</f>
        <v>0</v>
      </c>
      <c r="W61" s="613">
        <f>IF(AND(S16="AMPARADA",T33="AMPARADA"),ROUND((PCATD4)/(1-GASADMON-GASADQUI-UTILIDAD-MARGENDESVIACION),2),0)</f>
        <v>0</v>
      </c>
      <c r="X61" s="614">
        <f>IF(AND(S18="AMPARADA",T33="AMPARADA"),ROUND((PCATD5)/(1-GASADMON-GASADQUI-UTILIDAD-MARGENDESVIACION),2),0)</f>
        <v>0</v>
      </c>
      <c r="Y61" s="133"/>
      <c r="Z61" s="628">
        <f>S47*0.18</f>
        <v>0</v>
      </c>
      <c r="AA61" s="397"/>
      <c r="AB61" s="397"/>
      <c r="AC61" s="397"/>
      <c r="AD61" s="397"/>
      <c r="AE61" s="397"/>
      <c r="AG61" s="406">
        <f t="shared" si="2"/>
        <v>55</v>
      </c>
      <c r="AH61" s="409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4"/>
      <c r="S62" s="545"/>
      <c r="T62" s="545"/>
      <c r="U62" s="545"/>
      <c r="V62" s="545"/>
      <c r="W62" s="545"/>
      <c r="X62" s="546"/>
      <c r="Y62" s="132"/>
      <c r="Z62" s="628"/>
      <c r="AA62" s="397"/>
      <c r="AB62" s="397"/>
      <c r="AC62" s="397"/>
      <c r="AD62" s="397"/>
      <c r="AE62" s="397"/>
      <c r="AG62" s="406">
        <f t="shared" si="2"/>
        <v>56</v>
      </c>
      <c r="AH62" s="409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0" t="s">
        <v>214</v>
      </c>
      <c r="S63" s="613">
        <f>IF(AND(S8="AMPARADA",$T$34="AMPARADA"),ROUND((S47*(FELIMINADEDYCS-1))/(1-GASADMON-GASADQUI-UTILIDAD-MARGENDESVIACION),2),0)</f>
        <v>0</v>
      </c>
      <c r="T63" s="613">
        <f>IF(AND(S10="AMPARADA",$T$34="AMPARADA"),ROUND((T47*(FELIMINADEDYCS-1))/(1-GASADMON-GASADQUI-UTILIDAD-MARGENDESVIACION),2),0)</f>
        <v>0</v>
      </c>
      <c r="U63" s="613">
        <f>IF(AND(S12="AMPARADA",$T$34="AMPARADA"),ROUND((U47*(FELIMINADEDYCS-1))/(1-GASADMON-GASADQUI-UTILIDAD-MARGENDESVIACION),2),0)</f>
        <v>0</v>
      </c>
      <c r="V63" s="613">
        <f>IF(AND(S14="AMPARADA",$T$34="AMPARADA"),ROUND((V47*(FELIMINADEDYCS-1))/(1-GASADMON-GASADQUI-UTILIDAD-MARGENDESVIACION),2),0)</f>
        <v>0</v>
      </c>
      <c r="W63" s="613">
        <f>IF(AND(S16="AMPARADA",$T$34="AMPARADA"),ROUND((W47*(FELIMINADEDYCS-1))/(1-GASADMON-GASADQUI-UTILIDAD-MARGENDESVIACION),2),0)</f>
        <v>0</v>
      </c>
      <c r="X63" s="614">
        <f>IF(AND(S18="AMPARADA",$T$34="AMPARADA"),ROUND((X47*(FELIMINADEDYCS-1))/(1-GASADMON-GASADQUI-UTILIDAD-MARGENDESVIACION),2),0)</f>
        <v>0</v>
      </c>
      <c r="Y63" s="133"/>
      <c r="Z63" s="628"/>
      <c r="AA63" s="397"/>
      <c r="AB63" s="397"/>
      <c r="AC63" s="397"/>
      <c r="AD63" s="397"/>
      <c r="AE63" s="397"/>
      <c r="AG63" s="406">
        <f t="shared" si="2"/>
        <v>57</v>
      </c>
      <c r="AH63" s="409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7"/>
      <c r="S64" s="548"/>
      <c r="T64" s="548"/>
      <c r="U64" s="548"/>
      <c r="V64" s="548"/>
      <c r="W64" s="548"/>
      <c r="X64" s="549"/>
      <c r="Y64" s="137"/>
      <c r="Z64" s="628">
        <f>S47*(FAYUDADIARIA-1)</f>
        <v>0</v>
      </c>
      <c r="AA64" s="397"/>
      <c r="AB64" s="397"/>
      <c r="AC64" s="397"/>
      <c r="AD64" s="397"/>
      <c r="AE64" s="397"/>
      <c r="AG64" s="406">
        <f t="shared" si="2"/>
        <v>58</v>
      </c>
      <c r="AH64" s="409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5" t="s">
        <v>177</v>
      </c>
      <c r="S65" s="613">
        <f>IF(AND($S$8="AMPARADA",$T$35="AMPARADA"),ROUND($S$47*(FCOBEXT),2),0)</f>
        <v>0</v>
      </c>
      <c r="T65" s="613">
        <f>IF(AND($S$8="AMPARADA",$T$35="AMPARADA"),ROUND($T$47*(FCOBEXT),2),0)</f>
        <v>0</v>
      </c>
      <c r="U65" s="613">
        <f>IF(AND($S$12="AMPARADA",$T$35="AMPARADA"),ROUND($U$47*(FCOBEXT),2),0)</f>
        <v>0</v>
      </c>
      <c r="V65" s="613">
        <f>IF(AND($S$14="AMPARADA",$T$35="AMPARADA"),ROUND($V$47*(FCOBEXT),2),0)</f>
        <v>0</v>
      </c>
      <c r="W65" s="613">
        <f>IF(AND($S$16="AMPARADA",$T$35="AMPARADA"),ROUND($W$47*(FCOBEXT),2),0)</f>
        <v>0</v>
      </c>
      <c r="X65" s="614">
        <f>IF(AND($S$18="AMPARADA",$T$35="AMPARADA"),ROUND($X$47*(FCOBEXT),2),0)</f>
        <v>0</v>
      </c>
      <c r="Y65" s="132"/>
      <c r="Z65" s="628">
        <f>S53*(FAYUDADIARIA-1)</f>
        <v>0</v>
      </c>
      <c r="AA65" s="397"/>
      <c r="AB65" s="397"/>
      <c r="AC65" s="397"/>
      <c r="AD65" s="397"/>
      <c r="AE65" s="397"/>
      <c r="AG65" s="406">
        <f t="shared" si="2"/>
        <v>59</v>
      </c>
      <c r="AH65" s="409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7"/>
      <c r="S66" s="548"/>
      <c r="T66" s="548"/>
      <c r="U66" s="548"/>
      <c r="V66" s="548"/>
      <c r="W66" s="548"/>
      <c r="X66" s="549"/>
      <c r="Y66" s="132"/>
      <c r="Z66" s="397"/>
      <c r="AA66" s="397"/>
      <c r="AB66" s="397"/>
      <c r="AC66" s="397"/>
      <c r="AD66" s="397"/>
      <c r="AE66" s="397"/>
      <c r="AG66" s="406">
        <f t="shared" si="2"/>
        <v>60</v>
      </c>
      <c r="AH66" s="409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3"/>
      <c r="R67" s="615" t="s">
        <v>213</v>
      </c>
      <c r="S67" s="613">
        <f>IF(AND(S8="AMPARADA",T36="AMPARADA"),ROUND((S47*(FAYUDADIARIA-1))/(1-GASADMON-GASADQUI-UTILIDAD-MARGENDESVIACION),2),0)</f>
        <v>0</v>
      </c>
      <c r="T67" s="613">
        <f>IF(AND(S10="AMPARADA",T36="AMPARADA"),ROUND((T47*(FAYUDADIARIA-1))/(1-GASADMON-GASADQUI-UTILIDAD-MARGENDESVIACION),2),0)</f>
        <v>0</v>
      </c>
      <c r="U67" s="613">
        <f>IF(AND(S12="AMPARADA",T36="AMPARADA"),ROUND((U47*(FAYUDADIARIA-1))/(1-GASADMON-GASADQUI-UTILIDAD-MARGENDESVIACION),2),0)</f>
        <v>0</v>
      </c>
      <c r="V67" s="613">
        <f>IF(AND(S14="AMPARADA",T36="AMPARADA"),ROUND((V47*(FAYUDADIARIA-1))/(1-GASADMON-GASADQUI-UTILIDAD-MARGENDESVIACION),2),0)</f>
        <v>0</v>
      </c>
      <c r="W67" s="613">
        <f>IF(AND(S16="AMPARADA",T36="AMPARADA"),ROUND((W47*(FAYUDADIARIA-1))/(1-GASADMON-GASADQUI-UTILIDAD-MARGENDESVIACION),2),0)</f>
        <v>0</v>
      </c>
      <c r="X67" s="614">
        <f>IF(AND(S18="AMPARADA",T36="AMPARADA"),ROUND((X47*(FAYUDADIARIA-1))/(1-GASADMON-GASADQUI-UTILIDAD-MARGENDESVIACION),2),0)</f>
        <v>0</v>
      </c>
      <c r="Y67" s="132"/>
      <c r="Z67" s="397"/>
      <c r="AA67" s="397"/>
      <c r="AB67" s="397"/>
      <c r="AC67" s="397"/>
      <c r="AD67" s="397"/>
      <c r="AE67" s="397"/>
      <c r="AG67" s="406">
        <f t="shared" si="2"/>
        <v>61</v>
      </c>
      <c r="AH67" s="409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3"/>
      <c r="R68" s="550"/>
      <c r="S68" s="542"/>
      <c r="T68" s="542"/>
      <c r="U68" s="542"/>
      <c r="V68" s="542"/>
      <c r="W68" s="542"/>
      <c r="X68" s="543"/>
      <c r="Y68" s="132"/>
      <c r="Z68" s="397"/>
      <c r="AA68" s="397"/>
      <c r="AB68" s="397"/>
      <c r="AC68" s="397"/>
      <c r="AD68" s="397"/>
      <c r="AE68" s="397"/>
      <c r="AG68" s="406">
        <f>AG67+1</f>
        <v>62</v>
      </c>
      <c r="AH68" s="409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3"/>
      <c r="R69" s="615" t="s">
        <v>261</v>
      </c>
      <c r="S69" s="613">
        <f>IF(AND(S8="AMPARADA",T39="AMPARADA"),ROUND((S47*(FENFGVESEXT-1))/(1-GASADMON-GASADQUI-UTILIDAD-MARGENDESVIACION),2),0)</f>
        <v>0</v>
      </c>
      <c r="T69" s="613">
        <f>IF(AND(S10="AMPARADA",T39="AMPARADA"),ROUND((T47*(FENFGVESEXT-1))/(1-GASADMON-GASADQUI-UTILIDAD-MARGENDESVIACION),2),0)</f>
        <v>0</v>
      </c>
      <c r="U69" s="613">
        <f>IF(AND(S12="AMPARADA",T39="AMPARADA"),ROUND((U47*(FENFGVESEXT-1))/(1-GASADMON-GASADQUI-UTILIDAD-MARGENDESVIACION),2),0)</f>
        <v>0</v>
      </c>
      <c r="V69" s="613">
        <f>IF(AND(S14="AMPARADA",T39="AMPARADA"),ROUND((V47*(FENFGVESEXT-1))/(1-GASADMON-GASADQUI-UTILIDAD-MARGENDESVIACION),2),0)</f>
        <v>0</v>
      </c>
      <c r="W69" s="613">
        <f>IF(AND(S16="AMPARADA",T39="AMPARADA"),ROUND((W47*(FENFGVESEXT-1))/(1-GASADMON-GASADQUI-UTILIDAD-MARGENDESVIACION),2),0)</f>
        <v>0</v>
      </c>
      <c r="X69" s="614">
        <f>IF(AND(S18="AMPARADA",T39="AMPARADA"),ROUND((X47*(FENFGVESEXT-1))/(1-GASADMON-GASADQUI-UTILIDAD-MARGENDESVIACION),2),0)</f>
        <v>0</v>
      </c>
      <c r="Y69" s="132"/>
      <c r="Z69" s="397"/>
      <c r="AA69" s="397"/>
      <c r="AB69" s="397"/>
      <c r="AC69" s="397"/>
      <c r="AD69" s="397"/>
      <c r="AE69" s="397"/>
      <c r="AG69" s="406">
        <f t="shared" si="2"/>
        <v>63</v>
      </c>
      <c r="AH69" s="409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7"/>
      <c r="S70" s="548"/>
      <c r="T70" s="548"/>
      <c r="U70" s="548"/>
      <c r="V70" s="548"/>
      <c r="W70" s="548"/>
      <c r="X70" s="549"/>
      <c r="Y70" s="132"/>
      <c r="Z70" s="397"/>
      <c r="AA70" s="397"/>
      <c r="AB70" s="397"/>
      <c r="AC70" s="397"/>
      <c r="AD70" s="397"/>
      <c r="AE70" s="397"/>
      <c r="AG70" s="406">
        <f t="shared" si="2"/>
        <v>64</v>
      </c>
      <c r="AH70" s="409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1" t="s">
        <v>199</v>
      </c>
      <c r="S71" s="622">
        <f>IF(AND(S8="AMPARADA",T37="AMPARADA"),ROUND((S47*(Mr-1))/(1-GASADMON-GASADQUI-UTILIDAD-MARGENDESVIACION),2),0)</f>
        <v>0</v>
      </c>
      <c r="T71" s="622">
        <f>IF(AND(S10="AMPARADA",T37="AMPARADA"),ROUND((T47*(Mr-1))/(1-GASADMON-GASADQUI-UTILIDAD-MARGENDESVIACION),2),0)</f>
        <v>0</v>
      </c>
      <c r="U71" s="622">
        <f>IF(AND(S12="AMPARADA",T37="AMPARADA"),ROUND((U47*(Mr-1))/(1-GASADMON-GASADQUI-UTILIDAD-MARGENDESVIACION),2),0)</f>
        <v>0</v>
      </c>
      <c r="V71" s="622">
        <f>IF(AND(S14="AMPARADA",T37="AMPARADA"),ROUND((V47*(Mr-1))/(1-GASADMON-GASADQUI-UTILIDAD-MARGENDESVIACION),2),0)</f>
        <v>0</v>
      </c>
      <c r="W71" s="622">
        <f>IF(AND(S16="AMPARADA",T37="AMPARADA"),ROUND((W47*(Mr-1))/(1-GASADMON-GASADQUI-UTILIDAD-MARGENDESVIACION),2),0)</f>
        <v>0</v>
      </c>
      <c r="X71" s="623">
        <f>IF(AND(S18="AMPARADA",T37="AMPARADA"),ROUND((X47*(Mr-1))/(1-GASADMON-GASADQUI-UTILIDAD-MARGENDESVIACION),2),0)</f>
        <v>0</v>
      </c>
      <c r="Y71" s="132"/>
      <c r="Z71" s="397"/>
      <c r="AA71" s="397"/>
      <c r="AB71" s="397"/>
      <c r="AC71" s="397"/>
      <c r="AD71" s="397"/>
      <c r="AE71" s="397"/>
      <c r="AG71" s="406">
        <f t="shared" si="2"/>
        <v>65</v>
      </c>
      <c r="AH71" s="409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7"/>
      <c r="AA72" s="397"/>
      <c r="AB72" s="397"/>
      <c r="AC72" s="397"/>
      <c r="AD72" s="397"/>
      <c r="AE72" s="397"/>
      <c r="AG72" s="406">
        <f t="shared" ref="AG72:AG105" si="4">AG71+1</f>
        <v>66</v>
      </c>
      <c r="AH72" s="409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7"/>
      <c r="AA73" s="397"/>
      <c r="AB73" s="397"/>
      <c r="AC73" s="397"/>
      <c r="AD73" s="397"/>
      <c r="AE73" s="397"/>
      <c r="AG73" s="406">
        <f t="shared" si="4"/>
        <v>67</v>
      </c>
      <c r="AH73" s="409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7"/>
      <c r="S74" s="444"/>
      <c r="T74" s="444"/>
      <c r="U74" s="444"/>
      <c r="V74" s="444"/>
      <c r="W74" s="444"/>
      <c r="X74" s="444"/>
      <c r="Y74" s="132"/>
      <c r="Z74" s="397"/>
      <c r="AA74" s="397"/>
      <c r="AB74" s="397"/>
      <c r="AC74" s="397"/>
      <c r="AD74" s="397"/>
      <c r="AE74" s="397"/>
      <c r="AG74" s="406">
        <f t="shared" si="4"/>
        <v>68</v>
      </c>
      <c r="AH74" s="409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0" t="s">
        <v>132</v>
      </c>
      <c r="S75" s="444"/>
      <c r="T75" s="444"/>
      <c r="U75" s="444"/>
      <c r="V75" s="444"/>
      <c r="W75" s="444"/>
      <c r="X75" s="444"/>
      <c r="Y75" s="132"/>
      <c r="Z75" s="397"/>
      <c r="AA75" s="397"/>
      <c r="AB75" s="397"/>
      <c r="AC75" s="397"/>
      <c r="AD75" s="397"/>
      <c r="AE75" s="397"/>
      <c r="AG75" s="406">
        <f t="shared" si="4"/>
        <v>69</v>
      </c>
      <c r="AH75" s="409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5">
        <v>1</v>
      </c>
      <c r="R76" s="446">
        <v>2</v>
      </c>
      <c r="S76" s="447">
        <v>3</v>
      </c>
      <c r="T76" s="447">
        <v>4</v>
      </c>
      <c r="U76" s="447">
        <v>5</v>
      </c>
      <c r="V76" s="447">
        <v>6</v>
      </c>
      <c r="W76" s="447">
        <v>7</v>
      </c>
      <c r="X76" s="447">
        <v>8</v>
      </c>
      <c r="Y76" s="132"/>
      <c r="Z76" s="397"/>
      <c r="AA76" s="397"/>
      <c r="AB76" s="397"/>
      <c r="AC76" s="397"/>
      <c r="AD76" s="397"/>
      <c r="AE76" s="397"/>
      <c r="AG76" s="406">
        <f t="shared" si="4"/>
        <v>70</v>
      </c>
      <c r="AH76" s="409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48" t="s">
        <v>112</v>
      </c>
      <c r="S77" s="449" t="s">
        <v>80</v>
      </c>
      <c r="T77" s="450" t="s">
        <v>81</v>
      </c>
      <c r="U77" s="450" t="s">
        <v>82</v>
      </c>
      <c r="V77" s="450" t="s">
        <v>83</v>
      </c>
      <c r="W77" s="450" t="s">
        <v>84</v>
      </c>
      <c r="X77" s="451" t="s">
        <v>85</v>
      </c>
      <c r="Y77" s="397"/>
      <c r="Z77" s="397"/>
      <c r="AA77" s="397"/>
      <c r="AB77" s="397"/>
      <c r="AC77" s="397"/>
      <c r="AD77" s="397"/>
      <c r="AE77" s="397"/>
      <c r="AG77" s="406">
        <f t="shared" si="4"/>
        <v>71</v>
      </c>
      <c r="AH77" s="409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2"/>
      <c r="Q78" s="82" t="s">
        <v>129</v>
      </c>
      <c r="R78" s="453" t="s">
        <v>168</v>
      </c>
      <c r="S78" s="454"/>
      <c r="T78" s="454"/>
      <c r="U78" s="454"/>
      <c r="V78" s="454"/>
      <c r="W78" s="454"/>
      <c r="X78" s="455"/>
      <c r="Y78" s="397"/>
      <c r="Z78" s="397"/>
      <c r="AA78" s="397"/>
      <c r="AB78" s="397"/>
      <c r="AC78" s="397"/>
      <c r="AD78" s="397"/>
      <c r="AE78" s="397"/>
      <c r="AG78" s="406">
        <f t="shared" si="4"/>
        <v>72</v>
      </c>
      <c r="AH78" s="409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6" t="str">
        <f>$R$78&amp;"_"&amp;R79</f>
        <v>Con Honorarios Quirurgicos_NACIONAL</v>
      </c>
      <c r="R79" s="457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4"/>
      <c r="Z79" s="397"/>
      <c r="AA79" s="397"/>
      <c r="AB79" s="397"/>
      <c r="AC79" s="397"/>
      <c r="AD79" s="397"/>
      <c r="AE79" s="397"/>
      <c r="AG79" s="406">
        <f t="shared" si="4"/>
        <v>73</v>
      </c>
      <c r="AH79" s="409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6" t="str">
        <f>$R$78&amp;"_"&amp;R80</f>
        <v>Con Honorarios Quirurgicos_INTERNACIONAL</v>
      </c>
      <c r="R80" s="458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4"/>
      <c r="Z80" s="397"/>
      <c r="AA80" s="397"/>
      <c r="AB80" s="397"/>
      <c r="AC80" s="397"/>
      <c r="AD80" s="397"/>
      <c r="AE80" s="397"/>
      <c r="AG80" s="406">
        <f t="shared" si="4"/>
        <v>74</v>
      </c>
      <c r="AH80" s="409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6" t="s">
        <v>130</v>
      </c>
      <c r="R81" s="459" t="s">
        <v>169</v>
      </c>
      <c r="S81" s="140"/>
      <c r="T81" s="140"/>
      <c r="U81" s="140"/>
      <c r="V81" s="140"/>
      <c r="W81" s="140"/>
      <c r="X81" s="141"/>
      <c r="Y81" s="444"/>
      <c r="Z81" s="397"/>
      <c r="AA81" s="397"/>
      <c r="AB81" s="397"/>
      <c r="AC81" s="397"/>
      <c r="AD81" s="397"/>
      <c r="AE81" s="397"/>
      <c r="AG81" s="406">
        <f t="shared" si="4"/>
        <v>75</v>
      </c>
      <c r="AH81" s="409">
        <f t="shared" si="1"/>
        <v>75</v>
      </c>
    </row>
    <row r="82" spans="3:34" ht="15.5" hidden="1" x14ac:dyDescent="0.35">
      <c r="F82" s="54"/>
      <c r="H82" s="55"/>
      <c r="I82" s="55"/>
      <c r="J82" s="64"/>
      <c r="Q82" s="456" t="str">
        <f>$R$81&amp;"_"&amp;R82</f>
        <v>Sin Honorarios Quirurgicos_NACIONAL</v>
      </c>
      <c r="R82" s="457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4"/>
      <c r="Z82" s="397"/>
      <c r="AA82" s="397"/>
      <c r="AB82" s="397"/>
      <c r="AC82" s="397"/>
      <c r="AD82" s="397"/>
      <c r="AE82" s="397"/>
      <c r="AG82" s="406">
        <f t="shared" si="4"/>
        <v>76</v>
      </c>
      <c r="AH82" s="409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6" t="str">
        <f>$R$81&amp;"_"&amp;R83</f>
        <v>Sin Honorarios Quirurgicos_INTERNACIONAL</v>
      </c>
      <c r="R83" s="460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4"/>
      <c r="Z83" s="397"/>
      <c r="AA83" s="397"/>
      <c r="AB83" s="397"/>
      <c r="AC83" s="397"/>
      <c r="AD83" s="397"/>
      <c r="AE83" s="397"/>
      <c r="AG83" s="406">
        <f t="shared" si="4"/>
        <v>77</v>
      </c>
      <c r="AH83" s="409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7"/>
      <c r="S84" s="135"/>
      <c r="T84" s="135"/>
      <c r="U84" s="135"/>
      <c r="V84" s="135"/>
      <c r="W84" s="135"/>
      <c r="X84" s="135"/>
      <c r="Y84" s="444"/>
      <c r="Z84" s="397"/>
      <c r="AA84" s="397"/>
      <c r="AB84" s="397"/>
      <c r="AC84" s="397"/>
      <c r="AD84" s="397"/>
      <c r="AE84" s="397"/>
      <c r="AG84" s="406">
        <f t="shared" si="4"/>
        <v>78</v>
      </c>
      <c r="AH84" s="409">
        <f t="shared" si="1"/>
        <v>78</v>
      </c>
    </row>
    <row r="85" spans="3:34" ht="15.5" hidden="1" x14ac:dyDescent="0.35">
      <c r="F85" s="54"/>
      <c r="H85" s="55"/>
      <c r="I85" s="55"/>
      <c r="J85" s="64"/>
      <c r="R85" s="397"/>
      <c r="S85" s="135"/>
      <c r="T85" s="135"/>
      <c r="U85" s="135"/>
      <c r="V85" s="135"/>
      <c r="W85" s="135"/>
      <c r="X85" s="135"/>
      <c r="Y85" s="444"/>
      <c r="Z85" s="397"/>
      <c r="AA85" s="397"/>
      <c r="AB85" s="397"/>
      <c r="AC85" s="397"/>
      <c r="AD85" s="397"/>
      <c r="AE85" s="397"/>
      <c r="AG85" s="406">
        <f t="shared" si="4"/>
        <v>79</v>
      </c>
      <c r="AH85" s="409">
        <f t="shared" si="1"/>
        <v>79</v>
      </c>
    </row>
    <row r="86" spans="3:34" hidden="1" x14ac:dyDescent="0.35">
      <c r="R86" s="397"/>
      <c r="S86" s="135"/>
      <c r="T86" s="135"/>
      <c r="U86" s="135"/>
      <c r="V86" s="135"/>
      <c r="W86" s="135"/>
      <c r="X86" s="135"/>
      <c r="Y86" s="444"/>
      <c r="Z86" s="397"/>
      <c r="AA86" s="397"/>
      <c r="AB86" s="397"/>
      <c r="AC86" s="397"/>
      <c r="AD86" s="397"/>
      <c r="AE86" s="397"/>
      <c r="AG86" s="406">
        <f t="shared" si="4"/>
        <v>80</v>
      </c>
      <c r="AH86" s="409">
        <f t="shared" si="1"/>
        <v>80</v>
      </c>
    </row>
    <row r="87" spans="3:34" ht="15.5" hidden="1" x14ac:dyDescent="0.35">
      <c r="R87" s="400" t="s">
        <v>128</v>
      </c>
      <c r="S87" s="444"/>
      <c r="T87" s="444"/>
      <c r="U87" s="444"/>
      <c r="V87" s="444"/>
      <c r="W87" s="444"/>
      <c r="X87" s="444"/>
      <c r="Y87" s="444"/>
      <c r="Z87" s="397"/>
      <c r="AA87" s="397"/>
      <c r="AB87" s="397"/>
      <c r="AC87" s="397"/>
      <c r="AD87" s="397"/>
      <c r="AE87" s="397"/>
      <c r="AG87" s="406">
        <f t="shared" si="4"/>
        <v>81</v>
      </c>
      <c r="AH87" s="409">
        <f t="shared" si="1"/>
        <v>81</v>
      </c>
    </row>
    <row r="88" spans="3:34" ht="15" hidden="1" thickBot="1" x14ac:dyDescent="0.4">
      <c r="Q88" s="445">
        <v>1</v>
      </c>
      <c r="R88" s="446">
        <v>2</v>
      </c>
      <c r="S88" s="447">
        <v>3</v>
      </c>
      <c r="T88" s="447">
        <v>4</v>
      </c>
      <c r="U88" s="447">
        <v>5</v>
      </c>
      <c r="V88" s="447">
        <v>6</v>
      </c>
      <c r="W88" s="447">
        <v>7</v>
      </c>
      <c r="X88" s="447">
        <v>8</v>
      </c>
      <c r="Y88" s="444"/>
      <c r="Z88" s="397"/>
      <c r="AA88" s="397"/>
      <c r="AB88" s="397"/>
      <c r="AC88" s="397"/>
      <c r="AD88" s="397"/>
      <c r="AE88" s="397"/>
      <c r="AG88" s="406">
        <f t="shared" si="4"/>
        <v>82</v>
      </c>
      <c r="AH88" s="409">
        <f t="shared" si="1"/>
        <v>82</v>
      </c>
    </row>
    <row r="89" spans="3:34" hidden="1" x14ac:dyDescent="0.35">
      <c r="R89" s="448" t="s">
        <v>112</v>
      </c>
      <c r="S89" s="449" t="s">
        <v>80</v>
      </c>
      <c r="T89" s="450" t="s">
        <v>81</v>
      </c>
      <c r="U89" s="450" t="s">
        <v>82</v>
      </c>
      <c r="V89" s="450" t="s">
        <v>83</v>
      </c>
      <c r="W89" s="450" t="s">
        <v>84</v>
      </c>
      <c r="X89" s="451" t="s">
        <v>85</v>
      </c>
      <c r="Y89" s="444"/>
      <c r="Z89" s="397"/>
      <c r="AA89" s="397"/>
      <c r="AB89" s="397"/>
      <c r="AC89" s="397"/>
      <c r="AD89" s="397"/>
      <c r="AE89" s="397"/>
      <c r="AG89" s="406">
        <f t="shared" si="4"/>
        <v>83</v>
      </c>
      <c r="AH89" s="409">
        <f t="shared" si="1"/>
        <v>83</v>
      </c>
    </row>
    <row r="90" spans="3:34" hidden="1" x14ac:dyDescent="0.35">
      <c r="Q90" s="82" t="s">
        <v>129</v>
      </c>
      <c r="R90" s="453" t="s">
        <v>168</v>
      </c>
      <c r="S90" s="454"/>
      <c r="T90" s="454"/>
      <c r="U90" s="454"/>
      <c r="V90" s="454"/>
      <c r="W90" s="454"/>
      <c r="X90" s="455"/>
      <c r="Y90" s="444"/>
      <c r="Z90" s="397"/>
      <c r="AA90" s="397"/>
      <c r="AB90" s="397"/>
      <c r="AC90" s="397"/>
      <c r="AD90" s="397"/>
      <c r="AE90" s="397"/>
      <c r="AG90" s="406">
        <f t="shared" si="4"/>
        <v>84</v>
      </c>
      <c r="AH90" s="409">
        <f t="shared" si="1"/>
        <v>84</v>
      </c>
    </row>
    <row r="91" spans="3:34" hidden="1" x14ac:dyDescent="0.35">
      <c r="Q91" s="456" t="str">
        <f>$R$78&amp;"_"&amp;R91</f>
        <v>Con Honorarios Quirurgicos_NACIONAL</v>
      </c>
      <c r="R91" s="457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4"/>
      <c r="Z91" s="397"/>
      <c r="AA91" s="397"/>
      <c r="AB91" s="397"/>
      <c r="AC91" s="397"/>
      <c r="AD91" s="397"/>
      <c r="AE91" s="397"/>
      <c r="AG91" s="406">
        <f t="shared" si="4"/>
        <v>85</v>
      </c>
      <c r="AH91" s="409">
        <f t="shared" si="1"/>
        <v>85</v>
      </c>
    </row>
    <row r="92" spans="3:34" hidden="1" x14ac:dyDescent="0.35">
      <c r="Q92" s="456" t="str">
        <f>$R$78&amp;"_"&amp;R92</f>
        <v>Con Honorarios Quirurgicos_INTERNACIONAL</v>
      </c>
      <c r="R92" s="457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4"/>
      <c r="Z92" s="397"/>
      <c r="AA92" s="397"/>
      <c r="AB92" s="397"/>
      <c r="AC92" s="397"/>
      <c r="AD92" s="397"/>
      <c r="AE92" s="397"/>
      <c r="AG92" s="406">
        <f t="shared" si="4"/>
        <v>86</v>
      </c>
      <c r="AH92" s="409">
        <f t="shared" si="1"/>
        <v>86</v>
      </c>
    </row>
    <row r="93" spans="3:34" hidden="1" x14ac:dyDescent="0.35">
      <c r="F93" s="8"/>
      <c r="Q93" s="456" t="s">
        <v>130</v>
      </c>
      <c r="R93" s="459" t="s">
        <v>169</v>
      </c>
      <c r="S93" s="140"/>
      <c r="T93" s="140"/>
      <c r="U93" s="140"/>
      <c r="V93" s="140"/>
      <c r="W93" s="140"/>
      <c r="X93" s="141"/>
      <c r="Y93" s="444"/>
      <c r="Z93" s="397"/>
      <c r="AA93" s="397"/>
      <c r="AB93" s="397"/>
      <c r="AC93" s="397"/>
      <c r="AD93" s="397"/>
      <c r="AE93" s="397"/>
      <c r="AG93" s="406">
        <f t="shared" si="4"/>
        <v>87</v>
      </c>
      <c r="AH93" s="409">
        <f t="shared" si="1"/>
        <v>87</v>
      </c>
    </row>
    <row r="94" spans="3:34" hidden="1" x14ac:dyDescent="0.35">
      <c r="Q94" s="456" t="str">
        <f>$R$81&amp;"_"&amp;R94</f>
        <v>Sin Honorarios Quirurgicos_NACIONAL</v>
      </c>
      <c r="R94" s="457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4"/>
      <c r="Z94" s="397"/>
      <c r="AA94" s="397"/>
      <c r="AB94" s="397"/>
      <c r="AC94" s="397"/>
      <c r="AD94" s="397"/>
      <c r="AE94" s="397"/>
      <c r="AG94" s="406">
        <f t="shared" si="4"/>
        <v>88</v>
      </c>
      <c r="AH94" s="409">
        <f t="shared" ref="AH94:AH105" si="12">+AH93+1</f>
        <v>88</v>
      </c>
    </row>
    <row r="95" spans="3:34" ht="15" hidden="1" thickBot="1" x14ac:dyDescent="0.4">
      <c r="Q95" s="456" t="str">
        <f>$R$81&amp;"_"&amp;R95</f>
        <v>Sin Honorarios Quirurgicos_INTERNACIONAL</v>
      </c>
      <c r="R95" s="461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4"/>
      <c r="Z95" s="397"/>
      <c r="AA95" s="397"/>
      <c r="AB95" s="397"/>
      <c r="AC95" s="397"/>
      <c r="AD95" s="397"/>
      <c r="AE95" s="397"/>
      <c r="AG95" s="406">
        <f t="shared" si="4"/>
        <v>89</v>
      </c>
      <c r="AH95" s="409">
        <f t="shared" si="12"/>
        <v>89</v>
      </c>
    </row>
    <row r="96" spans="3:34" hidden="1" x14ac:dyDescent="0.35">
      <c r="R96" s="397"/>
      <c r="S96" s="135"/>
      <c r="T96" s="135"/>
      <c r="U96" s="135"/>
      <c r="V96" s="135"/>
      <c r="W96" s="135"/>
      <c r="X96" s="135"/>
      <c r="Y96" s="444"/>
      <c r="Z96" s="397"/>
      <c r="AA96" s="397"/>
      <c r="AB96" s="397"/>
      <c r="AC96" s="397"/>
      <c r="AD96" s="397"/>
      <c r="AE96" s="397"/>
      <c r="AG96" s="406">
        <f t="shared" si="4"/>
        <v>90</v>
      </c>
      <c r="AH96" s="409">
        <f t="shared" si="12"/>
        <v>90</v>
      </c>
    </row>
    <row r="97" spans="18:34" hidden="1" x14ac:dyDescent="0.35">
      <c r="R97" s="397"/>
      <c r="S97" s="135"/>
      <c r="T97" s="135"/>
      <c r="U97" s="135"/>
      <c r="V97" s="135"/>
      <c r="W97" s="135"/>
      <c r="X97" s="135"/>
      <c r="Y97" s="444"/>
      <c r="Z97" s="397"/>
      <c r="AA97" s="397"/>
      <c r="AB97" s="397"/>
      <c r="AC97" s="397"/>
      <c r="AD97" s="397"/>
      <c r="AE97" s="397"/>
      <c r="AG97" s="406">
        <f t="shared" si="4"/>
        <v>91</v>
      </c>
      <c r="AH97" s="409">
        <f t="shared" si="12"/>
        <v>91</v>
      </c>
    </row>
    <row r="98" spans="18:34" hidden="1" x14ac:dyDescent="0.35">
      <c r="R98" s="397"/>
      <c r="S98" s="135"/>
      <c r="T98" s="135"/>
      <c r="U98" s="135"/>
      <c r="V98" s="135"/>
      <c r="W98" s="135"/>
      <c r="X98" s="135"/>
      <c r="Y98" s="462"/>
      <c r="AG98" s="406">
        <f t="shared" si="4"/>
        <v>92</v>
      </c>
      <c r="AH98" s="409">
        <f t="shared" si="12"/>
        <v>92</v>
      </c>
    </row>
    <row r="99" spans="18:34" hidden="1" x14ac:dyDescent="0.35">
      <c r="R99" s="463"/>
      <c r="S99" s="26"/>
      <c r="T99" s="26"/>
      <c r="U99" s="26"/>
      <c r="V99" s="26"/>
      <c r="W99" s="26"/>
      <c r="X99" s="26"/>
      <c r="Y99" s="462"/>
      <c r="AG99" s="406">
        <f t="shared" si="4"/>
        <v>93</v>
      </c>
      <c r="AH99" s="409">
        <f t="shared" si="12"/>
        <v>93</v>
      </c>
    </row>
    <row r="100" spans="18:34" ht="15" hidden="1" thickBot="1" x14ac:dyDescent="0.4">
      <c r="R100" s="464"/>
      <c r="S100" s="26"/>
      <c r="T100" s="26"/>
      <c r="U100" s="26"/>
      <c r="V100" s="26"/>
      <c r="W100" s="26"/>
      <c r="X100" s="26"/>
      <c r="Y100" s="462"/>
      <c r="AG100" s="406">
        <f t="shared" si="4"/>
        <v>94</v>
      </c>
      <c r="AH100" s="409">
        <f t="shared" si="12"/>
        <v>94</v>
      </c>
    </row>
    <row r="101" spans="18:34" ht="16.5" hidden="1" customHeight="1" thickBot="1" x14ac:dyDescent="0.4">
      <c r="R101" s="465" t="s">
        <v>88</v>
      </c>
      <c r="S101" s="849" t="s">
        <v>168</v>
      </c>
      <c r="T101" s="850"/>
      <c r="U101" s="851" t="s">
        <v>169</v>
      </c>
      <c r="V101" s="852"/>
      <c r="W101" s="26"/>
      <c r="X101" s="26"/>
      <c r="Y101" s="462"/>
      <c r="AG101" s="406">
        <f t="shared" si="4"/>
        <v>95</v>
      </c>
      <c r="AH101" s="409">
        <f t="shared" si="12"/>
        <v>95</v>
      </c>
    </row>
    <row r="102" spans="18:34" hidden="1" x14ac:dyDescent="0.35">
      <c r="R102" s="466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2"/>
      <c r="AG102" s="406">
        <f t="shared" si="4"/>
        <v>96</v>
      </c>
      <c r="AH102" s="409">
        <f t="shared" si="12"/>
        <v>96</v>
      </c>
    </row>
    <row r="103" spans="18:34" hidden="1" x14ac:dyDescent="0.35">
      <c r="R103" s="466"/>
      <c r="S103" s="31"/>
      <c r="T103" s="30"/>
      <c r="U103" s="66"/>
      <c r="V103" s="66"/>
      <c r="W103" s="26"/>
      <c r="X103" s="26"/>
      <c r="Y103" s="462"/>
      <c r="AG103" s="406">
        <f t="shared" si="4"/>
        <v>97</v>
      </c>
      <c r="AH103" s="409">
        <f t="shared" si="12"/>
        <v>97</v>
      </c>
    </row>
    <row r="104" spans="18:34" ht="16.5" hidden="1" x14ac:dyDescent="0.35">
      <c r="R104" s="467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2"/>
      <c r="AG104" s="406">
        <f t="shared" si="4"/>
        <v>98</v>
      </c>
      <c r="AH104" s="409">
        <f t="shared" si="12"/>
        <v>98</v>
      </c>
    </row>
    <row r="105" spans="18:34" hidden="1" x14ac:dyDescent="0.35">
      <c r="R105" s="468"/>
      <c r="S105" s="102"/>
      <c r="T105" s="103"/>
      <c r="U105" s="104"/>
      <c r="V105" s="104"/>
      <c r="W105" s="26"/>
      <c r="X105" s="26"/>
      <c r="Y105" s="462"/>
      <c r="AG105" s="406">
        <f t="shared" si="4"/>
        <v>99</v>
      </c>
      <c r="AH105" s="409">
        <f t="shared" si="12"/>
        <v>99</v>
      </c>
    </row>
    <row r="106" spans="18:34" ht="16.5" hidden="1" x14ac:dyDescent="0.35">
      <c r="R106" s="467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2"/>
    </row>
    <row r="107" spans="18:34" hidden="1" x14ac:dyDescent="0.35">
      <c r="R107" s="468"/>
      <c r="S107" s="102"/>
      <c r="T107" s="103"/>
      <c r="U107" s="104"/>
      <c r="V107" s="104"/>
      <c r="W107" s="26"/>
      <c r="X107" s="26"/>
      <c r="Y107" s="462"/>
    </row>
    <row r="108" spans="18:34" ht="16.5" hidden="1" x14ac:dyDescent="0.35">
      <c r="R108" s="467" t="s">
        <v>104</v>
      </c>
      <c r="S108" s="100" t="s">
        <v>113</v>
      </c>
      <c r="T108" s="469" t="s">
        <v>127</v>
      </c>
      <c r="U108" s="67" t="s">
        <v>113</v>
      </c>
      <c r="V108" s="81" t="s">
        <v>127</v>
      </c>
      <c r="W108" s="26"/>
      <c r="X108" s="26"/>
      <c r="Y108" s="462"/>
    </row>
    <row r="109" spans="18:34" hidden="1" x14ac:dyDescent="0.35">
      <c r="R109" s="468"/>
      <c r="S109" s="102"/>
      <c r="T109" s="103"/>
      <c r="U109" s="104"/>
      <c r="V109" s="104"/>
      <c r="W109" s="27"/>
      <c r="X109" s="27"/>
      <c r="Y109" s="462"/>
    </row>
    <row r="110" spans="18:34" ht="15.5" hidden="1" x14ac:dyDescent="0.35">
      <c r="R110" s="467" t="s">
        <v>105</v>
      </c>
      <c r="S110" s="470" t="s">
        <v>114</v>
      </c>
      <c r="T110" s="469" t="s">
        <v>127</v>
      </c>
      <c r="U110" s="81" t="s">
        <v>127</v>
      </c>
      <c r="V110" s="81" t="s">
        <v>127</v>
      </c>
      <c r="Y110" s="462"/>
    </row>
    <row r="111" spans="18:34" hidden="1" x14ac:dyDescent="0.35">
      <c r="R111" s="468"/>
      <c r="S111" s="471"/>
      <c r="T111" s="472"/>
      <c r="U111" s="473"/>
      <c r="V111" s="473"/>
      <c r="Y111" s="462"/>
    </row>
    <row r="112" spans="18:34" ht="16.5" hidden="1" x14ac:dyDescent="0.35">
      <c r="R112" s="467" t="s">
        <v>177</v>
      </c>
      <c r="S112" s="474" t="s">
        <v>127</v>
      </c>
      <c r="T112" s="101" t="s">
        <v>113</v>
      </c>
      <c r="U112" s="81" t="s">
        <v>127</v>
      </c>
      <c r="V112" s="67" t="s">
        <v>113</v>
      </c>
      <c r="Y112" s="462"/>
    </row>
    <row r="113" spans="18:25" ht="16.5" hidden="1" x14ac:dyDescent="0.35">
      <c r="R113" s="468"/>
      <c r="S113" s="471"/>
      <c r="T113" s="472"/>
      <c r="U113" s="473"/>
      <c r="V113" s="67"/>
      <c r="Y113" s="462"/>
    </row>
    <row r="114" spans="18:25" ht="16.5" hidden="1" x14ac:dyDescent="0.35">
      <c r="R114" s="467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2"/>
    </row>
    <row r="115" spans="18:25" hidden="1" x14ac:dyDescent="0.35">
      <c r="R115" s="468"/>
      <c r="S115" s="471"/>
      <c r="T115" s="472"/>
      <c r="U115" s="473"/>
      <c r="V115" s="473"/>
      <c r="Y115" s="462"/>
    </row>
    <row r="116" spans="18:25" ht="16.5" hidden="1" x14ac:dyDescent="0.35">
      <c r="R116" s="475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2"/>
    </row>
    <row r="117" spans="18:25" hidden="1" x14ac:dyDescent="0.35">
      <c r="R117" s="468"/>
      <c r="S117" s="471"/>
      <c r="T117" s="472"/>
      <c r="U117" s="473"/>
      <c r="V117" s="473"/>
      <c r="Y117" s="462"/>
    </row>
    <row r="118" spans="18:25" hidden="1" x14ac:dyDescent="0.35">
      <c r="R118" s="476" t="s">
        <v>107</v>
      </c>
      <c r="S118" s="477" t="s">
        <v>114</v>
      </c>
      <c r="T118" s="478" t="s">
        <v>114</v>
      </c>
      <c r="U118" s="479" t="s">
        <v>114</v>
      </c>
      <c r="V118" s="479" t="s">
        <v>114</v>
      </c>
      <c r="Y118" s="462"/>
    </row>
    <row r="119" spans="18:25" hidden="1" x14ac:dyDescent="0.35">
      <c r="R119" s="468"/>
      <c r="S119" s="471"/>
      <c r="T119" s="472"/>
      <c r="U119" s="473"/>
      <c r="V119" s="473"/>
      <c r="Y119" s="462"/>
    </row>
    <row r="120" spans="18:25" hidden="1" x14ac:dyDescent="0.35">
      <c r="R120" s="475" t="s">
        <v>111</v>
      </c>
      <c r="S120" s="471" t="s">
        <v>114</v>
      </c>
      <c r="T120" s="472" t="s">
        <v>114</v>
      </c>
      <c r="U120" s="473" t="s">
        <v>114</v>
      </c>
      <c r="V120" s="473" t="s">
        <v>114</v>
      </c>
    </row>
    <row r="121" spans="18:25" hidden="1" x14ac:dyDescent="0.35">
      <c r="R121" s="468"/>
      <c r="S121" s="471"/>
      <c r="T121" s="472"/>
      <c r="U121" s="473"/>
      <c r="V121" s="473"/>
    </row>
    <row r="122" spans="18:25" hidden="1" x14ac:dyDescent="0.35">
      <c r="R122" s="480" t="s">
        <v>146</v>
      </c>
      <c r="S122" s="471" t="s">
        <v>114</v>
      </c>
      <c r="T122" s="481" t="s">
        <v>114</v>
      </c>
      <c r="U122" s="473" t="s">
        <v>114</v>
      </c>
      <c r="V122" s="482" t="s">
        <v>114</v>
      </c>
    </row>
    <row r="123" spans="18:25" hidden="1" x14ac:dyDescent="0.35">
      <c r="R123" s="480"/>
      <c r="S123" s="471"/>
      <c r="T123" s="481"/>
      <c r="U123" s="473"/>
      <c r="V123" s="482"/>
    </row>
    <row r="124" spans="18:25" hidden="1" x14ac:dyDescent="0.35">
      <c r="R124" s="480" t="s">
        <v>261</v>
      </c>
      <c r="S124" s="471" t="s">
        <v>114</v>
      </c>
      <c r="T124" s="481" t="s">
        <v>114</v>
      </c>
      <c r="U124" s="473" t="s">
        <v>114</v>
      </c>
      <c r="V124" s="482" t="s">
        <v>114</v>
      </c>
    </row>
    <row r="125" spans="18:25" hidden="1" x14ac:dyDescent="0.35">
      <c r="R125" s="483"/>
      <c r="S125" s="484"/>
      <c r="T125" s="483"/>
      <c r="U125" s="483"/>
      <c r="V125" s="483"/>
    </row>
    <row r="126" spans="18:25" hidden="1" x14ac:dyDescent="0.35">
      <c r="R126" s="483" t="s">
        <v>139</v>
      </c>
      <c r="S126" s="485" t="s">
        <v>114</v>
      </c>
      <c r="T126" s="486" t="s">
        <v>114</v>
      </c>
      <c r="U126" s="485" t="s">
        <v>114</v>
      </c>
      <c r="V126" s="485" t="s">
        <v>114</v>
      </c>
    </row>
    <row r="127" spans="18:25" hidden="1" x14ac:dyDescent="0.35">
      <c r="R127" s="483"/>
      <c r="S127" s="483"/>
      <c r="T127" s="483"/>
      <c r="U127" s="483"/>
      <c r="V127" s="483"/>
    </row>
    <row r="128" spans="18:25" ht="15" hidden="1" thickBot="1" x14ac:dyDescent="0.4">
      <c r="R128" s="487" t="s">
        <v>178</v>
      </c>
      <c r="S128" s="488" t="s">
        <v>114</v>
      </c>
      <c r="T128" s="488" t="s">
        <v>114</v>
      </c>
      <c r="U128" s="488" t="s">
        <v>114</v>
      </c>
      <c r="V128" s="488" t="s">
        <v>114</v>
      </c>
    </row>
    <row r="135" spans="18:18" hidden="1" x14ac:dyDescent="0.35">
      <c r="R135" s="489"/>
    </row>
    <row r="136" spans="18:18" hidden="1" x14ac:dyDescent="0.35">
      <c r="R136" s="490"/>
    </row>
    <row r="137" spans="18:18" hidden="1" x14ac:dyDescent="0.35">
      <c r="R137" s="490"/>
    </row>
  </sheetData>
  <sheetProtection algorithmName="SHA-512" hashValue="z/IYXjXZiiTQ/xBZYSKG3Orqac11jOEchKuWHGwsjpbkx+ay6B9BV+Rmzcb/Md+OvwhG9hXGMM7hZkKVSjpywA==" saltValue="Kmc1nCkoRoXBzBbfpIKbWg==" spinCount="100000" sheet="1" objects="1" scenario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topLeftCell="B1" zoomScale="85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514" hidden="1" customWidth="1"/>
    <col min="2" max="2" width="4.26953125" style="514" customWidth="1"/>
    <col min="3" max="4" width="11.453125" style="514" customWidth="1"/>
    <col min="5" max="5" width="21.453125" style="514" bestFit="1" customWidth="1"/>
    <col min="6" max="6" width="17.26953125" style="514" bestFit="1" customWidth="1"/>
    <col min="7" max="7" width="24.54296875" style="514" bestFit="1" customWidth="1"/>
    <col min="8" max="8" width="11.54296875" style="514" customWidth="1"/>
    <col min="9" max="9" width="11.453125" style="514" customWidth="1"/>
    <col min="10" max="10" width="12.7265625" style="514" customWidth="1"/>
    <col min="11" max="11" width="11.453125" style="789" hidden="1"/>
    <col min="12" max="12" width="12.453125" style="790" hidden="1"/>
    <col min="13" max="14" width="11.453125" style="789" hidden="1"/>
    <col min="15" max="15" width="2.1796875" style="791" hidden="1"/>
    <col min="16" max="16" width="15" style="791" hidden="1"/>
    <col min="17" max="17" width="2.1796875" style="791" hidden="1"/>
    <col min="18" max="18" width="11.81640625" style="791" hidden="1"/>
    <col min="19" max="19" width="2.1796875" style="791" hidden="1"/>
    <col min="20" max="20" width="18.54296875" style="791" hidden="1"/>
    <col min="21" max="21" width="2.1796875" style="791" hidden="1"/>
    <col min="22" max="22" width="15" style="791" hidden="1"/>
    <col min="23" max="23" width="2.1796875" style="791" hidden="1"/>
    <col min="24" max="24" width="9.54296875" style="791" hidden="1"/>
    <col min="25" max="25" width="2.1796875" style="791" hidden="1"/>
    <col min="26" max="26" width="9.81640625" style="791" hidden="1"/>
    <col min="27" max="27" width="2.1796875" style="791" hidden="1"/>
    <col min="28" max="16383" width="0.1796875" style="789" hidden="1"/>
    <col min="16384" max="16384" width="7.81640625" style="789" hidden="1"/>
  </cols>
  <sheetData>
    <row r="1" spans="1:27" x14ac:dyDescent="0.25">
      <c r="A1" s="515"/>
      <c r="B1" s="771"/>
      <c r="C1" s="771"/>
      <c r="D1" s="771"/>
      <c r="E1" s="771"/>
      <c r="F1" s="771"/>
      <c r="G1" s="771"/>
      <c r="H1" s="771"/>
      <c r="I1" s="771"/>
      <c r="J1" s="771"/>
    </row>
    <row r="2" spans="1:27" ht="25" thickBot="1" x14ac:dyDescent="0.5">
      <c r="A2" s="515"/>
      <c r="B2" s="862" t="s">
        <v>276</v>
      </c>
      <c r="C2" s="862"/>
      <c r="D2" s="862"/>
      <c r="E2" s="862"/>
      <c r="F2" s="862"/>
      <c r="G2" s="862"/>
      <c r="H2" s="862"/>
      <c r="I2" s="862"/>
      <c r="J2" s="771"/>
    </row>
    <row r="3" spans="1:27" x14ac:dyDescent="0.25">
      <c r="A3" s="515"/>
      <c r="B3" s="771"/>
      <c r="C3" s="861"/>
      <c r="D3" s="861"/>
      <c r="E3" s="771"/>
      <c r="F3" s="771"/>
      <c r="G3" s="771"/>
      <c r="H3" s="771"/>
      <c r="I3" s="771"/>
      <c r="J3" s="771"/>
    </row>
    <row r="4" spans="1:27" x14ac:dyDescent="0.25">
      <c r="A4" s="515"/>
      <c r="B4" s="772"/>
      <c r="C4" s="773"/>
      <c r="D4" s="773"/>
      <c r="E4" s="773"/>
      <c r="F4" s="773"/>
      <c r="G4" s="773"/>
      <c r="H4" s="773"/>
      <c r="I4" s="774"/>
      <c r="J4" s="771"/>
    </row>
    <row r="5" spans="1:27" s="792" customFormat="1" ht="14" x14ac:dyDescent="0.3">
      <c r="A5" s="516"/>
      <c r="B5" s="863" t="s">
        <v>278</v>
      </c>
      <c r="C5" s="864"/>
      <c r="D5" s="865"/>
      <c r="E5" s="775"/>
      <c r="F5" s="776"/>
      <c r="G5" s="776"/>
      <c r="H5" s="776"/>
      <c r="I5" s="777"/>
      <c r="J5" s="778"/>
      <c r="O5" s="793"/>
      <c r="P5" s="793"/>
      <c r="Q5" s="793"/>
      <c r="R5" s="793"/>
      <c r="S5" s="793"/>
      <c r="T5" s="793"/>
      <c r="U5" s="793"/>
      <c r="V5" s="793"/>
      <c r="W5" s="793"/>
      <c r="X5" s="793"/>
      <c r="Y5" s="793"/>
      <c r="Z5" s="793"/>
      <c r="AA5" s="793"/>
    </row>
    <row r="6" spans="1:27" s="792" customFormat="1" ht="14.25" customHeight="1" x14ac:dyDescent="0.3">
      <c r="A6" s="516"/>
      <c r="B6" s="863" t="s">
        <v>279</v>
      </c>
      <c r="C6" s="864"/>
      <c r="D6" s="865"/>
      <c r="E6" s="779" t="str">
        <f>IF(LEFT(E5,1)="A",LEFT(E5,4),IF(LEFT(E5,1)="M",LEFT(E5,5),IF(LEFT(E5,1)="E",LEFT(E5,8),"")))</f>
        <v/>
      </c>
      <c r="F6" s="776"/>
      <c r="G6" s="776"/>
      <c r="H6" s="776"/>
      <c r="I6" s="777"/>
      <c r="J6" s="778"/>
      <c r="O6" s="793"/>
      <c r="P6" s="793"/>
      <c r="Q6" s="793"/>
      <c r="R6" s="793"/>
      <c r="S6" s="793"/>
      <c r="T6" s="793"/>
      <c r="U6" s="793"/>
      <c r="V6" s="793"/>
      <c r="W6" s="793"/>
      <c r="X6" s="793"/>
      <c r="Y6" s="793"/>
      <c r="Z6" s="793"/>
      <c r="AA6" s="793"/>
    </row>
    <row r="7" spans="1:27" s="792" customFormat="1" ht="14.25" customHeight="1" x14ac:dyDescent="0.3">
      <c r="A7" s="516"/>
      <c r="B7" s="863" t="s">
        <v>280</v>
      </c>
      <c r="C7" s="864"/>
      <c r="D7" s="865"/>
      <c r="E7" s="780" t="str">
        <f>IFERROR(MID(E5,SEARCH("-",E5)+3,7)*1,"")</f>
        <v/>
      </c>
      <c r="F7" s="776"/>
      <c r="G7" s="776"/>
      <c r="H7" s="776"/>
      <c r="I7" s="777"/>
      <c r="J7" s="778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</row>
    <row r="8" spans="1:27" s="792" customFormat="1" ht="14" x14ac:dyDescent="0.3">
      <c r="A8" s="516"/>
      <c r="B8" s="863" t="s">
        <v>281</v>
      </c>
      <c r="C8" s="864"/>
      <c r="D8" s="865"/>
      <c r="E8" s="781"/>
      <c r="F8" s="776"/>
      <c r="G8" s="776"/>
      <c r="H8" s="776"/>
      <c r="I8" s="777"/>
      <c r="J8" s="778"/>
      <c r="O8" s="793"/>
      <c r="P8" s="793"/>
      <c r="Q8" s="793"/>
      <c r="R8" s="793"/>
      <c r="S8" s="793"/>
      <c r="T8" s="793"/>
      <c r="U8" s="793"/>
      <c r="V8" s="793"/>
      <c r="W8" s="793"/>
      <c r="X8" s="793"/>
      <c r="Y8" s="793"/>
      <c r="Z8" s="793"/>
      <c r="AA8" s="793"/>
    </row>
    <row r="9" spans="1:27" s="792" customFormat="1" ht="14" x14ac:dyDescent="0.3">
      <c r="A9" s="516"/>
      <c r="B9" s="863" t="s">
        <v>283</v>
      </c>
      <c r="C9" s="864"/>
      <c r="D9" s="865"/>
      <c r="E9" s="781"/>
      <c r="F9" s="776"/>
      <c r="G9" s="776"/>
      <c r="H9" s="776"/>
      <c r="I9" s="777"/>
      <c r="J9" s="778"/>
      <c r="O9" s="793"/>
      <c r="P9" s="793"/>
      <c r="Q9" s="793"/>
      <c r="R9" s="793"/>
      <c r="S9" s="793"/>
      <c r="T9" s="793"/>
      <c r="U9" s="793"/>
      <c r="V9" s="793"/>
      <c r="W9" s="793"/>
      <c r="X9" s="793"/>
      <c r="Y9" s="793"/>
      <c r="Z9" s="793"/>
      <c r="AA9" s="793"/>
    </row>
    <row r="10" spans="1:27" s="792" customFormat="1" ht="14" x14ac:dyDescent="0.3">
      <c r="A10" s="516"/>
      <c r="B10" s="863" t="s">
        <v>282</v>
      </c>
      <c r="C10" s="864"/>
      <c r="D10" s="865"/>
      <c r="E10" s="782"/>
      <c r="F10" s="776"/>
      <c r="G10" s="776"/>
      <c r="H10" s="776"/>
      <c r="I10" s="777"/>
      <c r="J10" s="778"/>
      <c r="O10" s="793"/>
      <c r="P10" s="793"/>
      <c r="Q10" s="793"/>
      <c r="R10" s="793"/>
      <c r="S10" s="793"/>
      <c r="T10" s="793"/>
      <c r="U10" s="793"/>
      <c r="V10" s="793"/>
      <c r="W10" s="793"/>
      <c r="X10" s="793"/>
      <c r="Y10" s="793"/>
      <c r="Z10" s="793"/>
      <c r="AA10" s="793"/>
    </row>
    <row r="11" spans="1:27" x14ac:dyDescent="0.25">
      <c r="A11" s="515"/>
      <c r="B11" s="783"/>
      <c r="C11" s="784"/>
      <c r="D11" s="784"/>
      <c r="E11" s="784"/>
      <c r="F11" s="784"/>
      <c r="G11" s="784"/>
      <c r="H11" s="784"/>
      <c r="I11" s="785"/>
      <c r="J11" s="771"/>
    </row>
    <row r="12" spans="1:27" x14ac:dyDescent="0.25">
      <c r="A12" s="515"/>
      <c r="B12" s="771"/>
      <c r="C12" s="771"/>
      <c r="D12" s="771"/>
      <c r="E12" s="771"/>
      <c r="F12" s="771"/>
      <c r="G12" s="771"/>
      <c r="H12" s="771"/>
      <c r="I12" s="771"/>
      <c r="J12" s="771"/>
    </row>
    <row r="13" spans="1:27" ht="25" thickBot="1" x14ac:dyDescent="0.5">
      <c r="A13" s="515"/>
      <c r="B13" s="862" t="s">
        <v>277</v>
      </c>
      <c r="C13" s="862"/>
      <c r="D13" s="862"/>
      <c r="E13" s="862"/>
      <c r="F13" s="862"/>
      <c r="G13" s="862"/>
      <c r="H13" s="862"/>
      <c r="I13" s="862"/>
      <c r="J13" s="771"/>
    </row>
    <row r="14" spans="1:27" x14ac:dyDescent="0.25">
      <c r="A14" s="515"/>
      <c r="B14" s="771"/>
      <c r="C14" s="771"/>
      <c r="D14" s="771"/>
      <c r="E14" s="771"/>
      <c r="F14" s="771"/>
      <c r="G14" s="771"/>
      <c r="H14" s="771"/>
      <c r="I14" s="771"/>
      <c r="J14" s="771"/>
    </row>
    <row r="15" spans="1:27" x14ac:dyDescent="0.25">
      <c r="A15" s="515"/>
      <c r="B15" s="772"/>
      <c r="C15" s="773"/>
      <c r="D15" s="773"/>
      <c r="E15" s="773"/>
      <c r="F15" s="773"/>
      <c r="G15" s="773"/>
      <c r="H15" s="773"/>
      <c r="I15" s="774"/>
      <c r="J15" s="771"/>
    </row>
    <row r="16" spans="1:27" ht="15" x14ac:dyDescent="0.3">
      <c r="A16" s="515"/>
      <c r="B16" s="859" t="s">
        <v>164</v>
      </c>
      <c r="C16" s="860"/>
      <c r="D16" s="860"/>
      <c r="E16" s="860"/>
      <c r="F16" s="786"/>
      <c r="G16" s="786"/>
      <c r="H16" s="786"/>
      <c r="I16" s="787"/>
      <c r="J16" s="771"/>
    </row>
    <row r="17" spans="1:26" x14ac:dyDescent="0.25">
      <c r="A17" s="515"/>
      <c r="B17" s="788"/>
      <c r="C17" s="786"/>
      <c r="D17" s="786"/>
      <c r="E17" s="786"/>
      <c r="F17" s="786"/>
      <c r="G17" s="786"/>
      <c r="H17" s="786"/>
      <c r="I17" s="787"/>
      <c r="J17" s="771"/>
    </row>
    <row r="18" spans="1:26" x14ac:dyDescent="0.25">
      <c r="A18" s="515"/>
      <c r="B18" s="788"/>
      <c r="C18" s="857" t="s">
        <v>273</v>
      </c>
      <c r="D18" s="857"/>
      <c r="E18" s="857"/>
      <c r="F18" s="857"/>
      <c r="G18" s="857" t="s">
        <v>275</v>
      </c>
      <c r="H18" s="857"/>
      <c r="I18" s="858"/>
      <c r="J18" s="771"/>
    </row>
    <row r="19" spans="1:26" x14ac:dyDescent="0.25">
      <c r="A19" s="515"/>
      <c r="B19" s="788"/>
      <c r="C19" s="786"/>
      <c r="D19" s="786"/>
      <c r="E19" s="786"/>
      <c r="F19" s="786"/>
      <c r="G19" s="786"/>
      <c r="H19" s="786"/>
      <c r="I19" s="787"/>
      <c r="J19" s="771"/>
    </row>
    <row r="20" spans="1:26" ht="13" x14ac:dyDescent="0.3">
      <c r="A20" s="515"/>
      <c r="B20" s="788"/>
      <c r="C20" s="857" t="s">
        <v>274</v>
      </c>
      <c r="D20" s="857"/>
      <c r="E20" s="857"/>
      <c r="F20" s="857"/>
      <c r="G20" s="857" t="s">
        <v>296</v>
      </c>
      <c r="H20" s="857"/>
      <c r="I20" s="858"/>
      <c r="J20" s="771"/>
      <c r="P20" s="794" t="s">
        <v>265</v>
      </c>
      <c r="R20" s="794" t="s">
        <v>269</v>
      </c>
      <c r="T20" s="794" t="s">
        <v>270</v>
      </c>
      <c r="V20" s="794" t="s">
        <v>266</v>
      </c>
      <c r="X20" s="794" t="s">
        <v>267</v>
      </c>
      <c r="Z20" s="794" t="s">
        <v>268</v>
      </c>
    </row>
    <row r="21" spans="1:26" x14ac:dyDescent="0.25">
      <c r="A21" s="631"/>
      <c r="B21" s="788"/>
      <c r="C21" s="786"/>
      <c r="D21" s="786"/>
      <c r="E21" s="786"/>
      <c r="F21" s="786"/>
      <c r="G21" s="786"/>
      <c r="H21" s="786"/>
      <c r="I21" s="787"/>
      <c r="J21" s="771"/>
      <c r="P21" s="795"/>
      <c r="R21" s="795"/>
      <c r="T21" s="796"/>
      <c r="V21" s="795"/>
      <c r="X21" s="795"/>
      <c r="Z21" s="795"/>
    </row>
    <row r="22" spans="1:26" x14ac:dyDescent="0.25">
      <c r="A22" s="515"/>
      <c r="B22" s="788"/>
      <c r="C22" s="786" t="s">
        <v>291</v>
      </c>
      <c r="D22" s="786"/>
      <c r="E22" s="786"/>
      <c r="F22" s="786"/>
      <c r="G22" s="786"/>
      <c r="H22" s="786"/>
      <c r="I22" s="787"/>
      <c r="J22" s="771"/>
      <c r="P22" s="795" t="s">
        <v>194</v>
      </c>
      <c r="R22" s="797">
        <v>30000</v>
      </c>
      <c r="S22" s="798"/>
      <c r="T22" s="795" t="str">
        <f>CONCATENATE($P$22," - ",TEXT(R22,"$###,##0"))</f>
        <v>ESTANDAR - $30,000</v>
      </c>
      <c r="V22" s="799">
        <v>500000</v>
      </c>
      <c r="W22" s="798"/>
      <c r="X22" s="799">
        <v>5000</v>
      </c>
      <c r="Y22" s="798"/>
      <c r="Z22" s="800">
        <v>0.1</v>
      </c>
    </row>
    <row r="23" spans="1:26" ht="15" x14ac:dyDescent="0.3">
      <c r="A23" s="515"/>
      <c r="B23" s="859" t="s">
        <v>272</v>
      </c>
      <c r="C23" s="860"/>
      <c r="D23" s="860"/>
      <c r="E23" s="860"/>
      <c r="F23" s="786"/>
      <c r="G23" s="786"/>
      <c r="H23" s="786"/>
      <c r="I23" s="787"/>
      <c r="J23" s="771"/>
      <c r="P23" s="795" t="s">
        <v>193</v>
      </c>
      <c r="R23" s="799">
        <v>35000</v>
      </c>
      <c r="S23" s="798"/>
      <c r="T23" s="795" t="str">
        <f>CONCATENATE($P$22," - ",TEXT(R23,"$###,##0"))</f>
        <v>ESTANDAR - $35,000</v>
      </c>
      <c r="V23" s="799">
        <v>1000000</v>
      </c>
      <c r="W23" s="798"/>
      <c r="X23" s="799">
        <v>6000</v>
      </c>
      <c r="Y23" s="798"/>
      <c r="Z23" s="800">
        <v>0.15</v>
      </c>
    </row>
    <row r="24" spans="1:26" x14ac:dyDescent="0.25">
      <c r="A24" s="515"/>
      <c r="B24" s="788"/>
      <c r="C24" s="786"/>
      <c r="D24" s="786"/>
      <c r="E24" s="786"/>
      <c r="F24" s="786"/>
      <c r="G24" s="786"/>
      <c r="H24" s="786"/>
      <c r="I24" s="787"/>
      <c r="J24" s="771"/>
      <c r="P24" s="801" t="s">
        <v>192</v>
      </c>
      <c r="R24" s="799">
        <v>40000</v>
      </c>
      <c r="S24" s="798"/>
      <c r="T24" s="796" t="str">
        <f>CONCATENATE($P$22," - ",TEXT(R24,"$###,##0"))</f>
        <v>ESTANDAR - $40,000</v>
      </c>
      <c r="V24" s="799">
        <v>2000000</v>
      </c>
      <c r="W24" s="798"/>
      <c r="X24" s="799">
        <v>8000</v>
      </c>
      <c r="Y24" s="798"/>
      <c r="Z24" s="800">
        <v>0.2</v>
      </c>
    </row>
    <row r="25" spans="1:26" x14ac:dyDescent="0.25">
      <c r="A25" s="515"/>
      <c r="B25" s="788"/>
      <c r="C25" s="857" t="s">
        <v>119</v>
      </c>
      <c r="D25" s="857"/>
      <c r="E25" s="857"/>
      <c r="F25" s="857"/>
      <c r="G25" s="786"/>
      <c r="H25" s="786"/>
      <c r="I25" s="787"/>
      <c r="J25" s="771"/>
      <c r="L25" s="802" t="b">
        <v>1</v>
      </c>
      <c r="R25" s="799">
        <v>45000</v>
      </c>
      <c r="S25" s="798"/>
      <c r="T25" s="795" t="str">
        <f>CONCATENATE($P$22," - ",TEXT(R26,"$###,##0"))</f>
        <v>ESTANDAR - $50,000</v>
      </c>
      <c r="V25" s="799">
        <v>3000000</v>
      </c>
      <c r="W25" s="798"/>
      <c r="X25" s="799">
        <v>10000</v>
      </c>
      <c r="Y25" s="798"/>
      <c r="Z25" s="803">
        <v>0.25</v>
      </c>
    </row>
    <row r="26" spans="1:26" x14ac:dyDescent="0.25">
      <c r="A26" s="515"/>
      <c r="B26" s="788"/>
      <c r="C26" s="857" t="s">
        <v>288</v>
      </c>
      <c r="D26" s="857"/>
      <c r="E26" s="857"/>
      <c r="F26" s="857"/>
      <c r="G26" s="857"/>
      <c r="H26" s="786"/>
      <c r="I26" s="787"/>
      <c r="J26" s="771"/>
      <c r="L26" s="802" t="b">
        <v>1</v>
      </c>
      <c r="R26" s="799">
        <v>50000</v>
      </c>
      <c r="S26" s="798"/>
      <c r="T26" s="795" t="str">
        <f>CONCATENATE($P$22," - ",TEXT(R27,"$###,##0"))</f>
        <v>ESTANDAR - $60,000</v>
      </c>
      <c r="V26" s="799">
        <v>5000000</v>
      </c>
      <c r="W26" s="798"/>
      <c r="X26" s="799">
        <v>15000</v>
      </c>
      <c r="Y26" s="798"/>
    </row>
    <row r="27" spans="1:26" x14ac:dyDescent="0.25">
      <c r="A27" s="515"/>
      <c r="B27" s="788"/>
      <c r="C27" s="857" t="s">
        <v>147</v>
      </c>
      <c r="D27" s="857"/>
      <c r="E27" s="857"/>
      <c r="F27" s="857"/>
      <c r="G27" s="786"/>
      <c r="H27" s="786"/>
      <c r="I27" s="787"/>
      <c r="J27" s="771"/>
      <c r="L27" s="802" t="b">
        <v>1</v>
      </c>
      <c r="R27" s="799">
        <v>60000</v>
      </c>
      <c r="S27" s="798"/>
      <c r="T27" s="795" t="str">
        <f>CONCATENATE($P$23," - ",TEXT(R23,"$###,##0"))</f>
        <v>MEDIO - $35,000</v>
      </c>
      <c r="V27" s="799">
        <v>10000000</v>
      </c>
      <c r="W27" s="798"/>
      <c r="X27" s="799">
        <v>20000</v>
      </c>
      <c r="Y27" s="798"/>
    </row>
    <row r="28" spans="1:26" x14ac:dyDescent="0.25">
      <c r="A28" s="515"/>
      <c r="B28" s="788"/>
      <c r="C28" s="857" t="s">
        <v>195</v>
      </c>
      <c r="D28" s="857"/>
      <c r="E28" s="857"/>
      <c r="F28" s="857"/>
      <c r="G28" s="786"/>
      <c r="H28" s="786"/>
      <c r="I28" s="787"/>
      <c r="J28" s="771"/>
      <c r="L28" s="802" t="b">
        <v>0</v>
      </c>
      <c r="R28" s="799">
        <v>70000</v>
      </c>
      <c r="S28" s="798"/>
      <c r="T28" s="795" t="str">
        <f>CONCATENATE($P$23," - ",TEXT(R24,"$###,##0"))</f>
        <v>MEDIO - $40,000</v>
      </c>
      <c r="V28" s="799">
        <v>20000000</v>
      </c>
      <c r="W28" s="798"/>
      <c r="X28" s="799">
        <v>22000</v>
      </c>
      <c r="Y28" s="798"/>
    </row>
    <row r="29" spans="1:26" x14ac:dyDescent="0.25">
      <c r="A29" s="515"/>
      <c r="B29" s="788"/>
      <c r="C29" s="857" t="s">
        <v>189</v>
      </c>
      <c r="D29" s="857"/>
      <c r="E29" s="857"/>
      <c r="F29" s="857"/>
      <c r="G29" s="786"/>
      <c r="H29" s="786"/>
      <c r="I29" s="787"/>
      <c r="J29" s="771"/>
      <c r="L29" s="802" t="b">
        <v>0</v>
      </c>
      <c r="R29" s="799">
        <v>80000</v>
      </c>
      <c r="T29" s="795" t="str">
        <f>CONCATENATE($P$23," - ",TEXT(R26,"$###,##0"))</f>
        <v>MEDIO - $50,000</v>
      </c>
      <c r="V29" s="799">
        <v>30000000</v>
      </c>
      <c r="W29" s="798"/>
      <c r="X29" s="799">
        <v>25000</v>
      </c>
      <c r="Y29" s="798"/>
    </row>
    <row r="30" spans="1:26" x14ac:dyDescent="0.25">
      <c r="A30" s="515"/>
      <c r="B30" s="788"/>
      <c r="C30" s="857" t="s">
        <v>216</v>
      </c>
      <c r="D30" s="857"/>
      <c r="E30" s="857"/>
      <c r="F30" s="857"/>
      <c r="G30" s="786"/>
      <c r="H30" s="786"/>
      <c r="I30" s="787"/>
      <c r="J30" s="771"/>
      <c r="L30" s="802" t="b">
        <v>0</v>
      </c>
      <c r="R30" s="795">
        <v>90000</v>
      </c>
      <c r="T30" s="795" t="str">
        <f>CONCATENATE($P$23," - ",TEXT(R27,"$###,##0"))</f>
        <v>MEDIO - $60,000</v>
      </c>
      <c r="V30" s="799">
        <v>35000000</v>
      </c>
      <c r="W30" s="798"/>
      <c r="X30" s="799">
        <v>30000</v>
      </c>
      <c r="Y30" s="798"/>
    </row>
    <row r="31" spans="1:26" x14ac:dyDescent="0.25">
      <c r="A31" s="515"/>
      <c r="B31" s="788"/>
      <c r="C31" s="857" t="s">
        <v>245</v>
      </c>
      <c r="D31" s="857"/>
      <c r="E31" s="857"/>
      <c r="F31" s="857"/>
      <c r="G31" s="786"/>
      <c r="H31" s="786"/>
      <c r="I31" s="787"/>
      <c r="J31" s="771"/>
      <c r="L31" s="802" t="b">
        <v>0</v>
      </c>
      <c r="R31" s="795">
        <v>100000</v>
      </c>
      <c r="T31" s="795" t="str">
        <f>CONCATENATE($P$23," - ",TEXT(R28,"$###,##0"))</f>
        <v>MEDIO - $70,000</v>
      </c>
      <c r="V31" s="799">
        <v>45000000</v>
      </c>
      <c r="W31" s="798"/>
      <c r="X31" s="799">
        <v>35000</v>
      </c>
      <c r="Y31" s="798"/>
    </row>
    <row r="32" spans="1:26" x14ac:dyDescent="0.25">
      <c r="A32" s="515"/>
      <c r="B32" s="788"/>
      <c r="C32" s="857" t="s">
        <v>271</v>
      </c>
      <c r="D32" s="857"/>
      <c r="E32" s="857"/>
      <c r="F32" s="857"/>
      <c r="G32" s="786"/>
      <c r="H32" s="786"/>
      <c r="I32" s="787"/>
      <c r="J32" s="771"/>
      <c r="L32" s="802" t="b">
        <v>0</v>
      </c>
      <c r="R32" s="794">
        <v>110000</v>
      </c>
      <c r="T32" s="795" t="str">
        <f>CONCATENATE($P$23," - ",TEXT(R29,"$###,##0"))</f>
        <v>MEDIO - $80,000</v>
      </c>
      <c r="V32" s="799">
        <v>50000000</v>
      </c>
      <c r="W32" s="798"/>
      <c r="X32" s="799">
        <v>40000</v>
      </c>
      <c r="Y32" s="798"/>
    </row>
    <row r="33" spans="1:25" x14ac:dyDescent="0.25">
      <c r="A33" s="515"/>
      <c r="B33" s="788"/>
      <c r="C33" s="857" t="s">
        <v>262</v>
      </c>
      <c r="D33" s="857"/>
      <c r="E33" s="857"/>
      <c r="F33" s="857"/>
      <c r="G33" s="786"/>
      <c r="H33" s="786"/>
      <c r="I33" s="787"/>
      <c r="J33" s="771"/>
      <c r="L33" s="802" t="b">
        <v>0</v>
      </c>
      <c r="P33" s="804"/>
      <c r="T33" s="795" t="str">
        <f>CONCATENATE($P$24," - ",TEXT(R26,"$###,##0"))</f>
        <v>ALTO - $50,000</v>
      </c>
      <c r="V33" s="805">
        <v>75000000</v>
      </c>
      <c r="W33" s="798"/>
      <c r="X33" s="799">
        <v>45000</v>
      </c>
      <c r="Y33" s="798"/>
    </row>
    <row r="34" spans="1:25" x14ac:dyDescent="0.25">
      <c r="A34" s="515"/>
      <c r="B34" s="783"/>
      <c r="C34" s="784"/>
      <c r="D34" s="784"/>
      <c r="E34" s="784"/>
      <c r="F34" s="784"/>
      <c r="G34" s="784"/>
      <c r="H34" s="784"/>
      <c r="I34" s="785"/>
      <c r="J34" s="771"/>
      <c r="P34" s="804"/>
      <c r="T34" s="795" t="str">
        <f>CONCATENATE($P$24," - ",TEXT(R24,"$###,##0"))</f>
        <v>ALTO - $40,000</v>
      </c>
      <c r="V34" s="806">
        <v>100000000</v>
      </c>
      <c r="W34" s="798"/>
      <c r="X34" s="799">
        <v>50000</v>
      </c>
      <c r="Y34" s="798"/>
    </row>
    <row r="35" spans="1:25" x14ac:dyDescent="0.25">
      <c r="A35" s="515"/>
      <c r="B35" s="771"/>
      <c r="C35" s="771"/>
      <c r="D35" s="771"/>
      <c r="E35" s="771"/>
      <c r="F35" s="771"/>
      <c r="G35" s="771"/>
      <c r="H35" s="771"/>
      <c r="I35" s="771"/>
      <c r="J35" s="771"/>
      <c r="P35" s="804"/>
      <c r="T35" s="795" t="str">
        <f>CONCATENATE($P$24," - ",TEXT(R25,"$###,##0"))</f>
        <v>ALTO - $45,000</v>
      </c>
      <c r="V35" s="798"/>
      <c r="W35" s="798"/>
      <c r="X35" s="799">
        <v>100000</v>
      </c>
      <c r="Y35" s="798"/>
    </row>
    <row r="36" spans="1:25" hidden="1" x14ac:dyDescent="0.25">
      <c r="P36" s="804"/>
      <c r="T36" s="795" t="str">
        <f>CONCATENATE($P$24," - ",TEXT(R27,"$###,##0"))</f>
        <v>ALTO - $60,000</v>
      </c>
      <c r="V36" s="798"/>
      <c r="W36" s="798"/>
      <c r="X36" s="799">
        <v>250000</v>
      </c>
      <c r="Y36" s="798"/>
    </row>
    <row r="37" spans="1:25" hidden="1" x14ac:dyDescent="0.25">
      <c r="P37" s="804"/>
      <c r="T37" s="795" t="str">
        <f>CONCATENATE($P$24," - ",TEXT(R28,"$###,##0"))</f>
        <v>ALTO - $70,000</v>
      </c>
      <c r="V37" s="798"/>
      <c r="W37" s="798"/>
      <c r="X37" s="799">
        <v>500000</v>
      </c>
      <c r="Y37" s="798"/>
    </row>
    <row r="38" spans="1:25" hidden="1" x14ac:dyDescent="0.25">
      <c r="P38" s="804"/>
      <c r="T38" s="795" t="str">
        <f>CONCATENATE($P$24," - ",TEXT(R30,"$###,##0"))</f>
        <v>ALTO - $90,000</v>
      </c>
      <c r="V38" s="798"/>
      <c r="W38" s="798"/>
      <c r="X38" s="799">
        <v>1000000</v>
      </c>
      <c r="Y38" s="798"/>
    </row>
    <row r="39" spans="1:25" hidden="1" x14ac:dyDescent="0.25">
      <c r="P39" s="804"/>
      <c r="T39" s="795" t="str">
        <f>CONCATENATE($P$24," - ",TEXT(R31,"$###,##0"))</f>
        <v>ALTO - $100,000</v>
      </c>
      <c r="V39" s="798"/>
      <c r="W39" s="798"/>
      <c r="X39" s="805">
        <v>1500000</v>
      </c>
      <c r="Y39" s="798"/>
    </row>
    <row r="40" spans="1:25" hidden="1" x14ac:dyDescent="0.25">
      <c r="P40" s="804"/>
      <c r="T40" s="801" t="str">
        <f>CONCATENATE($P$24," - ",TEXT(R32,"$###,##0"))</f>
        <v>ALTO - $110,000</v>
      </c>
      <c r="V40" s="798"/>
      <c r="W40" s="798"/>
      <c r="X40" s="805">
        <v>5000000</v>
      </c>
      <c r="Y40" s="798"/>
    </row>
    <row r="41" spans="1:25" hidden="1" x14ac:dyDescent="0.25">
      <c r="L41" s="790" t="str">
        <f>CONCATENATE($P$22," - ",TEXT(R27,"$###,##0"))</f>
        <v>ESTANDAR - $60,000</v>
      </c>
      <c r="V41" s="798"/>
      <c r="W41" s="798"/>
      <c r="X41" s="798"/>
      <c r="Y41" s="798"/>
    </row>
    <row r="42" spans="1:25" hidden="1" x14ac:dyDescent="0.25">
      <c r="L42" s="790" t="str">
        <f>CONCATENATE($P$24," - ",TEXT(R27,"$###,##0"))</f>
        <v>ALTO - $60,000</v>
      </c>
      <c r="V42" s="798"/>
      <c r="W42" s="798"/>
      <c r="X42" s="798"/>
      <c r="Y42" s="798"/>
    </row>
    <row r="43" spans="1:25" hidden="1" x14ac:dyDescent="0.25">
      <c r="R43" s="791" t="s">
        <v>298</v>
      </c>
      <c r="V43" s="798"/>
      <c r="W43" s="798"/>
      <c r="X43" s="798"/>
      <c r="Y43" s="798"/>
    </row>
    <row r="44" spans="1:25" hidden="1" x14ac:dyDescent="0.25">
      <c r="R44" s="791" t="str">
        <f>T25</f>
        <v>ESTANDAR - $50,000</v>
      </c>
      <c r="V44" s="798"/>
      <c r="W44" s="798"/>
      <c r="X44" s="798"/>
      <c r="Y44" s="798"/>
    </row>
    <row r="45" spans="1:25" hidden="1" x14ac:dyDescent="0.25">
      <c r="R45" s="791" t="str">
        <f>L41</f>
        <v>ESTANDAR - $60,000</v>
      </c>
      <c r="V45" s="798"/>
      <c r="W45" s="798"/>
      <c r="X45" s="798"/>
      <c r="Y45" s="798"/>
    </row>
    <row r="46" spans="1:25" hidden="1" x14ac:dyDescent="0.25">
      <c r="R46" s="791" t="str">
        <f>T29</f>
        <v>MEDIO - $50,000</v>
      </c>
      <c r="V46" s="798"/>
      <c r="W46" s="798"/>
      <c r="X46" s="798"/>
      <c r="Y46" s="798"/>
    </row>
    <row r="47" spans="1:25" hidden="1" x14ac:dyDescent="0.25">
      <c r="R47" s="791" t="str">
        <f>T30</f>
        <v>MEDIO - $60,000</v>
      </c>
      <c r="V47" s="798"/>
      <c r="W47" s="798"/>
      <c r="X47" s="798"/>
      <c r="Y47" s="798"/>
    </row>
    <row r="48" spans="1:25" hidden="1" x14ac:dyDescent="0.25">
      <c r="R48" s="791" t="str">
        <f>T31</f>
        <v>MEDIO - $70,000</v>
      </c>
      <c r="V48" s="798"/>
      <c r="W48" s="798"/>
      <c r="X48" s="798"/>
      <c r="Y48" s="798"/>
    </row>
    <row r="49" spans="18:25" hidden="1" x14ac:dyDescent="0.25">
      <c r="R49" s="791" t="str">
        <f>T32</f>
        <v>MEDIO - $80,000</v>
      </c>
      <c r="V49" s="798"/>
      <c r="W49" s="798"/>
      <c r="X49" s="798"/>
      <c r="Y49" s="798"/>
    </row>
    <row r="50" spans="18:25" hidden="1" x14ac:dyDescent="0.25">
      <c r="R50" s="791" t="str">
        <f>L42</f>
        <v>ALTO - $60,000</v>
      </c>
      <c r="V50" s="798"/>
      <c r="W50" s="798"/>
      <c r="X50" s="798"/>
      <c r="Y50" s="798"/>
    </row>
    <row r="51" spans="18:25" hidden="1" x14ac:dyDescent="0.25">
      <c r="R51" s="791" t="str">
        <f>T37</f>
        <v>ALTO - $70,000</v>
      </c>
      <c r="V51" s="798"/>
      <c r="W51" s="798"/>
      <c r="X51" s="798"/>
      <c r="Y51" s="798"/>
    </row>
    <row r="52" spans="18:25" hidden="1" x14ac:dyDescent="0.25">
      <c r="R52" s="791" t="str">
        <f>T38</f>
        <v>ALTO - $90,000</v>
      </c>
      <c r="V52" s="798"/>
      <c r="W52" s="798"/>
      <c r="X52" s="798"/>
      <c r="Y52" s="798"/>
    </row>
    <row r="53" spans="18:25" hidden="1" x14ac:dyDescent="0.25">
      <c r="R53" s="791" t="str">
        <f>T39</f>
        <v>ALTO - $100,000</v>
      </c>
      <c r="V53" s="798"/>
      <c r="W53" s="798"/>
      <c r="X53" s="798"/>
      <c r="Y53" s="798"/>
    </row>
    <row r="54" spans="18:25" hidden="1" x14ac:dyDescent="0.25">
      <c r="R54" s="791" t="str">
        <f>T40</f>
        <v>ALTO - $110,000</v>
      </c>
      <c r="V54" s="798"/>
      <c r="W54" s="798"/>
      <c r="X54" s="798"/>
      <c r="Y54" s="798"/>
    </row>
    <row r="55" spans="18:25" hidden="1" x14ac:dyDescent="0.25">
      <c r="V55" s="798"/>
      <c r="W55" s="798"/>
      <c r="X55" s="798"/>
      <c r="Y55" s="798"/>
    </row>
    <row r="56" spans="18:25" hidden="1" x14ac:dyDescent="0.25">
      <c r="V56" s="798"/>
      <c r="W56" s="798"/>
      <c r="X56" s="798"/>
      <c r="Y56" s="798"/>
    </row>
    <row r="57" spans="18:25" hidden="1" x14ac:dyDescent="0.25">
      <c r="V57" s="798"/>
      <c r="W57" s="798"/>
      <c r="X57" s="798"/>
      <c r="Y57" s="798"/>
    </row>
    <row r="58" spans="18:25" hidden="1" x14ac:dyDescent="0.25">
      <c r="V58" s="798"/>
      <c r="W58" s="798"/>
      <c r="X58" s="798"/>
      <c r="Y58" s="798"/>
    </row>
    <row r="59" spans="18:25" hidden="1" x14ac:dyDescent="0.25">
      <c r="V59" s="798"/>
      <c r="W59" s="798"/>
      <c r="X59" s="798"/>
      <c r="Y59" s="798"/>
    </row>
    <row r="60" spans="18:25" hidden="1" x14ac:dyDescent="0.25">
      <c r="V60" s="798"/>
      <c r="W60" s="798"/>
      <c r="X60" s="798"/>
      <c r="Y60" s="798"/>
    </row>
    <row r="61" spans="18:25" hidden="1" x14ac:dyDescent="0.25">
      <c r="V61" s="798"/>
      <c r="W61" s="798"/>
      <c r="X61" s="798"/>
      <c r="Y61" s="798"/>
    </row>
    <row r="62" spans="18:25" hidden="1" x14ac:dyDescent="0.25">
      <c r="V62" s="798"/>
      <c r="W62" s="798"/>
      <c r="X62" s="798"/>
      <c r="Y62" s="798"/>
    </row>
    <row r="63" spans="18:25" hidden="1" x14ac:dyDescent="0.25">
      <c r="V63" s="798"/>
      <c r="W63" s="798"/>
      <c r="X63" s="798"/>
      <c r="Y63" s="798"/>
    </row>
  </sheetData>
  <sheetProtection algorithmName="SHA-512" hashValue="UruK1GgUgWo+fMN7cMhBYMJAcT2NEM4vY3Xe8rDS7cCkcmBtdX+arFUkAh9YlIWwsw0TjLugGDxj+YaQ8kgDOA==" saltValue="1vZR98u0W6rZEPZ4Rsf54g==" spinCount="100000" sheet="1" objects="1" scenario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topLeftCell="A54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41"/>
      <c r="C2" s="841"/>
      <c r="D2" s="841"/>
      <c r="E2" s="841"/>
      <c r="F2" s="841"/>
      <c r="G2" s="841"/>
      <c r="H2" s="841"/>
      <c r="I2" s="841"/>
      <c r="J2" s="841"/>
      <c r="K2" s="841"/>
      <c r="L2" s="841"/>
      <c r="M2" s="841"/>
      <c r="N2" s="841"/>
      <c r="O2" s="841"/>
      <c r="P2" s="68"/>
      <c r="Q2" s="80"/>
    </row>
    <row r="3" spans="1:25" ht="23.5" x14ac:dyDescent="0.55000000000000004"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89" t="s">
        <v>98</v>
      </c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152"/>
      <c r="Q5" s="69"/>
      <c r="W5" s="96" t="s">
        <v>154</v>
      </c>
      <c r="X5" s="97"/>
      <c r="Y5" s="97"/>
    </row>
    <row r="6" spans="1:25" ht="13.5" customHeight="1" x14ac:dyDescent="0.35">
      <c r="B6" s="633"/>
      <c r="C6" s="633" t="s">
        <v>116</v>
      </c>
      <c r="D6" s="873" t="str">
        <f>IF(Cotizador!E6="","",Cotizador!E6)</f>
        <v/>
      </c>
      <c r="E6" s="873"/>
      <c r="F6" s="873"/>
      <c r="G6" s="873"/>
      <c r="H6" s="873"/>
      <c r="I6" s="873"/>
      <c r="J6" s="873"/>
      <c r="K6" s="873"/>
      <c r="L6" s="873"/>
      <c r="M6" s="873"/>
      <c r="N6" s="634"/>
      <c r="O6" s="635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3"/>
      <c r="C7" s="633" t="s">
        <v>117</v>
      </c>
      <c r="D7" s="873" t="str">
        <f>IF(Cotizador!E7="","",Cotizador!E7)</f>
        <v/>
      </c>
      <c r="E7" s="873"/>
      <c r="F7" s="873"/>
      <c r="G7" s="873"/>
      <c r="H7" s="873"/>
      <c r="I7" s="873"/>
      <c r="J7" s="873"/>
      <c r="K7" s="873"/>
      <c r="L7" s="873"/>
      <c r="M7" s="873"/>
      <c r="N7" s="636" t="s">
        <v>100</v>
      </c>
      <c r="O7" s="637">
        <f ca="1">TODAY()</f>
        <v>44994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38"/>
      <c r="C8" s="638" t="s">
        <v>122</v>
      </c>
      <c r="D8" s="874">
        <f>IF(Cotizador!T22="","",Cotizador!T22)</f>
        <v>0</v>
      </c>
      <c r="E8" s="874"/>
      <c r="F8" s="874"/>
      <c r="G8" s="874"/>
      <c r="H8" s="874"/>
      <c r="I8" s="874"/>
      <c r="J8" s="639"/>
      <c r="K8" s="639"/>
      <c r="L8" s="639"/>
      <c r="M8" s="639"/>
      <c r="N8" s="640" t="str">
        <f>+Cotizador!K8</f>
        <v>Folio:</v>
      </c>
      <c r="O8" s="638" t="str">
        <f>IF(Cotizador!L8="","",Cotizador!L8)</f>
        <v/>
      </c>
      <c r="P8" s="144"/>
      <c r="W8" s="98" t="s">
        <v>156</v>
      </c>
      <c r="X8" s="816">
        <v>4.4999999999999998E-2</v>
      </c>
      <c r="Y8" s="98">
        <v>2</v>
      </c>
    </row>
    <row r="9" spans="1:25" ht="3.75" customHeight="1" x14ac:dyDescent="0.35">
      <c r="B9" s="633"/>
      <c r="C9" s="633"/>
      <c r="D9" s="641"/>
      <c r="E9" s="641"/>
      <c r="F9" s="641"/>
      <c r="G9" s="641"/>
      <c r="H9" s="641"/>
      <c r="I9" s="641"/>
      <c r="J9" s="641"/>
      <c r="K9" s="641"/>
      <c r="L9" s="641"/>
      <c r="M9" s="641"/>
      <c r="N9" s="641"/>
      <c r="O9" s="633"/>
      <c r="W9" s="98" t="s">
        <v>157</v>
      </c>
      <c r="X9" s="816">
        <v>5.5E-2</v>
      </c>
      <c r="Y9" s="98">
        <v>4</v>
      </c>
    </row>
    <row r="10" spans="1:25" ht="13.5" customHeight="1" x14ac:dyDescent="0.35">
      <c r="B10" s="633"/>
      <c r="C10" s="633" t="s">
        <v>38</v>
      </c>
      <c r="D10" s="641"/>
      <c r="E10" s="642" t="str">
        <f>IF(Cotizador!T23="","",Cotizador!T23)</f>
        <v/>
      </c>
      <c r="F10" s="641"/>
      <c r="G10" s="633" t="s">
        <v>173</v>
      </c>
      <c r="H10" s="643"/>
      <c r="I10" s="643"/>
      <c r="J10" s="641"/>
      <c r="K10" s="876">
        <f>IF(Cotizador!T24="","",Cotizador!T24)</f>
        <v>0</v>
      </c>
      <c r="L10" s="876"/>
      <c r="M10" s="876"/>
      <c r="N10" s="641" t="s">
        <v>121</v>
      </c>
      <c r="O10" s="642" t="str">
        <f>IF(Cotizador!U28="","",Cotizador!U28)</f>
        <v>NACIONAL</v>
      </c>
      <c r="W10" s="98" t="s">
        <v>312</v>
      </c>
      <c r="X10" s="816">
        <v>6.5000000000000002E-2</v>
      </c>
      <c r="Y10" s="98">
        <v>6</v>
      </c>
    </row>
    <row r="11" spans="1:25" ht="3.75" customHeight="1" x14ac:dyDescent="0.35">
      <c r="B11" s="633"/>
      <c r="C11" s="633"/>
      <c r="D11" s="641"/>
      <c r="E11" s="641"/>
      <c r="F11" s="641"/>
      <c r="G11" s="641"/>
      <c r="H11" s="641"/>
      <c r="I11" s="641"/>
      <c r="J11" s="641"/>
      <c r="K11" s="641"/>
      <c r="L11" s="641"/>
      <c r="M11" s="636"/>
      <c r="N11" s="641"/>
      <c r="O11" s="633"/>
      <c r="W11" s="98" t="s">
        <v>196</v>
      </c>
      <c r="X11" s="816">
        <v>7.4999999999999997E-2</v>
      </c>
      <c r="Y11" s="98">
        <v>12</v>
      </c>
    </row>
    <row r="12" spans="1:25" ht="13.5" customHeight="1" x14ac:dyDescent="0.35">
      <c r="B12" s="633"/>
      <c r="C12" s="633" t="s">
        <v>72</v>
      </c>
      <c r="D12" s="641"/>
      <c r="E12" s="645">
        <f>IF(Cotizador!T25="","",Cotizador!T25)</f>
        <v>0</v>
      </c>
      <c r="F12" s="641"/>
      <c r="G12" s="644" t="s">
        <v>170</v>
      </c>
      <c r="H12" s="643"/>
      <c r="I12" s="641"/>
      <c r="J12" s="641"/>
      <c r="K12" s="875" t="str">
        <f>Cotizador!T27</f>
        <v/>
      </c>
      <c r="L12" s="875"/>
      <c r="M12" s="875"/>
    </row>
    <row r="13" spans="1:25" ht="3.75" customHeight="1" x14ac:dyDescent="0.35">
      <c r="B13" s="633"/>
      <c r="C13" s="633"/>
      <c r="D13" s="641"/>
      <c r="E13" s="641"/>
      <c r="F13" s="641"/>
      <c r="G13" s="641"/>
      <c r="H13" s="641"/>
      <c r="I13" s="641"/>
      <c r="J13" s="641"/>
      <c r="K13" s="641"/>
      <c r="L13" s="641"/>
      <c r="M13" s="636"/>
      <c r="N13" s="641"/>
      <c r="O13" s="633"/>
    </row>
    <row r="14" spans="1:25" ht="13.5" customHeight="1" x14ac:dyDescent="0.35">
      <c r="B14" s="633"/>
      <c r="C14" s="633" t="s">
        <v>73</v>
      </c>
      <c r="D14" s="643"/>
      <c r="E14" s="646">
        <f>IF(Cotizador!T26="","",Cotizador!T26)</f>
        <v>0</v>
      </c>
      <c r="F14" s="641"/>
      <c r="G14" s="644" t="s">
        <v>221</v>
      </c>
      <c r="H14" s="644"/>
      <c r="I14" s="644"/>
      <c r="J14" s="643"/>
      <c r="K14" s="877" t="e">
        <f>VLOOKUP(Cotizador!T26,Tablas!$AK$32:$AL$36,2,)</f>
        <v>#N/A</v>
      </c>
      <c r="L14" s="877"/>
      <c r="M14" s="877"/>
      <c r="N14" s="643"/>
      <c r="O14" s="647"/>
    </row>
    <row r="15" spans="1:25" ht="3.75" customHeight="1" x14ac:dyDescent="0.35">
      <c r="B15" s="638"/>
      <c r="C15" s="638"/>
      <c r="D15" s="638"/>
      <c r="E15" s="648"/>
      <c r="F15" s="638"/>
      <c r="G15" s="638"/>
      <c r="H15" s="638"/>
      <c r="I15" s="638"/>
      <c r="J15" s="638"/>
      <c r="K15" s="638"/>
      <c r="L15" s="649"/>
      <c r="M15" s="638"/>
      <c r="N15" s="650"/>
      <c r="O15" s="638"/>
      <c r="P15" s="144"/>
    </row>
    <row r="16" spans="1:25" ht="1.5" customHeight="1" x14ac:dyDescent="0.35">
      <c r="B16" s="633"/>
      <c r="C16" s="651" t="s">
        <v>120</v>
      </c>
      <c r="D16" s="641"/>
      <c r="E16" s="642" t="s">
        <v>168</v>
      </c>
      <c r="F16" s="641"/>
      <c r="G16" s="641"/>
      <c r="H16" s="641"/>
      <c r="I16" s="641"/>
      <c r="J16" s="641"/>
      <c r="K16" s="641"/>
      <c r="L16" s="641"/>
      <c r="M16" s="641"/>
      <c r="N16" s="641"/>
      <c r="O16" s="633"/>
    </row>
    <row r="17" spans="2:32" ht="13.5" customHeight="1" x14ac:dyDescent="0.35">
      <c r="B17" s="633"/>
      <c r="C17" s="690" t="s">
        <v>164</v>
      </c>
      <c r="D17" s="652"/>
      <c r="E17" s="652"/>
      <c r="F17" s="691" t="s">
        <v>135</v>
      </c>
      <c r="G17" s="643"/>
      <c r="H17" s="652"/>
      <c r="I17" s="652"/>
      <c r="J17" s="652"/>
      <c r="K17" s="652"/>
      <c r="L17" s="652"/>
      <c r="M17" s="652"/>
      <c r="N17" s="652"/>
      <c r="O17" s="653"/>
    </row>
    <row r="18" spans="2:32" ht="3.75" customHeight="1" x14ac:dyDescent="0.35">
      <c r="B18" s="633"/>
      <c r="C18" s="653"/>
      <c r="D18" s="652"/>
      <c r="E18" s="652"/>
      <c r="F18" s="652"/>
      <c r="G18" s="652"/>
      <c r="H18" s="652"/>
      <c r="I18" s="652"/>
      <c r="J18" s="652"/>
      <c r="K18" s="652"/>
      <c r="L18" s="652"/>
      <c r="M18" s="652"/>
      <c r="N18" s="652"/>
      <c r="O18" s="653"/>
    </row>
    <row r="19" spans="2:32" ht="24.75" customHeight="1" x14ac:dyDescent="0.35">
      <c r="B19" s="633"/>
      <c r="C19" s="653" t="str">
        <f>Cotizador!R104</f>
        <v>Básica</v>
      </c>
      <c r="D19" s="652"/>
      <c r="E19" s="652"/>
      <c r="F19" s="878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78"/>
      <c r="H19" s="878"/>
      <c r="I19" s="878"/>
      <c r="J19" s="878"/>
      <c r="K19" s="878"/>
      <c r="L19" s="878"/>
      <c r="M19" s="878"/>
      <c r="N19" s="878"/>
      <c r="O19" s="878"/>
    </row>
    <row r="20" spans="2:32" ht="16.5" customHeight="1" x14ac:dyDescent="0.35">
      <c r="B20" s="633"/>
      <c r="C20" s="653" t="str">
        <f>IF(O10="INTERNACIONAL","",Cotizador!R108)</f>
        <v>Emergencia Médica en el Extranjero</v>
      </c>
      <c r="D20" s="652"/>
      <c r="E20" s="652"/>
      <c r="F20" s="879" t="str">
        <f>IF(C20="","","Suma Asegurada: dls 100,000, Deducible: dls 100 y Coaseguro 0%")</f>
        <v>Suma Asegurada: dls 100,000, Deducible: dls 100 y Coaseguro 0%</v>
      </c>
      <c r="G20" s="879"/>
      <c r="H20" s="879"/>
      <c r="I20" s="879"/>
      <c r="J20" s="879"/>
      <c r="K20" s="879"/>
      <c r="L20" s="879"/>
      <c r="M20" s="879"/>
      <c r="N20" s="879"/>
      <c r="O20" s="879"/>
    </row>
    <row r="21" spans="2:32" ht="18" customHeight="1" x14ac:dyDescent="0.35">
      <c r="B21" s="633"/>
      <c r="C21" s="633" t="s">
        <v>290</v>
      </c>
      <c r="D21" s="652"/>
      <c r="E21" s="652"/>
      <c r="F21" s="641" t="s">
        <v>218</v>
      </c>
      <c r="G21" s="643"/>
      <c r="H21" s="643"/>
      <c r="I21" s="643"/>
      <c r="J21" s="643"/>
      <c r="K21" s="643"/>
      <c r="L21" s="643"/>
      <c r="M21" s="643"/>
      <c r="N21" s="643"/>
      <c r="O21" s="647"/>
    </row>
    <row r="22" spans="2:32" ht="18" customHeight="1" x14ac:dyDescent="0.35">
      <c r="B22" s="633"/>
      <c r="C22" s="633" t="s">
        <v>297</v>
      </c>
      <c r="D22" s="652"/>
      <c r="E22" s="652"/>
      <c r="F22" s="641" t="s">
        <v>218</v>
      </c>
      <c r="G22" s="643"/>
      <c r="H22" s="643"/>
      <c r="I22" s="643"/>
      <c r="J22" s="643"/>
      <c r="K22" s="643"/>
      <c r="L22" s="643"/>
      <c r="M22" s="643"/>
      <c r="N22" s="643"/>
      <c r="O22" s="647"/>
    </row>
    <row r="23" spans="2:32" ht="18" customHeight="1" x14ac:dyDescent="0.35">
      <c r="B23" s="633"/>
      <c r="C23" s="633" t="s">
        <v>232</v>
      </c>
      <c r="D23" s="652"/>
      <c r="E23" s="652"/>
      <c r="F23" s="641" t="s">
        <v>257</v>
      </c>
      <c r="G23" s="643"/>
      <c r="H23" s="643"/>
      <c r="I23" s="643"/>
      <c r="J23" s="643"/>
      <c r="K23" s="643"/>
      <c r="L23" s="643"/>
      <c r="M23" s="643"/>
      <c r="N23" s="643"/>
      <c r="O23" s="647"/>
    </row>
    <row r="24" spans="2:32" ht="3.75" customHeight="1" x14ac:dyDescent="0.35">
      <c r="B24" s="633"/>
      <c r="C24" s="633"/>
      <c r="D24" s="652"/>
      <c r="E24" s="652"/>
      <c r="F24" s="641"/>
      <c r="G24" s="643"/>
      <c r="H24" s="643"/>
      <c r="I24" s="643"/>
      <c r="J24" s="643"/>
      <c r="K24" s="643"/>
      <c r="L24" s="643"/>
      <c r="M24" s="643"/>
      <c r="N24" s="643"/>
      <c r="O24" s="647"/>
    </row>
    <row r="25" spans="2:32" ht="13.5" customHeight="1" x14ac:dyDescent="0.35">
      <c r="B25" s="633"/>
      <c r="C25" s="690" t="s">
        <v>212</v>
      </c>
      <c r="D25" s="652"/>
      <c r="E25" s="652"/>
      <c r="F25" s="868"/>
      <c r="G25" s="868"/>
      <c r="H25" s="868"/>
      <c r="I25" s="868"/>
      <c r="J25" s="868"/>
      <c r="K25" s="868"/>
      <c r="L25" s="868"/>
      <c r="M25" s="868"/>
      <c r="N25" s="868"/>
      <c r="O25" s="868"/>
    </row>
    <row r="26" spans="2:32" ht="3.75" customHeight="1" x14ac:dyDescent="0.35">
      <c r="B26" s="633"/>
      <c r="C26" s="647"/>
      <c r="D26" s="652"/>
      <c r="E26" s="652"/>
      <c r="F26" s="643"/>
      <c r="G26" s="643"/>
      <c r="H26" s="643"/>
      <c r="I26" s="643"/>
      <c r="J26" s="643"/>
      <c r="K26" s="643"/>
      <c r="L26" s="643"/>
      <c r="M26" s="643"/>
      <c r="N26" s="643"/>
      <c r="O26" s="647"/>
    </row>
    <row r="27" spans="2:32" s="507" customFormat="1" ht="37.5" customHeight="1" x14ac:dyDescent="0.3">
      <c r="B27" s="633"/>
      <c r="C27" s="654" t="str">
        <f>IF(Cotizador!T31="AMPARADA",Cotizador!R57,"")</f>
        <v>Gastos Funerarios</v>
      </c>
      <c r="D27" s="652"/>
      <c r="E27" s="652"/>
      <c r="F27" s="866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>La Suma Asegurada para esta cobertura es de $ 100,000 pesos por asegurado, siendo indemnizatorio y adicional a la cobertura básica, Las edad maxima de aceptación es de 79 años cancelandose a la edad de 80 años del asegurado.</v>
      </c>
      <c r="G27" s="866"/>
      <c r="H27" s="866"/>
      <c r="I27" s="866"/>
      <c r="J27" s="866"/>
      <c r="K27" s="866"/>
      <c r="L27" s="866"/>
      <c r="M27" s="866"/>
      <c r="N27" s="866"/>
      <c r="O27" s="866"/>
      <c r="P27" s="506"/>
      <c r="Q27" s="506"/>
    </row>
    <row r="28" spans="2:32" s="507" customFormat="1" ht="53.25" customHeight="1" x14ac:dyDescent="0.3">
      <c r="B28" s="633"/>
      <c r="C28" s="654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2"/>
      <c r="E28" s="652"/>
      <c r="F28" s="866" t="str">
        <f ca="1">IF(C28="","","En caso de fallecimiento del Asegurado Titular los Asegurados quedarán exentos del pago de prima durante un periodo continuo de 5 años. "&amp;T30)</f>
        <v/>
      </c>
      <c r="G28" s="866"/>
      <c r="H28" s="866"/>
      <c r="I28" s="866"/>
      <c r="J28" s="866"/>
      <c r="K28" s="866"/>
      <c r="L28" s="866"/>
      <c r="M28" s="866"/>
      <c r="N28" s="866"/>
      <c r="O28" s="866"/>
      <c r="P28" s="506"/>
      <c r="Q28" s="506"/>
    </row>
    <row r="29" spans="2:32" s="507" customFormat="1" ht="37.5" customHeight="1" x14ac:dyDescent="0.3">
      <c r="B29" s="633"/>
      <c r="C29" s="654" t="str">
        <f ca="1"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2"/>
      <c r="E29" s="652"/>
      <c r="F29" s="866" t="str">
        <f ca="1">IF(C29="","","La Suma Asegurada de esta cobertura es de $100,000 pesos  por asegurado, siendo indemnizatorio y adicional a la Cobertura Básica. No ampara a personas menores de 18 años ni mayores a 64 años.")</f>
        <v/>
      </c>
      <c r="G29" s="866"/>
      <c r="H29" s="866"/>
      <c r="I29" s="866"/>
      <c r="J29" s="866"/>
      <c r="K29" s="866"/>
      <c r="L29" s="866"/>
      <c r="M29" s="866"/>
      <c r="N29" s="866"/>
      <c r="O29" s="866"/>
      <c r="P29" s="506"/>
      <c r="Q29" s="506"/>
    </row>
    <row r="30" spans="2:32" s="507" customFormat="1" ht="37.5" customHeight="1" x14ac:dyDescent="0.3">
      <c r="B30" s="633"/>
      <c r="C30" s="654" t="str">
        <f>IF(Cotizador!T34="AMPARADA",Cotizador!R63,"")</f>
        <v/>
      </c>
      <c r="D30" s="652"/>
      <c r="E30" s="652"/>
      <c r="F30" s="869" t="str">
        <f>+IF(C30="","","Se elimina el deducible y coaseguro contratados en caso de un accidente cubierto, siempre y cuando se atiendan en un hospital del mismo nivel o menor al contratado"&amp;" " &amp;T31)</f>
        <v/>
      </c>
      <c r="G30" s="869"/>
      <c r="H30" s="869"/>
      <c r="I30" s="869"/>
      <c r="J30" s="869"/>
      <c r="K30" s="869"/>
      <c r="L30" s="869"/>
      <c r="M30" s="869"/>
      <c r="N30" s="869"/>
      <c r="O30" s="869"/>
      <c r="P30" s="506"/>
      <c r="Q30" s="506"/>
      <c r="T30" s="508" t="s">
        <v>305</v>
      </c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  <c r="AE30" s="508"/>
      <c r="AF30" s="508"/>
    </row>
    <row r="31" spans="2:32" s="507" customFormat="1" ht="37.5" customHeight="1" x14ac:dyDescent="0.3">
      <c r="B31" s="633"/>
      <c r="C31" s="654" t="str">
        <f>IF(Cotizador!T35="AMPARADA",Cotizador!R65,"")</f>
        <v/>
      </c>
      <c r="D31" s="652"/>
      <c r="E31" s="652"/>
      <c r="F31" s="866" t="str">
        <f>IF(C31=Cotizador!R65,T32&amp;" "&amp;T34,"")</f>
        <v/>
      </c>
      <c r="G31" s="866"/>
      <c r="H31" s="866"/>
      <c r="I31" s="866"/>
      <c r="J31" s="866"/>
      <c r="K31" s="866"/>
      <c r="L31" s="866"/>
      <c r="M31" s="866"/>
      <c r="N31" s="866"/>
      <c r="O31" s="866"/>
      <c r="P31" s="506"/>
      <c r="Q31" s="506"/>
      <c r="T31" s="508" t="s">
        <v>215</v>
      </c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  <c r="AE31" s="508"/>
      <c r="AF31" s="508"/>
    </row>
    <row r="32" spans="2:32" s="507" customFormat="1" ht="26.25" customHeight="1" x14ac:dyDescent="0.3">
      <c r="B32" s="633"/>
      <c r="C32" s="655" t="str">
        <f>IF(Cotizador!T36="AMPARADA",Cotizador!R67,"")</f>
        <v/>
      </c>
      <c r="D32" s="652"/>
      <c r="E32" s="652"/>
      <c r="F32" s="869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69"/>
      <c r="H32" s="869"/>
      <c r="I32" s="869"/>
      <c r="J32" s="869"/>
      <c r="K32" s="869"/>
      <c r="L32" s="869"/>
      <c r="M32" s="869"/>
      <c r="N32" s="869"/>
      <c r="O32" s="869"/>
      <c r="P32" s="506"/>
      <c r="Q32" s="506"/>
      <c r="T32" s="509" t="s">
        <v>286</v>
      </c>
      <c r="U32" s="508"/>
      <c r="V32" s="508"/>
      <c r="W32" s="508"/>
      <c r="X32" s="508"/>
      <c r="Y32" s="508"/>
      <c r="Z32" s="508"/>
      <c r="AA32" s="508"/>
      <c r="AB32" s="508"/>
      <c r="AC32" s="508"/>
      <c r="AD32" s="508"/>
      <c r="AE32" s="508"/>
      <c r="AF32" s="508"/>
    </row>
    <row r="33" spans="2:32" s="507" customFormat="1" ht="63" customHeight="1" x14ac:dyDescent="0.3">
      <c r="B33" s="633"/>
      <c r="C33" s="656" t="str">
        <f>IF(Cotizador!T39="AMPARADA",Cotizador!R69,"")</f>
        <v/>
      </c>
      <c r="D33" s="652"/>
      <c r="E33" s="652"/>
      <c r="F33" s="869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69"/>
      <c r="H33" s="869"/>
      <c r="I33" s="869"/>
      <c r="J33" s="869"/>
      <c r="K33" s="869"/>
      <c r="L33" s="869"/>
      <c r="M33" s="869"/>
      <c r="N33" s="869"/>
      <c r="O33" s="869"/>
      <c r="P33" s="506"/>
      <c r="Q33" s="506"/>
      <c r="T33" s="509"/>
      <c r="U33" s="508"/>
      <c r="V33" s="508"/>
      <c r="W33" s="508"/>
      <c r="X33" s="508"/>
      <c r="Y33" s="508"/>
      <c r="Z33" s="508"/>
      <c r="AA33" s="508"/>
      <c r="AB33" s="508"/>
      <c r="AC33" s="508"/>
      <c r="AD33" s="508"/>
      <c r="AE33" s="508"/>
      <c r="AF33" s="508"/>
    </row>
    <row r="34" spans="2:32" s="507" customFormat="1" ht="13.5" customHeight="1" x14ac:dyDescent="0.3">
      <c r="B34" s="633"/>
      <c r="C34" s="655" t="str">
        <f>IF(Cotizador!T37="AMPARADA",Cotizador!R37,"")</f>
        <v/>
      </c>
      <c r="D34" s="652"/>
      <c r="E34" s="652"/>
      <c r="F34" s="869" t="str">
        <f>IF(C34=Cotizador!R37,"Disminuye la penalización de coaseguro al atenderse en una región distinta a la contratada.","")</f>
        <v/>
      </c>
      <c r="G34" s="869"/>
      <c r="H34" s="869"/>
      <c r="I34" s="869"/>
      <c r="J34" s="869"/>
      <c r="K34" s="869"/>
      <c r="L34" s="869"/>
      <c r="M34" s="869"/>
      <c r="N34" s="869"/>
      <c r="O34" s="869"/>
      <c r="P34" s="506"/>
      <c r="Q34" s="506"/>
      <c r="T34" s="508" t="s">
        <v>285</v>
      </c>
      <c r="U34" s="508"/>
      <c r="V34" s="508"/>
      <c r="W34" s="508"/>
      <c r="X34" s="508"/>
      <c r="Y34" s="508"/>
      <c r="Z34" s="508"/>
      <c r="AA34" s="508"/>
      <c r="AB34" s="508"/>
      <c r="AC34" s="508"/>
      <c r="AD34" s="508"/>
      <c r="AE34" s="508"/>
      <c r="AF34" s="508"/>
    </row>
    <row r="35" spans="2:32" s="507" customFormat="1" ht="26.25" customHeight="1" x14ac:dyDescent="0.3">
      <c r="B35" s="633"/>
      <c r="C35" s="655" t="str">
        <f>IF(Cotizador!T38="AMPARADA",Cotizador!R55,"")</f>
        <v/>
      </c>
      <c r="D35" s="653"/>
      <c r="E35" s="653"/>
      <c r="F35" s="869" t="str">
        <f>IF(C35=Cotizador!R55,"Se disminuye el coaseguro contratado en cinco puntos porcentuales. Aplica solo en enfermedades cubiertas por esta póliza.","")</f>
        <v/>
      </c>
      <c r="G35" s="869"/>
      <c r="H35" s="869"/>
      <c r="I35" s="869"/>
      <c r="J35" s="869"/>
      <c r="K35" s="869"/>
      <c r="L35" s="869"/>
      <c r="M35" s="869"/>
      <c r="N35" s="869"/>
      <c r="O35" s="869"/>
      <c r="P35" s="506"/>
      <c r="Q35" s="506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</row>
    <row r="36" spans="2:32" s="510" customFormat="1" ht="3.75" customHeight="1" x14ac:dyDescent="0.3">
      <c r="B36" s="638"/>
      <c r="C36" s="657" t="str">
        <f>IF(Cotizador!T40="AMPARADA",Cotizador!R40,"")</f>
        <v/>
      </c>
      <c r="D36" s="658"/>
      <c r="E36" s="658"/>
      <c r="F36" s="881" t="str">
        <f>IF(C36=Cotizador!R40,"Para esta cobertura se tiene un tabulador especial de $90,000 pesos.","")</f>
        <v/>
      </c>
      <c r="G36" s="881"/>
      <c r="H36" s="881"/>
      <c r="I36" s="881"/>
      <c r="J36" s="881"/>
      <c r="K36" s="881"/>
      <c r="L36" s="881"/>
      <c r="M36" s="881"/>
      <c r="N36" s="881"/>
      <c r="O36" s="88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</row>
    <row r="37" spans="2:32" ht="3.75" customHeight="1" thickBot="1" x14ac:dyDescent="0.4">
      <c r="B37" s="633"/>
      <c r="C37" s="652"/>
      <c r="D37" s="652"/>
      <c r="E37" s="652"/>
      <c r="F37" s="652"/>
      <c r="G37" s="652"/>
      <c r="H37" s="652"/>
      <c r="I37" s="652"/>
      <c r="J37" s="652"/>
      <c r="K37" s="652"/>
      <c r="L37" s="652"/>
      <c r="M37" s="652"/>
      <c r="N37" s="652"/>
      <c r="O37" s="653"/>
    </row>
    <row r="38" spans="2:32" ht="13.5" customHeight="1" thickBot="1" x14ac:dyDescent="0.4">
      <c r="B38" s="633"/>
      <c r="C38" s="870" t="s">
        <v>87</v>
      </c>
      <c r="D38" s="871"/>
      <c r="E38" s="872"/>
      <c r="F38" s="692"/>
      <c r="G38" s="693" t="s">
        <v>0</v>
      </c>
      <c r="H38" s="694"/>
      <c r="I38" s="693" t="s">
        <v>53</v>
      </c>
      <c r="J38" s="695"/>
      <c r="K38" s="693" t="s">
        <v>134</v>
      </c>
      <c r="L38" s="696"/>
      <c r="M38" s="892" t="s">
        <v>163</v>
      </c>
      <c r="N38" s="893"/>
      <c r="O38" s="894"/>
      <c r="P38" s="120"/>
      <c r="W38" s="889" t="s">
        <v>179</v>
      </c>
      <c r="X38" s="890"/>
      <c r="Y38" s="891"/>
    </row>
    <row r="39" spans="2:32" ht="23.25" customHeight="1" x14ac:dyDescent="0.35">
      <c r="B39" s="633"/>
      <c r="C39" s="659"/>
      <c r="D39" s="659"/>
      <c r="E39" s="659"/>
      <c r="F39" s="653"/>
      <c r="G39" s="653"/>
      <c r="H39" s="653"/>
      <c r="I39" s="660"/>
      <c r="J39" s="661"/>
      <c r="K39" s="661"/>
      <c r="L39" s="660"/>
      <c r="M39" s="697" t="s">
        <v>132</v>
      </c>
      <c r="N39" s="697" t="s">
        <v>128</v>
      </c>
      <c r="O39" s="698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3"/>
      <c r="C40" s="662"/>
      <c r="D40" s="663"/>
      <c r="E40" s="652"/>
      <c r="F40" s="652"/>
      <c r="G40" s="652"/>
      <c r="H40" s="652"/>
      <c r="I40" s="652"/>
      <c r="J40" s="652"/>
      <c r="K40" s="652"/>
      <c r="L40" s="652"/>
      <c r="M40" s="652"/>
      <c r="N40" s="652"/>
      <c r="O40" s="653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3"/>
      <c r="C41" s="882" t="str">
        <f>IF(Cotizador!S8&lt;&gt;"AMPARADA","",Cotizador!E15)</f>
        <v/>
      </c>
      <c r="D41" s="883"/>
      <c r="E41" s="884"/>
      <c r="F41" s="661"/>
      <c r="G41" s="664" t="str">
        <f>IF(Cotizador!$K$11="","",IF(Cotizador!S8&lt;&gt;"AMPARADA","",Cotizador!T8))</f>
        <v/>
      </c>
      <c r="H41" s="665"/>
      <c r="I41" s="664" t="str">
        <f>IF(Cotizador!S8&lt;&gt;"AMPARADA","",IF(Cotizador!U8="HOMBRE","H",IF(Cotizador!U8="MUJER","M","")))</f>
        <v/>
      </c>
      <c r="J41" s="652"/>
      <c r="K41" s="664" t="str">
        <f>IF(Cotizador!S8&lt;&gt;"AMPARADA","",Cotizador!V8)</f>
        <v/>
      </c>
      <c r="L41" s="652"/>
      <c r="M41" s="666">
        <f>IF(Cotizador!$T$3="SI",S41-W41,S41)*IF($I$54="",1,1+$I$54)</f>
        <v>0</v>
      </c>
      <c r="N41" s="666">
        <f>IF(Cotizador!$T$3="SI",T41-X41,T41)*IF($I$54="",1,1+$I$54)</f>
        <v>0</v>
      </c>
      <c r="O41" s="667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S41*Tablas!$AL$39</f>
        <v>0</v>
      </c>
      <c r="X41" s="93">
        <f>T41*Tablas!$AL$39</f>
        <v>0</v>
      </c>
      <c r="Y41" s="107">
        <f>+W41+X41</f>
        <v>0</v>
      </c>
    </row>
    <row r="42" spans="2:32" ht="3.75" customHeight="1" x14ac:dyDescent="0.35">
      <c r="B42" s="633"/>
      <c r="C42" s="662"/>
      <c r="D42" s="663"/>
      <c r="E42" s="652"/>
      <c r="F42" s="668"/>
      <c r="G42" s="642"/>
      <c r="H42" s="642"/>
      <c r="I42" s="642"/>
      <c r="J42" s="652"/>
      <c r="K42" s="652"/>
      <c r="L42" s="652"/>
      <c r="M42" s="652"/>
      <c r="N42" s="669"/>
      <c r="O42" s="670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3"/>
      <c r="C43" s="882" t="str">
        <f>IF(Cotizador!S10&lt;&gt;"AMPARADA","",Cotizador!E17)</f>
        <v/>
      </c>
      <c r="D43" s="883"/>
      <c r="E43" s="884"/>
      <c r="F43" s="661"/>
      <c r="G43" s="664" t="str">
        <f>IF(Cotizador!$K$11="","",IF(Cotizador!S10&lt;&gt;"AMPARADA","",Cotizador!T10))</f>
        <v/>
      </c>
      <c r="H43" s="665"/>
      <c r="I43" s="671" t="str">
        <f>IF(Cotizador!S10&lt;&gt;"AMPARADA","",IF(Cotizador!U10="HOMBRE","H",IF(Cotizador!U10="MUJER","M","")))</f>
        <v/>
      </c>
      <c r="J43" s="652"/>
      <c r="K43" s="664" t="str">
        <f>IF(Cotizador!S10&lt;&gt;"AMPARADA","",Cotizador!V10)</f>
        <v/>
      </c>
      <c r="L43" s="652"/>
      <c r="M43" s="666">
        <f>IF(Cotizador!$T$3="SI",S43-W43,S43)</f>
        <v>0</v>
      </c>
      <c r="N43" s="666">
        <f>IF(Cotizador!$T$3="SI",T43-X43,T43)</f>
        <v>0</v>
      </c>
      <c r="O43" s="667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S43*Tablas!$AL$39</f>
        <v>0</v>
      </c>
      <c r="X43" s="93">
        <f>T43*Tablas!$AL$39</f>
        <v>0</v>
      </c>
      <c r="Y43" s="107">
        <f t="shared" ref="Y43:Y51" si="0">+W43+X43</f>
        <v>0</v>
      </c>
    </row>
    <row r="44" spans="2:32" ht="3.75" customHeight="1" x14ac:dyDescent="0.35">
      <c r="B44" s="633"/>
      <c r="C44" s="653"/>
      <c r="D44" s="663"/>
      <c r="E44" s="652"/>
      <c r="F44" s="652"/>
      <c r="G44" s="642"/>
      <c r="H44" s="642"/>
      <c r="I44" s="642"/>
      <c r="J44" s="652"/>
      <c r="K44" s="652"/>
      <c r="L44" s="663"/>
      <c r="M44" s="652"/>
      <c r="N44" s="669"/>
      <c r="O44" s="670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3"/>
      <c r="C45" s="882" t="str">
        <f>IF(Cotizador!S12&lt;&gt;"AMPARADA","",Cotizador!E19)</f>
        <v/>
      </c>
      <c r="D45" s="883"/>
      <c r="E45" s="884"/>
      <c r="F45" s="661"/>
      <c r="G45" s="664" t="str">
        <f>IF(Cotizador!$K$11="","",IF(Cotizador!S12&lt;&gt;"AMPARADA","",Cotizador!T12))</f>
        <v/>
      </c>
      <c r="H45" s="665"/>
      <c r="I45" s="671" t="str">
        <f>IF(Cotizador!S12&lt;&gt;"AMPARADA","",IF(Cotizador!U12="HOMBRE","H",IF(Cotizador!U12="MUJER","M","")))</f>
        <v/>
      </c>
      <c r="J45" s="652"/>
      <c r="K45" s="664" t="str">
        <f>IF(Cotizador!S12&lt;&gt;"AMPARADA","",Cotizador!V12)</f>
        <v/>
      </c>
      <c r="L45" s="652"/>
      <c r="M45" s="666">
        <f>IF(Cotizador!$T$3="SI",S45-W45,S45)</f>
        <v>0</v>
      </c>
      <c r="N45" s="666">
        <f>IF(Cotizador!$T$3="SI",T45-X45,T45)</f>
        <v>0</v>
      </c>
      <c r="O45" s="667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S45*Tablas!$AL$39</f>
        <v>0</v>
      </c>
      <c r="X45" s="93">
        <f>T45*Tablas!$AL$39</f>
        <v>0</v>
      </c>
      <c r="Y45" s="107">
        <f t="shared" si="0"/>
        <v>0</v>
      </c>
    </row>
    <row r="46" spans="2:32" ht="3.75" customHeight="1" x14ac:dyDescent="0.35">
      <c r="B46" s="633"/>
      <c r="C46" s="653"/>
      <c r="D46" s="663"/>
      <c r="E46" s="652"/>
      <c r="F46" s="652"/>
      <c r="G46" s="642"/>
      <c r="H46" s="642"/>
      <c r="I46" s="642"/>
      <c r="J46" s="652"/>
      <c r="K46" s="652"/>
      <c r="L46" s="652"/>
      <c r="M46" s="652"/>
      <c r="N46" s="669"/>
      <c r="O46" s="670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3"/>
      <c r="C47" s="882" t="str">
        <f>IF(Cotizador!S14&lt;&gt;"AMPARADA","",Cotizador!E21)</f>
        <v/>
      </c>
      <c r="D47" s="883"/>
      <c r="E47" s="884"/>
      <c r="F47" s="661"/>
      <c r="G47" s="664" t="str">
        <f>IF(Cotizador!$K$11="","",IF(Cotizador!S14&lt;&gt;"AMPARADA","",Cotizador!T14))</f>
        <v/>
      </c>
      <c r="H47" s="665"/>
      <c r="I47" s="671" t="str">
        <f>IF(Cotizador!S14&lt;&gt;"AMPARADA","",IF(Cotizador!U14="HOMBRE","H",IF(Cotizador!U14="MUJER","M","")))</f>
        <v/>
      </c>
      <c r="J47" s="652"/>
      <c r="K47" s="664" t="str">
        <f>IF(Cotizador!S14&lt;&gt;"AMPARADA","",Cotizador!V14)</f>
        <v/>
      </c>
      <c r="L47" s="652"/>
      <c r="M47" s="666">
        <f>IF(Cotizador!$T$3="SI",S47-W47,S47)</f>
        <v>0</v>
      </c>
      <c r="N47" s="666">
        <f>IF(Cotizador!$T$3="SI",T47-X47,T47)</f>
        <v>0</v>
      </c>
      <c r="O47" s="667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S47*Tablas!$AL$39</f>
        <v>0</v>
      </c>
      <c r="X47" s="93">
        <f>T47*Tablas!$AL$39</f>
        <v>0</v>
      </c>
      <c r="Y47" s="107">
        <f t="shared" si="0"/>
        <v>0</v>
      </c>
    </row>
    <row r="48" spans="2:32" ht="3.75" customHeight="1" x14ac:dyDescent="0.35">
      <c r="B48" s="633"/>
      <c r="C48" s="653"/>
      <c r="D48" s="663"/>
      <c r="E48" s="652"/>
      <c r="F48" s="652"/>
      <c r="G48" s="642"/>
      <c r="H48" s="642"/>
      <c r="I48" s="642"/>
      <c r="J48" s="652"/>
      <c r="K48" s="652"/>
      <c r="L48" s="652"/>
      <c r="M48" s="652"/>
      <c r="N48" s="669"/>
      <c r="O48" s="670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3"/>
      <c r="C49" s="882" t="str">
        <f>IF(Cotizador!S16&lt;&gt;"AMPARADA","",Cotizador!E23)</f>
        <v/>
      </c>
      <c r="D49" s="883"/>
      <c r="E49" s="884"/>
      <c r="F49" s="661"/>
      <c r="G49" s="664" t="str">
        <f>IF(Cotizador!$K$11="","",IF(Cotizador!S16&lt;&gt;"AMPARADA","",Cotizador!T16))</f>
        <v/>
      </c>
      <c r="H49" s="665"/>
      <c r="I49" s="671" t="str">
        <f>IF(Cotizador!S16&lt;&gt;"AMPARADA","",IF(Cotizador!U16="HOMBRE","H",IF(Cotizador!U16="MUJER","M","")))</f>
        <v/>
      </c>
      <c r="J49" s="652"/>
      <c r="K49" s="664" t="str">
        <f>IF(Cotizador!S16&lt;&gt;"AMPARADA","",Cotizador!V16)</f>
        <v/>
      </c>
      <c r="L49" s="652"/>
      <c r="M49" s="666">
        <f>IF(Cotizador!$T$3="SI",S49-W49,S49)</f>
        <v>0</v>
      </c>
      <c r="N49" s="666">
        <f>IF(Cotizador!$T$3="SI",T49-X49,T49)</f>
        <v>0</v>
      </c>
      <c r="O49" s="667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S49*Tablas!$AL$39</f>
        <v>0</v>
      </c>
      <c r="X49" s="93">
        <f>T49*Tablas!$AL$39</f>
        <v>0</v>
      </c>
      <c r="Y49" s="107">
        <f t="shared" si="0"/>
        <v>0</v>
      </c>
    </row>
    <row r="50" spans="2:25" ht="3.75" customHeight="1" x14ac:dyDescent="0.35">
      <c r="B50" s="633"/>
      <c r="C50" s="653"/>
      <c r="D50" s="663"/>
      <c r="E50" s="652"/>
      <c r="F50" s="652"/>
      <c r="G50" s="642"/>
      <c r="H50" s="642"/>
      <c r="I50" s="642"/>
      <c r="J50" s="652"/>
      <c r="K50" s="652"/>
      <c r="L50" s="652"/>
      <c r="M50" s="652"/>
      <c r="N50" s="669"/>
      <c r="O50" s="670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3"/>
      <c r="C51" s="882" t="str">
        <f>IF(Cotizador!S18&lt;&gt;"AMPARADA","",Cotizador!E25)</f>
        <v/>
      </c>
      <c r="D51" s="883"/>
      <c r="E51" s="884"/>
      <c r="F51" s="661"/>
      <c r="G51" s="664" t="str">
        <f>IF(Cotizador!$K$11="","",IF(Cotizador!S18&lt;&gt;"AMPARADA","",Cotizador!T18))</f>
        <v/>
      </c>
      <c r="H51" s="665"/>
      <c r="I51" s="671" t="str">
        <f>IF(Cotizador!S18&lt;&gt;"AMPARADA","",IF(Cotizador!U18="HOMBRE","H",IF(Cotizador!U18="MUJER","M","")))</f>
        <v/>
      </c>
      <c r="J51" s="652"/>
      <c r="K51" s="664" t="str">
        <f>IF(Cotizador!S18&lt;&gt;"AMPARADA","",Cotizador!V18)</f>
        <v/>
      </c>
      <c r="L51" s="652"/>
      <c r="M51" s="666">
        <f>IF(Cotizador!$T$3="SI",S51-W51,S51)</f>
        <v>0</v>
      </c>
      <c r="N51" s="666">
        <f>IF(Cotizador!$T$3="SI",T51-X51,T51)</f>
        <v>0</v>
      </c>
      <c r="O51" s="667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S51*Tablas!$AL$39</f>
        <v>0</v>
      </c>
      <c r="X51" s="92">
        <f>T51*Tablas!$AL$39</f>
        <v>0</v>
      </c>
      <c r="Y51" s="111">
        <f t="shared" si="0"/>
        <v>0</v>
      </c>
    </row>
    <row r="52" spans="2:25" ht="0.75" customHeight="1" thickBot="1" x14ac:dyDescent="0.4">
      <c r="B52" s="638"/>
      <c r="C52" s="882"/>
      <c r="D52" s="883"/>
      <c r="E52" s="884"/>
      <c r="F52" s="661"/>
      <c r="G52" s="664"/>
      <c r="H52" s="665"/>
      <c r="I52" s="671"/>
      <c r="J52" s="652"/>
      <c r="K52" s="664"/>
      <c r="L52" s="652"/>
      <c r="M52" s="658"/>
      <c r="N52" s="672"/>
      <c r="O52" s="672"/>
      <c r="P52" s="120"/>
    </row>
    <row r="53" spans="2:25" ht="13.5" customHeight="1" x14ac:dyDescent="0.35">
      <c r="B53" s="633"/>
      <c r="C53" s="633"/>
      <c r="D53" s="663"/>
      <c r="E53" s="641"/>
      <c r="F53" s="652"/>
      <c r="G53" s="652"/>
      <c r="H53" s="652"/>
      <c r="I53" s="652"/>
      <c r="J53" s="652"/>
      <c r="K53" s="652"/>
      <c r="L53" s="652"/>
      <c r="M53" s="701" t="s">
        <v>151</v>
      </c>
      <c r="N53" s="667"/>
      <c r="O53" s="667">
        <f>ROUND(SUM(O41:O51),2)</f>
        <v>0</v>
      </c>
      <c r="P53" s="120"/>
      <c r="S53" s="148"/>
    </row>
    <row r="54" spans="2:25" ht="13.5" customHeight="1" x14ac:dyDescent="0.35">
      <c r="B54" s="633"/>
      <c r="C54" s="699" t="s">
        <v>153</v>
      </c>
      <c r="D54" s="695"/>
      <c r="E54" s="674" t="s">
        <v>196</v>
      </c>
      <c r="F54" s="703"/>
      <c r="G54" s="733" t="s">
        <v>292</v>
      </c>
      <c r="H54" s="733"/>
      <c r="I54" s="734">
        <v>0</v>
      </c>
      <c r="J54" s="652"/>
      <c r="K54" s="652"/>
      <c r="L54" s="652"/>
      <c r="M54" s="701" t="s">
        <v>152</v>
      </c>
      <c r="N54" s="667"/>
      <c r="O54" s="667">
        <f>ROUND(O53*VLOOKUP(E54,$W$7:$Y$11,2,0),2)</f>
        <v>0</v>
      </c>
      <c r="P54" s="120"/>
      <c r="S54" s="145"/>
    </row>
    <row r="55" spans="2:25" ht="13.5" customHeight="1" x14ac:dyDescent="0.35">
      <c r="B55" s="633"/>
      <c r="C55" s="699"/>
      <c r="D55" s="695"/>
      <c r="E55" s="652"/>
      <c r="F55" s="652"/>
      <c r="G55" s="652"/>
      <c r="H55" s="652"/>
      <c r="I55" s="652"/>
      <c r="J55" s="652"/>
      <c r="K55" s="652"/>
      <c r="L55" s="652"/>
      <c r="M55" s="691" t="s">
        <v>124</v>
      </c>
      <c r="N55" s="652"/>
      <c r="O55" s="675">
        <v>700</v>
      </c>
      <c r="P55" s="120"/>
      <c r="Q55" s="746"/>
    </row>
    <row r="56" spans="2:25" ht="12.75" customHeight="1" x14ac:dyDescent="0.35">
      <c r="B56" s="633"/>
      <c r="C56" s="699" t="s">
        <v>166</v>
      </c>
      <c r="D56" s="695"/>
      <c r="E56" s="665">
        <f>VLOOKUP(E54,$W$7:$Y$11,3,0)</f>
        <v>12</v>
      </c>
      <c r="F56" s="652"/>
      <c r="G56" s="652"/>
      <c r="H56" s="652"/>
      <c r="I56" s="676"/>
      <c r="J56" s="652"/>
      <c r="K56" s="652"/>
      <c r="L56" s="652"/>
      <c r="M56" s="699" t="s">
        <v>123</v>
      </c>
      <c r="N56" s="652"/>
      <c r="O56" s="675">
        <f>SUM(O53:O55)</f>
        <v>700</v>
      </c>
      <c r="P56" s="120"/>
      <c r="S56" s="87" t="s">
        <v>125</v>
      </c>
    </row>
    <row r="57" spans="2:25" ht="13.5" customHeight="1" thickBot="1" x14ac:dyDescent="0.4">
      <c r="B57" s="633"/>
      <c r="C57" s="691" t="s">
        <v>167</v>
      </c>
      <c r="D57" s="700"/>
      <c r="E57" s="677">
        <f>IF(E56=1,O58,ROUND(((O56-O55)/E56+O55)*(1+N57),2))</f>
        <v>812</v>
      </c>
      <c r="F57" s="652"/>
      <c r="G57" s="652"/>
      <c r="H57" s="652"/>
      <c r="I57" s="652"/>
      <c r="J57" s="678"/>
      <c r="K57" s="643"/>
      <c r="L57" s="652"/>
      <c r="M57" s="691" t="s">
        <v>125</v>
      </c>
      <c r="N57" s="679">
        <v>0.16</v>
      </c>
      <c r="O57" s="680">
        <f>ROUND(O56*$N$57,2)</f>
        <v>112</v>
      </c>
      <c r="P57" s="120"/>
      <c r="S57" s="88">
        <v>0.11</v>
      </c>
    </row>
    <row r="58" spans="2:25" ht="12.75" customHeight="1" x14ac:dyDescent="0.35">
      <c r="B58" s="633"/>
      <c r="C58" s="691" t="str">
        <f>"Recibos subsecuentes" &amp; " " &amp; IF(E56=1,"","("&amp;E56-1&amp;")")</f>
        <v>Recibos subsecuentes (11)</v>
      </c>
      <c r="D58" s="692"/>
      <c r="E58" s="681">
        <f>IF(E56=4,(O58-E57)/3,IF(E56=12,(O58-E57)/11,IF(E56=6,(O58-E57)/5,ROUND(+O58-E57,2))))</f>
        <v>0</v>
      </c>
      <c r="F58" s="673"/>
      <c r="G58" s="673"/>
      <c r="H58" s="673"/>
      <c r="I58" s="652"/>
      <c r="J58" s="652"/>
      <c r="K58" s="652"/>
      <c r="L58" s="652"/>
      <c r="M58" s="691" t="s">
        <v>126</v>
      </c>
      <c r="N58" s="652"/>
      <c r="O58" s="682">
        <f>SUM(O56:O57)</f>
        <v>812</v>
      </c>
      <c r="P58" s="120"/>
      <c r="S58" s="89">
        <v>0.16</v>
      </c>
    </row>
    <row r="59" spans="2:25" ht="3" customHeight="1" x14ac:dyDescent="0.35">
      <c r="B59" s="638"/>
      <c r="C59" s="649"/>
      <c r="D59" s="638"/>
      <c r="E59" s="638"/>
      <c r="F59" s="649"/>
      <c r="G59" s="649"/>
      <c r="H59" s="649"/>
      <c r="I59" s="638"/>
      <c r="J59" s="638"/>
      <c r="K59" s="638"/>
      <c r="L59" s="638"/>
      <c r="M59" s="649"/>
      <c r="N59" s="638"/>
      <c r="O59" s="638"/>
      <c r="P59" s="120"/>
    </row>
    <row r="60" spans="2:25" s="13" customFormat="1" ht="3.75" hidden="1" customHeight="1" x14ac:dyDescent="0.35">
      <c r="B60" s="683"/>
      <c r="C60" s="647"/>
      <c r="D60" s="683"/>
      <c r="E60" s="683"/>
      <c r="F60" s="684"/>
      <c r="G60" s="684"/>
      <c r="H60" s="684"/>
      <c r="I60" s="683"/>
      <c r="J60" s="683"/>
      <c r="K60" s="683"/>
      <c r="L60" s="683"/>
      <c r="M60" s="684"/>
      <c r="N60" s="683"/>
      <c r="O60" s="683"/>
      <c r="P60" s="120"/>
    </row>
    <row r="61" spans="2:25" s="13" customFormat="1" ht="3.75" customHeight="1" x14ac:dyDescent="0.35">
      <c r="B61" s="633"/>
      <c r="C61" s="647"/>
      <c r="D61" s="633"/>
      <c r="E61" s="633"/>
      <c r="F61" s="633"/>
      <c r="G61" s="633"/>
      <c r="H61" s="633"/>
      <c r="I61" s="633"/>
      <c r="J61" s="633"/>
      <c r="K61" s="633"/>
      <c r="L61" s="633"/>
      <c r="M61" s="685"/>
      <c r="N61" s="633"/>
      <c r="O61" s="686"/>
      <c r="P61" s="120"/>
    </row>
    <row r="62" spans="2:25" s="13" customFormat="1" ht="12" customHeight="1" x14ac:dyDescent="0.35">
      <c r="B62" s="886" t="s">
        <v>174</v>
      </c>
      <c r="C62" s="886"/>
      <c r="D62" s="886"/>
      <c r="E62" s="886"/>
      <c r="F62" s="886"/>
      <c r="G62" s="886"/>
      <c r="H62" s="886"/>
      <c r="I62" s="886"/>
      <c r="J62" s="886"/>
      <c r="K62" s="886"/>
      <c r="L62" s="886"/>
      <c r="M62" s="886"/>
      <c r="N62" s="886"/>
      <c r="O62" s="886"/>
      <c r="P62" s="120"/>
      <c r="Q62" s="146"/>
    </row>
    <row r="63" spans="2:25" s="13" customFormat="1" ht="2.25" hidden="1" customHeight="1" x14ac:dyDescent="0.35">
      <c r="B63" s="647"/>
      <c r="C63" s="653"/>
      <c r="D63" s="647"/>
      <c r="E63" s="647"/>
      <c r="F63" s="647"/>
      <c r="G63" s="647"/>
      <c r="H63" s="647"/>
      <c r="I63" s="647"/>
      <c r="J63" s="647"/>
      <c r="K63" s="647"/>
      <c r="L63" s="647"/>
      <c r="M63" s="687"/>
      <c r="N63" s="647"/>
      <c r="O63" s="688"/>
      <c r="P63" s="120"/>
      <c r="R63" s="146"/>
    </row>
    <row r="64" spans="2:25" s="13" customFormat="1" ht="13.5" customHeight="1" x14ac:dyDescent="0.35">
      <c r="B64" s="887" t="s">
        <v>175</v>
      </c>
      <c r="C64" s="887"/>
      <c r="D64" s="887"/>
      <c r="E64" s="887"/>
      <c r="F64" s="887"/>
      <c r="G64" s="887"/>
      <c r="H64" s="887"/>
      <c r="I64" s="887"/>
      <c r="J64" s="887"/>
      <c r="K64" s="887"/>
      <c r="L64" s="887"/>
      <c r="M64" s="887"/>
      <c r="N64" s="887"/>
      <c r="O64" s="887"/>
      <c r="P64" s="120"/>
    </row>
    <row r="65" spans="2:16" s="13" customFormat="1" ht="13.5" customHeight="1" x14ac:dyDescent="0.35">
      <c r="B65" s="888" t="s">
        <v>223</v>
      </c>
      <c r="C65" s="888"/>
      <c r="D65" s="888"/>
      <c r="E65" s="888"/>
      <c r="F65" s="888"/>
      <c r="G65" s="888"/>
      <c r="H65" s="888"/>
      <c r="I65" s="888"/>
      <c r="J65" s="888"/>
      <c r="K65" s="888"/>
      <c r="L65" s="888"/>
      <c r="M65" s="888"/>
      <c r="N65" s="888"/>
      <c r="O65" s="888"/>
      <c r="P65" s="120"/>
    </row>
    <row r="66" spans="2:16" ht="14.25" customHeight="1" x14ac:dyDescent="0.35">
      <c r="B66" s="885" t="s">
        <v>294</v>
      </c>
      <c r="C66" s="885"/>
      <c r="D66" s="885"/>
      <c r="E66" s="885"/>
      <c r="F66" s="885"/>
      <c r="G66" s="885"/>
      <c r="H66" s="885"/>
      <c r="I66" s="885"/>
      <c r="J66" s="885"/>
      <c r="K66" s="885"/>
      <c r="L66" s="885"/>
      <c r="M66" s="885"/>
      <c r="N66" s="885"/>
      <c r="O66" s="885"/>
      <c r="P66" s="120"/>
    </row>
    <row r="67" spans="2:16" ht="13.5" customHeight="1" x14ac:dyDescent="0.35">
      <c r="B67" s="885" t="s">
        <v>259</v>
      </c>
      <c r="C67" s="885"/>
      <c r="D67" s="885"/>
      <c r="E67" s="885"/>
      <c r="F67" s="885"/>
      <c r="G67" s="885"/>
      <c r="H67" s="885"/>
      <c r="I67" s="885"/>
      <c r="J67" s="885"/>
      <c r="K67" s="885"/>
      <c r="L67" s="885"/>
      <c r="M67" s="885"/>
      <c r="N67" s="885"/>
      <c r="O67" s="885"/>
      <c r="P67" s="120"/>
    </row>
    <row r="68" spans="2:16" ht="13.5" customHeight="1" x14ac:dyDescent="0.35">
      <c r="B68" s="885" t="s">
        <v>258</v>
      </c>
      <c r="C68" s="885"/>
      <c r="D68" s="885"/>
      <c r="E68" s="885"/>
      <c r="F68" s="885"/>
      <c r="G68" s="885"/>
      <c r="H68" s="885"/>
      <c r="I68" s="885"/>
      <c r="J68" s="885"/>
      <c r="K68" s="885"/>
      <c r="L68" s="885"/>
      <c r="M68" s="885"/>
      <c r="N68" s="885"/>
      <c r="O68" s="885"/>
      <c r="P68" s="120"/>
    </row>
    <row r="69" spans="2:16" ht="53.25" customHeight="1" x14ac:dyDescent="0.35">
      <c r="B69" s="885" t="s">
        <v>176</v>
      </c>
      <c r="C69" s="885"/>
      <c r="D69" s="885"/>
      <c r="E69" s="885"/>
      <c r="F69" s="885"/>
      <c r="G69" s="885"/>
      <c r="H69" s="885"/>
      <c r="I69" s="885"/>
      <c r="J69" s="885"/>
      <c r="K69" s="885"/>
      <c r="L69" s="885"/>
      <c r="M69" s="885"/>
      <c r="N69" s="885"/>
      <c r="O69" s="885"/>
      <c r="P69" s="121"/>
    </row>
    <row r="70" spans="2:16" s="13" customFormat="1" ht="42.75" customHeight="1" x14ac:dyDescent="0.35">
      <c r="B70" s="880" t="str">
        <f>IF(Cotizador!$K$11="NO","","Cotización de carácter informativo para pólizas de renovación.
Tarifa vigente a partir del 01 de septiembre del 2022")</f>
        <v>Cotización de carácter informativo para pólizas de renovación.
Tarifa vigente a partir del 01 de septiembre del 2022</v>
      </c>
      <c r="C70" s="880"/>
      <c r="D70" s="880"/>
      <c r="E70" s="880"/>
      <c r="F70" s="880"/>
      <c r="G70" s="880"/>
      <c r="H70" s="880"/>
      <c r="I70" s="880"/>
      <c r="J70" s="880"/>
      <c r="K70" s="880"/>
      <c r="L70" s="880"/>
      <c r="M70" s="880"/>
      <c r="N70" s="880"/>
      <c r="O70" s="880"/>
      <c r="P70" s="121"/>
    </row>
    <row r="71" spans="2:16" s="13" customFormat="1" ht="20.25" customHeight="1" x14ac:dyDescent="0.35">
      <c r="B71" s="867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67"/>
      <c r="D71" s="867"/>
      <c r="E71" s="867"/>
      <c r="F71" s="867"/>
      <c r="G71" s="867"/>
      <c r="H71" s="867"/>
      <c r="I71" s="867"/>
      <c r="J71" s="867"/>
      <c r="K71" s="867"/>
      <c r="L71" s="867"/>
      <c r="M71" s="867"/>
      <c r="N71" s="867"/>
      <c r="O71" s="867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2" t="str">
        <f>Cotizador!B27</f>
        <v>GM Bx+ 2022. Versión: 4 23.08.31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vyUvUw7VFVgAPHTbUciknHl3Xb03LoGZQqKTlPLf2BUdZ/ROmfnbdBucgp+rI74lDEavHcjs5rhWjRJt0ov3mg==" saltValue="UmnLqXOGnhdcZkeqmGvTv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R168"/>
  <sheetViews>
    <sheetView topLeftCell="AH1" zoomScale="90" zoomScaleNormal="90" workbookViewId="0">
      <selection activeCell="AL2" sqref="AL2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6" width="14.54296875" style="158" customWidth="1"/>
    <col min="27" max="27" width="18.7265625" style="158" customWidth="1"/>
    <col min="28" max="35" width="21.54296875" style="158" customWidth="1"/>
    <col min="36" max="36" width="21" style="158" customWidth="1"/>
    <col min="37" max="39" width="14.54296875" style="158" customWidth="1"/>
    <col min="40" max="40" width="16" style="158" customWidth="1"/>
    <col min="41" max="41" width="16.54296875" style="158" customWidth="1"/>
    <col min="42" max="42" width="14.54296875" style="158" customWidth="1"/>
    <col min="43" max="43" width="18.7265625" style="159" customWidth="1"/>
    <col min="44" max="16384" width="14.54296875" style="158"/>
  </cols>
  <sheetData>
    <row r="1" spans="1:44" ht="38.25" customHeight="1" thickBot="1" x14ac:dyDescent="0.4">
      <c r="C1" s="523"/>
      <c r="D1" s="524" t="s">
        <v>260</v>
      </c>
      <c r="J1" s="210" t="s">
        <v>229</v>
      </c>
      <c r="K1" s="213">
        <v>0.15</v>
      </c>
      <c r="AD1"/>
      <c r="AE1"/>
      <c r="AJ1" s="377"/>
      <c r="AK1" s="899" t="s">
        <v>51</v>
      </c>
      <c r="AL1" s="899"/>
      <c r="AN1" s="900" t="s">
        <v>78</v>
      </c>
      <c r="AO1" s="900"/>
      <c r="AQ1" s="901" t="s">
        <v>241</v>
      </c>
      <c r="AR1" s="901"/>
    </row>
    <row r="2" spans="1:44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89"/>
      <c r="Y2" s="189"/>
      <c r="Z2" s="159"/>
      <c r="AA2" s="189" t="s">
        <v>246</v>
      </c>
      <c r="AB2" s="223" t="s">
        <v>68</v>
      </c>
      <c r="AC2" s="824" t="e">
        <f>VLOOKUP(VLOOKUP(Cotizador!T22,Tablas!$Q$5:$U$36,5,0),$AA$5:$AE$14,5,0)</f>
        <v>#N/A</v>
      </c>
      <c r="AD2"/>
      <c r="AE2"/>
      <c r="AF2"/>
      <c r="AG2"/>
      <c r="AH2"/>
      <c r="AI2"/>
      <c r="AJ2" s="184"/>
      <c r="AK2" s="271" t="s">
        <v>67</v>
      </c>
      <c r="AL2" s="311" t="e">
        <f>VLOOKUP(Cotizador!T25,Tablas!$AK$4:$AL$22,2,0)</f>
        <v>#N/A</v>
      </c>
      <c r="AN2" s="904" t="s">
        <v>77</v>
      </c>
      <c r="AO2" s="905"/>
      <c r="AQ2" s="271" t="s">
        <v>200</v>
      </c>
      <c r="AR2" s="311">
        <v>1.08</v>
      </c>
    </row>
    <row r="3" spans="1:44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906" t="s">
        <v>161</v>
      </c>
      <c r="R3" s="906"/>
      <c r="S3" s="335"/>
      <c r="T3" s="817"/>
      <c r="U3" s="825"/>
      <c r="V3" s="335"/>
      <c r="W3" s="335"/>
      <c r="X3" s="335"/>
      <c r="Y3" s="825"/>
      <c r="Z3" s="163"/>
      <c r="AA3" s="376" t="s">
        <v>245</v>
      </c>
      <c r="AB3" s="223" t="s">
        <v>247</v>
      </c>
      <c r="AC3" s="824" t="e">
        <f>VLOOKUP(VLOOKUP(Cotizador!T22,Tablas!$Q$5:$U$36,5,0),$AA$5:$AF$14,6,0)</f>
        <v>#N/A</v>
      </c>
      <c r="AD3"/>
      <c r="AE3"/>
      <c r="AF3"/>
      <c r="AG3"/>
      <c r="AH3"/>
      <c r="AI3"/>
      <c r="AK3" s="219" t="s">
        <v>72</v>
      </c>
      <c r="AL3" s="219" t="s">
        <v>243</v>
      </c>
      <c r="AN3" s="310" t="s">
        <v>0</v>
      </c>
      <c r="AO3" s="310" t="s">
        <v>76</v>
      </c>
    </row>
    <row r="4" spans="1:44" ht="11" thickBot="1" x14ac:dyDescent="0.3">
      <c r="A4" s="741" t="s">
        <v>300</v>
      </c>
      <c r="C4" s="909" t="s">
        <v>234</v>
      </c>
      <c r="D4" s="909"/>
      <c r="E4" s="909"/>
      <c r="F4" s="909"/>
      <c r="G4" s="909"/>
      <c r="H4" s="909"/>
      <c r="I4" s="909"/>
      <c r="J4" s="909"/>
      <c r="K4" s="909"/>
      <c r="P4" s="755" t="s">
        <v>302</v>
      </c>
      <c r="Q4" s="755" t="s">
        <v>35</v>
      </c>
      <c r="R4" s="756" t="s">
        <v>306</v>
      </c>
      <c r="S4" s="757" t="s">
        <v>309</v>
      </c>
      <c r="T4" s="757" t="s">
        <v>316</v>
      </c>
      <c r="U4" s="757" t="s">
        <v>320</v>
      </c>
      <c r="V4" s="757" t="s">
        <v>310</v>
      </c>
      <c r="W4" s="757" t="s">
        <v>311</v>
      </c>
      <c r="X4" s="757" t="s">
        <v>317</v>
      </c>
      <c r="Y4" s="757" t="s">
        <v>321</v>
      </c>
      <c r="AA4" s="296" t="s">
        <v>37</v>
      </c>
      <c r="AB4" s="303" t="s">
        <v>307</v>
      </c>
      <c r="AC4" s="303" t="s">
        <v>308</v>
      </c>
      <c r="AD4" s="220" t="s">
        <v>315</v>
      </c>
      <c r="AE4" s="220" t="s">
        <v>319</v>
      </c>
      <c r="AF4" s="808" t="s">
        <v>239</v>
      </c>
      <c r="AG4" s="270" t="s">
        <v>313</v>
      </c>
      <c r="AH4" s="270" t="s">
        <v>314</v>
      </c>
      <c r="AI4" s="270" t="s">
        <v>318</v>
      </c>
      <c r="AK4" s="352">
        <v>5000</v>
      </c>
      <c r="AL4" s="353">
        <v>1.0780000000000001</v>
      </c>
      <c r="AN4" s="361">
        <v>12</v>
      </c>
      <c r="AO4" s="362">
        <v>1.1720000000000001E-3</v>
      </c>
      <c r="AQ4" s="902" t="s">
        <v>188</v>
      </c>
      <c r="AR4" s="903"/>
    </row>
    <row r="5" spans="1:44" ht="11" thickBot="1" x14ac:dyDescent="0.3">
      <c r="A5" s="747">
        <v>7.0000000000000007E-2</v>
      </c>
      <c r="C5" s="160" t="s">
        <v>233</v>
      </c>
      <c r="D5" s="499">
        <v>1.1000000000000001</v>
      </c>
      <c r="E5" s="907" t="s">
        <v>0</v>
      </c>
      <c r="F5" s="908" t="s">
        <v>36</v>
      </c>
      <c r="G5" s="908"/>
      <c r="H5" s="492"/>
      <c r="I5" s="492"/>
      <c r="J5" s="908" t="s">
        <v>242</v>
      </c>
      <c r="K5" s="908"/>
      <c r="L5" s="165"/>
      <c r="M5" s="189" t="s">
        <v>248</v>
      </c>
      <c r="P5" s="763">
        <v>4</v>
      </c>
      <c r="Q5" s="254" t="s">
        <v>33</v>
      </c>
      <c r="R5" s="754">
        <v>4</v>
      </c>
      <c r="S5" s="754">
        <v>4</v>
      </c>
      <c r="T5" s="754">
        <v>4</v>
      </c>
      <c r="U5" s="831">
        <v>4</v>
      </c>
      <c r="V5" s="813">
        <f>VLOOKUP(R5,$AA$5:$AB$14,2,FALSE)</f>
        <v>0.77739999999999998</v>
      </c>
      <c r="W5" s="813">
        <f>VLOOKUP(S5,$AA$5:$AC$14,3,FALSE)</f>
        <v>0.86299999999999999</v>
      </c>
      <c r="X5" s="813">
        <f>VLOOKUP(T5,$AA$5:$AD$14,4,FALSE)</f>
        <v>0.94099999999999995</v>
      </c>
      <c r="Y5" s="834">
        <f>VLOOKUP(U5,$AA$5:$AE$14,5,FALSE)</f>
        <v>1.1100000000000001</v>
      </c>
      <c r="Z5" s="503"/>
      <c r="AA5" s="766">
        <v>10</v>
      </c>
      <c r="AB5" s="378">
        <v>0.54051800000000005</v>
      </c>
      <c r="AC5" s="378">
        <f>ROUND(AB5*AG5,3)</f>
        <v>0.6</v>
      </c>
      <c r="AD5" s="378">
        <f>ROUND(AC5*AH5,3)</f>
        <v>0.65400000000000003</v>
      </c>
      <c r="AE5" s="826">
        <f>ROUND(AD5*AI5,3)</f>
        <v>0.77200000000000002</v>
      </c>
      <c r="AF5" s="809">
        <f>$AF$13</f>
        <v>1.1599999999999999</v>
      </c>
      <c r="AG5" s="378">
        <v>1.1100000000000001</v>
      </c>
      <c r="AH5" s="378">
        <v>1.0900000000000001</v>
      </c>
      <c r="AI5" s="826">
        <v>1.18</v>
      </c>
      <c r="AK5" s="349">
        <v>6000</v>
      </c>
      <c r="AL5" s="350">
        <v>1</v>
      </c>
      <c r="AM5" s="165"/>
      <c r="AN5" s="269">
        <f t="shared" ref="AN5:AN68" si="0">AN4+1</f>
        <v>13</v>
      </c>
      <c r="AO5" s="365">
        <v>1.276E-3</v>
      </c>
      <c r="AQ5" s="366" t="s">
        <v>0</v>
      </c>
      <c r="AR5" s="367" t="s">
        <v>56</v>
      </c>
    </row>
    <row r="6" spans="1:44" ht="11" thickBot="1" x14ac:dyDescent="0.3">
      <c r="A6" s="897" t="s">
        <v>301</v>
      </c>
      <c r="B6" s="898"/>
      <c r="C6" s="164" t="s">
        <v>1</v>
      </c>
      <c r="D6" s="164" t="s">
        <v>2</v>
      </c>
      <c r="E6" s="907"/>
      <c r="F6" s="164" t="s">
        <v>1</v>
      </c>
      <c r="G6" s="164" t="s">
        <v>2</v>
      </c>
      <c r="H6" s="492"/>
      <c r="I6" s="492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4">
        <v>4</v>
      </c>
      <c r="Q6" s="759" t="s">
        <v>3</v>
      </c>
      <c r="R6" s="760">
        <v>4</v>
      </c>
      <c r="S6" s="760">
        <v>4</v>
      </c>
      <c r="T6" s="760">
        <v>4</v>
      </c>
      <c r="U6" s="832">
        <v>4</v>
      </c>
      <c r="V6" s="814">
        <f t="shared" ref="V6:V36" si="1">VLOOKUP(R6,$AA$5:$AB$14,2,FALSE)</f>
        <v>0.77739999999999998</v>
      </c>
      <c r="W6" s="814">
        <f t="shared" ref="W6:W36" si="2">VLOOKUP(S6,$AA$5:$AC$14,3,FALSE)</f>
        <v>0.86299999999999999</v>
      </c>
      <c r="X6" s="814">
        <f t="shared" ref="X6:X36" si="3">VLOOKUP(T6,$AA$5:$AD$14,4,FALSE)</f>
        <v>0.94099999999999995</v>
      </c>
      <c r="Y6" s="835">
        <f t="shared" ref="Y6:Y36" si="4">VLOOKUP(U6,$AA$5:$AE$14,5,FALSE)</f>
        <v>1.1100000000000001</v>
      </c>
      <c r="Z6" s="503"/>
      <c r="AA6" s="767">
        <v>9</v>
      </c>
      <c r="AB6" s="758">
        <v>0.70289699999999999</v>
      </c>
      <c r="AC6" s="758">
        <f t="shared" ref="AC6:AC14" si="5">ROUND(AB6*AG6,3)</f>
        <v>0.752</v>
      </c>
      <c r="AD6" s="378">
        <f t="shared" ref="AD6:AE14" si="6">ROUND(AC6*AH6,3)</f>
        <v>0.84199999999999997</v>
      </c>
      <c r="AE6" s="826">
        <f t="shared" si="6"/>
        <v>0.99399999999999999</v>
      </c>
      <c r="AF6" s="810">
        <f>$AF$12</f>
        <v>1.1100000000000001</v>
      </c>
      <c r="AG6" s="378">
        <v>1.07</v>
      </c>
      <c r="AH6" s="378">
        <v>1.1200000000000001</v>
      </c>
      <c r="AI6" s="826">
        <v>1.18</v>
      </c>
      <c r="AK6" s="349">
        <v>8000</v>
      </c>
      <c r="AL6" s="350">
        <v>0.88900000000000001</v>
      </c>
      <c r="AM6" s="165"/>
      <c r="AN6" s="251">
        <f t="shared" si="0"/>
        <v>14</v>
      </c>
      <c r="AO6" s="362">
        <v>1.3619999999999999E-3</v>
      </c>
      <c r="AQ6" s="251">
        <v>12</v>
      </c>
      <c r="AR6" s="368">
        <v>7.1529999999999996E-3</v>
      </c>
    </row>
    <row r="7" spans="1:44" ht="11" thickBot="1" x14ac:dyDescent="0.3">
      <c r="A7" s="748">
        <v>6072.0000000000009</v>
      </c>
      <c r="B7" s="748">
        <v>6072.0000000000009</v>
      </c>
      <c r="C7" s="517"/>
      <c r="D7" s="517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19">
        <f t="shared" ref="H7:H70" si="7">ROUND(F7/(1-$K$1-$K$2-$K$3),0)</f>
        <v>11813</v>
      </c>
      <c r="I7" s="517">
        <f t="shared" ref="I7:I70" si="8">ROUND(G7/(1-$K$1-$K$2-$K$3),0)</f>
        <v>11813</v>
      </c>
      <c r="J7" s="200">
        <f t="shared" ref="J7:K10" si="9">ROUND(H7,0)</f>
        <v>11813</v>
      </c>
      <c r="K7" s="201">
        <f t="shared" si="9"/>
        <v>11813</v>
      </c>
      <c r="L7" s="169"/>
      <c r="M7" s="222" t="s">
        <v>115</v>
      </c>
      <c r="N7" s="261">
        <v>1.0066999999999999</v>
      </c>
      <c r="P7" s="763">
        <v>5</v>
      </c>
      <c r="Q7" s="254" t="s">
        <v>4</v>
      </c>
      <c r="R7" s="754">
        <v>5</v>
      </c>
      <c r="S7" s="754">
        <v>5</v>
      </c>
      <c r="T7" s="754">
        <v>5</v>
      </c>
      <c r="U7" s="831">
        <v>5</v>
      </c>
      <c r="V7" s="813">
        <f t="shared" si="1"/>
        <v>0.872</v>
      </c>
      <c r="W7" s="813">
        <f t="shared" si="2"/>
        <v>0.96799999999999997</v>
      </c>
      <c r="X7" s="813">
        <f t="shared" si="3"/>
        <v>1.0549999999999999</v>
      </c>
      <c r="Y7" s="834">
        <f t="shared" si="4"/>
        <v>1.2450000000000001</v>
      </c>
      <c r="Z7" s="503"/>
      <c r="AA7" s="767">
        <v>8</v>
      </c>
      <c r="AB7" s="758">
        <v>0.79193100000000005</v>
      </c>
      <c r="AC7" s="758">
        <f t="shared" si="5"/>
        <v>0.879</v>
      </c>
      <c r="AD7" s="378">
        <f t="shared" si="6"/>
        <v>0.96699999999999997</v>
      </c>
      <c r="AE7" s="826">
        <f t="shared" si="6"/>
        <v>1.141</v>
      </c>
      <c r="AF7" s="810">
        <f>$AF$11</f>
        <v>1.08</v>
      </c>
      <c r="AG7" s="378">
        <v>1.1100000000000001</v>
      </c>
      <c r="AH7" s="378">
        <v>1.1000000000000001</v>
      </c>
      <c r="AI7" s="826">
        <v>1.18</v>
      </c>
      <c r="AK7" s="349">
        <v>10000</v>
      </c>
      <c r="AL7" s="350">
        <v>0.81100000000000005</v>
      </c>
      <c r="AM7" s="165"/>
      <c r="AN7" s="269">
        <f t="shared" si="0"/>
        <v>15</v>
      </c>
      <c r="AO7" s="365">
        <v>1.4660000000000001E-3</v>
      </c>
      <c r="AQ7" s="269">
        <v>13</v>
      </c>
      <c r="AR7" s="369">
        <v>7.7099999999999998E-3</v>
      </c>
    </row>
    <row r="8" spans="1:44" ht="11" thickBot="1" x14ac:dyDescent="0.3">
      <c r="A8" s="749">
        <v>5060.55</v>
      </c>
      <c r="B8" s="749">
        <v>5060.55</v>
      </c>
      <c r="C8" s="517"/>
      <c r="D8" s="517">
        <v>5462.4765034399998</v>
      </c>
      <c r="E8" s="205">
        <v>1</v>
      </c>
      <c r="F8" s="198">
        <f t="shared" ref="F8:F71" si="10">A8*(1+$A$5)</f>
        <v>5414.7885000000006</v>
      </c>
      <c r="G8" s="199">
        <f t="shared" ref="G8:G71" si="11">B8*(1+$A$5)</f>
        <v>5414.7885000000006</v>
      </c>
      <c r="H8" s="520">
        <f t="shared" si="7"/>
        <v>9845</v>
      </c>
      <c r="I8" s="517">
        <f t="shared" si="8"/>
        <v>9845</v>
      </c>
      <c r="J8" s="203">
        <f t="shared" si="9"/>
        <v>9845</v>
      </c>
      <c r="K8" s="204">
        <f t="shared" si="9"/>
        <v>9845</v>
      </c>
      <c r="L8" s="167"/>
      <c r="P8" s="764">
        <v>2</v>
      </c>
      <c r="Q8" s="759" t="s">
        <v>5</v>
      </c>
      <c r="R8" s="760">
        <v>2</v>
      </c>
      <c r="S8" s="760">
        <v>2</v>
      </c>
      <c r="T8" s="760">
        <v>2</v>
      </c>
      <c r="U8" s="832">
        <v>2</v>
      </c>
      <c r="V8" s="814">
        <f t="shared" si="1"/>
        <v>0.53059999999999996</v>
      </c>
      <c r="W8" s="814">
        <f t="shared" si="2"/>
        <v>0.56799999999999995</v>
      </c>
      <c r="X8" s="814">
        <f t="shared" si="3"/>
        <v>0.61899999999999999</v>
      </c>
      <c r="Y8" s="835">
        <f t="shared" si="4"/>
        <v>0.73</v>
      </c>
      <c r="Z8" s="503"/>
      <c r="AA8" s="830">
        <v>7</v>
      </c>
      <c r="AB8" s="380">
        <v>0.92904699999999996</v>
      </c>
      <c r="AC8" s="380">
        <f t="shared" si="5"/>
        <v>1.0309999999999999</v>
      </c>
      <c r="AD8" s="380">
        <f t="shared" si="6"/>
        <v>1.155</v>
      </c>
      <c r="AE8" s="827">
        <f t="shared" si="6"/>
        <v>1.363</v>
      </c>
      <c r="AF8" s="812">
        <v>1.04</v>
      </c>
      <c r="AG8" s="380">
        <v>1.1100000000000001</v>
      </c>
      <c r="AH8" s="380">
        <v>1.1200000000000001</v>
      </c>
      <c r="AI8" s="827">
        <v>1.18</v>
      </c>
      <c r="AK8" s="349">
        <v>15000</v>
      </c>
      <c r="AL8" s="350">
        <v>0.68700000000000006</v>
      </c>
      <c r="AM8" s="165"/>
      <c r="AN8" s="251">
        <f t="shared" si="0"/>
        <v>16</v>
      </c>
      <c r="AO8" s="362">
        <v>1.586E-3</v>
      </c>
      <c r="AQ8" s="251">
        <v>14</v>
      </c>
      <c r="AR8" s="368">
        <v>8.3009999999999994E-3</v>
      </c>
    </row>
    <row r="9" spans="1:44" x14ac:dyDescent="0.25">
      <c r="A9" s="749">
        <v>5060.55</v>
      </c>
      <c r="B9" s="749">
        <v>5060.55</v>
      </c>
      <c r="C9" s="517"/>
      <c r="D9" s="517">
        <v>3650.1873625799999</v>
      </c>
      <c r="E9" s="206">
        <v>2</v>
      </c>
      <c r="F9" s="198">
        <f t="shared" si="10"/>
        <v>5414.7885000000006</v>
      </c>
      <c r="G9" s="199">
        <f t="shared" si="11"/>
        <v>5414.7885000000006</v>
      </c>
      <c r="H9" s="520">
        <f t="shared" si="7"/>
        <v>9845</v>
      </c>
      <c r="I9" s="517">
        <f t="shared" si="8"/>
        <v>9845</v>
      </c>
      <c r="J9" s="200">
        <f t="shared" si="9"/>
        <v>9845</v>
      </c>
      <c r="K9" s="201">
        <f t="shared" si="9"/>
        <v>9845</v>
      </c>
      <c r="L9" s="167"/>
      <c r="M9" s="911" t="s">
        <v>63</v>
      </c>
      <c r="N9" s="911"/>
      <c r="P9" s="763">
        <v>4</v>
      </c>
      <c r="Q9" s="254" t="s">
        <v>6</v>
      </c>
      <c r="R9" s="754">
        <v>4</v>
      </c>
      <c r="S9" s="754">
        <v>4</v>
      </c>
      <c r="T9" s="754">
        <v>4</v>
      </c>
      <c r="U9" s="831">
        <v>4</v>
      </c>
      <c r="V9" s="813">
        <f t="shared" si="1"/>
        <v>0.77739999999999998</v>
      </c>
      <c r="W9" s="813">
        <f t="shared" si="2"/>
        <v>0.86299999999999999</v>
      </c>
      <c r="X9" s="813">
        <f t="shared" si="3"/>
        <v>0.94099999999999995</v>
      </c>
      <c r="Y9" s="834">
        <f t="shared" si="4"/>
        <v>1.1100000000000001</v>
      </c>
      <c r="Z9" s="503"/>
      <c r="AA9" s="829">
        <v>6</v>
      </c>
      <c r="AB9" s="758">
        <v>1</v>
      </c>
      <c r="AC9" s="758">
        <f t="shared" si="5"/>
        <v>1.07</v>
      </c>
      <c r="AD9" s="758">
        <f t="shared" si="6"/>
        <v>1.177</v>
      </c>
      <c r="AE9" s="828">
        <f t="shared" si="6"/>
        <v>1.389</v>
      </c>
      <c r="AF9" s="810">
        <v>1</v>
      </c>
      <c r="AG9" s="758">
        <v>1.07</v>
      </c>
      <c r="AH9" s="758">
        <v>1.1000000000000001</v>
      </c>
      <c r="AI9" s="828">
        <v>1.18</v>
      </c>
      <c r="AK9" s="349">
        <v>20000</v>
      </c>
      <c r="AL9" s="350">
        <v>0.61</v>
      </c>
      <c r="AM9" s="172"/>
      <c r="AN9" s="269">
        <f t="shared" si="0"/>
        <v>17</v>
      </c>
      <c r="AO9" s="365">
        <v>1.707E-3</v>
      </c>
      <c r="AQ9" s="269">
        <v>15</v>
      </c>
      <c r="AR9" s="369">
        <v>8.9350000000000002E-3</v>
      </c>
    </row>
    <row r="10" spans="1:44" ht="11" thickBot="1" x14ac:dyDescent="0.3">
      <c r="A10" s="749">
        <v>4048.0000000000005</v>
      </c>
      <c r="B10" s="749">
        <v>4048.0000000000005</v>
      </c>
      <c r="C10" s="517"/>
      <c r="D10" s="517">
        <v>2754.4650925000001</v>
      </c>
      <c r="E10" s="205">
        <v>3</v>
      </c>
      <c r="F10" s="198">
        <f t="shared" si="10"/>
        <v>4331.3600000000006</v>
      </c>
      <c r="G10" s="199">
        <f t="shared" si="11"/>
        <v>4331.3600000000006</v>
      </c>
      <c r="H10" s="520">
        <f t="shared" si="7"/>
        <v>7875</v>
      </c>
      <c r="I10" s="517">
        <f t="shared" si="8"/>
        <v>7875</v>
      </c>
      <c r="J10" s="203">
        <f t="shared" si="9"/>
        <v>7875</v>
      </c>
      <c r="K10" s="204">
        <f t="shared" si="9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4">
        <v>1</v>
      </c>
      <c r="Q10" s="759" t="s">
        <v>7</v>
      </c>
      <c r="R10" s="760">
        <v>1</v>
      </c>
      <c r="S10" s="760">
        <v>1</v>
      </c>
      <c r="T10" s="760">
        <v>1</v>
      </c>
      <c r="U10" s="832">
        <v>1</v>
      </c>
      <c r="V10" s="814">
        <f t="shared" si="1"/>
        <v>0.66</v>
      </c>
      <c r="W10" s="814">
        <f t="shared" si="2"/>
        <v>0.73299999999999998</v>
      </c>
      <c r="X10" s="814">
        <f t="shared" si="3"/>
        <v>0.79900000000000004</v>
      </c>
      <c r="Y10" s="835">
        <f t="shared" si="4"/>
        <v>0.94299999999999995</v>
      </c>
      <c r="Z10" s="503"/>
      <c r="AA10" s="373">
        <v>5</v>
      </c>
      <c r="AB10" s="378">
        <v>0.872</v>
      </c>
      <c r="AC10" s="378">
        <f t="shared" si="5"/>
        <v>0.96799999999999997</v>
      </c>
      <c r="AD10" s="378">
        <f t="shared" si="6"/>
        <v>1.0549999999999999</v>
      </c>
      <c r="AE10" s="826">
        <f t="shared" si="6"/>
        <v>1.2450000000000001</v>
      </c>
      <c r="AF10" s="809">
        <v>1.04</v>
      </c>
      <c r="AG10" s="378">
        <v>1.1100000000000001</v>
      </c>
      <c r="AH10" s="378">
        <v>1.0900000000000001</v>
      </c>
      <c r="AI10" s="826">
        <v>1.18</v>
      </c>
      <c r="AK10" s="349">
        <v>22000</v>
      </c>
      <c r="AL10" s="350">
        <v>0.58699999999999997</v>
      </c>
      <c r="AM10" s="165"/>
      <c r="AN10" s="251">
        <f t="shared" si="0"/>
        <v>18</v>
      </c>
      <c r="AO10" s="362">
        <v>1.8450000000000001E-3</v>
      </c>
      <c r="AP10" s="172"/>
      <c r="AQ10" s="251">
        <v>16</v>
      </c>
      <c r="AR10" s="368">
        <v>9.6299999999999997E-3</v>
      </c>
    </row>
    <row r="11" spans="1:44" ht="15.75" customHeight="1" thickBot="1" x14ac:dyDescent="0.3">
      <c r="A11" s="749">
        <v>4048.0000000000005</v>
      </c>
      <c r="B11" s="749">
        <v>4048.0000000000005</v>
      </c>
      <c r="C11" s="752"/>
      <c r="D11" s="517">
        <v>2684.1890101399999</v>
      </c>
      <c r="E11" s="202">
        <v>4</v>
      </c>
      <c r="F11" s="198">
        <f t="shared" si="10"/>
        <v>4331.3600000000006</v>
      </c>
      <c r="G11" s="199">
        <f t="shared" si="11"/>
        <v>4331.3600000000006</v>
      </c>
      <c r="H11" s="521">
        <f t="shared" si="7"/>
        <v>7875</v>
      </c>
      <c r="I11" s="493">
        <f t="shared" si="8"/>
        <v>7875</v>
      </c>
      <c r="J11" s="200">
        <f>ROUND(H11,0)</f>
        <v>7875</v>
      </c>
      <c r="K11" s="201">
        <f t="shared" ref="K11:K74" si="12">ROUND(I11,0)</f>
        <v>7875</v>
      </c>
      <c r="L11" s="167"/>
      <c r="M11" s="224" t="s">
        <v>54</v>
      </c>
      <c r="N11" s="225" t="s">
        <v>56</v>
      </c>
      <c r="P11" s="763">
        <v>2</v>
      </c>
      <c r="Q11" s="254" t="s">
        <v>8</v>
      </c>
      <c r="R11" s="754">
        <v>2</v>
      </c>
      <c r="S11" s="754">
        <v>2</v>
      </c>
      <c r="T11" s="754">
        <v>2</v>
      </c>
      <c r="U11" s="831">
        <v>2</v>
      </c>
      <c r="V11" s="813">
        <f t="shared" si="1"/>
        <v>0.53059999999999996</v>
      </c>
      <c r="W11" s="813">
        <f t="shared" si="2"/>
        <v>0.56799999999999995</v>
      </c>
      <c r="X11" s="813">
        <f t="shared" si="3"/>
        <v>0.61899999999999999</v>
      </c>
      <c r="Y11" s="834">
        <f t="shared" si="4"/>
        <v>0.73</v>
      </c>
      <c r="Z11" s="503"/>
      <c r="AA11" s="373">
        <v>4</v>
      </c>
      <c r="AB11" s="379">
        <v>0.77739999999999998</v>
      </c>
      <c r="AC11" s="379">
        <f t="shared" si="5"/>
        <v>0.86299999999999999</v>
      </c>
      <c r="AD11" s="378">
        <f t="shared" si="6"/>
        <v>0.94099999999999995</v>
      </c>
      <c r="AE11" s="826">
        <f t="shared" si="6"/>
        <v>1.1100000000000001</v>
      </c>
      <c r="AF11" s="811">
        <v>1.08</v>
      </c>
      <c r="AG11" s="378">
        <v>1.1100000000000001</v>
      </c>
      <c r="AH11" s="378">
        <v>1.0900000000000001</v>
      </c>
      <c r="AI11" s="826">
        <v>1.18</v>
      </c>
      <c r="AK11" s="349">
        <v>25000</v>
      </c>
      <c r="AL11" s="350">
        <v>0.55700000000000005</v>
      </c>
      <c r="AN11" s="269">
        <f t="shared" si="0"/>
        <v>19</v>
      </c>
      <c r="AO11" s="365">
        <v>1.983E-3</v>
      </c>
      <c r="AQ11" s="269">
        <v>17</v>
      </c>
      <c r="AR11" s="369">
        <v>1.0377000000000001E-2</v>
      </c>
    </row>
    <row r="12" spans="1:44" x14ac:dyDescent="0.25">
      <c r="A12" s="749">
        <v>4134.3500000000004</v>
      </c>
      <c r="B12" s="749">
        <v>4134.3500000000004</v>
      </c>
      <c r="C12" s="752"/>
      <c r="D12" s="517">
        <v>2871.7593934999995</v>
      </c>
      <c r="E12" s="205">
        <v>5</v>
      </c>
      <c r="F12" s="198">
        <f t="shared" si="10"/>
        <v>4423.7545000000009</v>
      </c>
      <c r="G12" s="199">
        <f t="shared" si="11"/>
        <v>4423.7545000000009</v>
      </c>
      <c r="H12" s="521">
        <f t="shared" si="7"/>
        <v>8043</v>
      </c>
      <c r="I12" s="493">
        <f t="shared" si="8"/>
        <v>8043</v>
      </c>
      <c r="J12" s="203">
        <f t="shared" ref="J12:J75" si="13">ROUND(H12,0)</f>
        <v>8043</v>
      </c>
      <c r="K12" s="204">
        <f t="shared" si="12"/>
        <v>8043</v>
      </c>
      <c r="L12" s="167"/>
      <c r="M12" s="262">
        <v>1</v>
      </c>
      <c r="N12" s="263">
        <v>2.62</v>
      </c>
      <c r="P12" s="764">
        <v>5</v>
      </c>
      <c r="Q12" s="759" t="s">
        <v>9</v>
      </c>
      <c r="R12" s="760">
        <v>5</v>
      </c>
      <c r="S12" s="760">
        <v>5</v>
      </c>
      <c r="T12" s="760">
        <v>5</v>
      </c>
      <c r="U12" s="832">
        <v>5</v>
      </c>
      <c r="V12" s="814">
        <f t="shared" si="1"/>
        <v>0.872</v>
      </c>
      <c r="W12" s="814">
        <f t="shared" si="2"/>
        <v>0.96799999999999997</v>
      </c>
      <c r="X12" s="814">
        <f t="shared" si="3"/>
        <v>1.0549999999999999</v>
      </c>
      <c r="Y12" s="835">
        <f t="shared" si="4"/>
        <v>1.2450000000000001</v>
      </c>
      <c r="Z12" s="503"/>
      <c r="AA12" s="373">
        <v>3</v>
      </c>
      <c r="AB12" s="379">
        <v>0.69</v>
      </c>
      <c r="AC12" s="379">
        <f t="shared" si="5"/>
        <v>0.73799999999999999</v>
      </c>
      <c r="AD12" s="378">
        <f t="shared" si="6"/>
        <v>0.80400000000000005</v>
      </c>
      <c r="AE12" s="826">
        <f t="shared" si="6"/>
        <v>0.94899999999999995</v>
      </c>
      <c r="AF12" s="811">
        <v>1.1100000000000001</v>
      </c>
      <c r="AG12" s="378">
        <v>1.07</v>
      </c>
      <c r="AH12" s="378">
        <v>1.0900000000000001</v>
      </c>
      <c r="AI12" s="826">
        <v>1.18</v>
      </c>
      <c r="AK12" s="349">
        <v>30000</v>
      </c>
      <c r="AL12" s="350">
        <v>0.51700000000000002</v>
      </c>
      <c r="AN12" s="251">
        <f t="shared" si="0"/>
        <v>20</v>
      </c>
      <c r="AO12" s="362">
        <v>2.1380000000000001E-3</v>
      </c>
      <c r="AQ12" s="251">
        <v>18</v>
      </c>
      <c r="AR12" s="368">
        <v>1.0742E-2</v>
      </c>
    </row>
    <row r="13" spans="1:44" x14ac:dyDescent="0.25">
      <c r="A13" s="749">
        <v>4177.8</v>
      </c>
      <c r="B13" s="749">
        <v>4154.7000000000007</v>
      </c>
      <c r="C13" s="752"/>
      <c r="D13" s="517">
        <v>2918.605002378571</v>
      </c>
      <c r="E13" s="202">
        <v>6</v>
      </c>
      <c r="F13" s="198">
        <f t="shared" si="10"/>
        <v>4470.2460000000001</v>
      </c>
      <c r="G13" s="199">
        <f t="shared" si="11"/>
        <v>4445.5290000000014</v>
      </c>
      <c r="H13" s="521">
        <f t="shared" si="7"/>
        <v>8128</v>
      </c>
      <c r="I13" s="493">
        <f t="shared" si="8"/>
        <v>8083</v>
      </c>
      <c r="J13" s="200">
        <f t="shared" si="13"/>
        <v>8128</v>
      </c>
      <c r="K13" s="201">
        <f t="shared" si="12"/>
        <v>8083</v>
      </c>
      <c r="L13" s="167"/>
      <c r="M13" s="264">
        <v>2</v>
      </c>
      <c r="N13" s="265">
        <v>2.04</v>
      </c>
      <c r="P13" s="763">
        <v>6</v>
      </c>
      <c r="Q13" s="254" t="s">
        <v>289</v>
      </c>
      <c r="R13" s="754">
        <v>6</v>
      </c>
      <c r="S13" s="754">
        <v>6</v>
      </c>
      <c r="T13" s="754">
        <v>6</v>
      </c>
      <c r="U13" s="831">
        <v>6</v>
      </c>
      <c r="V13" s="813">
        <f t="shared" si="1"/>
        <v>1</v>
      </c>
      <c r="W13" s="813">
        <f t="shared" si="2"/>
        <v>1.07</v>
      </c>
      <c r="X13" s="813">
        <f t="shared" si="3"/>
        <v>1.177</v>
      </c>
      <c r="Y13" s="834">
        <f t="shared" si="4"/>
        <v>1.389</v>
      </c>
      <c r="Z13" s="503"/>
      <c r="AA13" s="373">
        <v>2</v>
      </c>
      <c r="AB13" s="379">
        <v>0.53059999999999996</v>
      </c>
      <c r="AC13" s="379">
        <f t="shared" si="5"/>
        <v>0.56799999999999995</v>
      </c>
      <c r="AD13" s="378">
        <f t="shared" si="6"/>
        <v>0.61899999999999999</v>
      </c>
      <c r="AE13" s="826">
        <f t="shared" si="6"/>
        <v>0.73</v>
      </c>
      <c r="AF13" s="811">
        <v>1.1599999999999999</v>
      </c>
      <c r="AG13" s="378">
        <v>1.07</v>
      </c>
      <c r="AH13" s="378">
        <v>1.0900000000000001</v>
      </c>
      <c r="AI13" s="826">
        <v>1.18</v>
      </c>
      <c r="AK13" s="349">
        <v>35000</v>
      </c>
      <c r="AL13" s="350">
        <v>0.48499999999999999</v>
      </c>
      <c r="AN13" s="269">
        <f t="shared" si="0"/>
        <v>21</v>
      </c>
      <c r="AO13" s="365">
        <v>2.2929999999999999E-3</v>
      </c>
      <c r="AQ13" s="269">
        <v>19</v>
      </c>
      <c r="AR13" s="369">
        <v>1.1601999999999999E-2</v>
      </c>
    </row>
    <row r="14" spans="1:44" ht="11" thickBot="1" x14ac:dyDescent="0.3">
      <c r="A14" s="749">
        <v>4221.25</v>
      </c>
      <c r="B14" s="749">
        <v>4174.5</v>
      </c>
      <c r="C14" s="752"/>
      <c r="D14" s="517">
        <v>2965.4506112571426</v>
      </c>
      <c r="E14" s="205">
        <v>7</v>
      </c>
      <c r="F14" s="198">
        <f t="shared" si="10"/>
        <v>4516.7375000000002</v>
      </c>
      <c r="G14" s="199">
        <f t="shared" si="11"/>
        <v>4466.7150000000001</v>
      </c>
      <c r="H14" s="521">
        <f t="shared" si="7"/>
        <v>8212</v>
      </c>
      <c r="I14" s="493">
        <f t="shared" si="8"/>
        <v>8121</v>
      </c>
      <c r="J14" s="203">
        <f t="shared" si="13"/>
        <v>8212</v>
      </c>
      <c r="K14" s="204">
        <f t="shared" si="12"/>
        <v>8121</v>
      </c>
      <c r="L14" s="167"/>
      <c r="M14" s="264">
        <v>3</v>
      </c>
      <c r="N14" s="265">
        <v>1.46</v>
      </c>
      <c r="P14" s="764">
        <v>1</v>
      </c>
      <c r="Q14" s="759" t="s">
        <v>34</v>
      </c>
      <c r="R14" s="760">
        <v>1</v>
      </c>
      <c r="S14" s="760">
        <v>1</v>
      </c>
      <c r="T14" s="760">
        <v>1</v>
      </c>
      <c r="U14" s="832">
        <v>1</v>
      </c>
      <c r="V14" s="814">
        <f t="shared" si="1"/>
        <v>0.66</v>
      </c>
      <c r="W14" s="814">
        <f t="shared" si="2"/>
        <v>0.73299999999999998</v>
      </c>
      <c r="X14" s="814">
        <f t="shared" si="3"/>
        <v>0.79900000000000004</v>
      </c>
      <c r="Y14" s="835">
        <f t="shared" si="4"/>
        <v>0.94299999999999995</v>
      </c>
      <c r="Z14" s="503"/>
      <c r="AA14" s="374">
        <v>1</v>
      </c>
      <c r="AB14" s="380">
        <v>0.66</v>
      </c>
      <c r="AC14" s="380">
        <f t="shared" si="5"/>
        <v>0.73299999999999998</v>
      </c>
      <c r="AD14" s="380">
        <f t="shared" si="6"/>
        <v>0.79900000000000004</v>
      </c>
      <c r="AE14" s="827">
        <f t="shared" si="6"/>
        <v>0.94299999999999995</v>
      </c>
      <c r="AF14" s="812">
        <v>1.1200000000000001</v>
      </c>
      <c r="AG14" s="380">
        <v>1.1100000000000001</v>
      </c>
      <c r="AH14" s="380">
        <v>1.0900000000000001</v>
      </c>
      <c r="AI14" s="827">
        <v>1.18</v>
      </c>
      <c r="AJ14" s="159"/>
      <c r="AK14" s="349">
        <v>40000</v>
      </c>
      <c r="AL14" s="350">
        <v>0.45900000000000002</v>
      </c>
      <c r="AN14" s="251">
        <f t="shared" si="0"/>
        <v>22</v>
      </c>
      <c r="AO14" s="362">
        <v>2.483E-3</v>
      </c>
      <c r="AQ14" s="251">
        <v>20</v>
      </c>
      <c r="AR14" s="368">
        <v>1.2958000000000001E-2</v>
      </c>
    </row>
    <row r="15" spans="1:44" ht="11" thickBot="1" x14ac:dyDescent="0.3">
      <c r="A15" s="749">
        <v>4264.1500000000005</v>
      </c>
      <c r="B15" s="749">
        <v>4194.3</v>
      </c>
      <c r="C15" s="752"/>
      <c r="D15" s="517">
        <v>3012.2962201357141</v>
      </c>
      <c r="E15" s="202">
        <v>8</v>
      </c>
      <c r="F15" s="198">
        <f t="shared" si="10"/>
        <v>4562.6405000000004</v>
      </c>
      <c r="G15" s="199">
        <f t="shared" si="11"/>
        <v>4487.9010000000007</v>
      </c>
      <c r="H15" s="521">
        <f t="shared" si="7"/>
        <v>8296</v>
      </c>
      <c r="I15" s="493">
        <f t="shared" si="8"/>
        <v>8160</v>
      </c>
      <c r="J15" s="200">
        <f t="shared" si="13"/>
        <v>8296</v>
      </c>
      <c r="K15" s="201">
        <f t="shared" si="12"/>
        <v>8160</v>
      </c>
      <c r="L15" s="167"/>
      <c r="M15" s="266">
        <v>4</v>
      </c>
      <c r="N15" s="267">
        <v>1.31</v>
      </c>
      <c r="P15" s="763">
        <v>3</v>
      </c>
      <c r="Q15" s="254" t="s">
        <v>10</v>
      </c>
      <c r="R15" s="754">
        <v>3</v>
      </c>
      <c r="S15" s="754">
        <v>3</v>
      </c>
      <c r="T15" s="754">
        <v>3</v>
      </c>
      <c r="U15" s="831">
        <v>3</v>
      </c>
      <c r="V15" s="813">
        <f t="shared" si="1"/>
        <v>0.69</v>
      </c>
      <c r="W15" s="813">
        <f t="shared" si="2"/>
        <v>0.73799999999999999</v>
      </c>
      <c r="X15" s="813">
        <f t="shared" si="3"/>
        <v>0.80400000000000005</v>
      </c>
      <c r="Y15" s="834">
        <f t="shared" si="4"/>
        <v>0.94899999999999995</v>
      </c>
      <c r="Z15" s="503"/>
      <c r="AB15" s="357"/>
      <c r="AK15" s="349">
        <v>45000</v>
      </c>
      <c r="AL15" s="350">
        <v>0.438</v>
      </c>
      <c r="AM15" s="159"/>
      <c r="AN15" s="269">
        <f t="shared" si="0"/>
        <v>23</v>
      </c>
      <c r="AO15" s="365">
        <v>2.6719999999999999E-3</v>
      </c>
      <c r="AP15" s="172"/>
      <c r="AQ15" s="269">
        <v>21</v>
      </c>
      <c r="AR15" s="369">
        <v>1.3957000000000001E-2</v>
      </c>
    </row>
    <row r="16" spans="1:44" x14ac:dyDescent="0.25">
      <c r="A16" s="749">
        <v>4307.6000000000004</v>
      </c>
      <c r="B16" s="749">
        <v>4214.1000000000004</v>
      </c>
      <c r="C16" s="752"/>
      <c r="D16" s="517">
        <v>3059.1418290142856</v>
      </c>
      <c r="E16" s="205">
        <v>9</v>
      </c>
      <c r="F16" s="198">
        <f t="shared" si="10"/>
        <v>4609.1320000000005</v>
      </c>
      <c r="G16" s="199">
        <f t="shared" si="11"/>
        <v>4509.0870000000004</v>
      </c>
      <c r="H16" s="521">
        <f t="shared" si="7"/>
        <v>8380</v>
      </c>
      <c r="I16" s="493">
        <f t="shared" si="8"/>
        <v>8198</v>
      </c>
      <c r="J16" s="203">
        <f t="shared" si="13"/>
        <v>8380</v>
      </c>
      <c r="K16" s="204">
        <f t="shared" si="12"/>
        <v>8198</v>
      </c>
      <c r="L16" s="167"/>
      <c r="P16" s="764">
        <v>5</v>
      </c>
      <c r="Q16" s="759" t="s">
        <v>11</v>
      </c>
      <c r="R16" s="760">
        <v>5</v>
      </c>
      <c r="S16" s="760">
        <v>5</v>
      </c>
      <c r="T16" s="760">
        <v>5</v>
      </c>
      <c r="U16" s="832">
        <v>5</v>
      </c>
      <c r="V16" s="814">
        <f t="shared" si="1"/>
        <v>0.872</v>
      </c>
      <c r="W16" s="814">
        <f t="shared" si="2"/>
        <v>0.96799999999999997</v>
      </c>
      <c r="X16" s="814">
        <f t="shared" si="3"/>
        <v>1.0549999999999999</v>
      </c>
      <c r="Y16" s="835">
        <f t="shared" si="4"/>
        <v>1.2450000000000001</v>
      </c>
      <c r="Z16" s="503"/>
      <c r="AK16" s="349">
        <v>50000</v>
      </c>
      <c r="AL16" s="350">
        <v>0.41899999999999998</v>
      </c>
      <c r="AN16" s="251">
        <f t="shared" si="0"/>
        <v>24</v>
      </c>
      <c r="AO16" s="362">
        <v>2.879E-3</v>
      </c>
      <c r="AQ16" s="251">
        <v>22</v>
      </c>
      <c r="AR16" s="368">
        <v>1.5034E-2</v>
      </c>
    </row>
    <row r="17" spans="1:44" ht="11" thickBot="1" x14ac:dyDescent="0.3">
      <c r="A17" s="749">
        <v>4351.05</v>
      </c>
      <c r="B17" s="749">
        <v>4234.4500000000007</v>
      </c>
      <c r="C17" s="752"/>
      <c r="D17" s="517">
        <v>3105.9874378928571</v>
      </c>
      <c r="E17" s="202">
        <v>10</v>
      </c>
      <c r="F17" s="198">
        <f t="shared" si="10"/>
        <v>4655.6235000000006</v>
      </c>
      <c r="G17" s="199">
        <f t="shared" si="11"/>
        <v>4530.8615000000009</v>
      </c>
      <c r="H17" s="521">
        <f t="shared" si="7"/>
        <v>8465</v>
      </c>
      <c r="I17" s="493">
        <f t="shared" si="8"/>
        <v>8238</v>
      </c>
      <c r="J17" s="200">
        <f t="shared" si="13"/>
        <v>8465</v>
      </c>
      <c r="K17" s="201">
        <f t="shared" si="12"/>
        <v>8238</v>
      </c>
      <c r="L17" s="167"/>
      <c r="P17" s="763">
        <v>1</v>
      </c>
      <c r="Q17" s="254" t="s">
        <v>12</v>
      </c>
      <c r="R17" s="754">
        <v>1</v>
      </c>
      <c r="S17" s="754">
        <v>1</v>
      </c>
      <c r="T17" s="754">
        <v>1</v>
      </c>
      <c r="U17" s="831">
        <v>1</v>
      </c>
      <c r="V17" s="813">
        <f t="shared" si="1"/>
        <v>0.66</v>
      </c>
      <c r="W17" s="813">
        <f t="shared" si="2"/>
        <v>0.73299999999999998</v>
      </c>
      <c r="X17" s="813">
        <f t="shared" si="3"/>
        <v>0.79900000000000004</v>
      </c>
      <c r="Y17" s="834">
        <f t="shared" si="4"/>
        <v>0.94299999999999995</v>
      </c>
      <c r="Z17" s="503"/>
      <c r="AF17" s="178"/>
      <c r="AG17" s="178"/>
      <c r="AH17" s="178"/>
      <c r="AI17" s="178"/>
      <c r="AK17" s="351">
        <v>100000</v>
      </c>
      <c r="AL17" s="350">
        <v>0.316</v>
      </c>
      <c r="AN17" s="269">
        <f t="shared" si="0"/>
        <v>25</v>
      </c>
      <c r="AO17" s="365">
        <v>3.0860000000000002E-3</v>
      </c>
      <c r="AP17" s="172"/>
      <c r="AQ17" s="269">
        <v>23</v>
      </c>
      <c r="AR17" s="369">
        <v>1.6189100000000001E-2</v>
      </c>
    </row>
    <row r="18" spans="1:44" x14ac:dyDescent="0.25">
      <c r="A18" s="749">
        <v>4394.5</v>
      </c>
      <c r="B18" s="749">
        <v>4254.8</v>
      </c>
      <c r="C18" s="752"/>
      <c r="D18" s="517">
        <v>3152.8330467714286</v>
      </c>
      <c r="E18" s="205">
        <v>11</v>
      </c>
      <c r="F18" s="198">
        <f t="shared" si="10"/>
        <v>4702.1150000000007</v>
      </c>
      <c r="G18" s="199">
        <f t="shared" si="11"/>
        <v>4552.6360000000004</v>
      </c>
      <c r="H18" s="521">
        <f t="shared" si="7"/>
        <v>8549</v>
      </c>
      <c r="I18" s="493">
        <f t="shared" si="8"/>
        <v>8278</v>
      </c>
      <c r="J18" s="203">
        <f t="shared" si="13"/>
        <v>8549</v>
      </c>
      <c r="K18" s="204">
        <f t="shared" si="12"/>
        <v>8278</v>
      </c>
      <c r="L18" s="167"/>
      <c r="M18" s="910" t="s">
        <v>235</v>
      </c>
      <c r="N18" s="910"/>
      <c r="P18" s="764">
        <v>4</v>
      </c>
      <c r="Q18" s="759" t="s">
        <v>13</v>
      </c>
      <c r="R18" s="760">
        <v>8</v>
      </c>
      <c r="S18" s="760">
        <v>8</v>
      </c>
      <c r="T18" s="760">
        <v>8</v>
      </c>
      <c r="U18" s="832">
        <v>8</v>
      </c>
      <c r="V18" s="814">
        <f t="shared" si="1"/>
        <v>0.79193100000000005</v>
      </c>
      <c r="W18" s="814">
        <f t="shared" si="2"/>
        <v>0.879</v>
      </c>
      <c r="X18" s="814">
        <f t="shared" si="3"/>
        <v>0.96699999999999997</v>
      </c>
      <c r="Y18" s="835">
        <f t="shared" si="4"/>
        <v>1.141</v>
      </c>
      <c r="Z18" s="503"/>
      <c r="AK18" s="354">
        <v>250000</v>
      </c>
      <c r="AL18" s="350">
        <v>0.217</v>
      </c>
      <c r="AN18" s="251">
        <f t="shared" si="0"/>
        <v>26</v>
      </c>
      <c r="AO18" s="362">
        <v>3.3279999999999998E-3</v>
      </c>
      <c r="AQ18" s="251">
        <v>24</v>
      </c>
      <c r="AR18" s="368">
        <v>1.7440000000000001E-2</v>
      </c>
    </row>
    <row r="19" spans="1:44" ht="11" thickBot="1" x14ac:dyDescent="0.3">
      <c r="A19" s="749">
        <v>4437.9500000000007</v>
      </c>
      <c r="B19" s="749">
        <v>4274.05</v>
      </c>
      <c r="C19" s="752"/>
      <c r="D19" s="517">
        <v>3199.6786556500001</v>
      </c>
      <c r="E19" s="202">
        <v>12</v>
      </c>
      <c r="F19" s="198">
        <f t="shared" si="10"/>
        <v>4748.6065000000008</v>
      </c>
      <c r="G19" s="199">
        <f t="shared" si="11"/>
        <v>4573.2335000000003</v>
      </c>
      <c r="H19" s="521">
        <f t="shared" si="7"/>
        <v>8634</v>
      </c>
      <c r="I19" s="493">
        <f t="shared" si="8"/>
        <v>8315</v>
      </c>
      <c r="J19" s="200">
        <f t="shared" si="13"/>
        <v>8634</v>
      </c>
      <c r="K19" s="201">
        <f t="shared" si="12"/>
        <v>8315</v>
      </c>
      <c r="L19" s="167"/>
      <c r="M19" s="910"/>
      <c r="N19" s="910"/>
      <c r="P19" s="763">
        <v>6</v>
      </c>
      <c r="Q19" s="254" t="s">
        <v>14</v>
      </c>
      <c r="R19" s="754">
        <v>6</v>
      </c>
      <c r="S19" s="754">
        <v>6</v>
      </c>
      <c r="T19" s="754">
        <v>6</v>
      </c>
      <c r="U19" s="831">
        <v>6</v>
      </c>
      <c r="V19" s="813">
        <f t="shared" si="1"/>
        <v>1</v>
      </c>
      <c r="W19" s="813">
        <f t="shared" si="2"/>
        <v>1.07</v>
      </c>
      <c r="X19" s="813">
        <f t="shared" si="3"/>
        <v>1.177</v>
      </c>
      <c r="Y19" s="834">
        <f t="shared" si="4"/>
        <v>1.389</v>
      </c>
      <c r="Z19" s="503"/>
      <c r="AK19" s="354">
        <v>500000</v>
      </c>
      <c r="AL19" s="350">
        <v>0.16300000000000001</v>
      </c>
      <c r="AM19" s="159"/>
      <c r="AN19" s="269">
        <f t="shared" si="0"/>
        <v>27</v>
      </c>
      <c r="AO19" s="365">
        <v>3.5860000000000002E-3</v>
      </c>
      <c r="AQ19" s="269">
        <v>25</v>
      </c>
      <c r="AR19" s="369">
        <v>1.8787000000000002E-2</v>
      </c>
    </row>
    <row r="20" spans="1:44" ht="11" thickBot="1" x14ac:dyDescent="0.3">
      <c r="A20" s="749">
        <v>4480.8500000000004</v>
      </c>
      <c r="B20" s="749">
        <v>4294.4000000000005</v>
      </c>
      <c r="C20" s="752"/>
      <c r="D20" s="517">
        <v>3246.5242645285716</v>
      </c>
      <c r="E20" s="205">
        <v>13</v>
      </c>
      <c r="F20" s="198">
        <f t="shared" si="10"/>
        <v>4794.509500000001</v>
      </c>
      <c r="G20" s="199">
        <f t="shared" si="11"/>
        <v>4595.0080000000007</v>
      </c>
      <c r="H20" s="521">
        <f t="shared" si="7"/>
        <v>8717</v>
      </c>
      <c r="I20" s="493">
        <f t="shared" si="8"/>
        <v>8355</v>
      </c>
      <c r="J20" s="203">
        <f t="shared" si="13"/>
        <v>8717</v>
      </c>
      <c r="K20" s="204">
        <f t="shared" si="12"/>
        <v>8355</v>
      </c>
      <c r="L20" s="167"/>
      <c r="M20" s="236" t="s">
        <v>101</v>
      </c>
      <c r="N20" s="258">
        <v>1.03224</v>
      </c>
      <c r="P20" s="764">
        <v>4</v>
      </c>
      <c r="Q20" s="759" t="s">
        <v>15</v>
      </c>
      <c r="R20" s="760">
        <v>4</v>
      </c>
      <c r="S20" s="760">
        <v>4</v>
      </c>
      <c r="T20" s="760">
        <v>4</v>
      </c>
      <c r="U20" s="832">
        <v>4</v>
      </c>
      <c r="V20" s="814">
        <f t="shared" si="1"/>
        <v>0.77739999999999998</v>
      </c>
      <c r="W20" s="814">
        <f t="shared" si="2"/>
        <v>0.86299999999999999</v>
      </c>
      <c r="X20" s="814">
        <f t="shared" si="3"/>
        <v>0.94099999999999995</v>
      </c>
      <c r="Y20" s="835">
        <f t="shared" si="4"/>
        <v>1.1100000000000001</v>
      </c>
      <c r="Z20" s="503"/>
      <c r="AJ20" s="174"/>
      <c r="AK20" s="354">
        <v>1000000</v>
      </c>
      <c r="AL20" s="350">
        <v>0.123</v>
      </c>
      <c r="AN20" s="251">
        <f t="shared" si="0"/>
        <v>28</v>
      </c>
      <c r="AO20" s="362">
        <v>3.862E-3</v>
      </c>
      <c r="AQ20" s="251">
        <v>26</v>
      </c>
      <c r="AR20" s="368">
        <v>2.0227999999999999E-2</v>
      </c>
    </row>
    <row r="21" spans="1:44" ht="11" thickBot="1" x14ac:dyDescent="0.3">
      <c r="A21" s="749">
        <v>4524.8500000000004</v>
      </c>
      <c r="B21" s="749">
        <v>4314.2000000000007</v>
      </c>
      <c r="C21" s="752"/>
      <c r="D21" s="517">
        <v>3293.3698734071431</v>
      </c>
      <c r="E21" s="202">
        <v>14</v>
      </c>
      <c r="F21" s="198">
        <f t="shared" si="10"/>
        <v>4841.589500000001</v>
      </c>
      <c r="G21" s="199">
        <f t="shared" si="11"/>
        <v>4616.1940000000013</v>
      </c>
      <c r="H21" s="521">
        <f t="shared" si="7"/>
        <v>8803</v>
      </c>
      <c r="I21" s="493">
        <f t="shared" si="8"/>
        <v>8393</v>
      </c>
      <c r="J21" s="200">
        <f t="shared" si="13"/>
        <v>8803</v>
      </c>
      <c r="K21" s="201">
        <f t="shared" si="12"/>
        <v>8393</v>
      </c>
      <c r="L21" s="167"/>
      <c r="P21" s="763">
        <v>5</v>
      </c>
      <c r="Q21" s="254" t="s">
        <v>16</v>
      </c>
      <c r="R21" s="754">
        <v>5</v>
      </c>
      <c r="S21" s="754">
        <v>5</v>
      </c>
      <c r="T21" s="754">
        <v>5</v>
      </c>
      <c r="U21" s="831">
        <v>5</v>
      </c>
      <c r="V21" s="813">
        <f t="shared" si="1"/>
        <v>0.872</v>
      </c>
      <c r="W21" s="813">
        <f t="shared" si="2"/>
        <v>0.96799999999999997</v>
      </c>
      <c r="X21" s="813">
        <f t="shared" si="3"/>
        <v>1.0549999999999999</v>
      </c>
      <c r="Y21" s="834">
        <f t="shared" si="4"/>
        <v>1.2450000000000001</v>
      </c>
      <c r="Z21" s="503"/>
      <c r="AK21" s="355">
        <v>1500000</v>
      </c>
      <c r="AL21" s="356">
        <v>0.104</v>
      </c>
      <c r="AN21" s="269">
        <f t="shared" si="0"/>
        <v>29</v>
      </c>
      <c r="AO21" s="365">
        <v>4.1549999999999998E-3</v>
      </c>
      <c r="AQ21" s="269">
        <v>27</v>
      </c>
      <c r="AR21" s="369">
        <v>2.1783E-2</v>
      </c>
    </row>
    <row r="22" spans="1:44" x14ac:dyDescent="0.25">
      <c r="A22" s="749">
        <v>4724.5</v>
      </c>
      <c r="B22" s="749">
        <v>4502.8500000000004</v>
      </c>
      <c r="C22" s="752"/>
      <c r="D22" s="517">
        <v>3340.2154822857146</v>
      </c>
      <c r="E22" s="205">
        <v>15</v>
      </c>
      <c r="F22" s="198">
        <f t="shared" si="10"/>
        <v>5055.2150000000001</v>
      </c>
      <c r="G22" s="199">
        <f t="shared" si="11"/>
        <v>4818.049500000001</v>
      </c>
      <c r="H22" s="521">
        <f t="shared" si="7"/>
        <v>9191</v>
      </c>
      <c r="I22" s="493">
        <f t="shared" si="8"/>
        <v>8760</v>
      </c>
      <c r="J22" s="203">
        <f t="shared" si="13"/>
        <v>9191</v>
      </c>
      <c r="K22" s="204">
        <f t="shared" si="12"/>
        <v>8760</v>
      </c>
      <c r="L22" s="167"/>
      <c r="P22" s="764">
        <v>1</v>
      </c>
      <c r="Q22" s="759" t="s">
        <v>17</v>
      </c>
      <c r="R22" s="760">
        <v>1</v>
      </c>
      <c r="S22" s="760">
        <v>1</v>
      </c>
      <c r="T22" s="760">
        <v>1</v>
      </c>
      <c r="U22" s="832">
        <v>1</v>
      </c>
      <c r="V22" s="814">
        <f t="shared" si="1"/>
        <v>0.66</v>
      </c>
      <c r="W22" s="814">
        <f t="shared" si="2"/>
        <v>0.73299999999999998</v>
      </c>
      <c r="X22" s="814">
        <f t="shared" si="3"/>
        <v>0.79900000000000004</v>
      </c>
      <c r="Y22" s="835">
        <f t="shared" si="4"/>
        <v>0.94299999999999995</v>
      </c>
      <c r="Z22" s="503"/>
      <c r="AA22" s="226"/>
      <c r="AB22" s="229"/>
      <c r="AJ22" s="525"/>
      <c r="AK22" s="354">
        <v>5000000</v>
      </c>
      <c r="AL22" s="740">
        <v>6.3454775345765907E-2</v>
      </c>
      <c r="AN22" s="251">
        <f t="shared" si="0"/>
        <v>30</v>
      </c>
      <c r="AO22" s="362">
        <v>4.483E-3</v>
      </c>
      <c r="AQ22" s="251">
        <v>28</v>
      </c>
      <c r="AR22" s="368">
        <v>2.3459000000000001E-2</v>
      </c>
    </row>
    <row r="23" spans="1:44" x14ac:dyDescent="0.25">
      <c r="A23" s="749">
        <v>4924.7000000000007</v>
      </c>
      <c r="B23" s="749">
        <v>4690.9500000000007</v>
      </c>
      <c r="C23" s="752"/>
      <c r="D23" s="517">
        <v>3387.0610911642862</v>
      </c>
      <c r="E23" s="202">
        <v>16</v>
      </c>
      <c r="F23" s="198">
        <f t="shared" si="10"/>
        <v>5269.429000000001</v>
      </c>
      <c r="G23" s="199">
        <f t="shared" si="11"/>
        <v>5019.3165000000008</v>
      </c>
      <c r="H23" s="521">
        <f t="shared" si="7"/>
        <v>9581</v>
      </c>
      <c r="I23" s="493">
        <f t="shared" si="8"/>
        <v>9126</v>
      </c>
      <c r="J23" s="200">
        <f t="shared" si="13"/>
        <v>9581</v>
      </c>
      <c r="K23" s="201">
        <f t="shared" si="12"/>
        <v>9126</v>
      </c>
      <c r="L23" s="167"/>
      <c r="M23" s="910" t="s">
        <v>236</v>
      </c>
      <c r="N23" s="910"/>
      <c r="P23" s="763">
        <v>5</v>
      </c>
      <c r="Q23" s="254" t="s">
        <v>18</v>
      </c>
      <c r="R23" s="754">
        <v>7</v>
      </c>
      <c r="S23" s="754">
        <v>7</v>
      </c>
      <c r="T23" s="754">
        <v>7</v>
      </c>
      <c r="U23" s="833">
        <v>6</v>
      </c>
      <c r="V23" s="813">
        <f t="shared" si="1"/>
        <v>0.92904699999999996</v>
      </c>
      <c r="W23" s="813">
        <f t="shared" si="2"/>
        <v>1.0309999999999999</v>
      </c>
      <c r="X23" s="813">
        <f t="shared" si="3"/>
        <v>1.155</v>
      </c>
      <c r="Y23" s="834">
        <f t="shared" si="4"/>
        <v>1.389</v>
      </c>
      <c r="Z23" s="503"/>
      <c r="AJ23" s="167"/>
      <c r="AK23" s="344"/>
      <c r="AL23" s="345"/>
      <c r="AN23" s="269">
        <f t="shared" si="0"/>
        <v>31</v>
      </c>
      <c r="AO23" s="365">
        <v>4.8279999999999998E-3</v>
      </c>
      <c r="AQ23" s="269">
        <v>29</v>
      </c>
      <c r="AR23" s="369">
        <v>2.5264999999999999E-2</v>
      </c>
    </row>
    <row r="24" spans="1:44" x14ac:dyDescent="0.25">
      <c r="A24" s="749">
        <v>5126</v>
      </c>
      <c r="B24" s="749">
        <v>4880.1500000000005</v>
      </c>
      <c r="C24" s="752"/>
      <c r="D24" s="517">
        <v>3433.9067000428577</v>
      </c>
      <c r="E24" s="205">
        <v>17</v>
      </c>
      <c r="F24" s="198">
        <f t="shared" si="10"/>
        <v>5484.8200000000006</v>
      </c>
      <c r="G24" s="199">
        <f t="shared" si="11"/>
        <v>5221.7605000000012</v>
      </c>
      <c r="H24" s="521">
        <f t="shared" si="7"/>
        <v>9972</v>
      </c>
      <c r="I24" s="493">
        <f t="shared" si="8"/>
        <v>9494</v>
      </c>
      <c r="J24" s="203">
        <f t="shared" si="13"/>
        <v>9972</v>
      </c>
      <c r="K24" s="204">
        <f t="shared" si="12"/>
        <v>9494</v>
      </c>
      <c r="L24" s="167"/>
      <c r="M24" s="910"/>
      <c r="N24" s="910"/>
      <c r="P24" s="764">
        <v>1</v>
      </c>
      <c r="Q24" s="759" t="s">
        <v>19</v>
      </c>
      <c r="R24" s="760">
        <v>1</v>
      </c>
      <c r="S24" s="760">
        <v>1</v>
      </c>
      <c r="T24" s="760">
        <v>1</v>
      </c>
      <c r="U24" s="832">
        <v>1</v>
      </c>
      <c r="V24" s="814">
        <f t="shared" si="1"/>
        <v>0.66</v>
      </c>
      <c r="W24" s="814">
        <f t="shared" si="2"/>
        <v>0.73299999999999998</v>
      </c>
      <c r="X24" s="814">
        <f t="shared" si="3"/>
        <v>0.79900000000000004</v>
      </c>
      <c r="Y24" s="835">
        <f t="shared" si="4"/>
        <v>0.94299999999999995</v>
      </c>
      <c r="Z24" s="503"/>
      <c r="AJ24" s="167"/>
      <c r="AK24" s="899" t="s">
        <v>52</v>
      </c>
      <c r="AL24" s="899"/>
      <c r="AN24" s="251">
        <f t="shared" si="0"/>
        <v>32</v>
      </c>
      <c r="AO24" s="362">
        <v>5.2069999999999998E-3</v>
      </c>
      <c r="AQ24" s="251">
        <v>30</v>
      </c>
      <c r="AR24" s="368">
        <v>2.7210000000000002E-2</v>
      </c>
    </row>
    <row r="25" spans="1:44" ht="11" thickBot="1" x14ac:dyDescent="0.3">
      <c r="A25" s="749">
        <v>5326.2000000000007</v>
      </c>
      <c r="B25" s="749">
        <v>5068.25</v>
      </c>
      <c r="C25" s="752"/>
      <c r="D25" s="517">
        <v>3480.7523089214292</v>
      </c>
      <c r="E25" s="202">
        <v>18</v>
      </c>
      <c r="F25" s="198">
        <f t="shared" si="10"/>
        <v>5699.0340000000015</v>
      </c>
      <c r="G25" s="199">
        <f t="shared" si="11"/>
        <v>5423.0275000000001</v>
      </c>
      <c r="H25" s="521">
        <f t="shared" si="7"/>
        <v>10362</v>
      </c>
      <c r="I25" s="493">
        <f t="shared" si="8"/>
        <v>9860</v>
      </c>
      <c r="J25" s="200">
        <f t="shared" si="13"/>
        <v>10362</v>
      </c>
      <c r="K25" s="201">
        <f t="shared" si="12"/>
        <v>9860</v>
      </c>
      <c r="L25" s="167"/>
      <c r="M25" s="238" t="s">
        <v>56</v>
      </c>
      <c r="N25" s="257">
        <v>1.0321</v>
      </c>
      <c r="P25" s="763">
        <v>2</v>
      </c>
      <c r="Q25" s="254" t="s">
        <v>20</v>
      </c>
      <c r="R25" s="754">
        <v>10</v>
      </c>
      <c r="S25" s="754">
        <v>10</v>
      </c>
      <c r="T25" s="754">
        <v>10</v>
      </c>
      <c r="U25" s="831">
        <v>10</v>
      </c>
      <c r="V25" s="813">
        <f t="shared" si="1"/>
        <v>0.54051800000000005</v>
      </c>
      <c r="W25" s="813">
        <f t="shared" si="2"/>
        <v>0.6</v>
      </c>
      <c r="X25" s="813">
        <f t="shared" si="3"/>
        <v>0.65400000000000003</v>
      </c>
      <c r="Y25" s="834">
        <f t="shared" si="4"/>
        <v>0.77200000000000002</v>
      </c>
      <c r="Z25" s="503"/>
      <c r="AJ25" s="167"/>
      <c r="AK25" s="271" t="s">
        <v>66</v>
      </c>
      <c r="AL25" s="273" t="e">
        <f>VLOOKUP(Cotizador!T26,Tablas!$AK$27:$AL$30,2,0)</f>
        <v>#N/A</v>
      </c>
      <c r="AN25" s="269">
        <f t="shared" si="0"/>
        <v>33</v>
      </c>
      <c r="AO25" s="365">
        <v>5.6030000000000003E-3</v>
      </c>
      <c r="AQ25" s="269">
        <v>31</v>
      </c>
      <c r="AR25" s="369">
        <v>2.9302000000000002E-2</v>
      </c>
    </row>
    <row r="26" spans="1:44" ht="11" thickBot="1" x14ac:dyDescent="0.3">
      <c r="A26" s="749">
        <v>5526.4000000000005</v>
      </c>
      <c r="B26" s="749">
        <v>5257.4500000000007</v>
      </c>
      <c r="C26" s="752"/>
      <c r="D26" s="517">
        <v>3527.5979178000002</v>
      </c>
      <c r="E26" s="205">
        <v>19</v>
      </c>
      <c r="F26" s="198">
        <f t="shared" si="10"/>
        <v>5913.2480000000005</v>
      </c>
      <c r="G26" s="199">
        <f t="shared" si="11"/>
        <v>5625.4715000000015</v>
      </c>
      <c r="H26" s="521">
        <f t="shared" si="7"/>
        <v>10751</v>
      </c>
      <c r="I26" s="493">
        <f t="shared" si="8"/>
        <v>10228</v>
      </c>
      <c r="J26" s="203">
        <f t="shared" si="13"/>
        <v>10751</v>
      </c>
      <c r="K26" s="204">
        <f t="shared" si="12"/>
        <v>10228</v>
      </c>
      <c r="L26" s="167"/>
      <c r="M26" s="237" t="s">
        <v>36</v>
      </c>
      <c r="N26" s="231"/>
      <c r="P26" s="764">
        <v>3</v>
      </c>
      <c r="Q26" s="759" t="s">
        <v>21</v>
      </c>
      <c r="R26" s="760">
        <v>9</v>
      </c>
      <c r="S26" s="760">
        <v>9</v>
      </c>
      <c r="T26" s="760">
        <v>9</v>
      </c>
      <c r="U26" s="832">
        <v>9</v>
      </c>
      <c r="V26" s="814">
        <f t="shared" si="1"/>
        <v>0.70289699999999999</v>
      </c>
      <c r="W26" s="814">
        <f t="shared" si="2"/>
        <v>0.752</v>
      </c>
      <c r="X26" s="814">
        <f t="shared" si="3"/>
        <v>0.84199999999999997</v>
      </c>
      <c r="Y26" s="835">
        <f t="shared" si="4"/>
        <v>0.99399999999999999</v>
      </c>
      <c r="Z26" s="503"/>
      <c r="AA26" s="899" t="s">
        <v>62</v>
      </c>
      <c r="AB26" s="899"/>
      <c r="AJ26" s="167"/>
      <c r="AK26" s="346" t="s">
        <v>73</v>
      </c>
      <c r="AL26" s="347" t="s">
        <v>56</v>
      </c>
      <c r="AN26" s="251">
        <f t="shared" si="0"/>
        <v>34</v>
      </c>
      <c r="AO26" s="362">
        <v>6.0340000000000003E-3</v>
      </c>
      <c r="AQ26" s="251">
        <v>32</v>
      </c>
      <c r="AR26" s="368">
        <v>3.1558999999999997E-2</v>
      </c>
    </row>
    <row r="27" spans="1:44" ht="11" thickBot="1" x14ac:dyDescent="0.3">
      <c r="A27" s="749">
        <v>6221.6</v>
      </c>
      <c r="B27" s="749">
        <v>7554.8</v>
      </c>
      <c r="C27" s="752"/>
      <c r="D27" s="517">
        <v>3738.5916860266666</v>
      </c>
      <c r="E27" s="202">
        <v>20</v>
      </c>
      <c r="F27" s="198">
        <f t="shared" si="10"/>
        <v>6657.112000000001</v>
      </c>
      <c r="G27" s="199">
        <f t="shared" si="11"/>
        <v>8083.6360000000004</v>
      </c>
      <c r="H27" s="521">
        <f t="shared" si="7"/>
        <v>12104</v>
      </c>
      <c r="I27" s="493">
        <f t="shared" si="8"/>
        <v>14698</v>
      </c>
      <c r="J27" s="200">
        <f t="shared" si="13"/>
        <v>12104</v>
      </c>
      <c r="K27" s="201">
        <f t="shared" si="12"/>
        <v>14698</v>
      </c>
      <c r="L27" s="167"/>
      <c r="P27" s="763">
        <v>2</v>
      </c>
      <c r="Q27" s="254" t="s">
        <v>22</v>
      </c>
      <c r="R27" s="754">
        <v>2</v>
      </c>
      <c r="S27" s="754">
        <v>2</v>
      </c>
      <c r="T27" s="754">
        <v>2</v>
      </c>
      <c r="U27" s="831">
        <v>2</v>
      </c>
      <c r="V27" s="813">
        <f t="shared" si="1"/>
        <v>0.53059999999999996</v>
      </c>
      <c r="W27" s="813">
        <f t="shared" si="2"/>
        <v>0.56799999999999995</v>
      </c>
      <c r="X27" s="813">
        <f t="shared" si="3"/>
        <v>0.61899999999999999</v>
      </c>
      <c r="Y27" s="834">
        <f t="shared" si="4"/>
        <v>0.73</v>
      </c>
      <c r="Z27" s="503"/>
      <c r="AA27" s="228" t="s">
        <v>64</v>
      </c>
      <c r="AB27" s="273" t="e">
        <f>VLOOKUP(Cotizador!T23,Tablas!$AA$29:$AB$31,2,0)</f>
        <v>#N/A</v>
      </c>
      <c r="AJ27" s="167"/>
      <c r="AK27" s="358">
        <v>0.1</v>
      </c>
      <c r="AL27" s="314">
        <v>1</v>
      </c>
      <c r="AN27" s="269">
        <f t="shared" si="0"/>
        <v>35</v>
      </c>
      <c r="AO27" s="365">
        <v>6.4999999999999997E-3</v>
      </c>
      <c r="AQ27" s="269">
        <v>33</v>
      </c>
      <c r="AR27" s="369">
        <v>3.3988999999999998E-2</v>
      </c>
    </row>
    <row r="28" spans="1:44" ht="11" thickBot="1" x14ac:dyDescent="0.3">
      <c r="A28" s="749">
        <v>6486.1500000000005</v>
      </c>
      <c r="B28" s="749">
        <v>8140.0000000000009</v>
      </c>
      <c r="C28" s="752"/>
      <c r="D28" s="517">
        <v>3991.6103938213337</v>
      </c>
      <c r="E28" s="205">
        <f>+E27+1</f>
        <v>21</v>
      </c>
      <c r="F28" s="198">
        <f t="shared" si="10"/>
        <v>6940.1805000000013</v>
      </c>
      <c r="G28" s="199">
        <f t="shared" si="11"/>
        <v>8709.8000000000011</v>
      </c>
      <c r="H28" s="521">
        <f t="shared" si="7"/>
        <v>12619</v>
      </c>
      <c r="I28" s="493">
        <f t="shared" si="8"/>
        <v>15836</v>
      </c>
      <c r="J28" s="203">
        <f t="shared" si="13"/>
        <v>12619</v>
      </c>
      <c r="K28" s="204">
        <f t="shared" si="12"/>
        <v>15836</v>
      </c>
      <c r="L28" s="167"/>
      <c r="M28" s="910" t="s">
        <v>237</v>
      </c>
      <c r="N28" s="910"/>
      <c r="P28" s="764">
        <v>3</v>
      </c>
      <c r="Q28" s="759" t="s">
        <v>23</v>
      </c>
      <c r="R28" s="760">
        <v>3</v>
      </c>
      <c r="S28" s="760">
        <v>3</v>
      </c>
      <c r="T28" s="760">
        <v>3</v>
      </c>
      <c r="U28" s="832">
        <v>3</v>
      </c>
      <c r="V28" s="814">
        <f t="shared" si="1"/>
        <v>0.69</v>
      </c>
      <c r="W28" s="814">
        <f t="shared" si="2"/>
        <v>0.73799999999999999</v>
      </c>
      <c r="X28" s="814">
        <f t="shared" si="3"/>
        <v>0.80400000000000005</v>
      </c>
      <c r="Y28" s="835">
        <f t="shared" si="4"/>
        <v>0.94899999999999995</v>
      </c>
      <c r="Z28" s="503"/>
      <c r="AA28" s="308" t="s">
        <v>238</v>
      </c>
      <c r="AB28" s="309" t="s">
        <v>56</v>
      </c>
      <c r="AJ28" s="167"/>
      <c r="AK28" s="359">
        <v>0.15</v>
      </c>
      <c r="AL28" s="288">
        <v>0.94</v>
      </c>
      <c r="AN28" s="251">
        <f t="shared" si="0"/>
        <v>36</v>
      </c>
      <c r="AO28" s="362">
        <v>7.0000000000000001E-3</v>
      </c>
      <c r="AQ28" s="251">
        <v>34</v>
      </c>
      <c r="AR28" s="368">
        <v>3.6609999999999997E-2</v>
      </c>
    </row>
    <row r="29" spans="1:44" ht="11" thickBot="1" x14ac:dyDescent="0.3">
      <c r="A29" s="749">
        <v>6750.7000000000007</v>
      </c>
      <c r="B29" s="749">
        <v>8724.6500000000015</v>
      </c>
      <c r="C29" s="752"/>
      <c r="D29" s="517">
        <v>4244.6291016160012</v>
      </c>
      <c r="E29" s="202">
        <f t="shared" ref="E29:E86" si="14">+E28+1</f>
        <v>22</v>
      </c>
      <c r="F29" s="198">
        <f t="shared" si="10"/>
        <v>7223.2490000000016</v>
      </c>
      <c r="G29" s="199">
        <f t="shared" si="11"/>
        <v>9335.3755000000019</v>
      </c>
      <c r="H29" s="521">
        <f t="shared" si="7"/>
        <v>13133</v>
      </c>
      <c r="I29" s="493">
        <f t="shared" si="8"/>
        <v>16973</v>
      </c>
      <c r="J29" s="200">
        <f t="shared" si="13"/>
        <v>13133</v>
      </c>
      <c r="K29" s="201">
        <f t="shared" si="12"/>
        <v>16973</v>
      </c>
      <c r="L29" s="167"/>
      <c r="M29" s="910"/>
      <c r="N29" s="910"/>
      <c r="P29" s="763">
        <v>5</v>
      </c>
      <c r="Q29" s="254" t="s">
        <v>24</v>
      </c>
      <c r="R29" s="754">
        <v>5</v>
      </c>
      <c r="S29" s="754">
        <v>5</v>
      </c>
      <c r="T29" s="754">
        <v>5</v>
      </c>
      <c r="U29" s="831">
        <v>5</v>
      </c>
      <c r="V29" s="813">
        <f t="shared" si="1"/>
        <v>0.872</v>
      </c>
      <c r="W29" s="813">
        <f t="shared" si="2"/>
        <v>0.96799999999999997</v>
      </c>
      <c r="X29" s="813">
        <f t="shared" si="3"/>
        <v>1.0549999999999999</v>
      </c>
      <c r="Y29" s="834">
        <f t="shared" si="4"/>
        <v>1.2450000000000001</v>
      </c>
      <c r="Z29" s="503"/>
      <c r="AA29" s="297" t="s">
        <v>192</v>
      </c>
      <c r="AB29" s="298">
        <v>1</v>
      </c>
      <c r="AC29" s="174"/>
      <c r="AD29" s="174"/>
      <c r="AE29" s="174"/>
      <c r="AF29" s="174"/>
      <c r="AJ29" s="167"/>
      <c r="AK29" s="359">
        <v>0.2</v>
      </c>
      <c r="AL29" s="288">
        <v>0.89</v>
      </c>
      <c r="AN29" s="269">
        <f t="shared" si="0"/>
        <v>37</v>
      </c>
      <c r="AO29" s="365">
        <v>7.5339999999999999E-3</v>
      </c>
      <c r="AP29" s="181"/>
      <c r="AQ29" s="269">
        <v>35</v>
      </c>
      <c r="AR29" s="369">
        <v>3.943E-2</v>
      </c>
    </row>
    <row r="30" spans="1:44" ht="11" thickBot="1" x14ac:dyDescent="0.3">
      <c r="A30" s="749">
        <v>7015.8</v>
      </c>
      <c r="B30" s="749">
        <v>9309.3000000000011</v>
      </c>
      <c r="C30" s="752"/>
      <c r="D30" s="517">
        <v>4497.6478094106678</v>
      </c>
      <c r="E30" s="205">
        <f t="shared" si="14"/>
        <v>23</v>
      </c>
      <c r="F30" s="198">
        <f t="shared" si="10"/>
        <v>7506.9060000000009</v>
      </c>
      <c r="G30" s="199">
        <f t="shared" si="11"/>
        <v>9960.9510000000009</v>
      </c>
      <c r="H30" s="521">
        <f t="shared" si="7"/>
        <v>13649</v>
      </c>
      <c r="I30" s="493">
        <f t="shared" si="8"/>
        <v>18111</v>
      </c>
      <c r="J30" s="203">
        <f t="shared" si="13"/>
        <v>13649</v>
      </c>
      <c r="K30" s="204">
        <f t="shared" si="12"/>
        <v>18111</v>
      </c>
      <c r="L30" s="167"/>
      <c r="M30" s="236" t="s">
        <v>56</v>
      </c>
      <c r="N30" s="255">
        <v>1.0142</v>
      </c>
      <c r="P30" s="764">
        <v>1</v>
      </c>
      <c r="Q30" s="759" t="s">
        <v>25</v>
      </c>
      <c r="R30" s="760">
        <v>1</v>
      </c>
      <c r="S30" s="760">
        <v>1</v>
      </c>
      <c r="T30" s="760">
        <v>1</v>
      </c>
      <c r="U30" s="832">
        <v>1</v>
      </c>
      <c r="V30" s="814">
        <f t="shared" si="1"/>
        <v>0.66</v>
      </c>
      <c r="W30" s="814">
        <f t="shared" si="2"/>
        <v>0.73299999999999998</v>
      </c>
      <c r="X30" s="814">
        <f t="shared" si="3"/>
        <v>0.79900000000000004</v>
      </c>
      <c r="Y30" s="835">
        <f t="shared" si="4"/>
        <v>0.94299999999999995</v>
      </c>
      <c r="Z30" s="503"/>
      <c r="AA30" s="299" t="s">
        <v>193</v>
      </c>
      <c r="AB30" s="300">
        <v>0.76</v>
      </c>
      <c r="AC30" s="174"/>
      <c r="AD30" s="174"/>
      <c r="AE30" s="174"/>
      <c r="AF30" s="174"/>
      <c r="AG30" s="742"/>
      <c r="AH30" s="742"/>
      <c r="AI30" s="742"/>
      <c r="AK30" s="360">
        <v>0.25</v>
      </c>
      <c r="AL30" s="294">
        <v>0.83</v>
      </c>
      <c r="AN30" s="251">
        <f t="shared" si="0"/>
        <v>38</v>
      </c>
      <c r="AO30" s="362">
        <v>8.1209999999999997E-3</v>
      </c>
      <c r="AP30" s="181"/>
      <c r="AQ30" s="251">
        <v>36</v>
      </c>
      <c r="AR30" s="368">
        <v>4.2458000000000003E-2</v>
      </c>
    </row>
    <row r="31" spans="1:44" ht="11" thickBot="1" x14ac:dyDescent="0.3">
      <c r="A31" s="749">
        <v>7280.35</v>
      </c>
      <c r="B31" s="749">
        <v>9597.5</v>
      </c>
      <c r="C31" s="752"/>
      <c r="D31" s="517">
        <v>4608.1465216891747</v>
      </c>
      <c r="E31" s="202">
        <f t="shared" si="14"/>
        <v>24</v>
      </c>
      <c r="F31" s="198">
        <f t="shared" si="10"/>
        <v>7789.9745000000012</v>
      </c>
      <c r="G31" s="199">
        <f t="shared" si="11"/>
        <v>10269.325000000001</v>
      </c>
      <c r="H31" s="521">
        <f t="shared" si="7"/>
        <v>14164</v>
      </c>
      <c r="I31" s="493">
        <f t="shared" si="8"/>
        <v>18672</v>
      </c>
      <c r="J31" s="200">
        <f t="shared" si="13"/>
        <v>14164</v>
      </c>
      <c r="K31" s="201">
        <f t="shared" si="12"/>
        <v>18672</v>
      </c>
      <c r="L31" s="167"/>
      <c r="M31" s="236" t="s">
        <v>36</v>
      </c>
      <c r="N31" s="256">
        <v>85.54</v>
      </c>
      <c r="P31" s="763">
        <v>2</v>
      </c>
      <c r="Q31" s="254" t="s">
        <v>26</v>
      </c>
      <c r="R31" s="754">
        <v>2</v>
      </c>
      <c r="S31" s="754">
        <v>2</v>
      </c>
      <c r="T31" s="754">
        <v>2</v>
      </c>
      <c r="U31" s="831">
        <v>2</v>
      </c>
      <c r="V31" s="813">
        <f t="shared" si="1"/>
        <v>0.53059999999999996</v>
      </c>
      <c r="W31" s="813">
        <f t="shared" si="2"/>
        <v>0.56799999999999995</v>
      </c>
      <c r="X31" s="813">
        <f t="shared" si="3"/>
        <v>0.61899999999999999</v>
      </c>
      <c r="Y31" s="834">
        <f t="shared" si="4"/>
        <v>0.73</v>
      </c>
      <c r="Z31" s="503"/>
      <c r="AA31" s="301" t="s">
        <v>194</v>
      </c>
      <c r="AB31" s="302">
        <v>0.62</v>
      </c>
      <c r="AC31" s="174"/>
      <c r="AD31" s="174"/>
      <c r="AE31" s="174"/>
      <c r="AF31" s="174"/>
      <c r="AG31" s="173"/>
      <c r="AH31" s="173"/>
      <c r="AI31" s="173"/>
      <c r="AN31" s="269">
        <f t="shared" si="0"/>
        <v>39</v>
      </c>
      <c r="AO31" s="365">
        <v>8.7410000000000005E-3</v>
      </c>
      <c r="AP31" s="181"/>
      <c r="AQ31" s="269">
        <v>37</v>
      </c>
      <c r="AR31" s="369">
        <v>4.5719999999999997E-2</v>
      </c>
    </row>
    <row r="32" spans="1:44" ht="11" thickBot="1" x14ac:dyDescent="0.3">
      <c r="A32" s="749">
        <v>7544.9000000000005</v>
      </c>
      <c r="B32" s="749">
        <v>10479.150000000001</v>
      </c>
      <c r="C32" s="752"/>
      <c r="D32" s="517">
        <v>5003.685225000002</v>
      </c>
      <c r="E32" s="205">
        <f t="shared" si="14"/>
        <v>25</v>
      </c>
      <c r="F32" s="198">
        <f t="shared" si="10"/>
        <v>8073.0430000000015</v>
      </c>
      <c r="G32" s="199">
        <f t="shared" si="11"/>
        <v>11212.690500000002</v>
      </c>
      <c r="H32" s="521">
        <f t="shared" si="7"/>
        <v>14678</v>
      </c>
      <c r="I32" s="493">
        <f t="shared" si="8"/>
        <v>20387</v>
      </c>
      <c r="J32" s="203">
        <f t="shared" si="13"/>
        <v>14678</v>
      </c>
      <c r="K32" s="204">
        <f t="shared" si="12"/>
        <v>20387</v>
      </c>
      <c r="L32" s="167"/>
      <c r="P32" s="764">
        <v>5</v>
      </c>
      <c r="Q32" s="759" t="s">
        <v>27</v>
      </c>
      <c r="R32" s="760">
        <v>5</v>
      </c>
      <c r="S32" s="760">
        <v>5</v>
      </c>
      <c r="T32" s="760">
        <v>5</v>
      </c>
      <c r="U32" s="832">
        <v>5</v>
      </c>
      <c r="V32" s="814">
        <f t="shared" si="1"/>
        <v>0.872</v>
      </c>
      <c r="W32" s="814">
        <f t="shared" si="2"/>
        <v>0.96799999999999997</v>
      </c>
      <c r="X32" s="814">
        <f t="shared" si="3"/>
        <v>1.0549999999999999</v>
      </c>
      <c r="Y32" s="835">
        <f t="shared" si="4"/>
        <v>1.2450000000000001</v>
      </c>
      <c r="Z32" s="503"/>
      <c r="AC32" s="174"/>
      <c r="AD32" s="174"/>
      <c r="AE32" s="174"/>
      <c r="AF32" s="174"/>
      <c r="AG32" s="743"/>
      <c r="AH32" s="743"/>
      <c r="AI32" s="743"/>
      <c r="AK32" s="381" t="s">
        <v>73</v>
      </c>
      <c r="AL32" s="381" t="s">
        <v>222</v>
      </c>
      <c r="AN32" s="251">
        <f t="shared" si="0"/>
        <v>40</v>
      </c>
      <c r="AO32" s="362">
        <v>9.4140000000000005E-3</v>
      </c>
      <c r="AP32" s="181"/>
      <c r="AQ32" s="251">
        <v>38</v>
      </c>
      <c r="AR32" s="368">
        <v>4.9232999999999999E-2</v>
      </c>
    </row>
    <row r="33" spans="1:44" ht="11" thickBot="1" x14ac:dyDescent="0.3">
      <c r="A33" s="749">
        <v>7741.8</v>
      </c>
      <c r="B33" s="749">
        <v>10709.6</v>
      </c>
      <c r="C33" s="752"/>
      <c r="D33" s="517">
        <v>5342.4142301220008</v>
      </c>
      <c r="E33" s="202">
        <f t="shared" si="14"/>
        <v>26</v>
      </c>
      <c r="F33" s="198">
        <f t="shared" si="10"/>
        <v>8283.7260000000006</v>
      </c>
      <c r="G33" s="199">
        <f t="shared" si="11"/>
        <v>11459.272000000001</v>
      </c>
      <c r="H33" s="521">
        <f t="shared" si="7"/>
        <v>15061</v>
      </c>
      <c r="I33" s="493">
        <f t="shared" si="8"/>
        <v>20835</v>
      </c>
      <c r="J33" s="200">
        <f t="shared" si="13"/>
        <v>15061</v>
      </c>
      <c r="K33" s="201">
        <f t="shared" si="12"/>
        <v>20835</v>
      </c>
      <c r="L33" s="167"/>
      <c r="P33" s="763">
        <v>2</v>
      </c>
      <c r="Q33" s="254" t="s">
        <v>28</v>
      </c>
      <c r="R33" s="754">
        <v>2</v>
      </c>
      <c r="S33" s="754">
        <v>2</v>
      </c>
      <c r="T33" s="754">
        <v>2</v>
      </c>
      <c r="U33" s="831">
        <v>2</v>
      </c>
      <c r="V33" s="813">
        <f t="shared" si="1"/>
        <v>0.53059999999999996</v>
      </c>
      <c r="W33" s="813">
        <f t="shared" si="2"/>
        <v>0.56799999999999995</v>
      </c>
      <c r="X33" s="813">
        <f t="shared" si="3"/>
        <v>0.61899999999999999</v>
      </c>
      <c r="Y33" s="834">
        <f t="shared" si="4"/>
        <v>0.73</v>
      </c>
      <c r="Z33" s="503"/>
      <c r="AA33" s="900" t="s">
        <v>60</v>
      </c>
      <c r="AB33" s="900"/>
      <c r="AC33" s="174"/>
      <c r="AD33" s="174"/>
      <c r="AE33" s="174"/>
      <c r="AF33" s="174"/>
      <c r="AG33" s="744"/>
      <c r="AH33" s="744"/>
      <c r="AI33" s="744"/>
      <c r="AK33" s="315">
        <v>0.1</v>
      </c>
      <c r="AL33" s="316">
        <v>40000</v>
      </c>
      <c r="AN33" s="269">
        <f t="shared" si="0"/>
        <v>41</v>
      </c>
      <c r="AO33" s="365">
        <v>1.0137999999999999E-2</v>
      </c>
      <c r="AP33" s="181"/>
      <c r="AQ33" s="269">
        <v>39</v>
      </c>
      <c r="AR33" s="369">
        <v>5.3013999999999999E-2</v>
      </c>
    </row>
    <row r="34" spans="1:44" ht="11" thickBot="1" x14ac:dyDescent="0.3">
      <c r="A34" s="749">
        <v>7938.7000000000007</v>
      </c>
      <c r="B34" s="749">
        <v>10940.050000000001</v>
      </c>
      <c r="C34" s="752"/>
      <c r="D34" s="517">
        <v>5681.1432352439997</v>
      </c>
      <c r="E34" s="205">
        <f t="shared" si="14"/>
        <v>27</v>
      </c>
      <c r="F34" s="198">
        <f t="shared" si="10"/>
        <v>8494.4090000000015</v>
      </c>
      <c r="G34" s="199">
        <f t="shared" si="11"/>
        <v>11705.853500000001</v>
      </c>
      <c r="H34" s="521">
        <f t="shared" si="7"/>
        <v>15444</v>
      </c>
      <c r="I34" s="493">
        <f t="shared" si="8"/>
        <v>21283</v>
      </c>
      <c r="J34" s="203">
        <f t="shared" si="13"/>
        <v>15444</v>
      </c>
      <c r="K34" s="204">
        <f t="shared" si="12"/>
        <v>21283</v>
      </c>
      <c r="L34" s="167"/>
      <c r="P34" s="764">
        <v>2</v>
      </c>
      <c r="Q34" s="759" t="s">
        <v>29</v>
      </c>
      <c r="R34" s="760">
        <v>2</v>
      </c>
      <c r="S34" s="760">
        <v>2</v>
      </c>
      <c r="T34" s="760">
        <v>2</v>
      </c>
      <c r="U34" s="832">
        <v>2</v>
      </c>
      <c r="V34" s="814">
        <f t="shared" si="1"/>
        <v>0.53059999999999996</v>
      </c>
      <c r="W34" s="814">
        <f t="shared" si="2"/>
        <v>0.56799999999999995</v>
      </c>
      <c r="X34" s="814">
        <f t="shared" si="3"/>
        <v>0.61899999999999999</v>
      </c>
      <c r="Y34" s="835">
        <f t="shared" si="4"/>
        <v>0.73</v>
      </c>
      <c r="Z34" s="503"/>
      <c r="AA34" s="310" t="s">
        <v>70</v>
      </c>
      <c r="AB34" s="310" t="s">
        <v>40</v>
      </c>
      <c r="AC34" s="174"/>
      <c r="AD34" s="174"/>
      <c r="AE34" s="174"/>
      <c r="AF34" s="174"/>
      <c r="AG34" s="184"/>
      <c r="AH34" s="184"/>
      <c r="AI34" s="184"/>
      <c r="AJ34" s="295"/>
      <c r="AK34" s="317">
        <v>0.15</v>
      </c>
      <c r="AL34" s="318">
        <v>40000</v>
      </c>
      <c r="AN34" s="251">
        <f t="shared" si="0"/>
        <v>42</v>
      </c>
      <c r="AO34" s="362">
        <v>1.0914E-2</v>
      </c>
      <c r="AP34" s="181"/>
      <c r="AQ34" s="251">
        <v>40</v>
      </c>
      <c r="AR34" s="368">
        <v>5.7089000000000001E-2</v>
      </c>
    </row>
    <row r="35" spans="1:44" x14ac:dyDescent="0.25">
      <c r="A35" s="749">
        <v>8135.6</v>
      </c>
      <c r="B35" s="749">
        <v>11170.5</v>
      </c>
      <c r="C35" s="752"/>
      <c r="D35" s="517">
        <v>6019.8722403659986</v>
      </c>
      <c r="E35" s="202">
        <f t="shared" si="14"/>
        <v>28</v>
      </c>
      <c r="F35" s="198">
        <f t="shared" si="10"/>
        <v>8705.0920000000006</v>
      </c>
      <c r="G35" s="199">
        <f t="shared" si="11"/>
        <v>11952.435000000001</v>
      </c>
      <c r="H35" s="521">
        <f t="shared" si="7"/>
        <v>15827</v>
      </c>
      <c r="I35" s="493">
        <f t="shared" si="8"/>
        <v>21732</v>
      </c>
      <c r="J35" s="200">
        <f t="shared" si="13"/>
        <v>15827</v>
      </c>
      <c r="K35" s="201">
        <f t="shared" si="12"/>
        <v>21732</v>
      </c>
      <c r="L35" s="167"/>
      <c r="M35" s="899" t="s">
        <v>147</v>
      </c>
      <c r="N35" s="899"/>
      <c r="O35" s="899"/>
      <c r="P35" s="763">
        <v>2</v>
      </c>
      <c r="Q35" s="254" t="s">
        <v>30</v>
      </c>
      <c r="R35" s="754">
        <v>2</v>
      </c>
      <c r="S35" s="754">
        <v>10</v>
      </c>
      <c r="T35" s="754">
        <v>10</v>
      </c>
      <c r="U35" s="831">
        <v>10</v>
      </c>
      <c r="V35" s="813">
        <f t="shared" si="1"/>
        <v>0.53059999999999996</v>
      </c>
      <c r="W35" s="813">
        <f t="shared" si="2"/>
        <v>0.6</v>
      </c>
      <c r="X35" s="813">
        <f t="shared" si="3"/>
        <v>0.65400000000000003</v>
      </c>
      <c r="Y35" s="834">
        <f t="shared" si="4"/>
        <v>0.77200000000000002</v>
      </c>
      <c r="Z35" s="503"/>
      <c r="AA35" s="280" t="s">
        <v>75</v>
      </c>
      <c r="AB35" s="281">
        <v>1</v>
      </c>
      <c r="AC35" s="174"/>
      <c r="AD35" s="174"/>
      <c r="AE35" s="174"/>
      <c r="AF35" s="174"/>
      <c r="AG35" s="174"/>
      <c r="AH35" s="174"/>
      <c r="AI35" s="174"/>
      <c r="AJ35" s="289"/>
      <c r="AK35" s="317">
        <v>0.2</v>
      </c>
      <c r="AL35" s="318">
        <v>45000</v>
      </c>
      <c r="AN35" s="269">
        <f t="shared" si="0"/>
        <v>43</v>
      </c>
      <c r="AO35" s="365">
        <v>1.1759E-2</v>
      </c>
      <c r="AP35" s="181"/>
      <c r="AQ35" s="269">
        <v>41</v>
      </c>
      <c r="AR35" s="369">
        <v>6.1475000000000002E-2</v>
      </c>
    </row>
    <row r="36" spans="1:44" ht="11" thickBot="1" x14ac:dyDescent="0.3">
      <c r="A36" s="749">
        <v>8332.5</v>
      </c>
      <c r="B36" s="749">
        <v>11400.400000000001</v>
      </c>
      <c r="C36" s="752"/>
      <c r="D36" s="517">
        <v>6358.6012454879983</v>
      </c>
      <c r="E36" s="205">
        <f t="shared" si="14"/>
        <v>29</v>
      </c>
      <c r="F36" s="198">
        <f t="shared" si="10"/>
        <v>8915.7749999999996</v>
      </c>
      <c r="G36" s="199">
        <f t="shared" si="11"/>
        <v>12198.428000000002</v>
      </c>
      <c r="H36" s="521">
        <f t="shared" si="7"/>
        <v>16211</v>
      </c>
      <c r="I36" s="493">
        <f t="shared" si="8"/>
        <v>22179</v>
      </c>
      <c r="J36" s="203">
        <f t="shared" si="13"/>
        <v>16211</v>
      </c>
      <c r="K36" s="204">
        <f t="shared" si="12"/>
        <v>22179</v>
      </c>
      <c r="L36" s="167"/>
      <c r="M36" s="900" t="s">
        <v>143</v>
      </c>
      <c r="N36" s="900"/>
      <c r="O36" s="900"/>
      <c r="P36" s="765">
        <v>5</v>
      </c>
      <c r="Q36" s="761" t="s">
        <v>31</v>
      </c>
      <c r="R36" s="762">
        <v>5</v>
      </c>
      <c r="S36" s="762">
        <v>5</v>
      </c>
      <c r="T36" s="762">
        <v>5</v>
      </c>
      <c r="U36" s="762">
        <v>5</v>
      </c>
      <c r="V36" s="815">
        <f t="shared" si="1"/>
        <v>0.872</v>
      </c>
      <c r="W36" s="815">
        <f t="shared" si="2"/>
        <v>0.96799999999999997</v>
      </c>
      <c r="X36" s="815">
        <f t="shared" si="3"/>
        <v>1.0549999999999999</v>
      </c>
      <c r="Y36" s="815">
        <f t="shared" si="4"/>
        <v>1.2450000000000001</v>
      </c>
      <c r="Z36" s="503"/>
      <c r="AA36" s="282" t="s">
        <v>41</v>
      </c>
      <c r="AB36" s="283">
        <v>1</v>
      </c>
      <c r="AC36" s="174"/>
      <c r="AD36" s="174"/>
      <c r="AE36" s="174"/>
      <c r="AF36" s="174"/>
      <c r="AJ36" s="295"/>
      <c r="AK36" s="319">
        <v>0.25</v>
      </c>
      <c r="AL36" s="320">
        <v>50000</v>
      </c>
      <c r="AN36" s="251">
        <f t="shared" si="0"/>
        <v>44</v>
      </c>
      <c r="AO36" s="362">
        <v>1.2655E-2</v>
      </c>
      <c r="AP36" s="181"/>
      <c r="AQ36" s="251">
        <v>42</v>
      </c>
      <c r="AR36" s="368">
        <v>6.6188999999999998E-2</v>
      </c>
    </row>
    <row r="37" spans="1:44" ht="11" thickBot="1" x14ac:dyDescent="0.3">
      <c r="A37" s="749">
        <v>8529.4000000000015</v>
      </c>
      <c r="B37" s="749">
        <v>11631.400000000001</v>
      </c>
      <c r="C37" s="752"/>
      <c r="D37" s="517">
        <v>6697.3302506099972</v>
      </c>
      <c r="E37" s="202">
        <f t="shared" si="14"/>
        <v>30</v>
      </c>
      <c r="F37" s="198">
        <f t="shared" si="10"/>
        <v>9126.4580000000024</v>
      </c>
      <c r="G37" s="199">
        <f t="shared" si="11"/>
        <v>12445.598000000002</v>
      </c>
      <c r="H37" s="521">
        <f t="shared" si="7"/>
        <v>16594</v>
      </c>
      <c r="I37" s="493">
        <f t="shared" si="8"/>
        <v>22628</v>
      </c>
      <c r="J37" s="200">
        <f t="shared" si="13"/>
        <v>16594</v>
      </c>
      <c r="K37" s="201">
        <f t="shared" si="12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W37" s="253"/>
      <c r="Z37" s="503"/>
      <c r="AA37" s="282" t="s">
        <v>42</v>
      </c>
      <c r="AB37" s="283">
        <v>1</v>
      </c>
      <c r="AC37" s="174"/>
      <c r="AD37" s="174"/>
      <c r="AE37" s="174"/>
      <c r="AF37" s="174"/>
      <c r="AG37" s="175"/>
      <c r="AH37" s="175"/>
      <c r="AI37" s="175"/>
      <c r="AJ37" s="375"/>
      <c r="AK37" s="159"/>
      <c r="AN37" s="269">
        <f t="shared" si="0"/>
        <v>45</v>
      </c>
      <c r="AO37" s="365">
        <v>1.3638000000000001E-2</v>
      </c>
      <c r="AP37" s="181"/>
      <c r="AQ37" s="269">
        <v>43</v>
      </c>
      <c r="AR37" s="369">
        <v>7.1266999999999997E-2</v>
      </c>
    </row>
    <row r="38" spans="1:44" x14ac:dyDescent="0.25">
      <c r="A38" s="749">
        <v>8823.1</v>
      </c>
      <c r="B38" s="749">
        <v>11919.6</v>
      </c>
      <c r="C38" s="752"/>
      <c r="D38" s="517">
        <v>7150.2389273999979</v>
      </c>
      <c r="E38" s="205">
        <f t="shared" si="14"/>
        <v>31</v>
      </c>
      <c r="F38" s="198">
        <f t="shared" si="10"/>
        <v>9440.7170000000006</v>
      </c>
      <c r="G38" s="199">
        <f t="shared" si="11"/>
        <v>12753.972000000002</v>
      </c>
      <c r="H38" s="521">
        <f t="shared" si="7"/>
        <v>17165</v>
      </c>
      <c r="I38" s="493">
        <f t="shared" si="8"/>
        <v>23189</v>
      </c>
      <c r="J38" s="203">
        <f t="shared" si="13"/>
        <v>17165</v>
      </c>
      <c r="K38" s="204">
        <f t="shared" si="12"/>
        <v>23189</v>
      </c>
      <c r="L38" s="167"/>
      <c r="M38" s="216">
        <v>18</v>
      </c>
      <c r="N38" s="526">
        <v>0.9726999999999999</v>
      </c>
      <c r="O38" s="527">
        <v>1.0636000000000001</v>
      </c>
      <c r="P38" s="186"/>
      <c r="Q38" s="186"/>
      <c r="Z38" s="503"/>
      <c r="AA38" s="282" t="s">
        <v>43</v>
      </c>
      <c r="AB38" s="283">
        <v>1</v>
      </c>
      <c r="AC38" s="174"/>
      <c r="AD38" s="174"/>
      <c r="AE38" s="174"/>
      <c r="AF38" s="174"/>
      <c r="AG38" s="745"/>
      <c r="AH38" s="745"/>
      <c r="AI38" s="745"/>
      <c r="AJ38" s="289"/>
      <c r="AN38" s="251">
        <f t="shared" si="0"/>
        <v>46</v>
      </c>
      <c r="AO38" s="362">
        <v>1.4671999999999999E-2</v>
      </c>
      <c r="AP38" s="181"/>
      <c r="AQ38" s="251">
        <v>44</v>
      </c>
      <c r="AR38" s="368">
        <v>7.6732999999999996E-2</v>
      </c>
    </row>
    <row r="39" spans="1:44" x14ac:dyDescent="0.25">
      <c r="A39" s="749">
        <v>9116.25</v>
      </c>
      <c r="B39" s="749">
        <v>12206.7</v>
      </c>
      <c r="C39" s="752"/>
      <c r="D39" s="517">
        <v>7603.1476041899987</v>
      </c>
      <c r="E39" s="202">
        <f t="shared" si="14"/>
        <v>32</v>
      </c>
      <c r="F39" s="198">
        <f t="shared" si="10"/>
        <v>9754.3875000000007</v>
      </c>
      <c r="G39" s="199">
        <f t="shared" si="11"/>
        <v>13061.169000000002</v>
      </c>
      <c r="H39" s="521">
        <f t="shared" si="7"/>
        <v>17735</v>
      </c>
      <c r="I39" s="493">
        <f t="shared" si="8"/>
        <v>23748</v>
      </c>
      <c r="J39" s="200">
        <f t="shared" si="13"/>
        <v>17735</v>
      </c>
      <c r="K39" s="201">
        <f t="shared" si="12"/>
        <v>23748</v>
      </c>
      <c r="L39" s="167"/>
      <c r="M39" s="218">
        <v>19</v>
      </c>
      <c r="N39" s="528">
        <v>0.9726999999999999</v>
      </c>
      <c r="O39" s="529">
        <v>1.0636000000000001</v>
      </c>
      <c r="P39" s="185"/>
      <c r="Q39" s="186"/>
      <c r="Z39" s="503"/>
      <c r="AA39" s="282" t="s">
        <v>44</v>
      </c>
      <c r="AB39" s="283">
        <v>1</v>
      </c>
      <c r="AC39" s="174"/>
      <c r="AD39" s="174"/>
      <c r="AE39" s="174"/>
      <c r="AF39" s="174"/>
      <c r="AJ39" s="289"/>
      <c r="AK39" s="176" t="s">
        <v>180</v>
      </c>
      <c r="AL39" s="177">
        <v>0.18</v>
      </c>
      <c r="AN39" s="269">
        <f t="shared" si="0"/>
        <v>47</v>
      </c>
      <c r="AO39" s="365">
        <v>1.5810000000000001E-2</v>
      </c>
      <c r="AP39" s="181"/>
      <c r="AQ39" s="269">
        <v>45</v>
      </c>
      <c r="AR39" s="369">
        <v>8.2621E-2</v>
      </c>
    </row>
    <row r="40" spans="1:44" ht="11" thickBot="1" x14ac:dyDescent="0.3">
      <c r="A40" s="749">
        <v>9408.85</v>
      </c>
      <c r="B40" s="749">
        <v>12495.45</v>
      </c>
      <c r="C40" s="752"/>
      <c r="D40" s="517">
        <v>8056.0562809799994</v>
      </c>
      <c r="E40" s="205">
        <f t="shared" si="14"/>
        <v>33</v>
      </c>
      <c r="F40" s="198">
        <f t="shared" si="10"/>
        <v>10067.469500000001</v>
      </c>
      <c r="G40" s="199">
        <f t="shared" si="11"/>
        <v>13370.131500000001</v>
      </c>
      <c r="H40" s="521">
        <f t="shared" si="7"/>
        <v>18304</v>
      </c>
      <c r="I40" s="493">
        <f t="shared" si="8"/>
        <v>24309</v>
      </c>
      <c r="J40" s="203">
        <f t="shared" si="13"/>
        <v>18304</v>
      </c>
      <c r="K40" s="204">
        <f t="shared" si="12"/>
        <v>24309</v>
      </c>
      <c r="L40" s="167"/>
      <c r="M40" s="216">
        <v>20</v>
      </c>
      <c r="N40" s="530">
        <v>0.9726999999999999</v>
      </c>
      <c r="O40" s="531">
        <v>1.0636000000000001</v>
      </c>
      <c r="P40" s="185"/>
      <c r="Q40" s="900" t="s">
        <v>162</v>
      </c>
      <c r="R40" s="900"/>
      <c r="S40" s="335"/>
      <c r="T40" s="817"/>
      <c r="U40" s="825"/>
      <c r="V40" s="335"/>
      <c r="W40" s="335"/>
      <c r="Z40" s="503"/>
      <c r="AA40" s="282" t="s">
        <v>45</v>
      </c>
      <c r="AB40" s="283">
        <v>1</v>
      </c>
      <c r="AC40" s="174"/>
      <c r="AD40" s="174"/>
      <c r="AE40" s="174"/>
      <c r="AF40" s="174"/>
      <c r="AG40" s="745"/>
      <c r="AH40" s="745"/>
      <c r="AI40" s="745"/>
      <c r="AJ40" s="286"/>
      <c r="AK40" s="179" t="s">
        <v>181</v>
      </c>
      <c r="AL40" s="180">
        <v>0.04</v>
      </c>
      <c r="AN40" s="251">
        <f t="shared" si="0"/>
        <v>48</v>
      </c>
      <c r="AO40" s="362">
        <v>1.7017000000000001E-2</v>
      </c>
      <c r="AP40" s="181"/>
      <c r="AQ40" s="251">
        <v>46</v>
      </c>
      <c r="AR40" s="368">
        <v>8.8957999999999995E-2</v>
      </c>
    </row>
    <row r="41" spans="1:44" x14ac:dyDescent="0.25">
      <c r="A41" s="749">
        <v>9702.5500000000011</v>
      </c>
      <c r="B41" s="749">
        <v>12783.1</v>
      </c>
      <c r="C41" s="752"/>
      <c r="D41" s="517">
        <v>8508.9649577700002</v>
      </c>
      <c r="E41" s="202">
        <f t="shared" si="14"/>
        <v>34</v>
      </c>
      <c r="F41" s="198">
        <f t="shared" si="10"/>
        <v>10381.728500000001</v>
      </c>
      <c r="G41" s="199">
        <f t="shared" si="11"/>
        <v>13677.917000000001</v>
      </c>
      <c r="H41" s="521">
        <f t="shared" si="7"/>
        <v>18876</v>
      </c>
      <c r="I41" s="493">
        <f t="shared" si="8"/>
        <v>24869</v>
      </c>
      <c r="J41" s="200">
        <f t="shared" si="13"/>
        <v>18876</v>
      </c>
      <c r="K41" s="201">
        <f t="shared" si="12"/>
        <v>24869</v>
      </c>
      <c r="L41" s="167"/>
      <c r="M41" s="218">
        <v>21</v>
      </c>
      <c r="N41" s="528">
        <v>1.0108999999999999</v>
      </c>
      <c r="O41" s="529">
        <v>1.2091000000000003</v>
      </c>
      <c r="P41" s="185"/>
      <c r="Q41" s="270" t="s">
        <v>35</v>
      </c>
      <c r="R41" s="249" t="s">
        <v>54</v>
      </c>
      <c r="S41" s="503"/>
      <c r="T41" s="503"/>
      <c r="U41" s="503"/>
      <c r="V41" s="503"/>
      <c r="W41" s="503"/>
      <c r="Z41" s="503"/>
      <c r="AA41" s="282" t="s">
        <v>46</v>
      </c>
      <c r="AB41" s="283">
        <v>1</v>
      </c>
      <c r="AC41" s="174"/>
      <c r="AD41" s="174"/>
      <c r="AE41" s="174"/>
      <c r="AF41" s="174"/>
      <c r="AK41" s="182" t="s">
        <v>182</v>
      </c>
      <c r="AL41" s="183">
        <v>0.06</v>
      </c>
      <c r="AN41" s="269">
        <f t="shared" si="0"/>
        <v>49</v>
      </c>
      <c r="AO41" s="365">
        <v>1.8328000000000001E-2</v>
      </c>
      <c r="AP41" s="181"/>
      <c r="AQ41" s="269">
        <v>47</v>
      </c>
      <c r="AR41" s="369">
        <v>9.5769999999999994E-2</v>
      </c>
    </row>
    <row r="42" spans="1:44" ht="11" thickBot="1" x14ac:dyDescent="0.3">
      <c r="A42" s="749">
        <v>9996.25</v>
      </c>
      <c r="B42" s="749">
        <v>13071.300000000001</v>
      </c>
      <c r="C42" s="752"/>
      <c r="D42" s="517">
        <v>8961.8736345600009</v>
      </c>
      <c r="E42" s="205">
        <f t="shared" si="14"/>
        <v>35</v>
      </c>
      <c r="F42" s="198">
        <f t="shared" si="10"/>
        <v>10695.987500000001</v>
      </c>
      <c r="G42" s="199">
        <f t="shared" si="11"/>
        <v>13986.291000000001</v>
      </c>
      <c r="H42" s="521">
        <f t="shared" si="7"/>
        <v>19447</v>
      </c>
      <c r="I42" s="493">
        <f t="shared" si="8"/>
        <v>25430</v>
      </c>
      <c r="J42" s="203">
        <f t="shared" si="13"/>
        <v>19447</v>
      </c>
      <c r="K42" s="204">
        <f t="shared" si="12"/>
        <v>25430</v>
      </c>
      <c r="L42" s="167"/>
      <c r="M42" s="216">
        <v>22</v>
      </c>
      <c r="N42" s="530">
        <v>1.0491000000000001</v>
      </c>
      <c r="O42" s="531">
        <v>1.3528000000000002</v>
      </c>
      <c r="P42" s="185"/>
      <c r="Q42" s="250" t="s">
        <v>33</v>
      </c>
      <c r="R42" s="251">
        <v>4</v>
      </c>
      <c r="S42" s="503"/>
      <c r="T42" s="503"/>
      <c r="U42" s="503"/>
      <c r="V42" s="503"/>
      <c r="W42" s="503"/>
      <c r="Z42" s="503"/>
      <c r="AA42" s="284" t="s">
        <v>47</v>
      </c>
      <c r="AB42" s="285">
        <v>1</v>
      </c>
      <c r="AC42" s="174"/>
      <c r="AD42" s="174"/>
      <c r="AE42" s="174"/>
      <c r="AF42" s="174"/>
      <c r="AN42" s="251">
        <f t="shared" si="0"/>
        <v>50</v>
      </c>
      <c r="AO42" s="362">
        <v>1.9723999999999998E-2</v>
      </c>
      <c r="AP42" s="181"/>
      <c r="AQ42" s="251">
        <v>48</v>
      </c>
      <c r="AR42" s="368">
        <v>0.10309699999999999</v>
      </c>
    </row>
    <row r="43" spans="1:44" ht="11" thickBot="1" x14ac:dyDescent="0.3">
      <c r="A43" s="749">
        <v>10340.550000000001</v>
      </c>
      <c r="B43" s="749">
        <v>13321.550000000001</v>
      </c>
      <c r="C43" s="752"/>
      <c r="D43" s="517">
        <v>9467.686395671999</v>
      </c>
      <c r="E43" s="202">
        <f t="shared" si="14"/>
        <v>36</v>
      </c>
      <c r="F43" s="198">
        <f t="shared" si="10"/>
        <v>11064.388500000001</v>
      </c>
      <c r="G43" s="199">
        <f t="shared" si="11"/>
        <v>14254.058500000003</v>
      </c>
      <c r="H43" s="521">
        <f t="shared" si="7"/>
        <v>20117</v>
      </c>
      <c r="I43" s="493">
        <f t="shared" si="8"/>
        <v>25916</v>
      </c>
      <c r="J43" s="200">
        <f t="shared" si="13"/>
        <v>20117</v>
      </c>
      <c r="K43" s="201">
        <f t="shared" si="12"/>
        <v>25916</v>
      </c>
      <c r="L43" s="167"/>
      <c r="M43" s="218">
        <v>23</v>
      </c>
      <c r="N43" s="528">
        <v>1.0819000000000001</v>
      </c>
      <c r="O43" s="529">
        <v>1.4818</v>
      </c>
      <c r="P43" s="185"/>
      <c r="Q43" s="268" t="s">
        <v>3</v>
      </c>
      <c r="R43" s="269">
        <v>2</v>
      </c>
      <c r="S43" s="503"/>
      <c r="T43" s="503"/>
      <c r="U43" s="503"/>
      <c r="V43" s="503"/>
      <c r="W43" s="503"/>
      <c r="Z43" s="503"/>
      <c r="AA43" s="899" t="s">
        <v>50</v>
      </c>
      <c r="AB43" s="899"/>
      <c r="AC43" s="174"/>
      <c r="AD43" s="174"/>
      <c r="AE43" s="174"/>
      <c r="AF43" s="174"/>
      <c r="AN43" s="269">
        <f t="shared" si="0"/>
        <v>51</v>
      </c>
      <c r="AO43" s="365">
        <v>2.1240999999999999E-2</v>
      </c>
      <c r="AP43" s="181"/>
      <c r="AQ43" s="269">
        <v>49</v>
      </c>
      <c r="AR43" s="369">
        <v>0.110985</v>
      </c>
    </row>
    <row r="44" spans="1:44" ht="11" thickBot="1" x14ac:dyDescent="0.3">
      <c r="A44" s="749">
        <v>10684.300000000001</v>
      </c>
      <c r="B44" s="749">
        <v>13571.250000000002</v>
      </c>
      <c r="C44" s="752"/>
      <c r="D44" s="517">
        <v>9973.499156783997</v>
      </c>
      <c r="E44" s="205">
        <f t="shared" si="14"/>
        <v>37</v>
      </c>
      <c r="F44" s="198">
        <f t="shared" si="10"/>
        <v>11432.201000000001</v>
      </c>
      <c r="G44" s="199">
        <f t="shared" si="11"/>
        <v>14521.237500000003</v>
      </c>
      <c r="H44" s="521">
        <f t="shared" si="7"/>
        <v>20786</v>
      </c>
      <c r="I44" s="493">
        <f t="shared" si="8"/>
        <v>26402</v>
      </c>
      <c r="J44" s="203">
        <f t="shared" si="13"/>
        <v>20786</v>
      </c>
      <c r="K44" s="204">
        <f t="shared" si="12"/>
        <v>26402</v>
      </c>
      <c r="L44" s="167"/>
      <c r="M44" s="216">
        <v>24</v>
      </c>
      <c r="N44" s="530">
        <v>1.1200000000000001</v>
      </c>
      <c r="O44" s="531">
        <v>1.6091</v>
      </c>
      <c r="P44" s="185"/>
      <c r="Q44" s="250" t="s">
        <v>4</v>
      </c>
      <c r="R44" s="251">
        <v>2</v>
      </c>
      <c r="S44" s="503"/>
      <c r="T44" s="503"/>
      <c r="U44" s="503"/>
      <c r="V44" s="503"/>
      <c r="W44" s="503"/>
      <c r="Z44" s="503"/>
      <c r="AA44" s="164" t="s">
        <v>48</v>
      </c>
      <c r="AB44" s="312" t="s">
        <v>39</v>
      </c>
      <c r="AC44" s="174"/>
      <c r="AD44" s="174"/>
      <c r="AE44" s="174"/>
      <c r="AF44" s="174"/>
      <c r="AK44" s="900" t="s">
        <v>233</v>
      </c>
      <c r="AL44" s="900"/>
      <c r="AN44" s="251">
        <f t="shared" si="0"/>
        <v>52</v>
      </c>
      <c r="AO44" s="362">
        <v>2.2862E-2</v>
      </c>
      <c r="AP44" s="181"/>
      <c r="AQ44" s="251">
        <v>50</v>
      </c>
      <c r="AR44" s="368">
        <v>0.119465</v>
      </c>
    </row>
    <row r="45" spans="1:44" ht="11" thickBot="1" x14ac:dyDescent="0.3">
      <c r="A45" s="749">
        <v>11029.150000000001</v>
      </c>
      <c r="B45" s="749">
        <v>13822.6</v>
      </c>
      <c r="C45" s="752"/>
      <c r="D45" s="517">
        <v>10479.311917895995</v>
      </c>
      <c r="E45" s="202">
        <f t="shared" si="14"/>
        <v>38</v>
      </c>
      <c r="F45" s="198">
        <f t="shared" si="10"/>
        <v>11801.190500000002</v>
      </c>
      <c r="G45" s="199">
        <f t="shared" si="11"/>
        <v>14790.182000000001</v>
      </c>
      <c r="H45" s="521">
        <f t="shared" si="7"/>
        <v>21457</v>
      </c>
      <c r="I45" s="493">
        <f t="shared" si="8"/>
        <v>26891</v>
      </c>
      <c r="J45" s="200">
        <f t="shared" si="13"/>
        <v>21457</v>
      </c>
      <c r="K45" s="201">
        <f t="shared" si="12"/>
        <v>26891</v>
      </c>
      <c r="L45" s="167"/>
      <c r="M45" s="218">
        <v>25</v>
      </c>
      <c r="N45" s="528">
        <v>1.1581999999999999</v>
      </c>
      <c r="O45" s="529">
        <v>1.7363999999999999</v>
      </c>
      <c r="P45" s="185"/>
      <c r="Q45" s="268" t="s">
        <v>5</v>
      </c>
      <c r="R45" s="269">
        <v>3</v>
      </c>
      <c r="S45" s="503"/>
      <c r="T45" s="503"/>
      <c r="U45" s="503"/>
      <c r="V45" s="503"/>
      <c r="W45" s="503"/>
      <c r="Z45" s="503"/>
      <c r="AA45" s="271" t="s">
        <v>55</v>
      </c>
      <c r="AB45" s="311" t="e">
        <f>VLOOKUP(Cotizador!T24,$AA$46:$AB$59,2,0)</f>
        <v>#N/A</v>
      </c>
      <c r="AC45" s="174"/>
      <c r="AD45" s="174"/>
      <c r="AE45" s="174"/>
      <c r="AF45" s="174"/>
      <c r="AK45" s="382">
        <v>2008</v>
      </c>
      <c r="AL45" s="383">
        <v>0.1148</v>
      </c>
      <c r="AN45" s="269">
        <f t="shared" si="0"/>
        <v>53</v>
      </c>
      <c r="AO45" s="365">
        <v>2.4621000000000001E-2</v>
      </c>
      <c r="AP45" s="181"/>
      <c r="AQ45" s="269">
        <v>51</v>
      </c>
      <c r="AR45" s="369">
        <v>0.12859000000000001</v>
      </c>
    </row>
    <row r="46" spans="1:44" ht="11" thickBot="1" x14ac:dyDescent="0.3">
      <c r="A46" s="749">
        <v>11373.45</v>
      </c>
      <c r="B46" s="749">
        <v>14072.300000000001</v>
      </c>
      <c r="C46" s="752"/>
      <c r="D46" s="517">
        <v>10985.124679007993</v>
      </c>
      <c r="E46" s="205">
        <f t="shared" si="14"/>
        <v>39</v>
      </c>
      <c r="F46" s="198">
        <f t="shared" si="10"/>
        <v>12169.591500000002</v>
      </c>
      <c r="G46" s="199">
        <f t="shared" si="11"/>
        <v>15057.361000000003</v>
      </c>
      <c r="H46" s="521">
        <f t="shared" si="7"/>
        <v>22127</v>
      </c>
      <c r="I46" s="493">
        <f t="shared" si="8"/>
        <v>27377</v>
      </c>
      <c r="J46" s="203">
        <f t="shared" si="13"/>
        <v>22127</v>
      </c>
      <c r="K46" s="204">
        <f t="shared" si="12"/>
        <v>27377</v>
      </c>
      <c r="L46" s="167"/>
      <c r="M46" s="216">
        <v>26</v>
      </c>
      <c r="N46" s="530">
        <v>1.1946000000000001</v>
      </c>
      <c r="O46" s="531">
        <v>1.8654999999999999</v>
      </c>
      <c r="P46" s="185"/>
      <c r="Q46" s="250" t="s">
        <v>6</v>
      </c>
      <c r="R46" s="251">
        <v>2</v>
      </c>
      <c r="S46" s="503"/>
      <c r="T46" s="503"/>
      <c r="U46" s="503"/>
      <c r="V46" s="503"/>
      <c r="W46" s="503"/>
      <c r="Z46" s="503"/>
      <c r="AA46" s="313">
        <v>500000</v>
      </c>
      <c r="AB46" s="314">
        <v>0.80700000000000005</v>
      </c>
      <c r="AC46" s="174"/>
      <c r="AD46" s="174"/>
      <c r="AE46" s="174"/>
      <c r="AF46" s="174"/>
      <c r="AK46" s="384">
        <v>2009</v>
      </c>
      <c r="AL46" s="385">
        <v>9.7099999999999964E-2</v>
      </c>
      <c r="AN46" s="251">
        <f>AN45+1</f>
        <v>54</v>
      </c>
      <c r="AO46" s="362">
        <v>2.6499999999999999E-2</v>
      </c>
      <c r="AP46" s="181"/>
      <c r="AQ46" s="251">
        <v>52</v>
      </c>
      <c r="AR46" s="368">
        <v>0.13841100000000001</v>
      </c>
    </row>
    <row r="47" spans="1:44" x14ac:dyDescent="0.25">
      <c r="A47" s="749">
        <v>11717.750000000002</v>
      </c>
      <c r="B47" s="749">
        <v>14322.550000000001</v>
      </c>
      <c r="C47" s="752"/>
      <c r="D47" s="517">
        <v>11490.937440119993</v>
      </c>
      <c r="E47" s="202">
        <f t="shared" si="14"/>
        <v>40</v>
      </c>
      <c r="F47" s="198">
        <f t="shared" si="10"/>
        <v>12537.992500000002</v>
      </c>
      <c r="G47" s="199">
        <f t="shared" si="11"/>
        <v>15325.128500000003</v>
      </c>
      <c r="H47" s="521">
        <f t="shared" si="7"/>
        <v>22796</v>
      </c>
      <c r="I47" s="493">
        <f t="shared" si="8"/>
        <v>27864</v>
      </c>
      <c r="J47" s="200">
        <f t="shared" si="13"/>
        <v>22796</v>
      </c>
      <c r="K47" s="201">
        <f t="shared" si="12"/>
        <v>27864</v>
      </c>
      <c r="L47" s="167"/>
      <c r="M47" s="218">
        <v>27</v>
      </c>
      <c r="N47" s="528">
        <v>1.2126999999999997</v>
      </c>
      <c r="O47" s="529">
        <v>1.9709000000000001</v>
      </c>
      <c r="P47" s="185"/>
      <c r="Q47" s="268" t="s">
        <v>7</v>
      </c>
      <c r="R47" s="269">
        <v>4</v>
      </c>
      <c r="S47" s="503"/>
      <c r="T47" s="503"/>
      <c r="U47" s="503"/>
      <c r="V47" s="503"/>
      <c r="W47" s="503"/>
      <c r="Z47" s="503"/>
      <c r="AA47" s="313">
        <v>1000000</v>
      </c>
      <c r="AB47" s="314">
        <v>0.88100000000000001</v>
      </c>
      <c r="AC47" s="174"/>
      <c r="AD47" s="174"/>
      <c r="AE47" s="174"/>
      <c r="AF47" s="174"/>
      <c r="AK47" s="384">
        <v>2010</v>
      </c>
      <c r="AL47" s="385">
        <v>0.1039000000000001</v>
      </c>
      <c r="AN47" s="269">
        <f t="shared" si="0"/>
        <v>55</v>
      </c>
      <c r="AO47" s="365">
        <v>2.8534E-2</v>
      </c>
      <c r="AP47" s="181"/>
      <c r="AQ47" s="269">
        <v>53</v>
      </c>
      <c r="AR47" s="369">
        <v>0.14896000000000001</v>
      </c>
    </row>
    <row r="48" spans="1:44" ht="11" thickBot="1" x14ac:dyDescent="0.3">
      <c r="A48" s="749">
        <v>12449.250000000002</v>
      </c>
      <c r="B48" s="749">
        <v>15230.6</v>
      </c>
      <c r="C48" s="752"/>
      <c r="D48" s="517">
        <v>12056.654970575986</v>
      </c>
      <c r="E48" s="205">
        <f t="shared" si="14"/>
        <v>41</v>
      </c>
      <c r="F48" s="198">
        <f t="shared" si="10"/>
        <v>13320.697500000002</v>
      </c>
      <c r="G48" s="199">
        <f t="shared" si="11"/>
        <v>16296.742000000002</v>
      </c>
      <c r="H48" s="521">
        <f t="shared" si="7"/>
        <v>24219</v>
      </c>
      <c r="I48" s="493">
        <f t="shared" si="8"/>
        <v>29630</v>
      </c>
      <c r="J48" s="203">
        <f t="shared" si="13"/>
        <v>24219</v>
      </c>
      <c r="K48" s="204">
        <f t="shared" si="12"/>
        <v>29630</v>
      </c>
      <c r="L48" s="167"/>
      <c r="M48" s="216">
        <v>28</v>
      </c>
      <c r="N48" s="530">
        <v>1.2491000000000001</v>
      </c>
      <c r="O48" s="531">
        <v>2.1</v>
      </c>
      <c r="P48" s="185"/>
      <c r="Q48" s="250" t="s">
        <v>8</v>
      </c>
      <c r="R48" s="251">
        <v>3</v>
      </c>
      <c r="S48" s="503"/>
      <c r="T48" s="503"/>
      <c r="U48" s="503"/>
      <c r="V48" s="503"/>
      <c r="W48" s="503"/>
      <c r="Z48" s="503"/>
      <c r="AA48" s="287">
        <v>1500000</v>
      </c>
      <c r="AB48" s="288">
        <v>0.92500000000000004</v>
      </c>
      <c r="AC48" s="174"/>
      <c r="AD48" s="174"/>
      <c r="AE48" s="174"/>
      <c r="AF48" s="174"/>
      <c r="AG48" s="286"/>
      <c r="AH48" s="286"/>
      <c r="AI48" s="286"/>
      <c r="AK48" s="386">
        <v>2011</v>
      </c>
      <c r="AL48" s="387">
        <v>0.11759999999999993</v>
      </c>
      <c r="AN48" s="251">
        <f t="shared" si="0"/>
        <v>56</v>
      </c>
      <c r="AO48" s="362">
        <v>3.0707000000000002E-2</v>
      </c>
      <c r="AP48" s="181"/>
      <c r="AQ48" s="251">
        <v>54</v>
      </c>
      <c r="AR48" s="368">
        <v>0.160306</v>
      </c>
    </row>
    <row r="49" spans="1:44" x14ac:dyDescent="0.25">
      <c r="A49" s="749">
        <v>13180.2</v>
      </c>
      <c r="B49" s="749">
        <v>16139.750000000002</v>
      </c>
      <c r="C49" s="752"/>
      <c r="D49" s="517">
        <v>12622.372501031979</v>
      </c>
      <c r="E49" s="202">
        <f t="shared" si="14"/>
        <v>42</v>
      </c>
      <c r="F49" s="198">
        <f t="shared" si="10"/>
        <v>14102.814000000002</v>
      </c>
      <c r="G49" s="199">
        <f t="shared" si="11"/>
        <v>17269.532500000001</v>
      </c>
      <c r="H49" s="521">
        <f t="shared" si="7"/>
        <v>25641</v>
      </c>
      <c r="I49" s="493">
        <f t="shared" si="8"/>
        <v>31399</v>
      </c>
      <c r="J49" s="200">
        <f t="shared" si="13"/>
        <v>25641</v>
      </c>
      <c r="K49" s="201">
        <f t="shared" si="12"/>
        <v>31399</v>
      </c>
      <c r="L49" s="167"/>
      <c r="M49" s="221">
        <v>29</v>
      </c>
      <c r="N49" s="532">
        <v>1.2873000000000001</v>
      </c>
      <c r="O49" s="533">
        <v>2.2090999999999998</v>
      </c>
      <c r="P49" s="185"/>
      <c r="Q49" s="268" t="s">
        <v>9</v>
      </c>
      <c r="R49" s="269">
        <v>2</v>
      </c>
      <c r="S49" s="503"/>
      <c r="T49" s="503"/>
      <c r="U49" s="503"/>
      <c r="V49" s="503"/>
      <c r="W49" s="503"/>
      <c r="Z49" s="503"/>
      <c r="AA49" s="287">
        <v>2000000</v>
      </c>
      <c r="AB49" s="288">
        <v>0.95599999999999996</v>
      </c>
      <c r="AC49" s="174"/>
      <c r="AD49" s="174"/>
      <c r="AE49" s="174"/>
      <c r="AF49" s="174"/>
      <c r="AK49" s="253"/>
      <c r="AL49" s="253"/>
      <c r="AN49" s="269">
        <f t="shared" si="0"/>
        <v>57</v>
      </c>
      <c r="AO49" s="365">
        <v>3.3051999999999998E-2</v>
      </c>
      <c r="AP49" s="181"/>
      <c r="AQ49" s="269">
        <v>55</v>
      </c>
      <c r="AR49" s="369">
        <v>0.17250799999999999</v>
      </c>
    </row>
    <row r="50" spans="1:44" x14ac:dyDescent="0.25">
      <c r="A50" s="749">
        <v>13910.6</v>
      </c>
      <c r="B50" s="749">
        <v>17048.900000000001</v>
      </c>
      <c r="C50" s="752"/>
      <c r="D50" s="517">
        <v>13188.090031487975</v>
      </c>
      <c r="E50" s="205">
        <f t="shared" si="14"/>
        <v>43</v>
      </c>
      <c r="F50" s="198">
        <f t="shared" si="10"/>
        <v>14884.342000000001</v>
      </c>
      <c r="G50" s="199">
        <f t="shared" si="11"/>
        <v>18242.323000000004</v>
      </c>
      <c r="H50" s="521">
        <f t="shared" si="7"/>
        <v>27062</v>
      </c>
      <c r="I50" s="493">
        <f t="shared" si="8"/>
        <v>33168</v>
      </c>
      <c r="J50" s="203">
        <f t="shared" si="13"/>
        <v>27062</v>
      </c>
      <c r="K50" s="204">
        <f t="shared" si="12"/>
        <v>33168</v>
      </c>
      <c r="L50" s="167"/>
      <c r="M50" s="216">
        <v>30</v>
      </c>
      <c r="N50" s="530">
        <v>1.4673000000000003</v>
      </c>
      <c r="O50" s="531">
        <v>2.4272</v>
      </c>
      <c r="P50" s="185"/>
      <c r="Q50" s="250" t="s">
        <v>289</v>
      </c>
      <c r="R50" s="251">
        <v>3</v>
      </c>
      <c r="S50" s="503"/>
      <c r="T50" s="503"/>
      <c r="U50" s="503"/>
      <c r="V50" s="503"/>
      <c r="W50" s="503"/>
      <c r="Z50" s="503"/>
      <c r="AA50" s="287">
        <v>3000000</v>
      </c>
      <c r="AB50" s="288">
        <v>1</v>
      </c>
      <c r="AK50" s="187"/>
      <c r="AL50" s="188"/>
      <c r="AN50" s="251">
        <f t="shared" si="0"/>
        <v>58</v>
      </c>
      <c r="AO50" s="362">
        <v>3.5569000000000003E-2</v>
      </c>
      <c r="AP50" s="181"/>
      <c r="AQ50" s="251">
        <v>56</v>
      </c>
      <c r="AR50" s="368">
        <v>0.18562400000000001</v>
      </c>
    </row>
    <row r="51" spans="1:44" x14ac:dyDescent="0.25">
      <c r="A51" s="749">
        <v>14641.550000000001</v>
      </c>
      <c r="B51" s="749">
        <v>17958.050000000003</v>
      </c>
      <c r="C51" s="752"/>
      <c r="D51" s="517">
        <v>13753.80756194397</v>
      </c>
      <c r="E51" s="202">
        <f t="shared" si="14"/>
        <v>44</v>
      </c>
      <c r="F51" s="198">
        <f t="shared" si="10"/>
        <v>15666.458500000002</v>
      </c>
      <c r="G51" s="199">
        <f t="shared" si="11"/>
        <v>19215.113500000003</v>
      </c>
      <c r="H51" s="521">
        <f t="shared" si="7"/>
        <v>28484</v>
      </c>
      <c r="I51" s="493">
        <f t="shared" si="8"/>
        <v>34937</v>
      </c>
      <c r="J51" s="200">
        <f t="shared" si="13"/>
        <v>28484</v>
      </c>
      <c r="K51" s="201">
        <f t="shared" si="12"/>
        <v>34937</v>
      </c>
      <c r="L51" s="167"/>
      <c r="M51" s="218">
        <v>31</v>
      </c>
      <c r="N51" s="528">
        <v>1.7036000000000002</v>
      </c>
      <c r="O51" s="529">
        <v>2.6781999999999999</v>
      </c>
      <c r="P51" s="185"/>
      <c r="Q51" s="268" t="s">
        <v>34</v>
      </c>
      <c r="R51" s="269">
        <v>4</v>
      </c>
      <c r="S51" s="503"/>
      <c r="T51" s="503"/>
      <c r="U51" s="503"/>
      <c r="V51" s="503"/>
      <c r="W51" s="503"/>
      <c r="Z51" s="503"/>
      <c r="AA51" s="287">
        <v>5000000</v>
      </c>
      <c r="AB51" s="288">
        <v>1.0549999999999999</v>
      </c>
      <c r="AK51" s="388" t="s">
        <v>244</v>
      </c>
      <c r="AL51" s="389"/>
      <c r="AN51" s="269">
        <f t="shared" si="0"/>
        <v>59</v>
      </c>
      <c r="AO51" s="365">
        <v>3.8293000000000001E-2</v>
      </c>
      <c r="AP51" s="181"/>
      <c r="AQ51" s="269">
        <v>57</v>
      </c>
      <c r="AR51" s="369">
        <v>0.19972200000000001</v>
      </c>
    </row>
    <row r="52" spans="1:44" x14ac:dyDescent="0.25">
      <c r="A52" s="749">
        <v>15373.050000000001</v>
      </c>
      <c r="B52" s="749">
        <v>18866.100000000002</v>
      </c>
      <c r="C52" s="752"/>
      <c r="D52" s="517">
        <v>14319.525092399963</v>
      </c>
      <c r="E52" s="205">
        <f t="shared" si="14"/>
        <v>45</v>
      </c>
      <c r="F52" s="198">
        <f t="shared" si="10"/>
        <v>16449.163500000002</v>
      </c>
      <c r="G52" s="199">
        <f t="shared" si="11"/>
        <v>20186.727000000003</v>
      </c>
      <c r="H52" s="521">
        <f t="shared" si="7"/>
        <v>29908</v>
      </c>
      <c r="I52" s="493">
        <f t="shared" si="8"/>
        <v>36703</v>
      </c>
      <c r="J52" s="203">
        <f t="shared" si="13"/>
        <v>29908</v>
      </c>
      <c r="K52" s="204">
        <f t="shared" si="12"/>
        <v>36703</v>
      </c>
      <c r="L52" s="167"/>
      <c r="M52" s="216">
        <v>32</v>
      </c>
      <c r="N52" s="530">
        <v>1.9744999999999999</v>
      </c>
      <c r="O52" s="531">
        <v>2.9872999999999994</v>
      </c>
      <c r="P52" s="185"/>
      <c r="Q52" s="250" t="s">
        <v>10</v>
      </c>
      <c r="R52" s="251">
        <v>4</v>
      </c>
      <c r="S52" s="503"/>
      <c r="T52" s="503"/>
      <c r="U52" s="503"/>
      <c r="V52" s="503"/>
      <c r="W52" s="503"/>
      <c r="Z52" s="503"/>
      <c r="AA52" s="287">
        <v>10000000</v>
      </c>
      <c r="AB52" s="288">
        <v>1.1299999999999999</v>
      </c>
      <c r="AK52" s="388" t="s">
        <v>61</v>
      </c>
      <c r="AL52" s="390">
        <v>0</v>
      </c>
      <c r="AN52" s="251">
        <f t="shared" si="0"/>
        <v>60</v>
      </c>
      <c r="AO52" s="362">
        <v>4.1207000000000001E-2</v>
      </c>
      <c r="AP52" s="181"/>
      <c r="AQ52" s="251">
        <v>58</v>
      </c>
      <c r="AR52" s="368">
        <v>0.214869</v>
      </c>
    </row>
    <row r="53" spans="1:44" x14ac:dyDescent="0.25">
      <c r="A53" s="749">
        <v>16038.550000000001</v>
      </c>
      <c r="B53" s="749">
        <v>19768.650000000001</v>
      </c>
      <c r="C53" s="752"/>
      <c r="D53" s="517">
        <v>15024.62262373997</v>
      </c>
      <c r="E53" s="202">
        <f t="shared" si="14"/>
        <v>46</v>
      </c>
      <c r="F53" s="198">
        <f t="shared" si="10"/>
        <v>17161.248500000002</v>
      </c>
      <c r="G53" s="199">
        <f t="shared" si="11"/>
        <v>21152.455500000004</v>
      </c>
      <c r="H53" s="521">
        <f t="shared" si="7"/>
        <v>31202</v>
      </c>
      <c r="I53" s="493">
        <f t="shared" si="8"/>
        <v>38459</v>
      </c>
      <c r="J53" s="200">
        <f t="shared" si="13"/>
        <v>31202</v>
      </c>
      <c r="K53" s="201">
        <f t="shared" si="12"/>
        <v>38459</v>
      </c>
      <c r="L53" s="167"/>
      <c r="M53" s="218">
        <v>33</v>
      </c>
      <c r="N53" s="528">
        <v>2.1726999999999999</v>
      </c>
      <c r="O53" s="529">
        <v>3.3491</v>
      </c>
      <c r="P53" s="185"/>
      <c r="Q53" s="268" t="s">
        <v>11</v>
      </c>
      <c r="R53" s="269">
        <v>4</v>
      </c>
      <c r="S53" s="503"/>
      <c r="T53" s="503"/>
      <c r="U53" s="503"/>
      <c r="V53" s="503"/>
      <c r="W53" s="503"/>
      <c r="Z53" s="503"/>
      <c r="AA53" s="287">
        <v>20000000</v>
      </c>
      <c r="AB53" s="288">
        <v>1.2050000000000001</v>
      </c>
      <c r="AK53" s="388" t="s">
        <v>59</v>
      </c>
      <c r="AL53" s="391">
        <v>0</v>
      </c>
      <c r="AN53" s="269">
        <f t="shared" si="0"/>
        <v>61</v>
      </c>
      <c r="AO53" s="365">
        <v>4.4345000000000002E-2</v>
      </c>
      <c r="AP53" s="181"/>
      <c r="AQ53" s="269">
        <v>59</v>
      </c>
      <c r="AR53" s="369">
        <v>0.23114699999999999</v>
      </c>
    </row>
    <row r="54" spans="1:44" x14ac:dyDescent="0.25">
      <c r="A54" s="749">
        <v>16705.150000000001</v>
      </c>
      <c r="B54" s="749">
        <v>20670.650000000001</v>
      </c>
      <c r="C54" s="752"/>
      <c r="D54" s="517">
        <v>15729.720155079976</v>
      </c>
      <c r="E54" s="205">
        <f t="shared" si="14"/>
        <v>47</v>
      </c>
      <c r="F54" s="198">
        <f t="shared" si="10"/>
        <v>17874.510500000004</v>
      </c>
      <c r="G54" s="199">
        <f t="shared" si="11"/>
        <v>22117.595500000003</v>
      </c>
      <c r="H54" s="521">
        <f t="shared" si="7"/>
        <v>32499</v>
      </c>
      <c r="I54" s="493">
        <f t="shared" si="8"/>
        <v>40214</v>
      </c>
      <c r="J54" s="203">
        <f t="shared" si="13"/>
        <v>32499</v>
      </c>
      <c r="K54" s="204">
        <f t="shared" si="12"/>
        <v>40214</v>
      </c>
      <c r="L54" s="167"/>
      <c r="M54" s="216">
        <v>34</v>
      </c>
      <c r="N54" s="530">
        <v>2.4272</v>
      </c>
      <c r="O54" s="531">
        <v>3.5691000000000002</v>
      </c>
      <c r="P54" s="185"/>
      <c r="Q54" s="250" t="s">
        <v>12</v>
      </c>
      <c r="R54" s="251">
        <v>4</v>
      </c>
      <c r="S54" s="503"/>
      <c r="T54" s="503"/>
      <c r="U54" s="503"/>
      <c r="V54" s="503"/>
      <c r="W54" s="503"/>
      <c r="Z54" s="503"/>
      <c r="AA54" s="287">
        <v>30000000</v>
      </c>
      <c r="AB54" s="288">
        <v>1.248</v>
      </c>
      <c r="AK54" s="388" t="s">
        <v>58</v>
      </c>
      <c r="AL54" s="391">
        <v>0</v>
      </c>
      <c r="AN54" s="251">
        <f t="shared" si="0"/>
        <v>62</v>
      </c>
      <c r="AO54" s="362">
        <v>4.7706999999999999E-2</v>
      </c>
      <c r="AP54" s="181"/>
      <c r="AQ54" s="251">
        <v>60</v>
      </c>
      <c r="AR54" s="368">
        <v>0.24863299999999999</v>
      </c>
    </row>
    <row r="55" spans="1:44" ht="11" thickBot="1" x14ac:dyDescent="0.3">
      <c r="A55" s="749">
        <v>17370.650000000001</v>
      </c>
      <c r="B55" s="749">
        <v>21573.75</v>
      </c>
      <c r="C55" s="752"/>
      <c r="D55" s="517">
        <v>16434.817686419985</v>
      </c>
      <c r="E55" s="202">
        <f t="shared" si="14"/>
        <v>48</v>
      </c>
      <c r="F55" s="198">
        <f t="shared" si="10"/>
        <v>18586.595500000003</v>
      </c>
      <c r="G55" s="199">
        <f t="shared" si="11"/>
        <v>23083.912500000002</v>
      </c>
      <c r="H55" s="521">
        <f t="shared" si="7"/>
        <v>33794</v>
      </c>
      <c r="I55" s="493">
        <f t="shared" si="8"/>
        <v>41971</v>
      </c>
      <c r="J55" s="200">
        <f t="shared" si="13"/>
        <v>33794</v>
      </c>
      <c r="K55" s="201">
        <f t="shared" si="12"/>
        <v>41971</v>
      </c>
      <c r="L55" s="167"/>
      <c r="M55" s="218">
        <v>35</v>
      </c>
      <c r="N55" s="528">
        <v>2.7526999999999995</v>
      </c>
      <c r="O55" s="529">
        <v>3.8036000000000003</v>
      </c>
      <c r="P55" s="185"/>
      <c r="Q55" s="268" t="s">
        <v>13</v>
      </c>
      <c r="R55" s="269">
        <v>4</v>
      </c>
      <c r="S55" s="503"/>
      <c r="T55" s="503"/>
      <c r="U55" s="503"/>
      <c r="V55" s="503"/>
      <c r="W55" s="503"/>
      <c r="Z55" s="503"/>
      <c r="AA55" s="290">
        <v>35000000</v>
      </c>
      <c r="AB55" s="294">
        <v>1.2649999999999999</v>
      </c>
      <c r="AK55" s="388" t="s">
        <v>57</v>
      </c>
      <c r="AL55" s="391">
        <v>0</v>
      </c>
      <c r="AN55" s="269">
        <f t="shared" si="0"/>
        <v>63</v>
      </c>
      <c r="AO55" s="365">
        <v>5.1327999999999999E-2</v>
      </c>
      <c r="AP55" s="181"/>
      <c r="AQ55" s="269">
        <v>61</v>
      </c>
      <c r="AR55" s="369">
        <v>0.25790099999999999</v>
      </c>
    </row>
    <row r="56" spans="1:44" ht="11" thickBot="1" x14ac:dyDescent="0.3">
      <c r="A56" s="749">
        <v>18037.25</v>
      </c>
      <c r="B56" s="749">
        <v>22476.850000000002</v>
      </c>
      <c r="C56" s="752"/>
      <c r="D56" s="517">
        <v>17139.91521775999</v>
      </c>
      <c r="E56" s="205">
        <f t="shared" si="14"/>
        <v>49</v>
      </c>
      <c r="F56" s="198">
        <f t="shared" si="10"/>
        <v>19299.857500000002</v>
      </c>
      <c r="G56" s="199">
        <f t="shared" si="11"/>
        <v>24050.229500000005</v>
      </c>
      <c r="H56" s="521">
        <f t="shared" si="7"/>
        <v>35091</v>
      </c>
      <c r="I56" s="493">
        <f t="shared" si="8"/>
        <v>43728</v>
      </c>
      <c r="J56" s="203">
        <f t="shared" si="13"/>
        <v>35091</v>
      </c>
      <c r="K56" s="204">
        <f t="shared" si="12"/>
        <v>43728</v>
      </c>
      <c r="L56" s="167"/>
      <c r="M56" s="216">
        <v>36</v>
      </c>
      <c r="N56" s="530">
        <v>3.1126999999999998</v>
      </c>
      <c r="O56" s="531">
        <v>4.0217999999999998</v>
      </c>
      <c r="P56" s="185"/>
      <c r="Q56" s="250" t="s">
        <v>14</v>
      </c>
      <c r="R56" s="251">
        <v>3</v>
      </c>
      <c r="S56" s="503"/>
      <c r="T56" s="503"/>
      <c r="U56" s="503"/>
      <c r="V56" s="503"/>
      <c r="W56" s="503"/>
      <c r="Z56" s="503"/>
      <c r="AA56" s="290">
        <v>45000000</v>
      </c>
      <c r="AB56" s="294">
        <v>1.292</v>
      </c>
      <c r="AN56" s="251">
        <f t="shared" si="0"/>
        <v>64</v>
      </c>
      <c r="AO56" s="362">
        <v>5.5206999999999999E-2</v>
      </c>
      <c r="AP56" s="181"/>
      <c r="AQ56" s="251">
        <v>62</v>
      </c>
      <c r="AR56" s="368">
        <v>0.25730500000000001</v>
      </c>
    </row>
    <row r="57" spans="1:44" ht="11" thickBot="1" x14ac:dyDescent="0.3">
      <c r="A57" s="749">
        <v>18702.75</v>
      </c>
      <c r="B57" s="749">
        <v>23378.850000000002</v>
      </c>
      <c r="C57" s="752"/>
      <c r="D57" s="517">
        <v>17845.012749099998</v>
      </c>
      <c r="E57" s="202">
        <f t="shared" si="14"/>
        <v>50</v>
      </c>
      <c r="F57" s="198">
        <f t="shared" si="10"/>
        <v>20011.942500000001</v>
      </c>
      <c r="G57" s="199">
        <f t="shared" si="11"/>
        <v>25015.369500000004</v>
      </c>
      <c r="H57" s="521">
        <f t="shared" si="7"/>
        <v>36385</v>
      </c>
      <c r="I57" s="493">
        <f t="shared" si="8"/>
        <v>45482</v>
      </c>
      <c r="J57" s="200">
        <f t="shared" si="13"/>
        <v>36385</v>
      </c>
      <c r="K57" s="201">
        <f t="shared" si="12"/>
        <v>45482</v>
      </c>
      <c r="L57" s="167"/>
      <c r="M57" s="218">
        <v>37</v>
      </c>
      <c r="N57" s="528">
        <v>3.3854000000000002</v>
      </c>
      <c r="O57" s="529">
        <v>4.22</v>
      </c>
      <c r="P57" s="185"/>
      <c r="Q57" s="268" t="s">
        <v>15</v>
      </c>
      <c r="R57" s="269">
        <v>4</v>
      </c>
      <c r="S57" s="503"/>
      <c r="T57" s="503"/>
      <c r="U57" s="503"/>
      <c r="V57" s="503"/>
      <c r="W57" s="503"/>
      <c r="Z57" s="503"/>
      <c r="AA57" s="500">
        <v>50000000</v>
      </c>
      <c r="AB57" s="501">
        <v>1.304</v>
      </c>
      <c r="AC57" s="348"/>
      <c r="AD57" s="348"/>
      <c r="AE57" s="348"/>
      <c r="AF57" s="348"/>
      <c r="AG57" s="348"/>
      <c r="AH57" s="348"/>
      <c r="AI57" s="348"/>
      <c r="AN57" s="269">
        <f>AN56+1</f>
        <v>65</v>
      </c>
      <c r="AO57" s="365">
        <v>5.9396999999999998E-2</v>
      </c>
      <c r="AP57" s="181"/>
      <c r="AQ57" s="269">
        <v>63</v>
      </c>
      <c r="AR57" s="369">
        <v>0.25601699999999999</v>
      </c>
    </row>
    <row r="58" spans="1:44" ht="11" thickBot="1" x14ac:dyDescent="0.3">
      <c r="A58" s="749">
        <v>20285.650000000001</v>
      </c>
      <c r="B58" s="749">
        <v>24617.45</v>
      </c>
      <c r="C58" s="752"/>
      <c r="D58" s="517">
        <v>18557.205326672</v>
      </c>
      <c r="E58" s="205">
        <f t="shared" si="14"/>
        <v>51</v>
      </c>
      <c r="F58" s="198">
        <f t="shared" si="10"/>
        <v>21705.645500000002</v>
      </c>
      <c r="G58" s="199">
        <f t="shared" si="11"/>
        <v>26340.671500000004</v>
      </c>
      <c r="H58" s="521">
        <f t="shared" si="7"/>
        <v>39465</v>
      </c>
      <c r="I58" s="493">
        <f t="shared" si="8"/>
        <v>47892</v>
      </c>
      <c r="J58" s="203">
        <f t="shared" si="13"/>
        <v>39465</v>
      </c>
      <c r="K58" s="204">
        <f t="shared" si="12"/>
        <v>47892</v>
      </c>
      <c r="L58" s="167"/>
      <c r="M58" s="216">
        <v>38</v>
      </c>
      <c r="N58" s="530">
        <v>3.6562999999999999</v>
      </c>
      <c r="O58" s="531">
        <v>4.4181999999999997</v>
      </c>
      <c r="P58" s="185"/>
      <c r="Q58" s="250" t="s">
        <v>16</v>
      </c>
      <c r="R58" s="251">
        <v>4</v>
      </c>
      <c r="S58" s="503"/>
      <c r="T58" s="503"/>
      <c r="U58" s="503"/>
      <c r="V58" s="503"/>
      <c r="W58" s="503"/>
      <c r="Z58" s="503"/>
      <c r="AA58" s="500">
        <v>75000000</v>
      </c>
      <c r="AB58" s="501">
        <v>1.347</v>
      </c>
      <c r="AC58" s="280" t="s">
        <v>303</v>
      </c>
      <c r="AD58" s="818"/>
      <c r="AE58" s="818"/>
      <c r="AF58" s="286"/>
      <c r="AG58" s="286"/>
      <c r="AH58" s="286"/>
      <c r="AI58" s="286"/>
      <c r="AN58" s="251">
        <f t="shared" si="0"/>
        <v>66</v>
      </c>
      <c r="AO58" s="362">
        <v>6.3879000000000005E-2</v>
      </c>
      <c r="AP58" s="181"/>
      <c r="AQ58" s="370">
        <v>64</v>
      </c>
      <c r="AR58" s="371">
        <v>0.25398100000000001</v>
      </c>
    </row>
    <row r="59" spans="1:44" ht="11" thickBot="1" x14ac:dyDescent="0.3">
      <c r="A59" s="749">
        <v>21868</v>
      </c>
      <c r="B59" s="749">
        <v>25856.050000000003</v>
      </c>
      <c r="C59" s="752"/>
      <c r="D59" s="517">
        <v>19269.397904244001</v>
      </c>
      <c r="E59" s="202">
        <f t="shared" si="14"/>
        <v>52</v>
      </c>
      <c r="F59" s="198">
        <f t="shared" si="10"/>
        <v>23398.760000000002</v>
      </c>
      <c r="G59" s="199">
        <f t="shared" si="11"/>
        <v>27665.973500000004</v>
      </c>
      <c r="H59" s="521">
        <f t="shared" si="7"/>
        <v>42543</v>
      </c>
      <c r="I59" s="493">
        <f t="shared" si="8"/>
        <v>50302</v>
      </c>
      <c r="J59" s="200">
        <f t="shared" si="13"/>
        <v>42543</v>
      </c>
      <c r="K59" s="201">
        <f t="shared" si="12"/>
        <v>50302</v>
      </c>
      <c r="L59" s="167"/>
      <c r="M59" s="218">
        <v>39</v>
      </c>
      <c r="N59" s="528">
        <v>3.9272</v>
      </c>
      <c r="O59" s="529">
        <v>4.6546000000000003</v>
      </c>
      <c r="P59" s="185"/>
      <c r="Q59" s="268" t="s">
        <v>17</v>
      </c>
      <c r="R59" s="269">
        <v>4</v>
      </c>
      <c r="S59" s="503"/>
      <c r="T59" s="503"/>
      <c r="U59" s="503"/>
      <c r="V59" s="503"/>
      <c r="W59" s="503"/>
      <c r="Z59" s="503"/>
      <c r="AA59" s="500">
        <v>100000000</v>
      </c>
      <c r="AB59" s="768">
        <v>1.37</v>
      </c>
      <c r="AC59" s="769">
        <v>1.4377</v>
      </c>
      <c r="AD59" s="819"/>
      <c r="AE59" s="819"/>
      <c r="AN59" s="269">
        <f t="shared" si="0"/>
        <v>67</v>
      </c>
      <c r="AO59" s="365">
        <v>6.8707000000000004E-2</v>
      </c>
      <c r="AP59" s="181"/>
      <c r="AQ59" s="269">
        <v>65</v>
      </c>
      <c r="AR59" s="369">
        <f>AR58</f>
        <v>0.25398100000000001</v>
      </c>
    </row>
    <row r="60" spans="1:44" x14ac:dyDescent="0.25">
      <c r="A60" s="749">
        <v>23449.800000000003</v>
      </c>
      <c r="B60" s="749">
        <v>27094.65</v>
      </c>
      <c r="C60" s="752"/>
      <c r="D60" s="517">
        <v>19981.590481816002</v>
      </c>
      <c r="E60" s="205">
        <f t="shared" si="14"/>
        <v>53</v>
      </c>
      <c r="F60" s="198">
        <f t="shared" si="10"/>
        <v>25091.286000000004</v>
      </c>
      <c r="G60" s="199">
        <f t="shared" si="11"/>
        <v>28991.275500000003</v>
      </c>
      <c r="H60" s="521">
        <f t="shared" si="7"/>
        <v>45621</v>
      </c>
      <c r="I60" s="493">
        <f t="shared" si="8"/>
        <v>52711</v>
      </c>
      <c r="J60" s="203">
        <f t="shared" si="13"/>
        <v>45621</v>
      </c>
      <c r="K60" s="204">
        <f t="shared" si="12"/>
        <v>52711</v>
      </c>
      <c r="L60" s="167"/>
      <c r="M60" s="216">
        <v>40</v>
      </c>
      <c r="N60" s="530">
        <v>4.6673</v>
      </c>
      <c r="O60" s="531">
        <v>5.0164</v>
      </c>
      <c r="P60" s="185"/>
      <c r="Q60" s="250" t="s">
        <v>18</v>
      </c>
      <c r="R60" s="251">
        <v>2</v>
      </c>
      <c r="S60" s="503"/>
      <c r="T60" s="503"/>
      <c r="U60" s="503"/>
      <c r="V60" s="503"/>
      <c r="W60" s="503"/>
      <c r="Z60" s="503"/>
      <c r="AA60" s="901" t="s">
        <v>240</v>
      </c>
      <c r="AB60" s="901"/>
      <c r="AN60" s="251">
        <f t="shared" si="0"/>
        <v>68</v>
      </c>
      <c r="AO60" s="362">
        <v>7.3879E-2</v>
      </c>
      <c r="AP60" s="181"/>
      <c r="AQ60" s="251">
        <v>66</v>
      </c>
      <c r="AR60" s="368">
        <f t="shared" ref="AR60:AR73" si="15">AR59</f>
        <v>0.25398100000000001</v>
      </c>
    </row>
    <row r="61" spans="1:44" x14ac:dyDescent="0.25">
      <c r="A61" s="749">
        <v>25032.15</v>
      </c>
      <c r="B61" s="749">
        <v>28333.250000000004</v>
      </c>
      <c r="C61" s="752"/>
      <c r="D61" s="517">
        <v>20693.783059388006</v>
      </c>
      <c r="E61" s="202">
        <f t="shared" si="14"/>
        <v>54</v>
      </c>
      <c r="F61" s="198">
        <f t="shared" si="10"/>
        <v>26784.400500000003</v>
      </c>
      <c r="G61" s="199">
        <f t="shared" si="11"/>
        <v>30316.577500000007</v>
      </c>
      <c r="H61" s="521">
        <f t="shared" si="7"/>
        <v>48699</v>
      </c>
      <c r="I61" s="493">
        <f t="shared" si="8"/>
        <v>55121</v>
      </c>
      <c r="J61" s="200">
        <f t="shared" si="13"/>
        <v>48699</v>
      </c>
      <c r="K61" s="201">
        <f t="shared" si="12"/>
        <v>55121</v>
      </c>
      <c r="L61" s="167"/>
      <c r="M61" s="218">
        <v>41</v>
      </c>
      <c r="N61" s="528">
        <v>5.5162999999999993</v>
      </c>
      <c r="O61" s="529">
        <v>5.7945000000000002</v>
      </c>
      <c r="P61" s="185"/>
      <c r="Q61" s="268" t="s">
        <v>19</v>
      </c>
      <c r="R61" s="269">
        <v>4</v>
      </c>
      <c r="S61" s="503"/>
      <c r="T61" s="503"/>
      <c r="U61" s="503"/>
      <c r="V61" s="503"/>
      <c r="W61" s="503"/>
      <c r="Z61" s="503"/>
      <c r="AA61" s="271" t="s">
        <v>145</v>
      </c>
      <c r="AB61" s="504" t="e">
        <f>AB62</f>
        <v>#N/A</v>
      </c>
      <c r="AN61" s="269">
        <f t="shared" si="0"/>
        <v>69</v>
      </c>
      <c r="AO61" s="365">
        <v>7.9431000000000002E-2</v>
      </c>
      <c r="AP61" s="181"/>
      <c r="AQ61" s="269">
        <v>67</v>
      </c>
      <c r="AR61" s="369">
        <f t="shared" si="15"/>
        <v>0.25398100000000001</v>
      </c>
    </row>
    <row r="62" spans="1:44" x14ac:dyDescent="0.25">
      <c r="A62" s="749">
        <v>26614.500000000004</v>
      </c>
      <c r="B62" s="749">
        <v>29571.850000000002</v>
      </c>
      <c r="C62" s="752"/>
      <c r="D62" s="517">
        <v>21405.975636960007</v>
      </c>
      <c r="E62" s="205">
        <f t="shared" si="14"/>
        <v>55</v>
      </c>
      <c r="F62" s="198">
        <f t="shared" si="10"/>
        <v>28477.515000000007</v>
      </c>
      <c r="G62" s="199">
        <f t="shared" si="11"/>
        <v>31641.879500000003</v>
      </c>
      <c r="H62" s="521">
        <f t="shared" si="7"/>
        <v>51777</v>
      </c>
      <c r="I62" s="493">
        <f t="shared" si="8"/>
        <v>57531</v>
      </c>
      <c r="J62" s="203">
        <f t="shared" si="13"/>
        <v>51777</v>
      </c>
      <c r="K62" s="204">
        <f t="shared" si="12"/>
        <v>57531</v>
      </c>
      <c r="L62" s="167"/>
      <c r="M62" s="216">
        <v>42</v>
      </c>
      <c r="N62" s="530">
        <v>6.3636999999999997</v>
      </c>
      <c r="O62" s="531">
        <v>6.5728</v>
      </c>
      <c r="P62" s="185"/>
      <c r="Q62" s="250" t="s">
        <v>20</v>
      </c>
      <c r="R62" s="251">
        <v>4</v>
      </c>
      <c r="S62" s="503"/>
      <c r="T62" s="503"/>
      <c r="U62" s="503"/>
      <c r="V62" s="503"/>
      <c r="W62" s="503"/>
      <c r="Z62" s="503"/>
      <c r="AA62" s="291" t="str">
        <f>Cotizador!T27</f>
        <v/>
      </c>
      <c r="AB62" s="286" t="e">
        <f>VLOOKUP(AA62,$AA$64:$AB$74,2,0)</f>
        <v>#N/A</v>
      </c>
      <c r="AN62" s="251">
        <f t="shared" si="0"/>
        <v>70</v>
      </c>
      <c r="AO62" s="362">
        <v>8.5378999999999997E-2</v>
      </c>
      <c r="AP62" s="181"/>
      <c r="AQ62" s="251">
        <v>68</v>
      </c>
      <c r="AR62" s="368">
        <f t="shared" si="15"/>
        <v>0.25398100000000001</v>
      </c>
    </row>
    <row r="63" spans="1:44" ht="11" thickBot="1" x14ac:dyDescent="0.3">
      <c r="A63" s="749">
        <v>28067.600000000002</v>
      </c>
      <c r="B63" s="749">
        <v>31076.100000000002</v>
      </c>
      <c r="C63" s="752"/>
      <c r="D63" s="517">
        <v>22345.76023198801</v>
      </c>
      <c r="E63" s="202">
        <f t="shared" si="14"/>
        <v>56</v>
      </c>
      <c r="F63" s="198">
        <f t="shared" si="10"/>
        <v>30032.332000000006</v>
      </c>
      <c r="G63" s="199">
        <f t="shared" si="11"/>
        <v>33251.427000000003</v>
      </c>
      <c r="H63" s="521">
        <f t="shared" si="7"/>
        <v>54604</v>
      </c>
      <c r="I63" s="493">
        <f t="shared" si="8"/>
        <v>60457</v>
      </c>
      <c r="J63" s="200">
        <f t="shared" si="13"/>
        <v>54604</v>
      </c>
      <c r="K63" s="201">
        <f t="shared" si="12"/>
        <v>60457</v>
      </c>
      <c r="L63" s="167"/>
      <c r="M63" s="218">
        <v>43</v>
      </c>
      <c r="N63" s="528">
        <v>7.2073</v>
      </c>
      <c r="O63" s="529">
        <v>7.1528</v>
      </c>
      <c r="P63" s="185"/>
      <c r="Q63" s="268" t="s">
        <v>21</v>
      </c>
      <c r="R63" s="269">
        <v>4</v>
      </c>
      <c r="S63" s="503"/>
      <c r="T63" s="503"/>
      <c r="U63" s="503"/>
      <c r="V63" s="503"/>
      <c r="W63" s="503"/>
      <c r="Z63" s="503"/>
      <c r="AA63" s="272" t="s">
        <v>170</v>
      </c>
      <c r="AB63" s="272" t="s">
        <v>56</v>
      </c>
      <c r="AN63" s="269">
        <f>AN62+1</f>
        <v>71</v>
      </c>
      <c r="AO63" s="365">
        <v>9.1775999999999996E-2</v>
      </c>
      <c r="AP63" s="181"/>
      <c r="AQ63" s="269">
        <v>69</v>
      </c>
      <c r="AR63" s="369">
        <f t="shared" si="15"/>
        <v>0.25398100000000001</v>
      </c>
    </row>
    <row r="64" spans="1:44" x14ac:dyDescent="0.25">
      <c r="A64" s="749">
        <v>29521.250000000004</v>
      </c>
      <c r="B64" s="749">
        <v>32582.000000000004</v>
      </c>
      <c r="C64" s="752"/>
      <c r="D64" s="517">
        <v>23285.544827016012</v>
      </c>
      <c r="E64" s="205">
        <f t="shared" si="14"/>
        <v>57</v>
      </c>
      <c r="F64" s="198">
        <f t="shared" si="10"/>
        <v>31587.737500000007</v>
      </c>
      <c r="G64" s="199">
        <f t="shared" si="11"/>
        <v>34862.740000000005</v>
      </c>
      <c r="H64" s="521">
        <f t="shared" si="7"/>
        <v>57432</v>
      </c>
      <c r="I64" s="493">
        <f t="shared" si="8"/>
        <v>63387</v>
      </c>
      <c r="J64" s="203">
        <f t="shared" si="13"/>
        <v>57432</v>
      </c>
      <c r="K64" s="204">
        <f t="shared" si="12"/>
        <v>63387</v>
      </c>
      <c r="L64" s="167"/>
      <c r="M64" s="216">
        <v>44</v>
      </c>
      <c r="N64" s="530">
        <v>8.0526999999999997</v>
      </c>
      <c r="O64" s="531">
        <v>7.7327999999999992</v>
      </c>
      <c r="P64" s="185"/>
      <c r="Q64" s="250" t="s">
        <v>22</v>
      </c>
      <c r="R64" s="251">
        <v>1</v>
      </c>
      <c r="S64" s="503"/>
      <c r="T64" s="503"/>
      <c r="U64" s="503"/>
      <c r="V64" s="503"/>
      <c r="W64" s="503"/>
      <c r="Z64" s="503"/>
      <c r="AA64" s="341">
        <v>30000</v>
      </c>
      <c r="AB64" s="306">
        <v>0.93200000000000005</v>
      </c>
      <c r="AC64" s="502"/>
      <c r="AD64" s="502"/>
      <c r="AE64" s="502"/>
      <c r="AF64" s="502"/>
      <c r="AG64" s="502"/>
      <c r="AH64" s="502"/>
      <c r="AI64" s="502"/>
      <c r="AN64" s="251">
        <f t="shared" si="0"/>
        <v>72</v>
      </c>
      <c r="AO64" s="362">
        <v>9.8638000000000003E-2</v>
      </c>
      <c r="AP64" s="181"/>
      <c r="AQ64" s="251">
        <v>70</v>
      </c>
      <c r="AR64" s="368">
        <f t="shared" si="15"/>
        <v>0.25398100000000001</v>
      </c>
    </row>
    <row r="65" spans="1:44" x14ac:dyDescent="0.25">
      <c r="A65" s="749">
        <v>30974.350000000002</v>
      </c>
      <c r="B65" s="749">
        <v>34086.25</v>
      </c>
      <c r="C65" s="752"/>
      <c r="D65" s="517">
        <v>24225.329422044015</v>
      </c>
      <c r="E65" s="202">
        <f t="shared" si="14"/>
        <v>58</v>
      </c>
      <c r="F65" s="198">
        <f t="shared" si="10"/>
        <v>33142.554500000006</v>
      </c>
      <c r="G65" s="199">
        <f t="shared" si="11"/>
        <v>36472.287499999999</v>
      </c>
      <c r="H65" s="521">
        <f t="shared" si="7"/>
        <v>60259</v>
      </c>
      <c r="I65" s="493">
        <f t="shared" si="8"/>
        <v>66313</v>
      </c>
      <c r="J65" s="200">
        <f t="shared" si="13"/>
        <v>60259</v>
      </c>
      <c r="K65" s="201">
        <f t="shared" si="12"/>
        <v>66313</v>
      </c>
      <c r="L65" s="167"/>
      <c r="M65" s="218">
        <v>45</v>
      </c>
      <c r="N65" s="528">
        <v>8.9</v>
      </c>
      <c r="O65" s="529">
        <v>8.26</v>
      </c>
      <c r="P65" s="185"/>
      <c r="Q65" s="268" t="s">
        <v>23</v>
      </c>
      <c r="R65" s="269">
        <v>4</v>
      </c>
      <c r="S65" s="503"/>
      <c r="T65" s="503"/>
      <c r="U65" s="503"/>
      <c r="V65" s="503"/>
      <c r="W65" s="503"/>
      <c r="Z65" s="503"/>
      <c r="AA65" s="342">
        <v>35000</v>
      </c>
      <c r="AB65" s="276">
        <v>0.95499999999999996</v>
      </c>
      <c r="AN65" s="269">
        <f t="shared" si="0"/>
        <v>73</v>
      </c>
      <c r="AO65" s="365">
        <v>0.10598299999999999</v>
      </c>
      <c r="AP65" s="181"/>
      <c r="AQ65" s="269">
        <v>71</v>
      </c>
      <c r="AR65" s="369">
        <f t="shared" si="15"/>
        <v>0.25398100000000001</v>
      </c>
    </row>
    <row r="66" spans="1:44" x14ac:dyDescent="0.25">
      <c r="A66" s="749">
        <v>32428.000000000004</v>
      </c>
      <c r="B66" s="749">
        <v>35591.050000000003</v>
      </c>
      <c r="C66" s="752"/>
      <c r="D66" s="517">
        <v>25165.114017072017</v>
      </c>
      <c r="E66" s="205">
        <f t="shared" si="14"/>
        <v>59</v>
      </c>
      <c r="F66" s="198">
        <f t="shared" si="10"/>
        <v>34697.960000000006</v>
      </c>
      <c r="G66" s="199">
        <f t="shared" si="11"/>
        <v>38082.423500000004</v>
      </c>
      <c r="H66" s="521">
        <f t="shared" si="7"/>
        <v>63087</v>
      </c>
      <c r="I66" s="493">
        <f t="shared" si="8"/>
        <v>69241</v>
      </c>
      <c r="J66" s="203">
        <f t="shared" si="13"/>
        <v>63087</v>
      </c>
      <c r="K66" s="204">
        <f t="shared" si="12"/>
        <v>69241</v>
      </c>
      <c r="L66" s="167"/>
      <c r="M66" s="216">
        <v>46</v>
      </c>
      <c r="N66" s="530">
        <v>9.7454999999999998</v>
      </c>
      <c r="O66" s="531">
        <v>8.7853999999999992</v>
      </c>
      <c r="P66" s="185"/>
      <c r="Q66" s="250" t="s">
        <v>24</v>
      </c>
      <c r="R66" s="251">
        <v>4</v>
      </c>
      <c r="S66" s="503"/>
      <c r="T66" s="503"/>
      <c r="U66" s="503"/>
      <c r="V66" s="503"/>
      <c r="W66" s="503"/>
      <c r="Z66" s="503"/>
      <c r="AA66" s="342">
        <v>40000</v>
      </c>
      <c r="AB66" s="276">
        <v>0.97699999999999998</v>
      </c>
      <c r="AN66" s="251">
        <f t="shared" si="0"/>
        <v>74</v>
      </c>
      <c r="AO66" s="362">
        <v>0.113845</v>
      </c>
      <c r="AP66" s="181"/>
      <c r="AQ66" s="251">
        <v>72</v>
      </c>
      <c r="AR66" s="368">
        <f t="shared" si="15"/>
        <v>0.25398100000000001</v>
      </c>
    </row>
    <row r="67" spans="1:44" x14ac:dyDescent="0.25">
      <c r="A67" s="749">
        <v>36942.950000000004</v>
      </c>
      <c r="B67" s="749">
        <v>40448.65</v>
      </c>
      <c r="C67" s="752"/>
      <c r="D67" s="517">
        <v>26104.89861210002</v>
      </c>
      <c r="E67" s="202">
        <f t="shared" si="14"/>
        <v>60</v>
      </c>
      <c r="F67" s="198">
        <f t="shared" si="10"/>
        <v>39528.956500000008</v>
      </c>
      <c r="G67" s="199">
        <f t="shared" si="11"/>
        <v>43280.055500000002</v>
      </c>
      <c r="H67" s="521">
        <f t="shared" si="7"/>
        <v>71871</v>
      </c>
      <c r="I67" s="493">
        <f t="shared" si="8"/>
        <v>78691</v>
      </c>
      <c r="J67" s="200">
        <f t="shared" si="13"/>
        <v>71871</v>
      </c>
      <c r="K67" s="201">
        <f t="shared" si="12"/>
        <v>78691</v>
      </c>
      <c r="L67" s="167"/>
      <c r="M67" s="218">
        <v>47</v>
      </c>
      <c r="N67" s="528">
        <v>10.5891</v>
      </c>
      <c r="O67" s="529">
        <v>9.2764000000000006</v>
      </c>
      <c r="P67" s="185"/>
      <c r="Q67" s="268" t="s">
        <v>25</v>
      </c>
      <c r="R67" s="269">
        <v>2</v>
      </c>
      <c r="S67" s="503"/>
      <c r="T67" s="503"/>
      <c r="U67" s="503"/>
      <c r="V67" s="503"/>
      <c r="W67" s="503"/>
      <c r="Z67" s="503"/>
      <c r="AA67" s="342">
        <v>45000</v>
      </c>
      <c r="AB67" s="276">
        <v>1</v>
      </c>
      <c r="AN67" s="269">
        <f t="shared" si="0"/>
        <v>75</v>
      </c>
      <c r="AO67" s="365">
        <v>0.122276</v>
      </c>
      <c r="AP67" s="181"/>
      <c r="AQ67" s="269">
        <v>73</v>
      </c>
      <c r="AR67" s="369">
        <f t="shared" si="15"/>
        <v>0.25398100000000001</v>
      </c>
    </row>
    <row r="68" spans="1:44" x14ac:dyDescent="0.25">
      <c r="A68" s="749">
        <v>39539.5</v>
      </c>
      <c r="B68" s="749">
        <v>42700.350000000006</v>
      </c>
      <c r="C68" s="752"/>
      <c r="D68" s="517">
        <v>28104.765974874023</v>
      </c>
      <c r="E68" s="205">
        <f t="shared" si="14"/>
        <v>61</v>
      </c>
      <c r="F68" s="198">
        <f t="shared" si="10"/>
        <v>42307.264999999999</v>
      </c>
      <c r="G68" s="199">
        <f t="shared" si="11"/>
        <v>45689.374500000005</v>
      </c>
      <c r="H68" s="521">
        <f t="shared" si="7"/>
        <v>76922</v>
      </c>
      <c r="I68" s="493">
        <f t="shared" si="8"/>
        <v>83072</v>
      </c>
      <c r="J68" s="203">
        <f t="shared" si="13"/>
        <v>76922</v>
      </c>
      <c r="K68" s="204">
        <f t="shared" si="12"/>
        <v>83072</v>
      </c>
      <c r="L68" s="167"/>
      <c r="M68" s="216">
        <v>48</v>
      </c>
      <c r="N68" s="530">
        <v>11.441800000000001</v>
      </c>
      <c r="O68" s="531">
        <v>9.7472999999999992</v>
      </c>
      <c r="P68" s="185"/>
      <c r="Q68" s="250" t="s">
        <v>26</v>
      </c>
      <c r="R68" s="251">
        <v>3</v>
      </c>
      <c r="S68" s="503"/>
      <c r="T68" s="503"/>
      <c r="U68" s="503"/>
      <c r="V68" s="503"/>
      <c r="W68" s="503"/>
      <c r="Z68" s="503"/>
      <c r="AA68" s="342">
        <v>50000</v>
      </c>
      <c r="AB68" s="276">
        <v>1.0229999999999999</v>
      </c>
      <c r="AN68" s="251">
        <f t="shared" si="0"/>
        <v>76</v>
      </c>
      <c r="AO68" s="362">
        <v>0.13131000000000001</v>
      </c>
      <c r="AP68" s="181"/>
      <c r="AQ68" s="251">
        <v>74</v>
      </c>
      <c r="AR68" s="368">
        <f t="shared" si="15"/>
        <v>0.25398100000000001</v>
      </c>
    </row>
    <row r="69" spans="1:44" ht="11" thickBot="1" x14ac:dyDescent="0.3">
      <c r="A69" s="749">
        <v>42134.950000000004</v>
      </c>
      <c r="B69" s="749">
        <v>44951.5</v>
      </c>
      <c r="C69" s="752"/>
      <c r="D69" s="517">
        <v>30104.633337648025</v>
      </c>
      <c r="E69" s="202">
        <f t="shared" si="14"/>
        <v>62</v>
      </c>
      <c r="F69" s="198">
        <f t="shared" si="10"/>
        <v>45084.39650000001</v>
      </c>
      <c r="G69" s="199">
        <f t="shared" si="11"/>
        <v>48098.105000000003</v>
      </c>
      <c r="H69" s="521">
        <f t="shared" si="7"/>
        <v>81972</v>
      </c>
      <c r="I69" s="493">
        <f t="shared" si="8"/>
        <v>87451</v>
      </c>
      <c r="J69" s="200">
        <f t="shared" si="13"/>
        <v>81972</v>
      </c>
      <c r="K69" s="201">
        <f t="shared" si="12"/>
        <v>87451</v>
      </c>
      <c r="L69" s="167"/>
      <c r="M69" s="218">
        <v>49</v>
      </c>
      <c r="N69" s="528">
        <v>12.290900000000002</v>
      </c>
      <c r="O69" s="529">
        <v>10.183599999999998</v>
      </c>
      <c r="P69" s="185"/>
      <c r="Q69" s="268" t="s">
        <v>27</v>
      </c>
      <c r="R69" s="269">
        <v>2</v>
      </c>
      <c r="S69" s="503"/>
      <c r="T69" s="503"/>
      <c r="U69" s="503"/>
      <c r="V69" s="503"/>
      <c r="W69" s="503"/>
      <c r="Z69" s="503"/>
      <c r="AA69" s="343">
        <v>60000</v>
      </c>
      <c r="AB69" s="279">
        <v>1.0680000000000001</v>
      </c>
      <c r="AN69" s="269">
        <f t="shared" ref="AN69:AN92" si="16">AN68+1</f>
        <v>77</v>
      </c>
      <c r="AO69" s="365">
        <v>0.140983</v>
      </c>
      <c r="AP69" s="181"/>
      <c r="AQ69" s="269">
        <v>75</v>
      </c>
      <c r="AR69" s="369">
        <f t="shared" si="15"/>
        <v>0.25398100000000001</v>
      </c>
    </row>
    <row r="70" spans="1:44" ht="11" thickBot="1" x14ac:dyDescent="0.3">
      <c r="A70" s="749">
        <v>44731.5</v>
      </c>
      <c r="B70" s="749">
        <v>47203.200000000004</v>
      </c>
      <c r="C70" s="752"/>
      <c r="D70" s="517">
        <v>32104.500700422028</v>
      </c>
      <c r="E70" s="205">
        <f t="shared" si="14"/>
        <v>63</v>
      </c>
      <c r="F70" s="198">
        <f t="shared" si="10"/>
        <v>47862.705000000002</v>
      </c>
      <c r="G70" s="199">
        <f t="shared" si="11"/>
        <v>50507.424000000006</v>
      </c>
      <c r="H70" s="521">
        <f t="shared" si="7"/>
        <v>87023</v>
      </c>
      <c r="I70" s="493">
        <f t="shared" si="8"/>
        <v>91832</v>
      </c>
      <c r="J70" s="203">
        <f t="shared" si="13"/>
        <v>87023</v>
      </c>
      <c r="K70" s="204">
        <f t="shared" si="12"/>
        <v>91832</v>
      </c>
      <c r="L70" s="167"/>
      <c r="M70" s="216">
        <v>50</v>
      </c>
      <c r="N70" s="530">
        <v>13.14</v>
      </c>
      <c r="O70" s="531">
        <v>10.601800000000001</v>
      </c>
      <c r="P70" s="185"/>
      <c r="Q70" s="250" t="s">
        <v>28</v>
      </c>
      <c r="R70" s="251">
        <v>2</v>
      </c>
      <c r="S70" s="503"/>
      <c r="T70" s="503"/>
      <c r="U70" s="503"/>
      <c r="V70" s="503"/>
      <c r="W70" s="503"/>
      <c r="Z70" s="503"/>
      <c r="AA70" s="343">
        <v>70000</v>
      </c>
      <c r="AB70" s="279">
        <v>1.113</v>
      </c>
      <c r="AN70" s="251">
        <f t="shared" si="16"/>
        <v>78</v>
      </c>
      <c r="AO70" s="362">
        <v>0.15131</v>
      </c>
      <c r="AP70" s="181"/>
      <c r="AQ70" s="251">
        <v>76</v>
      </c>
      <c r="AR70" s="368">
        <f t="shared" si="15"/>
        <v>0.25398100000000001</v>
      </c>
    </row>
    <row r="71" spans="1:44" ht="11" thickBot="1" x14ac:dyDescent="0.3">
      <c r="A71" s="749">
        <v>47328.05</v>
      </c>
      <c r="B71" s="749">
        <v>49454.9</v>
      </c>
      <c r="C71" s="752"/>
      <c r="D71" s="517">
        <v>34104.368063196031</v>
      </c>
      <c r="E71" s="202">
        <f t="shared" si="14"/>
        <v>64</v>
      </c>
      <c r="F71" s="198">
        <f t="shared" si="10"/>
        <v>50641.013500000008</v>
      </c>
      <c r="G71" s="199">
        <f t="shared" si="11"/>
        <v>52916.743000000002</v>
      </c>
      <c r="H71" s="521">
        <f t="shared" ref="H71:H101" si="17">ROUND(F71/(1-$K$1-$K$2-$K$3),0)</f>
        <v>92075</v>
      </c>
      <c r="I71" s="493">
        <f t="shared" ref="I71:I101" si="18">ROUND(G71/(1-$K$1-$K$2-$K$3),0)</f>
        <v>96212</v>
      </c>
      <c r="J71" s="200">
        <f t="shared" si="13"/>
        <v>92075</v>
      </c>
      <c r="K71" s="201">
        <f t="shared" si="12"/>
        <v>96212</v>
      </c>
      <c r="L71" s="167"/>
      <c r="M71" s="218">
        <v>51</v>
      </c>
      <c r="N71" s="528">
        <v>14.616300000000003</v>
      </c>
      <c r="O71" s="529">
        <v>11.396399999999998</v>
      </c>
      <c r="P71" s="185"/>
      <c r="Q71" s="268" t="s">
        <v>29</v>
      </c>
      <c r="R71" s="269">
        <v>2</v>
      </c>
      <c r="S71" s="503"/>
      <c r="T71" s="503"/>
      <c r="U71" s="503"/>
      <c r="V71" s="503"/>
      <c r="W71" s="503"/>
      <c r="Z71" s="503"/>
      <c r="AA71" s="343">
        <v>80000</v>
      </c>
      <c r="AB71" s="279">
        <v>1.1579999999999999</v>
      </c>
      <c r="AN71" s="269">
        <f t="shared" si="16"/>
        <v>79</v>
      </c>
      <c r="AO71" s="365">
        <v>0.16236200000000001</v>
      </c>
      <c r="AP71" s="181"/>
      <c r="AQ71" s="269">
        <v>77</v>
      </c>
      <c r="AR71" s="369">
        <f t="shared" si="15"/>
        <v>0.25398100000000001</v>
      </c>
    </row>
    <row r="72" spans="1:44" ht="11" thickBot="1" x14ac:dyDescent="0.3">
      <c r="A72" s="749">
        <v>49923.500000000007</v>
      </c>
      <c r="B72" s="749">
        <v>51706.05</v>
      </c>
      <c r="C72" s="752"/>
      <c r="D72" s="517">
        <v>36104.235425970037</v>
      </c>
      <c r="E72" s="205">
        <f t="shared" si="14"/>
        <v>65</v>
      </c>
      <c r="F72" s="198">
        <f t="shared" ref="F72:F107" si="19">A72*(1+$A$5)</f>
        <v>53418.145000000011</v>
      </c>
      <c r="G72" s="199">
        <f t="shared" ref="G72:G107" si="20">B72*(1+$A$5)</f>
        <v>55325.473500000007</v>
      </c>
      <c r="H72" s="521">
        <f t="shared" si="17"/>
        <v>97124</v>
      </c>
      <c r="I72" s="493">
        <f t="shared" si="18"/>
        <v>100592</v>
      </c>
      <c r="J72" s="203">
        <f t="shared" si="13"/>
        <v>97124</v>
      </c>
      <c r="K72" s="204">
        <f t="shared" si="12"/>
        <v>100592</v>
      </c>
      <c r="L72" s="167"/>
      <c r="M72" s="216">
        <v>52</v>
      </c>
      <c r="N72" s="530">
        <v>16.505400000000002</v>
      </c>
      <c r="O72" s="531">
        <v>12.14</v>
      </c>
      <c r="P72" s="185"/>
      <c r="Q72" s="250" t="s">
        <v>30</v>
      </c>
      <c r="R72" s="251">
        <v>1</v>
      </c>
      <c r="S72" s="503"/>
      <c r="T72" s="503"/>
      <c r="U72" s="503"/>
      <c r="V72" s="503"/>
      <c r="W72" s="503"/>
      <c r="Z72" s="503"/>
      <c r="AA72" s="343">
        <v>90000</v>
      </c>
      <c r="AB72" s="279">
        <v>1.2030000000000001</v>
      </c>
      <c r="AN72" s="251">
        <f t="shared" si="16"/>
        <v>80</v>
      </c>
      <c r="AO72" s="362">
        <v>0.17417199999999999</v>
      </c>
      <c r="AP72" s="181"/>
      <c r="AQ72" s="251">
        <v>78</v>
      </c>
      <c r="AR72" s="368">
        <f t="shared" si="15"/>
        <v>0.25398100000000001</v>
      </c>
    </row>
    <row r="73" spans="1:44" ht="11" thickBot="1" x14ac:dyDescent="0.3">
      <c r="A73" s="749">
        <v>50600.000000000007</v>
      </c>
      <c r="B73" s="749">
        <v>52310.500000000007</v>
      </c>
      <c r="C73" s="752"/>
      <c r="D73" s="517">
        <v>36996.03629458083</v>
      </c>
      <c r="E73" s="202">
        <f t="shared" si="14"/>
        <v>66</v>
      </c>
      <c r="F73" s="198">
        <f t="shared" si="19"/>
        <v>54142.000000000015</v>
      </c>
      <c r="G73" s="199">
        <f t="shared" si="20"/>
        <v>55972.235000000008</v>
      </c>
      <c r="H73" s="521">
        <f t="shared" si="17"/>
        <v>98440</v>
      </c>
      <c r="I73" s="493">
        <f t="shared" si="18"/>
        <v>101768</v>
      </c>
      <c r="J73" s="200">
        <f t="shared" si="13"/>
        <v>98440</v>
      </c>
      <c r="K73" s="201">
        <f t="shared" si="12"/>
        <v>101768</v>
      </c>
      <c r="L73" s="167"/>
      <c r="M73" s="218">
        <v>53</v>
      </c>
      <c r="N73" s="528">
        <v>18.203700000000001</v>
      </c>
      <c r="O73" s="529">
        <v>12.8454</v>
      </c>
      <c r="P73" s="190"/>
      <c r="Q73" s="268" t="s">
        <v>31</v>
      </c>
      <c r="R73" s="269">
        <v>4</v>
      </c>
      <c r="S73" s="503"/>
      <c r="T73" s="503"/>
      <c r="U73" s="503"/>
      <c r="V73" s="503"/>
      <c r="W73" s="503"/>
      <c r="Z73" s="503"/>
      <c r="AA73" s="392">
        <v>100000</v>
      </c>
      <c r="AB73" s="393">
        <v>1.248</v>
      </c>
      <c r="AC73" s="895" t="s">
        <v>249</v>
      </c>
      <c r="AD73" s="896"/>
      <c r="AE73" s="896"/>
      <c r="AF73" s="896"/>
      <c r="AN73" s="269">
        <f t="shared" si="16"/>
        <v>81</v>
      </c>
      <c r="AO73" s="365">
        <v>0.186776</v>
      </c>
      <c r="AP73" s="181"/>
      <c r="AQ73" s="269">
        <v>79</v>
      </c>
      <c r="AR73" s="369">
        <f t="shared" si="15"/>
        <v>0.25398100000000001</v>
      </c>
    </row>
    <row r="74" spans="1:44" ht="11" thickBot="1" x14ac:dyDescent="0.3">
      <c r="A74" s="749">
        <v>51276.500000000007</v>
      </c>
      <c r="B74" s="749">
        <v>52915.500000000007</v>
      </c>
      <c r="C74" s="752"/>
      <c r="D74" s="517">
        <v>37887.837163191623</v>
      </c>
      <c r="E74" s="205">
        <f t="shared" si="14"/>
        <v>67</v>
      </c>
      <c r="F74" s="198">
        <f t="shared" si="19"/>
        <v>54865.85500000001</v>
      </c>
      <c r="G74" s="199">
        <f t="shared" si="20"/>
        <v>56619.585000000014</v>
      </c>
      <c r="H74" s="521">
        <f t="shared" si="17"/>
        <v>99756</v>
      </c>
      <c r="I74" s="493">
        <f t="shared" si="18"/>
        <v>102945</v>
      </c>
      <c r="J74" s="203">
        <f t="shared" si="13"/>
        <v>99756</v>
      </c>
      <c r="K74" s="204">
        <f t="shared" si="12"/>
        <v>102945</v>
      </c>
      <c r="L74" s="167"/>
      <c r="M74" s="216">
        <v>54</v>
      </c>
      <c r="N74" s="530">
        <v>19.881799999999998</v>
      </c>
      <c r="O74" s="531">
        <v>13.498200000000002</v>
      </c>
      <c r="P74" s="185"/>
      <c r="Q74" s="252" t="s">
        <v>32</v>
      </c>
      <c r="R74" s="252"/>
      <c r="S74" s="503"/>
      <c r="T74" s="503"/>
      <c r="U74" s="503"/>
      <c r="V74" s="503"/>
      <c r="W74" s="503"/>
      <c r="Z74" s="372"/>
      <c r="AA74" s="392">
        <v>110000</v>
      </c>
      <c r="AB74" s="393">
        <v>1.2929999999999999</v>
      </c>
      <c r="AN74" s="251">
        <f t="shared" si="16"/>
        <v>82</v>
      </c>
      <c r="AO74" s="362">
        <v>0.200241</v>
      </c>
      <c r="AP74" s="181"/>
    </row>
    <row r="75" spans="1:44" ht="11" thickBot="1" x14ac:dyDescent="0.3">
      <c r="A75" s="749">
        <v>51953.55</v>
      </c>
      <c r="B75" s="749">
        <v>53519.4</v>
      </c>
      <c r="C75" s="752"/>
      <c r="D75" s="517">
        <v>38779.638031802424</v>
      </c>
      <c r="E75" s="202">
        <f t="shared" si="14"/>
        <v>68</v>
      </c>
      <c r="F75" s="198">
        <f t="shared" si="19"/>
        <v>55590.298500000004</v>
      </c>
      <c r="G75" s="199">
        <f t="shared" si="20"/>
        <v>57265.758000000002</v>
      </c>
      <c r="H75" s="521">
        <f t="shared" si="17"/>
        <v>101073</v>
      </c>
      <c r="I75" s="493">
        <f t="shared" si="18"/>
        <v>104120</v>
      </c>
      <c r="J75" s="200">
        <f t="shared" si="13"/>
        <v>101073</v>
      </c>
      <c r="K75" s="201">
        <f t="shared" ref="K75:K106" si="21">ROUND(I75,0)</f>
        <v>104120</v>
      </c>
      <c r="L75" s="167"/>
      <c r="M75" s="218">
        <v>55</v>
      </c>
      <c r="N75" s="528">
        <v>21.587299999999999</v>
      </c>
      <c r="O75" s="529">
        <v>14.1364</v>
      </c>
      <c r="P75" s="185"/>
      <c r="S75" s="503"/>
      <c r="T75" s="503"/>
      <c r="U75" s="503"/>
      <c r="V75" s="503"/>
      <c r="W75" s="503"/>
      <c r="AN75" s="269">
        <f t="shared" si="16"/>
        <v>83</v>
      </c>
      <c r="AO75" s="365">
        <v>0.214586</v>
      </c>
      <c r="AP75" s="181"/>
    </row>
    <row r="76" spans="1:44" ht="11" thickBot="1" x14ac:dyDescent="0.3">
      <c r="A76" s="749">
        <v>52629.500000000007</v>
      </c>
      <c r="B76" s="749">
        <v>54123.850000000006</v>
      </c>
      <c r="C76" s="752"/>
      <c r="D76" s="517">
        <v>39671.438900413224</v>
      </c>
      <c r="E76" s="205">
        <f t="shared" si="14"/>
        <v>69</v>
      </c>
      <c r="F76" s="198">
        <f t="shared" si="19"/>
        <v>56313.56500000001</v>
      </c>
      <c r="G76" s="199">
        <f t="shared" si="20"/>
        <v>57912.519500000009</v>
      </c>
      <c r="H76" s="521">
        <f t="shared" si="17"/>
        <v>102388</v>
      </c>
      <c r="I76" s="493">
        <f t="shared" si="18"/>
        <v>105295</v>
      </c>
      <c r="J76" s="203">
        <f t="shared" ref="J76:J106" si="22">ROUND(H76,0)</f>
        <v>102388</v>
      </c>
      <c r="K76" s="204">
        <f t="shared" si="21"/>
        <v>105295</v>
      </c>
      <c r="L76" s="167"/>
      <c r="M76" s="216">
        <v>56</v>
      </c>
      <c r="N76" s="530">
        <v>23.307200000000002</v>
      </c>
      <c r="O76" s="531">
        <v>14.7218</v>
      </c>
      <c r="P76" s="185"/>
      <c r="Q76" s="186"/>
      <c r="AA76" s="296" t="s">
        <v>37</v>
      </c>
      <c r="AB76" s="296" t="s">
        <v>109</v>
      </c>
      <c r="AC76" s="321" t="s">
        <v>210</v>
      </c>
      <c r="AD76" s="321"/>
      <c r="AE76" s="321"/>
      <c r="AF76" s="321" t="s">
        <v>110</v>
      </c>
      <c r="AN76" s="251">
        <f t="shared" si="16"/>
        <v>84</v>
      </c>
      <c r="AO76" s="362">
        <v>0.229879</v>
      </c>
      <c r="AP76" s="181"/>
    </row>
    <row r="77" spans="1:44" x14ac:dyDescent="0.25">
      <c r="A77" s="749">
        <v>53306.55</v>
      </c>
      <c r="B77" s="749">
        <v>54727.750000000007</v>
      </c>
      <c r="C77" s="752"/>
      <c r="D77" s="517">
        <v>40563.239769024018</v>
      </c>
      <c r="E77" s="202">
        <f t="shared" si="14"/>
        <v>70</v>
      </c>
      <c r="F77" s="198">
        <f t="shared" si="19"/>
        <v>57038.008500000004</v>
      </c>
      <c r="G77" s="199">
        <f t="shared" si="20"/>
        <v>58558.692500000012</v>
      </c>
      <c r="H77" s="521">
        <f t="shared" si="17"/>
        <v>103705</v>
      </c>
      <c r="I77" s="493">
        <f t="shared" si="18"/>
        <v>106470</v>
      </c>
      <c r="J77" s="200">
        <f t="shared" si="22"/>
        <v>103705</v>
      </c>
      <c r="K77" s="201">
        <f t="shared" si="21"/>
        <v>106470</v>
      </c>
      <c r="L77" s="167"/>
      <c r="M77" s="218">
        <v>57</v>
      </c>
      <c r="N77" s="528">
        <v>25.010899999999999</v>
      </c>
      <c r="O77" s="529">
        <v>15.2746</v>
      </c>
      <c r="P77" s="185"/>
      <c r="Q77" s="186"/>
      <c r="AA77" s="304">
        <v>6</v>
      </c>
      <c r="AB77" s="305" t="s">
        <v>201</v>
      </c>
      <c r="AC77" s="322">
        <v>110000</v>
      </c>
      <c r="AD77" s="820"/>
      <c r="AE77" s="820"/>
      <c r="AF77" s="240">
        <f t="shared" ref="AF77:AF85" si="23">VLOOKUP(AC77,$AA$64:$AB$74,2,0)</f>
        <v>1.2929999999999999</v>
      </c>
      <c r="AN77" s="269">
        <f t="shared" si="16"/>
        <v>85</v>
      </c>
      <c r="AO77" s="365">
        <v>0.246172</v>
      </c>
      <c r="AP77" s="181"/>
    </row>
    <row r="78" spans="1:44" x14ac:dyDescent="0.25">
      <c r="A78" s="749">
        <v>58323.100000000006</v>
      </c>
      <c r="B78" s="749">
        <v>59024.350000000006</v>
      </c>
      <c r="C78" s="752"/>
      <c r="D78" s="517">
        <v>42972.944090524819</v>
      </c>
      <c r="E78" s="205">
        <f t="shared" si="14"/>
        <v>71</v>
      </c>
      <c r="F78" s="198">
        <f t="shared" si="19"/>
        <v>62405.717000000011</v>
      </c>
      <c r="G78" s="199">
        <f t="shared" si="20"/>
        <v>63156.054500000013</v>
      </c>
      <c r="H78" s="521">
        <f t="shared" si="17"/>
        <v>113465</v>
      </c>
      <c r="I78" s="493">
        <f t="shared" si="18"/>
        <v>114829</v>
      </c>
      <c r="J78" s="203">
        <f t="shared" si="22"/>
        <v>113465</v>
      </c>
      <c r="K78" s="204">
        <f t="shared" si="21"/>
        <v>114829</v>
      </c>
      <c r="L78" s="167"/>
      <c r="M78" s="216">
        <v>58</v>
      </c>
      <c r="N78" s="530">
        <v>26.738199999999996</v>
      </c>
      <c r="O78" s="531">
        <v>15.790900000000001</v>
      </c>
      <c r="P78" s="185"/>
      <c r="Q78" s="186"/>
      <c r="AA78" s="274">
        <v>6</v>
      </c>
      <c r="AB78" s="275" t="s">
        <v>202</v>
      </c>
      <c r="AC78" s="292">
        <v>80000</v>
      </c>
      <c r="AD78" s="821"/>
      <c r="AE78" s="821"/>
      <c r="AF78" s="293">
        <f t="shared" si="23"/>
        <v>1.1579999999999999</v>
      </c>
      <c r="AN78" s="251">
        <f t="shared" si="16"/>
        <v>86</v>
      </c>
      <c r="AO78" s="362">
        <v>0.263517</v>
      </c>
      <c r="AP78" s="181"/>
    </row>
    <row r="79" spans="1:44" x14ac:dyDescent="0.25">
      <c r="A79" s="749">
        <v>63338.000000000007</v>
      </c>
      <c r="B79" s="749">
        <v>63320.950000000004</v>
      </c>
      <c r="C79" s="752"/>
      <c r="D79" s="517">
        <v>45382.648412025621</v>
      </c>
      <c r="E79" s="202">
        <f t="shared" si="14"/>
        <v>72</v>
      </c>
      <c r="F79" s="198">
        <f t="shared" si="19"/>
        <v>67771.660000000018</v>
      </c>
      <c r="G79" s="199">
        <f t="shared" si="20"/>
        <v>67753.416500000007</v>
      </c>
      <c r="H79" s="521">
        <f t="shared" si="17"/>
        <v>123221</v>
      </c>
      <c r="I79" s="493">
        <f t="shared" si="18"/>
        <v>123188</v>
      </c>
      <c r="J79" s="200">
        <f t="shared" si="22"/>
        <v>123221</v>
      </c>
      <c r="K79" s="201">
        <f t="shared" si="21"/>
        <v>123188</v>
      </c>
      <c r="L79" s="167"/>
      <c r="M79" s="218">
        <v>59</v>
      </c>
      <c r="N79" s="528">
        <v>28.447300000000002</v>
      </c>
      <c r="O79" s="529">
        <v>16.252800000000001</v>
      </c>
      <c r="P79" s="185"/>
      <c r="Q79" s="186"/>
      <c r="AA79" s="274">
        <v>6</v>
      </c>
      <c r="AB79" s="277" t="s">
        <v>203</v>
      </c>
      <c r="AC79" s="292">
        <v>50000</v>
      </c>
      <c r="AD79" s="821"/>
      <c r="AE79" s="821"/>
      <c r="AF79" s="293">
        <f t="shared" si="23"/>
        <v>1.0229999999999999</v>
      </c>
      <c r="AN79" s="269">
        <f t="shared" si="16"/>
        <v>87</v>
      </c>
      <c r="AO79" s="365">
        <v>0.28194799999999998</v>
      </c>
      <c r="AP79" s="181"/>
    </row>
    <row r="80" spans="1:44" x14ac:dyDescent="0.25">
      <c r="A80" s="749">
        <v>68354.55</v>
      </c>
      <c r="B80" s="749">
        <v>67617</v>
      </c>
      <c r="C80" s="752"/>
      <c r="D80" s="517">
        <v>47792.352733526423</v>
      </c>
      <c r="E80" s="205">
        <f t="shared" si="14"/>
        <v>73</v>
      </c>
      <c r="F80" s="198">
        <f t="shared" si="19"/>
        <v>73139.368500000011</v>
      </c>
      <c r="G80" s="199">
        <f t="shared" si="20"/>
        <v>72350.19</v>
      </c>
      <c r="H80" s="521">
        <f t="shared" si="17"/>
        <v>132981</v>
      </c>
      <c r="I80" s="493">
        <f t="shared" si="18"/>
        <v>131546</v>
      </c>
      <c r="J80" s="203">
        <f t="shared" si="22"/>
        <v>132981</v>
      </c>
      <c r="K80" s="204">
        <f t="shared" si="21"/>
        <v>131546</v>
      </c>
      <c r="L80" s="167"/>
      <c r="M80" s="216">
        <v>60</v>
      </c>
      <c r="N80" s="530">
        <v>30.1709</v>
      </c>
      <c r="O80" s="531">
        <v>16.676400000000001</v>
      </c>
      <c r="P80" s="185"/>
      <c r="Q80" s="186"/>
      <c r="R80" s="525"/>
      <c r="S80" s="525"/>
      <c r="T80" s="525"/>
      <c r="U80" s="525"/>
      <c r="V80" s="525"/>
      <c r="W80" s="525"/>
      <c r="Z80" s="525"/>
      <c r="AA80" s="275" t="s">
        <v>219</v>
      </c>
      <c r="AB80" s="275" t="s">
        <v>204</v>
      </c>
      <c r="AC80" s="292">
        <v>100000</v>
      </c>
      <c r="AD80" s="821"/>
      <c r="AE80" s="821"/>
      <c r="AF80" s="293">
        <f t="shared" si="23"/>
        <v>1.248</v>
      </c>
      <c r="AG80" s="807"/>
      <c r="AH80" s="807"/>
      <c r="AI80" s="807"/>
      <c r="AN80" s="251">
        <f t="shared" si="16"/>
        <v>88</v>
      </c>
      <c r="AO80" s="362">
        <v>0.30151699999999998</v>
      </c>
      <c r="AP80" s="181"/>
    </row>
    <row r="81" spans="1:42" x14ac:dyDescent="0.25">
      <c r="A81" s="749">
        <v>73371.100000000006</v>
      </c>
      <c r="B81" s="749">
        <v>71913.600000000006</v>
      </c>
      <c r="C81" s="752"/>
      <c r="D81" s="517">
        <v>50202.057055027224</v>
      </c>
      <c r="E81" s="202">
        <f t="shared" si="14"/>
        <v>74</v>
      </c>
      <c r="F81" s="198">
        <f t="shared" si="19"/>
        <v>78507.077000000005</v>
      </c>
      <c r="G81" s="199">
        <f t="shared" si="20"/>
        <v>76947.552000000011</v>
      </c>
      <c r="H81" s="521">
        <f t="shared" si="17"/>
        <v>142740</v>
      </c>
      <c r="I81" s="493">
        <f t="shared" si="18"/>
        <v>139905</v>
      </c>
      <c r="J81" s="200">
        <f t="shared" si="22"/>
        <v>142740</v>
      </c>
      <c r="K81" s="201">
        <f t="shared" si="21"/>
        <v>139905</v>
      </c>
      <c r="L81" s="167"/>
      <c r="M81" s="218">
        <v>61</v>
      </c>
      <c r="N81" s="528">
        <v>32.438099999999999</v>
      </c>
      <c r="O81" s="529">
        <v>17.9709</v>
      </c>
      <c r="P81" s="185"/>
      <c r="Q81" s="186"/>
      <c r="R81" s="525"/>
      <c r="S81" s="525"/>
      <c r="T81" s="525"/>
      <c r="U81" s="525"/>
      <c r="V81" s="525"/>
      <c r="W81" s="525"/>
      <c r="Z81" s="525"/>
      <c r="AA81" s="275" t="s">
        <v>219</v>
      </c>
      <c r="AB81" s="275" t="s">
        <v>205</v>
      </c>
      <c r="AC81" s="292">
        <v>70000</v>
      </c>
      <c r="AD81" s="821"/>
      <c r="AE81" s="821"/>
      <c r="AF81" s="293">
        <f t="shared" si="23"/>
        <v>1.113</v>
      </c>
      <c r="AG81" s="807"/>
      <c r="AH81" s="807"/>
      <c r="AI81" s="807"/>
      <c r="AN81" s="269">
        <f t="shared" si="16"/>
        <v>89</v>
      </c>
      <c r="AO81" s="365">
        <v>0.322293</v>
      </c>
      <c r="AP81" s="181"/>
    </row>
    <row r="82" spans="1:42" x14ac:dyDescent="0.25">
      <c r="A82" s="749">
        <v>78387.650000000009</v>
      </c>
      <c r="B82" s="749">
        <v>76210.75</v>
      </c>
      <c r="C82" s="752"/>
      <c r="D82" s="517">
        <v>52611.761376528018</v>
      </c>
      <c r="E82" s="205">
        <f t="shared" si="14"/>
        <v>75</v>
      </c>
      <c r="F82" s="198">
        <f t="shared" si="19"/>
        <v>83874.785500000013</v>
      </c>
      <c r="G82" s="199">
        <f t="shared" si="20"/>
        <v>81545.502500000002</v>
      </c>
      <c r="H82" s="521">
        <f t="shared" si="17"/>
        <v>152500</v>
      </c>
      <c r="I82" s="493">
        <f t="shared" si="18"/>
        <v>148265</v>
      </c>
      <c r="J82" s="203">
        <f t="shared" si="22"/>
        <v>152500</v>
      </c>
      <c r="K82" s="204">
        <f t="shared" si="21"/>
        <v>148265</v>
      </c>
      <c r="L82" s="167"/>
      <c r="M82" s="216">
        <v>62</v>
      </c>
      <c r="N82" s="530">
        <v>34.723699999999994</v>
      </c>
      <c r="O82" s="531">
        <v>19.2636</v>
      </c>
      <c r="P82" s="185"/>
      <c r="R82" s="186"/>
      <c r="S82" s="186"/>
      <c r="T82" s="186"/>
      <c r="U82" s="186"/>
      <c r="V82" s="525"/>
      <c r="W82" s="525"/>
      <c r="Z82" s="525"/>
      <c r="AA82" s="275" t="s">
        <v>219</v>
      </c>
      <c r="AB82" s="277" t="s">
        <v>206</v>
      </c>
      <c r="AC82" s="292">
        <v>40000</v>
      </c>
      <c r="AD82" s="821"/>
      <c r="AE82" s="821"/>
      <c r="AF82" s="293">
        <f t="shared" si="23"/>
        <v>0.97699999999999998</v>
      </c>
      <c r="AG82" s="807"/>
      <c r="AH82" s="807"/>
      <c r="AI82" s="807"/>
      <c r="AN82" s="251">
        <f t="shared" si="16"/>
        <v>90</v>
      </c>
      <c r="AO82" s="362">
        <v>0.34432800000000002</v>
      </c>
      <c r="AP82" s="181"/>
    </row>
    <row r="83" spans="1:42" x14ac:dyDescent="0.25">
      <c r="A83" s="749">
        <v>84558.1</v>
      </c>
      <c r="B83" s="749">
        <v>82173.850000000006</v>
      </c>
      <c r="C83" s="752"/>
      <c r="D83" s="517">
        <v>56526.141440288819</v>
      </c>
      <c r="E83" s="202">
        <f t="shared" si="14"/>
        <v>76</v>
      </c>
      <c r="F83" s="198">
        <f t="shared" si="19"/>
        <v>90477.167000000016</v>
      </c>
      <c r="G83" s="199">
        <f t="shared" si="20"/>
        <v>87926.019500000009</v>
      </c>
      <c r="H83" s="521">
        <f t="shared" si="17"/>
        <v>164504</v>
      </c>
      <c r="I83" s="493">
        <f t="shared" si="18"/>
        <v>159865</v>
      </c>
      <c r="J83" s="200">
        <f t="shared" si="22"/>
        <v>164504</v>
      </c>
      <c r="K83" s="201">
        <f t="shared" si="21"/>
        <v>159865</v>
      </c>
      <c r="L83" s="167"/>
      <c r="M83" s="218">
        <v>63</v>
      </c>
      <c r="N83" s="528">
        <v>36.989099999999993</v>
      </c>
      <c r="O83" s="529">
        <v>20.554600000000001</v>
      </c>
      <c r="P83" s="185"/>
      <c r="R83" s="525"/>
      <c r="S83" s="525"/>
      <c r="T83" s="525"/>
      <c r="U83" s="525"/>
      <c r="V83" s="525"/>
      <c r="W83" s="525"/>
      <c r="Z83" s="525"/>
      <c r="AA83" s="274" t="s">
        <v>220</v>
      </c>
      <c r="AB83" s="275" t="s">
        <v>207</v>
      </c>
      <c r="AC83" s="292">
        <v>90000</v>
      </c>
      <c r="AD83" s="821"/>
      <c r="AE83" s="821"/>
      <c r="AF83" s="293">
        <f t="shared" si="23"/>
        <v>1.2030000000000001</v>
      </c>
      <c r="AG83" s="807"/>
      <c r="AH83" s="807"/>
      <c r="AI83" s="807"/>
      <c r="AN83" s="269">
        <f t="shared" si="16"/>
        <v>91</v>
      </c>
      <c r="AO83" s="365">
        <v>0.36763800000000002</v>
      </c>
      <c r="AP83" s="181"/>
    </row>
    <row r="84" spans="1:42" ht="11" thickBot="1" x14ac:dyDescent="0.3">
      <c r="A84" s="749">
        <v>90728.000000000015</v>
      </c>
      <c r="B84" s="749">
        <v>88136.400000000009</v>
      </c>
      <c r="C84" s="752"/>
      <c r="D84" s="517">
        <v>60440.521504049619</v>
      </c>
      <c r="E84" s="205">
        <f t="shared" si="14"/>
        <v>77</v>
      </c>
      <c r="F84" s="198">
        <f t="shared" si="19"/>
        <v>97078.960000000021</v>
      </c>
      <c r="G84" s="199">
        <f t="shared" si="20"/>
        <v>94305.948000000019</v>
      </c>
      <c r="H84" s="521">
        <f t="shared" si="17"/>
        <v>176507</v>
      </c>
      <c r="I84" s="493">
        <f t="shared" si="18"/>
        <v>171465</v>
      </c>
      <c r="J84" s="203">
        <f t="shared" si="22"/>
        <v>176507</v>
      </c>
      <c r="K84" s="204">
        <f t="shared" si="21"/>
        <v>171465</v>
      </c>
      <c r="L84" s="167"/>
      <c r="M84" s="217">
        <v>64</v>
      </c>
      <c r="N84" s="534">
        <v>39.256399999999999</v>
      </c>
      <c r="O84" s="535">
        <v>21.8309</v>
      </c>
      <c r="Q84" s="192"/>
      <c r="R84" s="525"/>
      <c r="S84" s="770"/>
      <c r="T84" s="770"/>
      <c r="U84" s="770"/>
      <c r="V84" s="525"/>
      <c r="W84" s="525"/>
      <c r="Z84" s="525"/>
      <c r="AA84" s="274" t="s">
        <v>220</v>
      </c>
      <c r="AB84" s="275" t="s">
        <v>208</v>
      </c>
      <c r="AC84" s="292">
        <v>60000</v>
      </c>
      <c r="AD84" s="821"/>
      <c r="AE84" s="821"/>
      <c r="AF84" s="293">
        <f t="shared" si="23"/>
        <v>1.0680000000000001</v>
      </c>
      <c r="AG84" s="807"/>
      <c r="AH84" s="807"/>
      <c r="AI84" s="807"/>
      <c r="AN84" s="251">
        <f t="shared" si="16"/>
        <v>92</v>
      </c>
      <c r="AO84" s="362">
        <v>0.392293</v>
      </c>
      <c r="AP84" s="181"/>
    </row>
    <row r="85" spans="1:42" ht="11" thickBot="1" x14ac:dyDescent="0.3">
      <c r="A85" s="749">
        <v>96899.000000000015</v>
      </c>
      <c r="B85" s="749">
        <v>94100.05</v>
      </c>
      <c r="C85" s="752"/>
      <c r="D85" s="517">
        <v>64354.901567810419</v>
      </c>
      <c r="E85" s="202">
        <f t="shared" si="14"/>
        <v>78</v>
      </c>
      <c r="F85" s="198">
        <f t="shared" si="19"/>
        <v>103681.93000000002</v>
      </c>
      <c r="G85" s="199">
        <f t="shared" si="20"/>
        <v>100687.05350000001</v>
      </c>
      <c r="H85" s="521">
        <f t="shared" si="17"/>
        <v>188513</v>
      </c>
      <c r="I85" s="493">
        <f t="shared" si="18"/>
        <v>183067</v>
      </c>
      <c r="J85" s="200">
        <f t="shared" si="22"/>
        <v>188513</v>
      </c>
      <c r="K85" s="201">
        <f t="shared" si="21"/>
        <v>183067</v>
      </c>
      <c r="L85" s="167"/>
      <c r="M85" s="171"/>
      <c r="N85" s="171"/>
      <c r="R85" s="525"/>
      <c r="S85" s="525"/>
      <c r="T85" s="525"/>
      <c r="U85" s="525"/>
      <c r="V85" s="525"/>
      <c r="W85" s="525"/>
      <c r="Z85" s="525"/>
      <c r="AA85" s="307" t="s">
        <v>220</v>
      </c>
      <c r="AB85" s="278" t="s">
        <v>209</v>
      </c>
      <c r="AC85" s="323">
        <v>30000</v>
      </c>
      <c r="AD85" s="822"/>
      <c r="AE85" s="822"/>
      <c r="AF85" s="241">
        <f t="shared" si="23"/>
        <v>0.93200000000000005</v>
      </c>
      <c r="AG85" s="807"/>
      <c r="AH85" s="807"/>
      <c r="AI85" s="807"/>
      <c r="AN85" s="269">
        <f t="shared" si="16"/>
        <v>93</v>
      </c>
      <c r="AO85" s="365">
        <v>0.41836200000000001</v>
      </c>
      <c r="AP85" s="181"/>
    </row>
    <row r="86" spans="1:42" ht="11" thickBot="1" x14ac:dyDescent="0.3">
      <c r="A86" s="749">
        <v>103069.45000000001</v>
      </c>
      <c r="B86" s="749">
        <v>100063.15000000001</v>
      </c>
      <c r="C86" s="752"/>
      <c r="D86" s="517">
        <v>68269.281631571212</v>
      </c>
      <c r="E86" s="205">
        <f t="shared" si="14"/>
        <v>79</v>
      </c>
      <c r="F86" s="198">
        <f t="shared" si="19"/>
        <v>110284.31150000003</v>
      </c>
      <c r="G86" s="199">
        <f t="shared" si="20"/>
        <v>107067.57050000002</v>
      </c>
      <c r="H86" s="521">
        <f t="shared" si="17"/>
        <v>200517</v>
      </c>
      <c r="I86" s="493">
        <f t="shared" si="18"/>
        <v>194668</v>
      </c>
      <c r="J86" s="203">
        <f t="shared" si="22"/>
        <v>200517</v>
      </c>
      <c r="K86" s="204">
        <f t="shared" si="21"/>
        <v>194668</v>
      </c>
      <c r="L86" s="167"/>
      <c r="M86" s="232" t="s">
        <v>74</v>
      </c>
      <c r="N86" s="193"/>
      <c r="R86" s="525"/>
      <c r="S86" s="525"/>
      <c r="T86" s="525"/>
      <c r="U86" s="525"/>
      <c r="V86" s="525"/>
      <c r="W86" s="525"/>
      <c r="Z86" s="525"/>
      <c r="AN86" s="251">
        <f t="shared" si="16"/>
        <v>94</v>
      </c>
      <c r="AO86" s="362">
        <v>0.44584499999999999</v>
      </c>
      <c r="AP86" s="181"/>
    </row>
    <row r="87" spans="1:42" ht="11" thickBot="1" x14ac:dyDescent="0.3">
      <c r="A87" s="749">
        <v>109239.90000000001</v>
      </c>
      <c r="B87" s="749">
        <v>106026.8</v>
      </c>
      <c r="C87" s="752"/>
      <c r="D87" s="517">
        <v>72183.661695332019</v>
      </c>
      <c r="E87" s="202">
        <v>80</v>
      </c>
      <c r="F87" s="198">
        <f t="shared" si="19"/>
        <v>116886.69300000001</v>
      </c>
      <c r="G87" s="199">
        <f t="shared" si="20"/>
        <v>113448.67600000001</v>
      </c>
      <c r="H87" s="521">
        <f t="shared" si="17"/>
        <v>212521</v>
      </c>
      <c r="I87" s="493">
        <f t="shared" si="18"/>
        <v>206270</v>
      </c>
      <c r="J87" s="200">
        <f t="shared" si="22"/>
        <v>212521</v>
      </c>
      <c r="K87" s="201">
        <f t="shared" si="21"/>
        <v>206270</v>
      </c>
      <c r="L87" s="167"/>
      <c r="M87" s="233" t="s">
        <v>56</v>
      </c>
      <c r="N87" s="247">
        <v>1.0262</v>
      </c>
      <c r="R87" s="525"/>
      <c r="S87" s="525"/>
      <c r="T87" s="525"/>
      <c r="U87" s="525"/>
      <c r="V87" s="525"/>
      <c r="W87" s="525"/>
      <c r="Z87" s="525"/>
      <c r="AN87" s="269">
        <f t="shared" si="16"/>
        <v>95</v>
      </c>
      <c r="AO87" s="365">
        <v>0.47479300000000002</v>
      </c>
      <c r="AP87" s="181"/>
    </row>
    <row r="88" spans="1:42" ht="11" thickBot="1" x14ac:dyDescent="0.3">
      <c r="A88" s="749">
        <v>112214.3</v>
      </c>
      <c r="B88" s="749">
        <v>108862.6</v>
      </c>
      <c r="C88" s="752"/>
      <c r="D88" s="517">
        <v>73924.723101805284</v>
      </c>
      <c r="E88" s="205">
        <v>81</v>
      </c>
      <c r="F88" s="198">
        <f t="shared" si="19"/>
        <v>120069.30100000001</v>
      </c>
      <c r="G88" s="199">
        <f t="shared" si="20"/>
        <v>116482.98200000002</v>
      </c>
      <c r="H88" s="521">
        <f t="shared" si="17"/>
        <v>218308</v>
      </c>
      <c r="I88" s="493">
        <f t="shared" si="18"/>
        <v>211787</v>
      </c>
      <c r="J88" s="203">
        <f t="shared" si="22"/>
        <v>218308</v>
      </c>
      <c r="K88" s="204">
        <f t="shared" si="21"/>
        <v>211787</v>
      </c>
      <c r="L88" s="167"/>
      <c r="M88" s="233" t="s">
        <v>36</v>
      </c>
      <c r="N88" s="248">
        <v>157.78</v>
      </c>
      <c r="R88" s="525"/>
      <c r="S88" s="525"/>
      <c r="T88" s="525"/>
      <c r="U88" s="525"/>
      <c r="V88" s="525"/>
      <c r="W88" s="525"/>
      <c r="Z88" s="525"/>
      <c r="AA88" s="331" t="s">
        <v>225</v>
      </c>
      <c r="AB88" s="332" t="s">
        <v>226</v>
      </c>
      <c r="AC88" s="333" t="s">
        <v>227</v>
      </c>
      <c r="AD88" s="823"/>
      <c r="AE88" s="823"/>
      <c r="AN88" s="251">
        <f t="shared" si="16"/>
        <v>96</v>
      </c>
      <c r="AO88" s="362">
        <v>0.50525900000000001</v>
      </c>
      <c r="AP88" s="181"/>
    </row>
    <row r="89" spans="1:42" x14ac:dyDescent="0.25">
      <c r="A89" s="749">
        <v>115188.70000000001</v>
      </c>
      <c r="B89" s="749">
        <v>111698.40000000001</v>
      </c>
      <c r="C89" s="752"/>
      <c r="D89" s="517">
        <v>75665.78450827855</v>
      </c>
      <c r="E89" s="202">
        <v>82</v>
      </c>
      <c r="F89" s="198">
        <f t="shared" si="19"/>
        <v>123251.90900000001</v>
      </c>
      <c r="G89" s="199">
        <f t="shared" si="20"/>
        <v>119517.28800000002</v>
      </c>
      <c r="H89" s="521">
        <f t="shared" si="17"/>
        <v>224094</v>
      </c>
      <c r="I89" s="493">
        <f t="shared" si="18"/>
        <v>217304</v>
      </c>
      <c r="J89" s="200">
        <f t="shared" si="22"/>
        <v>224094</v>
      </c>
      <c r="K89" s="201">
        <f t="shared" si="21"/>
        <v>217304</v>
      </c>
      <c r="L89" s="167"/>
      <c r="M89" s="194"/>
      <c r="R89" s="525"/>
      <c r="S89" s="525"/>
      <c r="T89" s="525"/>
      <c r="U89" s="525"/>
      <c r="V89" s="525"/>
      <c r="W89" s="525"/>
      <c r="Z89" s="525"/>
      <c r="AA89" s="324">
        <f>AC77</f>
        <v>110000</v>
      </c>
      <c r="AB89" s="325">
        <f>AC78</f>
        <v>80000</v>
      </c>
      <c r="AC89" s="326">
        <f>AC79</f>
        <v>50000</v>
      </c>
      <c r="AD89" s="325"/>
      <c r="AE89" s="325"/>
      <c r="AN89" s="269">
        <f t="shared" si="16"/>
        <v>97</v>
      </c>
      <c r="AO89" s="365">
        <v>0.53724099999999997</v>
      </c>
      <c r="AP89" s="181"/>
    </row>
    <row r="90" spans="1:42" ht="12.75" customHeight="1" x14ac:dyDescent="0.25">
      <c r="A90" s="749">
        <v>118163.1</v>
      </c>
      <c r="B90" s="749">
        <v>114533.65000000001</v>
      </c>
      <c r="C90" s="752"/>
      <c r="D90" s="517">
        <v>77406.845914751815</v>
      </c>
      <c r="E90" s="205">
        <v>83</v>
      </c>
      <c r="F90" s="198">
        <f t="shared" si="19"/>
        <v>126434.51700000001</v>
      </c>
      <c r="G90" s="199">
        <f t="shared" si="20"/>
        <v>122551.00550000001</v>
      </c>
      <c r="H90" s="521">
        <f t="shared" si="17"/>
        <v>229881</v>
      </c>
      <c r="I90" s="493">
        <f t="shared" si="18"/>
        <v>222820</v>
      </c>
      <c r="J90" s="203">
        <f t="shared" si="22"/>
        <v>229881</v>
      </c>
      <c r="K90" s="204">
        <f t="shared" si="21"/>
        <v>222820</v>
      </c>
      <c r="L90" s="167"/>
      <c r="M90" s="910" t="s">
        <v>262</v>
      </c>
      <c r="N90" s="910"/>
      <c r="R90" s="525"/>
      <c r="S90" s="525"/>
      <c r="T90" s="525"/>
      <c r="U90" s="525"/>
      <c r="V90" s="525"/>
      <c r="W90" s="525"/>
      <c r="Z90" s="525"/>
      <c r="AA90" s="324">
        <f>AC80</f>
        <v>100000</v>
      </c>
      <c r="AB90" s="327">
        <f>AC81</f>
        <v>70000</v>
      </c>
      <c r="AC90" s="326">
        <f>AC82</f>
        <v>40000</v>
      </c>
      <c r="AD90" s="325"/>
      <c r="AE90" s="325"/>
      <c r="AN90" s="251">
        <f t="shared" si="16"/>
        <v>98</v>
      </c>
      <c r="AO90" s="362">
        <v>0.57079299999999999</v>
      </c>
      <c r="AP90" s="181"/>
    </row>
    <row r="91" spans="1:42" ht="11" thickBot="1" x14ac:dyDescent="0.3">
      <c r="A91" s="749">
        <v>121137.50000000001</v>
      </c>
      <c r="B91" s="749">
        <v>117369.45000000001</v>
      </c>
      <c r="C91" s="752"/>
      <c r="D91" s="517">
        <v>79147.907321225081</v>
      </c>
      <c r="E91" s="202">
        <v>84</v>
      </c>
      <c r="F91" s="198">
        <f t="shared" si="19"/>
        <v>129617.12500000003</v>
      </c>
      <c r="G91" s="199">
        <f t="shared" si="20"/>
        <v>125585.31150000003</v>
      </c>
      <c r="H91" s="521">
        <f t="shared" si="17"/>
        <v>235668</v>
      </c>
      <c r="I91" s="493">
        <f t="shared" si="18"/>
        <v>228337</v>
      </c>
      <c r="J91" s="200">
        <f t="shared" si="22"/>
        <v>235668</v>
      </c>
      <c r="K91" s="201">
        <f t="shared" si="21"/>
        <v>228337</v>
      </c>
      <c r="L91" s="167"/>
      <c r="M91" s="914"/>
      <c r="N91" s="914"/>
      <c r="O91" s="243"/>
      <c r="R91" s="525"/>
      <c r="S91" s="525"/>
      <c r="T91" s="525"/>
      <c r="U91" s="525"/>
      <c r="V91" s="525"/>
      <c r="W91" s="525"/>
      <c r="Z91" s="525"/>
      <c r="AA91" s="328">
        <f>AC83</f>
        <v>90000</v>
      </c>
      <c r="AB91" s="329">
        <f>AC84</f>
        <v>60000</v>
      </c>
      <c r="AC91" s="330">
        <f>AC85</f>
        <v>30000</v>
      </c>
      <c r="AD91" s="325"/>
      <c r="AE91" s="325"/>
      <c r="AN91" s="269">
        <f t="shared" si="16"/>
        <v>99</v>
      </c>
      <c r="AO91" s="365">
        <v>0.605931</v>
      </c>
      <c r="AP91" s="181"/>
    </row>
    <row r="92" spans="1:42" ht="11" thickBot="1" x14ac:dyDescent="0.3">
      <c r="A92" s="749">
        <v>124112.45000000001</v>
      </c>
      <c r="B92" s="749">
        <v>120205.25000000001</v>
      </c>
      <c r="C92" s="752"/>
      <c r="D92" s="517">
        <v>80888.968727698346</v>
      </c>
      <c r="E92" s="205">
        <v>85</v>
      </c>
      <c r="F92" s="198">
        <f t="shared" si="19"/>
        <v>132800.32150000002</v>
      </c>
      <c r="G92" s="199">
        <f t="shared" si="20"/>
        <v>128619.61750000002</v>
      </c>
      <c r="H92" s="521">
        <f t="shared" si="17"/>
        <v>241455</v>
      </c>
      <c r="I92" s="493">
        <f t="shared" si="18"/>
        <v>233854</v>
      </c>
      <c r="J92" s="203">
        <f t="shared" si="22"/>
        <v>241455</v>
      </c>
      <c r="K92" s="204">
        <f t="shared" si="21"/>
        <v>233854</v>
      </c>
      <c r="L92" s="167"/>
      <c r="M92" s="505" t="s">
        <v>56</v>
      </c>
      <c r="N92" s="255">
        <v>1.2316</v>
      </c>
      <c r="O92" s="245"/>
      <c r="R92" s="525"/>
      <c r="S92" s="525"/>
      <c r="T92" s="525"/>
      <c r="U92" s="525"/>
      <c r="V92" s="525"/>
      <c r="W92" s="525"/>
      <c r="Z92" s="525"/>
      <c r="AN92" s="363">
        <f t="shared" si="16"/>
        <v>100</v>
      </c>
      <c r="AO92" s="364">
        <v>1.7241379999999999</v>
      </c>
      <c r="AP92" s="181"/>
    </row>
    <row r="93" spans="1:42" x14ac:dyDescent="0.25">
      <c r="A93" s="749">
        <v>127085.75000000001</v>
      </c>
      <c r="B93" s="749">
        <v>123041.05</v>
      </c>
      <c r="C93" s="752"/>
      <c r="D93" s="517">
        <v>82630.030134171611</v>
      </c>
      <c r="E93" s="202">
        <v>86</v>
      </c>
      <c r="F93" s="198">
        <f t="shared" si="19"/>
        <v>135981.75250000003</v>
      </c>
      <c r="G93" s="199">
        <f t="shared" si="20"/>
        <v>131653.9235</v>
      </c>
      <c r="H93" s="521">
        <f t="shared" si="17"/>
        <v>247240</v>
      </c>
      <c r="I93" s="493">
        <f t="shared" si="18"/>
        <v>239371</v>
      </c>
      <c r="J93" s="200">
        <f t="shared" si="22"/>
        <v>247240</v>
      </c>
      <c r="K93" s="201">
        <f t="shared" si="21"/>
        <v>239371</v>
      </c>
      <c r="L93" s="167"/>
      <c r="M93" s="244"/>
      <c r="N93" s="246"/>
      <c r="O93" s="243"/>
      <c r="R93" s="525"/>
      <c r="S93" s="525"/>
      <c r="T93" s="525"/>
      <c r="U93" s="525"/>
      <c r="V93" s="525"/>
      <c r="W93" s="525"/>
      <c r="Z93" s="525"/>
      <c r="AP93" s="181"/>
    </row>
    <row r="94" spans="1:42" x14ac:dyDescent="0.25">
      <c r="A94" s="749">
        <v>130060.70000000001</v>
      </c>
      <c r="B94" s="749">
        <v>125875.75000000001</v>
      </c>
      <c r="C94" s="752"/>
      <c r="D94" s="517">
        <v>84371.091540644877</v>
      </c>
      <c r="E94" s="205">
        <v>87</v>
      </c>
      <c r="F94" s="198">
        <f t="shared" si="19"/>
        <v>139164.94900000002</v>
      </c>
      <c r="G94" s="199">
        <f t="shared" si="20"/>
        <v>134687.05250000002</v>
      </c>
      <c r="H94" s="521">
        <f t="shared" si="17"/>
        <v>253027</v>
      </c>
      <c r="I94" s="493">
        <f t="shared" si="18"/>
        <v>244886</v>
      </c>
      <c r="J94" s="203">
        <f t="shared" si="22"/>
        <v>253027</v>
      </c>
      <c r="K94" s="204">
        <f t="shared" si="21"/>
        <v>244886</v>
      </c>
      <c r="L94" s="167"/>
      <c r="M94" s="243"/>
      <c r="N94" s="242"/>
      <c r="O94" s="243"/>
      <c r="P94" s="178"/>
      <c r="R94" s="525"/>
      <c r="S94" s="525"/>
      <c r="T94" s="525"/>
      <c r="U94" s="525"/>
      <c r="V94" s="525"/>
      <c r="W94" s="525"/>
      <c r="Z94" s="525"/>
      <c r="AP94" s="340"/>
    </row>
    <row r="95" spans="1:42" x14ac:dyDescent="0.25">
      <c r="A95" s="749">
        <v>133034.55000000002</v>
      </c>
      <c r="B95" s="749">
        <v>128711.55000000002</v>
      </c>
      <c r="C95" s="752"/>
      <c r="D95" s="517">
        <v>86112.152947118142</v>
      </c>
      <c r="E95" s="202">
        <v>88</v>
      </c>
      <c r="F95" s="198">
        <f t="shared" si="19"/>
        <v>142346.96850000002</v>
      </c>
      <c r="G95" s="199">
        <f t="shared" si="20"/>
        <v>137721.35850000003</v>
      </c>
      <c r="H95" s="521">
        <f t="shared" si="17"/>
        <v>258813</v>
      </c>
      <c r="I95" s="493">
        <f t="shared" si="18"/>
        <v>250402</v>
      </c>
      <c r="J95" s="200">
        <f t="shared" si="22"/>
        <v>258813</v>
      </c>
      <c r="K95" s="201">
        <f t="shared" si="21"/>
        <v>250402</v>
      </c>
      <c r="L95" s="167"/>
      <c r="M95" s="171"/>
      <c r="N95" s="195"/>
      <c r="R95" s="525"/>
      <c r="S95" s="525"/>
      <c r="T95" s="525"/>
      <c r="U95" s="525"/>
      <c r="V95" s="525"/>
      <c r="W95" s="525"/>
      <c r="X95" s="525"/>
      <c r="Y95" s="525"/>
      <c r="Z95" s="525"/>
      <c r="AP95" s="340"/>
    </row>
    <row r="96" spans="1:42" x14ac:dyDescent="0.25">
      <c r="A96" s="749">
        <v>136009.5</v>
      </c>
      <c r="B96" s="749">
        <v>131546.80000000002</v>
      </c>
      <c r="C96" s="752"/>
      <c r="D96" s="517">
        <v>87853.214353591407</v>
      </c>
      <c r="E96" s="205">
        <v>89</v>
      </c>
      <c r="F96" s="198">
        <f t="shared" si="19"/>
        <v>145530.16500000001</v>
      </c>
      <c r="G96" s="199">
        <f t="shared" si="20"/>
        <v>140755.07600000003</v>
      </c>
      <c r="H96" s="521">
        <f t="shared" si="17"/>
        <v>264600</v>
      </c>
      <c r="I96" s="493">
        <f t="shared" si="18"/>
        <v>255918</v>
      </c>
      <c r="J96" s="203">
        <f t="shared" si="22"/>
        <v>264600</v>
      </c>
      <c r="K96" s="204">
        <f t="shared" si="21"/>
        <v>255918</v>
      </c>
      <c r="L96" s="167"/>
      <c r="M96" s="171"/>
      <c r="N96" s="171"/>
      <c r="R96" s="525"/>
      <c r="S96" s="525"/>
      <c r="T96" s="525"/>
      <c r="U96" s="525"/>
      <c r="V96" s="525"/>
      <c r="W96" s="525"/>
      <c r="X96" s="525"/>
      <c r="Y96" s="525"/>
      <c r="Z96" s="525"/>
      <c r="AP96" s="340"/>
    </row>
    <row r="97" spans="1:42" x14ac:dyDescent="0.25">
      <c r="A97" s="749">
        <v>138983.90000000002</v>
      </c>
      <c r="B97" s="749">
        <v>134382.6</v>
      </c>
      <c r="C97" s="752"/>
      <c r="D97" s="517">
        <v>89594.275760064658</v>
      </c>
      <c r="E97" s="202">
        <v>90</v>
      </c>
      <c r="F97" s="198">
        <f t="shared" si="19"/>
        <v>148712.77300000004</v>
      </c>
      <c r="G97" s="199">
        <f t="shared" si="20"/>
        <v>143789.38200000001</v>
      </c>
      <c r="H97" s="521">
        <f t="shared" si="17"/>
        <v>270387</v>
      </c>
      <c r="I97" s="493">
        <f t="shared" si="18"/>
        <v>261435</v>
      </c>
      <c r="J97" s="200">
        <f t="shared" si="22"/>
        <v>270387</v>
      </c>
      <c r="K97" s="201">
        <f t="shared" si="21"/>
        <v>261435</v>
      </c>
      <c r="L97" s="167"/>
      <c r="M97" s="171"/>
      <c r="N97" s="171"/>
      <c r="R97" s="525"/>
      <c r="S97" s="525"/>
      <c r="T97" s="525"/>
      <c r="U97" s="525"/>
      <c r="V97" s="525"/>
      <c r="W97" s="525"/>
      <c r="X97" s="525"/>
      <c r="Y97" s="525"/>
      <c r="Z97" s="525"/>
      <c r="AP97" s="340"/>
    </row>
    <row r="98" spans="1:42" x14ac:dyDescent="0.25">
      <c r="A98" s="749">
        <v>141958.30000000002</v>
      </c>
      <c r="B98" s="749">
        <v>137218.40000000002</v>
      </c>
      <c r="C98" s="752"/>
      <c r="D98" s="517">
        <v>91335.337166537924</v>
      </c>
      <c r="E98" s="205">
        <v>91</v>
      </c>
      <c r="F98" s="198">
        <f t="shared" si="19"/>
        <v>151895.38100000002</v>
      </c>
      <c r="G98" s="199">
        <f t="shared" si="20"/>
        <v>146823.68800000002</v>
      </c>
      <c r="H98" s="521">
        <f t="shared" si="17"/>
        <v>276173</v>
      </c>
      <c r="I98" s="493">
        <f t="shared" si="18"/>
        <v>266952</v>
      </c>
      <c r="J98" s="203">
        <f t="shared" si="22"/>
        <v>276173</v>
      </c>
      <c r="K98" s="204">
        <f t="shared" si="21"/>
        <v>266952</v>
      </c>
      <c r="L98" s="167"/>
      <c r="M98" s="171"/>
      <c r="N98" s="195"/>
      <c r="R98" s="525"/>
      <c r="S98" s="525"/>
      <c r="T98" s="525"/>
      <c r="U98" s="525"/>
      <c r="V98" s="525"/>
      <c r="W98" s="525"/>
      <c r="X98" s="525"/>
      <c r="Y98" s="525"/>
      <c r="Z98" s="525"/>
      <c r="AP98" s="340"/>
    </row>
    <row r="99" spans="1:42" x14ac:dyDescent="0.25">
      <c r="A99" s="749">
        <v>144932.70000000001</v>
      </c>
      <c r="B99" s="749">
        <v>140054.20000000001</v>
      </c>
      <c r="C99" s="752"/>
      <c r="D99" s="517">
        <v>93076.398573011189</v>
      </c>
      <c r="E99" s="202">
        <v>92</v>
      </c>
      <c r="F99" s="198">
        <f t="shared" si="19"/>
        <v>155077.98900000003</v>
      </c>
      <c r="G99" s="199">
        <f t="shared" si="20"/>
        <v>149857.99400000004</v>
      </c>
      <c r="H99" s="521">
        <f t="shared" si="17"/>
        <v>281960</v>
      </c>
      <c r="I99" s="493">
        <f t="shared" si="18"/>
        <v>272469</v>
      </c>
      <c r="J99" s="200">
        <f t="shared" si="22"/>
        <v>281960</v>
      </c>
      <c r="K99" s="201">
        <f t="shared" si="21"/>
        <v>272469</v>
      </c>
      <c r="L99" s="167"/>
      <c r="M99" s="171"/>
      <c r="N99" s="171"/>
      <c r="R99" s="525"/>
      <c r="S99" s="525"/>
      <c r="T99" s="525"/>
      <c r="U99" s="525"/>
      <c r="V99" s="525"/>
      <c r="W99" s="525"/>
      <c r="X99" s="525"/>
      <c r="Y99" s="525"/>
      <c r="Z99" s="525"/>
      <c r="AP99" s="340"/>
    </row>
    <row r="100" spans="1:42" x14ac:dyDescent="0.25">
      <c r="A100" s="749">
        <v>147907.1</v>
      </c>
      <c r="B100" s="749">
        <v>142890</v>
      </c>
      <c r="C100" s="752"/>
      <c r="D100" s="517">
        <v>94817.45997948444</v>
      </c>
      <c r="E100" s="205">
        <v>93</v>
      </c>
      <c r="F100" s="198">
        <f t="shared" si="19"/>
        <v>158260.59700000001</v>
      </c>
      <c r="G100" s="199">
        <f t="shared" si="20"/>
        <v>152892.30000000002</v>
      </c>
      <c r="H100" s="521">
        <f t="shared" si="17"/>
        <v>287747</v>
      </c>
      <c r="I100" s="493">
        <f t="shared" si="18"/>
        <v>277986</v>
      </c>
      <c r="J100" s="203">
        <f t="shared" si="22"/>
        <v>287747</v>
      </c>
      <c r="K100" s="204">
        <f t="shared" si="21"/>
        <v>277986</v>
      </c>
      <c r="L100" s="167"/>
      <c r="M100" s="171"/>
      <c r="N100" s="171"/>
      <c r="R100" s="525"/>
      <c r="S100" s="525"/>
      <c r="T100" s="525"/>
      <c r="U100" s="525"/>
      <c r="V100" s="525"/>
      <c r="W100" s="525"/>
      <c r="X100" s="525"/>
      <c r="Y100" s="525"/>
      <c r="Z100" s="525"/>
      <c r="AP100" s="340"/>
    </row>
    <row r="101" spans="1:42" x14ac:dyDescent="0.25">
      <c r="A101" s="749">
        <v>150881.5</v>
      </c>
      <c r="B101" s="749">
        <v>145725.80000000002</v>
      </c>
      <c r="C101" s="752"/>
      <c r="D101" s="517">
        <v>96558.521385957691</v>
      </c>
      <c r="E101" s="202">
        <v>94</v>
      </c>
      <c r="F101" s="198">
        <f t="shared" si="19"/>
        <v>161443.20500000002</v>
      </c>
      <c r="G101" s="199">
        <f t="shared" si="20"/>
        <v>155926.60600000003</v>
      </c>
      <c r="H101" s="521">
        <f t="shared" si="17"/>
        <v>293533</v>
      </c>
      <c r="I101" s="493">
        <f t="shared" si="18"/>
        <v>283503</v>
      </c>
      <c r="J101" s="200">
        <f t="shared" si="22"/>
        <v>293533</v>
      </c>
      <c r="K101" s="201">
        <f t="shared" si="21"/>
        <v>283503</v>
      </c>
      <c r="L101" s="167"/>
      <c r="M101" s="171"/>
      <c r="N101" s="171"/>
      <c r="R101" s="525"/>
      <c r="S101" s="525"/>
      <c r="T101" s="525"/>
      <c r="U101" s="525"/>
      <c r="V101" s="525"/>
      <c r="W101" s="525"/>
      <c r="X101" s="525"/>
      <c r="Y101" s="525"/>
      <c r="Z101" s="525"/>
      <c r="AP101" s="340"/>
    </row>
    <row r="102" spans="1:42" x14ac:dyDescent="0.25">
      <c r="A102" s="749">
        <v>153856.45000000001</v>
      </c>
      <c r="B102" s="749">
        <v>148561.05000000002</v>
      </c>
      <c r="C102" s="752"/>
      <c r="D102" s="517">
        <v>98299.582792430956</v>
      </c>
      <c r="E102" s="205">
        <v>95</v>
      </c>
      <c r="F102" s="198">
        <f t="shared" si="19"/>
        <v>164626.40150000004</v>
      </c>
      <c r="G102" s="199">
        <f t="shared" si="20"/>
        <v>158960.32350000003</v>
      </c>
      <c r="H102" s="521">
        <f t="shared" ref="H102:I106" si="24">ROUND(F102/(1-$K$1-$K$2-$K$3),0)</f>
        <v>299321</v>
      </c>
      <c r="I102" s="493">
        <f t="shared" si="24"/>
        <v>289019</v>
      </c>
      <c r="J102" s="203">
        <f t="shared" si="22"/>
        <v>299321</v>
      </c>
      <c r="K102" s="204">
        <f t="shared" si="21"/>
        <v>289019</v>
      </c>
      <c r="L102" s="167"/>
      <c r="M102" s="171"/>
      <c r="N102" s="171"/>
      <c r="R102" s="525"/>
      <c r="S102" s="525"/>
      <c r="T102" s="525"/>
      <c r="U102" s="525"/>
      <c r="V102" s="525"/>
      <c r="W102" s="525"/>
      <c r="X102" s="525"/>
      <c r="Y102" s="525"/>
      <c r="Z102" s="525"/>
      <c r="AC102" s="191"/>
      <c r="AD102" s="191"/>
      <c r="AE102" s="191"/>
      <c r="AF102" s="191"/>
      <c r="AG102" s="191"/>
      <c r="AH102" s="191"/>
      <c r="AI102" s="191"/>
      <c r="AP102" s="340"/>
    </row>
    <row r="103" spans="1:42" x14ac:dyDescent="0.25">
      <c r="A103" s="750">
        <v>156830.30000000002</v>
      </c>
      <c r="B103" s="750">
        <v>151396.85</v>
      </c>
      <c r="C103" s="752"/>
      <c r="D103" s="517">
        <v>100040.64419890422</v>
      </c>
      <c r="E103" s="202">
        <v>96</v>
      </c>
      <c r="F103" s="198">
        <f t="shared" si="19"/>
        <v>167808.42100000003</v>
      </c>
      <c r="G103" s="199">
        <f t="shared" si="20"/>
        <v>161994.62950000001</v>
      </c>
      <c r="H103" s="521">
        <f t="shared" si="24"/>
        <v>305106</v>
      </c>
      <c r="I103" s="493">
        <f t="shared" si="24"/>
        <v>294536</v>
      </c>
      <c r="J103" s="200">
        <f t="shared" si="22"/>
        <v>305106</v>
      </c>
      <c r="K103" s="201">
        <f t="shared" si="21"/>
        <v>294536</v>
      </c>
      <c r="M103" s="171"/>
      <c r="N103" s="171"/>
      <c r="R103" s="525"/>
      <c r="S103" s="525"/>
      <c r="T103" s="525"/>
      <c r="U103" s="525"/>
      <c r="V103" s="525"/>
      <c r="W103" s="525"/>
      <c r="X103" s="525"/>
      <c r="Y103" s="525"/>
      <c r="Z103" s="525"/>
      <c r="AP103" s="340"/>
    </row>
    <row r="104" spans="1:42" x14ac:dyDescent="0.25">
      <c r="A104" s="750">
        <v>159805.25</v>
      </c>
      <c r="B104" s="750">
        <v>154232.65000000002</v>
      </c>
      <c r="C104" s="752"/>
      <c r="D104" s="517">
        <v>101781.70560537747</v>
      </c>
      <c r="E104" s="205">
        <v>97</v>
      </c>
      <c r="F104" s="198">
        <f t="shared" si="19"/>
        <v>170991.61750000002</v>
      </c>
      <c r="G104" s="199">
        <f t="shared" si="20"/>
        <v>165028.93550000002</v>
      </c>
      <c r="H104" s="521">
        <f t="shared" si="24"/>
        <v>310894</v>
      </c>
      <c r="I104" s="493">
        <f t="shared" si="24"/>
        <v>300053</v>
      </c>
      <c r="J104" s="203">
        <f t="shared" si="22"/>
        <v>310894</v>
      </c>
      <c r="K104" s="204">
        <f t="shared" si="21"/>
        <v>300053</v>
      </c>
      <c r="L104" s="243"/>
      <c r="M104" s="242"/>
      <c r="N104" s="242"/>
      <c r="R104" s="525"/>
      <c r="S104" s="525"/>
      <c r="T104" s="525"/>
      <c r="U104" s="525"/>
      <c r="V104" s="525"/>
      <c r="W104" s="525"/>
      <c r="X104" s="525"/>
      <c r="Y104" s="525"/>
      <c r="Z104" s="525"/>
      <c r="AP104" s="340"/>
    </row>
    <row r="105" spans="1:42" x14ac:dyDescent="0.25">
      <c r="A105" s="750">
        <v>162779.1</v>
      </c>
      <c r="B105" s="750">
        <v>157067.35</v>
      </c>
      <c r="C105" s="752"/>
      <c r="D105" s="517">
        <v>103522.76701185072</v>
      </c>
      <c r="E105" s="202">
        <v>98</v>
      </c>
      <c r="F105" s="198">
        <f t="shared" si="19"/>
        <v>174173.63700000002</v>
      </c>
      <c r="G105" s="199">
        <f t="shared" si="20"/>
        <v>168062.06450000001</v>
      </c>
      <c r="H105" s="521">
        <f t="shared" si="24"/>
        <v>316679</v>
      </c>
      <c r="I105" s="493">
        <f t="shared" si="24"/>
        <v>305567</v>
      </c>
      <c r="J105" s="200">
        <f t="shared" si="22"/>
        <v>316679</v>
      </c>
      <c r="K105" s="201">
        <f t="shared" si="21"/>
        <v>305567</v>
      </c>
      <c r="L105" s="243"/>
      <c r="M105" s="242"/>
      <c r="N105" s="242"/>
      <c r="R105" s="525"/>
      <c r="S105" s="525"/>
      <c r="T105" s="525"/>
      <c r="U105" s="525"/>
      <c r="V105" s="525"/>
      <c r="W105" s="525"/>
      <c r="X105" s="525"/>
      <c r="Y105" s="525"/>
      <c r="Z105" s="525"/>
      <c r="AP105" s="340"/>
    </row>
    <row r="106" spans="1:42" ht="11" thickBot="1" x14ac:dyDescent="0.3">
      <c r="A106" s="751">
        <v>165754.05000000002</v>
      </c>
      <c r="B106" s="751">
        <v>159903.15000000002</v>
      </c>
      <c r="C106" s="753"/>
      <c r="D106" s="518">
        <v>105263.82841832399</v>
      </c>
      <c r="E106" s="209">
        <v>99</v>
      </c>
      <c r="F106" s="198">
        <f t="shared" si="19"/>
        <v>177356.83350000004</v>
      </c>
      <c r="G106" s="199">
        <f t="shared" si="20"/>
        <v>171096.37050000005</v>
      </c>
      <c r="H106" s="522">
        <f t="shared" si="24"/>
        <v>322467</v>
      </c>
      <c r="I106" s="494">
        <f t="shared" si="24"/>
        <v>311084</v>
      </c>
      <c r="J106" s="207">
        <f t="shared" si="22"/>
        <v>322467</v>
      </c>
      <c r="K106" s="208">
        <f t="shared" si="21"/>
        <v>311084</v>
      </c>
      <c r="L106" s="243"/>
      <c r="M106" s="242"/>
      <c r="N106" s="242"/>
      <c r="R106" s="525"/>
      <c r="S106" s="525"/>
      <c r="T106" s="525"/>
      <c r="U106" s="525"/>
      <c r="V106" s="525"/>
      <c r="W106" s="525"/>
      <c r="X106" s="525"/>
      <c r="Y106" s="525"/>
      <c r="Z106" s="525"/>
      <c r="AP106" s="340"/>
    </row>
    <row r="107" spans="1:42" x14ac:dyDescent="0.25">
      <c r="D107" s="196"/>
      <c r="E107" s="158">
        <v>100</v>
      </c>
      <c r="F107" s="198">
        <f t="shared" si="19"/>
        <v>0</v>
      </c>
      <c r="G107" s="199">
        <f t="shared" si="20"/>
        <v>0</v>
      </c>
      <c r="L107" s="243"/>
      <c r="M107" s="242"/>
      <c r="N107" s="242"/>
      <c r="R107" s="525"/>
      <c r="S107" s="525"/>
      <c r="T107" s="525"/>
      <c r="U107" s="525"/>
      <c r="V107" s="525"/>
      <c r="W107" s="525"/>
      <c r="X107" s="525"/>
      <c r="Y107" s="525"/>
      <c r="Z107" s="525"/>
      <c r="AP107" s="340"/>
    </row>
    <row r="108" spans="1:42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5"/>
      <c r="S108" s="525"/>
      <c r="T108" s="525"/>
      <c r="U108" s="525"/>
      <c r="V108" s="525"/>
      <c r="W108" s="525"/>
      <c r="X108" s="525"/>
      <c r="Y108" s="525"/>
      <c r="Z108" s="525"/>
      <c r="AP108" s="340"/>
    </row>
    <row r="109" spans="1:42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5"/>
      <c r="S109" s="525"/>
      <c r="T109" s="525"/>
      <c r="U109" s="525"/>
      <c r="V109" s="525"/>
      <c r="W109" s="525"/>
      <c r="X109" s="525"/>
      <c r="Y109" s="525"/>
      <c r="Z109" s="525"/>
      <c r="AP109" s="340"/>
    </row>
    <row r="110" spans="1:42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5"/>
      <c r="S110" s="525"/>
      <c r="T110" s="525"/>
      <c r="U110" s="525"/>
      <c r="V110" s="525"/>
      <c r="W110" s="525"/>
      <c r="X110" s="525"/>
      <c r="Y110" s="525"/>
      <c r="Z110" s="525"/>
      <c r="AP110" s="340"/>
    </row>
    <row r="111" spans="1:42" x14ac:dyDescent="0.25">
      <c r="D111" s="196"/>
      <c r="E111" s="912"/>
      <c r="F111" s="913"/>
      <c r="G111" s="913"/>
      <c r="H111" s="230"/>
      <c r="I111" s="230"/>
      <c r="J111" s="913"/>
      <c r="K111" s="913"/>
      <c r="L111" s="243"/>
      <c r="M111" s="242"/>
      <c r="N111" s="242"/>
      <c r="R111" s="525"/>
      <c r="S111" s="525"/>
      <c r="T111" s="525"/>
      <c r="U111" s="525"/>
      <c r="V111" s="525"/>
      <c r="W111" s="525"/>
      <c r="X111" s="525"/>
      <c r="Y111" s="525"/>
      <c r="Z111" s="525"/>
      <c r="AP111" s="340"/>
    </row>
    <row r="112" spans="1:42" x14ac:dyDescent="0.25">
      <c r="D112" s="196"/>
      <c r="E112" s="912"/>
      <c r="F112" s="230"/>
      <c r="G112" s="230"/>
      <c r="H112" s="230"/>
      <c r="I112" s="230"/>
      <c r="J112" s="230"/>
      <c r="K112" s="230"/>
      <c r="L112" s="243"/>
      <c r="M112" s="242"/>
      <c r="N112" s="242"/>
      <c r="R112" s="525"/>
      <c r="S112" s="525"/>
      <c r="T112" s="525"/>
      <c r="U112" s="525"/>
      <c r="V112" s="525"/>
      <c r="W112" s="525"/>
      <c r="X112" s="525"/>
      <c r="Y112" s="525"/>
      <c r="Z112" s="525"/>
      <c r="AP112" s="340"/>
    </row>
    <row r="113" spans="3:44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5"/>
      <c r="S113" s="525"/>
      <c r="T113" s="525"/>
      <c r="U113" s="525"/>
      <c r="V113" s="525"/>
      <c r="W113" s="525"/>
      <c r="X113" s="525"/>
      <c r="Y113" s="525"/>
      <c r="Z113" s="525"/>
      <c r="AP113" s="340"/>
    </row>
    <row r="114" spans="3:44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5"/>
      <c r="S114" s="525"/>
      <c r="T114" s="525"/>
      <c r="U114" s="525"/>
      <c r="V114" s="525"/>
      <c r="W114" s="525"/>
      <c r="X114" s="525"/>
      <c r="Y114" s="525"/>
      <c r="Z114" s="525"/>
      <c r="AP114" s="340"/>
    </row>
    <row r="115" spans="3:44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5"/>
      <c r="S115" s="525"/>
      <c r="T115" s="525"/>
      <c r="U115" s="525"/>
      <c r="V115" s="525"/>
      <c r="W115" s="525"/>
      <c r="X115" s="525"/>
      <c r="Y115" s="525"/>
      <c r="Z115" s="525"/>
      <c r="AP115" s="340"/>
    </row>
    <row r="116" spans="3:44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5"/>
      <c r="S116" s="525"/>
      <c r="T116" s="525"/>
      <c r="U116" s="525"/>
      <c r="V116" s="525"/>
      <c r="W116" s="525"/>
      <c r="X116" s="525"/>
      <c r="Y116" s="525"/>
      <c r="Z116" s="525"/>
      <c r="AK116" s="159"/>
      <c r="AP116" s="340"/>
    </row>
    <row r="117" spans="3:44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5"/>
      <c r="S117" s="525"/>
      <c r="T117" s="525"/>
      <c r="U117" s="525"/>
      <c r="V117" s="525"/>
      <c r="W117" s="525"/>
      <c r="X117" s="525"/>
      <c r="Y117" s="525"/>
      <c r="Z117" s="525"/>
      <c r="AJ117" s="159"/>
      <c r="AK117" s="159"/>
      <c r="AM117" s="159"/>
      <c r="AP117" s="340"/>
    </row>
    <row r="118" spans="3:44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5"/>
      <c r="S118" s="525"/>
      <c r="T118" s="525"/>
      <c r="U118" s="525"/>
      <c r="V118" s="525"/>
      <c r="W118" s="525"/>
      <c r="X118" s="525"/>
      <c r="Y118" s="525"/>
      <c r="Z118" s="525"/>
      <c r="AJ118" s="159"/>
      <c r="AK118" s="159"/>
      <c r="AM118" s="159"/>
      <c r="AN118" s="234"/>
      <c r="AO118" s="235"/>
      <c r="AP118" s="159"/>
      <c r="AR118" s="197"/>
    </row>
    <row r="119" spans="3:44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5"/>
      <c r="S119" s="525"/>
      <c r="T119" s="525"/>
      <c r="U119" s="525"/>
      <c r="V119" s="525"/>
      <c r="W119" s="525"/>
      <c r="X119" s="525"/>
      <c r="Y119" s="525"/>
      <c r="Z119" s="525"/>
      <c r="AA119" s="158"/>
      <c r="AB119" s="158"/>
      <c r="AC119" s="158"/>
      <c r="AD119" s="158"/>
      <c r="AE119" s="158"/>
      <c r="AF119" s="158"/>
      <c r="AG119" s="158"/>
      <c r="AH119" s="158"/>
      <c r="AI119" s="158"/>
      <c r="AL119" s="158"/>
    </row>
    <row r="120" spans="3:44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5"/>
      <c r="S120" s="525"/>
      <c r="T120" s="525"/>
      <c r="U120" s="525"/>
      <c r="V120" s="525"/>
      <c r="W120" s="525"/>
      <c r="X120" s="525"/>
      <c r="Y120" s="525"/>
      <c r="Z120" s="525"/>
      <c r="AJ120" s="159"/>
      <c r="AK120" s="159"/>
      <c r="AM120" s="159"/>
    </row>
    <row r="121" spans="3:44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5"/>
      <c r="S121" s="525"/>
      <c r="T121" s="525"/>
      <c r="U121" s="525"/>
      <c r="V121" s="525"/>
      <c r="W121" s="525"/>
      <c r="X121" s="525"/>
      <c r="Y121" s="525"/>
      <c r="Z121" s="525"/>
      <c r="AJ121" s="159"/>
      <c r="AK121" s="159"/>
      <c r="AL121" s="159"/>
      <c r="AM121" s="159"/>
    </row>
    <row r="122" spans="3:44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5"/>
      <c r="S122" s="525"/>
      <c r="T122" s="525"/>
      <c r="U122" s="525"/>
      <c r="V122" s="525"/>
      <c r="W122" s="525"/>
      <c r="X122" s="525"/>
      <c r="Y122" s="525"/>
      <c r="Z122" s="525"/>
      <c r="AJ122" s="159"/>
      <c r="AK122" s="159"/>
      <c r="AL122" s="159"/>
      <c r="AM122" s="159"/>
    </row>
    <row r="123" spans="3:44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5"/>
      <c r="S123" s="525"/>
      <c r="T123" s="525"/>
      <c r="U123" s="525"/>
      <c r="V123" s="525"/>
      <c r="W123" s="525"/>
      <c r="X123" s="525"/>
      <c r="Y123" s="525"/>
      <c r="Z123" s="525"/>
      <c r="AJ123" s="159"/>
      <c r="AK123" s="159"/>
      <c r="AL123" s="159"/>
      <c r="AM123" s="159"/>
    </row>
    <row r="124" spans="3:44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5"/>
      <c r="S124" s="525"/>
      <c r="T124" s="525"/>
      <c r="U124" s="525"/>
      <c r="V124" s="525"/>
      <c r="W124" s="525"/>
      <c r="X124" s="525"/>
      <c r="Y124" s="525"/>
      <c r="Z124" s="525"/>
      <c r="AJ124" s="159"/>
      <c r="AK124" s="159"/>
      <c r="AL124" s="159"/>
      <c r="AM124" s="159"/>
    </row>
    <row r="125" spans="3:44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5"/>
      <c r="S125" s="525"/>
      <c r="T125" s="525"/>
      <c r="U125" s="525"/>
      <c r="V125" s="525"/>
      <c r="W125" s="525"/>
      <c r="X125" s="525"/>
      <c r="Y125" s="525"/>
      <c r="Z125" s="525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</row>
    <row r="126" spans="3:44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5"/>
      <c r="S126" s="525"/>
      <c r="T126" s="525"/>
      <c r="U126" s="525"/>
      <c r="V126" s="525"/>
      <c r="W126" s="525"/>
      <c r="X126" s="525"/>
      <c r="Y126" s="525"/>
      <c r="Z126" s="525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</row>
    <row r="127" spans="3:44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5"/>
      <c r="S127" s="525"/>
      <c r="T127" s="525"/>
      <c r="U127" s="525"/>
      <c r="V127" s="525"/>
      <c r="W127" s="525"/>
      <c r="X127" s="525"/>
      <c r="Y127" s="525"/>
      <c r="Z127" s="525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</row>
    <row r="128" spans="3:44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5"/>
      <c r="S128" s="525"/>
      <c r="T128" s="525"/>
      <c r="U128" s="525"/>
      <c r="V128" s="525"/>
      <c r="W128" s="525"/>
      <c r="X128" s="525"/>
      <c r="Y128" s="525"/>
      <c r="Z128" s="525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</row>
    <row r="129" spans="5:38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5"/>
      <c r="S129" s="525"/>
      <c r="T129" s="525"/>
      <c r="U129" s="525"/>
      <c r="V129" s="525"/>
      <c r="W129" s="525"/>
      <c r="X129" s="525"/>
      <c r="Y129" s="525"/>
      <c r="Z129" s="525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</row>
    <row r="130" spans="5:38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5"/>
      <c r="S130" s="525"/>
      <c r="T130" s="525"/>
      <c r="U130" s="525"/>
      <c r="V130" s="525"/>
      <c r="W130" s="525"/>
      <c r="X130" s="525"/>
      <c r="Y130" s="525"/>
      <c r="Z130" s="525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</row>
    <row r="131" spans="5:38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5"/>
      <c r="S131" s="525"/>
      <c r="T131" s="525"/>
      <c r="U131" s="525"/>
      <c r="V131" s="525"/>
      <c r="W131" s="525"/>
      <c r="X131" s="525"/>
      <c r="Y131" s="525"/>
      <c r="Z131" s="525"/>
      <c r="AA131" s="159"/>
      <c r="AB131" s="159"/>
      <c r="AC131" s="159"/>
      <c r="AD131" s="159"/>
      <c r="AE131" s="159"/>
      <c r="AF131" s="159"/>
      <c r="AG131" s="159"/>
      <c r="AH131" s="159"/>
      <c r="AI131" s="159"/>
    </row>
    <row r="132" spans="5:38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5"/>
      <c r="S132" s="525"/>
      <c r="T132" s="525"/>
      <c r="U132" s="525"/>
      <c r="V132" s="525"/>
      <c r="W132" s="525"/>
      <c r="X132" s="525"/>
      <c r="Y132" s="525"/>
      <c r="Z132" s="525"/>
      <c r="AA132" s="159"/>
      <c r="AB132" s="159"/>
      <c r="AC132" s="159"/>
      <c r="AD132" s="159"/>
      <c r="AE132" s="159"/>
      <c r="AF132" s="159"/>
      <c r="AG132" s="159"/>
      <c r="AH132" s="159"/>
      <c r="AI132" s="159"/>
    </row>
    <row r="133" spans="5:38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5"/>
      <c r="S133" s="525"/>
      <c r="T133" s="525"/>
      <c r="U133" s="525"/>
      <c r="V133" s="525"/>
      <c r="W133" s="525"/>
      <c r="X133" s="525"/>
      <c r="Y133" s="525"/>
      <c r="Z133" s="525"/>
      <c r="AA133" s="159"/>
      <c r="AB133" s="159"/>
      <c r="AC133" s="159"/>
      <c r="AD133" s="159"/>
      <c r="AE133" s="159"/>
      <c r="AF133" s="159"/>
      <c r="AG133" s="159"/>
      <c r="AH133" s="159"/>
      <c r="AI133" s="159"/>
    </row>
    <row r="134" spans="5:38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5"/>
      <c r="S134" s="525"/>
      <c r="T134" s="525"/>
      <c r="U134" s="525"/>
      <c r="V134" s="525"/>
      <c r="W134" s="525"/>
      <c r="X134" s="525"/>
      <c r="Y134" s="525"/>
      <c r="Z134" s="525"/>
    </row>
    <row r="135" spans="5:38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5"/>
      <c r="S135" s="525"/>
      <c r="T135" s="525"/>
      <c r="U135" s="525"/>
      <c r="V135" s="525"/>
      <c r="W135" s="525"/>
      <c r="X135" s="525"/>
      <c r="Y135" s="525"/>
      <c r="Z135" s="525"/>
    </row>
    <row r="136" spans="5:38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5"/>
      <c r="S136" s="525"/>
      <c r="T136" s="525"/>
      <c r="U136" s="525"/>
      <c r="V136" s="525"/>
      <c r="W136" s="525"/>
      <c r="X136" s="525"/>
      <c r="Y136" s="525"/>
      <c r="Z136" s="525"/>
    </row>
    <row r="137" spans="5:38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5"/>
      <c r="S137" s="525"/>
      <c r="T137" s="525"/>
      <c r="U137" s="525"/>
      <c r="V137" s="525"/>
      <c r="W137" s="525"/>
      <c r="X137" s="525"/>
      <c r="Y137" s="525"/>
      <c r="Z137" s="525"/>
    </row>
    <row r="138" spans="5:38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5"/>
      <c r="S138" s="525"/>
      <c r="T138" s="525"/>
      <c r="U138" s="525"/>
      <c r="V138" s="525"/>
      <c r="W138" s="525"/>
      <c r="X138" s="525"/>
      <c r="Y138" s="525"/>
      <c r="Z138" s="525"/>
    </row>
    <row r="139" spans="5:38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5"/>
      <c r="S139" s="525"/>
      <c r="T139" s="525"/>
      <c r="U139" s="525"/>
      <c r="V139" s="525"/>
      <c r="W139" s="525"/>
      <c r="X139" s="525"/>
      <c r="Y139" s="525"/>
      <c r="Z139" s="525"/>
    </row>
    <row r="140" spans="5:38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5"/>
      <c r="S140" s="525"/>
      <c r="T140" s="525"/>
      <c r="U140" s="525"/>
      <c r="V140" s="525"/>
      <c r="W140" s="525"/>
      <c r="X140" s="525"/>
      <c r="Y140" s="525"/>
      <c r="Z140" s="525"/>
    </row>
    <row r="141" spans="5:38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5"/>
      <c r="S141" s="525"/>
      <c r="T141" s="525"/>
      <c r="U141" s="525"/>
      <c r="V141" s="525"/>
      <c r="W141" s="525"/>
      <c r="X141" s="525"/>
      <c r="Y141" s="525"/>
      <c r="Z141" s="525"/>
    </row>
    <row r="142" spans="5:38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5"/>
      <c r="S142" s="525"/>
      <c r="T142" s="525"/>
      <c r="U142" s="525"/>
      <c r="V142" s="525"/>
      <c r="W142" s="525"/>
      <c r="X142" s="525"/>
      <c r="Y142" s="525"/>
      <c r="Z142" s="525"/>
    </row>
    <row r="143" spans="5:38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5"/>
      <c r="S143" s="525"/>
      <c r="T143" s="525"/>
      <c r="U143" s="525"/>
      <c r="V143" s="525"/>
      <c r="W143" s="525"/>
      <c r="X143" s="525"/>
      <c r="Y143" s="525"/>
      <c r="Z143" s="525"/>
    </row>
    <row r="144" spans="5:38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5"/>
      <c r="S144" s="525"/>
      <c r="T144" s="525"/>
      <c r="U144" s="525"/>
      <c r="V144" s="525"/>
      <c r="W144" s="525"/>
      <c r="X144" s="525"/>
      <c r="Y144" s="525"/>
      <c r="Z144" s="525"/>
    </row>
    <row r="145" spans="5:26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5"/>
      <c r="S145" s="525"/>
      <c r="T145" s="525"/>
      <c r="U145" s="525"/>
      <c r="V145" s="525"/>
      <c r="W145" s="525"/>
      <c r="X145" s="525"/>
      <c r="Y145" s="525"/>
      <c r="Z145" s="525"/>
    </row>
    <row r="146" spans="5:26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5"/>
      <c r="S146" s="525"/>
      <c r="T146" s="525"/>
      <c r="U146" s="525"/>
      <c r="V146" s="525"/>
      <c r="W146" s="525"/>
      <c r="X146" s="525"/>
      <c r="Y146" s="525"/>
      <c r="Z146" s="525"/>
    </row>
    <row r="147" spans="5:26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5"/>
      <c r="S147" s="525"/>
      <c r="T147" s="525"/>
      <c r="U147" s="525"/>
      <c r="V147" s="525"/>
      <c r="W147" s="525"/>
      <c r="X147" s="525"/>
      <c r="Y147" s="525"/>
      <c r="Z147" s="525"/>
    </row>
    <row r="148" spans="5:26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5"/>
      <c r="S148" s="525"/>
      <c r="T148" s="525"/>
      <c r="U148" s="525"/>
      <c r="V148" s="525"/>
      <c r="W148" s="525"/>
      <c r="X148" s="525"/>
      <c r="Y148" s="525"/>
      <c r="Z148" s="525"/>
    </row>
    <row r="149" spans="5:26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5"/>
      <c r="S149" s="525"/>
      <c r="T149" s="525"/>
      <c r="U149" s="525"/>
      <c r="V149" s="525"/>
      <c r="W149" s="525"/>
      <c r="X149" s="525"/>
      <c r="Y149" s="525"/>
      <c r="Z149" s="525"/>
    </row>
    <row r="150" spans="5:26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5"/>
      <c r="S150" s="525"/>
      <c r="T150" s="525"/>
      <c r="U150" s="525"/>
      <c r="V150" s="525"/>
      <c r="W150" s="525"/>
      <c r="X150" s="525"/>
      <c r="Y150" s="525"/>
      <c r="Z150" s="525"/>
    </row>
    <row r="151" spans="5:26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5"/>
      <c r="S151" s="525"/>
      <c r="T151" s="525"/>
      <c r="U151" s="525"/>
      <c r="V151" s="525"/>
      <c r="W151" s="525"/>
      <c r="X151" s="525"/>
      <c r="Y151" s="525"/>
      <c r="Z151" s="525"/>
    </row>
    <row r="152" spans="5:26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5"/>
      <c r="S152" s="525"/>
      <c r="T152" s="525"/>
      <c r="U152" s="525"/>
      <c r="V152" s="525"/>
      <c r="W152" s="525"/>
      <c r="X152" s="525"/>
      <c r="Y152" s="525"/>
      <c r="Z152" s="525"/>
    </row>
    <row r="153" spans="5:26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5"/>
      <c r="S153" s="525"/>
      <c r="T153" s="525"/>
      <c r="U153" s="525"/>
      <c r="V153" s="525"/>
      <c r="W153" s="525"/>
      <c r="X153" s="525"/>
      <c r="Y153" s="525"/>
      <c r="Z153" s="525"/>
    </row>
    <row r="154" spans="5:26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5"/>
      <c r="S154" s="525"/>
      <c r="T154" s="525"/>
      <c r="U154" s="525"/>
      <c r="V154" s="525"/>
      <c r="W154" s="525"/>
      <c r="X154" s="525"/>
      <c r="Y154" s="525"/>
      <c r="Z154" s="525"/>
    </row>
    <row r="155" spans="5:26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5"/>
      <c r="S155" s="525"/>
      <c r="T155" s="525"/>
      <c r="U155" s="525"/>
      <c r="V155" s="525"/>
      <c r="W155" s="525"/>
      <c r="X155" s="525"/>
      <c r="Y155" s="525"/>
      <c r="Z155" s="525"/>
    </row>
    <row r="156" spans="5:26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6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6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6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6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Q1:AR1"/>
    <mergeCell ref="AN1:AO1"/>
    <mergeCell ref="AQ4:AR4"/>
    <mergeCell ref="AN2:AO2"/>
    <mergeCell ref="AK44:AL44"/>
    <mergeCell ref="AK24:AL24"/>
    <mergeCell ref="AK1:AL1"/>
    <mergeCell ref="AC73:AF73"/>
    <mergeCell ref="A6:B6"/>
    <mergeCell ref="AA26:AB26"/>
    <mergeCell ref="AA33:AB33"/>
    <mergeCell ref="AA43:AB43"/>
    <mergeCell ref="AA60:AB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2023-03-09T18:05:00Z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