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Equipo\Documents\COTIZADORES\SIS NOVA\"/>
    </mc:Choice>
  </mc:AlternateContent>
  <workbookProtection workbookAlgorithmName="SHA-512" workbookHashValue="RFHzEOlTwljS/MZisHEpjV8AU8eUQOppIxOTsZC73YDj1h0rSaE3VAtnuM2gRvOgkMF0jZEOYj8kW6Qx7sl1pg==" workbookSaltValue="TNu0ibzNFPz5Fztbd8Ug3g==" workbookSpinCount="100000" lockStructure="1"/>
  <bookViews>
    <workbookView xWindow="-120" yWindow="-120" windowWidth="20730" windowHeight="11160"/>
  </bookViews>
  <sheets>
    <sheet name="Bienvenida" sheetId="21" r:id="rId1"/>
    <sheet name="Cotización" sheetId="11" state="hidden" r:id="rId2"/>
    <sheet name="Hoja1" sheetId="27" state="hidden" r:id="rId3"/>
    <sheet name="Agente" sheetId="22" state="hidden" r:id="rId4"/>
    <sheet name="NAS" sheetId="26" state="hidden" r:id="rId5"/>
    <sheet name="O.T. Emision" sheetId="24" state="hidden" r:id="rId6"/>
    <sheet name="Carga_Tarifa" sheetId="25" state="hidden" r:id="rId7"/>
    <sheet name="Carga_Tarifa_2" sheetId="14" state="hidden" r:id="rId8"/>
    <sheet name="Hospitalario" sheetId="18" state="hidden" r:id="rId9"/>
    <sheet name="Cotizador EMER" sheetId="20" state="hidden" r:id="rId10"/>
    <sheet name="Cotizador Basica" sheetId="1" state="hidden" r:id="rId11"/>
    <sheet name="Cotizador Extranjero" sheetId="19" state="hidden" r:id="rId12"/>
    <sheet name="Cotizador Cobertura Ext 2" sheetId="16" state="hidden" r:id="rId13"/>
    <sheet name="Cotizador Cobertura EMER" sheetId="17" state="hidden" r:id="rId14"/>
    <sheet name="Prima de Riesgo" sheetId="15" state="hidden" r:id="rId15"/>
  </sheets>
  <externalReferences>
    <externalReference r:id="rId16"/>
    <externalReference r:id="rId17"/>
  </externalReferences>
  <definedNames>
    <definedName name="admon">[1]Tablas!$N$15</definedName>
    <definedName name="adq">[1]Tablas!$N$14</definedName>
    <definedName name="_xlnm.Print_Area" localSheetId="1">Cotización!$A$1:$K$73</definedName>
    <definedName name="costocorp">[1]Tablas!#REF!</definedName>
    <definedName name="fcs">[1]Tablas!$N$7</definedName>
    <definedName name="fded">[1]Tablas!$N$6</definedName>
    <definedName name="fnh">[1]Tablas!$N$10</definedName>
    <definedName name="freg">[1]Tablas!$N$9</definedName>
    <definedName name="fro">[1]Tablas!$N$12</definedName>
    <definedName name="fsa">[1]Tablas!$N$4</definedName>
    <definedName name="fsamat">[1]Tablas!$N$5</definedName>
    <definedName name="ftab">[1]Tablas!$N$11</definedName>
    <definedName name="ftcs">[1]Tablas!$N$8</definedName>
    <definedName name="infl">[1]Tablas!$N$13</definedName>
    <definedName name="INTE100">[2]Salida2!#REF!</definedName>
    <definedName name="INTE200">[2]Salida2!#REF!</definedName>
    <definedName name="INTE200T">[2]Coberturas!#REF!</definedName>
    <definedName name="INTO100">[2]Salida2!#REF!</definedName>
    <definedName name="INTO100T">[2]Coberturas!#REF!</definedName>
    <definedName name="INTO200">[2]Salida2!#REF!</definedName>
    <definedName name="INTO200T">[2]Coberturas!#REF!</definedName>
    <definedName name="INTP100">[2]Salida2!#REF!</definedName>
    <definedName name="INTP100T">[2]Coberturas!#REF!</definedName>
    <definedName name="INTP200">[2]Salida2!#REF!</definedName>
    <definedName name="INTP200T">[2]Coberturas!#REF!</definedName>
    <definedName name="margen">[1]Tablas!#REF!</definedName>
    <definedName name="MEMB100">[2]Salida2!#REF!</definedName>
    <definedName name="MEMB100T">[2]Coberturas!#REF!</definedName>
    <definedName name="MEMB200">[2]Salida2!#REF!</definedName>
    <definedName name="MEMB200T">[2]Coberturas!#REF!</definedName>
    <definedName name="no_aseg">[2]Cotización!$C$16</definedName>
    <definedName name="utilidad">[1]Tablas!$N$16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3" i="26" l="1"/>
  <c r="C11" i="26"/>
  <c r="H32" i="26"/>
  <c r="H30" i="26"/>
  <c r="H8" i="26"/>
  <c r="C8" i="26"/>
  <c r="C4" i="24" l="1"/>
  <c r="C3" i="24"/>
  <c r="D33" i="26" l="1"/>
  <c r="D32" i="26"/>
  <c r="R18" i="11"/>
  <c r="C11" i="24" l="1"/>
  <c r="C39" i="26" s="1"/>
  <c r="C10" i="24"/>
  <c r="B15" i="24"/>
  <c r="B14" i="24"/>
  <c r="B13" i="24"/>
  <c r="B12" i="24"/>
  <c r="B11" i="24"/>
  <c r="B10" i="24"/>
  <c r="B9" i="24"/>
  <c r="C18" i="26" l="1"/>
  <c r="G16" i="26"/>
  <c r="J10" i="24" l="1"/>
  <c r="I10" i="24"/>
  <c r="H10" i="24"/>
  <c r="G10" i="24"/>
  <c r="F10" i="24"/>
  <c r="E10" i="24"/>
  <c r="J9" i="24"/>
  <c r="I9" i="24"/>
  <c r="H9" i="24"/>
  <c r="G9" i="24"/>
  <c r="F9" i="24"/>
  <c r="E9" i="24"/>
  <c r="J8" i="24"/>
  <c r="I8" i="24"/>
  <c r="H8" i="24"/>
  <c r="G8" i="24"/>
  <c r="F8" i="24"/>
  <c r="E8" i="24"/>
  <c r="J7" i="24"/>
  <c r="I7" i="24"/>
  <c r="H7" i="24"/>
  <c r="G7" i="24"/>
  <c r="F7" i="24"/>
  <c r="E7" i="24"/>
  <c r="J6" i="24"/>
  <c r="I6" i="24"/>
  <c r="H6" i="24"/>
  <c r="G6" i="24"/>
  <c r="F6" i="24"/>
  <c r="E6" i="24"/>
  <c r="J5" i="24"/>
  <c r="I5" i="24"/>
  <c r="H5" i="24"/>
  <c r="G5" i="24"/>
  <c r="F5" i="24"/>
  <c r="E5" i="24"/>
  <c r="J4" i="24"/>
  <c r="I4" i="24"/>
  <c r="H4" i="24"/>
  <c r="G4" i="24"/>
  <c r="F4" i="24"/>
  <c r="E4" i="24"/>
  <c r="C5" i="24" l="1"/>
  <c r="C7" i="24" l="1"/>
  <c r="C2" i="24"/>
  <c r="D30" i="26" s="1"/>
  <c r="J3" i="24"/>
  <c r="H3" i="24"/>
  <c r="I3" i="24"/>
  <c r="G3" i="24"/>
  <c r="F3" i="24"/>
  <c r="E3" i="24"/>
  <c r="B64" i="11" l="1"/>
  <c r="K2" i="18" l="1"/>
  <c r="O50" i="11" l="1"/>
  <c r="P50" i="11"/>
  <c r="B2" i="20" l="1"/>
  <c r="B4" i="20" s="1"/>
  <c r="Y6" i="20" s="1"/>
  <c r="W17" i="20"/>
  <c r="AA13" i="20"/>
  <c r="AA12" i="20"/>
  <c r="AA11" i="20"/>
  <c r="AA6" i="20"/>
  <c r="AA5" i="20"/>
  <c r="AA4" i="20"/>
  <c r="Z4" i="20"/>
  <c r="C4" i="20"/>
  <c r="Z6" i="20" s="1"/>
  <c r="C3" i="20"/>
  <c r="Z5" i="20" s="1"/>
  <c r="B2" i="1"/>
  <c r="B2" i="19"/>
  <c r="Y4" i="19" s="1"/>
  <c r="W17" i="19"/>
  <c r="AA13" i="19"/>
  <c r="AA12" i="19"/>
  <c r="AA11" i="19"/>
  <c r="AA6" i="19"/>
  <c r="AA5" i="19"/>
  <c r="AA4" i="19"/>
  <c r="Z4" i="19"/>
  <c r="C4" i="19"/>
  <c r="Z6" i="19" s="1"/>
  <c r="C3" i="19"/>
  <c r="Z5" i="19" s="1"/>
  <c r="AA17" i="19" l="1"/>
  <c r="AA17" i="20"/>
  <c r="AB4" i="19"/>
  <c r="AC4" i="19" s="1"/>
  <c r="X11" i="19" s="1"/>
  <c r="AC11" i="19" s="1"/>
  <c r="AB6" i="20"/>
  <c r="AC6" i="20" s="1"/>
  <c r="X13" i="20" s="1"/>
  <c r="AC13" i="20" s="1"/>
  <c r="B3" i="20"/>
  <c r="Y5" i="20" s="1"/>
  <c r="AB5" i="20" s="1"/>
  <c r="AC5" i="20" s="1"/>
  <c r="X12" i="20" s="1"/>
  <c r="AC12" i="20" s="1"/>
  <c r="B3" i="19"/>
  <c r="Y5" i="19" s="1"/>
  <c r="AB5" i="19" s="1"/>
  <c r="AC5" i="19" s="1"/>
  <c r="X12" i="19" s="1"/>
  <c r="Y4" i="20"/>
  <c r="AB4" i="20" s="1"/>
  <c r="AC4" i="20" s="1"/>
  <c r="X11" i="20" s="1"/>
  <c r="Y11" i="19" l="1"/>
  <c r="Z11" i="19" s="1"/>
  <c r="Y13" i="20"/>
  <c r="Z13" i="20" s="1"/>
  <c r="Y12" i="20"/>
  <c r="AB12" i="20" s="1"/>
  <c r="B4" i="19"/>
  <c r="Y6" i="19" s="1"/>
  <c r="AB6" i="19" s="1"/>
  <c r="AC6" i="19" s="1"/>
  <c r="X13" i="19" s="1"/>
  <c r="X17" i="20"/>
  <c r="AC11" i="20"/>
  <c r="AC17" i="20" s="1"/>
  <c r="Y11" i="20"/>
  <c r="AC12" i="19"/>
  <c r="Y12" i="19"/>
  <c r="AB11" i="19" l="1"/>
  <c r="AB13" i="20"/>
  <c r="Z12" i="20"/>
  <c r="AC13" i="19"/>
  <c r="AC17" i="19" s="1"/>
  <c r="Y13" i="19"/>
  <c r="Y17" i="19" s="1"/>
  <c r="X17" i="19"/>
  <c r="Y17" i="20"/>
  <c r="Z11" i="20"/>
  <c r="AB11" i="20"/>
  <c r="AB12" i="19"/>
  <c r="Z12" i="19"/>
  <c r="B45" i="11"/>
  <c r="K8"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K5" i="18"/>
  <c r="K7" i="18" s="1"/>
  <c r="D5" i="18"/>
  <c r="D4" i="18"/>
  <c r="D3" i="18"/>
  <c r="D2" i="18"/>
  <c r="J33" i="17"/>
  <c r="K33" i="17" s="1"/>
  <c r="I33" i="17"/>
  <c r="I32" i="17"/>
  <c r="J32" i="17" s="1"/>
  <c r="K32" i="17" s="1"/>
  <c r="G33" i="17"/>
  <c r="G33" i="16"/>
  <c r="H33" i="16" s="1"/>
  <c r="I33" i="16" s="1"/>
  <c r="F33" i="16"/>
  <c r="G32" i="16"/>
  <c r="H32" i="16" s="1"/>
  <c r="I32" i="16" s="1"/>
  <c r="F32" i="16"/>
  <c r="G32" i="17"/>
  <c r="Z17" i="20" l="1"/>
  <c r="X21" i="20" s="1"/>
  <c r="X22" i="20" s="1"/>
  <c r="X23" i="20" s="1"/>
  <c r="AB17" i="20"/>
  <c r="K10" i="18"/>
  <c r="X44" i="11" s="1"/>
  <c r="X68" i="11" s="1"/>
  <c r="I45" i="11" s="1"/>
  <c r="Z13" i="19"/>
  <c r="Z17" i="19" s="1"/>
  <c r="X21" i="19" s="1"/>
  <c r="X22" i="19" s="1"/>
  <c r="X23" i="19" s="1"/>
  <c r="AB13" i="19"/>
  <c r="AB17" i="19" s="1"/>
  <c r="P103" i="20" l="1"/>
  <c r="P99" i="20"/>
  <c r="P95" i="20"/>
  <c r="P91" i="20"/>
  <c r="P87" i="20"/>
  <c r="P83" i="20"/>
  <c r="P79" i="20"/>
  <c r="P75" i="20"/>
  <c r="P71" i="20"/>
  <c r="P67" i="20"/>
  <c r="P63" i="20"/>
  <c r="P59" i="20"/>
  <c r="P55" i="20"/>
  <c r="P51" i="20"/>
  <c r="P47" i="20"/>
  <c r="P43" i="20"/>
  <c r="P39" i="20"/>
  <c r="P35" i="20"/>
  <c r="P31" i="20"/>
  <c r="P27" i="20"/>
  <c r="P18" i="20"/>
  <c r="P17" i="20"/>
  <c r="P11" i="20"/>
  <c r="P7" i="20"/>
  <c r="P5" i="20"/>
  <c r="P56" i="20"/>
  <c r="P8" i="20"/>
  <c r="P102" i="20"/>
  <c r="P98" i="20"/>
  <c r="P94" i="20"/>
  <c r="P90" i="20"/>
  <c r="P86" i="20"/>
  <c r="P82" i="20"/>
  <c r="P78" i="20"/>
  <c r="P74" i="20"/>
  <c r="P70" i="20"/>
  <c r="P66" i="20"/>
  <c r="P62" i="20"/>
  <c r="P58" i="20"/>
  <c r="P54" i="20"/>
  <c r="P50" i="20"/>
  <c r="P46" i="20"/>
  <c r="P42" i="20"/>
  <c r="P38" i="20"/>
  <c r="P34" i="20"/>
  <c r="P30" i="20"/>
  <c r="P26" i="20"/>
  <c r="P23" i="20"/>
  <c r="P21" i="20"/>
  <c r="P16" i="20"/>
  <c r="P12" i="20"/>
  <c r="P10" i="20"/>
  <c r="P3" i="20"/>
  <c r="P96" i="20"/>
  <c r="P92" i="20"/>
  <c r="P84" i="20"/>
  <c r="P76" i="20"/>
  <c r="P64" i="20"/>
  <c r="P52" i="20"/>
  <c r="P44" i="20"/>
  <c r="P36" i="20"/>
  <c r="P28" i="20"/>
  <c r="P22" i="20"/>
  <c r="P101" i="20"/>
  <c r="P97" i="20"/>
  <c r="P93" i="20"/>
  <c r="P89" i="20"/>
  <c r="P85" i="20"/>
  <c r="P81" i="20"/>
  <c r="P77" i="20"/>
  <c r="P73" i="20"/>
  <c r="P69" i="20"/>
  <c r="P65" i="20"/>
  <c r="P61" i="20"/>
  <c r="P57" i="20"/>
  <c r="P53" i="20"/>
  <c r="P49" i="20"/>
  <c r="P45" i="20"/>
  <c r="P41" i="20"/>
  <c r="P37" i="20"/>
  <c r="P33" i="20"/>
  <c r="P29" i="20"/>
  <c r="P25" i="20"/>
  <c r="P20" i="20"/>
  <c r="P15" i="20"/>
  <c r="P13" i="20"/>
  <c r="P9" i="20"/>
  <c r="P6" i="20"/>
  <c r="P4" i="20"/>
  <c r="P100" i="20"/>
  <c r="P88" i="20"/>
  <c r="P80" i="20"/>
  <c r="P72" i="20"/>
  <c r="P68" i="20"/>
  <c r="P60" i="20"/>
  <c r="P48" i="20"/>
  <c r="P40" i="20"/>
  <c r="P32" i="20"/>
  <c r="P24" i="20"/>
  <c r="P19" i="20"/>
  <c r="P14" i="20"/>
  <c r="P103" i="19"/>
  <c r="P99" i="19"/>
  <c r="P95" i="19"/>
  <c r="P91" i="19"/>
  <c r="P87" i="19"/>
  <c r="P83" i="19"/>
  <c r="P79" i="19"/>
  <c r="P75" i="19"/>
  <c r="P71" i="19"/>
  <c r="P67" i="19"/>
  <c r="P63" i="19"/>
  <c r="P59" i="19"/>
  <c r="P55" i="19"/>
  <c r="P51" i="19"/>
  <c r="P47" i="19"/>
  <c r="P43" i="19"/>
  <c r="P39" i="19"/>
  <c r="P35" i="19"/>
  <c r="P31" i="19"/>
  <c r="P27" i="19"/>
  <c r="P18" i="19"/>
  <c r="P17" i="19"/>
  <c r="P11" i="19"/>
  <c r="P7" i="19"/>
  <c r="P5" i="19"/>
  <c r="P3" i="19"/>
  <c r="P102" i="19"/>
  <c r="P98" i="19"/>
  <c r="P94" i="19"/>
  <c r="P90" i="19"/>
  <c r="P86" i="19"/>
  <c r="P82" i="19"/>
  <c r="P78" i="19"/>
  <c r="P74" i="19"/>
  <c r="P70" i="19"/>
  <c r="P66" i="19"/>
  <c r="P62" i="19"/>
  <c r="P58" i="19"/>
  <c r="P54" i="19"/>
  <c r="P50" i="19"/>
  <c r="P46" i="19"/>
  <c r="P42" i="19"/>
  <c r="P38" i="19"/>
  <c r="P34" i="19"/>
  <c r="P30" i="19"/>
  <c r="P26" i="19"/>
  <c r="P23" i="19"/>
  <c r="P21" i="19"/>
  <c r="P16" i="19"/>
  <c r="P12" i="19"/>
  <c r="P10" i="19"/>
  <c r="P14" i="19"/>
  <c r="P101" i="19"/>
  <c r="P97" i="19"/>
  <c r="P93" i="19"/>
  <c r="P89" i="19"/>
  <c r="P85" i="19"/>
  <c r="P81" i="19"/>
  <c r="P77" i="19"/>
  <c r="P73" i="19"/>
  <c r="P69" i="19"/>
  <c r="P65" i="19"/>
  <c r="P61" i="19"/>
  <c r="P57" i="19"/>
  <c r="P53" i="19"/>
  <c r="P49" i="19"/>
  <c r="P45" i="19"/>
  <c r="P41" i="19"/>
  <c r="P37" i="19"/>
  <c r="P33" i="19"/>
  <c r="P29" i="19"/>
  <c r="P25" i="19"/>
  <c r="P20" i="19"/>
  <c r="P15" i="19"/>
  <c r="P13" i="19"/>
  <c r="P9" i="19"/>
  <c r="P6" i="19"/>
  <c r="P4" i="19"/>
  <c r="P100" i="19"/>
  <c r="P96" i="19"/>
  <c r="P92" i="19"/>
  <c r="P88" i="19"/>
  <c r="P84" i="19"/>
  <c r="P80" i="19"/>
  <c r="P76" i="19"/>
  <c r="P72" i="19"/>
  <c r="P68" i="19"/>
  <c r="P64" i="19"/>
  <c r="P60" i="19"/>
  <c r="P56" i="19"/>
  <c r="P52" i="19"/>
  <c r="P48" i="19"/>
  <c r="P44" i="19"/>
  <c r="P40" i="19"/>
  <c r="P36" i="19"/>
  <c r="P32" i="19"/>
  <c r="P28" i="19"/>
  <c r="P24" i="19"/>
  <c r="P22" i="19"/>
  <c r="P19" i="19"/>
  <c r="P8" i="19"/>
  <c r="W17" i="1"/>
  <c r="AA13" i="1"/>
  <c r="AA12" i="1"/>
  <c r="AA11" i="1"/>
  <c r="Z4" i="1"/>
  <c r="AA6" i="1"/>
  <c r="AA5" i="1"/>
  <c r="AA4" i="1"/>
  <c r="AA17" i="1" l="1"/>
  <c r="G69" i="14"/>
  <c r="I69" i="14" s="1"/>
  <c r="F69" i="14"/>
  <c r="H69" i="14" s="1"/>
  <c r="G14" i="14"/>
  <c r="I14" i="14" s="1"/>
  <c r="F14" i="14"/>
  <c r="H14" i="14" s="1"/>
  <c r="G20" i="14"/>
  <c r="I20" i="14" s="1"/>
  <c r="F20" i="14"/>
  <c r="H20" i="14" s="1"/>
  <c r="G49" i="14"/>
  <c r="I49" i="14" s="1"/>
  <c r="F49" i="14"/>
  <c r="H49" i="14" s="1"/>
  <c r="G81" i="14"/>
  <c r="I81" i="14" s="1"/>
  <c r="F81" i="14"/>
  <c r="H81" i="14" s="1"/>
  <c r="F7" i="14"/>
  <c r="H7" i="14" s="1"/>
  <c r="G7" i="14"/>
  <c r="I7" i="14" s="1"/>
  <c r="G21" i="14"/>
  <c r="I21" i="14" s="1"/>
  <c r="F21" i="14"/>
  <c r="H21" i="14" s="1"/>
  <c r="G38" i="14"/>
  <c r="I38" i="14" s="1"/>
  <c r="F38" i="14"/>
  <c r="H38" i="14" s="1"/>
  <c r="G54" i="14"/>
  <c r="I54" i="14" s="1"/>
  <c r="F54" i="14"/>
  <c r="H54" i="14" s="1"/>
  <c r="G70" i="14"/>
  <c r="I70" i="14" s="1"/>
  <c r="F70" i="14"/>
  <c r="H70" i="14" s="1"/>
  <c r="G86" i="14"/>
  <c r="I86" i="14" s="1"/>
  <c r="F86" i="14"/>
  <c r="H86" i="14" s="1"/>
  <c r="G102" i="14"/>
  <c r="I102" i="14" s="1"/>
  <c r="F102" i="14"/>
  <c r="H102" i="14" s="1"/>
  <c r="F45" i="14"/>
  <c r="H45" i="14" s="1"/>
  <c r="G45" i="14"/>
  <c r="I45" i="14" s="1"/>
  <c r="G85" i="14"/>
  <c r="I85" i="14" s="1"/>
  <c r="F85" i="14"/>
  <c r="H85" i="14" s="1"/>
  <c r="F11" i="14"/>
  <c r="H11" i="14" s="1"/>
  <c r="G11" i="14"/>
  <c r="I11" i="14" s="1"/>
  <c r="G24" i="14"/>
  <c r="I24" i="14" s="1"/>
  <c r="F24" i="14"/>
  <c r="H24" i="14" s="1"/>
  <c r="F39" i="14"/>
  <c r="H39" i="14" s="1"/>
  <c r="G39" i="14"/>
  <c r="I39" i="14" s="1"/>
  <c r="F55" i="14"/>
  <c r="H55" i="14" s="1"/>
  <c r="G55" i="14"/>
  <c r="I55" i="14" s="1"/>
  <c r="G71" i="14"/>
  <c r="I71" i="14" s="1"/>
  <c r="F71" i="14"/>
  <c r="H71" i="14" s="1"/>
  <c r="G87" i="14"/>
  <c r="I87" i="14" s="1"/>
  <c r="F87" i="14"/>
  <c r="H87" i="14" s="1"/>
  <c r="G103" i="14"/>
  <c r="I103" i="14" s="1"/>
  <c r="F103" i="14"/>
  <c r="H103" i="14" s="1"/>
  <c r="G8" i="14"/>
  <c r="I8" i="14" s="1"/>
  <c r="F8" i="14"/>
  <c r="H8" i="14" s="1"/>
  <c r="G28" i="14"/>
  <c r="I28" i="14" s="1"/>
  <c r="F28" i="14"/>
  <c r="H28" i="14" s="1"/>
  <c r="G44" i="14"/>
  <c r="I44" i="14" s="1"/>
  <c r="F44" i="14"/>
  <c r="H44" i="14" s="1"/>
  <c r="F60" i="14"/>
  <c r="H60" i="14" s="1"/>
  <c r="G60" i="14"/>
  <c r="I60" i="14" s="1"/>
  <c r="F76" i="14"/>
  <c r="H76" i="14" s="1"/>
  <c r="G76" i="14"/>
  <c r="I76" i="14" s="1"/>
  <c r="F92" i="14"/>
  <c r="H92" i="14" s="1"/>
  <c r="G92" i="14"/>
  <c r="I92" i="14" s="1"/>
  <c r="G25" i="14"/>
  <c r="I25" i="14" s="1"/>
  <c r="F25" i="14"/>
  <c r="H25" i="14" s="1"/>
  <c r="G61" i="14"/>
  <c r="I61" i="14" s="1"/>
  <c r="F61" i="14"/>
  <c r="H61" i="14" s="1"/>
  <c r="G89" i="14"/>
  <c r="I89" i="14" s="1"/>
  <c r="F89" i="14"/>
  <c r="H89" i="14" s="1"/>
  <c r="G10" i="14"/>
  <c r="I10" i="14" s="1"/>
  <c r="F10" i="14"/>
  <c r="H10" i="14" s="1"/>
  <c r="G26" i="14"/>
  <c r="I26" i="14" s="1"/>
  <c r="F26" i="14"/>
  <c r="H26" i="14" s="1"/>
  <c r="G42" i="14"/>
  <c r="I42" i="14" s="1"/>
  <c r="F42" i="14"/>
  <c r="H42" i="14" s="1"/>
  <c r="G58" i="14"/>
  <c r="I58" i="14" s="1"/>
  <c r="F58" i="14"/>
  <c r="H58" i="14" s="1"/>
  <c r="G74" i="14"/>
  <c r="I74" i="14" s="1"/>
  <c r="F74" i="14"/>
  <c r="H74" i="14" s="1"/>
  <c r="G90" i="14"/>
  <c r="I90" i="14" s="1"/>
  <c r="F90" i="14"/>
  <c r="H90" i="14" s="1"/>
  <c r="F23" i="14"/>
  <c r="H23" i="14" s="1"/>
  <c r="G23" i="14"/>
  <c r="I23" i="14" s="1"/>
  <c r="F53" i="14"/>
  <c r="H53" i="14" s="1"/>
  <c r="G53" i="14"/>
  <c r="I53" i="14" s="1"/>
  <c r="G93" i="14"/>
  <c r="I93" i="14" s="1"/>
  <c r="F93" i="14"/>
  <c r="H93" i="14" s="1"/>
  <c r="G13" i="14"/>
  <c r="I13" i="14" s="1"/>
  <c r="F13" i="14"/>
  <c r="H13" i="14" s="1"/>
  <c r="F27" i="14"/>
  <c r="H27" i="14" s="1"/>
  <c r="G27" i="14"/>
  <c r="I27" i="14" s="1"/>
  <c r="F43" i="14"/>
  <c r="H43" i="14" s="1"/>
  <c r="G43" i="14"/>
  <c r="I43" i="14" s="1"/>
  <c r="G59" i="14"/>
  <c r="I59" i="14" s="1"/>
  <c r="F59" i="14"/>
  <c r="H59" i="14" s="1"/>
  <c r="G75" i="14"/>
  <c r="I75" i="14" s="1"/>
  <c r="F75" i="14"/>
  <c r="H75" i="14" s="1"/>
  <c r="G91" i="14"/>
  <c r="I91" i="14" s="1"/>
  <c r="F91" i="14"/>
  <c r="H91" i="14" s="1"/>
  <c r="G9" i="14"/>
  <c r="I9" i="14" s="1"/>
  <c r="F9" i="14"/>
  <c r="H9" i="14" s="1"/>
  <c r="G12" i="14"/>
  <c r="I12" i="14" s="1"/>
  <c r="F12" i="14"/>
  <c r="H12" i="14" s="1"/>
  <c r="G32" i="14"/>
  <c r="I32" i="14" s="1"/>
  <c r="F32" i="14"/>
  <c r="H32" i="14" s="1"/>
  <c r="G48" i="14"/>
  <c r="I48" i="14" s="1"/>
  <c r="F48" i="14"/>
  <c r="H48" i="14" s="1"/>
  <c r="F64" i="14"/>
  <c r="H64" i="14" s="1"/>
  <c r="G64" i="14"/>
  <c r="I64" i="14" s="1"/>
  <c r="F80" i="14"/>
  <c r="H80" i="14" s="1"/>
  <c r="G80" i="14"/>
  <c r="I80" i="14" s="1"/>
  <c r="F96" i="14"/>
  <c r="H96" i="14" s="1"/>
  <c r="G96" i="14"/>
  <c r="I96" i="14" s="1"/>
  <c r="G101" i="14"/>
  <c r="I101" i="14" s="1"/>
  <c r="F101" i="14"/>
  <c r="H101" i="14" s="1"/>
  <c r="G46" i="14"/>
  <c r="I46" i="14" s="1"/>
  <c r="F46" i="14"/>
  <c r="H46" i="14" s="1"/>
  <c r="G62" i="14"/>
  <c r="I62" i="14" s="1"/>
  <c r="F62" i="14"/>
  <c r="H62" i="14" s="1"/>
  <c r="F78" i="14"/>
  <c r="H78" i="14" s="1"/>
  <c r="G78" i="14"/>
  <c r="I78" i="14" s="1"/>
  <c r="G94" i="14"/>
  <c r="I94" i="14" s="1"/>
  <c r="F94" i="14"/>
  <c r="H94" i="14" s="1"/>
  <c r="G29" i="14"/>
  <c r="I29" i="14" s="1"/>
  <c r="F29" i="14"/>
  <c r="H29" i="14" s="1"/>
  <c r="G65" i="14"/>
  <c r="I65" i="14" s="1"/>
  <c r="F65" i="14"/>
  <c r="H65" i="14" s="1"/>
  <c r="G97" i="14"/>
  <c r="I97" i="14" s="1"/>
  <c r="F97" i="14"/>
  <c r="H97" i="14" s="1"/>
  <c r="G17" i="14"/>
  <c r="I17" i="14" s="1"/>
  <c r="F17" i="14"/>
  <c r="H17" i="14" s="1"/>
  <c r="F31" i="14"/>
  <c r="H31" i="14" s="1"/>
  <c r="G31" i="14"/>
  <c r="I31" i="14" s="1"/>
  <c r="F47" i="14"/>
  <c r="H47" i="14" s="1"/>
  <c r="G47" i="14"/>
  <c r="I47" i="14" s="1"/>
  <c r="G63" i="14"/>
  <c r="I63" i="14" s="1"/>
  <c r="F63" i="14"/>
  <c r="H63" i="14" s="1"/>
  <c r="G79" i="14"/>
  <c r="I79" i="14" s="1"/>
  <c r="F79" i="14"/>
  <c r="H79" i="14" s="1"/>
  <c r="G95" i="14"/>
  <c r="I95" i="14" s="1"/>
  <c r="F95" i="14"/>
  <c r="H95" i="14" s="1"/>
  <c r="F57" i="14"/>
  <c r="H57" i="14" s="1"/>
  <c r="G57" i="14"/>
  <c r="I57" i="14" s="1"/>
  <c r="G18" i="14"/>
  <c r="I18" i="14" s="1"/>
  <c r="F18" i="14"/>
  <c r="H18" i="14" s="1"/>
  <c r="G36" i="14"/>
  <c r="I36" i="14" s="1"/>
  <c r="F36" i="14"/>
  <c r="H36" i="14" s="1"/>
  <c r="G52" i="14"/>
  <c r="I52" i="14" s="1"/>
  <c r="F52" i="14"/>
  <c r="H52" i="14" s="1"/>
  <c r="F68" i="14"/>
  <c r="H68" i="14" s="1"/>
  <c r="G68" i="14"/>
  <c r="I68" i="14" s="1"/>
  <c r="F84" i="14"/>
  <c r="H84" i="14" s="1"/>
  <c r="G84" i="14"/>
  <c r="I84" i="14" s="1"/>
  <c r="F100" i="14"/>
  <c r="H100" i="14" s="1"/>
  <c r="G100" i="14"/>
  <c r="I100" i="14" s="1"/>
  <c r="F33" i="14"/>
  <c r="H33" i="14" s="1"/>
  <c r="G33" i="14"/>
  <c r="I33" i="14" s="1"/>
  <c r="G30" i="14"/>
  <c r="I30" i="14" s="1"/>
  <c r="F30" i="14"/>
  <c r="H30" i="14" s="1"/>
  <c r="F15" i="14"/>
  <c r="H15" i="14" s="1"/>
  <c r="G15" i="14"/>
  <c r="I15" i="14" s="1"/>
  <c r="G41" i="14"/>
  <c r="I41" i="14" s="1"/>
  <c r="F41" i="14"/>
  <c r="H41" i="14" s="1"/>
  <c r="G73" i="14"/>
  <c r="I73" i="14" s="1"/>
  <c r="F73" i="14"/>
  <c r="H73" i="14" s="1"/>
  <c r="G5" i="14"/>
  <c r="I5" i="14" s="1"/>
  <c r="F5" i="14"/>
  <c r="H5" i="14" s="1"/>
  <c r="G16" i="14"/>
  <c r="I16" i="14" s="1"/>
  <c r="F16" i="14"/>
  <c r="H16" i="14" s="1"/>
  <c r="G34" i="14"/>
  <c r="I34" i="14" s="1"/>
  <c r="F34" i="14"/>
  <c r="H34" i="14" s="1"/>
  <c r="G50" i="14"/>
  <c r="I50" i="14" s="1"/>
  <c r="F50" i="14"/>
  <c r="H50" i="14" s="1"/>
  <c r="F66" i="14"/>
  <c r="H66" i="14" s="1"/>
  <c r="G66" i="14"/>
  <c r="I66" i="14" s="1"/>
  <c r="G82" i="14"/>
  <c r="I82" i="14" s="1"/>
  <c r="F82" i="14"/>
  <c r="H82" i="14" s="1"/>
  <c r="G98" i="14"/>
  <c r="I98" i="14" s="1"/>
  <c r="F98" i="14"/>
  <c r="H98" i="14" s="1"/>
  <c r="G37" i="14"/>
  <c r="I37" i="14" s="1"/>
  <c r="F37" i="14"/>
  <c r="H37" i="14" s="1"/>
  <c r="G77" i="14"/>
  <c r="I77" i="14" s="1"/>
  <c r="F77" i="14"/>
  <c r="H77" i="14" s="1"/>
  <c r="G4" i="14"/>
  <c r="I4" i="14" s="1"/>
  <c r="F4" i="14"/>
  <c r="H4" i="14" s="1"/>
  <c r="G22" i="14"/>
  <c r="I22" i="14" s="1"/>
  <c r="F22" i="14"/>
  <c r="H22" i="14" s="1"/>
  <c r="F35" i="14"/>
  <c r="H35" i="14" s="1"/>
  <c r="G35" i="14"/>
  <c r="I35" i="14" s="1"/>
  <c r="F51" i="14"/>
  <c r="H51" i="14" s="1"/>
  <c r="G51" i="14"/>
  <c r="I51" i="14" s="1"/>
  <c r="G67" i="14"/>
  <c r="I67" i="14" s="1"/>
  <c r="F67" i="14"/>
  <c r="H67" i="14" s="1"/>
  <c r="G83" i="14"/>
  <c r="I83" i="14" s="1"/>
  <c r="F83" i="14"/>
  <c r="H83" i="14" s="1"/>
  <c r="G99" i="14"/>
  <c r="I99" i="14" s="1"/>
  <c r="F99" i="14"/>
  <c r="H99" i="14" s="1"/>
  <c r="G6" i="14"/>
  <c r="I6" i="14" s="1"/>
  <c r="F6" i="14"/>
  <c r="H6" i="14" s="1"/>
  <c r="F19" i="14"/>
  <c r="H19" i="14" s="1"/>
  <c r="G19" i="14"/>
  <c r="I19" i="14" s="1"/>
  <c r="G40" i="14"/>
  <c r="I40" i="14" s="1"/>
  <c r="F40" i="14"/>
  <c r="H40" i="14" s="1"/>
  <c r="G56" i="14"/>
  <c r="I56" i="14" s="1"/>
  <c r="F56" i="14"/>
  <c r="H56" i="14" s="1"/>
  <c r="F72" i="14"/>
  <c r="H72" i="14" s="1"/>
  <c r="G72" i="14"/>
  <c r="I72" i="14" s="1"/>
  <c r="F88" i="14"/>
  <c r="H88" i="14" s="1"/>
  <c r="G88" i="14"/>
  <c r="I88" i="14" s="1"/>
  <c r="K23" i="14"/>
  <c r="M23" i="14" s="1"/>
  <c r="J23" i="14"/>
  <c r="L23" i="14" s="1"/>
  <c r="K37" i="14"/>
  <c r="M37" i="14" s="1"/>
  <c r="J37" i="14"/>
  <c r="L37" i="14" s="1"/>
  <c r="K53" i="14"/>
  <c r="M53" i="14" s="1"/>
  <c r="J53" i="14"/>
  <c r="L53" i="14" s="1"/>
  <c r="K69" i="14"/>
  <c r="M69" i="14" s="1"/>
  <c r="J69" i="14"/>
  <c r="L69" i="14" s="1"/>
  <c r="K85" i="14"/>
  <c r="M85" i="14" s="1"/>
  <c r="J85" i="14"/>
  <c r="L85" i="14" s="1"/>
  <c r="K101" i="14"/>
  <c r="M101" i="14" s="1"/>
  <c r="J101" i="14"/>
  <c r="L101" i="14" s="1"/>
  <c r="K14" i="14"/>
  <c r="M14" i="14" s="1"/>
  <c r="J14" i="14"/>
  <c r="L14" i="14" s="1"/>
  <c r="K30" i="14"/>
  <c r="M30" i="14" s="1"/>
  <c r="J30" i="14"/>
  <c r="L30" i="14" s="1"/>
  <c r="K46" i="14"/>
  <c r="M46" i="14" s="1"/>
  <c r="J46" i="14"/>
  <c r="L46" i="14" s="1"/>
  <c r="K62" i="14"/>
  <c r="M62" i="14" s="1"/>
  <c r="J62" i="14"/>
  <c r="L62" i="14" s="1"/>
  <c r="K78" i="14"/>
  <c r="M78" i="14" s="1"/>
  <c r="J78" i="14"/>
  <c r="L78" i="14" s="1"/>
  <c r="K94" i="14"/>
  <c r="M94" i="14" s="1"/>
  <c r="J94" i="14"/>
  <c r="L94" i="14" s="1"/>
  <c r="K11" i="14"/>
  <c r="M11" i="14" s="1"/>
  <c r="J11" i="14"/>
  <c r="L11" i="14" s="1"/>
  <c r="K24" i="14"/>
  <c r="M24" i="14" s="1"/>
  <c r="J24" i="14"/>
  <c r="L24" i="14" s="1"/>
  <c r="K39" i="14"/>
  <c r="M39" i="14" s="1"/>
  <c r="J39" i="14"/>
  <c r="L39" i="14" s="1"/>
  <c r="K55" i="14"/>
  <c r="M55" i="14" s="1"/>
  <c r="J55" i="14"/>
  <c r="L55" i="14" s="1"/>
  <c r="K71" i="14"/>
  <c r="M71" i="14" s="1"/>
  <c r="J71" i="14"/>
  <c r="L71" i="14" s="1"/>
  <c r="K87" i="14"/>
  <c r="M87" i="14" s="1"/>
  <c r="J87" i="14"/>
  <c r="L87" i="14" s="1"/>
  <c r="K103" i="14"/>
  <c r="M103" i="14" s="1"/>
  <c r="J103" i="14"/>
  <c r="L103" i="14" s="1"/>
  <c r="K12" i="14"/>
  <c r="M12" i="14" s="1"/>
  <c r="J12" i="14"/>
  <c r="L12" i="14" s="1"/>
  <c r="K32" i="14"/>
  <c r="M32" i="14" s="1"/>
  <c r="J32" i="14"/>
  <c r="L32" i="14" s="1"/>
  <c r="K48" i="14"/>
  <c r="M48" i="14" s="1"/>
  <c r="J48" i="14"/>
  <c r="L48" i="14" s="1"/>
  <c r="K64" i="14"/>
  <c r="M64" i="14" s="1"/>
  <c r="J64" i="14"/>
  <c r="L64" i="14" s="1"/>
  <c r="K80" i="14"/>
  <c r="M80" i="14" s="1"/>
  <c r="J80" i="14"/>
  <c r="L80" i="14" s="1"/>
  <c r="K96" i="14"/>
  <c r="M96" i="14" s="1"/>
  <c r="J96" i="14"/>
  <c r="L96" i="14" s="1"/>
  <c r="K25" i="14"/>
  <c r="M25" i="14" s="1"/>
  <c r="J25" i="14"/>
  <c r="L25" i="14" s="1"/>
  <c r="K41" i="14"/>
  <c r="M41" i="14" s="1"/>
  <c r="J41" i="14"/>
  <c r="L41" i="14" s="1"/>
  <c r="K57" i="14"/>
  <c r="M57" i="14" s="1"/>
  <c r="J57" i="14"/>
  <c r="L57" i="14" s="1"/>
  <c r="K73" i="14"/>
  <c r="M73" i="14" s="1"/>
  <c r="J73" i="14"/>
  <c r="L73" i="14" s="1"/>
  <c r="K89" i="14"/>
  <c r="M89" i="14" s="1"/>
  <c r="J89" i="14"/>
  <c r="L89" i="14" s="1"/>
  <c r="K5" i="14"/>
  <c r="M5" i="14" s="1"/>
  <c r="J5" i="14"/>
  <c r="L5" i="14" s="1"/>
  <c r="K16" i="14"/>
  <c r="M16" i="14" s="1"/>
  <c r="J16" i="14"/>
  <c r="L16" i="14" s="1"/>
  <c r="K34" i="14"/>
  <c r="M34" i="14" s="1"/>
  <c r="J34" i="14"/>
  <c r="L34" i="14" s="1"/>
  <c r="K50" i="14"/>
  <c r="M50" i="14" s="1"/>
  <c r="J50" i="14"/>
  <c r="L50" i="14" s="1"/>
  <c r="K66" i="14"/>
  <c r="M66" i="14" s="1"/>
  <c r="J66" i="14"/>
  <c r="L66" i="14" s="1"/>
  <c r="K82" i="14"/>
  <c r="M82" i="14" s="1"/>
  <c r="J82" i="14"/>
  <c r="L82" i="14" s="1"/>
  <c r="K98" i="14"/>
  <c r="M98" i="14" s="1"/>
  <c r="J98" i="14"/>
  <c r="L98" i="14" s="1"/>
  <c r="K13" i="14"/>
  <c r="M13" i="14" s="1"/>
  <c r="J13" i="14"/>
  <c r="L13" i="14" s="1"/>
  <c r="K27" i="14"/>
  <c r="M27" i="14" s="1"/>
  <c r="J27" i="14"/>
  <c r="L27" i="14" s="1"/>
  <c r="K43" i="14"/>
  <c r="M43" i="14" s="1"/>
  <c r="J43" i="14"/>
  <c r="L43" i="14" s="1"/>
  <c r="K59" i="14"/>
  <c r="M59" i="14" s="1"/>
  <c r="J59" i="14"/>
  <c r="L59" i="14" s="1"/>
  <c r="K75" i="14"/>
  <c r="M75" i="14" s="1"/>
  <c r="J75" i="14"/>
  <c r="L75" i="14" s="1"/>
  <c r="K91" i="14"/>
  <c r="M91" i="14" s="1"/>
  <c r="J91" i="14"/>
  <c r="L91" i="14" s="1"/>
  <c r="K4" i="14"/>
  <c r="M4" i="14" s="1"/>
  <c r="J4" i="14"/>
  <c r="L4" i="14" s="1"/>
  <c r="K18" i="14"/>
  <c r="M18" i="14" s="1"/>
  <c r="J18" i="14"/>
  <c r="L18" i="14" s="1"/>
  <c r="K36" i="14"/>
  <c r="M36" i="14" s="1"/>
  <c r="J36" i="14"/>
  <c r="L36" i="14" s="1"/>
  <c r="K52" i="14"/>
  <c r="M52" i="14" s="1"/>
  <c r="J52" i="14"/>
  <c r="L52" i="14" s="1"/>
  <c r="K68" i="14"/>
  <c r="M68" i="14" s="1"/>
  <c r="J68" i="14"/>
  <c r="L68" i="14" s="1"/>
  <c r="K84" i="14"/>
  <c r="M84" i="14" s="1"/>
  <c r="J84" i="14"/>
  <c r="L84" i="14" s="1"/>
  <c r="K100" i="14"/>
  <c r="M100" i="14" s="1"/>
  <c r="J100" i="14"/>
  <c r="L100" i="14" s="1"/>
  <c r="K9" i="14"/>
  <c r="M9" i="14" s="1"/>
  <c r="J9" i="14"/>
  <c r="L9" i="14" s="1"/>
  <c r="K29" i="14"/>
  <c r="M29" i="14" s="1"/>
  <c r="J29" i="14"/>
  <c r="L29" i="14" s="1"/>
  <c r="K45" i="14"/>
  <c r="M45" i="14" s="1"/>
  <c r="J45" i="14"/>
  <c r="L45" i="14" s="1"/>
  <c r="K61" i="14"/>
  <c r="M61" i="14" s="1"/>
  <c r="J61" i="14"/>
  <c r="L61" i="14" s="1"/>
  <c r="K77" i="14"/>
  <c r="M77" i="14" s="1"/>
  <c r="J77" i="14"/>
  <c r="L77" i="14" s="1"/>
  <c r="K93" i="14"/>
  <c r="M93" i="14" s="1"/>
  <c r="J93" i="14"/>
  <c r="L93" i="14" s="1"/>
  <c r="K7" i="14"/>
  <c r="M7" i="14" s="1"/>
  <c r="J7" i="14"/>
  <c r="L7" i="14" s="1"/>
  <c r="K21" i="14"/>
  <c r="M21" i="14" s="1"/>
  <c r="J21" i="14"/>
  <c r="L21" i="14" s="1"/>
  <c r="K38" i="14"/>
  <c r="M38" i="14" s="1"/>
  <c r="J38" i="14"/>
  <c r="L38" i="14" s="1"/>
  <c r="K54" i="14"/>
  <c r="M54" i="14" s="1"/>
  <c r="J54" i="14"/>
  <c r="L54" i="14" s="1"/>
  <c r="K70" i="14"/>
  <c r="M70" i="14" s="1"/>
  <c r="J70" i="14"/>
  <c r="L70" i="14" s="1"/>
  <c r="K86" i="14"/>
  <c r="M86" i="14" s="1"/>
  <c r="J86" i="14"/>
  <c r="L86" i="14" s="1"/>
  <c r="K102" i="14"/>
  <c r="M102" i="14" s="1"/>
  <c r="J102" i="14"/>
  <c r="L102" i="14" s="1"/>
  <c r="K17" i="14"/>
  <c r="M17" i="14" s="1"/>
  <c r="J17" i="14"/>
  <c r="L17" i="14" s="1"/>
  <c r="K31" i="14"/>
  <c r="M31" i="14" s="1"/>
  <c r="J31" i="14"/>
  <c r="L31" i="14" s="1"/>
  <c r="K47" i="14"/>
  <c r="M47" i="14" s="1"/>
  <c r="J47" i="14"/>
  <c r="L47" i="14" s="1"/>
  <c r="K63" i="14"/>
  <c r="M63" i="14" s="1"/>
  <c r="J63" i="14"/>
  <c r="L63" i="14" s="1"/>
  <c r="K79" i="14"/>
  <c r="M79" i="14" s="1"/>
  <c r="J79" i="14"/>
  <c r="L79" i="14" s="1"/>
  <c r="K95" i="14"/>
  <c r="M95" i="14" s="1"/>
  <c r="J95" i="14"/>
  <c r="L95" i="14" s="1"/>
  <c r="K6" i="14"/>
  <c r="M6" i="14" s="1"/>
  <c r="J6" i="14"/>
  <c r="L6" i="14" s="1"/>
  <c r="K19" i="14"/>
  <c r="M19" i="14" s="1"/>
  <c r="J19" i="14"/>
  <c r="L19" i="14" s="1"/>
  <c r="K40" i="14"/>
  <c r="M40" i="14" s="1"/>
  <c r="J40" i="14"/>
  <c r="L40" i="14" s="1"/>
  <c r="K56" i="14"/>
  <c r="M56" i="14" s="1"/>
  <c r="J56" i="14"/>
  <c r="L56" i="14" s="1"/>
  <c r="K72" i="14"/>
  <c r="M72" i="14" s="1"/>
  <c r="J72" i="14"/>
  <c r="L72" i="14" s="1"/>
  <c r="K88" i="14"/>
  <c r="M88" i="14" s="1"/>
  <c r="J88" i="14"/>
  <c r="L88" i="14" s="1"/>
  <c r="K20" i="14"/>
  <c r="M20" i="14" s="1"/>
  <c r="J20" i="14"/>
  <c r="L20" i="14" s="1"/>
  <c r="K33" i="14"/>
  <c r="M33" i="14" s="1"/>
  <c r="J33" i="14"/>
  <c r="L33" i="14" s="1"/>
  <c r="K49" i="14"/>
  <c r="M49" i="14" s="1"/>
  <c r="J49" i="14"/>
  <c r="L49" i="14" s="1"/>
  <c r="K65" i="14"/>
  <c r="M65" i="14" s="1"/>
  <c r="J65" i="14"/>
  <c r="L65" i="14" s="1"/>
  <c r="K81" i="14"/>
  <c r="M81" i="14" s="1"/>
  <c r="J81" i="14"/>
  <c r="L81" i="14" s="1"/>
  <c r="K97" i="14"/>
  <c r="M97" i="14" s="1"/>
  <c r="J97" i="14"/>
  <c r="L97" i="14" s="1"/>
  <c r="K10" i="14"/>
  <c r="M10" i="14" s="1"/>
  <c r="J10" i="14"/>
  <c r="L10" i="14" s="1"/>
  <c r="K26" i="14"/>
  <c r="M26" i="14" s="1"/>
  <c r="J26" i="14"/>
  <c r="L26" i="14" s="1"/>
  <c r="K42" i="14"/>
  <c r="M42" i="14" s="1"/>
  <c r="J42" i="14"/>
  <c r="L42" i="14" s="1"/>
  <c r="K58" i="14"/>
  <c r="M58" i="14" s="1"/>
  <c r="J58" i="14"/>
  <c r="L58" i="14" s="1"/>
  <c r="K74" i="14"/>
  <c r="M74" i="14" s="1"/>
  <c r="J74" i="14"/>
  <c r="L74" i="14" s="1"/>
  <c r="K90" i="14"/>
  <c r="M90" i="14" s="1"/>
  <c r="J90" i="14"/>
  <c r="L90" i="14" s="1"/>
  <c r="K15" i="14"/>
  <c r="M15" i="14" s="1"/>
  <c r="J15" i="14"/>
  <c r="L15" i="14" s="1"/>
  <c r="K22" i="14"/>
  <c r="M22" i="14" s="1"/>
  <c r="J22" i="14"/>
  <c r="L22" i="14" s="1"/>
  <c r="K35" i="14"/>
  <c r="M35" i="14" s="1"/>
  <c r="J35" i="14"/>
  <c r="L35" i="14" s="1"/>
  <c r="K51" i="14"/>
  <c r="M51" i="14" s="1"/>
  <c r="J51" i="14"/>
  <c r="L51" i="14" s="1"/>
  <c r="K67" i="14"/>
  <c r="M67" i="14" s="1"/>
  <c r="J67" i="14"/>
  <c r="L67" i="14" s="1"/>
  <c r="K83" i="14"/>
  <c r="M83" i="14" s="1"/>
  <c r="J83" i="14"/>
  <c r="L83" i="14" s="1"/>
  <c r="K99" i="14"/>
  <c r="M99" i="14" s="1"/>
  <c r="J99" i="14"/>
  <c r="L99" i="14" s="1"/>
  <c r="K8" i="14"/>
  <c r="M8" i="14" s="1"/>
  <c r="J8" i="14"/>
  <c r="L8" i="14" s="1"/>
  <c r="K28" i="14"/>
  <c r="M28" i="14" s="1"/>
  <c r="J28" i="14"/>
  <c r="L28" i="14" s="1"/>
  <c r="K44" i="14"/>
  <c r="M44" i="14" s="1"/>
  <c r="J44" i="14"/>
  <c r="L44" i="14" s="1"/>
  <c r="K60" i="14"/>
  <c r="M60" i="14" s="1"/>
  <c r="J60" i="14"/>
  <c r="L60" i="14" s="1"/>
  <c r="K76" i="14"/>
  <c r="M76" i="14" s="1"/>
  <c r="J76" i="14"/>
  <c r="L76" i="14" s="1"/>
  <c r="K92" i="14"/>
  <c r="M92" i="14" s="1"/>
  <c r="J92" i="14"/>
  <c r="L92" i="14" s="1"/>
  <c r="I14" i="11" l="1"/>
  <c r="F44" i="11" l="1"/>
  <c r="F40" i="11"/>
  <c r="Q38" i="11" s="1"/>
  <c r="F43" i="11"/>
  <c r="F39" i="11"/>
  <c r="Q37" i="11" s="1"/>
  <c r="F38" i="11"/>
  <c r="L4" i="24" s="1"/>
  <c r="F42" i="11"/>
  <c r="F41" i="11"/>
  <c r="O21" i="11"/>
  <c r="F37" i="11"/>
  <c r="J21" i="11"/>
  <c r="H5" i="26"/>
  <c r="C6" i="24"/>
  <c r="N42" i="11"/>
  <c r="N61" i="11" s="1"/>
  <c r="N41" i="11"/>
  <c r="N60" i="11" s="1"/>
  <c r="N40" i="11"/>
  <c r="N59" i="11" s="1"/>
  <c r="N39" i="11"/>
  <c r="N58" i="11" s="1"/>
  <c r="N38" i="11"/>
  <c r="N57" i="11" s="1"/>
  <c r="N37" i="11"/>
  <c r="N56" i="11" s="1"/>
  <c r="N36" i="11"/>
  <c r="N35" i="11"/>
  <c r="Q39" i="11" l="1"/>
  <c r="Q41" i="11"/>
  <c r="Q40" i="11"/>
  <c r="P42" i="11"/>
  <c r="Q42" i="11"/>
  <c r="P35" i="11"/>
  <c r="L10" i="24"/>
  <c r="S42" i="11"/>
  <c r="T42" i="11" s="1"/>
  <c r="U42" i="11" s="1"/>
  <c r="U61" i="11" s="1"/>
  <c r="R42" i="11"/>
  <c r="R61" i="11" s="1"/>
  <c r="L5" i="24"/>
  <c r="S37" i="11"/>
  <c r="T37" i="11" s="1"/>
  <c r="U37" i="11" s="1"/>
  <c r="U56" i="11" s="1"/>
  <c r="P37" i="11"/>
  <c r="L9" i="24"/>
  <c r="P41" i="11"/>
  <c r="S41" i="11"/>
  <c r="T41" i="11" s="1"/>
  <c r="U41" i="11" s="1"/>
  <c r="U60" i="11" s="1"/>
  <c r="L7" i="24"/>
  <c r="S39" i="11"/>
  <c r="T39" i="11" s="1"/>
  <c r="U39" i="11" s="1"/>
  <c r="U58" i="11" s="1"/>
  <c r="P39" i="11"/>
  <c r="L8" i="24"/>
  <c r="S40" i="11"/>
  <c r="T40" i="11" s="1"/>
  <c r="U40" i="11" s="1"/>
  <c r="U59" i="11" s="1"/>
  <c r="P40" i="11"/>
  <c r="L6" i="24"/>
  <c r="S38" i="11"/>
  <c r="T38" i="11" s="1"/>
  <c r="U38" i="11" s="1"/>
  <c r="U57" i="11" s="1"/>
  <c r="P38" i="11"/>
  <c r="J19" i="11"/>
  <c r="C25" i="26" s="1"/>
  <c r="Q36" i="11"/>
  <c r="S36" i="11"/>
  <c r="P36" i="11"/>
  <c r="L3" i="24"/>
  <c r="Q35" i="11"/>
  <c r="S35" i="11"/>
  <c r="N55" i="11"/>
  <c r="N54" i="11"/>
  <c r="Y4" i="1"/>
  <c r="AB4" i="1" s="1"/>
  <c r="AC4" i="1" s="1"/>
  <c r="X11" i="1" s="1"/>
  <c r="R36" i="11" l="1"/>
  <c r="R55" i="11" s="1"/>
  <c r="R38" i="11"/>
  <c r="R57" i="11" s="1"/>
  <c r="R40" i="11"/>
  <c r="R59" i="11" s="1"/>
  <c r="R39" i="11"/>
  <c r="R58" i="11" s="1"/>
  <c r="R37" i="11"/>
  <c r="R56" i="11" s="1"/>
  <c r="R41" i="11"/>
  <c r="R60" i="11" s="1"/>
  <c r="R35" i="11"/>
  <c r="AC11" i="1"/>
  <c r="Y11" i="1"/>
  <c r="R44" i="11" l="1"/>
  <c r="R54" i="11"/>
  <c r="Z11" i="1"/>
  <c r="AB11" i="1"/>
  <c r="C4" i="1" l="1"/>
  <c r="Z6" i="1" s="1"/>
  <c r="C3" i="1"/>
  <c r="Z5" i="1" s="1"/>
  <c r="B4" i="1"/>
  <c r="Y6" i="1" s="1"/>
  <c r="AB6" i="1" s="1"/>
  <c r="AC6" i="1" s="1"/>
  <c r="X13" i="1" s="1"/>
  <c r="B3" i="1"/>
  <c r="Y5" i="1" s="1"/>
  <c r="AB5" i="1" s="1"/>
  <c r="AC5" i="1" s="1"/>
  <c r="X12" i="1" s="1"/>
  <c r="AC12" i="1" l="1"/>
  <c r="Y12" i="1"/>
  <c r="X17" i="1"/>
  <c r="AC13" i="1"/>
  <c r="Y13" i="1"/>
  <c r="Z12" i="1" l="1"/>
  <c r="AB12" i="1"/>
  <c r="Y17" i="1"/>
  <c r="Z13" i="1"/>
  <c r="AB13" i="1"/>
  <c r="AC17" i="1"/>
  <c r="AB17" i="1" l="1"/>
  <c r="Z17" i="1"/>
  <c r="X21" i="1" s="1"/>
  <c r="X22" i="1" s="1"/>
  <c r="X23" i="1" s="1"/>
  <c r="P103" i="1" l="1"/>
  <c r="P99" i="1"/>
  <c r="P95" i="1"/>
  <c r="P91" i="1"/>
  <c r="P87" i="1"/>
  <c r="P83" i="1"/>
  <c r="P79" i="1"/>
  <c r="P75" i="1"/>
  <c r="P71" i="1"/>
  <c r="P67" i="1"/>
  <c r="P63" i="1"/>
  <c r="P59" i="1"/>
  <c r="P55" i="1"/>
  <c r="P51" i="1"/>
  <c r="P47" i="1"/>
  <c r="P43" i="1"/>
  <c r="P39" i="1"/>
  <c r="P35" i="1"/>
  <c r="P31" i="1"/>
  <c r="P27" i="1"/>
  <c r="P23" i="1"/>
  <c r="P19" i="1"/>
  <c r="P15" i="1"/>
  <c r="P11" i="1"/>
  <c r="P7" i="1"/>
  <c r="P3" i="1"/>
  <c r="P88" i="1"/>
  <c r="P72" i="1"/>
  <c r="P64" i="1"/>
  <c r="P56" i="1"/>
  <c r="P48" i="1"/>
  <c r="P36" i="1"/>
  <c r="P28" i="1"/>
  <c r="P20" i="1"/>
  <c r="P8" i="1"/>
  <c r="P102" i="1"/>
  <c r="P98" i="1"/>
  <c r="P94" i="1"/>
  <c r="P90" i="1"/>
  <c r="P86" i="1"/>
  <c r="P82" i="1"/>
  <c r="P78" i="1"/>
  <c r="P74" i="1"/>
  <c r="P70" i="1"/>
  <c r="P66" i="1"/>
  <c r="P62" i="1"/>
  <c r="P58" i="1"/>
  <c r="P54" i="1"/>
  <c r="P50" i="1"/>
  <c r="P46" i="1"/>
  <c r="P42" i="1"/>
  <c r="P38" i="1"/>
  <c r="P34" i="1"/>
  <c r="P30" i="1"/>
  <c r="P26" i="1"/>
  <c r="P22" i="1"/>
  <c r="P18" i="1"/>
  <c r="P14" i="1"/>
  <c r="P10" i="1"/>
  <c r="P6" i="1"/>
  <c r="P100" i="1"/>
  <c r="P40" i="1"/>
  <c r="P16" i="1"/>
  <c r="P101" i="1"/>
  <c r="P97" i="1"/>
  <c r="P93" i="1"/>
  <c r="P89" i="1"/>
  <c r="P85" i="1"/>
  <c r="P81" i="1"/>
  <c r="P77" i="1"/>
  <c r="P73" i="1"/>
  <c r="P69" i="1"/>
  <c r="P65" i="1"/>
  <c r="P61" i="1"/>
  <c r="P57" i="1"/>
  <c r="P53" i="1"/>
  <c r="P49" i="1"/>
  <c r="P45" i="1"/>
  <c r="P41" i="1"/>
  <c r="P37" i="1"/>
  <c r="P33" i="1"/>
  <c r="P29" i="1"/>
  <c r="P25" i="1"/>
  <c r="P21" i="1"/>
  <c r="P17" i="1"/>
  <c r="P13" i="1"/>
  <c r="P9" i="1"/>
  <c r="P5" i="1"/>
  <c r="P96" i="1"/>
  <c r="P92" i="1"/>
  <c r="P84" i="1"/>
  <c r="P80" i="1"/>
  <c r="P76" i="1"/>
  <c r="P68" i="1"/>
  <c r="P60" i="1"/>
  <c r="P52" i="1"/>
  <c r="P44" i="1"/>
  <c r="P32" i="1"/>
  <c r="P24" i="1"/>
  <c r="P12" i="1"/>
  <c r="P4" i="1"/>
  <c r="D45" i="14" l="1"/>
  <c r="E45" i="14"/>
  <c r="D13" i="14"/>
  <c r="Q13" i="14" s="1"/>
  <c r="D11" i="25" s="1"/>
  <c r="E13" i="14"/>
  <c r="R13" i="14" s="1"/>
  <c r="D111" i="25" s="1"/>
  <c r="D53" i="14"/>
  <c r="E53" i="14"/>
  <c r="D81" i="14"/>
  <c r="Q81" i="14" s="1"/>
  <c r="D79" i="25" s="1"/>
  <c r="E81" i="14"/>
  <c r="R81" i="14" s="1"/>
  <c r="D179" i="25" s="1"/>
  <c r="E6" i="14"/>
  <c r="D6" i="14"/>
  <c r="E22" i="14"/>
  <c r="R22" i="14" s="1"/>
  <c r="D120" i="25" s="1"/>
  <c r="D22" i="14"/>
  <c r="Q22" i="14" s="1"/>
  <c r="D20" i="25" s="1"/>
  <c r="E38" i="14"/>
  <c r="R38" i="14" s="1"/>
  <c r="D136" i="25" s="1"/>
  <c r="D38" i="14"/>
  <c r="E54" i="14"/>
  <c r="R54" i="14" s="1"/>
  <c r="D152" i="25" s="1"/>
  <c r="D54" i="14"/>
  <c r="Q54" i="14" s="1"/>
  <c r="D52" i="25" s="1"/>
  <c r="E70" i="14"/>
  <c r="R70" i="14" s="1"/>
  <c r="D168" i="25" s="1"/>
  <c r="D70" i="14"/>
  <c r="E86" i="14"/>
  <c r="R86" i="14" s="1"/>
  <c r="D184" i="25" s="1"/>
  <c r="D86" i="14"/>
  <c r="Q86" i="14" s="1"/>
  <c r="D84" i="25" s="1"/>
  <c r="E102" i="14"/>
  <c r="R102" i="14" s="1"/>
  <c r="D200" i="25" s="1"/>
  <c r="D102" i="14"/>
  <c r="E7" i="14"/>
  <c r="D7" i="14"/>
  <c r="Q7" i="14" s="1"/>
  <c r="D5" i="25" s="1"/>
  <c r="E23" i="14"/>
  <c r="R23" i="14" s="1"/>
  <c r="D121" i="25" s="1"/>
  <c r="D23" i="14"/>
  <c r="E39" i="14"/>
  <c r="D39" i="14"/>
  <c r="Q39" i="14" s="1"/>
  <c r="D37" i="25" s="1"/>
  <c r="E55" i="14"/>
  <c r="R55" i="14" s="1"/>
  <c r="D153" i="25" s="1"/>
  <c r="D55" i="14"/>
  <c r="E71" i="14"/>
  <c r="D71" i="14"/>
  <c r="Q71" i="14" s="1"/>
  <c r="D69" i="25" s="1"/>
  <c r="E87" i="14"/>
  <c r="R87" i="14" s="1"/>
  <c r="D185" i="25" s="1"/>
  <c r="D87" i="14"/>
  <c r="Q87" i="14" s="1"/>
  <c r="D85" i="25" s="1"/>
  <c r="E103" i="14"/>
  <c r="R103" i="14" s="1"/>
  <c r="D201" i="25" s="1"/>
  <c r="D103" i="14"/>
  <c r="Q103" i="14" s="1"/>
  <c r="D101" i="25" s="1"/>
  <c r="D37" i="14"/>
  <c r="Q37" i="14" s="1"/>
  <c r="D35" i="25" s="1"/>
  <c r="E37" i="14"/>
  <c r="D73" i="14"/>
  <c r="Q73" i="14" s="1"/>
  <c r="D71" i="25" s="1"/>
  <c r="E73" i="14"/>
  <c r="R73" i="14" s="1"/>
  <c r="D171" i="25" s="1"/>
  <c r="E12" i="14"/>
  <c r="R12" i="14" s="1"/>
  <c r="D110" i="25" s="1"/>
  <c r="D12" i="14"/>
  <c r="E28" i="14"/>
  <c r="D28" i="14"/>
  <c r="Q28" i="14" s="1"/>
  <c r="D26" i="25" s="1"/>
  <c r="E44" i="14"/>
  <c r="D44" i="14"/>
  <c r="Q44" i="14" s="1"/>
  <c r="D42" i="25" s="1"/>
  <c r="O35" i="11"/>
  <c r="O54" i="11" s="1"/>
  <c r="E60" i="14"/>
  <c r="R60" i="14" s="1"/>
  <c r="D158" i="25" s="1"/>
  <c r="D60" i="14"/>
  <c r="Q60" i="14" s="1"/>
  <c r="D58" i="25" s="1"/>
  <c r="E76" i="14"/>
  <c r="D76" i="14"/>
  <c r="Q76" i="14" s="1"/>
  <c r="D74" i="25" s="1"/>
  <c r="E92" i="14"/>
  <c r="R92" i="14" s="1"/>
  <c r="D190" i="25" s="1"/>
  <c r="D92" i="14"/>
  <c r="D61" i="14"/>
  <c r="E61" i="14"/>
  <c r="R61" i="14" s="1"/>
  <c r="D159" i="25" s="1"/>
  <c r="E10" i="14"/>
  <c r="R10" i="14" s="1"/>
  <c r="D108" i="25" s="1"/>
  <c r="D10" i="14"/>
  <c r="E26" i="14"/>
  <c r="D26" i="14"/>
  <c r="Q26" i="14" s="1"/>
  <c r="D24" i="25" s="1"/>
  <c r="E42" i="14"/>
  <c r="R42" i="14" s="1"/>
  <c r="D140" i="25" s="1"/>
  <c r="D42" i="14"/>
  <c r="Q42" i="14" s="1"/>
  <c r="D40" i="25" s="1"/>
  <c r="E58" i="14"/>
  <c r="D58" i="14"/>
  <c r="Q58" i="14" s="1"/>
  <c r="D56" i="25" s="1"/>
  <c r="E74" i="14"/>
  <c r="R74" i="14" s="1"/>
  <c r="D172" i="25" s="1"/>
  <c r="D74" i="14"/>
  <c r="Q74" i="14" s="1"/>
  <c r="D72" i="25" s="1"/>
  <c r="E90" i="14"/>
  <c r="R90" i="14" s="1"/>
  <c r="D188" i="25" s="1"/>
  <c r="D90" i="14"/>
  <c r="Q90" i="14" s="1"/>
  <c r="D88" i="25" s="1"/>
  <c r="D17" i="14"/>
  <c r="Q17" i="14" s="1"/>
  <c r="D15" i="25" s="1"/>
  <c r="E17" i="14"/>
  <c r="R17" i="14" s="1"/>
  <c r="D115" i="25" s="1"/>
  <c r="E11" i="14"/>
  <c r="D11" i="14"/>
  <c r="Q11" i="14" s="1"/>
  <c r="D9" i="25" s="1"/>
  <c r="E27" i="14"/>
  <c r="R27" i="14" s="1"/>
  <c r="D125" i="25" s="1"/>
  <c r="D27" i="14"/>
  <c r="E43" i="14"/>
  <c r="D43" i="14"/>
  <c r="Q43" i="14" s="1"/>
  <c r="D41" i="25" s="1"/>
  <c r="E59" i="14"/>
  <c r="R59" i="14" s="1"/>
  <c r="D157" i="25" s="1"/>
  <c r="D59" i="14"/>
  <c r="Q59" i="14" s="1"/>
  <c r="D57" i="25" s="1"/>
  <c r="E75" i="14"/>
  <c r="R75" i="14" s="1"/>
  <c r="D173" i="25" s="1"/>
  <c r="D75" i="14"/>
  <c r="Q75" i="14" s="1"/>
  <c r="D73" i="25" s="1"/>
  <c r="E91" i="14"/>
  <c r="R91" i="14" s="1"/>
  <c r="D189" i="25" s="1"/>
  <c r="D91" i="14"/>
  <c r="Q91" i="14" s="1"/>
  <c r="D89" i="25" s="1"/>
  <c r="D9" i="14"/>
  <c r="E9" i="14"/>
  <c r="R9" i="14" s="1"/>
  <c r="D107" i="25" s="1"/>
  <c r="D49" i="14"/>
  <c r="Q49" i="14" s="1"/>
  <c r="D47" i="25" s="1"/>
  <c r="E49" i="14"/>
  <c r="R49" i="14" s="1"/>
  <c r="D147" i="25" s="1"/>
  <c r="D89" i="14"/>
  <c r="Q89" i="14" s="1"/>
  <c r="D87" i="25" s="1"/>
  <c r="E89" i="14"/>
  <c r="E16" i="14"/>
  <c r="R16" i="14" s="1"/>
  <c r="D114" i="25" s="1"/>
  <c r="D16" i="14"/>
  <c r="E32" i="14"/>
  <c r="D32" i="14"/>
  <c r="Q32" i="14" s="1"/>
  <c r="D30" i="25" s="1"/>
  <c r="E48" i="14"/>
  <c r="R48" i="14" s="1"/>
  <c r="D146" i="25" s="1"/>
  <c r="D48" i="14"/>
  <c r="Q48" i="14" s="1"/>
  <c r="D46" i="25" s="1"/>
  <c r="E64" i="14"/>
  <c r="R64" i="14" s="1"/>
  <c r="D162" i="25" s="1"/>
  <c r="D64" i="14"/>
  <c r="E80" i="14"/>
  <c r="R80" i="14" s="1"/>
  <c r="D178" i="25" s="1"/>
  <c r="D80" i="14"/>
  <c r="Q80" i="14" s="1"/>
  <c r="D78" i="25" s="1"/>
  <c r="E96" i="14"/>
  <c r="D96" i="14"/>
  <c r="Q96" i="14" s="1"/>
  <c r="D94" i="25" s="1"/>
  <c r="D25" i="14"/>
  <c r="Q25" i="14" s="1"/>
  <c r="D23" i="25" s="1"/>
  <c r="E25" i="14"/>
  <c r="R25" i="14" s="1"/>
  <c r="D123" i="25" s="1"/>
  <c r="D85" i="14"/>
  <c r="E85" i="14"/>
  <c r="D33" i="14"/>
  <c r="Q33" i="14" s="1"/>
  <c r="D31" i="25" s="1"/>
  <c r="E33" i="14"/>
  <c r="R33" i="14" s="1"/>
  <c r="D131" i="25" s="1"/>
  <c r="D69" i="14"/>
  <c r="Q69" i="14" s="1"/>
  <c r="D67" i="25" s="1"/>
  <c r="E69" i="14"/>
  <c r="R69" i="14" s="1"/>
  <c r="D167" i="25" s="1"/>
  <c r="D93" i="14"/>
  <c r="Q93" i="14" s="1"/>
  <c r="D91" i="25" s="1"/>
  <c r="E93" i="14"/>
  <c r="R93" i="14" s="1"/>
  <c r="D191" i="25" s="1"/>
  <c r="E14" i="14"/>
  <c r="D14" i="14"/>
  <c r="Q14" i="14" s="1"/>
  <c r="D12" i="25" s="1"/>
  <c r="E30" i="14"/>
  <c r="R30" i="14" s="1"/>
  <c r="D128" i="25" s="1"/>
  <c r="D30" i="14"/>
  <c r="Q30" i="14" s="1"/>
  <c r="D28" i="25" s="1"/>
  <c r="E46" i="14"/>
  <c r="R46" i="14" s="1"/>
  <c r="D144" i="25" s="1"/>
  <c r="D46" i="14"/>
  <c r="Q46" i="14" s="1"/>
  <c r="D44" i="25" s="1"/>
  <c r="E62" i="14"/>
  <c r="R62" i="14" s="1"/>
  <c r="D160" i="25" s="1"/>
  <c r="D62" i="14"/>
  <c r="Q62" i="14" s="1"/>
  <c r="D60" i="25" s="1"/>
  <c r="E78" i="14"/>
  <c r="D78" i="14"/>
  <c r="Q78" i="14" s="1"/>
  <c r="D76" i="25" s="1"/>
  <c r="E94" i="14"/>
  <c r="R94" i="14" s="1"/>
  <c r="D192" i="25" s="1"/>
  <c r="D94" i="14"/>
  <c r="Q94" i="14" s="1"/>
  <c r="D92" i="25" s="1"/>
  <c r="D41" i="14"/>
  <c r="E41" i="14"/>
  <c r="R41" i="14" s="1"/>
  <c r="D139" i="25" s="1"/>
  <c r="E15" i="14"/>
  <c r="R15" i="14" s="1"/>
  <c r="D113" i="25" s="1"/>
  <c r="D15" i="14"/>
  <c r="E31" i="14"/>
  <c r="D31" i="14"/>
  <c r="Q31" i="14" s="1"/>
  <c r="D29" i="25" s="1"/>
  <c r="E47" i="14"/>
  <c r="R47" i="14" s="1"/>
  <c r="D145" i="25" s="1"/>
  <c r="D47" i="14"/>
  <c r="Q47" i="14" s="1"/>
  <c r="D45" i="25" s="1"/>
  <c r="E63" i="14"/>
  <c r="D63" i="14"/>
  <c r="E79" i="14"/>
  <c r="R79" i="14" s="1"/>
  <c r="D177" i="25" s="1"/>
  <c r="D79" i="14"/>
  <c r="Q79" i="14" s="1"/>
  <c r="D77" i="25" s="1"/>
  <c r="E95" i="14"/>
  <c r="D95" i="14"/>
  <c r="Q95" i="14" s="1"/>
  <c r="D93" i="25" s="1"/>
  <c r="D21" i="14"/>
  <c r="Q21" i="14" s="1"/>
  <c r="D19" i="25" s="1"/>
  <c r="E21" i="14"/>
  <c r="R21" i="14" s="1"/>
  <c r="D119" i="25" s="1"/>
  <c r="D57" i="14"/>
  <c r="E57" i="14"/>
  <c r="E4" i="14"/>
  <c r="R4" i="14" s="1"/>
  <c r="D102" i="25" s="1"/>
  <c r="D4" i="14"/>
  <c r="E20" i="14"/>
  <c r="D20" i="14"/>
  <c r="Q20" i="14" s="1"/>
  <c r="D18" i="25" s="1"/>
  <c r="E36" i="14"/>
  <c r="R36" i="14" s="1"/>
  <c r="D134" i="25" s="1"/>
  <c r="D36" i="14"/>
  <c r="Q36" i="14" s="1"/>
  <c r="D34" i="25" s="1"/>
  <c r="E52" i="14"/>
  <c r="D52" i="14"/>
  <c r="E68" i="14"/>
  <c r="R68" i="14" s="1"/>
  <c r="D166" i="25" s="1"/>
  <c r="D68" i="14"/>
  <c r="Q68" i="14" s="1"/>
  <c r="D66" i="25" s="1"/>
  <c r="E84" i="14"/>
  <c r="R84" i="14" s="1"/>
  <c r="D182" i="25" s="1"/>
  <c r="D84" i="14"/>
  <c r="Q84" i="14" s="1"/>
  <c r="D82" i="25" s="1"/>
  <c r="E100" i="14"/>
  <c r="R100" i="14" s="1"/>
  <c r="D198" i="25" s="1"/>
  <c r="D100" i="14"/>
  <c r="Q100" i="14" s="1"/>
  <c r="D98" i="25" s="1"/>
  <c r="D5" i="14"/>
  <c r="E5" i="14"/>
  <c r="D77" i="14"/>
  <c r="Q77" i="14" s="1"/>
  <c r="D75" i="25" s="1"/>
  <c r="E77" i="14"/>
  <c r="D97" i="14"/>
  <c r="Q97" i="14" s="1"/>
  <c r="D95" i="25" s="1"/>
  <c r="E97" i="14"/>
  <c r="E18" i="14"/>
  <c r="R18" i="14" s="1"/>
  <c r="D116" i="25" s="1"/>
  <c r="D18" i="14"/>
  <c r="Q18" i="14" s="1"/>
  <c r="D16" i="25" s="1"/>
  <c r="E34" i="14"/>
  <c r="D34" i="14"/>
  <c r="Q34" i="14" s="1"/>
  <c r="D32" i="25" s="1"/>
  <c r="E50" i="14"/>
  <c r="R50" i="14" s="1"/>
  <c r="D148" i="25" s="1"/>
  <c r="D50" i="14"/>
  <c r="Q50" i="14" s="1"/>
  <c r="D48" i="25" s="1"/>
  <c r="E66" i="14"/>
  <c r="R66" i="14" s="1"/>
  <c r="D164" i="25" s="1"/>
  <c r="D66" i="14"/>
  <c r="E82" i="14"/>
  <c r="R82" i="14" s="1"/>
  <c r="D180" i="25" s="1"/>
  <c r="D82" i="14"/>
  <c r="Q82" i="14" s="1"/>
  <c r="D80" i="25" s="1"/>
  <c r="E98" i="14"/>
  <c r="D98" i="14"/>
  <c r="D101" i="14"/>
  <c r="Q101" i="14" s="1"/>
  <c r="D99" i="25" s="1"/>
  <c r="E101" i="14"/>
  <c r="E19" i="14"/>
  <c r="R19" i="14" s="1"/>
  <c r="D117" i="25" s="1"/>
  <c r="D19" i="14"/>
  <c r="Q19" i="14" s="1"/>
  <c r="D17" i="25" s="1"/>
  <c r="E35" i="14"/>
  <c r="R35" i="14" s="1"/>
  <c r="D133" i="25" s="1"/>
  <c r="D35" i="14"/>
  <c r="Q35" i="14" s="1"/>
  <c r="D33" i="25" s="1"/>
  <c r="E51" i="14"/>
  <c r="D51" i="14"/>
  <c r="E67" i="14"/>
  <c r="R67" i="14" s="1"/>
  <c r="D165" i="25" s="1"/>
  <c r="D67" i="14"/>
  <c r="Q67" i="14" s="1"/>
  <c r="D65" i="25" s="1"/>
  <c r="E83" i="14"/>
  <c r="R83" i="14" s="1"/>
  <c r="D181" i="25" s="1"/>
  <c r="D83" i="14"/>
  <c r="Q83" i="14" s="1"/>
  <c r="D81" i="25" s="1"/>
  <c r="E99" i="14"/>
  <c r="R99" i="14" s="1"/>
  <c r="D197" i="25" s="1"/>
  <c r="D99" i="14"/>
  <c r="Q99" i="14" s="1"/>
  <c r="D97" i="25" s="1"/>
  <c r="D29" i="14"/>
  <c r="E29" i="14"/>
  <c r="R29" i="14" s="1"/>
  <c r="D127" i="25" s="1"/>
  <c r="D65" i="14"/>
  <c r="Q65" i="14" s="1"/>
  <c r="D63" i="25" s="1"/>
  <c r="E65" i="14"/>
  <c r="R65" i="14" s="1"/>
  <c r="D163" i="25" s="1"/>
  <c r="E8" i="14"/>
  <c r="D8" i="14"/>
  <c r="Q8" i="14" s="1"/>
  <c r="D6" i="25" s="1"/>
  <c r="E24" i="14"/>
  <c r="R24" i="14" s="1"/>
  <c r="D122" i="25" s="1"/>
  <c r="D24" i="14"/>
  <c r="Q24" i="14" s="1"/>
  <c r="D22" i="25" s="1"/>
  <c r="E40" i="14"/>
  <c r="R40" i="14" s="1"/>
  <c r="D138" i="25" s="1"/>
  <c r="D40" i="14"/>
  <c r="Q40" i="14" s="1"/>
  <c r="D38" i="25" s="1"/>
  <c r="E56" i="14"/>
  <c r="R56" i="14" s="1"/>
  <c r="D154" i="25" s="1"/>
  <c r="D56" i="14"/>
  <c r="Q56" i="14" s="1"/>
  <c r="D54" i="25" s="1"/>
  <c r="E72" i="14"/>
  <c r="D72" i="14"/>
  <c r="Q72" i="14" s="1"/>
  <c r="D70" i="25" s="1"/>
  <c r="E88" i="14"/>
  <c r="R88" i="14" s="1"/>
  <c r="D186" i="25" s="1"/>
  <c r="D88" i="14"/>
  <c r="Q88" i="14" s="1"/>
  <c r="D86" i="25" s="1"/>
  <c r="O37" i="11"/>
  <c r="O56" i="11" s="1"/>
  <c r="I39" i="11" s="1"/>
  <c r="O41" i="11"/>
  <c r="O60" i="11" s="1"/>
  <c r="I43" i="11" s="1"/>
  <c r="O40" i="11"/>
  <c r="O59" i="11" s="1"/>
  <c r="I42" i="11" s="1"/>
  <c r="O38" i="11"/>
  <c r="O57" i="11" s="1"/>
  <c r="I40" i="11" s="1"/>
  <c r="O39" i="11"/>
  <c r="O58" i="11" s="1"/>
  <c r="I41" i="11" s="1"/>
  <c r="O42" i="11"/>
  <c r="O61" i="11" s="1"/>
  <c r="I44" i="11" s="1"/>
  <c r="B25" i="14"/>
  <c r="C25" i="14"/>
  <c r="B85" i="14"/>
  <c r="C85" i="14"/>
  <c r="B33" i="14"/>
  <c r="C33" i="14"/>
  <c r="B14" i="14"/>
  <c r="C14" i="14"/>
  <c r="B13" i="14"/>
  <c r="C13" i="14"/>
  <c r="B53" i="14"/>
  <c r="C53" i="14"/>
  <c r="B81" i="14"/>
  <c r="C81" i="14"/>
  <c r="B6" i="14"/>
  <c r="C6" i="14"/>
  <c r="B22" i="14"/>
  <c r="C22" i="14"/>
  <c r="B38" i="14"/>
  <c r="C38" i="14"/>
  <c r="B54" i="14"/>
  <c r="C54" i="14"/>
  <c r="B70" i="14"/>
  <c r="C70" i="14"/>
  <c r="B86" i="14"/>
  <c r="C86" i="14"/>
  <c r="B102" i="14"/>
  <c r="C102" i="14"/>
  <c r="B7" i="14"/>
  <c r="C7" i="14"/>
  <c r="B23" i="14"/>
  <c r="C23" i="14"/>
  <c r="C39" i="14"/>
  <c r="B39" i="14"/>
  <c r="B55" i="14"/>
  <c r="C55" i="14"/>
  <c r="B71" i="14"/>
  <c r="C71" i="14"/>
  <c r="C87" i="14"/>
  <c r="B87" i="14"/>
  <c r="C103" i="14"/>
  <c r="B103" i="14"/>
  <c r="B37" i="14"/>
  <c r="C37" i="14"/>
  <c r="B73" i="14"/>
  <c r="C73" i="14"/>
  <c r="C12" i="14"/>
  <c r="B12" i="14"/>
  <c r="C28" i="14"/>
  <c r="B28" i="14"/>
  <c r="C44" i="14"/>
  <c r="B44" i="14"/>
  <c r="C60" i="14"/>
  <c r="B60" i="14"/>
  <c r="C76" i="14"/>
  <c r="B76" i="14"/>
  <c r="C92" i="14"/>
  <c r="B92" i="14"/>
  <c r="B61" i="14"/>
  <c r="C61" i="14"/>
  <c r="B10" i="14"/>
  <c r="C10" i="14"/>
  <c r="B26" i="14"/>
  <c r="C26" i="14"/>
  <c r="B42" i="14"/>
  <c r="C42" i="14"/>
  <c r="B58" i="14"/>
  <c r="C58" i="14"/>
  <c r="B74" i="14"/>
  <c r="C74" i="14"/>
  <c r="B90" i="14"/>
  <c r="C90" i="14"/>
  <c r="B17" i="14"/>
  <c r="C17" i="14"/>
  <c r="C11" i="14"/>
  <c r="B11" i="14"/>
  <c r="C27" i="14"/>
  <c r="B27" i="14"/>
  <c r="C43" i="14"/>
  <c r="B43" i="14"/>
  <c r="C59" i="14"/>
  <c r="B59" i="14"/>
  <c r="C75" i="14"/>
  <c r="B75" i="14"/>
  <c r="B91" i="14"/>
  <c r="C91" i="14"/>
  <c r="B9" i="14"/>
  <c r="C9" i="14"/>
  <c r="B49" i="14"/>
  <c r="C49" i="14"/>
  <c r="B89" i="14"/>
  <c r="C89" i="14"/>
  <c r="C16" i="14"/>
  <c r="B16" i="14"/>
  <c r="C32" i="14"/>
  <c r="B32" i="14"/>
  <c r="C48" i="14"/>
  <c r="B48" i="14"/>
  <c r="C64" i="14"/>
  <c r="B64" i="14"/>
  <c r="C80" i="14"/>
  <c r="B80" i="14"/>
  <c r="C96" i="14"/>
  <c r="B96" i="14"/>
  <c r="B93" i="14"/>
  <c r="C93" i="14"/>
  <c r="B46" i="14"/>
  <c r="C46" i="14"/>
  <c r="B62" i="14"/>
  <c r="C62" i="14"/>
  <c r="B78" i="14"/>
  <c r="C78" i="14"/>
  <c r="B94" i="14"/>
  <c r="C94" i="14"/>
  <c r="B41" i="14"/>
  <c r="C41" i="14"/>
  <c r="B15" i="14"/>
  <c r="C15" i="14"/>
  <c r="C31" i="14"/>
  <c r="B31" i="14"/>
  <c r="B47" i="14"/>
  <c r="C47" i="14"/>
  <c r="B63" i="14"/>
  <c r="C63" i="14"/>
  <c r="B79" i="14"/>
  <c r="C79" i="14"/>
  <c r="C95" i="14"/>
  <c r="B95" i="14"/>
  <c r="B21" i="14"/>
  <c r="C21" i="14"/>
  <c r="B57" i="14"/>
  <c r="C57" i="14"/>
  <c r="C4" i="14"/>
  <c r="B4" i="14"/>
  <c r="C20" i="14"/>
  <c r="B20" i="14"/>
  <c r="C36" i="14"/>
  <c r="B36" i="14"/>
  <c r="C52" i="14"/>
  <c r="B52" i="14"/>
  <c r="C68" i="14"/>
  <c r="B68" i="14"/>
  <c r="C84" i="14"/>
  <c r="B84" i="14"/>
  <c r="C100" i="14"/>
  <c r="B100" i="14"/>
  <c r="B69" i="14"/>
  <c r="C69" i="14"/>
  <c r="B30" i="14"/>
  <c r="C30" i="14"/>
  <c r="B5" i="14"/>
  <c r="C5" i="14"/>
  <c r="B45" i="14"/>
  <c r="C45" i="14"/>
  <c r="B77" i="14"/>
  <c r="C77" i="14"/>
  <c r="C97" i="14"/>
  <c r="B97" i="14"/>
  <c r="B18" i="14"/>
  <c r="C18" i="14"/>
  <c r="B34" i="14"/>
  <c r="C34" i="14"/>
  <c r="B50" i="14"/>
  <c r="C50" i="14"/>
  <c r="B66" i="14"/>
  <c r="C66" i="14"/>
  <c r="B82" i="14"/>
  <c r="C82" i="14"/>
  <c r="B98" i="14"/>
  <c r="C98" i="14"/>
  <c r="B101" i="14"/>
  <c r="C101" i="14"/>
  <c r="C19" i="14"/>
  <c r="B19" i="14"/>
  <c r="B35" i="14"/>
  <c r="C35" i="14"/>
  <c r="C51" i="14"/>
  <c r="B51" i="14"/>
  <c r="C67" i="14"/>
  <c r="B67" i="14"/>
  <c r="C83" i="14"/>
  <c r="B83" i="14"/>
  <c r="B99" i="14"/>
  <c r="C99" i="14"/>
  <c r="B29" i="14"/>
  <c r="C29" i="14"/>
  <c r="O36" i="11"/>
  <c r="O55" i="11" s="1"/>
  <c r="B65" i="14"/>
  <c r="C65" i="14"/>
  <c r="C8" i="14"/>
  <c r="B8" i="14"/>
  <c r="C24" i="14"/>
  <c r="B24" i="14"/>
  <c r="C40" i="14"/>
  <c r="B40" i="14"/>
  <c r="C56" i="14"/>
  <c r="B56" i="14"/>
  <c r="C72" i="14"/>
  <c r="B72" i="14"/>
  <c r="C88" i="14"/>
  <c r="B88" i="14"/>
  <c r="Q70" i="14"/>
  <c r="D68" i="25" s="1"/>
  <c r="R7" i="14"/>
  <c r="D105" i="25" s="1"/>
  <c r="R39" i="14"/>
  <c r="D137" i="25" s="1"/>
  <c r="R37" i="14"/>
  <c r="D135" i="25" s="1"/>
  <c r="Q12" i="14"/>
  <c r="D10" i="25" s="1"/>
  <c r="R44" i="14"/>
  <c r="D142" i="25" s="1"/>
  <c r="Q61" i="14"/>
  <c r="D59" i="25" s="1"/>
  <c r="R85" i="14"/>
  <c r="D183" i="25" s="1"/>
  <c r="Q85" i="14"/>
  <c r="D83" i="25" s="1"/>
  <c r="Q10" i="14"/>
  <c r="D8" i="25" s="1"/>
  <c r="R26" i="14"/>
  <c r="D124" i="25" s="1"/>
  <c r="R58" i="14"/>
  <c r="D156" i="25" s="1"/>
  <c r="R11" i="14"/>
  <c r="D109" i="25" s="1"/>
  <c r="Q27" i="14"/>
  <c r="D25" i="25" s="1"/>
  <c r="R43" i="14"/>
  <c r="D141" i="25" s="1"/>
  <c r="Q9" i="14"/>
  <c r="D7" i="25" s="1"/>
  <c r="R89" i="14"/>
  <c r="D187" i="25" s="1"/>
  <c r="Q16" i="14"/>
  <c r="D14" i="25" s="1"/>
  <c r="R32" i="14"/>
  <c r="D130" i="25" s="1"/>
  <c r="Q64" i="14"/>
  <c r="D62" i="25" s="1"/>
  <c r="R96" i="14"/>
  <c r="D194" i="25" s="1"/>
  <c r="Q53" i="14"/>
  <c r="D51" i="25" s="1"/>
  <c r="R53" i="14"/>
  <c r="D151" i="25" s="1"/>
  <c r="Q38" i="14"/>
  <c r="D36" i="25" s="1"/>
  <c r="Q102" i="14"/>
  <c r="D100" i="25" s="1"/>
  <c r="R71" i="14"/>
  <c r="D169" i="25" s="1"/>
  <c r="Q92" i="14"/>
  <c r="D90" i="25" s="1"/>
  <c r="R78" i="14"/>
  <c r="D176" i="25" s="1"/>
  <c r="Q41" i="14"/>
  <c r="D39" i="25" s="1"/>
  <c r="Q15" i="14"/>
  <c r="D13" i="25" s="1"/>
  <c r="R31" i="14"/>
  <c r="D129" i="25" s="1"/>
  <c r="Q63" i="14"/>
  <c r="D61" i="25" s="1"/>
  <c r="R63" i="14"/>
  <c r="D161" i="25" s="1"/>
  <c r="R95" i="14"/>
  <c r="D193" i="25" s="1"/>
  <c r="Q57" i="14"/>
  <c r="D55" i="25" s="1"/>
  <c r="R57" i="14"/>
  <c r="D155" i="25" s="1"/>
  <c r="Q4" i="14"/>
  <c r="D2" i="25" s="1"/>
  <c r="R20" i="14"/>
  <c r="D118" i="25" s="1"/>
  <c r="Q52" i="14"/>
  <c r="D50" i="25" s="1"/>
  <c r="R52" i="14"/>
  <c r="D150" i="25" s="1"/>
  <c r="Q6" i="14"/>
  <c r="D4" i="25" s="1"/>
  <c r="R6" i="14"/>
  <c r="D104" i="25" s="1"/>
  <c r="Q23" i="14"/>
  <c r="D21" i="25" s="1"/>
  <c r="Q55" i="14"/>
  <c r="D53" i="25" s="1"/>
  <c r="R28" i="14"/>
  <c r="D126" i="25" s="1"/>
  <c r="R76" i="14"/>
  <c r="D174" i="25" s="1"/>
  <c r="R14" i="14"/>
  <c r="D112" i="25" s="1"/>
  <c r="Q5" i="14"/>
  <c r="D3" i="25" s="1"/>
  <c r="R5" i="14"/>
  <c r="D103" i="25" s="1"/>
  <c r="R45" i="14"/>
  <c r="D143" i="25" s="1"/>
  <c r="Q45" i="14"/>
  <c r="D43" i="25" s="1"/>
  <c r="R77" i="14"/>
  <c r="D175" i="25" s="1"/>
  <c r="R97" i="14"/>
  <c r="D195" i="25" s="1"/>
  <c r="R34" i="14"/>
  <c r="D132" i="25" s="1"/>
  <c r="Q66" i="14"/>
  <c r="D64" i="25" s="1"/>
  <c r="R98" i="14"/>
  <c r="D196" i="25" s="1"/>
  <c r="Q98" i="14"/>
  <c r="D96" i="25" s="1"/>
  <c r="R101" i="14"/>
  <c r="D199" i="25" s="1"/>
  <c r="Q51" i="14"/>
  <c r="D49" i="25" s="1"/>
  <c r="R51" i="14"/>
  <c r="D149" i="25" s="1"/>
  <c r="Q29" i="14"/>
  <c r="D27" i="25" s="1"/>
  <c r="R8" i="14"/>
  <c r="D106" i="25" s="1"/>
  <c r="R72" i="14"/>
  <c r="D170" i="25" s="1"/>
  <c r="J42" i="11" l="1"/>
  <c r="J44" i="11"/>
  <c r="J43" i="11"/>
  <c r="J41" i="11"/>
  <c r="J39" i="11"/>
  <c r="T36" i="11"/>
  <c r="O44" i="11"/>
  <c r="U36" i="11" l="1"/>
  <c r="O68" i="11"/>
  <c r="T35" i="11"/>
  <c r="U35" i="11" l="1"/>
  <c r="U54" i="11" s="1"/>
  <c r="U55" i="11"/>
  <c r="I38" i="11" l="1"/>
  <c r="J38" i="11" s="1"/>
  <c r="I37" i="11"/>
  <c r="U44" i="11"/>
  <c r="J40" i="11" s="1"/>
  <c r="R68" i="11"/>
  <c r="I46" i="11" l="1"/>
  <c r="U68" i="11"/>
  <c r="J37" i="11"/>
  <c r="J46" i="11" s="1"/>
  <c r="H49" i="11" l="1"/>
  <c r="H52" i="11" s="1"/>
  <c r="H53" i="11" s="1"/>
  <c r="C9" i="24" l="1"/>
  <c r="C12" i="24"/>
  <c r="H54" i="11" l="1"/>
  <c r="C13" i="24"/>
  <c r="H55" i="11" l="1"/>
  <c r="C15" i="24" s="1"/>
  <c r="C14" i="24"/>
</calcChain>
</file>

<file path=xl/sharedStrings.xml><?xml version="1.0" encoding="utf-8"?>
<sst xmlns="http://schemas.openxmlformats.org/spreadsheetml/2006/main" count="348" uniqueCount="212">
  <si>
    <t>RANGO DE EDAD</t>
  </si>
  <si>
    <t>Deducible</t>
  </si>
  <si>
    <t>PRIMA RIESGO ANUAL POR PERSONA ASEGURADA</t>
  </si>
  <si>
    <t>26-50 UNISEX</t>
  </si>
  <si>
    <t>51-75 UNISEX</t>
  </si>
  <si>
    <t xml:space="preserve">  0-25 UNISEX</t>
  </si>
  <si>
    <t>Prima de riesgo</t>
  </si>
  <si>
    <t>% coaseguro</t>
  </si>
  <si>
    <t>Primas  de riesgo por edad
(años cumpidos)</t>
  </si>
  <si>
    <t>Edad</t>
  </si>
  <si>
    <t>A</t>
  </si>
  <si>
    <t>B</t>
  </si>
  <si>
    <t>Coberturas Adicionales</t>
  </si>
  <si>
    <t>Cobertura en el Extranjero</t>
  </si>
  <si>
    <t>Excluida</t>
  </si>
  <si>
    <t>NOMBRE</t>
  </si>
  <si>
    <t>EDAD</t>
  </si>
  <si>
    <t>PARENTESCO</t>
  </si>
  <si>
    <t>SEXO</t>
  </si>
  <si>
    <t>Titular</t>
  </si>
  <si>
    <t>M</t>
  </si>
  <si>
    <t>F</t>
  </si>
  <si>
    <t>PRIMA NETA ANUAL</t>
  </si>
  <si>
    <t>Recargo por Pago Fraccionado</t>
  </si>
  <si>
    <t xml:space="preserve">Subtotal </t>
  </si>
  <si>
    <t>IVA</t>
  </si>
  <si>
    <t>Nombre y firma del Contratante</t>
  </si>
  <si>
    <t>Nombre y firma del Agente</t>
  </si>
  <si>
    <t>Nombre y firma de quien elaboró</t>
  </si>
  <si>
    <t>Cónyuge</t>
  </si>
  <si>
    <t>Hijo(a)</t>
  </si>
  <si>
    <t>Otro</t>
  </si>
  <si>
    <t>Parentesco</t>
  </si>
  <si>
    <t>Sexo</t>
  </si>
  <si>
    <t>PRIMA DE RIESGO</t>
  </si>
  <si>
    <t>BASICA</t>
  </si>
  <si>
    <t>EMERGENCIA EN EL EXTRANJERO</t>
  </si>
  <si>
    <t>COBERTURA EN EL EXTRANJERO</t>
  </si>
  <si>
    <t>Amparada</t>
  </si>
  <si>
    <t>Cobertura</t>
  </si>
  <si>
    <t>FACTOR</t>
  </si>
  <si>
    <t>PRIMA COB EXT</t>
  </si>
  <si>
    <t>PRIMA DE TARIFA</t>
  </si>
  <si>
    <t>Utilidad</t>
  </si>
  <si>
    <t>Gasto Administración</t>
  </si>
  <si>
    <t>Emergencia en el Extranjero</t>
  </si>
  <si>
    <t>Coaseguro: 0%</t>
  </si>
  <si>
    <t xml:space="preserve">PRIMA </t>
  </si>
  <si>
    <t>PRIMA BASICA</t>
  </si>
  <si>
    <t>PRIMA EME EXT</t>
  </si>
  <si>
    <t>PRIMA</t>
  </si>
  <si>
    <t>Vigencia en días</t>
  </si>
  <si>
    <t>Hombres</t>
  </si>
  <si>
    <t>Mujeres</t>
  </si>
  <si>
    <t>COBERTURA BASICA</t>
  </si>
  <si>
    <t>Asistencia Médica en el Hogar</t>
  </si>
  <si>
    <t>Cobertura Básica</t>
  </si>
  <si>
    <t>x</t>
  </si>
  <si>
    <t>prima</t>
  </si>
  <si>
    <t>redad</t>
  </si>
  <si>
    <t>mean</t>
  </si>
  <si>
    <t>q85</t>
  </si>
  <si>
    <t>numsin</t>
  </si>
  <si>
    <t>asegurados</t>
  </si>
  <si>
    <t>lambda</t>
  </si>
  <si>
    <t>Frecuencia</t>
  </si>
  <si>
    <t>Severidad</t>
  </si>
  <si>
    <t>PR=y</t>
  </si>
  <si>
    <t>Coaseguro</t>
  </si>
  <si>
    <t>X</t>
  </si>
  <si>
    <t>Y</t>
  </si>
  <si>
    <t>y'=lny</t>
  </si>
  <si>
    <t>xy'</t>
  </si>
  <si>
    <t>x2</t>
  </si>
  <si>
    <t>y'2</t>
  </si>
  <si>
    <t>xy</t>
  </si>
  <si>
    <t>n=</t>
  </si>
  <si>
    <t>A'</t>
  </si>
  <si>
    <t>Factor por edad
(años cumpidos)</t>
  </si>
  <si>
    <t>factor</t>
  </si>
  <si>
    <t>Cobertura en el extranjero</t>
  </si>
  <si>
    <t>Cobertura en el emergencia</t>
  </si>
  <si>
    <t>Consultas</t>
  </si>
  <si>
    <t>Factor</t>
  </si>
  <si>
    <t>Costo Promedio</t>
  </si>
  <si>
    <t>Personas</t>
  </si>
  <si>
    <t>PR</t>
  </si>
  <si>
    <t>Asg prom</t>
  </si>
  <si>
    <t>Total</t>
  </si>
  <si>
    <t>Fa</t>
  </si>
  <si>
    <t>PMA TOTAL</t>
  </si>
  <si>
    <t>Número de consultas</t>
  </si>
  <si>
    <t>ASISTENCIA EN EL HOGAR</t>
  </si>
  <si>
    <t>TIPO TARIFA</t>
  </si>
  <si>
    <t xml:space="preserve"> </t>
  </si>
  <si>
    <t>Deducible (MXP)</t>
  </si>
  <si>
    <t>- No se cubren preexistencias ni pago de deducibles de complementos.</t>
  </si>
  <si>
    <t>Contratante:</t>
  </si>
  <si>
    <t>CONTADO</t>
  </si>
  <si>
    <t>Prima Neta</t>
  </si>
  <si>
    <t>Prima Total</t>
  </si>
  <si>
    <t>Notas:</t>
  </si>
  <si>
    <t>PRIMA NETA 
ANUAL</t>
  </si>
  <si>
    <t>Pago único</t>
  </si>
  <si>
    <t>Fin Vig. Pol. Primaria:</t>
  </si>
  <si>
    <t>PRIMA DE TARIFA
Por Póliza</t>
  </si>
  <si>
    <t>ASISTENCIA HOGAR</t>
  </si>
  <si>
    <t/>
  </si>
  <si>
    <t>Versión: 3.0</t>
  </si>
  <si>
    <t>NOMBRE(S)</t>
  </si>
  <si>
    <t>AP. MAT.</t>
  </si>
  <si>
    <t>AP. PAT.</t>
  </si>
  <si>
    <t>Prorrata</t>
  </si>
  <si>
    <t>NO. AGENTE</t>
  </si>
  <si>
    <t>RFC AGENTE</t>
  </si>
  <si>
    <t>AP PATERNO</t>
  </si>
  <si>
    <t>AP MATERNO</t>
  </si>
  <si>
    <t>NOMBRES</t>
  </si>
  <si>
    <t>AP_PAT</t>
  </si>
  <si>
    <t>AP_MAT</t>
  </si>
  <si>
    <t>FEC_NAC</t>
  </si>
  <si>
    <t>ANTIGUEDAD</t>
  </si>
  <si>
    <t>Clave Parentesco</t>
  </si>
  <si>
    <t>Clave Sexo</t>
  </si>
  <si>
    <t>S.A. Básica</t>
  </si>
  <si>
    <t>S.A. EMER</t>
  </si>
  <si>
    <t>S.A. Extranjero</t>
  </si>
  <si>
    <t>Fin Vigencia</t>
  </si>
  <si>
    <t>Suma Asegurada:
(Ded. Pól. Primaria)</t>
  </si>
  <si>
    <t>Asegurados:</t>
  </si>
  <si>
    <t>Asistencia Médica 
en el Hogar</t>
  </si>
  <si>
    <t>PRIMA NETA PRORRATA</t>
  </si>
  <si>
    <t xml:space="preserve">PRIMA DE TARIFA
</t>
  </si>
  <si>
    <t>Ini Vigencia</t>
  </si>
  <si>
    <t>Fecha de cotización:</t>
  </si>
  <si>
    <t>HEFC7802189P6</t>
  </si>
  <si>
    <t>Fecha de Elaboración:</t>
  </si>
  <si>
    <t>Póliza:</t>
  </si>
  <si>
    <t>NUEVA</t>
  </si>
  <si>
    <t>Datos de la Empresa</t>
  </si>
  <si>
    <t xml:space="preserve">Nombre del Cliente: </t>
  </si>
  <si>
    <t>R.F.C.</t>
  </si>
  <si>
    <t>Contacto de la Aseguradora</t>
  </si>
  <si>
    <t xml:space="preserve">Nombre: </t>
  </si>
  <si>
    <t>Datos de la Emisión</t>
  </si>
  <si>
    <t>Producto:</t>
  </si>
  <si>
    <t>Seguro Individual de Gastos Médicos Mayores "Mi Doc Deducible"</t>
  </si>
  <si>
    <t>Inicio de Vigencia:</t>
  </si>
  <si>
    <t>Fin de Vigencia:</t>
  </si>
  <si>
    <t>% Administración:</t>
  </si>
  <si>
    <t>% Utilidad</t>
  </si>
  <si>
    <t>Comisión Agente:</t>
  </si>
  <si>
    <t>% Comisión Promotor</t>
  </si>
  <si>
    <t>Forma de Pago:</t>
  </si>
  <si>
    <t>Núm. De Asegurados:</t>
  </si>
  <si>
    <t>Tipo de Plan:</t>
  </si>
  <si>
    <t>Individual</t>
  </si>
  <si>
    <t>Suma Asegurada:</t>
  </si>
  <si>
    <t>Deducible:</t>
  </si>
  <si>
    <t>Coaseguro:</t>
  </si>
  <si>
    <t>Tope de Coaseguro:</t>
  </si>
  <si>
    <t>NOTAS:</t>
  </si>
  <si>
    <t>Nombre del Responsable:</t>
  </si>
  <si>
    <t>Emer. Extranjero:</t>
  </si>
  <si>
    <t>Aten. Extranjero:</t>
  </si>
  <si>
    <t>CNSF: CNSF-H0711-0049-2018 FECHA: 17/09/2018</t>
  </si>
  <si>
    <t>RECAS: CONDUSEF-003429-01</t>
  </si>
  <si>
    <t>DATOS POLIZA PRIMARIA</t>
  </si>
  <si>
    <t>DERECHO DE PÓLIZA:</t>
  </si>
  <si>
    <t>OBSERVACIONES</t>
  </si>
  <si>
    <t>ANUAL</t>
  </si>
  <si>
    <t>PRIMA NETA</t>
  </si>
  <si>
    <t>EDAD_ DE</t>
  </si>
  <si>
    <t>EDAD_ A</t>
  </si>
  <si>
    <t>EMERGENCIA</t>
  </si>
  <si>
    <t>EXTRANJERO</t>
  </si>
  <si>
    <t>SISNOVA</t>
  </si>
  <si>
    <t>F. NAC.
DD/MM/AAAA</t>
  </si>
  <si>
    <t>GENERO
M: MASCULINO
F: FEMENINO</t>
  </si>
  <si>
    <t>Zona Fronteriza</t>
  </si>
  <si>
    <t>Resto del País</t>
  </si>
  <si>
    <t>Se consideran zona fronteriza para Estímulo Fiscal del IVA los siguientes municipios: Ensenada, Playas de Rosarito, Tijuana, Tecate y Mexicali del estado de Baja California. San Luis Río Colorado, Puerto Peñasco, General Plutarco Elías Calles, Caborca, Altar, Sáric, Nogales, Santa Cruz, Cananea, Naco y Agua Prieta del estado de Sonora. Janos, Ascensión, Juárez, Praxedis G. Guerrero, Guadalupe, Coyame del Sotol, Ojinaga y Manuel Benavides del estado de Chihuahua.
Ocampo, Acuña, Zaragoza, Jiménez, Piedras Negras, Nava, Guerrero e Hidalgo del estado de Coahuila. Anáhuac del estado de Nuevo León, y Nuevo Laredo.
Guerrero, Mier, Miguel Alemán, Camargo, Gustavo Díaz Ordaz, Reynosa, Río Bravo, Valle Hermoso y Matamoros del estado de Tamaulipas.</t>
  </si>
  <si>
    <t>CONTRATANTE:</t>
  </si>
  <si>
    <t>RFC CONTRATANTE:</t>
  </si>
  <si>
    <t>FORMA DE PAGO:</t>
  </si>
  <si>
    <t>NOMBRE EJECUTIVO:</t>
  </si>
  <si>
    <t>CESAR ISRAEL</t>
  </si>
  <si>
    <t>HERNANDEZ</t>
  </si>
  <si>
    <t>FRAGOSO</t>
  </si>
  <si>
    <t>Gasto Adquisición</t>
  </si>
  <si>
    <t>Poliza primaria</t>
  </si>
  <si>
    <t>COMPAÑÍA</t>
  </si>
  <si>
    <t xml:space="preserve">"Este seguro cubrirá hasta por el límite de la suma asegurada contratada para esta póliza, el cual corresponde al importe del deducible erogado en la póliza primaria, por los gastos médicos en que incurra el asegurado a consecuencia de un accidente y/o enfermedad cubierta, misma que estará estipulada en la carátula de la póliza. Lo anterior, siempre y cuando los gastos médicos en que incurra el asegurado sean superiores o iguales al deducible contratado en la póliza primaria.
Se entenderá por gastos médicos cubiertos, aquéllos que deriven de un accidente y/o enfermedad ocurridos dentro de la vigencia de esta póliza, una vez transcurrido el periodo de espera y que demuestren que han sido pagados por la aseguradora de la póliza primaria, con sujeción a los límites establecidos en la presente póliza. El coaseguro de esta cobertura se encontrará señalado en la carátula de la póliza."	</t>
  </si>
  <si>
    <t>Derecho de Póliza</t>
  </si>
  <si>
    <t>SOLICITUD DE EMISIÓN:</t>
  </si>
  <si>
    <t>PÓLIZA PRIMARIA</t>
  </si>
  <si>
    <t>Compañía</t>
  </si>
  <si>
    <t>Número</t>
  </si>
  <si>
    <t>RAZÓN SOCIAL</t>
  </si>
  <si>
    <t>Agradecemos la oportunidad que nos brinda para presentar esta cotización de Seguro de Gastos Médicos Mayores, la presente propuesta fue elaborada de acuerdo a sus requerimientos, esperando cumpla con sus expectativas:</t>
  </si>
  <si>
    <t>VC_2019.0</t>
  </si>
  <si>
    <t>- Este cotizador estará vigente hasta el 31 de diciembre de 2020.</t>
  </si>
  <si>
    <t>XX</t>
  </si>
  <si>
    <t>- VC-2020.0</t>
  </si>
  <si>
    <t>Anual</t>
  </si>
  <si>
    <t>ALEJANDRA GUTIERREZ MORENO</t>
  </si>
  <si>
    <t>FRANCISCO</t>
  </si>
  <si>
    <t xml:space="preserve">GUTIERREZ </t>
  </si>
  <si>
    <t>GUTIERREZ</t>
  </si>
  <si>
    <t xml:space="preserve">LAURA </t>
  </si>
  <si>
    <t>MORENO</t>
  </si>
  <si>
    <t>MONTEMAYOR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</si>
</sst>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7" formatCode="&quot;$&quot;#,##0.00;\-&quot;$&quot;#,##0.00"/>
    <numFmt numFmtId="164" formatCode="&quot;$&quot;#,##0_);\(&quot;$&quot;#,##0\)"/>
    <numFmt numFmtId="165" formatCode="_(&quot;$&quot;* #,##0.00_);_(&quot;$&quot;* \(#,##0.00\);_(&quot;$&quot;* &quot;-&quot;??_);_(@_)"/>
    <numFmt numFmtId="166" formatCode="_(* #,##0.00_);_(* \(#,##0.00\);_(* &quot;-&quot;??_);_(@_)"/>
    <numFmt numFmtId="167" formatCode="#,##0_ ;[Red]\-#,##0\ "/>
    <numFmt numFmtId="168" formatCode="#,##0.00_ ;[Red]\-#,##0.00\ "/>
    <numFmt numFmtId="169" formatCode="_-* #,##0_-;\-* #,##0_-;_-* &quot;-&quot;??_-;_-@_-"/>
    <numFmt numFmtId="170" formatCode="0.0000"/>
    <numFmt numFmtId="171" formatCode="#,##0.00_ ;\-#,##0.00\ "/>
    <numFmt numFmtId="172" formatCode="#,##0_ ;\-#,##0\ "/>
    <numFmt numFmtId="173" formatCode="0.000000"/>
    <numFmt numFmtId="174" formatCode="0.00000"/>
    <numFmt numFmtId="175" formatCode="_-&quot;$&quot;* #,##0_-;\-&quot;$&quot;* #,##0_-;_-&quot;$&quot;* &quot;-&quot;??_-;_-@_-"/>
    <numFmt numFmtId="176" formatCode="&quot;$&quot;#,##0.00"/>
    <numFmt numFmtId="177" formatCode="0.0%"/>
    <numFmt numFmtId="178" formatCode="&quot;$&quot;#,##0"/>
    <numFmt numFmtId="179" formatCode="_(* #,##0_);_(* \(#,##0\);_(* &quot;-&quot;??_);_(@_)"/>
  </numFmts>
  <fonts count="49">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FF0000"/>
      <name val="Calibri"/>
      <family val="2"/>
      <scheme val="minor"/>
    </font>
    <font>
      <b/>
      <sz val="11"/>
      <name val="Calibri"/>
      <family val="2"/>
      <scheme val="minor"/>
    </font>
    <font>
      <sz val="11"/>
      <name val="Calibri"/>
      <family val="2"/>
      <scheme val="minor"/>
    </font>
    <font>
      <sz val="11"/>
      <color rgb="FF595959"/>
      <name val="Calibri"/>
      <family val="2"/>
      <scheme val="minor"/>
    </font>
    <font>
      <b/>
      <sz val="14"/>
      <color theme="1"/>
      <name val="Proxima Nova Cn Lt"/>
      <family val="3"/>
    </font>
    <font>
      <sz val="11"/>
      <color theme="1"/>
      <name val="Proxima Nova Cn Lt"/>
      <family val="3"/>
    </font>
    <font>
      <b/>
      <sz val="12"/>
      <color theme="0"/>
      <name val="Proxima Nova Cn Lt"/>
      <family val="3"/>
    </font>
    <font>
      <sz val="10"/>
      <name val="Arial"/>
      <family val="2"/>
    </font>
    <font>
      <sz val="11"/>
      <color indexed="8"/>
      <name val="Proxima Nova Cn Lt"/>
      <family val="3"/>
    </font>
    <font>
      <b/>
      <sz val="11"/>
      <color indexed="8"/>
      <name val="Proxima Nova Cn Lt"/>
      <family val="3"/>
    </font>
    <font>
      <b/>
      <sz val="11"/>
      <color theme="1"/>
      <name val="Proxima Nova Cn Lt"/>
      <family val="3"/>
    </font>
    <font>
      <sz val="11"/>
      <color rgb="FF000000"/>
      <name val="Calibri"/>
      <family val="2"/>
    </font>
    <font>
      <sz val="8"/>
      <color rgb="FF000000"/>
      <name val="Tahoma"/>
      <family val="2"/>
    </font>
    <font>
      <sz val="11"/>
      <color theme="0"/>
      <name val="Proxima Nova Cn Lt"/>
      <family val="3"/>
    </font>
    <font>
      <sz val="9"/>
      <name val="Century Gothic"/>
      <family val="2"/>
    </font>
    <font>
      <sz val="10"/>
      <name val="Century Gothic"/>
      <family val="2"/>
    </font>
    <font>
      <i/>
      <sz val="11"/>
      <color theme="1"/>
      <name val="Calibri"/>
      <family val="2"/>
      <scheme val="minor"/>
    </font>
    <font>
      <b/>
      <sz val="18"/>
      <color theme="1"/>
      <name val="Proxima Nova Cn Lt"/>
      <family val="3"/>
    </font>
    <font>
      <sz val="11"/>
      <color rgb="FFFF0000"/>
      <name val="Proxima Nova Cn Lt"/>
      <family val="3"/>
    </font>
    <font>
      <b/>
      <sz val="11"/>
      <color theme="0"/>
      <name val="Proxima Nova Cn Lt"/>
      <family val="3"/>
    </font>
    <font>
      <b/>
      <sz val="10"/>
      <color theme="0"/>
      <name val="Proxima Nova Cn Lt"/>
      <family val="3"/>
    </font>
    <font>
      <sz val="10"/>
      <name val="Proxima Nova Cn Lt"/>
      <family val="3"/>
    </font>
    <font>
      <b/>
      <sz val="10"/>
      <color theme="4" tint="-0.249977111117893"/>
      <name val="Proxima Nova Cn Lt"/>
      <family val="3"/>
    </font>
    <font>
      <sz val="11"/>
      <color theme="0"/>
      <name val="Calibri"/>
      <family val="2"/>
      <scheme val="minor"/>
    </font>
    <font>
      <sz val="11"/>
      <color theme="1"/>
      <name val="Proxima Nova Cn Lt"/>
      <family val="3"/>
    </font>
    <font>
      <sz val="11"/>
      <color theme="0"/>
      <name val="Proxima Nova Cn Lt"/>
      <family val="3"/>
    </font>
    <font>
      <sz val="14"/>
      <color theme="1"/>
      <name val="Proxima Nova Cn Lt"/>
      <family val="3"/>
    </font>
    <font>
      <sz val="14"/>
      <color rgb="FFFF0000"/>
      <name val="Proxima Nova Cn Lt"/>
      <family val="3"/>
    </font>
    <font>
      <b/>
      <sz val="14"/>
      <color theme="4"/>
      <name val="Proxima Nova Cn Lt"/>
      <family val="3"/>
    </font>
    <font>
      <sz val="14"/>
      <name val="Proxima Nova Cn Lt"/>
      <family val="3"/>
    </font>
    <font>
      <sz val="14"/>
      <color theme="1"/>
      <name val="Calibri"/>
      <family val="2"/>
      <scheme val="minor"/>
    </font>
    <font>
      <sz val="14"/>
      <color theme="0"/>
      <name val="Proxima Nova Cn Lt"/>
      <family val="3"/>
    </font>
    <font>
      <b/>
      <sz val="14"/>
      <color theme="0"/>
      <name val="Proxima Nova Cn Lt"/>
      <family val="3"/>
    </font>
    <font>
      <b/>
      <sz val="14"/>
      <name val="Proxima Nova Cn Lt"/>
      <family val="3"/>
    </font>
    <font>
      <sz val="14"/>
      <color indexed="8"/>
      <name val="Proxima Nova Cn Lt"/>
      <family val="3"/>
    </font>
    <font>
      <b/>
      <sz val="14"/>
      <color indexed="8"/>
      <name val="Proxima Nova Cn Lt"/>
      <family val="3"/>
    </font>
    <font>
      <b/>
      <sz val="14"/>
      <color theme="4" tint="-0.249977111117893"/>
      <name val="Proxima Nova Cn Lt"/>
      <family val="3"/>
    </font>
    <font>
      <b/>
      <sz val="10"/>
      <color theme="0"/>
      <name val="Century Gothic"/>
      <family val="2"/>
    </font>
    <font>
      <b/>
      <sz val="9"/>
      <color theme="0"/>
      <name val="Century Gothic"/>
      <family val="2"/>
    </font>
    <font>
      <sz val="11"/>
      <name val="Proxima Nova Cn Lt"/>
      <family val="3"/>
    </font>
    <font>
      <b/>
      <sz val="12"/>
      <name val="Proxima Nova Cn Lt"/>
      <family val="3"/>
    </font>
    <font>
      <b/>
      <u/>
      <sz val="12"/>
      <name val="Proxima Nova Cn Lt"/>
      <family val="3"/>
    </font>
    <font>
      <b/>
      <sz val="11"/>
      <name val="Proxima Nova Cn Lt"/>
      <family val="3"/>
    </font>
    <font>
      <b/>
      <u/>
      <sz val="14"/>
      <color theme="1"/>
      <name val="Proxima Nova Cn Lt"/>
      <family val="3"/>
    </font>
    <font>
      <b/>
      <sz val="16"/>
      <name val="Proxima Nova Cn Lt"/>
    </font>
  </fonts>
  <fills count="23">
    <fill>
      <patternFill patternType="none"/>
    </fill>
    <fill>
      <patternFill patternType="gray125"/>
    </fill>
    <fill>
      <patternFill patternType="solid">
        <fgColor theme="4" tint="-0.499984740745262"/>
        <bgColor indexed="64"/>
      </patternFill>
    </fill>
    <fill>
      <patternFill patternType="solid">
        <fgColor theme="4" tint="0.79998168889431442"/>
        <bgColor theme="4" tint="0.79998168889431442"/>
      </patternFill>
    </fill>
    <fill>
      <patternFill patternType="solid">
        <fgColor theme="7"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4"/>
        <bgColor indexed="64"/>
      </patternFill>
    </fill>
    <fill>
      <patternFill patternType="solid">
        <fgColor indexed="9"/>
        <bgColor indexed="64"/>
      </patternFill>
    </fill>
    <fill>
      <patternFill patternType="solid">
        <fgColor theme="8" tint="0.79998168889431442"/>
        <bgColor indexed="64"/>
      </patternFill>
    </fill>
    <fill>
      <patternFill patternType="mediumGray">
        <bgColor theme="0"/>
      </patternFill>
    </fill>
    <fill>
      <patternFill patternType="solid">
        <fgColor indexed="5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5" tint="-0.24994659260841701"/>
        <bgColor indexed="64"/>
      </patternFill>
    </fill>
    <fill>
      <patternFill patternType="solid">
        <fgColor theme="0" tint="-0.249977111117893"/>
        <bgColor indexed="64"/>
      </patternFill>
    </fill>
  </fills>
  <borders count="65">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top/>
      <bottom style="medium">
        <color rgb="FF0070C0"/>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top/>
      <bottom/>
      <diagonal/>
    </border>
    <border>
      <left/>
      <right style="medium">
        <color rgb="FF0070C0"/>
      </right>
      <top/>
      <bottom/>
      <diagonal/>
    </border>
    <border>
      <left/>
      <right/>
      <top style="medium">
        <color rgb="FF0070C0"/>
      </top>
      <bottom/>
      <diagonal/>
    </border>
    <border>
      <left style="medium">
        <color rgb="FF0070C0"/>
      </left>
      <right style="medium">
        <color rgb="FF0070C0"/>
      </right>
      <top style="medium">
        <color rgb="FF0070C0"/>
      </top>
      <bottom style="medium">
        <color rgb="FF0070C0"/>
      </bottom>
      <diagonal/>
    </border>
    <border>
      <left style="medium">
        <color rgb="FF0070C0"/>
      </left>
      <right/>
      <top style="medium">
        <color rgb="FF0070C0"/>
      </top>
      <bottom/>
      <diagonal/>
    </border>
    <border>
      <left/>
      <right style="medium">
        <color rgb="FF0070C0"/>
      </right>
      <top style="medium">
        <color rgb="FF0070C0"/>
      </top>
      <bottom/>
      <diagonal/>
    </border>
    <border>
      <left style="medium">
        <color rgb="FF0070C0"/>
      </left>
      <right style="medium">
        <color rgb="FF0070C0"/>
      </right>
      <top style="medium">
        <color rgb="FF0070C0"/>
      </top>
      <bottom/>
      <diagonal/>
    </border>
    <border>
      <left style="medium">
        <color rgb="FF0070C0"/>
      </left>
      <right style="medium">
        <color rgb="FF0070C0"/>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double">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right/>
      <top/>
      <bottom style="double">
        <color theme="4" tint="-0.24994659260841701"/>
      </bottom>
      <diagonal/>
    </border>
    <border>
      <left style="medium">
        <color theme="0"/>
      </left>
      <right style="medium">
        <color theme="0"/>
      </right>
      <top style="medium">
        <color theme="0"/>
      </top>
      <bottom style="medium">
        <color theme="0"/>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rgb="FF0070C0"/>
      </left>
      <right/>
      <top/>
      <bottom style="medium">
        <color rgb="FF0070C0"/>
      </bottom>
      <diagonal/>
    </border>
    <border>
      <left/>
      <right style="medium">
        <color rgb="FF0070C0"/>
      </right>
      <top/>
      <bottom style="medium">
        <color rgb="FF0070C0"/>
      </bottom>
      <diagonal/>
    </border>
    <border>
      <left/>
      <right/>
      <top/>
      <bottom style="thin">
        <color auto="1"/>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theme="4" tint="-0.499984740745262"/>
      </left>
      <right/>
      <top/>
      <bottom/>
      <diagonal/>
    </border>
    <border>
      <left/>
      <right style="medium">
        <color theme="4" tint="-0.499984740745262"/>
      </right>
      <top/>
      <bottom/>
      <diagonal/>
    </border>
    <border>
      <left/>
      <right style="medium">
        <color theme="0"/>
      </right>
      <top/>
      <bottom/>
      <diagonal/>
    </border>
    <border>
      <left style="medium">
        <color theme="0"/>
      </left>
      <right style="medium">
        <color theme="0"/>
      </right>
      <top style="medium">
        <color theme="0"/>
      </top>
      <bottom/>
      <diagonal/>
    </border>
    <border>
      <left/>
      <right style="medium">
        <color theme="4"/>
      </right>
      <top style="medium">
        <color theme="4" tint="-0.499984740745262"/>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s>
  <cellStyleXfs count="7">
    <xf numFmtId="0" fontId="0" fillId="0" borderId="0"/>
    <xf numFmtId="166"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0" borderId="0"/>
    <xf numFmtId="0" fontId="11" fillId="0" borderId="0"/>
    <xf numFmtId="0" fontId="1" fillId="0" borderId="0"/>
  </cellStyleXfs>
  <cellXfs count="382">
    <xf numFmtId="0" fontId="0" fillId="0" borderId="0" xfId="0"/>
    <xf numFmtId="0" fontId="8" fillId="6" borderId="0" xfId="0" applyFont="1" applyFill="1" applyAlignment="1" applyProtection="1">
      <alignment vertical="center"/>
      <protection hidden="1"/>
    </xf>
    <xf numFmtId="0" fontId="8" fillId="6" borderId="0" xfId="0" applyFont="1" applyFill="1" applyAlignment="1" applyProtection="1">
      <alignment horizontal="right" vertical="center"/>
      <protection hidden="1"/>
    </xf>
    <xf numFmtId="0" fontId="9" fillId="6" borderId="0" xfId="0" applyFont="1" applyFill="1" applyProtection="1">
      <protection hidden="1"/>
    </xf>
    <xf numFmtId="0" fontId="9" fillId="6" borderId="0" xfId="0" applyFont="1" applyFill="1" applyAlignment="1" applyProtection="1">
      <alignment vertical="justify" wrapText="1"/>
      <protection hidden="1"/>
    </xf>
    <xf numFmtId="0" fontId="0" fillId="0" borderId="0" xfId="0" applyProtection="1">
      <protection hidden="1"/>
    </xf>
    <xf numFmtId="0" fontId="10" fillId="10" borderId="18" xfId="4" applyFont="1" applyFill="1" applyBorder="1" applyAlignment="1" applyProtection="1">
      <alignment horizontal="center" vertical="center"/>
      <protection hidden="1"/>
    </xf>
    <xf numFmtId="0" fontId="10" fillId="10" borderId="18" xfId="4" applyFont="1" applyFill="1" applyBorder="1" applyAlignment="1" applyProtection="1">
      <alignment vertical="center"/>
      <protection hidden="1"/>
    </xf>
    <xf numFmtId="0" fontId="10" fillId="10" borderId="20" xfId="4" applyFont="1" applyFill="1" applyBorder="1" applyAlignment="1" applyProtection="1">
      <alignment horizontal="center" vertical="center"/>
      <protection hidden="1"/>
    </xf>
    <xf numFmtId="0" fontId="10" fillId="10" borderId="19" xfId="4" applyFont="1" applyFill="1" applyBorder="1" applyAlignment="1" applyProtection="1">
      <alignment horizontal="center" vertical="center"/>
      <protection hidden="1"/>
    </xf>
    <xf numFmtId="4" fontId="0" fillId="6" borderId="21" xfId="0" applyNumberFormat="1" applyFill="1" applyBorder="1" applyAlignment="1" applyProtection="1">
      <alignment horizontal="right"/>
      <protection hidden="1"/>
    </xf>
    <xf numFmtId="4" fontId="12" fillId="6" borderId="15" xfId="0" applyNumberFormat="1" applyFont="1" applyFill="1" applyBorder="1" applyAlignment="1" applyProtection="1">
      <alignment horizontal="right" vertical="center"/>
      <protection hidden="1"/>
    </xf>
    <xf numFmtId="0" fontId="13" fillId="6" borderId="11" xfId="0" applyFont="1" applyFill="1" applyBorder="1" applyProtection="1">
      <protection hidden="1"/>
    </xf>
    <xf numFmtId="4" fontId="13" fillId="6" borderId="17" xfId="0" applyNumberFormat="1" applyFont="1" applyFill="1" applyBorder="1" applyProtection="1">
      <protection hidden="1"/>
    </xf>
    <xf numFmtId="171" fontId="13" fillId="0" borderId="0" xfId="3" applyNumberFormat="1" applyFont="1" applyAlignment="1" applyProtection="1">
      <alignment horizontal="center"/>
      <protection hidden="1"/>
    </xf>
    <xf numFmtId="0" fontId="2" fillId="2" borderId="1" xfId="0" applyFont="1" applyFill="1" applyBorder="1" applyAlignment="1" applyProtection="1">
      <alignment horizontal="center" vertical="center" wrapText="1"/>
      <protection hidden="1"/>
    </xf>
    <xf numFmtId="0" fontId="4" fillId="2" borderId="2" xfId="0" applyFont="1" applyFill="1" applyBorder="1" applyAlignment="1" applyProtection="1">
      <alignment horizontal="center" vertical="center" wrapText="1"/>
      <protection hidden="1"/>
    </xf>
    <xf numFmtId="0" fontId="2" fillId="2" borderId="3" xfId="0" applyFont="1" applyFill="1" applyBorder="1" applyAlignment="1" applyProtection="1">
      <alignment horizontal="center" vertical="center" wrapText="1"/>
      <protection hidden="1"/>
    </xf>
    <xf numFmtId="0" fontId="2" fillId="2" borderId="7" xfId="0" applyFont="1" applyFill="1" applyBorder="1" applyAlignment="1" applyProtection="1">
      <alignment horizontal="centerContinuous" vertical="center" wrapText="1"/>
      <protection hidden="1"/>
    </xf>
    <xf numFmtId="0" fontId="2" fillId="2" borderId="7" xfId="0" applyFont="1" applyFill="1" applyBorder="1" applyAlignment="1" applyProtection="1">
      <alignment horizontal="centerContinuous" vertical="center"/>
      <protection hidden="1"/>
    </xf>
    <xf numFmtId="0" fontId="7" fillId="0" borderId="0" xfId="0" applyFont="1" applyAlignment="1" applyProtection="1">
      <alignment horizontal="center" vertical="center" readingOrder="1"/>
      <protection hidden="1"/>
    </xf>
    <xf numFmtId="0" fontId="5" fillId="3" borderId="1" xfId="0" applyFont="1" applyFill="1" applyBorder="1" applyAlignment="1" applyProtection="1">
      <alignment vertical="center"/>
      <protection hidden="1"/>
    </xf>
    <xf numFmtId="167" fontId="6" fillId="3" borderId="2" xfId="1" applyNumberFormat="1" applyFont="1" applyFill="1" applyBorder="1" applyAlignment="1" applyProtection="1">
      <alignment horizontal="center" vertical="center" wrapText="1"/>
      <protection hidden="1"/>
    </xf>
    <xf numFmtId="9" fontId="6" fillId="3" borderId="2" xfId="2" applyFont="1" applyFill="1" applyBorder="1" applyAlignment="1" applyProtection="1">
      <alignment horizontal="center" vertical="center" wrapText="1"/>
      <protection hidden="1"/>
    </xf>
    <xf numFmtId="168" fontId="5" fillId="3" borderId="3" xfId="1" applyNumberFormat="1" applyFont="1" applyFill="1" applyBorder="1" applyAlignment="1" applyProtection="1">
      <alignment horizontal="center" vertical="center" wrapText="1"/>
      <protection hidden="1"/>
    </xf>
    <xf numFmtId="0" fontId="2" fillId="2" borderId="7" xfId="0" applyFont="1" applyFill="1" applyBorder="1" applyAlignment="1" applyProtection="1">
      <alignment horizontal="center"/>
      <protection hidden="1"/>
    </xf>
    <xf numFmtId="0" fontId="0" fillId="0" borderId="0" xfId="0" applyAlignment="1" applyProtection="1">
      <alignment horizontal="center"/>
      <protection hidden="1"/>
    </xf>
    <xf numFmtId="0" fontId="3" fillId="0" borderId="0" xfId="0" applyFont="1" applyAlignment="1" applyProtection="1">
      <alignment horizontal="center"/>
      <protection hidden="1"/>
    </xf>
    <xf numFmtId="0" fontId="5" fillId="0" borderId="1" xfId="0" applyFont="1" applyBorder="1" applyAlignment="1" applyProtection="1">
      <alignment vertical="center"/>
      <protection hidden="1"/>
    </xf>
    <xf numFmtId="167" fontId="6" fillId="0" borderId="2" xfId="1" applyNumberFormat="1" applyFont="1" applyBorder="1" applyAlignment="1" applyProtection="1">
      <alignment horizontal="center" vertical="center"/>
      <protection hidden="1"/>
    </xf>
    <xf numFmtId="9" fontId="6" fillId="0" borderId="2" xfId="2" applyFont="1" applyBorder="1" applyAlignment="1" applyProtection="1">
      <alignment horizontal="center" vertical="center"/>
      <protection hidden="1"/>
    </xf>
    <xf numFmtId="168" fontId="5" fillId="0" borderId="3" xfId="1" applyNumberFormat="1" applyFont="1" applyBorder="1" applyAlignment="1" applyProtection="1">
      <alignment horizontal="center" vertical="center" wrapText="1"/>
      <protection hidden="1"/>
    </xf>
    <xf numFmtId="0" fontId="0" fillId="5" borderId="7" xfId="0" applyFill="1" applyBorder="1" applyProtection="1">
      <protection hidden="1"/>
    </xf>
    <xf numFmtId="166" fontId="0" fillId="0" borderId="7" xfId="1" applyFont="1" applyBorder="1" applyProtection="1">
      <protection hidden="1"/>
    </xf>
    <xf numFmtId="166" fontId="0" fillId="0" borderId="0" xfId="1" applyFont="1" applyProtection="1">
      <protection hidden="1"/>
    </xf>
    <xf numFmtId="166" fontId="0" fillId="0" borderId="0" xfId="0" applyNumberFormat="1" applyProtection="1">
      <protection hidden="1"/>
    </xf>
    <xf numFmtId="167" fontId="6" fillId="3" borderId="2" xfId="1" applyNumberFormat="1" applyFont="1" applyFill="1" applyBorder="1" applyAlignment="1" applyProtection="1">
      <alignment horizontal="center" vertical="center"/>
      <protection hidden="1"/>
    </xf>
    <xf numFmtId="9" fontId="6" fillId="3" borderId="2" xfId="2" applyFont="1" applyFill="1" applyBorder="1" applyAlignment="1" applyProtection="1">
      <alignment horizontal="center" vertical="center"/>
      <protection hidden="1"/>
    </xf>
    <xf numFmtId="0" fontId="5" fillId="0" borderId="4" xfId="0" applyFont="1" applyBorder="1" applyAlignment="1" applyProtection="1">
      <alignment vertical="center"/>
      <protection hidden="1"/>
    </xf>
    <xf numFmtId="167" fontId="6" fillId="0" borderId="5" xfId="1" applyNumberFormat="1" applyFont="1" applyBorder="1" applyAlignment="1" applyProtection="1">
      <alignment horizontal="center" vertical="center"/>
      <protection hidden="1"/>
    </xf>
    <xf numFmtId="9" fontId="6" fillId="0" borderId="5" xfId="2" applyFont="1" applyBorder="1" applyAlignment="1" applyProtection="1">
      <alignment horizontal="center" vertical="center"/>
      <protection hidden="1"/>
    </xf>
    <xf numFmtId="168" fontId="5" fillId="0" borderId="6" xfId="1" applyNumberFormat="1" applyFont="1" applyBorder="1" applyAlignment="1" applyProtection="1">
      <alignment horizontal="center" vertical="center" wrapText="1"/>
      <protection hidden="1"/>
    </xf>
    <xf numFmtId="0" fontId="4" fillId="0" borderId="0" xfId="0" applyFont="1" applyAlignment="1" applyProtection="1">
      <alignment horizontal="center"/>
      <protection hidden="1"/>
    </xf>
    <xf numFmtId="166" fontId="3" fillId="0" borderId="0" xfId="1" applyFont="1" applyProtection="1">
      <protection hidden="1"/>
    </xf>
    <xf numFmtId="167" fontId="0" fillId="0" borderId="0" xfId="0" applyNumberFormat="1" applyProtection="1">
      <protection hidden="1"/>
    </xf>
    <xf numFmtId="0" fontId="0" fillId="7" borderId="7" xfId="0" applyFill="1" applyBorder="1" applyProtection="1">
      <protection hidden="1"/>
    </xf>
    <xf numFmtId="168" fontId="0" fillId="0" borderId="0" xfId="0" applyNumberFormat="1" applyProtection="1">
      <protection hidden="1"/>
    </xf>
    <xf numFmtId="0" fontId="0" fillId="8" borderId="7" xfId="0" applyFill="1" applyBorder="1" applyProtection="1">
      <protection hidden="1"/>
    </xf>
    <xf numFmtId="4" fontId="13" fillId="6" borderId="13" xfId="0" applyNumberFormat="1" applyFont="1" applyFill="1" applyBorder="1" applyProtection="1">
      <protection hidden="1"/>
    </xf>
    <xf numFmtId="0" fontId="10" fillId="10" borderId="16" xfId="4" applyFont="1" applyFill="1" applyBorder="1" applyAlignment="1" applyProtection="1">
      <alignment horizontal="center" vertical="center"/>
      <protection hidden="1"/>
    </xf>
    <xf numFmtId="4" fontId="12" fillId="6" borderId="0" xfId="0" applyNumberFormat="1" applyFont="1" applyFill="1" applyAlignment="1" applyProtection="1">
      <alignment horizontal="right" vertical="center"/>
      <protection hidden="1"/>
    </xf>
    <xf numFmtId="0" fontId="13" fillId="6" borderId="12" xfId="0" applyFont="1" applyFill="1" applyBorder="1" applyProtection="1">
      <protection hidden="1"/>
    </xf>
    <xf numFmtId="0" fontId="17" fillId="6" borderId="0" xfId="0" applyFont="1" applyFill="1" applyProtection="1">
      <protection hidden="1"/>
    </xf>
    <xf numFmtId="0" fontId="9" fillId="6" borderId="0" xfId="0" applyFont="1" applyFill="1" applyAlignment="1" applyProtection="1">
      <alignment horizontal="right"/>
      <protection hidden="1"/>
    </xf>
    <xf numFmtId="0" fontId="18" fillId="14" borderId="30" xfId="5" applyFont="1" applyFill="1" applyBorder="1" applyAlignment="1" applyProtection="1">
      <alignment horizontal="center" vertical="center" wrapText="1"/>
      <protection hidden="1"/>
    </xf>
    <xf numFmtId="0" fontId="18" fillId="14" borderId="31" xfId="5" applyFont="1" applyFill="1" applyBorder="1" applyAlignment="1" applyProtection="1">
      <alignment horizontal="center" vertical="center" wrapText="1"/>
      <protection hidden="1"/>
    </xf>
    <xf numFmtId="0" fontId="0" fillId="0" borderId="32" xfId="0" applyBorder="1" applyAlignment="1" applyProtection="1">
      <alignment horizontal="right"/>
      <protection hidden="1"/>
    </xf>
    <xf numFmtId="0" fontId="0" fillId="0" borderId="33" xfId="0" applyBorder="1" applyAlignment="1" applyProtection="1">
      <alignment horizontal="right"/>
      <protection hidden="1"/>
    </xf>
    <xf numFmtId="169" fontId="0" fillId="0" borderId="0" xfId="1" applyNumberFormat="1" applyFont="1"/>
    <xf numFmtId="0" fontId="3" fillId="0" borderId="0" xfId="0" applyFont="1"/>
    <xf numFmtId="0" fontId="3" fillId="0" borderId="0" xfId="0" applyFont="1" applyAlignment="1">
      <alignment horizontal="center" vertical="center"/>
    </xf>
    <xf numFmtId="169" fontId="18" fillId="14" borderId="30" xfId="1" applyNumberFormat="1" applyFont="1" applyFill="1" applyBorder="1" applyAlignment="1" applyProtection="1">
      <alignment horizontal="center" vertical="center" wrapText="1"/>
      <protection hidden="1"/>
    </xf>
    <xf numFmtId="169" fontId="18" fillId="14" borderId="31" xfId="1" applyNumberFormat="1" applyFont="1" applyFill="1" applyBorder="1" applyAlignment="1" applyProtection="1">
      <alignment horizontal="center" vertical="center" wrapText="1"/>
      <protection hidden="1"/>
    </xf>
    <xf numFmtId="0" fontId="3" fillId="8" borderId="7" xfId="0" applyFont="1" applyFill="1" applyBorder="1" applyProtection="1">
      <protection hidden="1"/>
    </xf>
    <xf numFmtId="166" fontId="3" fillId="0" borderId="7" xfId="1" applyFont="1" applyBorder="1" applyProtection="1">
      <protection hidden="1"/>
    </xf>
    <xf numFmtId="0" fontId="0" fillId="0" borderId="0" xfId="0" applyAlignment="1">
      <alignment horizontal="center" vertical="center"/>
    </xf>
    <xf numFmtId="4" fontId="0" fillId="0" borderId="0" xfId="0" applyNumberFormat="1"/>
    <xf numFmtId="3" fontId="0" fillId="0" borderId="0" xfId="0" applyNumberFormat="1"/>
    <xf numFmtId="11" fontId="0" fillId="0" borderId="0" xfId="0" applyNumberFormat="1"/>
    <xf numFmtId="10" fontId="0" fillId="0" borderId="0" xfId="2" applyNumberFormat="1" applyFont="1"/>
    <xf numFmtId="9" fontId="0" fillId="0" borderId="0" xfId="0" applyNumberFormat="1" applyProtection="1">
      <protection hidden="1"/>
    </xf>
    <xf numFmtId="173" fontId="0" fillId="15" borderId="0" xfId="0" applyNumberFormat="1" applyFill="1"/>
    <xf numFmtId="0" fontId="0" fillId="15" borderId="0" xfId="0" applyFill="1"/>
    <xf numFmtId="0" fontId="3" fillId="5" borderId="7" xfId="0" applyFont="1" applyFill="1" applyBorder="1" applyProtection="1">
      <protection hidden="1"/>
    </xf>
    <xf numFmtId="166" fontId="0" fillId="0" borderId="0" xfId="0" applyNumberFormat="1"/>
    <xf numFmtId="0" fontId="0" fillId="15" borderId="7" xfId="0" applyFill="1" applyBorder="1" applyProtection="1">
      <protection hidden="1"/>
    </xf>
    <xf numFmtId="166" fontId="0" fillId="15" borderId="7" xfId="1" applyFont="1" applyFill="1" applyBorder="1" applyProtection="1">
      <protection hidden="1"/>
    </xf>
    <xf numFmtId="166" fontId="0" fillId="15" borderId="0" xfId="0" applyNumberFormat="1" applyFill="1"/>
    <xf numFmtId="4" fontId="12" fillId="15" borderId="15" xfId="0" applyNumberFormat="1" applyFont="1" applyFill="1" applyBorder="1" applyAlignment="1" applyProtection="1">
      <alignment horizontal="right" vertical="center"/>
      <protection hidden="1"/>
    </xf>
    <xf numFmtId="174" fontId="0" fillId="0" borderId="0" xfId="0" applyNumberFormat="1"/>
    <xf numFmtId="166" fontId="0" fillId="0" borderId="0" xfId="1" applyFont="1"/>
    <xf numFmtId="0" fontId="18" fillId="14" borderId="36" xfId="5" applyFont="1" applyFill="1" applyBorder="1" applyAlignment="1" applyProtection="1">
      <alignment horizontal="center" vertical="center" wrapText="1"/>
      <protection hidden="1"/>
    </xf>
    <xf numFmtId="0" fontId="3" fillId="0" borderId="32" xfId="0" applyFont="1" applyBorder="1" applyAlignment="1" applyProtection="1">
      <alignment horizontal="right"/>
      <protection hidden="1"/>
    </xf>
    <xf numFmtId="172" fontId="12" fillId="0" borderId="0" xfId="3" applyNumberFormat="1" applyFont="1" applyAlignment="1" applyProtection="1">
      <alignment horizontal="center"/>
      <protection hidden="1"/>
    </xf>
    <xf numFmtId="0" fontId="21" fillId="6" borderId="0" xfId="0" applyFont="1" applyFill="1" applyAlignment="1" applyProtection="1">
      <alignment horizontal="right" vertical="center"/>
      <protection hidden="1"/>
    </xf>
    <xf numFmtId="0" fontId="14" fillId="6" borderId="25" xfId="0" applyFont="1" applyFill="1" applyBorder="1" applyProtection="1">
      <protection hidden="1"/>
    </xf>
    <xf numFmtId="0" fontId="22" fillId="6" borderId="0" xfId="0" applyFont="1" applyFill="1" applyProtection="1">
      <protection hidden="1"/>
    </xf>
    <xf numFmtId="0" fontId="23" fillId="6" borderId="0" xfId="4" applyFont="1" applyFill="1" applyProtection="1">
      <protection hidden="1"/>
    </xf>
    <xf numFmtId="0" fontId="9" fillId="6" borderId="0" xfId="0" applyFont="1" applyFill="1" applyAlignment="1" applyProtection="1">
      <alignment horizontal="center"/>
      <protection hidden="1"/>
    </xf>
    <xf numFmtId="0" fontId="14" fillId="6" borderId="7" xfId="0" applyFont="1" applyFill="1" applyBorder="1" applyProtection="1">
      <protection hidden="1"/>
    </xf>
    <xf numFmtId="0" fontId="14" fillId="6" borderId="22" xfId="0" applyFont="1" applyFill="1" applyBorder="1" applyProtection="1">
      <protection hidden="1"/>
    </xf>
    <xf numFmtId="0" fontId="9" fillId="6" borderId="24" xfId="0" applyFont="1" applyFill="1" applyBorder="1" applyProtection="1">
      <protection hidden="1"/>
    </xf>
    <xf numFmtId="0" fontId="9" fillId="6" borderId="0" xfId="0" applyFont="1" applyFill="1" applyAlignment="1" applyProtection="1">
      <alignment wrapText="1"/>
      <protection hidden="1"/>
    </xf>
    <xf numFmtId="169" fontId="9" fillId="6" borderId="0" xfId="1" applyNumberFormat="1" applyFont="1" applyFill="1" applyProtection="1">
      <protection hidden="1"/>
    </xf>
    <xf numFmtId="0" fontId="24" fillId="6" borderId="0" xfId="0" applyFont="1" applyFill="1" applyAlignment="1" applyProtection="1">
      <alignment horizontal="center"/>
      <protection hidden="1"/>
    </xf>
    <xf numFmtId="3" fontId="25" fillId="6" borderId="0" xfId="3" applyNumberFormat="1" applyFont="1" applyFill="1" applyAlignment="1" applyProtection="1">
      <alignment horizontal="center"/>
      <protection hidden="1"/>
    </xf>
    <xf numFmtId="0" fontId="14" fillId="6" borderId="17" xfId="0" applyFont="1" applyFill="1" applyBorder="1" applyAlignment="1" applyProtection="1">
      <alignment horizontal="center"/>
      <protection hidden="1"/>
    </xf>
    <xf numFmtId="0" fontId="9" fillId="0" borderId="0" xfId="0" applyFont="1" applyProtection="1">
      <protection hidden="1"/>
    </xf>
    <xf numFmtId="0" fontId="9" fillId="6" borderId="14" xfId="0" applyFont="1" applyFill="1" applyBorder="1" applyAlignment="1" applyProtection="1">
      <alignment horizontal="left"/>
      <protection hidden="1"/>
    </xf>
    <xf numFmtId="4" fontId="9" fillId="6" borderId="21" xfId="0" applyNumberFormat="1" applyFont="1" applyFill="1" applyBorder="1" applyAlignment="1" applyProtection="1">
      <alignment horizontal="right"/>
      <protection hidden="1"/>
    </xf>
    <xf numFmtId="4" fontId="9" fillId="6" borderId="14" xfId="0" applyNumberFormat="1" applyFont="1" applyFill="1" applyBorder="1" applyAlignment="1" applyProtection="1">
      <alignment horizontal="right"/>
      <protection hidden="1"/>
    </xf>
    <xf numFmtId="170" fontId="9" fillId="6" borderId="0" xfId="0" applyNumberFormat="1" applyFont="1" applyFill="1" applyProtection="1">
      <protection hidden="1"/>
    </xf>
    <xf numFmtId="4" fontId="9" fillId="6" borderId="15" xfId="0" applyNumberFormat="1" applyFont="1" applyFill="1" applyBorder="1" applyProtection="1">
      <protection hidden="1"/>
    </xf>
    <xf numFmtId="0" fontId="9" fillId="6" borderId="12" xfId="0" applyFont="1" applyFill="1" applyBorder="1" applyProtection="1">
      <protection hidden="1"/>
    </xf>
    <xf numFmtId="0" fontId="9" fillId="4" borderId="0" xfId="0" applyFont="1" applyFill="1" applyProtection="1">
      <protection hidden="1"/>
    </xf>
    <xf numFmtId="9" fontId="9" fillId="4" borderId="0" xfId="0" applyNumberFormat="1" applyFont="1" applyFill="1" applyProtection="1">
      <protection hidden="1"/>
    </xf>
    <xf numFmtId="9" fontId="14" fillId="6" borderId="0" xfId="0" applyNumberFormat="1" applyFont="1" applyFill="1" applyProtection="1">
      <protection hidden="1"/>
    </xf>
    <xf numFmtId="10" fontId="14" fillId="6" borderId="0" xfId="0" applyNumberFormat="1" applyFont="1" applyFill="1" applyProtection="1">
      <protection hidden="1"/>
    </xf>
    <xf numFmtId="10" fontId="9" fillId="6" borderId="0" xfId="0" applyNumberFormat="1" applyFont="1" applyFill="1" applyProtection="1">
      <protection hidden="1"/>
    </xf>
    <xf numFmtId="9" fontId="9" fillId="6" borderId="0" xfId="0" applyNumberFormat="1" applyFont="1" applyFill="1" applyProtection="1">
      <protection hidden="1"/>
    </xf>
    <xf numFmtId="170" fontId="9" fillId="13" borderId="0" xfId="0" applyNumberFormat="1" applyFont="1" applyFill="1" applyProtection="1">
      <protection hidden="1"/>
    </xf>
    <xf numFmtId="0" fontId="26" fillId="11" borderId="0" xfId="0" applyFont="1" applyFill="1" applyAlignment="1" applyProtection="1">
      <alignment wrapText="1"/>
      <protection hidden="1"/>
    </xf>
    <xf numFmtId="0" fontId="26" fillId="11" borderId="0" xfId="0" applyFont="1" applyFill="1" applyProtection="1">
      <protection hidden="1"/>
    </xf>
    <xf numFmtId="170" fontId="9" fillId="13" borderId="8" xfId="0" applyNumberFormat="1" applyFont="1" applyFill="1" applyBorder="1" applyProtection="1">
      <protection hidden="1"/>
    </xf>
    <xf numFmtId="0" fontId="0" fillId="16" borderId="32" xfId="0" applyFill="1" applyBorder="1" applyAlignment="1" applyProtection="1">
      <alignment horizontal="right"/>
      <protection hidden="1"/>
    </xf>
    <xf numFmtId="169" fontId="0" fillId="6" borderId="0" xfId="1" applyNumberFormat="1" applyFont="1" applyFill="1" applyAlignment="1" applyProtection="1">
      <alignment horizontal="right"/>
      <protection hidden="1"/>
    </xf>
    <xf numFmtId="4" fontId="0" fillId="6" borderId="0" xfId="0" applyNumberFormat="1" applyFill="1" applyProtection="1">
      <protection hidden="1"/>
    </xf>
    <xf numFmtId="4" fontId="0" fillId="6" borderId="35" xfId="0" applyNumberFormat="1" applyFill="1" applyBorder="1" applyProtection="1">
      <protection hidden="1"/>
    </xf>
    <xf numFmtId="166" fontId="0" fillId="6" borderId="0" xfId="0" applyNumberFormat="1" applyFill="1"/>
    <xf numFmtId="1" fontId="0" fillId="6" borderId="0" xfId="0" applyNumberFormat="1" applyFill="1" applyAlignment="1" applyProtection="1">
      <alignment horizontal="right"/>
      <protection hidden="1"/>
    </xf>
    <xf numFmtId="4" fontId="20" fillId="6" borderId="0" xfId="0" applyNumberFormat="1" applyFont="1" applyFill="1" applyProtection="1">
      <protection hidden="1"/>
    </xf>
    <xf numFmtId="169" fontId="3" fillId="6" borderId="0" xfId="1" applyNumberFormat="1" applyFont="1" applyFill="1" applyAlignment="1" applyProtection="1">
      <alignment horizontal="right"/>
      <protection hidden="1"/>
    </xf>
    <xf numFmtId="4" fontId="3" fillId="6" borderId="0" xfId="0" applyNumberFormat="1" applyFont="1" applyFill="1" applyProtection="1">
      <protection hidden="1"/>
    </xf>
    <xf numFmtId="169" fontId="1" fillId="6" borderId="0" xfId="1" applyNumberFormat="1" applyFill="1" applyAlignment="1" applyProtection="1">
      <alignment horizontal="right"/>
      <protection hidden="1"/>
    </xf>
    <xf numFmtId="1" fontId="0" fillId="6" borderId="0" xfId="1" applyNumberFormat="1" applyFont="1" applyFill="1" applyAlignment="1" applyProtection="1">
      <alignment horizontal="right"/>
      <protection hidden="1"/>
    </xf>
    <xf numFmtId="169" fontId="0" fillId="6" borderId="34" xfId="1" applyNumberFormat="1" applyFont="1" applyFill="1" applyBorder="1" applyAlignment="1" applyProtection="1">
      <alignment horizontal="right"/>
      <protection hidden="1"/>
    </xf>
    <xf numFmtId="4" fontId="0" fillId="6" borderId="34" xfId="0" applyNumberFormat="1" applyFill="1" applyBorder="1" applyProtection="1">
      <protection hidden="1"/>
    </xf>
    <xf numFmtId="0" fontId="0" fillId="6" borderId="0" xfId="0" applyFill="1"/>
    <xf numFmtId="0" fontId="9" fillId="6" borderId="0" xfId="0" applyFont="1" applyFill="1" applyAlignment="1" applyProtection="1">
      <alignment horizontal="justify" vertical="justify" wrapText="1"/>
      <protection hidden="1"/>
    </xf>
    <xf numFmtId="0" fontId="28" fillId="0" borderId="0" xfId="0" applyFont="1" applyProtection="1">
      <protection hidden="1"/>
    </xf>
    <xf numFmtId="0" fontId="28" fillId="0" borderId="0" xfId="0" applyFont="1"/>
    <xf numFmtId="0" fontId="10" fillId="10" borderId="0" xfId="0" applyFont="1" applyFill="1" applyAlignment="1" applyProtection="1">
      <alignment horizontal="center"/>
      <protection hidden="1"/>
    </xf>
    <xf numFmtId="0" fontId="28" fillId="0" borderId="0" xfId="0" applyFont="1" applyAlignment="1" applyProtection="1">
      <alignment horizontal="center"/>
      <protection locked="0"/>
    </xf>
    <xf numFmtId="0" fontId="28" fillId="0" borderId="0" xfId="0" applyFont="1" applyProtection="1">
      <protection locked="0"/>
    </xf>
    <xf numFmtId="0" fontId="0" fillId="17" borderId="41" xfId="0" applyFill="1" applyBorder="1" applyProtection="1">
      <protection hidden="1"/>
    </xf>
    <xf numFmtId="0" fontId="0" fillId="17" borderId="0" xfId="0" applyFill="1" applyProtection="1">
      <protection hidden="1"/>
    </xf>
    <xf numFmtId="0" fontId="27" fillId="0" borderId="0" xfId="0" applyFont="1" applyProtection="1">
      <protection hidden="1"/>
    </xf>
    <xf numFmtId="0" fontId="0" fillId="17" borderId="42" xfId="0" applyFill="1" applyBorder="1" applyProtection="1">
      <protection hidden="1"/>
    </xf>
    <xf numFmtId="0" fontId="0" fillId="0" borderId="42" xfId="0" applyBorder="1" applyProtection="1">
      <protection hidden="1"/>
    </xf>
    <xf numFmtId="0" fontId="6" fillId="0" borderId="0" xfId="0" applyFont="1" applyProtection="1">
      <protection hidden="1"/>
    </xf>
    <xf numFmtId="0" fontId="0" fillId="17" borderId="43" xfId="0" applyFill="1" applyBorder="1" applyProtection="1">
      <protection hidden="1"/>
    </xf>
    <xf numFmtId="0" fontId="6" fillId="0" borderId="0" xfId="0" applyFont="1"/>
    <xf numFmtId="164" fontId="0" fillId="0" borderId="41" xfId="0" applyNumberFormat="1" applyBorder="1" applyProtection="1">
      <protection hidden="1"/>
    </xf>
    <xf numFmtId="14" fontId="0" fillId="0" borderId="43" xfId="0" applyNumberFormat="1" applyBorder="1" applyProtection="1">
      <protection hidden="1"/>
    </xf>
    <xf numFmtId="14" fontId="0" fillId="0" borderId="0" xfId="0" applyNumberFormat="1" applyProtection="1">
      <protection hidden="1"/>
    </xf>
    <xf numFmtId="3" fontId="0" fillId="0" borderId="0" xfId="0" applyNumberFormat="1" applyProtection="1">
      <protection hidden="1"/>
    </xf>
    <xf numFmtId="0" fontId="27" fillId="0" borderId="0" xfId="0" applyFont="1"/>
    <xf numFmtId="0" fontId="29" fillId="0" borderId="0" xfId="0" applyFont="1"/>
    <xf numFmtId="0" fontId="30" fillId="6" borderId="0" xfId="0" applyFont="1" applyFill="1" applyProtection="1">
      <protection hidden="1"/>
    </xf>
    <xf numFmtId="0" fontId="31" fillId="6" borderId="0" xfId="0" applyFont="1" applyFill="1" applyProtection="1">
      <protection hidden="1"/>
    </xf>
    <xf numFmtId="0" fontId="32" fillId="6" borderId="0" xfId="4" applyFont="1" applyFill="1" applyAlignment="1" applyProtection="1">
      <alignment horizontal="center"/>
      <protection hidden="1"/>
    </xf>
    <xf numFmtId="0" fontId="35" fillId="6" borderId="0" xfId="0" applyFont="1" applyFill="1" applyProtection="1">
      <protection hidden="1"/>
    </xf>
    <xf numFmtId="0" fontId="32" fillId="6" borderId="0" xfId="4" applyFont="1" applyFill="1" applyProtection="1">
      <protection hidden="1"/>
    </xf>
    <xf numFmtId="0" fontId="33" fillId="6" borderId="0" xfId="0" applyFont="1" applyFill="1" applyProtection="1">
      <protection hidden="1"/>
    </xf>
    <xf numFmtId="0" fontId="36" fillId="6" borderId="0" xfId="4" applyFont="1" applyFill="1" applyProtection="1">
      <protection hidden="1"/>
    </xf>
    <xf numFmtId="0" fontId="37" fillId="6" borderId="0" xfId="0" applyFont="1" applyFill="1" applyAlignment="1" applyProtection="1">
      <alignment vertical="center" wrapText="1"/>
      <protection hidden="1"/>
    </xf>
    <xf numFmtId="0" fontId="36" fillId="6" borderId="0" xfId="0" applyFont="1" applyFill="1" applyProtection="1">
      <protection hidden="1"/>
    </xf>
    <xf numFmtId="3" fontId="33" fillId="6" borderId="0" xfId="3" applyNumberFormat="1" applyFont="1" applyFill="1" applyProtection="1">
      <protection hidden="1"/>
    </xf>
    <xf numFmtId="166" fontId="30" fillId="6" borderId="0" xfId="1" applyFont="1" applyFill="1" applyProtection="1">
      <protection hidden="1"/>
    </xf>
    <xf numFmtId="0" fontId="30" fillId="6" borderId="0" xfId="0" applyFont="1" applyFill="1" applyAlignment="1" applyProtection="1">
      <alignment horizontal="left" vertical="center" wrapText="1"/>
      <protection hidden="1"/>
    </xf>
    <xf numFmtId="166" fontId="37" fillId="6" borderId="0" xfId="1" applyFont="1" applyFill="1" applyProtection="1">
      <protection hidden="1"/>
    </xf>
    <xf numFmtId="166" fontId="33" fillId="6" borderId="0" xfId="1" applyFont="1" applyFill="1" applyProtection="1">
      <protection hidden="1"/>
    </xf>
    <xf numFmtId="0" fontId="32" fillId="11" borderId="0" xfId="0" applyFont="1" applyFill="1" applyProtection="1">
      <protection hidden="1"/>
    </xf>
    <xf numFmtId="172" fontId="37" fillId="6" borderId="0" xfId="1" applyNumberFormat="1" applyFont="1" applyFill="1" applyAlignment="1" applyProtection="1">
      <alignment horizontal="left"/>
      <protection hidden="1"/>
    </xf>
    <xf numFmtId="0" fontId="40" fillId="11" borderId="0" xfId="0" applyFont="1" applyFill="1" applyProtection="1">
      <protection hidden="1"/>
    </xf>
    <xf numFmtId="49" fontId="40" fillId="11" borderId="0" xfId="0" applyNumberFormat="1" applyFont="1" applyFill="1" applyAlignment="1" applyProtection="1">
      <alignment horizontal="justify" wrapText="1"/>
      <protection hidden="1"/>
    </xf>
    <xf numFmtId="49" fontId="33" fillId="0" borderId="0" xfId="0" applyNumberFormat="1" applyFont="1" applyAlignment="1" applyProtection="1">
      <alignment horizontal="right" wrapText="1"/>
      <protection hidden="1"/>
    </xf>
    <xf numFmtId="0" fontId="34" fillId="0" borderId="0" xfId="0" applyFont="1" applyAlignment="1">
      <alignment vertical="center" wrapText="1"/>
    </xf>
    <xf numFmtId="3" fontId="30" fillId="6" borderId="0" xfId="4" applyNumberFormat="1" applyFont="1" applyFill="1" applyAlignment="1" applyProtection="1">
      <alignment horizontal="center" vertical="center"/>
      <protection hidden="1"/>
    </xf>
    <xf numFmtId="9" fontId="33" fillId="9" borderId="10" xfId="2" applyFont="1" applyFill="1" applyBorder="1" applyAlignment="1" applyProtection="1">
      <alignment horizontal="center" vertical="center"/>
      <protection locked="0" hidden="1"/>
    </xf>
    <xf numFmtId="0" fontId="42" fillId="2" borderId="30" xfId="5" applyFont="1" applyFill="1" applyBorder="1" applyAlignment="1" applyProtection="1">
      <alignment horizontal="center" vertical="center" wrapText="1"/>
      <protection hidden="1"/>
    </xf>
    <xf numFmtId="0" fontId="42" fillId="2" borderId="31" xfId="5" applyFont="1" applyFill="1" applyBorder="1" applyAlignment="1" applyProtection="1">
      <alignment horizontal="center" vertical="center" wrapText="1"/>
      <protection hidden="1"/>
    </xf>
    <xf numFmtId="14" fontId="0" fillId="0" borderId="42" xfId="0" applyNumberFormat="1" applyBorder="1" applyProtection="1">
      <protection hidden="1"/>
    </xf>
    <xf numFmtId="0" fontId="3" fillId="6" borderId="0" xfId="0" applyFont="1" applyFill="1" applyAlignment="1">
      <alignment horizontal="right"/>
    </xf>
    <xf numFmtId="0" fontId="9" fillId="0" borderId="0" xfId="0" applyFont="1" applyAlignment="1" applyProtection="1">
      <alignment horizontal="left"/>
      <protection hidden="1"/>
    </xf>
    <xf numFmtId="0" fontId="9" fillId="0" borderId="46" xfId="0" applyFont="1" applyBorder="1" applyAlignment="1" applyProtection="1">
      <alignment horizontal="left"/>
      <protection hidden="1"/>
    </xf>
    <xf numFmtId="0" fontId="9" fillId="0" borderId="8" xfId="0" applyFont="1" applyBorder="1" applyAlignment="1" applyProtection="1">
      <alignment horizontal="center"/>
      <protection hidden="1"/>
    </xf>
    <xf numFmtId="0" fontId="9" fillId="0" borderId="18" xfId="0" applyFont="1" applyBorder="1" applyAlignment="1" applyProtection="1">
      <alignment horizontal="left"/>
      <protection hidden="1"/>
    </xf>
    <xf numFmtId="0" fontId="9" fillId="0" borderId="16" xfId="0" applyFont="1" applyBorder="1" applyAlignment="1" applyProtection="1">
      <alignment horizontal="center"/>
      <protection hidden="1"/>
    </xf>
    <xf numFmtId="0" fontId="9" fillId="0" borderId="19" xfId="0" applyFont="1" applyBorder="1" applyProtection="1">
      <protection hidden="1"/>
    </xf>
    <xf numFmtId="0" fontId="9" fillId="0" borderId="14" xfId="0" applyFont="1" applyBorder="1" applyAlignment="1" applyProtection="1">
      <alignment horizontal="left"/>
      <protection hidden="1"/>
    </xf>
    <xf numFmtId="0" fontId="9" fillId="0" borderId="0" xfId="0" applyFont="1" applyAlignment="1" applyProtection="1">
      <alignment horizontal="center"/>
      <protection hidden="1"/>
    </xf>
    <xf numFmtId="0" fontId="9" fillId="0" borderId="15" xfId="0" applyFont="1" applyBorder="1" applyProtection="1">
      <protection hidden="1"/>
    </xf>
    <xf numFmtId="9" fontId="22" fillId="17" borderId="0" xfId="0" applyNumberFormat="1" applyFont="1" applyFill="1" applyAlignment="1" applyProtection="1">
      <alignment horizontal="center"/>
      <protection hidden="1"/>
    </xf>
    <xf numFmtId="177" fontId="22" fillId="17" borderId="0" xfId="0" applyNumberFormat="1" applyFont="1" applyFill="1" applyAlignment="1" applyProtection="1">
      <alignment horizontal="center"/>
      <protection hidden="1"/>
    </xf>
    <xf numFmtId="9" fontId="22" fillId="17" borderId="0" xfId="2" applyFont="1" applyFill="1" applyAlignment="1" applyProtection="1">
      <alignment horizontal="center"/>
      <protection hidden="1"/>
    </xf>
    <xf numFmtId="0" fontId="22" fillId="17" borderId="0" xfId="0" applyFont="1" applyFill="1" applyAlignment="1" applyProtection="1">
      <alignment horizontal="center"/>
      <protection locked="0" hidden="1"/>
    </xf>
    <xf numFmtId="0" fontId="22" fillId="0" borderId="0" xfId="0" applyFont="1" applyAlignment="1" applyProtection="1">
      <alignment horizontal="center"/>
      <protection hidden="1"/>
    </xf>
    <xf numFmtId="0" fontId="9" fillId="0" borderId="15" xfId="0" applyFont="1" applyBorder="1" applyAlignment="1" applyProtection="1">
      <alignment horizontal="center"/>
      <protection hidden="1"/>
    </xf>
    <xf numFmtId="3" fontId="22" fillId="17" borderId="8" xfId="0" applyNumberFormat="1" applyFont="1" applyFill="1" applyBorder="1" applyAlignment="1" applyProtection="1">
      <alignment horizontal="center"/>
      <protection hidden="1"/>
    </xf>
    <xf numFmtId="0" fontId="9" fillId="0" borderId="8" xfId="0" applyFont="1" applyBorder="1" applyAlignment="1" applyProtection="1">
      <alignment horizontal="left"/>
      <protection hidden="1"/>
    </xf>
    <xf numFmtId="0" fontId="9" fillId="0" borderId="47" xfId="0" applyFont="1" applyBorder="1" applyProtection="1">
      <protection hidden="1"/>
    </xf>
    <xf numFmtId="0" fontId="9" fillId="0" borderId="14" xfId="0" applyFont="1" applyBorder="1" applyAlignment="1" applyProtection="1">
      <alignment horizontal="left"/>
      <protection locked="0" hidden="1"/>
    </xf>
    <xf numFmtId="0" fontId="9" fillId="0" borderId="0" xfId="0" applyFont="1" applyProtection="1">
      <protection locked="0" hidden="1"/>
    </xf>
    <xf numFmtId="0" fontId="9" fillId="0" borderId="15" xfId="0" applyFont="1" applyBorder="1" applyProtection="1">
      <protection locked="0" hidden="1"/>
    </xf>
    <xf numFmtId="0" fontId="9" fillId="0" borderId="46" xfId="0" applyFont="1" applyBorder="1" applyProtection="1">
      <protection locked="0" hidden="1"/>
    </xf>
    <xf numFmtId="0" fontId="9" fillId="0" borderId="8" xfId="0" applyFont="1" applyBorder="1" applyProtection="1">
      <protection locked="0" hidden="1"/>
    </xf>
    <xf numFmtId="0" fontId="9" fillId="0" borderId="47" xfId="0" applyFont="1" applyBorder="1" applyProtection="1">
      <protection locked="0" hidden="1"/>
    </xf>
    <xf numFmtId="14" fontId="22" fillId="17" borderId="0" xfId="0" applyNumberFormat="1" applyFont="1" applyFill="1" applyAlignment="1" applyProtection="1">
      <alignment horizontal="center"/>
      <protection locked="0" hidden="1"/>
    </xf>
    <xf numFmtId="0" fontId="14" fillId="0" borderId="48" xfId="0" applyFont="1" applyBorder="1" applyAlignment="1" applyProtection="1">
      <alignment horizontal="left"/>
      <protection hidden="1"/>
    </xf>
    <xf numFmtId="0" fontId="14" fillId="0" borderId="48" xfId="0" applyFont="1" applyBorder="1" applyAlignment="1" applyProtection="1">
      <alignment horizontal="center"/>
      <protection hidden="1"/>
    </xf>
    <xf numFmtId="0" fontId="14" fillId="0" borderId="48" xfId="0" applyFont="1" applyBorder="1" applyProtection="1">
      <protection hidden="1"/>
    </xf>
    <xf numFmtId="15" fontId="14" fillId="0" borderId="48" xfId="0" applyNumberFormat="1" applyFont="1" applyBorder="1" applyAlignment="1" applyProtection="1">
      <alignment horizontal="center"/>
      <protection hidden="1"/>
    </xf>
    <xf numFmtId="14" fontId="22" fillId="17" borderId="8" xfId="0" applyNumberFormat="1" applyFont="1" applyFill="1" applyBorder="1" applyProtection="1">
      <protection locked="0" hidden="1"/>
    </xf>
    <xf numFmtId="0" fontId="9" fillId="18" borderId="0" xfId="0" applyFont="1" applyFill="1" applyProtection="1">
      <protection locked="0" hidden="1"/>
    </xf>
    <xf numFmtId="169" fontId="0" fillId="0" borderId="41" xfId="1" applyNumberFormat="1" applyFont="1" applyBorder="1" applyProtection="1">
      <protection hidden="1"/>
    </xf>
    <xf numFmtId="169" fontId="0" fillId="0" borderId="42" xfId="1" applyNumberFormat="1" applyFont="1" applyBorder="1" applyProtection="1">
      <protection hidden="1"/>
    </xf>
    <xf numFmtId="169" fontId="3" fillId="0" borderId="43" xfId="1" applyNumberFormat="1" applyFont="1" applyBorder="1" applyProtection="1">
      <protection hidden="1"/>
    </xf>
    <xf numFmtId="0" fontId="3" fillId="17" borderId="51" xfId="0" applyFont="1" applyFill="1" applyBorder="1" applyProtection="1">
      <protection hidden="1"/>
    </xf>
    <xf numFmtId="0" fontId="0" fillId="17" borderId="49" xfId="0" applyFill="1" applyBorder="1" applyProtection="1">
      <protection hidden="1"/>
    </xf>
    <xf numFmtId="0" fontId="0" fillId="17" borderId="50" xfId="0" applyFill="1" applyBorder="1" applyProtection="1">
      <protection hidden="1"/>
    </xf>
    <xf numFmtId="14" fontId="9" fillId="6" borderId="0" xfId="0" applyNumberFormat="1" applyFont="1" applyFill="1" applyProtection="1">
      <protection hidden="1"/>
    </xf>
    <xf numFmtId="166" fontId="3" fillId="6" borderId="0" xfId="0" applyNumberFormat="1" applyFont="1" applyFill="1"/>
    <xf numFmtId="1" fontId="3" fillId="6" borderId="0" xfId="0" applyNumberFormat="1" applyFont="1" applyFill="1" applyAlignment="1" applyProtection="1">
      <alignment horizontal="right"/>
      <protection hidden="1"/>
    </xf>
    <xf numFmtId="166" fontId="3" fillId="15" borderId="0" xfId="0" applyNumberFormat="1" applyFont="1" applyFill="1"/>
    <xf numFmtId="179" fontId="0" fillId="6" borderId="0" xfId="1" applyNumberFormat="1" applyFont="1" applyFill="1" applyAlignment="1" applyProtection="1">
      <alignment horizontal="right"/>
      <protection hidden="1"/>
    </xf>
    <xf numFmtId="179" fontId="3" fillId="6" borderId="0" xfId="1" applyNumberFormat="1" applyFont="1" applyFill="1" applyAlignment="1" applyProtection="1">
      <alignment horizontal="right"/>
      <protection hidden="1"/>
    </xf>
    <xf numFmtId="14" fontId="30" fillId="20" borderId="38" xfId="4" applyNumberFormat="1" applyFont="1" applyFill="1" applyBorder="1" applyAlignment="1" applyProtection="1">
      <alignment horizontal="center" vertical="center"/>
      <protection hidden="1"/>
    </xf>
    <xf numFmtId="0" fontId="22" fillId="21" borderId="0" xfId="0" applyFont="1" applyFill="1" applyAlignment="1" applyProtection="1">
      <alignment horizontal="center"/>
      <protection hidden="1"/>
    </xf>
    <xf numFmtId="178" fontId="43" fillId="21" borderId="15" xfId="0" applyNumberFormat="1" applyFont="1" applyFill="1" applyBorder="1" applyAlignment="1" applyProtection="1">
      <alignment horizontal="center"/>
      <protection hidden="1"/>
    </xf>
    <xf numFmtId="0" fontId="9" fillId="21" borderId="47" xfId="0" applyFont="1" applyFill="1" applyBorder="1" applyProtection="1">
      <protection locked="0" hidden="1"/>
    </xf>
    <xf numFmtId="0" fontId="0" fillId="0" borderId="0" xfId="0" applyAlignment="1">
      <alignment wrapText="1"/>
    </xf>
    <xf numFmtId="0" fontId="8" fillId="6" borderId="0" xfId="0" applyFont="1" applyFill="1" applyProtection="1">
      <protection hidden="1"/>
    </xf>
    <xf numFmtId="176" fontId="37" fillId="6" borderId="0" xfId="1" applyNumberFormat="1" applyFont="1" applyFill="1" applyProtection="1">
      <protection hidden="1"/>
    </xf>
    <xf numFmtId="0" fontId="44" fillId="0" borderId="48" xfId="4" applyFont="1" applyBorder="1" applyProtection="1">
      <protection hidden="1"/>
    </xf>
    <xf numFmtId="0" fontId="45" fillId="20" borderId="48" xfId="4" applyFont="1" applyFill="1" applyBorder="1" applyAlignment="1" applyProtection="1">
      <alignment horizontal="center" vertical="center"/>
      <protection locked="0" hidden="1"/>
    </xf>
    <xf numFmtId="0" fontId="0" fillId="9" borderId="48" xfId="0" applyFill="1" applyBorder="1" applyAlignment="1">
      <alignment horizontal="center" vertical="center"/>
    </xf>
    <xf numFmtId="0" fontId="46" fillId="6" borderId="48" xfId="0" applyFont="1" applyFill="1" applyBorder="1" applyAlignment="1" applyProtection="1">
      <alignment horizontal="left" vertical="center"/>
      <protection locked="0" hidden="1"/>
    </xf>
    <xf numFmtId="0" fontId="43" fillId="20" borderId="48" xfId="0" applyFont="1" applyFill="1" applyBorder="1" applyAlignment="1" applyProtection="1">
      <alignment horizontal="center" vertical="center"/>
      <protection locked="0" hidden="1"/>
    </xf>
    <xf numFmtId="0" fontId="3" fillId="22" borderId="23" xfId="0" applyFont="1" applyFill="1" applyBorder="1" applyAlignment="1" applyProtection="1">
      <alignment horizontal="center" vertical="center"/>
      <protection locked="0" hidden="1"/>
    </xf>
    <xf numFmtId="0" fontId="3" fillId="9" borderId="23" xfId="0" applyFont="1" applyFill="1" applyBorder="1" applyAlignment="1">
      <alignment horizontal="center" vertical="center"/>
    </xf>
    <xf numFmtId="0" fontId="47" fillId="6" borderId="0" xfId="0" applyFont="1" applyFill="1" applyAlignment="1" applyProtection="1">
      <alignment horizontal="left" vertical="center"/>
      <protection hidden="1"/>
    </xf>
    <xf numFmtId="166" fontId="43" fillId="21" borderId="15" xfId="1" applyFont="1" applyFill="1" applyBorder="1" applyAlignment="1" applyProtection="1">
      <alignment horizontal="center"/>
      <protection hidden="1"/>
    </xf>
    <xf numFmtId="0" fontId="44" fillId="0" borderId="0" xfId="4" applyFont="1" applyAlignment="1" applyProtection="1">
      <alignment horizontal="left"/>
      <protection hidden="1"/>
    </xf>
    <xf numFmtId="0" fontId="37" fillId="6" borderId="0" xfId="4" applyFont="1" applyFill="1" applyAlignment="1" applyProtection="1">
      <alignment horizontal="left" vertical="center"/>
      <protection hidden="1"/>
    </xf>
    <xf numFmtId="0" fontId="48" fillId="6" borderId="0" xfId="4" applyFont="1" applyFill="1" applyAlignment="1" applyProtection="1">
      <alignment horizontal="left" vertical="center"/>
      <protection hidden="1"/>
    </xf>
    <xf numFmtId="0" fontId="37" fillId="6" borderId="0" xfId="4" applyFont="1" applyFill="1" applyAlignment="1" applyProtection="1">
      <alignment horizontal="left" vertical="center" wrapText="1"/>
      <protection hidden="1"/>
    </xf>
    <xf numFmtId="0" fontId="37" fillId="11" borderId="0" xfId="0" applyFont="1" applyFill="1" applyProtection="1">
      <protection hidden="1"/>
    </xf>
    <xf numFmtId="0" fontId="30" fillId="6" borderId="52" xfId="0" applyFont="1" applyFill="1" applyBorder="1" applyAlignment="1" applyProtection="1">
      <alignment horizontal="left"/>
      <protection hidden="1"/>
    </xf>
    <xf numFmtId="0" fontId="35" fillId="6" borderId="52" xfId="0" applyFont="1" applyFill="1" applyBorder="1" applyAlignment="1" applyProtection="1">
      <alignment horizontal="left"/>
      <protection hidden="1"/>
    </xf>
    <xf numFmtId="172" fontId="37" fillId="6" borderId="0" xfId="1" applyNumberFormat="1" applyFont="1" applyFill="1" applyBorder="1" applyAlignment="1" applyProtection="1">
      <alignment horizontal="left"/>
      <protection hidden="1"/>
    </xf>
    <xf numFmtId="0" fontId="8" fillId="6" borderId="0" xfId="0" applyFont="1" applyFill="1" applyBorder="1" applyProtection="1">
      <protection hidden="1"/>
    </xf>
    <xf numFmtId="166" fontId="37" fillId="6" borderId="0" xfId="1" applyFont="1" applyFill="1" applyBorder="1" applyProtection="1">
      <protection hidden="1"/>
    </xf>
    <xf numFmtId="0" fontId="37" fillId="11" borderId="0" xfId="0" applyFont="1" applyFill="1" applyBorder="1" applyAlignment="1" applyProtection="1">
      <alignment horizontal="center"/>
      <protection hidden="1"/>
    </xf>
    <xf numFmtId="0" fontId="33" fillId="11" borderId="0" xfId="0" applyFont="1" applyFill="1" applyBorder="1" applyProtection="1">
      <protection hidden="1"/>
    </xf>
    <xf numFmtId="176" fontId="33" fillId="11" borderId="0" xfId="0" applyNumberFormat="1" applyFont="1" applyFill="1" applyBorder="1" applyProtection="1">
      <protection hidden="1"/>
    </xf>
    <xf numFmtId="0" fontId="33" fillId="6" borderId="0" xfId="0" applyFont="1" applyFill="1" applyBorder="1" applyProtection="1">
      <protection hidden="1"/>
    </xf>
    <xf numFmtId="14" fontId="30" fillId="6" borderId="61" xfId="4" applyNumberFormat="1" applyFont="1" applyFill="1" applyBorder="1" applyAlignment="1" applyProtection="1">
      <alignment horizontal="center" vertical="center"/>
      <protection hidden="1"/>
    </xf>
    <xf numFmtId="0" fontId="9" fillId="6" borderId="59" xfId="0" applyFont="1" applyFill="1" applyBorder="1" applyProtection="1">
      <protection hidden="1"/>
    </xf>
    <xf numFmtId="0" fontId="46" fillId="6" borderId="0" xfId="0" applyFont="1" applyFill="1" applyBorder="1" applyAlignment="1" applyProtection="1">
      <alignment horizontal="left" vertical="center"/>
      <protection locked="0" hidden="1"/>
    </xf>
    <xf numFmtId="0" fontId="37" fillId="11" borderId="0" xfId="0" applyFont="1" applyFill="1" applyBorder="1" applyProtection="1">
      <protection hidden="1"/>
    </xf>
    <xf numFmtId="0" fontId="9" fillId="6" borderId="0" xfId="0" applyFont="1" applyFill="1" applyBorder="1" applyProtection="1">
      <protection hidden="1"/>
    </xf>
    <xf numFmtId="0" fontId="43" fillId="20" borderId="0" xfId="0" applyFont="1" applyFill="1" applyBorder="1" applyAlignment="1" applyProtection="1">
      <alignment horizontal="center" vertical="center"/>
      <protection locked="0" hidden="1"/>
    </xf>
    <xf numFmtId="176" fontId="37" fillId="6" borderId="0" xfId="1" applyNumberFormat="1" applyFont="1" applyFill="1" applyBorder="1" applyProtection="1">
      <protection hidden="1"/>
    </xf>
    <xf numFmtId="176" fontId="38" fillId="16" borderId="0" xfId="3" applyNumberFormat="1" applyFont="1" applyFill="1" applyBorder="1" applyAlignment="1" applyProtection="1">
      <alignment horizontal="center"/>
      <protection hidden="1"/>
    </xf>
    <xf numFmtId="0" fontId="30" fillId="6" borderId="56" xfId="0" applyFont="1" applyFill="1" applyBorder="1" applyProtection="1">
      <protection hidden="1"/>
    </xf>
    <xf numFmtId="3" fontId="33" fillId="6" borderId="56" xfId="3" applyNumberFormat="1" applyFont="1" applyFill="1" applyBorder="1" applyProtection="1">
      <protection hidden="1"/>
    </xf>
    <xf numFmtId="0" fontId="36" fillId="2" borderId="63" xfId="4" applyFont="1" applyFill="1" applyBorder="1" applyAlignment="1" applyProtection="1">
      <alignment vertical="center"/>
      <protection hidden="1"/>
    </xf>
    <xf numFmtId="0" fontId="36" fillId="2" borderId="64" xfId="4" applyFont="1" applyFill="1" applyBorder="1" applyAlignment="1" applyProtection="1">
      <alignment vertical="center"/>
      <protection hidden="1"/>
    </xf>
    <xf numFmtId="0" fontId="36" fillId="2" borderId="64" xfId="4" applyFont="1" applyFill="1" applyBorder="1" applyAlignment="1" applyProtection="1">
      <alignment horizontal="center" vertical="center" wrapText="1"/>
      <protection hidden="1"/>
    </xf>
    <xf numFmtId="0" fontId="36" fillId="2" borderId="64" xfId="4" applyFont="1" applyFill="1" applyBorder="1" applyAlignment="1" applyProtection="1">
      <alignment horizontal="center" vertical="center"/>
      <protection hidden="1"/>
    </xf>
    <xf numFmtId="0" fontId="30" fillId="20" borderId="53" xfId="0" applyFont="1" applyFill="1" applyBorder="1" applyProtection="1">
      <protection locked="0" hidden="1"/>
    </xf>
    <xf numFmtId="0" fontId="30" fillId="20" borderId="52" xfId="0" applyFont="1" applyFill="1" applyBorder="1" applyProtection="1">
      <protection locked="0" hidden="1"/>
    </xf>
    <xf numFmtId="14" fontId="30" fillId="20" borderId="52" xfId="0" applyNumberFormat="1" applyFont="1" applyFill="1" applyBorder="1" applyProtection="1">
      <protection locked="0" hidden="1"/>
    </xf>
    <xf numFmtId="1" fontId="38" fillId="19" borderId="52" xfId="0" applyNumberFormat="1" applyFont="1" applyFill="1" applyBorder="1" applyAlignment="1" applyProtection="1">
      <alignment horizontal="center" vertical="center"/>
      <protection hidden="1"/>
    </xf>
    <xf numFmtId="3" fontId="38" fillId="20" borderId="52" xfId="1" applyNumberFormat="1" applyFont="1" applyFill="1" applyBorder="1" applyAlignment="1" applyProtection="1">
      <alignment horizontal="center"/>
      <protection locked="0" hidden="1"/>
    </xf>
    <xf numFmtId="3" fontId="38" fillId="20" borderId="52" xfId="0" applyNumberFormat="1" applyFont="1" applyFill="1" applyBorder="1" applyAlignment="1" applyProtection="1">
      <alignment horizontal="center"/>
      <protection locked="0" hidden="1"/>
    </xf>
    <xf numFmtId="0" fontId="30" fillId="20" borderId="58" xfId="0" applyFont="1" applyFill="1" applyBorder="1" applyProtection="1">
      <protection locked="0" hidden="1"/>
    </xf>
    <xf numFmtId="0" fontId="30" fillId="20" borderId="0" xfId="0" applyFont="1" applyFill="1" applyBorder="1" applyProtection="1">
      <protection locked="0" hidden="1"/>
    </xf>
    <xf numFmtId="14" fontId="30" fillId="20" borderId="0" xfId="0" applyNumberFormat="1" applyFont="1" applyFill="1" applyBorder="1" applyProtection="1">
      <protection locked="0" hidden="1"/>
    </xf>
    <xf numFmtId="1" fontId="38" fillId="19" borderId="0" xfId="0" applyNumberFormat="1" applyFont="1" applyFill="1" applyBorder="1" applyAlignment="1" applyProtection="1">
      <alignment horizontal="center" vertical="center"/>
      <protection hidden="1"/>
    </xf>
    <xf numFmtId="3" fontId="38" fillId="20" borderId="0" xfId="1" applyNumberFormat="1" applyFont="1" applyFill="1" applyBorder="1" applyAlignment="1" applyProtection="1">
      <alignment horizontal="center"/>
      <protection locked="0" hidden="1"/>
    </xf>
    <xf numFmtId="3" fontId="38" fillId="20" borderId="0" xfId="0" applyNumberFormat="1" applyFont="1" applyFill="1" applyBorder="1" applyAlignment="1" applyProtection="1">
      <alignment horizontal="center"/>
      <protection locked="0" hidden="1"/>
    </xf>
    <xf numFmtId="0" fontId="30" fillId="20" borderId="55" xfId="0" applyFont="1" applyFill="1" applyBorder="1" applyProtection="1">
      <protection locked="0" hidden="1"/>
    </xf>
    <xf numFmtId="0" fontId="30" fillId="20" borderId="56" xfId="0" applyFont="1" applyFill="1" applyBorder="1" applyProtection="1">
      <protection locked="0" hidden="1"/>
    </xf>
    <xf numFmtId="14" fontId="30" fillId="20" borderId="56" xfId="0" applyNumberFormat="1" applyFont="1" applyFill="1" applyBorder="1" applyProtection="1">
      <protection locked="0" hidden="1"/>
    </xf>
    <xf numFmtId="1" fontId="38" fillId="19" borderId="56" xfId="0" applyNumberFormat="1" applyFont="1" applyFill="1" applyBorder="1" applyAlignment="1" applyProtection="1">
      <alignment horizontal="center" vertical="center"/>
      <protection hidden="1"/>
    </xf>
    <xf numFmtId="3" fontId="38" fillId="20" borderId="56" xfId="1" applyNumberFormat="1" applyFont="1" applyFill="1" applyBorder="1" applyAlignment="1" applyProtection="1">
      <alignment horizontal="center"/>
      <protection locked="0" hidden="1"/>
    </xf>
    <xf numFmtId="3" fontId="38" fillId="20" borderId="56" xfId="0" applyNumberFormat="1" applyFont="1" applyFill="1" applyBorder="1" applyAlignment="1" applyProtection="1">
      <alignment horizontal="center"/>
      <protection locked="0" hidden="1"/>
    </xf>
    <xf numFmtId="0" fontId="8" fillId="6" borderId="14" xfId="0" applyFont="1" applyFill="1" applyBorder="1" applyAlignment="1" applyProtection="1">
      <alignment horizontal="left"/>
      <protection locked="0" hidden="1"/>
    </xf>
    <xf numFmtId="0" fontId="30" fillId="6" borderId="0" xfId="0" applyFont="1" applyFill="1" applyBorder="1" applyAlignment="1" applyProtection="1">
      <alignment horizontal="left"/>
      <protection locked="0" hidden="1"/>
    </xf>
    <xf numFmtId="0" fontId="39" fillId="6" borderId="63" xfId="0" applyFont="1" applyFill="1" applyBorder="1" applyProtection="1">
      <protection hidden="1"/>
    </xf>
    <xf numFmtId="0" fontId="39" fillId="6" borderId="64" xfId="0" applyFont="1" applyFill="1" applyBorder="1" applyProtection="1">
      <protection hidden="1"/>
    </xf>
    <xf numFmtId="0" fontId="30" fillId="6" borderId="58" xfId="0" applyFont="1" applyFill="1" applyBorder="1" applyAlignment="1" applyProtection="1">
      <alignment horizontal="left"/>
      <protection hidden="1"/>
    </xf>
    <xf numFmtId="0" fontId="30" fillId="6" borderId="0" xfId="0" applyFont="1" applyFill="1" applyBorder="1" applyProtection="1">
      <protection hidden="1"/>
    </xf>
    <xf numFmtId="166" fontId="33" fillId="6" borderId="0" xfId="1" applyFont="1" applyFill="1" applyBorder="1" applyProtection="1">
      <protection hidden="1"/>
    </xf>
    <xf numFmtId="176" fontId="33" fillId="6" borderId="59" xfId="1" applyNumberFormat="1" applyFont="1" applyFill="1" applyBorder="1" applyProtection="1">
      <protection hidden="1"/>
    </xf>
    <xf numFmtId="172" fontId="33" fillId="6" borderId="58" xfId="1" applyNumberFormat="1" applyFont="1" applyFill="1" applyBorder="1" applyAlignment="1" applyProtection="1">
      <alignment horizontal="left"/>
      <protection hidden="1"/>
    </xf>
    <xf numFmtId="0" fontId="36" fillId="2" borderId="53" xfId="0" applyFont="1" applyFill="1" applyBorder="1" applyProtection="1">
      <protection hidden="1"/>
    </xf>
    <xf numFmtId="0" fontId="36" fillId="2" borderId="52" xfId="0" applyFont="1" applyFill="1" applyBorder="1" applyProtection="1">
      <protection hidden="1"/>
    </xf>
    <xf numFmtId="0" fontId="36" fillId="2" borderId="52" xfId="0" applyFont="1" applyFill="1" applyBorder="1" applyAlignment="1" applyProtection="1">
      <alignment horizontal="center"/>
      <protection hidden="1"/>
    </xf>
    <xf numFmtId="0" fontId="36" fillId="2" borderId="54" xfId="0" applyFont="1" applyFill="1" applyBorder="1" applyAlignment="1" applyProtection="1">
      <alignment horizontal="center" vertical="center"/>
      <protection hidden="1"/>
    </xf>
    <xf numFmtId="172" fontId="37" fillId="6" borderId="55" xfId="1" applyNumberFormat="1" applyFont="1" applyFill="1" applyBorder="1" applyAlignment="1" applyProtection="1">
      <alignment horizontal="left"/>
      <protection hidden="1"/>
    </xf>
    <xf numFmtId="0" fontId="8" fillId="6" borderId="56" xfId="0" applyFont="1" applyFill="1" applyBorder="1" applyProtection="1">
      <protection hidden="1"/>
    </xf>
    <xf numFmtId="166" fontId="37" fillId="6" borderId="56" xfId="1" applyFont="1" applyFill="1" applyBorder="1" applyProtection="1">
      <protection hidden="1"/>
    </xf>
    <xf numFmtId="176" fontId="37" fillId="6" borderId="57" xfId="1" applyNumberFormat="1" applyFont="1" applyFill="1" applyBorder="1" applyProtection="1">
      <protection hidden="1"/>
    </xf>
    <xf numFmtId="172" fontId="37" fillId="6" borderId="53" xfId="1" applyNumberFormat="1" applyFont="1" applyFill="1" applyBorder="1" applyAlignment="1" applyProtection="1">
      <alignment horizontal="left"/>
      <protection hidden="1"/>
    </xf>
    <xf numFmtId="0" fontId="30" fillId="6" borderId="52" xfId="0" applyFont="1" applyFill="1" applyBorder="1" applyProtection="1">
      <protection hidden="1"/>
    </xf>
    <xf numFmtId="166" fontId="37" fillId="6" borderId="52" xfId="1" applyFont="1" applyFill="1" applyBorder="1" applyProtection="1">
      <protection hidden="1"/>
    </xf>
    <xf numFmtId="176" fontId="37" fillId="6" borderId="54" xfId="1" applyNumberFormat="1" applyFont="1" applyFill="1" applyBorder="1" applyProtection="1">
      <protection hidden="1"/>
    </xf>
    <xf numFmtId="0" fontId="0" fillId="9" borderId="23" xfId="0" applyFill="1" applyBorder="1" applyAlignment="1">
      <alignment horizontal="center" vertical="center"/>
    </xf>
    <xf numFmtId="176" fontId="38" fillId="16" borderId="52" xfId="3" applyNumberFormat="1" applyFont="1" applyFill="1" applyBorder="1" applyAlignment="1" applyProtection="1">
      <alignment horizontal="center"/>
      <protection hidden="1"/>
    </xf>
    <xf numFmtId="176" fontId="38" fillId="16" borderId="56" xfId="3" applyNumberFormat="1" applyFont="1" applyFill="1" applyBorder="1" applyAlignment="1" applyProtection="1">
      <alignment horizontal="center"/>
      <protection hidden="1"/>
    </xf>
    <xf numFmtId="176" fontId="39" fillId="16" borderId="64" xfId="3" applyNumberFormat="1" applyFont="1" applyFill="1" applyBorder="1" applyAlignment="1" applyProtection="1">
      <alignment horizontal="center"/>
      <protection hidden="1"/>
    </xf>
    <xf numFmtId="0" fontId="36" fillId="0" borderId="14" xfId="4" applyFont="1" applyFill="1" applyBorder="1" applyAlignment="1" applyProtection="1">
      <alignment horizontal="center" vertical="center" wrapText="1"/>
      <protection hidden="1"/>
    </xf>
    <xf numFmtId="7" fontId="35" fillId="0" borderId="14" xfId="0" applyNumberFormat="1" applyFont="1" applyFill="1" applyBorder="1" applyAlignment="1" applyProtection="1">
      <alignment horizontal="center"/>
      <protection hidden="1"/>
    </xf>
    <xf numFmtId="7" fontId="35" fillId="0" borderId="14" xfId="3" applyNumberFormat="1" applyFont="1" applyFill="1" applyBorder="1" applyAlignment="1" applyProtection="1">
      <alignment horizontal="center"/>
      <protection hidden="1"/>
    </xf>
    <xf numFmtId="0" fontId="37" fillId="11" borderId="0" xfId="0" applyFont="1" applyFill="1" applyAlignment="1" applyProtection="1">
      <alignment horizontal="center"/>
      <protection hidden="1"/>
    </xf>
    <xf numFmtId="0" fontId="30" fillId="12" borderId="0" xfId="0" applyFont="1" applyFill="1" applyAlignment="1" applyProtection="1">
      <alignment horizontal="center"/>
      <protection locked="0" hidden="1"/>
    </xf>
    <xf numFmtId="0" fontId="30" fillId="12" borderId="37" xfId="0" applyFont="1" applyFill="1" applyBorder="1" applyAlignment="1" applyProtection="1">
      <alignment horizontal="center"/>
      <protection locked="0" hidden="1"/>
    </xf>
    <xf numFmtId="49" fontId="37" fillId="11" borderId="0" xfId="0" applyNumberFormat="1" applyFont="1" applyFill="1" applyBorder="1" applyAlignment="1" applyProtection="1">
      <alignment horizontal="left"/>
      <protection hidden="1"/>
    </xf>
    <xf numFmtId="0" fontId="37" fillId="11" borderId="0" xfId="0" applyFont="1" applyFill="1" applyBorder="1" applyAlignment="1" applyProtection="1">
      <alignment horizontal="justify" wrapText="1"/>
      <protection hidden="1"/>
    </xf>
    <xf numFmtId="0" fontId="37" fillId="11" borderId="0" xfId="0" quotePrefix="1" applyFont="1" applyFill="1" applyAlignment="1" applyProtection="1">
      <alignment horizontal="justify" wrapText="1"/>
      <protection hidden="1"/>
    </xf>
    <xf numFmtId="0" fontId="37" fillId="11" borderId="0" xfId="0" applyFont="1" applyFill="1" applyAlignment="1" applyProtection="1">
      <alignment horizontal="justify" wrapText="1"/>
      <protection hidden="1"/>
    </xf>
    <xf numFmtId="0" fontId="14" fillId="6" borderId="11" xfId="0" applyFont="1" applyFill="1" applyBorder="1" applyAlignment="1" applyProtection="1">
      <alignment horizontal="center"/>
      <protection hidden="1"/>
    </xf>
    <xf numFmtId="0" fontId="14" fillId="6" borderId="12" xfId="0" applyFont="1" applyFill="1" applyBorder="1" applyAlignment="1" applyProtection="1">
      <alignment horizontal="center"/>
      <protection hidden="1"/>
    </xf>
    <xf numFmtId="0" fontId="14" fillId="6" borderId="13" xfId="0" applyFont="1" applyFill="1" applyBorder="1" applyAlignment="1" applyProtection="1">
      <alignment horizontal="center"/>
      <protection hidden="1"/>
    </xf>
    <xf numFmtId="0" fontId="30" fillId="6" borderId="0" xfId="0" applyFont="1" applyFill="1" applyAlignment="1" applyProtection="1">
      <alignment horizontal="justify" vertical="justify" wrapText="1"/>
      <protection hidden="1"/>
    </xf>
    <xf numFmtId="175" fontId="33" fillId="9" borderId="9" xfId="3" applyNumberFormat="1" applyFont="1" applyFill="1" applyBorder="1" applyAlignment="1" applyProtection="1">
      <alignment horizontal="center" vertical="center"/>
      <protection locked="0" hidden="1"/>
    </xf>
    <xf numFmtId="0" fontId="37" fillId="6" borderId="0" xfId="4" applyFont="1" applyFill="1" applyAlignment="1" applyProtection="1">
      <alignment wrapText="1"/>
      <protection hidden="1"/>
    </xf>
    <xf numFmtId="0" fontId="37" fillId="6" borderId="0" xfId="4" applyFont="1" applyFill="1" applyAlignment="1" applyProtection="1">
      <alignment horizontal="center"/>
      <protection hidden="1"/>
    </xf>
    <xf numFmtId="14" fontId="8" fillId="6" borderId="44" xfId="0" applyNumberFormat="1" applyFont="1" applyFill="1" applyBorder="1" applyAlignment="1" applyProtection="1">
      <alignment horizontal="center"/>
      <protection hidden="1"/>
    </xf>
    <xf numFmtId="0" fontId="8" fillId="6" borderId="45" xfId="0" applyFont="1" applyFill="1" applyBorder="1" applyAlignment="1" applyProtection="1">
      <alignment horizontal="center"/>
      <protection hidden="1"/>
    </xf>
    <xf numFmtId="0" fontId="37" fillId="6" borderId="0" xfId="0" applyFont="1" applyFill="1" applyAlignment="1" applyProtection="1">
      <alignment horizontal="left" vertical="center"/>
      <protection locked="0" hidden="1"/>
    </xf>
    <xf numFmtId="0" fontId="33" fillId="6" borderId="0" xfId="0" applyFont="1" applyFill="1" applyBorder="1" applyAlignment="1" applyProtection="1">
      <alignment horizontal="left" vertical="center"/>
      <protection locked="0" hidden="1"/>
    </xf>
    <xf numFmtId="164" fontId="33" fillId="9" borderId="9" xfId="0" applyNumberFormat="1" applyFont="1" applyFill="1" applyBorder="1" applyAlignment="1" applyProtection="1">
      <alignment horizontal="center" vertical="center"/>
      <protection locked="0" hidden="1"/>
    </xf>
    <xf numFmtId="164" fontId="33" fillId="9" borderId="10" xfId="0" applyNumberFormat="1" applyFont="1" applyFill="1" applyBorder="1" applyAlignment="1" applyProtection="1">
      <alignment horizontal="center" vertical="center"/>
      <protection locked="0" hidden="1"/>
    </xf>
    <xf numFmtId="0" fontId="32" fillId="6" borderId="0" xfId="4" applyFont="1" applyFill="1" applyAlignment="1" applyProtection="1">
      <alignment horizontal="left" wrapText="1"/>
      <protection hidden="1"/>
    </xf>
    <xf numFmtId="0" fontId="30" fillId="6" borderId="0" xfId="0" applyFont="1" applyFill="1" applyAlignment="1" applyProtection="1">
      <alignment horizontal="left" vertical="center" wrapText="1"/>
      <protection hidden="1"/>
    </xf>
    <xf numFmtId="0" fontId="30" fillId="6" borderId="0" xfId="0" applyFont="1" applyFill="1" applyBorder="1" applyAlignment="1" applyProtection="1">
      <alignment horizontal="left" vertical="center" wrapText="1"/>
      <protection hidden="1"/>
    </xf>
    <xf numFmtId="0" fontId="0" fillId="0" borderId="0" xfId="0" applyBorder="1" applyAlignment="1">
      <alignment horizontal="left" vertical="center" wrapText="1"/>
    </xf>
    <xf numFmtId="0" fontId="0" fillId="0" borderId="60" xfId="0" applyBorder="1" applyAlignment="1">
      <alignment horizontal="left" vertical="center" wrapText="1"/>
    </xf>
    <xf numFmtId="0" fontId="10" fillId="0" borderId="0" xfId="4" applyFont="1" applyAlignment="1" applyProtection="1">
      <alignment horizontal="center" vertical="center"/>
      <protection hidden="1"/>
    </xf>
    <xf numFmtId="171" fontId="12" fillId="0" borderId="0" xfId="3" applyNumberFormat="1" applyFont="1" applyAlignment="1" applyProtection="1">
      <alignment horizontal="center"/>
      <protection hidden="1"/>
    </xf>
    <xf numFmtId="49" fontId="37" fillId="11" borderId="0" xfId="0" quotePrefix="1" applyNumberFormat="1" applyFont="1" applyFill="1" applyAlignment="1" applyProtection="1">
      <alignment horizontal="left"/>
      <protection hidden="1"/>
    </xf>
    <xf numFmtId="49" fontId="37" fillId="11" borderId="0" xfId="0" applyNumberFormat="1" applyFont="1" applyFill="1" applyAlignment="1" applyProtection="1">
      <alignment horizontal="left"/>
      <protection hidden="1"/>
    </xf>
    <xf numFmtId="172" fontId="12" fillId="0" borderId="0" xfId="3" applyNumberFormat="1" applyFont="1" applyAlignment="1" applyProtection="1">
      <alignment horizontal="center"/>
      <protection hidden="1"/>
    </xf>
    <xf numFmtId="0" fontId="44" fillId="0" borderId="23" xfId="4" applyFont="1" applyBorder="1" applyAlignment="1" applyProtection="1">
      <alignment horizontal="left" vertical="center"/>
      <protection hidden="1"/>
    </xf>
    <xf numFmtId="0" fontId="0" fillId="0" borderId="23" xfId="0" applyBorder="1" applyAlignment="1">
      <alignment horizontal="left" vertical="center"/>
    </xf>
    <xf numFmtId="0" fontId="36" fillId="2" borderId="52" xfId="4" applyFont="1" applyFill="1" applyBorder="1" applyAlignment="1" applyProtection="1">
      <alignment horizontal="center" vertical="center"/>
      <protection hidden="1"/>
    </xf>
    <xf numFmtId="0" fontId="35" fillId="2" borderId="52" xfId="0" applyFont="1" applyFill="1" applyBorder="1" applyAlignment="1">
      <alignment horizontal="center" vertical="center"/>
    </xf>
    <xf numFmtId="0" fontId="35" fillId="2" borderId="52" xfId="0" applyFont="1" applyFill="1" applyBorder="1"/>
    <xf numFmtId="0" fontId="35" fillId="2" borderId="62" xfId="0" applyFont="1" applyFill="1" applyBorder="1"/>
    <xf numFmtId="0" fontId="36" fillId="2" borderId="0" xfId="4" applyFont="1" applyFill="1" applyAlignment="1" applyProtection="1">
      <alignment horizontal="center" vertical="center"/>
      <protection hidden="1"/>
    </xf>
    <xf numFmtId="0" fontId="30" fillId="2" borderId="0" xfId="0" applyFont="1" applyFill="1" applyAlignment="1">
      <alignment horizontal="center" vertical="center"/>
    </xf>
    <xf numFmtId="0" fontId="14" fillId="6" borderId="22" xfId="0" applyFont="1" applyFill="1" applyBorder="1" applyAlignment="1" applyProtection="1">
      <alignment horizontal="center"/>
      <protection hidden="1"/>
    </xf>
    <xf numFmtId="0" fontId="14" fillId="6" borderId="23" xfId="0" applyFont="1" applyFill="1" applyBorder="1" applyAlignment="1" applyProtection="1">
      <alignment horizontal="center"/>
      <protection hidden="1"/>
    </xf>
    <xf numFmtId="0" fontId="14" fillId="6" borderId="24" xfId="0" applyFont="1" applyFill="1" applyBorder="1" applyAlignment="1" applyProtection="1">
      <alignment horizontal="center"/>
      <protection hidden="1"/>
    </xf>
    <xf numFmtId="0" fontId="37" fillId="6" borderId="0" xfId="4" applyFont="1" applyFill="1" applyAlignment="1" applyProtection="1">
      <alignment horizontal="left" wrapText="1"/>
      <protection hidden="1"/>
    </xf>
    <xf numFmtId="0" fontId="32" fillId="6" borderId="0" xfId="4" applyFont="1" applyFill="1" applyAlignment="1" applyProtection="1">
      <alignment wrapText="1"/>
      <protection hidden="1"/>
    </xf>
    <xf numFmtId="0" fontId="33" fillId="9" borderId="9" xfId="0" applyFont="1" applyFill="1" applyBorder="1" applyAlignment="1" applyProtection="1">
      <alignment horizontal="center" vertical="center"/>
      <protection locked="0" hidden="1"/>
    </xf>
    <xf numFmtId="0" fontId="33" fillId="9" borderId="10" xfId="0" applyFont="1" applyFill="1" applyBorder="1" applyAlignment="1" applyProtection="1">
      <alignment horizontal="center" vertical="center"/>
      <protection locked="0" hidden="1"/>
    </xf>
    <xf numFmtId="0" fontId="30" fillId="6" borderId="52" xfId="0" applyFont="1" applyFill="1" applyBorder="1" applyAlignment="1" applyProtection="1">
      <alignment horizontal="left" vertical="center" wrapText="1"/>
      <protection hidden="1"/>
    </xf>
    <xf numFmtId="0" fontId="10" fillId="10" borderId="11" xfId="4" applyFont="1" applyFill="1" applyBorder="1" applyAlignment="1" applyProtection="1">
      <alignment horizontal="center"/>
      <protection hidden="1"/>
    </xf>
    <xf numFmtId="0" fontId="10" fillId="10" borderId="12" xfId="4" applyFont="1" applyFill="1" applyBorder="1" applyAlignment="1" applyProtection="1">
      <alignment horizontal="center"/>
      <protection hidden="1"/>
    </xf>
    <xf numFmtId="0" fontId="10" fillId="10" borderId="13" xfId="4" applyFont="1" applyFill="1" applyBorder="1" applyAlignment="1" applyProtection="1">
      <alignment horizontal="center"/>
      <protection hidden="1"/>
    </xf>
    <xf numFmtId="0" fontId="9" fillId="18" borderId="8" xfId="0" applyFont="1" applyFill="1" applyBorder="1" applyAlignment="1" applyProtection="1">
      <alignment horizontal="center"/>
      <protection locked="0" hidden="1"/>
    </xf>
    <xf numFmtId="164" fontId="43" fillId="18" borderId="0" xfId="0" applyNumberFormat="1" applyFont="1" applyFill="1" applyAlignment="1" applyProtection="1">
      <alignment horizontal="center"/>
      <protection hidden="1"/>
    </xf>
    <xf numFmtId="0" fontId="43" fillId="18" borderId="0" xfId="0" applyFont="1" applyFill="1" applyAlignment="1" applyProtection="1">
      <alignment horizontal="center"/>
      <protection hidden="1"/>
    </xf>
    <xf numFmtId="9" fontId="43" fillId="21" borderId="0" xfId="2" applyFont="1" applyFill="1" applyAlignment="1" applyProtection="1">
      <alignment horizontal="center"/>
      <protection hidden="1"/>
    </xf>
    <xf numFmtId="164" fontId="43" fillId="18" borderId="8" xfId="0" applyNumberFormat="1" applyFont="1" applyFill="1" applyBorder="1" applyAlignment="1" applyProtection="1">
      <alignment horizontal="center"/>
      <protection hidden="1"/>
    </xf>
    <xf numFmtId="0" fontId="43" fillId="18" borderId="8" xfId="0" applyFont="1" applyFill="1" applyBorder="1" applyAlignment="1" applyProtection="1">
      <alignment horizontal="center"/>
      <protection hidden="1"/>
    </xf>
    <xf numFmtId="0" fontId="9" fillId="0" borderId="0" xfId="0" applyFont="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8" xfId="0" applyFont="1" applyFill="1" applyBorder="1" applyAlignment="1" applyProtection="1">
      <alignment horizontal="center"/>
      <protection hidden="1"/>
    </xf>
    <xf numFmtId="178" fontId="43" fillId="18" borderId="16" xfId="0" applyNumberFormat="1" applyFont="1" applyFill="1" applyBorder="1" applyAlignment="1" applyProtection="1">
      <alignment horizontal="center"/>
      <protection hidden="1"/>
    </xf>
    <xf numFmtId="178" fontId="43" fillId="18" borderId="0" xfId="0" applyNumberFormat="1" applyFont="1" applyFill="1" applyAlignment="1" applyProtection="1">
      <alignment horizontal="center"/>
      <protection hidden="1"/>
    </xf>
    <xf numFmtId="0" fontId="9" fillId="21" borderId="8" xfId="0" applyFont="1" applyFill="1" applyBorder="1" applyAlignment="1" applyProtection="1">
      <alignment horizontal="center"/>
      <protection locked="0" hidden="1"/>
    </xf>
    <xf numFmtId="0" fontId="14" fillId="21" borderId="12" xfId="0" applyFont="1" applyFill="1" applyBorder="1" applyAlignment="1" applyProtection="1">
      <alignment horizontal="center"/>
      <protection hidden="1"/>
    </xf>
    <xf numFmtId="0" fontId="9" fillId="21" borderId="12" xfId="0" applyFont="1" applyFill="1" applyBorder="1" applyAlignment="1" applyProtection="1">
      <alignment horizontal="center"/>
      <protection locked="0" hidden="1"/>
    </xf>
    <xf numFmtId="0" fontId="3" fillId="0" borderId="34" xfId="0" applyFont="1" applyBorder="1" applyAlignment="1">
      <alignment horizontal="center" vertical="center"/>
    </xf>
    <xf numFmtId="0" fontId="41" fillId="2" borderId="27" xfId="6" applyFont="1" applyFill="1" applyBorder="1" applyAlignment="1" applyProtection="1">
      <alignment horizontal="center" vertical="center" wrapText="1"/>
      <protection hidden="1"/>
    </xf>
    <xf numFmtId="0" fontId="41" fillId="2" borderId="28" xfId="6" applyFont="1" applyFill="1" applyBorder="1" applyAlignment="1" applyProtection="1">
      <alignment horizontal="center" vertical="center" wrapText="1"/>
      <protection hidden="1"/>
    </xf>
    <xf numFmtId="0" fontId="19" fillId="14" borderId="27" xfId="6" applyFont="1" applyFill="1" applyBorder="1" applyAlignment="1" applyProtection="1">
      <alignment horizontal="center" vertical="center" wrapText="1"/>
      <protection hidden="1"/>
    </xf>
    <xf numFmtId="0" fontId="19" fillId="14" borderId="28" xfId="6" applyFont="1" applyFill="1" applyBorder="1" applyAlignment="1" applyProtection="1">
      <alignment horizontal="center" vertical="center" wrapText="1"/>
      <protection hidden="1"/>
    </xf>
    <xf numFmtId="0" fontId="19" fillId="14" borderId="39" xfId="6" applyFont="1" applyFill="1" applyBorder="1" applyAlignment="1" applyProtection="1">
      <alignment horizontal="center" vertical="center" wrapText="1"/>
      <protection hidden="1"/>
    </xf>
    <xf numFmtId="0" fontId="19" fillId="14" borderId="40" xfId="6" applyFont="1" applyFill="1" applyBorder="1" applyAlignment="1" applyProtection="1">
      <alignment horizontal="center" vertical="center" wrapText="1"/>
      <protection hidden="1"/>
    </xf>
    <xf numFmtId="0" fontId="0" fillId="0" borderId="34" xfId="0" applyBorder="1" applyAlignment="1">
      <alignment horizontal="center" vertical="center"/>
    </xf>
    <xf numFmtId="0" fontId="18" fillId="14" borderId="26" xfId="5" applyFont="1" applyFill="1" applyBorder="1" applyAlignment="1" applyProtection="1">
      <alignment horizontal="center" vertical="center" wrapText="1"/>
      <protection hidden="1"/>
    </xf>
    <xf numFmtId="0" fontId="18" fillId="14" borderId="29" xfId="5" applyFont="1" applyFill="1" applyBorder="1" applyAlignment="1" applyProtection="1">
      <alignment horizontal="center" vertical="center" wrapText="1"/>
      <protection hidden="1"/>
    </xf>
    <xf numFmtId="169" fontId="19" fillId="14" borderId="27" xfId="1" applyNumberFormat="1" applyFont="1" applyFill="1" applyBorder="1" applyAlignment="1" applyProtection="1">
      <alignment horizontal="center" vertical="center" wrapText="1"/>
      <protection hidden="1"/>
    </xf>
    <xf numFmtId="169" fontId="19" fillId="14" borderId="28" xfId="1" applyNumberFormat="1" applyFont="1" applyFill="1" applyBorder="1" applyAlignment="1" applyProtection="1">
      <alignment horizontal="center" vertical="center" wrapText="1"/>
      <protection hidden="1"/>
    </xf>
  </cellXfs>
  <cellStyles count="7">
    <cellStyle name="Millares" xfId="1" builtinId="3"/>
    <cellStyle name="Moneda" xfId="3" builtinId="4"/>
    <cellStyle name="Normal" xfId="0" builtinId="0"/>
    <cellStyle name="Normal 2 2" xfId="5"/>
    <cellStyle name="Normal 2 2 2" xfId="4"/>
    <cellStyle name="Normal 3" xfId="6"/>
    <cellStyle name="Porcentaje" xfId="2" builtinId="5"/>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495300</xdr:colOff>
      <xdr:row>3</xdr:row>
      <xdr:rowOff>133350</xdr:rowOff>
    </xdr:from>
    <xdr:to>
      <xdr:col>6</xdr:col>
      <xdr:colOff>182468</xdr:colOff>
      <xdr:row>11</xdr:row>
      <xdr:rowOff>104775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57300" y="704850"/>
          <a:ext cx="3497168" cy="149542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19050</xdr:colOff>
          <xdr:row>14</xdr:row>
          <xdr:rowOff>28575</xdr:rowOff>
        </xdr:from>
        <xdr:to>
          <xdr:col>5</xdr:col>
          <xdr:colOff>152400</xdr:colOff>
          <xdr:row>17</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Iniciar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0</xdr:row>
      <xdr:rowOff>76200</xdr:rowOff>
    </xdr:from>
    <xdr:to>
      <xdr:col>1</xdr:col>
      <xdr:colOff>0</xdr:colOff>
      <xdr:row>2</xdr:row>
      <xdr:rowOff>231962</xdr:rowOff>
    </xdr:to>
    <xdr:pic>
      <xdr:nvPicPr>
        <xdr:cNvPr id="2" name="4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5300" y="76200"/>
          <a:ext cx="2274981" cy="689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141193</xdr:colOff>
      <xdr:row>1</xdr:row>
      <xdr:rowOff>9524</xdr:rowOff>
    </xdr:from>
    <xdr:to>
      <xdr:col>3</xdr:col>
      <xdr:colOff>456187</xdr:colOff>
      <xdr:row>4</xdr:row>
      <xdr:rowOff>212911</xdr:rowOff>
    </xdr:to>
    <xdr:pic>
      <xdr:nvPicPr>
        <xdr:cNvPr id="3" name="4 Imagen">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193" y="200024"/>
          <a:ext cx="3646197" cy="1088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323850</xdr:colOff>
          <xdr:row>1</xdr:row>
          <xdr:rowOff>352425</xdr:rowOff>
        </xdr:from>
        <xdr:to>
          <xdr:col>5</xdr:col>
          <xdr:colOff>504825</xdr:colOff>
          <xdr:row>3</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Nueva Cotización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123825</xdr:rowOff>
        </xdr:from>
        <xdr:to>
          <xdr:col>1</xdr:col>
          <xdr:colOff>1514475</xdr:colOff>
          <xdr:row>7</xdr:row>
          <xdr:rowOff>133350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Prima Anual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5</xdr:row>
          <xdr:rowOff>104775</xdr:rowOff>
        </xdr:from>
        <xdr:to>
          <xdr:col>2</xdr:col>
          <xdr:colOff>1076325</xdr:colOff>
          <xdr:row>7</xdr:row>
          <xdr:rowOff>171450</xdr:rowOff>
        </xdr:to>
        <xdr:sp macro="" textlink="">
          <xdr:nvSpPr>
            <xdr:cNvPr id="1040" name="Option 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Prima Prorrateada</a:t>
              </a:r>
            </a:p>
          </xdr:txBody>
        </xdr:sp>
        <xdr:clientData fLocksWithSheet="0" fPrintsWithSheet="0"/>
      </xdr:twoCellAnchor>
    </mc:Choice>
    <mc:Fallback/>
  </mc:AlternateContent>
  <xdr:twoCellAnchor editAs="oneCell">
    <xdr:from>
      <xdr:col>7</xdr:col>
      <xdr:colOff>1074084</xdr:colOff>
      <xdr:row>0</xdr:row>
      <xdr:rowOff>34739</xdr:rowOff>
    </xdr:from>
    <xdr:to>
      <xdr:col>9</xdr:col>
      <xdr:colOff>1086031</xdr:colOff>
      <xdr:row>5</xdr:row>
      <xdr:rowOff>67236</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976908" y="34739"/>
          <a:ext cx="3220830" cy="139961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923925</xdr:colOff>
          <xdr:row>55</xdr:row>
          <xdr:rowOff>123825</xdr:rowOff>
        </xdr:from>
        <xdr:to>
          <xdr:col>4</xdr:col>
          <xdr:colOff>1219200</xdr:colOff>
          <xdr:row>56</xdr:row>
          <xdr:rowOff>180975</xdr:rowOff>
        </xdr:to>
        <xdr:sp macro="" textlink="">
          <xdr:nvSpPr>
            <xdr:cNvPr id="1043" name="Botón 13"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Generar 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xdr:row>
          <xdr:rowOff>342900</xdr:rowOff>
        </xdr:from>
        <xdr:to>
          <xdr:col>7</xdr:col>
          <xdr:colOff>542925</xdr:colOff>
          <xdr:row>3</xdr:row>
          <xdr:rowOff>57150</xdr:rowOff>
        </xdr:to>
        <xdr:sp macro="" textlink="">
          <xdr:nvSpPr>
            <xdr:cNvPr id="1044" name="Botón 22"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Impresión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55</xdr:row>
          <xdr:rowOff>123825</xdr:rowOff>
        </xdr:from>
        <xdr:to>
          <xdr:col>3</xdr:col>
          <xdr:colOff>676275</xdr:colOff>
          <xdr:row>56</xdr:row>
          <xdr:rowOff>180975</xdr:rowOff>
        </xdr:to>
        <xdr:sp macro="" textlink="">
          <xdr:nvSpPr>
            <xdr:cNvPr id="1045" name="Botón 25"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Datos Agente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749923</xdr:colOff>
      <xdr:row>3</xdr:row>
      <xdr:rowOff>146237</xdr:rowOff>
    </xdr:to>
    <xdr:pic>
      <xdr:nvPicPr>
        <xdr:cNvPr id="2" name="4 Imagen">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273923" cy="689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128681</xdr:colOff>
      <xdr:row>3</xdr:row>
      <xdr:rowOff>10770</xdr:rowOff>
    </xdr:to>
    <xdr:pic>
      <xdr:nvPicPr>
        <xdr:cNvPr id="2" name="4 Imagen">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9575" y="0"/>
          <a:ext cx="2281331" cy="582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571837</xdr:colOff>
      <xdr:row>11</xdr:row>
      <xdr:rowOff>181388</xdr:rowOff>
    </xdr:from>
    <xdr:to>
      <xdr:col>14</xdr:col>
      <xdr:colOff>26869</xdr:colOff>
      <xdr:row>23</xdr:row>
      <xdr:rowOff>171449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l="9571" t="30277" r="12880" b="35539"/>
        <a:stretch/>
      </xdr:blipFill>
      <xdr:spPr>
        <a:xfrm>
          <a:off x="3867487" y="2276888"/>
          <a:ext cx="6455907" cy="22760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ct_eeperez/Desktop/EEPG/Automatizaci&#243;n%20de%20par&#225;metros/My%20Doc/Comercial/Cotizador%20GMM%20My%20Doc%20Comerci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SALUD\SUSCRIPCION\Colectivo\Cotizadores\2014\SIS\Cotizador%20Comercial%20B&#225;sico-Flex-Integral%20Colectiv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tización"/>
      <sheetName val="Agente"/>
      <sheetName val="Contratante"/>
      <sheetName val="O.T. Emision"/>
      <sheetName val="Tablas"/>
    </sheetNames>
    <sheetDataSet>
      <sheetData sheetId="0">
        <row r="47">
          <cell r="G47">
            <v>0</v>
          </cell>
        </row>
      </sheetData>
      <sheetData sheetId="1"/>
      <sheetData sheetId="2"/>
      <sheetData sheetId="3"/>
      <sheetData sheetId="4">
        <row r="4">
          <cell r="N4">
            <v>1.3192999999999999</v>
          </cell>
        </row>
        <row r="5">
          <cell r="N5">
            <v>1</v>
          </cell>
        </row>
        <row r="6">
          <cell r="N6">
            <v>0.88690000000000002</v>
          </cell>
        </row>
        <row r="7">
          <cell r="N7">
            <v>1</v>
          </cell>
        </row>
        <row r="8">
          <cell r="N8">
            <v>2.1329999999999998E-2</v>
          </cell>
        </row>
        <row r="9">
          <cell r="N9">
            <v>0.76</v>
          </cell>
        </row>
        <row r="10">
          <cell r="N10">
            <v>1</v>
          </cell>
        </row>
        <row r="11">
          <cell r="N11">
            <v>1</v>
          </cell>
        </row>
        <row r="12">
          <cell r="N12">
            <v>1</v>
          </cell>
        </row>
        <row r="13">
          <cell r="N13">
            <v>9.3799999999999994E-2</v>
          </cell>
        </row>
        <row r="14">
          <cell r="N14">
            <v>0.21</v>
          </cell>
        </row>
        <row r="15">
          <cell r="N15">
            <v>7.0000000000000007E-2</v>
          </cell>
        </row>
        <row r="16">
          <cell r="N16">
            <v>0.16500000000000001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dula de suscripción"/>
      <sheetName val="Tabla de distribucion"/>
      <sheetName val="Cotización"/>
      <sheetName val="Salida2"/>
      <sheetName val="Coberturas"/>
    </sheetNames>
    <sheetDataSet>
      <sheetData sheetId="0" refreshError="1"/>
      <sheetData sheetId="1" refreshError="1"/>
      <sheetData sheetId="2">
        <row r="16">
          <cell r="C16">
            <v>30</v>
          </cell>
        </row>
      </sheetData>
      <sheetData sheetId="3"/>
      <sheetData sheetId="4"/>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H23"/>
  <sheetViews>
    <sheetView tabSelected="1" zoomScale="115" zoomScaleNormal="115" workbookViewId="0"/>
  </sheetViews>
  <sheetFormatPr baseColWidth="10" defaultColWidth="0" defaultRowHeight="15" zeroHeight="1"/>
  <cols>
    <col min="1" max="8" width="11.42578125" style="127" customWidth="1"/>
    <col min="9" max="16384" width="11.42578125" style="127" hidden="1"/>
  </cols>
  <sheetData>
    <row r="1"/>
    <row r="2"/>
    <row r="3"/>
    <row r="4"/>
    <row r="5"/>
    <row r="6"/>
    <row r="7"/>
    <row r="8"/>
    <row r="9"/>
    <row r="10"/>
    <row r="11"/>
    <row r="12"/>
    <row r="13"/>
    <row r="14"/>
    <row r="15"/>
    <row r="16"/>
    <row r="17" spans="8:8"/>
    <row r="18" spans="8:8"/>
    <row r="19" spans="8:8"/>
    <row r="20" spans="8:8"/>
    <row r="21" spans="8:8"/>
    <row r="22" spans="8:8"/>
    <row r="23" spans="8:8">
      <c r="H23" s="173" t="s">
        <v>200</v>
      </c>
    </row>
  </sheetData>
  <sheetProtection algorithmName="SHA-512" hashValue="U1AIoXbypjphd35PetvIKIH8T9eyS9L9ck1c5pY+iUY52Jir5nYd1gYZ4ZvMMhexNieYkgrvgS/94ImM7uWHIw==" saltValue="uEqODXBf/VCUyc+yqJyG9g==" spinCount="100000" sheet="1" objects="1" scenarios="1"/>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ICIO">
                <anchor moveWithCells="1" sizeWithCells="1">
                  <from>
                    <xdr:col>3</xdr:col>
                    <xdr:colOff>19050</xdr:colOff>
                    <xdr:row>14</xdr:row>
                    <xdr:rowOff>28575</xdr:rowOff>
                  </from>
                  <to>
                    <xdr:col>5</xdr:col>
                    <xdr:colOff>152400</xdr:colOff>
                    <xdr:row>17</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A120"/>
  <sheetViews>
    <sheetView showGridLines="0" topLeftCell="A34" zoomScale="80" zoomScaleNormal="80" zoomScaleSheetLayoutView="80" workbookViewId="0">
      <selection activeCell="F20" sqref="F20"/>
    </sheetView>
  </sheetViews>
  <sheetFormatPr baseColWidth="10" defaultColWidth="0" defaultRowHeight="15" zeroHeight="1"/>
  <cols>
    <col min="1" max="1" width="3" style="3" customWidth="1"/>
    <col min="2" max="2" width="30.5703125" style="3" customWidth="1"/>
    <col min="3" max="4" width="16.42578125" style="3" customWidth="1"/>
    <col min="5" max="5" width="18.42578125" style="3" bestFit="1" customWidth="1"/>
    <col min="6" max="6" width="13.42578125" style="3" customWidth="1"/>
    <col min="7" max="7" width="16.42578125" style="3" customWidth="1"/>
    <col min="8" max="8" width="24.7109375" style="3" customWidth="1"/>
    <col min="9" max="9" width="23.42578125" style="3" customWidth="1"/>
    <col min="10" max="10" width="30.5703125" style="3" customWidth="1"/>
    <col min="11" max="11" width="6.5703125" style="3" customWidth="1"/>
    <col min="12" max="16384" width="6.5703125" style="3" hidden="1"/>
  </cols>
  <sheetData>
    <row r="1" spans="1:18"/>
    <row r="2" spans="1:18" ht="27.75" customHeight="1"/>
    <row r="3" spans="1:18" ht="21" customHeight="1" thickBot="1">
      <c r="C3" s="1"/>
      <c r="D3" s="1"/>
      <c r="E3" s="1"/>
      <c r="F3" s="1"/>
      <c r="G3" s="1"/>
      <c r="H3" s="1"/>
      <c r="I3" s="1"/>
      <c r="J3" s="84"/>
      <c r="N3" s="85" t="s">
        <v>32</v>
      </c>
      <c r="O3" s="85" t="s">
        <v>33</v>
      </c>
      <c r="P3" s="85" t="s">
        <v>39</v>
      </c>
    </row>
    <row r="4" spans="1:18" ht="21" customHeight="1" thickTop="1">
      <c r="B4" s="2"/>
      <c r="C4" s="2"/>
      <c r="D4" s="2"/>
      <c r="E4" s="2"/>
      <c r="F4" s="2"/>
      <c r="G4" s="2"/>
      <c r="H4" s="2"/>
      <c r="I4" s="2"/>
      <c r="J4" s="84"/>
      <c r="N4" s="3" t="s">
        <v>19</v>
      </c>
      <c r="O4" s="3" t="s">
        <v>20</v>
      </c>
      <c r="P4" s="3" t="s">
        <v>38</v>
      </c>
    </row>
    <row r="5" spans="1:18" ht="22.5" customHeight="1">
      <c r="F5" s="86"/>
      <c r="N5" s="3" t="s">
        <v>29</v>
      </c>
      <c r="O5" s="3" t="s">
        <v>21</v>
      </c>
      <c r="P5" s="3" t="s">
        <v>14</v>
      </c>
    </row>
    <row r="6" spans="1:18" ht="15" customHeight="1">
      <c r="F6" s="86"/>
      <c r="N6" s="3" t="s">
        <v>30</v>
      </c>
    </row>
    <row r="7" spans="1:18">
      <c r="F7" s="86"/>
      <c r="N7" s="3" t="s">
        <v>31</v>
      </c>
    </row>
    <row r="8" spans="1:18">
      <c r="F8" s="86"/>
    </row>
    <row r="9" spans="1:18">
      <c r="F9" s="86"/>
    </row>
    <row r="10" spans="1:18">
      <c r="F10" s="86"/>
    </row>
    <row r="11" spans="1:18" ht="24.75" customHeight="1">
      <c r="B11" s="317" t="s">
        <v>199</v>
      </c>
      <c r="C11" s="317"/>
      <c r="D11" s="317"/>
      <c r="E11" s="317"/>
      <c r="F11" s="317"/>
      <c r="G11" s="317"/>
      <c r="H11" s="317"/>
      <c r="I11" s="317"/>
      <c r="J11" s="317"/>
    </row>
    <row r="12" spans="1:18" ht="24.75" customHeight="1">
      <c r="A12" s="4"/>
      <c r="B12" s="317"/>
      <c r="C12" s="317"/>
      <c r="D12" s="317"/>
      <c r="E12" s="317"/>
      <c r="F12" s="317"/>
      <c r="G12" s="317"/>
      <c r="H12" s="317"/>
      <c r="I12" s="317"/>
      <c r="J12" s="317"/>
    </row>
    <row r="13" spans="1:18" ht="15.75" thickBot="1">
      <c r="A13" s="4"/>
      <c r="B13" s="128"/>
      <c r="C13" s="128"/>
      <c r="D13" s="128"/>
      <c r="E13" s="128"/>
      <c r="F13" s="128"/>
      <c r="G13" s="128"/>
      <c r="H13" s="128"/>
      <c r="I13" s="128"/>
      <c r="J13" s="128"/>
    </row>
    <row r="14" spans="1:18" ht="20.25" thickBot="1">
      <c r="B14" s="148"/>
      <c r="C14" s="148"/>
      <c r="D14" s="148"/>
      <c r="E14" s="148"/>
      <c r="F14" s="149"/>
      <c r="G14" s="320" t="s">
        <v>134</v>
      </c>
      <c r="H14" s="320"/>
      <c r="I14" s="321">
        <f ca="1">TODAY()</f>
        <v>43971</v>
      </c>
      <c r="J14" s="322"/>
    </row>
    <row r="15" spans="1:18" ht="18.75">
      <c r="B15" s="148"/>
      <c r="C15" s="148"/>
      <c r="D15" s="148"/>
      <c r="E15" s="148"/>
      <c r="F15" s="148"/>
      <c r="G15" s="148"/>
      <c r="H15" s="148"/>
      <c r="I15" s="148"/>
      <c r="J15" s="148"/>
      <c r="R15" s="211">
        <v>43403</v>
      </c>
    </row>
    <row r="16" spans="1:18" ht="20.25" thickBot="1">
      <c r="B16" s="323" t="s">
        <v>97</v>
      </c>
      <c r="C16" s="323"/>
      <c r="D16" s="324" t="s">
        <v>205</v>
      </c>
      <c r="E16" s="324"/>
      <c r="F16" s="324"/>
      <c r="G16" s="324"/>
      <c r="H16" s="324"/>
      <c r="I16" s="324"/>
      <c r="J16" s="324"/>
      <c r="O16" s="3" t="s">
        <v>112</v>
      </c>
      <c r="R16" s="211">
        <v>43830</v>
      </c>
    </row>
    <row r="17" spans="1:21" ht="19.5">
      <c r="B17" s="150"/>
      <c r="C17" s="150"/>
      <c r="D17" s="238"/>
      <c r="E17" s="238"/>
      <c r="F17" s="238"/>
      <c r="G17" s="238"/>
      <c r="H17" s="238"/>
      <c r="I17" s="239"/>
      <c r="J17" s="239"/>
    </row>
    <row r="18" spans="1:21" ht="21" customHeight="1">
      <c r="B18" s="148"/>
      <c r="C18" s="148"/>
      <c r="D18" s="148"/>
      <c r="E18" s="148"/>
      <c r="F18" s="148"/>
      <c r="G18" s="148"/>
      <c r="H18" s="148"/>
      <c r="I18" s="149"/>
      <c r="J18" s="148"/>
      <c r="R18" s="3">
        <f>R16-R15</f>
        <v>427</v>
      </c>
    </row>
    <row r="19" spans="1:21" ht="37.5" customHeight="1" thickBot="1">
      <c r="B19" s="328" t="s">
        <v>128</v>
      </c>
      <c r="C19" s="328"/>
      <c r="D19" s="325">
        <v>81500</v>
      </c>
      <c r="E19" s="326"/>
      <c r="F19" s="148"/>
      <c r="G19" s="148"/>
      <c r="H19" s="148"/>
      <c r="I19" s="234" t="s">
        <v>129</v>
      </c>
      <c r="J19" s="168">
        <f ca="1">COUNTIF($F$37:$F$44,"&gt;=0")</f>
        <v>2</v>
      </c>
    </row>
    <row r="20" spans="1:21" ht="41.25" customHeight="1" thickBot="1">
      <c r="B20" s="235" t="s">
        <v>46</v>
      </c>
      <c r="C20" s="167"/>
      <c r="F20" s="148"/>
      <c r="H20" s="151"/>
      <c r="I20" s="236" t="s">
        <v>104</v>
      </c>
      <c r="J20" s="217">
        <v>44372</v>
      </c>
      <c r="K20" s="87"/>
      <c r="N20" s="89" t="s">
        <v>93</v>
      </c>
      <c r="O20" s="89" t="s">
        <v>204</v>
      </c>
    </row>
    <row r="21" spans="1:21" ht="18.75" customHeight="1" thickBot="1">
      <c r="B21" s="231"/>
      <c r="C21" s="231"/>
      <c r="D21" s="329"/>
      <c r="E21" s="330"/>
      <c r="F21" s="330"/>
      <c r="G21" s="330"/>
      <c r="H21" s="330"/>
      <c r="I21" s="331"/>
      <c r="J21" s="247" t="str">
        <f ca="1">IF(AND(J20-I14&lt;=90,D19&lt;&gt;""),"NO EMITIR MENOS DE 90 DÍAS","")</f>
        <v/>
      </c>
      <c r="N21" s="90" t="s">
        <v>51</v>
      </c>
      <c r="O21" s="91">
        <f>IF(O20="Anual",365,J20-I14)</f>
        <v>365</v>
      </c>
    </row>
    <row r="22" spans="1:21" ht="48.75" customHeight="1" thickBot="1">
      <c r="A22" s="248"/>
      <c r="B22" s="339" t="s">
        <v>56</v>
      </c>
      <c r="C22" s="340"/>
      <c r="D22" s="340"/>
      <c r="E22" s="340"/>
      <c r="F22" s="340"/>
      <c r="G22" s="340"/>
      <c r="H22" s="340"/>
      <c r="I22" s="341"/>
      <c r="J22" s="342"/>
      <c r="S22" s="93"/>
    </row>
    <row r="23" spans="1:21" ht="57.75" customHeight="1">
      <c r="B23" s="352" t="s">
        <v>192</v>
      </c>
      <c r="C23" s="352"/>
      <c r="D23" s="352"/>
      <c r="E23" s="352"/>
      <c r="F23" s="352"/>
      <c r="G23" s="352"/>
      <c r="H23" s="352"/>
      <c r="I23" s="352"/>
      <c r="J23" s="352"/>
      <c r="K23" s="92"/>
      <c r="S23" s="93"/>
    </row>
    <row r="24" spans="1:21" ht="48" customHeight="1">
      <c r="B24" s="330"/>
      <c r="C24" s="330"/>
      <c r="D24" s="330"/>
      <c r="E24" s="330"/>
      <c r="F24" s="330"/>
      <c r="G24" s="330"/>
      <c r="H24" s="330"/>
      <c r="I24" s="330"/>
      <c r="J24" s="330"/>
      <c r="Q24" s="3" t="s">
        <v>94</v>
      </c>
      <c r="S24" s="93"/>
    </row>
    <row r="25" spans="1:21" ht="36" customHeight="1">
      <c r="B25" s="330"/>
      <c r="C25" s="330"/>
      <c r="D25" s="330"/>
      <c r="E25" s="330"/>
      <c r="F25" s="330"/>
      <c r="G25" s="330"/>
      <c r="H25" s="330"/>
      <c r="I25" s="330"/>
      <c r="J25" s="330"/>
    </row>
    <row r="26" spans="1:21" ht="47.25" customHeight="1">
      <c r="B26" s="330"/>
      <c r="C26" s="330"/>
      <c r="D26" s="330"/>
      <c r="E26" s="330"/>
      <c r="F26" s="330"/>
      <c r="G26" s="330"/>
      <c r="H26" s="330"/>
      <c r="I26" s="330"/>
      <c r="J26" s="330"/>
    </row>
    <row r="27" spans="1:21" ht="17.25" customHeight="1">
      <c r="B27" s="343" t="s">
        <v>12</v>
      </c>
      <c r="C27" s="343"/>
      <c r="D27" s="343"/>
      <c r="E27" s="343"/>
      <c r="F27" s="344"/>
      <c r="G27" s="344"/>
      <c r="H27" s="344"/>
      <c r="I27" s="344"/>
      <c r="J27" s="344"/>
    </row>
    <row r="28" spans="1:21" ht="17.25" customHeight="1">
      <c r="B28" s="148"/>
      <c r="C28" s="148"/>
      <c r="D28" s="148"/>
      <c r="E28" s="148"/>
      <c r="F28" s="148"/>
      <c r="G28" s="148"/>
      <c r="H28" s="152"/>
      <c r="I28" s="148"/>
      <c r="J28" s="148"/>
    </row>
    <row r="29" spans="1:21" ht="39.75" hidden="1" customHeight="1" thickBot="1">
      <c r="B29" s="327" t="s">
        <v>130</v>
      </c>
      <c r="C29" s="327"/>
      <c r="D29" s="169" t="s">
        <v>14</v>
      </c>
      <c r="E29" s="153"/>
      <c r="F29" s="349" t="s">
        <v>91</v>
      </c>
      <c r="G29" s="349"/>
      <c r="H29" s="350"/>
      <c r="I29" s="351"/>
      <c r="J29" s="148"/>
    </row>
    <row r="30" spans="1:21" ht="19.5" hidden="1">
      <c r="B30" s="148"/>
      <c r="C30" s="148"/>
      <c r="D30" s="148"/>
      <c r="E30" s="148"/>
      <c r="F30" s="148"/>
      <c r="G30" s="148"/>
      <c r="H30" s="152"/>
      <c r="I30" s="148"/>
      <c r="J30" s="160"/>
    </row>
    <row r="31" spans="1:21" ht="40.5" customHeight="1" thickBot="1">
      <c r="B31" s="348" t="s">
        <v>13</v>
      </c>
      <c r="C31" s="348"/>
      <c r="D31" s="169" t="s">
        <v>14</v>
      </c>
      <c r="E31" s="153"/>
      <c r="F31" s="319" t="s">
        <v>95</v>
      </c>
      <c r="G31" s="319"/>
      <c r="H31" s="318"/>
      <c r="I31" s="318"/>
      <c r="J31" s="160"/>
      <c r="O31" s="345" t="s">
        <v>34</v>
      </c>
      <c r="P31" s="346"/>
      <c r="Q31" s="346"/>
      <c r="R31" s="346"/>
      <c r="S31" s="346"/>
      <c r="T31" s="346"/>
      <c r="U31" s="347"/>
    </row>
    <row r="32" spans="1:21" ht="20.25" thickBot="1">
      <c r="B32" s="148"/>
      <c r="C32" s="148"/>
      <c r="D32" s="148"/>
      <c r="E32" s="148"/>
      <c r="F32" s="148"/>
      <c r="G32" s="148"/>
      <c r="H32" s="148"/>
      <c r="I32" s="150"/>
      <c r="J32" s="160"/>
      <c r="K32" s="94"/>
    </row>
    <row r="33" spans="2:27" ht="43.5" customHeight="1" thickBot="1">
      <c r="B33" s="348" t="s">
        <v>45</v>
      </c>
      <c r="C33" s="348"/>
      <c r="D33" s="169" t="s">
        <v>14</v>
      </c>
      <c r="E33" s="154"/>
      <c r="F33" s="319" t="s">
        <v>95</v>
      </c>
      <c r="G33" s="319"/>
      <c r="H33" s="318"/>
      <c r="I33" s="318"/>
      <c r="J33" s="160"/>
      <c r="K33" s="94"/>
      <c r="O33" s="96" t="s">
        <v>35</v>
      </c>
      <c r="P33" s="314" t="s">
        <v>37</v>
      </c>
      <c r="Q33" s="315"/>
      <c r="R33" s="316"/>
      <c r="S33" s="314" t="s">
        <v>36</v>
      </c>
      <c r="T33" s="315"/>
      <c r="U33" s="316"/>
      <c r="V33" s="314" t="s">
        <v>92</v>
      </c>
      <c r="W33" s="315"/>
      <c r="X33" s="316"/>
    </row>
    <row r="34" spans="2:27" ht="19.5">
      <c r="B34" s="148"/>
      <c r="C34" s="148"/>
      <c r="D34" s="148"/>
      <c r="E34" s="155"/>
      <c r="F34" s="156"/>
      <c r="G34" s="148"/>
      <c r="H34" s="148"/>
      <c r="I34" s="148"/>
      <c r="J34" s="160"/>
      <c r="K34" s="94"/>
      <c r="N34" s="7" t="s">
        <v>15</v>
      </c>
      <c r="O34" s="8" t="s">
        <v>47</v>
      </c>
      <c r="P34" s="6"/>
      <c r="Q34" s="49" t="s">
        <v>40</v>
      </c>
      <c r="R34" s="9" t="s">
        <v>41</v>
      </c>
      <c r="S34" s="49" t="s">
        <v>48</v>
      </c>
      <c r="T34" s="49" t="s">
        <v>40</v>
      </c>
      <c r="U34" s="9" t="s">
        <v>49</v>
      </c>
      <c r="V34" s="49" t="s">
        <v>48</v>
      </c>
      <c r="W34" s="49" t="s">
        <v>40</v>
      </c>
      <c r="X34" s="9" t="s">
        <v>49</v>
      </c>
      <c r="Y34" s="332"/>
      <c r="Z34" s="332"/>
      <c r="AA34" s="97"/>
    </row>
    <row r="35" spans="2:27" ht="18" customHeight="1" thickBot="1">
      <c r="B35" s="255"/>
      <c r="C35" s="255"/>
      <c r="D35" s="255"/>
      <c r="E35" s="255"/>
      <c r="F35" s="255"/>
      <c r="G35" s="256"/>
      <c r="H35" s="255"/>
      <c r="I35" s="255"/>
      <c r="J35" s="160"/>
      <c r="K35" s="95"/>
      <c r="N35" s="98" t="str">
        <f t="shared" ref="N35:N42" si="0">IF(B37&lt;&gt;"",B37,"")</f>
        <v>FRANCISCO</v>
      </c>
      <c r="O35" s="99">
        <f ca="1">IF(F37&lt;&gt;"",VLOOKUP(F37,'Cotizador Basica'!$O$3:$P$103,2,0),0)</f>
        <v>2487.3785536275377</v>
      </c>
      <c r="P35" s="100" t="e">
        <f ca="1">IF(F37&lt;&gt;"",VLOOKUP(F37,'Cotizador Extranjero'!$O$3:$P$103,2,0),0)</f>
        <v>#NUM!</v>
      </c>
      <c r="Q35" s="101">
        <f ca="1">VLOOKUP(F37,'Cotizador Cobertura Ext 2'!$B$7:$C$107,2,FALSE)</f>
        <v>3.2056</v>
      </c>
      <c r="R35" s="78">
        <f t="shared" ref="R35:R42" si="1">IF($D$31="Amparada",P35*(Q35-1),0)</f>
        <v>0</v>
      </c>
      <c r="S35" s="50" t="e">
        <f ca="1">IF(F37&lt;&gt;"",VLOOKUP(F37,'Cotizador EMER'!$O$3:$P$103,2,0),0)</f>
        <v>#NUM!</v>
      </c>
      <c r="T35" s="101" t="e">
        <f ca="1">IF(S35&lt;&gt;0,VLOOKUP(F37,'Cotizador Cobertura EMER'!$B$7:$C$107,2,FALSE),0)</f>
        <v>#NUM!</v>
      </c>
      <c r="U35" s="78">
        <f t="shared" ref="U35:U42" si="2">IF($D$33="Amparada",S35*(T35-1),0)</f>
        <v>0</v>
      </c>
      <c r="V35" s="50"/>
      <c r="W35" s="101"/>
      <c r="X35" s="78"/>
      <c r="Y35" s="333"/>
      <c r="Z35" s="333"/>
      <c r="AA35" s="97"/>
    </row>
    <row r="36" spans="2:27" ht="59.25" thickBot="1">
      <c r="B36" s="257" t="s">
        <v>109</v>
      </c>
      <c r="C36" s="258" t="s">
        <v>111</v>
      </c>
      <c r="D36" s="258" t="s">
        <v>110</v>
      </c>
      <c r="E36" s="259" t="s">
        <v>177</v>
      </c>
      <c r="F36" s="260" t="s">
        <v>16</v>
      </c>
      <c r="G36" s="260" t="s">
        <v>17</v>
      </c>
      <c r="H36" s="259" t="s">
        <v>178</v>
      </c>
      <c r="I36" s="259" t="s">
        <v>102</v>
      </c>
      <c r="J36" s="304" t="s">
        <v>131</v>
      </c>
      <c r="K36" s="95"/>
      <c r="N36" s="98" t="str">
        <f t="shared" si="0"/>
        <v xml:space="preserve">LAURA </v>
      </c>
      <c r="O36" s="99">
        <f ca="1">IF(F38&lt;&gt;"",VLOOKUP(F38,'Cotizador Basica'!$O$3:$P$103,2,0),0)</f>
        <v>2318.0959776416812</v>
      </c>
      <c r="P36" s="100" t="e">
        <f ca="1">IF(F38&lt;&gt;"",VLOOKUP(F38,'Cotizador Extranjero'!$O$3:$P$103,2,0),0)</f>
        <v>#NUM!</v>
      </c>
      <c r="Q36" s="101">
        <f ca="1">VLOOKUP(F38,'Cotizador Cobertura Ext 2'!$B$7:$C$107,2,FALSE)</f>
        <v>3.2056</v>
      </c>
      <c r="R36" s="102">
        <f t="shared" si="1"/>
        <v>0</v>
      </c>
      <c r="S36" s="50" t="e">
        <f ca="1">IF(F38&lt;&gt;"",VLOOKUP(F38,'Cotizador EMER'!$O$3:$P$103,2,0),0)</f>
        <v>#NUM!</v>
      </c>
      <c r="T36" s="101" t="e">
        <f ca="1">IF(S36&lt;&gt;0,VLOOKUP(F38,'Cotizador Cobertura EMER'!$B$7:$C$107,2,FALSE),0)</f>
        <v>#NUM!</v>
      </c>
      <c r="U36" s="11">
        <f t="shared" si="2"/>
        <v>0</v>
      </c>
      <c r="V36" s="50"/>
      <c r="W36" s="101"/>
      <c r="X36" s="11"/>
      <c r="Y36" s="333"/>
      <c r="Z36" s="333"/>
      <c r="AA36" s="97"/>
    </row>
    <row r="37" spans="2:27" ht="18.75">
      <c r="B37" s="261" t="s">
        <v>206</v>
      </c>
      <c r="C37" s="262" t="s">
        <v>207</v>
      </c>
      <c r="D37" s="262" t="s">
        <v>208</v>
      </c>
      <c r="E37" s="263">
        <v>17716</v>
      </c>
      <c r="F37" s="264">
        <f t="shared" ref="F37:F44" ca="1" si="3">+IF(E37&lt;&gt;"",IF(DATEDIF(E37,$I$14,"Y")&gt;74,"NA",DATEDIF(E37,$I$14,"Y")),"")</f>
        <v>71</v>
      </c>
      <c r="G37" s="265" t="s">
        <v>19</v>
      </c>
      <c r="H37" s="266" t="s">
        <v>20</v>
      </c>
      <c r="I37" s="301">
        <f ca="1">IFERROR(IF(F37&lt;&gt;"",O54+R54+U54,""),0)</f>
        <v>5527.5078969500846</v>
      </c>
      <c r="J37" s="305">
        <f ca="1">IFERROR(IF(I37&lt;&gt;"",I37/365*$O$21,""),0)</f>
        <v>5527.5078969500846</v>
      </c>
      <c r="K37" s="95"/>
      <c r="N37" s="98" t="str">
        <f t="shared" si="0"/>
        <v/>
      </c>
      <c r="O37" s="99">
        <f>IF(F39&lt;&gt;"",VLOOKUP(F39,'Cotizador Basica'!$O$3:$P$103,2,0),0)</f>
        <v>0</v>
      </c>
      <c r="P37" s="100">
        <f>IF(F39&lt;&gt;"",VLOOKUP(F39,'Cotizador Extranjero'!$O$3:$P$103,2,0),0)</f>
        <v>0</v>
      </c>
      <c r="Q37" s="101">
        <f>IFERROR(VLOOKUP(F39,'Cotizador Cobertura Ext 2'!$B$7:$C$107,2,FALSE),0)</f>
        <v>0</v>
      </c>
      <c r="R37" s="102">
        <f t="shared" si="1"/>
        <v>0</v>
      </c>
      <c r="S37" s="50">
        <f>IF(F39&lt;&gt;"",VLOOKUP(F39,'Cotizador EMER'!$O$3:$P$103,2,0),0)</f>
        <v>0</v>
      </c>
      <c r="T37" s="101">
        <f>IF(S37&lt;&gt;0,VLOOKUP(F39,'Cotizador Cobertura EMER'!$B$7:$C$107,2,FALSE),0)</f>
        <v>0</v>
      </c>
      <c r="U37" s="11">
        <f t="shared" si="2"/>
        <v>0</v>
      </c>
      <c r="V37" s="50"/>
      <c r="W37" s="101"/>
      <c r="X37" s="11"/>
      <c r="Y37" s="333"/>
      <c r="Z37" s="333"/>
      <c r="AA37" s="97"/>
    </row>
    <row r="38" spans="2:27" ht="18.75">
      <c r="B38" s="267" t="s">
        <v>209</v>
      </c>
      <c r="C38" s="268" t="s">
        <v>210</v>
      </c>
      <c r="D38" s="268" t="s">
        <v>211</v>
      </c>
      <c r="E38" s="269">
        <v>18451</v>
      </c>
      <c r="F38" s="270">
        <f t="shared" ca="1" si="3"/>
        <v>69</v>
      </c>
      <c r="G38" s="271" t="s">
        <v>29</v>
      </c>
      <c r="H38" s="272" t="s">
        <v>21</v>
      </c>
      <c r="I38" s="254">
        <f ca="1">IFERROR(IF(F38&lt;&gt;"",O55+R55+U55,""),0)</f>
        <v>5151.3243947592919</v>
      </c>
      <c r="J38" s="305">
        <f t="shared" ref="J38:J44" ca="1" si="4">IFERROR(IF(I38&lt;&gt;"",I38/365*$O$21,""),0)</f>
        <v>5151.3243947592919</v>
      </c>
      <c r="K38" s="95"/>
      <c r="N38" s="98" t="str">
        <f t="shared" si="0"/>
        <v/>
      </c>
      <c r="O38" s="99">
        <f>IF(F40&lt;&gt;"",VLOOKUP(F40,'Cotizador Basica'!$O$3:$P$103,2,0),0)</f>
        <v>0</v>
      </c>
      <c r="P38" s="100">
        <f>IF(F40&lt;&gt;"",VLOOKUP(F40,'Cotizador Extranjero'!$O$3:$P$103,2,0),0)</f>
        <v>0</v>
      </c>
      <c r="Q38" s="101">
        <f>IFERROR(VLOOKUP(F40,'Cotizador Cobertura Ext 2'!$B$7:$C$107,2,FALSE),0)</f>
        <v>0</v>
      </c>
      <c r="R38" s="102">
        <f t="shared" si="1"/>
        <v>0</v>
      </c>
      <c r="S38" s="50">
        <f>IF(F40&lt;&gt;"",VLOOKUP(F40,'Cotizador EMER'!$O$3:$P$103,2,0),0)</f>
        <v>0</v>
      </c>
      <c r="T38" s="101">
        <f>IF(S38&lt;&gt;0,VLOOKUP(F40,'Cotizador Cobertura EMER'!$B$7:$C$107,2,FALSE),0)</f>
        <v>0</v>
      </c>
      <c r="U38" s="11">
        <f t="shared" si="2"/>
        <v>0</v>
      </c>
      <c r="V38" s="50"/>
      <c r="W38" s="101"/>
      <c r="X38" s="11"/>
      <c r="Y38" s="336"/>
      <c r="Z38" s="336"/>
      <c r="AA38" s="97"/>
    </row>
    <row r="39" spans="2:27" ht="18.75">
      <c r="B39" s="267"/>
      <c r="C39" s="268"/>
      <c r="D39" s="268"/>
      <c r="E39" s="269"/>
      <c r="F39" s="270" t="str">
        <f t="shared" si="3"/>
        <v/>
      </c>
      <c r="G39" s="271"/>
      <c r="H39" s="272"/>
      <c r="I39" s="254" t="str">
        <f t="shared" ref="I39:I44" si="5">IFERROR(IF(F39&lt;&gt;"",O56+R56+U56,""),0)</f>
        <v/>
      </c>
      <c r="J39" s="305" t="str">
        <f t="shared" si="4"/>
        <v/>
      </c>
      <c r="K39" s="95"/>
      <c r="N39" s="98" t="str">
        <f t="shared" si="0"/>
        <v/>
      </c>
      <c r="O39" s="99">
        <f>IF(F41&lt;&gt;"",VLOOKUP(F41,'Cotizador Basica'!$O$3:$P$103,2,0),0)</f>
        <v>0</v>
      </c>
      <c r="P39" s="100">
        <f>IF(F41&lt;&gt;"",VLOOKUP(F41,'Cotizador Extranjero'!$O$3:$P$103,2,0),0)</f>
        <v>0</v>
      </c>
      <c r="Q39" s="101">
        <f>IFERROR(VLOOKUP(F41,'Cotizador Cobertura Ext 2'!$B$7:$C$107,2,FALSE),0)</f>
        <v>0</v>
      </c>
      <c r="R39" s="102">
        <f t="shared" si="1"/>
        <v>0</v>
      </c>
      <c r="S39" s="50">
        <f>IF(F41&lt;&gt;"",VLOOKUP(F41,'Cotizador EMER'!$O$3:$P$103,2,0),0)</f>
        <v>0</v>
      </c>
      <c r="T39" s="101">
        <f>IF(S39&lt;&gt;0,VLOOKUP(F41,'Cotizador Cobertura EMER'!$B$7:$C$107,2,FALSE),0)</f>
        <v>0</v>
      </c>
      <c r="U39" s="11">
        <f t="shared" si="2"/>
        <v>0</v>
      </c>
      <c r="V39" s="50"/>
      <c r="W39" s="101"/>
      <c r="X39" s="11"/>
      <c r="Y39" s="336"/>
      <c r="Z39" s="336"/>
      <c r="AA39" s="97"/>
    </row>
    <row r="40" spans="2:27" ht="18.75">
      <c r="B40" s="267"/>
      <c r="C40" s="268"/>
      <c r="D40" s="268"/>
      <c r="E40" s="269"/>
      <c r="F40" s="270" t="str">
        <f t="shared" si="3"/>
        <v/>
      </c>
      <c r="G40" s="271"/>
      <c r="H40" s="272"/>
      <c r="I40" s="254" t="str">
        <f t="shared" si="5"/>
        <v/>
      </c>
      <c r="J40" s="305" t="str">
        <f t="shared" si="4"/>
        <v/>
      </c>
      <c r="K40" s="95"/>
      <c r="N40" s="98" t="str">
        <f t="shared" si="0"/>
        <v/>
      </c>
      <c r="O40" s="99">
        <f>IF(F42&lt;&gt;"",VLOOKUP(F42,'Cotizador Basica'!$O$3:$P$103,2,0),0)</f>
        <v>0</v>
      </c>
      <c r="P40" s="100">
        <f>IF(F42&lt;&gt;"",VLOOKUP(F42,'Cotizador Extranjero'!$O$3:$P$103,2,0),0)</f>
        <v>0</v>
      </c>
      <c r="Q40" s="101">
        <f>IFERROR(VLOOKUP(F42,'Cotizador Cobertura Ext 2'!$B$7:$C$107,2,FALSE),0)</f>
        <v>0</v>
      </c>
      <c r="R40" s="102">
        <f t="shared" si="1"/>
        <v>0</v>
      </c>
      <c r="S40" s="50">
        <f>IF(F42&lt;&gt;"",VLOOKUP(F42,'Cotizador EMER'!$O$3:$P$103,2,0),0)</f>
        <v>0</v>
      </c>
      <c r="T40" s="101">
        <f>IF(S40&lt;&gt;0,VLOOKUP(F42,'Cotizador Cobertura EMER'!$B$7:$C$107,2,FALSE),0)</f>
        <v>0</v>
      </c>
      <c r="U40" s="11">
        <f t="shared" si="2"/>
        <v>0</v>
      </c>
      <c r="V40" s="50"/>
      <c r="W40" s="101"/>
      <c r="X40" s="11"/>
      <c r="Y40" s="336"/>
      <c r="Z40" s="336"/>
      <c r="AA40" s="97"/>
    </row>
    <row r="41" spans="2:27" ht="18.75">
      <c r="B41" s="267"/>
      <c r="C41" s="268"/>
      <c r="D41" s="268"/>
      <c r="E41" s="269"/>
      <c r="F41" s="270" t="str">
        <f t="shared" si="3"/>
        <v/>
      </c>
      <c r="G41" s="271"/>
      <c r="H41" s="272"/>
      <c r="I41" s="254" t="str">
        <f t="shared" si="5"/>
        <v/>
      </c>
      <c r="J41" s="305" t="str">
        <f t="shared" si="4"/>
        <v/>
      </c>
      <c r="K41" s="95"/>
      <c r="N41" s="98" t="str">
        <f t="shared" si="0"/>
        <v/>
      </c>
      <c r="O41" s="99">
        <f>IF(F43&lt;&gt;"",VLOOKUP(F43,'Cotizador Basica'!$O$3:$P$103,2,0),0)</f>
        <v>0</v>
      </c>
      <c r="P41" s="100">
        <f>IF(F43&lt;&gt;"",VLOOKUP(F43,'Cotizador Extranjero'!$O$3:$P$103,2,0),0)</f>
        <v>0</v>
      </c>
      <c r="Q41" s="101">
        <f>IFERROR(VLOOKUP(F43,'Cotizador Cobertura Ext 2'!$B$7:$C$107,2,FALSE),0)</f>
        <v>0</v>
      </c>
      <c r="R41" s="102">
        <f t="shared" si="1"/>
        <v>0</v>
      </c>
      <c r="S41" s="50">
        <f>IF(F43&lt;&gt;"",VLOOKUP(F43,'Cotizador EMER'!$O$3:$P$103,2,0),0)</f>
        <v>0</v>
      </c>
      <c r="T41" s="101">
        <f>IF(S41&lt;&gt;0,VLOOKUP(F43,'Cotizador Cobertura EMER'!$B$7:$C$107,2,FALSE),0)</f>
        <v>0</v>
      </c>
      <c r="U41" s="11">
        <f t="shared" si="2"/>
        <v>0</v>
      </c>
      <c r="V41" s="50"/>
      <c r="W41" s="101"/>
      <c r="X41" s="11"/>
      <c r="Y41" s="336"/>
      <c r="Z41" s="336"/>
      <c r="AA41" s="97"/>
    </row>
    <row r="42" spans="2:27" ht="18.75">
      <c r="B42" s="267"/>
      <c r="C42" s="268"/>
      <c r="D42" s="268"/>
      <c r="E42" s="269"/>
      <c r="F42" s="270" t="str">
        <f t="shared" si="3"/>
        <v/>
      </c>
      <c r="G42" s="271"/>
      <c r="H42" s="272"/>
      <c r="I42" s="254" t="str">
        <f t="shared" si="5"/>
        <v/>
      </c>
      <c r="J42" s="305" t="str">
        <f t="shared" si="4"/>
        <v/>
      </c>
      <c r="K42" s="95"/>
      <c r="N42" s="98" t="str">
        <f t="shared" si="0"/>
        <v/>
      </c>
      <c r="O42" s="99">
        <f>IF(F44&lt;&gt;"",VLOOKUP(F44,'Cotizador Basica'!$O$3:$P$103,2,0),0)</f>
        <v>0</v>
      </c>
      <c r="P42" s="100">
        <f>IF(F44&lt;&gt;"",VLOOKUP(F44,'Cotizador Extranjero'!$O$3:$P$103,2,0),0)</f>
        <v>0</v>
      </c>
      <c r="Q42" s="101">
        <f>IFERROR(VLOOKUP(F44,'Cotizador Cobertura Ext 2'!$B$7:$C$107,2,FALSE),0)</f>
        <v>0</v>
      </c>
      <c r="R42" s="102">
        <f t="shared" si="1"/>
        <v>0</v>
      </c>
      <c r="S42" s="50">
        <f>IF(F44&lt;&gt;"",VLOOKUP(F44,'Cotizador EMER'!$O$3:$P$103,2,0),0)</f>
        <v>0</v>
      </c>
      <c r="T42" s="101">
        <f>IF(S42&lt;&gt;0,VLOOKUP(F44,'Cotizador Cobertura EMER'!$B$7:$C$107,2,FALSE),0)</f>
        <v>0</v>
      </c>
      <c r="U42" s="11">
        <f t="shared" si="2"/>
        <v>0</v>
      </c>
      <c r="V42" s="50"/>
      <c r="W42" s="101"/>
      <c r="X42" s="11"/>
      <c r="Y42" s="336"/>
      <c r="Z42" s="336"/>
      <c r="AA42" s="97"/>
    </row>
    <row r="43" spans="2:27" ht="19.5" thickBot="1">
      <c r="B43" s="267"/>
      <c r="C43" s="268"/>
      <c r="D43" s="268"/>
      <c r="E43" s="269"/>
      <c r="F43" s="270" t="str">
        <f t="shared" si="3"/>
        <v/>
      </c>
      <c r="G43" s="271"/>
      <c r="H43" s="272"/>
      <c r="I43" s="254" t="str">
        <f t="shared" si="5"/>
        <v/>
      </c>
      <c r="J43" s="306" t="str">
        <f t="shared" si="4"/>
        <v/>
      </c>
      <c r="K43" s="95"/>
      <c r="N43" s="98"/>
      <c r="O43" s="99"/>
      <c r="P43" s="100"/>
      <c r="Q43" s="101"/>
      <c r="R43" s="102"/>
      <c r="S43" s="50"/>
      <c r="T43" s="101"/>
      <c r="U43" s="11"/>
      <c r="V43" s="50"/>
      <c r="W43" s="101"/>
      <c r="X43" s="11"/>
      <c r="Y43" s="83"/>
      <c r="Z43" s="83"/>
      <c r="AA43" s="97"/>
    </row>
    <row r="44" spans="2:27" ht="19.5" thickBot="1">
      <c r="B44" s="273"/>
      <c r="C44" s="274"/>
      <c r="D44" s="274"/>
      <c r="E44" s="275"/>
      <c r="F44" s="276" t="str">
        <f t="shared" si="3"/>
        <v/>
      </c>
      <c r="G44" s="277"/>
      <c r="H44" s="278"/>
      <c r="I44" s="302" t="str">
        <f t="shared" si="5"/>
        <v/>
      </c>
      <c r="J44" s="306" t="str">
        <f t="shared" si="4"/>
        <v/>
      </c>
      <c r="K44" s="95"/>
      <c r="N44" s="12" t="s">
        <v>22</v>
      </c>
      <c r="O44" s="13">
        <f ca="1">SUM(O35:O42)</f>
        <v>4805.4745312692194</v>
      </c>
      <c r="P44" s="12"/>
      <c r="Q44" s="103"/>
      <c r="R44" s="48">
        <f>SUM(R35:R42)</f>
        <v>0</v>
      </c>
      <c r="S44" s="51"/>
      <c r="T44" s="51"/>
      <c r="U44" s="48">
        <f>SUM(U35:U42)</f>
        <v>0</v>
      </c>
      <c r="V44" s="51"/>
      <c r="W44" s="51"/>
      <c r="X44" s="48" t="e">
        <f>Hospitalario!K10</f>
        <v>#N/A</v>
      </c>
      <c r="Y44" s="14"/>
      <c r="Z44" s="14"/>
      <c r="AA44" s="97"/>
    </row>
    <row r="45" spans="2:27" ht="20.25" hidden="1" thickBot="1">
      <c r="B45" s="279" t="str">
        <f>IF(D29="Amparada","Asistencia en el Hogar","")</f>
        <v/>
      </c>
      <c r="C45" s="280"/>
      <c r="D45" s="280"/>
      <c r="E45" s="280"/>
      <c r="F45" s="280"/>
      <c r="G45" s="280"/>
      <c r="H45" s="280"/>
      <c r="I45" s="254" t="str">
        <f>IF(B45&lt;&gt;"",X68,"")</f>
        <v/>
      </c>
      <c r="J45" s="306"/>
      <c r="K45" s="95"/>
      <c r="W45" s="97"/>
      <c r="X45" s="97"/>
      <c r="Y45" s="97"/>
      <c r="Z45" s="97"/>
      <c r="AA45" s="97"/>
    </row>
    <row r="46" spans="2:27" ht="20.25" thickBot="1">
      <c r="B46" s="281" t="s">
        <v>99</v>
      </c>
      <c r="C46" s="282"/>
      <c r="D46" s="282"/>
      <c r="E46" s="282"/>
      <c r="F46" s="282"/>
      <c r="G46" s="282"/>
      <c r="H46" s="282"/>
      <c r="I46" s="303">
        <f ca="1">+SUM(I37:I44)</f>
        <v>10678.832291709376</v>
      </c>
      <c r="J46" s="306">
        <f ca="1">SUM(J37:J44)</f>
        <v>10678.832291709376</v>
      </c>
      <c r="K46" s="95"/>
      <c r="W46" s="97"/>
      <c r="X46" s="97"/>
      <c r="Y46" s="97"/>
      <c r="Z46" s="97"/>
      <c r="AA46" s="97"/>
    </row>
    <row r="47" spans="2:27" ht="19.5" thickBot="1">
      <c r="B47" s="148"/>
      <c r="C47" s="148"/>
      <c r="D47" s="148"/>
      <c r="E47" s="148"/>
      <c r="F47" s="148"/>
      <c r="G47" s="157"/>
      <c r="H47" s="148"/>
      <c r="I47" s="148"/>
      <c r="J47" s="158"/>
      <c r="K47" s="95"/>
      <c r="N47" s="104" t="s">
        <v>44</v>
      </c>
      <c r="O47" s="105">
        <v>7.0000000000000007E-2</v>
      </c>
      <c r="P47" s="106">
        <v>0.28000000000000003</v>
      </c>
    </row>
    <row r="48" spans="2:27" ht="20.25" thickBot="1">
      <c r="B48" s="148"/>
      <c r="C48" s="288"/>
      <c r="D48" s="289"/>
      <c r="E48" s="290"/>
      <c r="F48" s="290"/>
      <c r="G48" s="290"/>
      <c r="H48" s="291" t="s">
        <v>98</v>
      </c>
      <c r="I48" s="159"/>
      <c r="J48" s="159"/>
      <c r="N48" s="3" t="s">
        <v>189</v>
      </c>
      <c r="O48" s="3">
        <v>0.21</v>
      </c>
      <c r="Q48" s="108"/>
    </row>
    <row r="49" spans="1:24" ht="19.5">
      <c r="B49" s="153"/>
      <c r="C49" s="296" t="s">
        <v>99</v>
      </c>
      <c r="D49" s="297"/>
      <c r="E49" s="298"/>
      <c r="F49" s="298"/>
      <c r="G49" s="298"/>
      <c r="H49" s="299">
        <f ca="1">IF($O$20="Anual",$I$46,$J$46)</f>
        <v>10678.832291709376</v>
      </c>
      <c r="I49" s="160"/>
      <c r="J49" s="160"/>
      <c r="N49" s="104" t="s">
        <v>43</v>
      </c>
      <c r="O49" s="105">
        <v>0.27</v>
      </c>
      <c r="P49" s="107">
        <v>0.05</v>
      </c>
    </row>
    <row r="50" spans="1:24" ht="19.5">
      <c r="B50" s="148"/>
      <c r="C50" s="283" t="s">
        <v>23</v>
      </c>
      <c r="D50" s="284"/>
      <c r="E50" s="285"/>
      <c r="F50" s="285"/>
      <c r="G50" s="285"/>
      <c r="H50" s="286">
        <v>0</v>
      </c>
      <c r="I50" s="160"/>
      <c r="J50" s="160"/>
      <c r="O50" s="109">
        <f>SUM(O47:O49)</f>
        <v>0.55000000000000004</v>
      </c>
      <c r="P50" s="109">
        <f>SUM(P47:P49)</f>
        <v>0.33</v>
      </c>
    </row>
    <row r="51" spans="1:24" ht="19.5" thickBot="1">
      <c r="B51" s="153"/>
      <c r="C51" s="287" t="s">
        <v>193</v>
      </c>
      <c r="D51" s="284"/>
      <c r="E51" s="285"/>
      <c r="F51" s="285"/>
      <c r="G51" s="285"/>
      <c r="H51" s="286">
        <v>250</v>
      </c>
      <c r="I51" s="161"/>
      <c r="J51" s="161"/>
      <c r="O51" s="345" t="s">
        <v>42</v>
      </c>
      <c r="P51" s="346"/>
      <c r="Q51" s="346"/>
      <c r="R51" s="346"/>
      <c r="S51" s="346"/>
      <c r="T51" s="346"/>
      <c r="U51" s="347"/>
    </row>
    <row r="52" spans="1:24" ht="19.5" thickBot="1">
      <c r="B52" s="153"/>
      <c r="C52" s="287" t="s">
        <v>24</v>
      </c>
      <c r="D52" s="284"/>
      <c r="E52" s="285"/>
      <c r="F52" s="285"/>
      <c r="G52" s="285"/>
      <c r="H52" s="286">
        <f ca="1">+H49+H50+H51</f>
        <v>10928.832291709376</v>
      </c>
      <c r="I52" s="161"/>
      <c r="J52" s="161"/>
      <c r="O52" s="96" t="s">
        <v>35</v>
      </c>
      <c r="P52" s="314" t="s">
        <v>37</v>
      </c>
      <c r="Q52" s="315"/>
      <c r="R52" s="316"/>
      <c r="S52" s="314" t="s">
        <v>36</v>
      </c>
      <c r="T52" s="315"/>
      <c r="U52" s="316"/>
      <c r="V52" s="314" t="s">
        <v>36</v>
      </c>
      <c r="W52" s="315"/>
      <c r="X52" s="316"/>
    </row>
    <row r="53" spans="1:24" ht="18.75">
      <c r="B53" s="153"/>
      <c r="C53" s="287" t="s">
        <v>25</v>
      </c>
      <c r="D53" s="284"/>
      <c r="E53" s="285"/>
      <c r="F53" s="285"/>
      <c r="G53" s="285"/>
      <c r="H53" s="286">
        <f ca="1">IF(C21="Zona Fronteriza",H52*8%,H52*16%)</f>
        <v>1748.6131666735</v>
      </c>
      <c r="I53" s="161"/>
      <c r="J53" s="161"/>
      <c r="N53" s="7" t="s">
        <v>15</v>
      </c>
      <c r="O53" s="8" t="s">
        <v>50</v>
      </c>
      <c r="P53" s="6" t="s">
        <v>48</v>
      </c>
      <c r="Q53" s="49" t="s">
        <v>40</v>
      </c>
      <c r="R53" s="9" t="s">
        <v>41</v>
      </c>
      <c r="S53" s="49" t="s">
        <v>48</v>
      </c>
      <c r="T53" s="49" t="s">
        <v>40</v>
      </c>
      <c r="U53" s="9" t="s">
        <v>49</v>
      </c>
      <c r="V53" s="49" t="s">
        <v>48</v>
      </c>
      <c r="W53" s="49" t="s">
        <v>40</v>
      </c>
      <c r="X53" s="9" t="s">
        <v>49</v>
      </c>
    </row>
    <row r="54" spans="1:24" ht="21" customHeight="1" thickBot="1">
      <c r="B54" s="153"/>
      <c r="C54" s="292" t="s">
        <v>100</v>
      </c>
      <c r="D54" s="255"/>
      <c r="E54" s="294"/>
      <c r="F54" s="294"/>
      <c r="G54" s="294"/>
      <c r="H54" s="295">
        <f ca="1">H52+H53</f>
        <v>12677.445458382876</v>
      </c>
      <c r="I54" s="160"/>
      <c r="J54" s="160"/>
      <c r="N54" s="98" t="str">
        <f>N35</f>
        <v>FRANCISCO</v>
      </c>
      <c r="O54" s="99">
        <f ca="1">O35/(1-$O$47-$O$48-$O$49)</f>
        <v>5527.5078969500846</v>
      </c>
      <c r="P54" s="110"/>
      <c r="Q54" s="110"/>
      <c r="R54" s="102">
        <f>R35/(1-$O$47-$O$48-$O$49)</f>
        <v>0</v>
      </c>
      <c r="S54" s="110"/>
      <c r="T54" s="110"/>
      <c r="U54" s="11">
        <f>U35/(1-$O$47-$O$48-$O$49)</f>
        <v>0</v>
      </c>
      <c r="V54" s="110"/>
      <c r="W54" s="110"/>
      <c r="X54" s="110"/>
    </row>
    <row r="55" spans="1:24" ht="20.25" thickBot="1">
      <c r="B55" s="153"/>
      <c r="C55" s="292" t="s">
        <v>103</v>
      </c>
      <c r="D55" s="293"/>
      <c r="E55" s="294"/>
      <c r="F55" s="294"/>
      <c r="G55" s="294"/>
      <c r="H55" s="295">
        <f ca="1">+H54</f>
        <v>12677.445458382876</v>
      </c>
      <c r="I55" s="160"/>
      <c r="J55" s="160"/>
      <c r="N55" s="98" t="str">
        <f t="shared" ref="N55:N61" si="6">N36</f>
        <v xml:space="preserve">LAURA </v>
      </c>
      <c r="O55" s="99">
        <f ca="1">O36/(1-$O$47-$O$48-$O$49)</f>
        <v>5151.3243947592919</v>
      </c>
      <c r="P55" s="110"/>
      <c r="Q55" s="110"/>
      <c r="R55" s="102">
        <f>R36/(1-$O$47-$O$48-$O$49)</f>
        <v>0</v>
      </c>
      <c r="S55" s="110"/>
      <c r="T55" s="110"/>
      <c r="U55" s="11">
        <f>U36/(1-$O$47-$O$48-$O$49)</f>
        <v>0</v>
      </c>
      <c r="V55" s="110"/>
      <c r="W55" s="110"/>
      <c r="X55" s="110"/>
    </row>
    <row r="56" spans="1:24" ht="19.5">
      <c r="B56" s="153"/>
      <c r="C56" s="163"/>
      <c r="D56" s="222"/>
      <c r="E56" s="160"/>
      <c r="F56" s="160"/>
      <c r="G56" s="160"/>
      <c r="H56" s="223"/>
      <c r="I56" s="160"/>
      <c r="J56" s="160"/>
      <c r="N56" s="98" t="str">
        <f t="shared" si="6"/>
        <v/>
      </c>
      <c r="O56" s="99">
        <f t="shared" ref="O56:O61" si="7">O37/(1-$O$47-$O$48-$O$49)</f>
        <v>0</v>
      </c>
      <c r="P56" s="110"/>
      <c r="Q56" s="110"/>
      <c r="R56" s="102">
        <f t="shared" ref="R56:R61" si="8">R37/(1-$O$47-$O$48-$O$49)</f>
        <v>0</v>
      </c>
      <c r="S56" s="110"/>
      <c r="T56" s="110"/>
      <c r="U56" s="11">
        <f t="shared" ref="U56:U61" si="9">U37/(1-$O$47-$O$48-$O$49)</f>
        <v>0</v>
      </c>
      <c r="V56" s="110"/>
      <c r="W56" s="110"/>
      <c r="X56" s="110"/>
    </row>
    <row r="57" spans="1:24" ht="19.5">
      <c r="B57" s="233" t="s">
        <v>194</v>
      </c>
      <c r="C57" s="163"/>
      <c r="D57" s="222"/>
      <c r="E57" s="160"/>
      <c r="F57" s="160"/>
      <c r="G57" s="160"/>
      <c r="H57" s="223"/>
      <c r="I57" s="160"/>
      <c r="J57" s="160"/>
      <c r="N57" s="98" t="str">
        <f t="shared" si="6"/>
        <v/>
      </c>
      <c r="O57" s="99">
        <f t="shared" si="7"/>
        <v>0</v>
      </c>
      <c r="P57" s="110"/>
      <c r="Q57" s="110"/>
      <c r="R57" s="102">
        <f t="shared" si="8"/>
        <v>0</v>
      </c>
      <c r="S57" s="110"/>
      <c r="T57" s="110"/>
      <c r="U57" s="11">
        <f t="shared" si="9"/>
        <v>0</v>
      </c>
      <c r="V57" s="110"/>
      <c r="W57" s="110"/>
      <c r="X57" s="110"/>
    </row>
    <row r="58" spans="1:24" ht="19.5">
      <c r="B58" s="246"/>
      <c r="C58" s="240"/>
      <c r="D58" s="241"/>
      <c r="E58" s="242"/>
      <c r="F58" s="242"/>
      <c r="G58" s="242"/>
      <c r="H58" s="253"/>
      <c r="I58" s="242"/>
      <c r="J58" s="242"/>
      <c r="N58" s="98" t="str">
        <f t="shared" si="6"/>
        <v/>
      </c>
      <c r="O58" s="99">
        <f t="shared" si="7"/>
        <v>0</v>
      </c>
      <c r="P58" s="110"/>
      <c r="Q58" s="110"/>
      <c r="R58" s="102">
        <f t="shared" si="8"/>
        <v>0</v>
      </c>
      <c r="S58" s="110"/>
      <c r="T58" s="110"/>
      <c r="U58" s="11">
        <f t="shared" si="9"/>
        <v>0</v>
      </c>
      <c r="V58" s="110"/>
      <c r="W58" s="110"/>
      <c r="X58" s="110"/>
    </row>
    <row r="59" spans="1:24" ht="16.5">
      <c r="A59" s="251"/>
      <c r="B59" s="224" t="s">
        <v>182</v>
      </c>
      <c r="C59" s="225"/>
      <c r="D59" s="226"/>
      <c r="E59" s="226"/>
      <c r="F59" s="226"/>
      <c r="G59" s="226"/>
      <c r="H59" s="227" t="s">
        <v>183</v>
      </c>
      <c r="I59" s="228"/>
      <c r="J59" s="226"/>
      <c r="N59" s="98" t="str">
        <f t="shared" si="6"/>
        <v/>
      </c>
      <c r="O59" s="99">
        <f t="shared" si="7"/>
        <v>0</v>
      </c>
      <c r="P59" s="110"/>
      <c r="Q59" s="110"/>
      <c r="R59" s="102">
        <f t="shared" si="8"/>
        <v>0</v>
      </c>
      <c r="S59" s="110"/>
      <c r="T59" s="110"/>
      <c r="U59" s="11">
        <f t="shared" si="9"/>
        <v>0</v>
      </c>
      <c r="V59" s="110"/>
      <c r="W59" s="110"/>
      <c r="X59" s="110"/>
    </row>
    <row r="60" spans="1:24" ht="16.5">
      <c r="A60" s="251"/>
      <c r="B60" s="224" t="s">
        <v>184</v>
      </c>
      <c r="C60" s="225"/>
      <c r="D60" s="337" t="s">
        <v>185</v>
      </c>
      <c r="E60" s="338"/>
      <c r="F60" s="229"/>
      <c r="G60" s="230"/>
      <c r="H60" s="227" t="s">
        <v>195</v>
      </c>
      <c r="I60" s="228"/>
      <c r="J60" s="300"/>
      <c r="N60" s="98" t="str">
        <f t="shared" si="6"/>
        <v/>
      </c>
      <c r="O60" s="99">
        <f t="shared" si="7"/>
        <v>0</v>
      </c>
      <c r="P60" s="110"/>
      <c r="Q60" s="110"/>
      <c r="R60" s="102">
        <f t="shared" si="8"/>
        <v>0</v>
      </c>
      <c r="S60" s="110"/>
      <c r="T60" s="110"/>
      <c r="U60" s="11">
        <f t="shared" si="9"/>
        <v>0</v>
      </c>
      <c r="V60" s="110"/>
      <c r="W60" s="110"/>
      <c r="X60" s="110"/>
    </row>
    <row r="61" spans="1:24" ht="19.5">
      <c r="A61" s="251"/>
      <c r="B61" s="246"/>
      <c r="C61" s="240"/>
      <c r="D61" s="241"/>
      <c r="E61" s="242"/>
      <c r="F61" s="242"/>
      <c r="G61" s="242"/>
      <c r="H61" s="249" t="s">
        <v>191</v>
      </c>
      <c r="I61" s="252"/>
      <c r="J61" s="242"/>
      <c r="N61" s="98" t="str">
        <f t="shared" si="6"/>
        <v/>
      </c>
      <c r="O61" s="99">
        <f t="shared" si="7"/>
        <v>0</v>
      </c>
      <c r="P61" s="110"/>
      <c r="Q61" s="110"/>
      <c r="R61" s="102">
        <f t="shared" si="8"/>
        <v>0</v>
      </c>
      <c r="S61" s="110"/>
      <c r="T61" s="110"/>
      <c r="U61" s="11">
        <f t="shared" si="9"/>
        <v>0</v>
      </c>
      <c r="V61" s="110"/>
      <c r="W61" s="110"/>
      <c r="X61" s="110"/>
    </row>
    <row r="62" spans="1:24" ht="19.5">
      <c r="A62" s="251"/>
      <c r="B62" s="250" t="s">
        <v>101</v>
      </c>
      <c r="C62" s="240"/>
      <c r="D62" s="243"/>
      <c r="E62" s="244"/>
      <c r="F62" s="244"/>
      <c r="G62" s="244"/>
      <c r="H62" s="245"/>
      <c r="I62" s="246"/>
      <c r="J62" s="246"/>
      <c r="N62" s="98"/>
      <c r="O62" s="99"/>
      <c r="P62" s="110"/>
      <c r="Q62" s="110"/>
      <c r="R62" s="102"/>
      <c r="S62" s="110"/>
      <c r="T62" s="110"/>
      <c r="U62" s="11"/>
      <c r="V62" s="110"/>
      <c r="W62" s="110"/>
      <c r="X62" s="110"/>
    </row>
    <row r="63" spans="1:24" ht="19.5">
      <c r="A63" s="251"/>
      <c r="B63" s="310" t="s">
        <v>96</v>
      </c>
      <c r="C63" s="310"/>
      <c r="D63" s="310"/>
      <c r="E63" s="310"/>
      <c r="F63" s="310"/>
      <c r="G63" s="310"/>
      <c r="H63" s="310"/>
      <c r="I63" s="310"/>
      <c r="J63" s="310"/>
      <c r="K63" s="111"/>
      <c r="N63" s="98"/>
      <c r="O63" s="99"/>
      <c r="P63" s="110"/>
      <c r="Q63" s="110"/>
      <c r="R63" s="102"/>
      <c r="S63" s="110"/>
      <c r="T63" s="110"/>
      <c r="U63" s="11"/>
      <c r="V63" s="110"/>
      <c r="W63" s="110"/>
      <c r="X63" s="110"/>
    </row>
    <row r="64" spans="1:24" ht="19.5">
      <c r="B64" s="311" t="str">
        <f>IF(J18&lt;&gt;"","- La presente propuesta es un indicativo de costos en la cual se consideró un periodo de vigencia del"&amp;" "&amp;TEXT(DAY(I11),"00")&amp;"/"&amp;TEXT(MONTH(I11),"00")&amp;"/"&amp;TEXT(YEAR(I11),"00")&amp;" al "&amp;TEXT(DAY(J18),"00")&amp;"/"&amp;TEXT(MONTH(J18),"00")&amp;"/"&amp;TEXT(YEAR(J18),"00")&amp;".","- Esta cotización es vigente por treinta (30) días naturales a partir de la fecha de cotización.")</f>
        <v>- Esta cotización es vigente por treinta (30) días naturales a partir de la fecha de cotización.</v>
      </c>
      <c r="C64" s="311"/>
      <c r="D64" s="311"/>
      <c r="E64" s="311"/>
      <c r="F64" s="311"/>
      <c r="G64" s="311"/>
      <c r="H64" s="311"/>
      <c r="I64" s="311"/>
      <c r="J64" s="311"/>
      <c r="K64" s="111"/>
      <c r="N64" s="98"/>
      <c r="O64" s="99"/>
      <c r="P64" s="110"/>
      <c r="Q64" s="110"/>
      <c r="R64" s="102"/>
      <c r="S64" s="110"/>
      <c r="T64" s="110"/>
      <c r="U64" s="11"/>
      <c r="V64" s="110"/>
      <c r="W64" s="110"/>
      <c r="X64" s="110"/>
    </row>
    <row r="65" spans="2:24" ht="19.5">
      <c r="B65" s="334" t="s">
        <v>201</v>
      </c>
      <c r="C65" s="335"/>
      <c r="D65" s="335"/>
      <c r="E65" s="335"/>
      <c r="F65" s="335"/>
      <c r="G65" s="335"/>
      <c r="H65" s="335"/>
      <c r="I65" s="335"/>
      <c r="J65" s="335"/>
      <c r="K65" s="111"/>
      <c r="N65" s="98"/>
      <c r="O65" s="99"/>
      <c r="P65" s="110"/>
      <c r="Q65" s="110"/>
      <c r="R65" s="102"/>
      <c r="S65" s="110"/>
      <c r="T65" s="110"/>
      <c r="U65" s="11"/>
      <c r="V65" s="110"/>
      <c r="W65" s="110"/>
      <c r="X65" s="110"/>
    </row>
    <row r="66" spans="2:24" ht="19.5">
      <c r="B66" s="312" t="s">
        <v>203</v>
      </c>
      <c r="C66" s="313"/>
      <c r="D66" s="313"/>
      <c r="E66" s="313"/>
      <c r="F66" s="313"/>
      <c r="G66" s="313"/>
      <c r="H66" s="313"/>
      <c r="I66" s="313"/>
      <c r="J66" s="313"/>
      <c r="K66" s="111"/>
      <c r="N66" s="98"/>
      <c r="O66" s="99"/>
      <c r="P66" s="110"/>
      <c r="Q66" s="110"/>
      <c r="R66" s="102"/>
      <c r="S66" s="110"/>
      <c r="T66" s="110"/>
      <c r="U66" s="11"/>
      <c r="V66" s="110"/>
      <c r="W66" s="110"/>
      <c r="X66" s="110"/>
    </row>
    <row r="67" spans="2:24" ht="11.25" customHeight="1" thickBot="1">
      <c r="B67" s="308" t="s">
        <v>202</v>
      </c>
      <c r="C67" s="308"/>
      <c r="D67" s="148"/>
      <c r="E67" s="308" t="s">
        <v>202</v>
      </c>
      <c r="F67" s="308"/>
      <c r="G67" s="308"/>
      <c r="H67" s="148"/>
      <c r="I67" s="308" t="s">
        <v>202</v>
      </c>
      <c r="J67" s="308"/>
      <c r="K67" s="111"/>
      <c r="N67" s="98"/>
      <c r="O67" s="99"/>
      <c r="P67" s="110"/>
      <c r="Q67" s="110"/>
      <c r="R67" s="102"/>
      <c r="S67" s="113"/>
      <c r="T67" s="113"/>
      <c r="U67" s="11"/>
      <c r="V67" s="113"/>
      <c r="W67" s="113"/>
      <c r="X67" s="113"/>
    </row>
    <row r="68" spans="2:24" ht="12.75" customHeight="1" thickBot="1">
      <c r="B68" s="309"/>
      <c r="C68" s="309"/>
      <c r="D68" s="148"/>
      <c r="E68" s="309"/>
      <c r="F68" s="309"/>
      <c r="G68" s="309"/>
      <c r="H68" s="148"/>
      <c r="I68" s="309"/>
      <c r="J68" s="309"/>
      <c r="K68" s="111"/>
      <c r="N68" s="12" t="s">
        <v>22</v>
      </c>
      <c r="O68" s="13">
        <f ca="1">SUM(O54:O67)</f>
        <v>10678.832291709376</v>
      </c>
      <c r="P68" s="12"/>
      <c r="Q68" s="103"/>
      <c r="R68" s="48">
        <f>SUM(R54:R67)</f>
        <v>0</v>
      </c>
      <c r="S68" s="51"/>
      <c r="T68" s="51"/>
      <c r="U68" s="48">
        <f>SUM(U54:U67)</f>
        <v>0</v>
      </c>
      <c r="V68" s="51"/>
      <c r="W68" s="51"/>
      <c r="X68" s="48" t="e">
        <f>X44/(1-$O$47-#REF!-$O$49)</f>
        <v>#N/A</v>
      </c>
    </row>
    <row r="69" spans="2:24" ht="20.25" thickTop="1">
      <c r="B69" s="237" t="s">
        <v>26</v>
      </c>
      <c r="C69" s="162"/>
      <c r="D69" s="164"/>
      <c r="E69" s="307" t="s">
        <v>27</v>
      </c>
      <c r="F69" s="307"/>
      <c r="G69" s="307"/>
      <c r="H69" s="148"/>
      <c r="I69" s="237" t="s">
        <v>28</v>
      </c>
      <c r="J69" s="162"/>
      <c r="K69" s="111"/>
    </row>
    <row r="70" spans="2:24" ht="12.75" customHeight="1">
      <c r="B70" s="165" t="s">
        <v>107</v>
      </c>
      <c r="C70" s="165"/>
      <c r="D70" s="165"/>
      <c r="E70" s="165" t="s">
        <v>107</v>
      </c>
      <c r="F70" s="165"/>
      <c r="G70" s="165"/>
      <c r="H70" s="165"/>
      <c r="I70" s="165" t="s">
        <v>107</v>
      </c>
      <c r="J70" s="166"/>
      <c r="K70" s="111"/>
    </row>
    <row r="71" spans="2:24" ht="2.25" customHeight="1">
      <c r="K71" s="111"/>
    </row>
    <row r="72" spans="2:24" ht="9" hidden="1" customHeight="1">
      <c r="J72" s="53" t="s">
        <v>108</v>
      </c>
      <c r="K72" s="111"/>
    </row>
    <row r="73" spans="2:24" ht="15" hidden="1" customHeight="1"/>
    <row r="74" spans="2:24" hidden="1">
      <c r="K74" s="88"/>
    </row>
    <row r="75" spans="2:24" hidden="1">
      <c r="K75" s="112"/>
    </row>
    <row r="76" spans="2:24" hidden="1"/>
    <row r="77" spans="2:24" hidden="1"/>
    <row r="78" spans="2:24" ht="15" hidden="1" customHeight="1"/>
    <row r="79" spans="2:24" ht="15" hidden="1" customHeight="1">
      <c r="E79" s="52"/>
    </row>
    <row r="80" spans="2:24"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7.5" hidden="1" customHeight="1"/>
    <row r="109" hidden="1"/>
    <row r="110" hidden="1"/>
    <row r="111" hidden="1"/>
    <row r="112"/>
    <row r="113"/>
    <row r="114"/>
    <row r="115"/>
    <row r="116"/>
    <row r="117"/>
    <row r="118"/>
    <row r="119"/>
    <row r="120"/>
  </sheetData>
  <sheetProtection algorithmName="SHA-512" hashValue="1SCdGL3YbBF0QPyOVrt2mFyH7QV04laEIdd08iZwIs7GUbtIRQA9zfSslT8LRNYTGTUIDufdFO0KlEDOhpNoDw==" saltValue="dPo/LG+93BYajcO23FJRrQ==" spinCount="100000" sheet="1" objects="1" scenarios="1"/>
  <protectedRanges>
    <protectedRange sqref="D21:I21" name="Rango2"/>
    <protectedRange sqref="J20:J21" name="Rango1"/>
  </protectedRanges>
  <mergeCells count="46">
    <mergeCell ref="B22:J22"/>
    <mergeCell ref="B27:J27"/>
    <mergeCell ref="O31:U31"/>
    <mergeCell ref="O51:U51"/>
    <mergeCell ref="B31:C31"/>
    <mergeCell ref="F31:G31"/>
    <mergeCell ref="B33:C33"/>
    <mergeCell ref="F29:G29"/>
    <mergeCell ref="H29:I29"/>
    <mergeCell ref="B23:J26"/>
    <mergeCell ref="Y34:Z34"/>
    <mergeCell ref="Y35:Z35"/>
    <mergeCell ref="Y36:Z36"/>
    <mergeCell ref="B65:J65"/>
    <mergeCell ref="Y40:Z40"/>
    <mergeCell ref="Y41:Z41"/>
    <mergeCell ref="Y42:Z42"/>
    <mergeCell ref="Y37:Z37"/>
    <mergeCell ref="Y38:Z38"/>
    <mergeCell ref="Y39:Z39"/>
    <mergeCell ref="P52:R52"/>
    <mergeCell ref="S52:U52"/>
    <mergeCell ref="D60:E60"/>
    <mergeCell ref="V33:X33"/>
    <mergeCell ref="V52:X52"/>
    <mergeCell ref="B11:J12"/>
    <mergeCell ref="H31:I31"/>
    <mergeCell ref="F33:G33"/>
    <mergeCell ref="H33:I33"/>
    <mergeCell ref="G14:H14"/>
    <mergeCell ref="I14:J14"/>
    <mergeCell ref="B16:C16"/>
    <mergeCell ref="D16:J16"/>
    <mergeCell ref="D19:E19"/>
    <mergeCell ref="B29:C29"/>
    <mergeCell ref="B19:C19"/>
    <mergeCell ref="P33:R33"/>
    <mergeCell ref="S33:U33"/>
    <mergeCell ref="D21:I21"/>
    <mergeCell ref="E69:G69"/>
    <mergeCell ref="I67:J68"/>
    <mergeCell ref="B63:J63"/>
    <mergeCell ref="B64:J64"/>
    <mergeCell ref="B67:C68"/>
    <mergeCell ref="E67:G68"/>
    <mergeCell ref="B66:J66"/>
  </mergeCells>
  <dataValidations count="8">
    <dataValidation type="list" allowBlank="1" showInputMessage="1" showErrorMessage="1" sqref="G37:G44">
      <formula1>$N$4:$N$7</formula1>
    </dataValidation>
    <dataValidation type="list" allowBlank="1" showInputMessage="1" showErrorMessage="1" sqref="D31 D33 D29">
      <formula1>$P$4:$P$5</formula1>
    </dataValidation>
    <dataValidation type="list" allowBlank="1" showInputMessage="1" showErrorMessage="1" sqref="H37:H44">
      <formula1>$O$4:$O$5</formula1>
    </dataValidation>
    <dataValidation type="whole" operator="lessThanOrEqual" allowBlank="1" showInputMessage="1" showErrorMessage="1" error="El deducible máximo es de $250,000" sqref="H33:I33 H31:I31">
      <formula1>250000</formula1>
    </dataValidation>
    <dataValidation type="whole" allowBlank="1" showInputMessage="1" showErrorMessage="1" errorTitle="Edad de Aceptación" error="La edad está fuera del rango permitido" sqref="F45">
      <formula1>0</formula1>
      <formula2>74</formula2>
    </dataValidation>
    <dataValidation type="whole" allowBlank="1" showInputMessage="1" showErrorMessage="1" error="El deducible máximo es de $250,000" sqref="D19:E19">
      <formula1>3000</formula1>
      <formula2>250000</formula2>
    </dataValidation>
    <dataValidation allowBlank="1" showInputMessage="1" showErrorMessage="1" errorTitle="Edad de Aceptación" error="La edad está fuera del rango permitido" sqref="F37:F44"/>
    <dataValidation type="list" allowBlank="1" showInputMessage="1" showErrorMessage="1" sqref="C60">
      <formula1>"ANUAL"</formula1>
    </dataValidation>
  </dataValidations>
  <printOptions horizontalCentered="1"/>
  <pageMargins left="0.70866141732283472" right="0.70866141732283472" top="0.35433070866141736" bottom="0.35433070866141736" header="0.31496062992125984" footer="0.31496062992125984"/>
  <pageSetup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Nueva_Cotizacion">
                <anchor moveWithCells="1" sizeWithCells="1">
                  <from>
                    <xdr:col>4</xdr:col>
                    <xdr:colOff>323850</xdr:colOff>
                    <xdr:row>1</xdr:row>
                    <xdr:rowOff>352425</xdr:rowOff>
                  </from>
                  <to>
                    <xdr:col>5</xdr:col>
                    <xdr:colOff>504825</xdr:colOff>
                    <xdr:row>3</xdr:row>
                    <xdr:rowOff>85725</xdr:rowOff>
                  </to>
                </anchor>
              </controlPr>
            </control>
          </mc:Choice>
        </mc:AlternateContent>
        <mc:AlternateContent xmlns:mc="http://schemas.openxmlformats.org/markup-compatibility/2006">
          <mc:Choice Requires="x14">
            <control shapeId="1039" r:id="rId5" name="Option Button 15">
              <controlPr locked="0" defaultSize="0" print="0" autoFill="0" autoLine="0" autoPict="0" macro="[0]!Prima_Anual">
                <anchor moveWithCells="1">
                  <from>
                    <xdr:col>1</xdr:col>
                    <xdr:colOff>19050</xdr:colOff>
                    <xdr:row>5</xdr:row>
                    <xdr:rowOff>123825</xdr:rowOff>
                  </from>
                  <to>
                    <xdr:col>1</xdr:col>
                    <xdr:colOff>1514475</xdr:colOff>
                    <xdr:row>7</xdr:row>
                    <xdr:rowOff>133350</xdr:rowOff>
                  </to>
                </anchor>
              </controlPr>
            </control>
          </mc:Choice>
        </mc:AlternateContent>
        <mc:AlternateContent xmlns:mc="http://schemas.openxmlformats.org/markup-compatibility/2006">
          <mc:Choice Requires="x14">
            <control shapeId="1040" r:id="rId6" name="Option Button 16">
              <controlPr locked="0" defaultSize="0" print="0" autoFill="0" autoLine="0" autoPict="0" macro="[0]!Prima_Prorrateada">
                <anchor moveWithCells="1">
                  <from>
                    <xdr:col>1</xdr:col>
                    <xdr:colOff>1409700</xdr:colOff>
                    <xdr:row>5</xdr:row>
                    <xdr:rowOff>104775</xdr:rowOff>
                  </from>
                  <to>
                    <xdr:col>2</xdr:col>
                    <xdr:colOff>1076325</xdr:colOff>
                    <xdr:row>7</xdr:row>
                    <xdr:rowOff>171450</xdr:rowOff>
                  </to>
                </anchor>
              </controlPr>
            </control>
          </mc:Choice>
        </mc:AlternateContent>
        <mc:AlternateContent xmlns:mc="http://schemas.openxmlformats.org/markup-compatibility/2006">
          <mc:Choice Requires="x14">
            <control shapeId="1043" r:id="rId7" name="Botón 13">
              <controlPr defaultSize="0" print="0" autoFill="0" autoPict="0" macro="[0]!Parametros">
                <anchor moveWithCells="1" sizeWithCells="1">
                  <from>
                    <xdr:col>3</xdr:col>
                    <xdr:colOff>923925</xdr:colOff>
                    <xdr:row>55</xdr:row>
                    <xdr:rowOff>123825</xdr:rowOff>
                  </from>
                  <to>
                    <xdr:col>4</xdr:col>
                    <xdr:colOff>1219200</xdr:colOff>
                    <xdr:row>56</xdr:row>
                    <xdr:rowOff>180975</xdr:rowOff>
                  </to>
                </anchor>
              </controlPr>
            </control>
          </mc:Choice>
        </mc:AlternateContent>
        <mc:AlternateContent xmlns:mc="http://schemas.openxmlformats.org/markup-compatibility/2006">
          <mc:Choice Requires="x14">
            <control shapeId="1044" r:id="rId8" name="Botón 22">
              <controlPr defaultSize="0" print="0" autoFill="0" autoPict="0" macro="[0]!PDF">
                <anchor moveWithCells="1" sizeWithCells="1">
                  <from>
                    <xdr:col>5</xdr:col>
                    <xdr:colOff>790575</xdr:colOff>
                    <xdr:row>1</xdr:row>
                    <xdr:rowOff>342900</xdr:rowOff>
                  </from>
                  <to>
                    <xdr:col>7</xdr:col>
                    <xdr:colOff>542925</xdr:colOff>
                    <xdr:row>3</xdr:row>
                    <xdr:rowOff>57150</xdr:rowOff>
                  </to>
                </anchor>
              </controlPr>
            </control>
          </mc:Choice>
        </mc:AlternateContent>
        <mc:AlternateContent xmlns:mc="http://schemas.openxmlformats.org/markup-compatibility/2006">
          <mc:Choice Requires="x14">
            <control shapeId="1045" r:id="rId9" name="Botón 25">
              <controlPr defaultSize="0" print="0" autoFill="0" autoPict="0" macro="[0]!agente">
                <anchor moveWithCells="1" sizeWithCells="1">
                  <from>
                    <xdr:col>2</xdr:col>
                    <xdr:colOff>28575</xdr:colOff>
                    <xdr:row>55</xdr:row>
                    <xdr:rowOff>123825</xdr:rowOff>
                  </from>
                  <to>
                    <xdr:col>3</xdr:col>
                    <xdr:colOff>676275</xdr:colOff>
                    <xdr:row>56</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lessThanOrEqual" allowBlank="1" showInputMessage="1" showErrorMessage="1" error="El deducible máximo es de $250,000">
          <x14:formula1>
            <xm:f>Hospitalario!$A$2:$A$51</xm:f>
          </x14:formula1>
          <xm:sqref>H29:I29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B3:C4"/>
  <sheetViews>
    <sheetView workbookViewId="0">
      <selection activeCell="B7" sqref="B7"/>
    </sheetView>
  </sheetViews>
  <sheetFormatPr baseColWidth="10" defaultColWidth="11.42578125" defaultRowHeight="15"/>
  <cols>
    <col min="2" max="2" width="42" customWidth="1"/>
    <col min="3" max="3" width="51" customWidth="1"/>
  </cols>
  <sheetData>
    <row r="3" spans="2:3" ht="225">
      <c r="B3" t="s">
        <v>179</v>
      </c>
      <c r="C3" s="221" t="s">
        <v>181</v>
      </c>
    </row>
    <row r="4" spans="2:3">
      <c r="B4"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Q31"/>
  <sheetViews>
    <sheetView showGridLines="0" topLeftCell="A10" zoomScale="90" zoomScaleNormal="90" workbookViewId="0">
      <selection activeCell="C7" sqref="C7"/>
    </sheetView>
  </sheetViews>
  <sheetFormatPr baseColWidth="10" defaultColWidth="0" defaultRowHeight="15"/>
  <cols>
    <col min="1" max="7" width="22.85546875" style="130" customWidth="1"/>
    <col min="8" max="9" width="0" style="130" hidden="1" customWidth="1"/>
    <col min="10" max="16384" width="11.42578125" style="130" hidden="1"/>
  </cols>
  <sheetData>
    <row r="1" spans="1:17">
      <c r="A1" s="129"/>
      <c r="B1" s="129"/>
      <c r="C1" s="129"/>
      <c r="D1" s="129"/>
      <c r="E1" s="129"/>
      <c r="F1" s="129"/>
      <c r="G1" s="129"/>
    </row>
    <row r="2" spans="1:17">
      <c r="A2" s="129"/>
      <c r="B2" s="129"/>
      <c r="C2" s="129"/>
      <c r="D2" s="129"/>
      <c r="E2" s="129"/>
      <c r="F2" s="129"/>
      <c r="G2" s="129"/>
      <c r="O2" s="147"/>
      <c r="P2" s="147"/>
      <c r="Q2" s="147"/>
    </row>
    <row r="3" spans="1:17">
      <c r="A3" s="129"/>
      <c r="B3" s="129"/>
      <c r="C3" s="129"/>
      <c r="D3" s="129"/>
      <c r="E3" s="129"/>
      <c r="F3" s="129"/>
      <c r="G3" s="129"/>
      <c r="O3" s="147"/>
      <c r="P3" s="147"/>
      <c r="Q3" s="147"/>
    </row>
    <row r="4" spans="1:17">
      <c r="A4" s="129"/>
      <c r="B4" s="129"/>
      <c r="C4" s="129"/>
      <c r="D4" s="129"/>
      <c r="E4" s="129"/>
      <c r="F4" s="129"/>
      <c r="G4" s="129"/>
      <c r="O4" s="147"/>
      <c r="P4" s="147"/>
      <c r="Q4" s="147"/>
    </row>
    <row r="5" spans="1:17">
      <c r="A5" s="129"/>
      <c r="B5" s="129"/>
      <c r="C5" s="129"/>
      <c r="D5" s="129"/>
      <c r="E5" s="129"/>
      <c r="F5" s="129"/>
      <c r="G5" s="129"/>
      <c r="O5" s="147"/>
      <c r="P5" s="147"/>
      <c r="Q5" s="147"/>
    </row>
    <row r="6" spans="1:17" ht="16.5">
      <c r="A6" s="131" t="s">
        <v>113</v>
      </c>
      <c r="B6" s="131" t="s">
        <v>114</v>
      </c>
      <c r="C6" s="131" t="s">
        <v>198</v>
      </c>
      <c r="D6" s="131" t="s">
        <v>15</v>
      </c>
      <c r="E6" s="131" t="s">
        <v>115</v>
      </c>
      <c r="F6" s="131" t="s">
        <v>116</v>
      </c>
      <c r="O6" s="147"/>
      <c r="P6" s="147"/>
      <c r="Q6" s="147"/>
    </row>
    <row r="7" spans="1:17">
      <c r="A7" s="132">
        <v>101</v>
      </c>
      <c r="B7" s="132" t="s">
        <v>135</v>
      </c>
      <c r="C7" s="132" t="s">
        <v>176</v>
      </c>
      <c r="D7" s="132" t="s">
        <v>186</v>
      </c>
      <c r="E7" s="132" t="s">
        <v>187</v>
      </c>
      <c r="F7" s="132" t="s">
        <v>188</v>
      </c>
      <c r="O7" s="147"/>
      <c r="P7" s="147"/>
      <c r="Q7" s="147"/>
    </row>
    <row r="8" spans="1:17">
      <c r="A8" s="133"/>
      <c r="B8" s="133"/>
      <c r="C8" s="133"/>
      <c r="D8" s="133"/>
      <c r="E8" s="133"/>
      <c r="F8" s="133"/>
      <c r="O8" s="147"/>
      <c r="P8" s="147"/>
      <c r="Q8" s="147"/>
    </row>
    <row r="9" spans="1:17">
      <c r="A9" s="133"/>
      <c r="B9" s="133"/>
      <c r="C9" s="133"/>
      <c r="D9" s="133"/>
      <c r="E9" s="133"/>
      <c r="F9" s="133"/>
      <c r="O9" s="147"/>
      <c r="P9" s="147"/>
      <c r="Q9" s="147"/>
    </row>
    <row r="10" spans="1:17">
      <c r="A10" s="133"/>
      <c r="B10" s="133"/>
      <c r="C10" s="133"/>
      <c r="D10" s="133"/>
      <c r="E10" s="133"/>
      <c r="F10" s="133"/>
      <c r="O10" s="147"/>
      <c r="P10" s="147"/>
      <c r="Q10" s="147"/>
    </row>
    <row r="11" spans="1:17">
      <c r="A11" s="133"/>
      <c r="B11" s="133"/>
      <c r="C11" s="133"/>
      <c r="D11" s="133"/>
      <c r="E11" s="133"/>
      <c r="F11" s="133"/>
    </row>
    <row r="12" spans="1:17">
      <c r="A12" s="133"/>
      <c r="B12" s="133"/>
      <c r="C12" s="133"/>
      <c r="D12" s="133"/>
      <c r="E12" s="133"/>
      <c r="F12" s="133"/>
    </row>
    <row r="13" spans="1:17">
      <c r="A13" s="133"/>
      <c r="B13" s="133"/>
      <c r="C13" s="133"/>
      <c r="D13" s="133"/>
      <c r="E13" s="133"/>
      <c r="F13" s="133"/>
    </row>
    <row r="14" spans="1:17">
      <c r="A14" s="133"/>
      <c r="B14" s="133"/>
      <c r="C14" s="133"/>
      <c r="D14" s="133"/>
      <c r="E14" s="133"/>
      <c r="F14" s="133"/>
    </row>
    <row r="15" spans="1:17">
      <c r="A15" s="133"/>
      <c r="B15" s="133"/>
      <c r="C15" s="133"/>
      <c r="D15" s="133"/>
      <c r="E15" s="133"/>
      <c r="F15" s="133"/>
    </row>
    <row r="16" spans="1:17">
      <c r="A16" s="133"/>
      <c r="B16" s="133"/>
      <c r="C16" s="133"/>
      <c r="D16" s="133"/>
      <c r="E16" s="133"/>
      <c r="F16" s="133"/>
    </row>
    <row r="17" spans="1:6">
      <c r="A17" s="133"/>
      <c r="B17" s="133"/>
      <c r="C17" s="133"/>
      <c r="D17" s="133"/>
      <c r="E17" s="133"/>
      <c r="F17" s="133"/>
    </row>
    <row r="18" spans="1:6">
      <c r="A18" s="133"/>
      <c r="B18" s="133"/>
      <c r="C18" s="133"/>
      <c r="D18" s="133"/>
      <c r="E18" s="133"/>
      <c r="F18" s="133"/>
    </row>
    <row r="19" spans="1:6">
      <c r="A19" s="133"/>
      <c r="B19" s="133"/>
      <c r="C19" s="133"/>
      <c r="D19" s="133"/>
      <c r="E19" s="133"/>
      <c r="F19" s="133"/>
    </row>
    <row r="20" spans="1:6">
      <c r="A20" s="133"/>
      <c r="B20" s="133"/>
      <c r="C20" s="133"/>
      <c r="D20" s="133"/>
      <c r="E20" s="133"/>
      <c r="F20" s="133"/>
    </row>
    <row r="21" spans="1:6">
      <c r="A21" s="133"/>
      <c r="B21" s="133"/>
      <c r="C21" s="133"/>
      <c r="D21" s="133"/>
      <c r="E21" s="133"/>
      <c r="F21" s="133"/>
    </row>
    <row r="22" spans="1:6">
      <c r="A22" s="133"/>
      <c r="B22" s="133"/>
      <c r="C22" s="133"/>
      <c r="D22" s="133"/>
      <c r="E22" s="133"/>
      <c r="F22" s="133"/>
    </row>
    <row r="23" spans="1:6">
      <c r="A23" s="133"/>
      <c r="B23" s="133"/>
      <c r="C23" s="133"/>
      <c r="D23" s="133"/>
      <c r="E23" s="133"/>
      <c r="F23" s="133"/>
    </row>
    <row r="24" spans="1:6">
      <c r="A24" s="133"/>
      <c r="B24" s="133"/>
      <c r="C24" s="133"/>
      <c r="D24" s="133"/>
      <c r="E24" s="133"/>
      <c r="F24" s="133"/>
    </row>
    <row r="25" spans="1:6">
      <c r="A25" s="133"/>
      <c r="B25" s="133"/>
      <c r="C25" s="133"/>
      <c r="D25" s="133"/>
      <c r="E25" s="133"/>
      <c r="F25" s="133"/>
    </row>
    <row r="26" spans="1:6">
      <c r="A26" s="133"/>
      <c r="B26" s="133"/>
      <c r="C26" s="133"/>
      <c r="D26" s="133"/>
      <c r="E26" s="133"/>
      <c r="F26" s="133"/>
    </row>
    <row r="27" spans="1:6">
      <c r="A27" s="133"/>
      <c r="B27" s="133"/>
      <c r="C27" s="133"/>
      <c r="D27" s="133"/>
      <c r="E27" s="133"/>
      <c r="F27" s="133"/>
    </row>
    <row r="28" spans="1:6">
      <c r="A28" s="133"/>
      <c r="B28" s="133"/>
      <c r="C28" s="133"/>
      <c r="D28" s="133"/>
      <c r="E28" s="133"/>
      <c r="F28" s="133"/>
    </row>
    <row r="29" spans="1:6">
      <c r="A29" s="133"/>
      <c r="B29" s="133"/>
      <c r="C29" s="133"/>
      <c r="D29" s="133"/>
      <c r="E29" s="133"/>
      <c r="F29" s="133"/>
    </row>
    <row r="30" spans="1:6">
      <c r="A30" s="133"/>
      <c r="B30" s="133"/>
      <c r="C30" s="133"/>
      <c r="D30" s="133"/>
      <c r="E30" s="133"/>
      <c r="F30" s="133"/>
    </row>
    <row r="31" spans="1:6">
      <c r="A31" s="133"/>
      <c r="B31" s="133"/>
      <c r="C31" s="133"/>
      <c r="D31" s="133"/>
      <c r="E31" s="133"/>
      <c r="F31" s="1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N77"/>
  <sheetViews>
    <sheetView showGridLines="0" topLeftCell="A28" zoomScale="85" zoomScaleNormal="85" workbookViewId="0">
      <selection activeCell="K36" sqref="K36"/>
    </sheetView>
  </sheetViews>
  <sheetFormatPr baseColWidth="10" defaultColWidth="11.42578125" defaultRowHeight="15"/>
  <cols>
    <col min="1" max="1" width="6.140625" style="5" customWidth="1"/>
    <col min="2" max="2" width="32.28515625" style="5" customWidth="1"/>
    <col min="3" max="3" width="21.28515625" style="5" customWidth="1"/>
    <col min="4" max="4" width="11.42578125" style="5"/>
    <col min="5" max="5" width="15.28515625" style="5" customWidth="1"/>
    <col min="6" max="6" width="14.140625" style="5" customWidth="1"/>
    <col min="7" max="7" width="19.140625" style="5" customWidth="1"/>
    <col min="8" max="8" width="18.140625" style="5" customWidth="1"/>
    <col min="9" max="9" width="5.42578125" style="5" customWidth="1"/>
    <col min="10" max="16383" width="11.42578125" style="5"/>
    <col min="16384" max="16384" width="7.42578125" style="5" customWidth="1"/>
  </cols>
  <sheetData>
    <row r="1" spans="1:14" ht="10.5" customHeight="1">
      <c r="A1" s="97"/>
      <c r="B1" s="97"/>
      <c r="C1" s="97"/>
      <c r="D1" s="97"/>
      <c r="E1" s="97"/>
      <c r="F1" s="97"/>
      <c r="G1" s="97"/>
      <c r="H1" s="97"/>
    </row>
    <row r="2" spans="1:14">
      <c r="A2" s="97"/>
      <c r="B2" s="97"/>
      <c r="C2" s="97"/>
      <c r="D2" s="97"/>
      <c r="E2" s="97"/>
      <c r="F2" s="97"/>
      <c r="G2" s="97"/>
      <c r="H2" s="97"/>
      <c r="L2" s="136"/>
      <c r="M2" s="139"/>
      <c r="N2" s="139"/>
    </row>
    <row r="3" spans="1:14">
      <c r="A3" s="97"/>
      <c r="B3" s="97"/>
      <c r="C3" s="97"/>
      <c r="D3" s="97"/>
      <c r="E3" s="97"/>
      <c r="F3" s="97"/>
      <c r="G3" s="97"/>
      <c r="H3" s="97"/>
      <c r="L3" s="136"/>
      <c r="M3" s="139"/>
      <c r="N3" s="139"/>
    </row>
    <row r="4" spans="1:14" ht="9.75" customHeight="1">
      <c r="A4" s="97"/>
      <c r="B4" s="97"/>
      <c r="C4" s="97"/>
      <c r="D4" s="97"/>
      <c r="E4" s="97"/>
      <c r="F4" s="97"/>
      <c r="G4" s="97"/>
      <c r="H4" s="97"/>
      <c r="L4" s="136"/>
      <c r="M4" s="139"/>
      <c r="N4" s="139"/>
    </row>
    <row r="5" spans="1:14" ht="15.75" thickBot="1">
      <c r="A5" s="97"/>
      <c r="B5" s="174" t="s">
        <v>137</v>
      </c>
      <c r="C5" s="97"/>
      <c r="D5" s="367" t="s">
        <v>138</v>
      </c>
      <c r="E5" s="367"/>
      <c r="F5" s="174"/>
      <c r="G5" s="174" t="s">
        <v>136</v>
      </c>
      <c r="H5" s="203">
        <f ca="1">Cotización!I14</f>
        <v>43971</v>
      </c>
      <c r="L5" s="136"/>
      <c r="M5" s="139"/>
      <c r="N5" s="139"/>
    </row>
    <row r="6" spans="1:14" ht="8.25" customHeight="1" thickBot="1">
      <c r="A6" s="97"/>
      <c r="B6" s="97"/>
      <c r="C6" s="97"/>
      <c r="D6" s="97"/>
      <c r="E6" s="97"/>
      <c r="F6" s="97"/>
      <c r="G6" s="97"/>
      <c r="H6" s="97"/>
      <c r="L6" s="136"/>
      <c r="M6" s="139"/>
      <c r="N6" s="139"/>
    </row>
    <row r="7" spans="1:14" ht="17.25" thickBot="1">
      <c r="A7" s="97"/>
      <c r="B7" s="353" t="s">
        <v>139</v>
      </c>
      <c r="C7" s="354"/>
      <c r="D7" s="354"/>
      <c r="E7" s="354"/>
      <c r="F7" s="354"/>
      <c r="G7" s="354"/>
      <c r="H7" s="355"/>
      <c r="L7" s="136"/>
      <c r="M7" s="139"/>
      <c r="N7" s="139"/>
    </row>
    <row r="8" spans="1:14" ht="16.5" thickBot="1">
      <c r="A8" s="97"/>
      <c r="B8" s="175" t="s">
        <v>140</v>
      </c>
      <c r="C8" s="368">
        <f>Cotización!C59</f>
        <v>0</v>
      </c>
      <c r="D8" s="368"/>
      <c r="E8" s="368"/>
      <c r="F8" s="368"/>
      <c r="G8" s="176" t="s">
        <v>141</v>
      </c>
      <c r="H8" s="220">
        <f>Cotización!I59</f>
        <v>0</v>
      </c>
      <c r="L8" s="136"/>
      <c r="M8" s="139"/>
      <c r="N8" s="139"/>
    </row>
    <row r="9" spans="1:14" ht="8.25" customHeight="1" thickBot="1">
      <c r="A9" s="97"/>
      <c r="B9" s="97"/>
      <c r="C9" s="97"/>
      <c r="D9" s="97"/>
      <c r="E9" s="97"/>
      <c r="F9" s="97"/>
      <c r="G9" s="97"/>
      <c r="H9" s="97"/>
      <c r="L9" s="136"/>
      <c r="M9" s="139"/>
      <c r="N9" s="139"/>
    </row>
    <row r="10" spans="1:14" ht="17.25" thickBot="1">
      <c r="A10" s="97"/>
      <c r="B10" s="353" t="s">
        <v>142</v>
      </c>
      <c r="C10" s="354"/>
      <c r="D10" s="354"/>
      <c r="E10" s="354"/>
      <c r="F10" s="354"/>
      <c r="G10" s="354"/>
      <c r="H10" s="355"/>
      <c r="L10" s="136"/>
      <c r="M10" s="139"/>
      <c r="N10" s="139"/>
    </row>
    <row r="11" spans="1:14" ht="15.75" thickBot="1">
      <c r="A11" s="97"/>
      <c r="B11" s="175" t="s">
        <v>143</v>
      </c>
      <c r="C11" s="369">
        <f>Cotización!F60</f>
        <v>0</v>
      </c>
      <c r="D11" s="369"/>
      <c r="E11" s="369"/>
      <c r="F11" s="369"/>
      <c r="L11" s="136"/>
      <c r="M11" s="139"/>
      <c r="N11" s="139"/>
    </row>
    <row r="12" spans="1:14" ht="8.25" customHeight="1" thickBot="1">
      <c r="A12" s="97"/>
      <c r="B12" s="97"/>
      <c r="C12" s="97"/>
      <c r="D12" s="97"/>
      <c r="E12" s="97"/>
      <c r="F12" s="97"/>
      <c r="G12" s="97"/>
      <c r="H12" s="97"/>
      <c r="L12" s="136"/>
      <c r="M12" s="139"/>
      <c r="N12" s="139"/>
    </row>
    <row r="13" spans="1:14" ht="17.25" thickBot="1">
      <c r="A13" s="97"/>
      <c r="B13" s="353" t="s">
        <v>144</v>
      </c>
      <c r="C13" s="354"/>
      <c r="D13" s="354"/>
      <c r="E13" s="354"/>
      <c r="F13" s="354"/>
      <c r="G13" s="354"/>
      <c r="H13" s="355"/>
      <c r="L13" s="136"/>
      <c r="M13" s="139"/>
      <c r="N13" s="139"/>
    </row>
    <row r="14" spans="1:14">
      <c r="A14" s="97"/>
      <c r="B14" s="177" t="s">
        <v>145</v>
      </c>
      <c r="C14" s="363" t="s">
        <v>146</v>
      </c>
      <c r="D14" s="363"/>
      <c r="E14" s="363"/>
      <c r="F14" s="363"/>
      <c r="G14" s="178"/>
      <c r="H14" s="179"/>
      <c r="L14" s="136"/>
      <c r="M14" s="139"/>
      <c r="N14" s="139"/>
    </row>
    <row r="15" spans="1:14" ht="3" customHeight="1">
      <c r="A15" s="97"/>
      <c r="B15" s="180"/>
      <c r="C15" s="181"/>
      <c r="D15" s="181"/>
      <c r="E15" s="181"/>
      <c r="F15" s="181"/>
      <c r="G15" s="181"/>
      <c r="H15" s="182"/>
      <c r="L15" s="136"/>
      <c r="M15" s="139"/>
      <c r="N15" s="139"/>
    </row>
    <row r="16" spans="1:14">
      <c r="A16" s="97"/>
      <c r="B16" s="180" t="s">
        <v>147</v>
      </c>
      <c r="C16" s="218"/>
      <c r="D16" s="174"/>
      <c r="E16" s="174" t="s">
        <v>148</v>
      </c>
      <c r="F16" s="174"/>
      <c r="G16" s="198">
        <f>Cotización!J20</f>
        <v>44372</v>
      </c>
      <c r="H16" s="182"/>
      <c r="L16" s="136"/>
      <c r="M16" s="139"/>
      <c r="N16" s="139"/>
    </row>
    <row r="17" spans="1:14" ht="3" customHeight="1">
      <c r="A17" s="97"/>
      <c r="B17" s="180"/>
      <c r="C17" s="174"/>
      <c r="D17" s="174"/>
      <c r="E17" s="174"/>
      <c r="F17" s="174"/>
      <c r="G17" s="97"/>
      <c r="H17" s="182"/>
      <c r="L17" s="139"/>
      <c r="M17" s="139"/>
      <c r="N17" s="139"/>
    </row>
    <row r="18" spans="1:14">
      <c r="A18" s="97"/>
      <c r="B18" s="180" t="s">
        <v>149</v>
      </c>
      <c r="C18" s="183">
        <f>Cotización!O47</f>
        <v>7.0000000000000007E-2</v>
      </c>
      <c r="D18" s="174"/>
      <c r="E18" s="174" t="s">
        <v>150</v>
      </c>
      <c r="F18" s="174"/>
      <c r="G18" s="184">
        <v>0.28000000000000003</v>
      </c>
      <c r="H18" s="182"/>
      <c r="L18" s="139"/>
      <c r="M18" s="139"/>
      <c r="N18" s="139"/>
    </row>
    <row r="19" spans="1:14" ht="3" customHeight="1">
      <c r="A19" s="97"/>
      <c r="B19" s="180"/>
      <c r="C19" s="174"/>
      <c r="D19" s="174"/>
      <c r="E19" s="174"/>
      <c r="F19" s="174"/>
      <c r="G19" s="97"/>
      <c r="H19" s="182"/>
      <c r="L19" s="139"/>
      <c r="M19" s="139"/>
      <c r="N19" s="139"/>
    </row>
    <row r="20" spans="1:14">
      <c r="A20" s="97"/>
      <c r="B20" s="180" t="s">
        <v>151</v>
      </c>
      <c r="C20" s="183">
        <v>0.18</v>
      </c>
      <c r="D20" s="174"/>
      <c r="E20" s="174" t="s">
        <v>152</v>
      </c>
      <c r="F20" s="174"/>
      <c r="G20" s="185">
        <v>0.03</v>
      </c>
      <c r="H20" s="182"/>
      <c r="L20" s="139"/>
      <c r="M20" s="139"/>
      <c r="N20" s="139"/>
    </row>
    <row r="21" spans="1:14" ht="3" customHeight="1">
      <c r="A21" s="97"/>
      <c r="B21" s="180"/>
      <c r="C21" s="174"/>
      <c r="D21" s="174"/>
      <c r="E21" s="174"/>
      <c r="F21" s="174"/>
      <c r="G21" s="97"/>
      <c r="H21" s="182"/>
      <c r="L21" s="139"/>
      <c r="M21" s="139"/>
      <c r="N21" s="139"/>
    </row>
    <row r="22" spans="1:14">
      <c r="A22" s="97"/>
      <c r="B22" s="180" t="s">
        <v>153</v>
      </c>
      <c r="C22" s="186" t="s">
        <v>170</v>
      </c>
      <c r="D22" s="174"/>
      <c r="E22" s="174"/>
      <c r="F22" s="174"/>
      <c r="G22" s="187"/>
      <c r="H22" s="182"/>
      <c r="L22" s="139"/>
      <c r="M22" s="139"/>
      <c r="N22" s="139"/>
    </row>
    <row r="23" spans="1:14" ht="3" customHeight="1">
      <c r="A23" s="97"/>
      <c r="B23" s="180"/>
      <c r="C23" s="174"/>
      <c r="D23" s="174"/>
      <c r="E23" s="174"/>
      <c r="F23" s="174"/>
      <c r="G23" s="181"/>
      <c r="H23" s="188"/>
      <c r="L23" s="139"/>
      <c r="M23" s="139"/>
      <c r="N23" s="139"/>
    </row>
    <row r="24" spans="1:14" ht="8.25" customHeight="1">
      <c r="A24" s="97"/>
      <c r="B24" s="180"/>
      <c r="C24" s="174"/>
      <c r="D24" s="174"/>
      <c r="E24" s="174"/>
      <c r="F24" s="174"/>
      <c r="G24" s="97"/>
      <c r="H24" s="182"/>
      <c r="L24" s="139"/>
      <c r="M24" s="139"/>
      <c r="N24" s="139"/>
    </row>
    <row r="25" spans="1:14" ht="15.75" thickBot="1">
      <c r="A25" s="97"/>
      <c r="B25" s="175" t="s">
        <v>154</v>
      </c>
      <c r="C25" s="189">
        <f ca="1">Cotización!J19</f>
        <v>2</v>
      </c>
      <c r="D25" s="190"/>
      <c r="E25" s="190" t="s">
        <v>155</v>
      </c>
      <c r="F25" s="364" t="s">
        <v>156</v>
      </c>
      <c r="G25" s="364"/>
      <c r="H25" s="191"/>
      <c r="L25" s="139"/>
      <c r="M25" s="139"/>
      <c r="N25" s="139"/>
    </row>
    <row r="26" spans="1:14" ht="10.5" customHeight="1" thickBot="1">
      <c r="A26" s="97"/>
      <c r="B26" s="97"/>
      <c r="C26" s="97"/>
      <c r="D26" s="97"/>
      <c r="E26" s="97"/>
      <c r="F26" s="97"/>
      <c r="G26" s="97"/>
      <c r="H26" s="97"/>
    </row>
    <row r="27" spans="1:14" ht="17.25" thickBot="1">
      <c r="A27" s="97"/>
      <c r="B27" s="353" t="s">
        <v>167</v>
      </c>
      <c r="C27" s="354"/>
      <c r="D27" s="354"/>
      <c r="E27" s="354"/>
      <c r="F27" s="354"/>
      <c r="G27" s="354"/>
      <c r="H27" s="355"/>
    </row>
    <row r="28" spans="1:14">
      <c r="A28" s="97"/>
      <c r="B28" s="180" t="s">
        <v>157</v>
      </c>
      <c r="C28" s="365">
        <v>5000000</v>
      </c>
      <c r="D28" s="365"/>
      <c r="E28" s="365"/>
      <c r="F28" s="174"/>
      <c r="G28" s="174"/>
      <c r="H28" s="179"/>
    </row>
    <row r="29" spans="1:14" ht="3" customHeight="1">
      <c r="A29" s="97"/>
      <c r="B29" s="180"/>
      <c r="C29" s="181"/>
      <c r="D29" s="181"/>
      <c r="E29" s="181"/>
      <c r="F29" s="174"/>
      <c r="G29" s="174"/>
      <c r="H29" s="182"/>
    </row>
    <row r="30" spans="1:14">
      <c r="A30" s="97"/>
      <c r="B30" s="180"/>
      <c r="C30" s="174" t="s">
        <v>158</v>
      </c>
      <c r="D30" s="366">
        <f>'O.T. Emision'!C2</f>
        <v>81500</v>
      </c>
      <c r="E30" s="366"/>
      <c r="F30" s="362" t="s">
        <v>190</v>
      </c>
      <c r="G30" s="362"/>
      <c r="H30" s="232">
        <f>Cotización!I60</f>
        <v>0</v>
      </c>
    </row>
    <row r="31" spans="1:14">
      <c r="A31" s="97"/>
      <c r="B31" s="180"/>
      <c r="C31" s="174" t="s">
        <v>159</v>
      </c>
      <c r="D31" s="359">
        <v>0.1</v>
      </c>
      <c r="E31" s="359"/>
      <c r="F31" s="362" t="s">
        <v>160</v>
      </c>
      <c r="G31" s="362"/>
      <c r="H31" s="219">
        <v>30000</v>
      </c>
    </row>
    <row r="32" spans="1:14">
      <c r="A32" s="97"/>
      <c r="B32" s="180"/>
      <c r="C32" s="174" t="s">
        <v>163</v>
      </c>
      <c r="D32" s="357" t="b">
        <f>IF(Cotización!D31="Amparada",'O.T. Emision'!C3)</f>
        <v>0</v>
      </c>
      <c r="E32" s="358"/>
      <c r="F32" s="362" t="s">
        <v>196</v>
      </c>
      <c r="G32" s="362"/>
      <c r="H32" s="232">
        <f>Cotización!I61</f>
        <v>0</v>
      </c>
    </row>
    <row r="33" spans="1:8" ht="15.75" thickBot="1">
      <c r="A33" s="97"/>
      <c r="B33" s="175"/>
      <c r="C33" s="190" t="s">
        <v>164</v>
      </c>
      <c r="D33" s="360" t="b">
        <f>IF(Cotización!D33="Amparada",'O.T. Emision'!C3)</f>
        <v>0</v>
      </c>
      <c r="E33" s="361"/>
      <c r="F33" s="190"/>
      <c r="G33" s="190"/>
      <c r="H33" s="191"/>
    </row>
    <row r="34" spans="1:8">
      <c r="A34" s="97"/>
      <c r="B34" s="97"/>
      <c r="C34" s="97"/>
      <c r="D34" s="97"/>
      <c r="E34" s="97"/>
      <c r="F34" s="97"/>
      <c r="G34" s="97"/>
      <c r="H34" s="97"/>
    </row>
    <row r="35" spans="1:8" ht="15.75">
      <c r="A35" s="97"/>
      <c r="B35" s="199" t="s">
        <v>165</v>
      </c>
      <c r="C35" s="200"/>
      <c r="D35" s="200"/>
      <c r="E35" s="201"/>
      <c r="F35" s="199" t="s">
        <v>166</v>
      </c>
      <c r="G35" s="202"/>
      <c r="H35" s="202"/>
    </row>
    <row r="36" spans="1:8" ht="15.75" thickBot="1">
      <c r="A36" s="97"/>
      <c r="B36" s="97"/>
      <c r="C36" s="97"/>
      <c r="D36" s="97"/>
      <c r="E36" s="97"/>
      <c r="F36" s="97"/>
      <c r="G36" s="97"/>
      <c r="H36" s="97"/>
    </row>
    <row r="37" spans="1:8" ht="17.25" thickBot="1">
      <c r="A37" s="97"/>
      <c r="B37" s="353" t="s">
        <v>169</v>
      </c>
      <c r="C37" s="354"/>
      <c r="D37" s="354"/>
      <c r="E37" s="354"/>
      <c r="F37" s="354"/>
      <c r="G37" s="354"/>
      <c r="H37" s="355"/>
    </row>
    <row r="38" spans="1:8">
      <c r="A38" s="97"/>
      <c r="B38" s="192" t="s">
        <v>161</v>
      </c>
      <c r="C38" s="193"/>
      <c r="D38" s="193"/>
      <c r="E38" s="193"/>
      <c r="F38" s="193"/>
      <c r="G38" s="193"/>
      <c r="H38" s="194"/>
    </row>
    <row r="39" spans="1:8">
      <c r="A39" s="97"/>
      <c r="B39" s="192" t="s">
        <v>168</v>
      </c>
      <c r="C39" s="204">
        <f>'O.T. Emision'!C11</f>
        <v>250</v>
      </c>
      <c r="D39" s="193"/>
      <c r="E39" s="193"/>
      <c r="F39" s="193"/>
      <c r="G39" s="193"/>
      <c r="H39" s="194"/>
    </row>
    <row r="40" spans="1:8">
      <c r="A40" s="97"/>
      <c r="B40" s="192"/>
      <c r="C40" s="193"/>
      <c r="D40" s="193"/>
      <c r="E40" s="193"/>
      <c r="F40" s="193"/>
      <c r="G40" s="193"/>
      <c r="H40" s="194"/>
    </row>
    <row r="41" spans="1:8" ht="15.75" thickBot="1">
      <c r="A41" s="97"/>
      <c r="B41" s="195"/>
      <c r="C41" s="196"/>
      <c r="D41" s="196"/>
      <c r="E41" s="196"/>
      <c r="F41" s="196"/>
      <c r="G41" s="196"/>
      <c r="H41" s="197"/>
    </row>
    <row r="42" spans="1:8">
      <c r="A42" s="97"/>
      <c r="B42" s="97"/>
      <c r="C42" s="97"/>
      <c r="D42" s="97"/>
      <c r="E42" s="97"/>
      <c r="F42" s="97"/>
      <c r="G42" s="97"/>
      <c r="H42" s="97"/>
    </row>
    <row r="43" spans="1:8" ht="15.75" thickBot="1">
      <c r="A43" s="97"/>
      <c r="B43" s="174" t="s">
        <v>162</v>
      </c>
      <c r="C43" s="97"/>
      <c r="D43" s="356" t="str">
        <f>Cotización!I67</f>
        <v>XX</v>
      </c>
      <c r="E43" s="356"/>
      <c r="F43" s="356"/>
      <c r="G43" s="356"/>
      <c r="H43" s="97"/>
    </row>
    <row r="44" spans="1:8">
      <c r="A44" s="97"/>
      <c r="B44" s="97"/>
      <c r="C44" s="97"/>
      <c r="D44" s="97"/>
      <c r="E44" s="97"/>
      <c r="F44" s="97"/>
      <c r="G44" s="97"/>
      <c r="H44" s="97"/>
    </row>
    <row r="45" spans="1:8">
      <c r="A45" s="97"/>
      <c r="B45" s="97"/>
      <c r="C45" s="97"/>
      <c r="D45" s="97"/>
      <c r="E45" s="97"/>
      <c r="F45" s="97"/>
      <c r="G45" s="97"/>
      <c r="H45" s="97"/>
    </row>
    <row r="46" spans="1:8">
      <c r="A46" s="97"/>
      <c r="B46" s="97"/>
      <c r="C46" s="97"/>
      <c r="D46" s="97"/>
      <c r="E46" s="97"/>
      <c r="F46" s="97"/>
      <c r="G46" s="97"/>
      <c r="H46" s="97"/>
    </row>
    <row r="47" spans="1:8">
      <c r="A47" s="97"/>
      <c r="B47" s="97"/>
      <c r="C47" s="97"/>
      <c r="D47" s="97"/>
      <c r="E47" s="97"/>
      <c r="F47" s="97"/>
      <c r="G47" s="97"/>
      <c r="H47" s="97"/>
    </row>
    <row r="48" spans="1:8">
      <c r="A48" s="97"/>
      <c r="B48" s="97"/>
      <c r="C48" s="97"/>
      <c r="D48" s="97"/>
      <c r="E48" s="97"/>
      <c r="F48" s="97"/>
      <c r="G48" s="97"/>
      <c r="H48" s="97"/>
    </row>
    <row r="49" spans="1:8">
      <c r="A49" s="97"/>
      <c r="B49" s="97"/>
      <c r="C49" s="97"/>
      <c r="D49" s="97"/>
      <c r="E49" s="97"/>
      <c r="F49" s="97"/>
      <c r="G49" s="97"/>
      <c r="H49" s="97"/>
    </row>
    <row r="50" spans="1:8">
      <c r="A50" s="97"/>
      <c r="B50" s="97"/>
      <c r="C50" s="97"/>
      <c r="D50" s="97"/>
      <c r="E50" s="97"/>
      <c r="F50" s="97"/>
      <c r="G50" s="97"/>
      <c r="H50" s="97"/>
    </row>
    <row r="51" spans="1:8">
      <c r="A51" s="97"/>
      <c r="B51" s="97"/>
      <c r="C51" s="97"/>
      <c r="D51" s="97"/>
      <c r="E51" s="97"/>
      <c r="F51" s="97"/>
      <c r="G51" s="97"/>
      <c r="H51" s="97"/>
    </row>
    <row r="52" spans="1:8">
      <c r="A52" s="97"/>
      <c r="B52" s="97"/>
      <c r="C52" s="97"/>
      <c r="D52" s="97"/>
      <c r="E52" s="97"/>
      <c r="F52" s="97"/>
      <c r="G52" s="97"/>
      <c r="H52" s="97"/>
    </row>
    <row r="53" spans="1:8">
      <c r="A53" s="97"/>
      <c r="B53" s="97"/>
      <c r="C53" s="97"/>
      <c r="D53" s="97"/>
      <c r="E53" s="97"/>
      <c r="F53" s="97"/>
      <c r="G53" s="97"/>
      <c r="H53" s="97"/>
    </row>
    <row r="54" spans="1:8">
      <c r="A54" s="97"/>
      <c r="B54" s="97"/>
      <c r="C54" s="97"/>
      <c r="D54" s="97"/>
      <c r="E54" s="97"/>
      <c r="F54" s="97"/>
      <c r="G54" s="97"/>
      <c r="H54" s="97"/>
    </row>
    <row r="55" spans="1:8">
      <c r="A55" s="97"/>
      <c r="B55" s="97"/>
      <c r="C55" s="97"/>
      <c r="D55" s="97"/>
      <c r="E55" s="97"/>
      <c r="F55" s="97"/>
      <c r="G55" s="97"/>
      <c r="H55" s="97"/>
    </row>
    <row r="56" spans="1:8">
      <c r="A56" s="97"/>
      <c r="B56" s="97"/>
      <c r="C56" s="97"/>
      <c r="D56" s="97"/>
      <c r="E56" s="97"/>
      <c r="F56" s="97"/>
      <c r="G56" s="97"/>
      <c r="H56" s="97"/>
    </row>
    <row r="57" spans="1:8">
      <c r="A57" s="97"/>
      <c r="B57" s="97"/>
      <c r="C57" s="97"/>
      <c r="D57" s="97"/>
      <c r="E57" s="97"/>
      <c r="F57" s="97"/>
      <c r="G57" s="97"/>
      <c r="H57" s="97"/>
    </row>
    <row r="58" spans="1:8">
      <c r="A58" s="97"/>
      <c r="B58" s="97"/>
      <c r="C58" s="97"/>
      <c r="D58" s="97"/>
      <c r="E58" s="97"/>
      <c r="F58" s="97"/>
      <c r="G58" s="97"/>
      <c r="H58" s="97"/>
    </row>
    <row r="59" spans="1:8">
      <c r="A59" s="97"/>
      <c r="B59" s="97"/>
      <c r="C59" s="97"/>
      <c r="D59" s="97"/>
      <c r="E59" s="97"/>
      <c r="F59" s="97"/>
      <c r="G59" s="97"/>
      <c r="H59" s="97"/>
    </row>
    <row r="60" spans="1:8">
      <c r="A60" s="97"/>
      <c r="B60" s="97"/>
      <c r="C60" s="97"/>
      <c r="D60" s="97"/>
      <c r="E60" s="97"/>
      <c r="F60" s="97"/>
      <c r="G60" s="97"/>
      <c r="H60" s="97"/>
    </row>
    <row r="61" spans="1:8">
      <c r="A61" s="97"/>
      <c r="B61" s="97"/>
      <c r="C61" s="97"/>
      <c r="D61" s="97"/>
      <c r="E61" s="97"/>
      <c r="F61" s="97"/>
      <c r="G61" s="97"/>
      <c r="H61" s="97"/>
    </row>
    <row r="62" spans="1:8">
      <c r="A62" s="97"/>
      <c r="B62" s="97"/>
      <c r="C62" s="97"/>
      <c r="D62" s="97"/>
      <c r="E62" s="97"/>
      <c r="F62" s="97"/>
      <c r="G62" s="97"/>
      <c r="H62" s="97"/>
    </row>
    <row r="63" spans="1:8">
      <c r="A63" s="97"/>
      <c r="B63" s="97"/>
      <c r="C63" s="97"/>
      <c r="D63" s="97"/>
      <c r="E63" s="97"/>
      <c r="F63" s="97"/>
      <c r="G63" s="97"/>
      <c r="H63" s="97"/>
    </row>
    <row r="64" spans="1:8">
      <c r="A64" s="97"/>
      <c r="B64" s="97"/>
      <c r="C64" s="97"/>
      <c r="D64" s="97"/>
      <c r="E64" s="97"/>
      <c r="F64" s="97"/>
      <c r="G64" s="97"/>
      <c r="H64" s="97"/>
    </row>
    <row r="65" spans="1:8">
      <c r="A65" s="97"/>
      <c r="B65" s="97"/>
      <c r="C65" s="97"/>
      <c r="D65" s="97"/>
      <c r="E65" s="97"/>
      <c r="F65" s="97"/>
      <c r="G65" s="97"/>
      <c r="H65" s="97"/>
    </row>
    <row r="66" spans="1:8">
      <c r="A66" s="97"/>
      <c r="B66" s="97"/>
      <c r="C66" s="97"/>
      <c r="D66" s="97"/>
      <c r="E66" s="97"/>
      <c r="F66" s="97"/>
      <c r="G66" s="97"/>
      <c r="H66" s="97"/>
    </row>
    <row r="67" spans="1:8">
      <c r="A67" s="97"/>
      <c r="B67" s="97"/>
      <c r="C67" s="97"/>
      <c r="D67" s="97"/>
      <c r="E67" s="97"/>
      <c r="F67" s="97"/>
      <c r="G67" s="97"/>
      <c r="H67" s="97"/>
    </row>
    <row r="68" spans="1:8">
      <c r="A68" s="97"/>
      <c r="B68" s="97"/>
      <c r="C68" s="97"/>
      <c r="D68" s="97"/>
      <c r="E68" s="97"/>
      <c r="F68" s="97"/>
      <c r="G68" s="97"/>
      <c r="H68" s="97"/>
    </row>
    <row r="69" spans="1:8">
      <c r="A69" s="97"/>
      <c r="B69" s="97"/>
      <c r="C69" s="97"/>
      <c r="D69" s="97"/>
      <c r="E69" s="97"/>
      <c r="F69" s="97"/>
      <c r="G69" s="97"/>
      <c r="H69" s="97"/>
    </row>
    <row r="70" spans="1:8">
      <c r="A70" s="97"/>
      <c r="B70" s="97"/>
      <c r="C70" s="97"/>
      <c r="D70" s="97"/>
      <c r="E70" s="97"/>
      <c r="F70" s="97"/>
      <c r="G70" s="97"/>
      <c r="H70" s="97"/>
    </row>
    <row r="71" spans="1:8">
      <c r="A71" s="97"/>
      <c r="B71" s="97"/>
      <c r="C71" s="97"/>
      <c r="D71" s="97"/>
      <c r="E71" s="97"/>
      <c r="F71" s="97"/>
      <c r="G71" s="97"/>
      <c r="H71" s="97"/>
    </row>
    <row r="72" spans="1:8">
      <c r="A72" s="97"/>
      <c r="B72" s="97"/>
      <c r="C72" s="97"/>
      <c r="D72" s="97"/>
      <c r="E72" s="97"/>
      <c r="F72" s="97"/>
      <c r="G72" s="97"/>
      <c r="H72" s="97"/>
    </row>
    <row r="73" spans="1:8">
      <c r="A73" s="97"/>
      <c r="B73" s="97"/>
      <c r="C73" s="97"/>
      <c r="D73" s="97"/>
      <c r="E73" s="97"/>
      <c r="F73" s="97"/>
      <c r="G73" s="97"/>
      <c r="H73" s="97"/>
    </row>
    <row r="74" spans="1:8">
      <c r="A74" s="97"/>
      <c r="B74" s="97"/>
      <c r="C74" s="97"/>
      <c r="D74" s="97"/>
      <c r="E74" s="97"/>
      <c r="F74" s="97"/>
      <c r="G74" s="97"/>
      <c r="H74" s="97"/>
    </row>
    <row r="75" spans="1:8">
      <c r="A75" s="97"/>
      <c r="B75" s="97"/>
      <c r="C75" s="97"/>
      <c r="D75" s="97"/>
      <c r="E75" s="97"/>
      <c r="F75" s="97"/>
      <c r="G75" s="97"/>
      <c r="H75" s="97"/>
    </row>
    <row r="76" spans="1:8">
      <c r="A76" s="97"/>
      <c r="B76" s="97"/>
      <c r="C76" s="97"/>
      <c r="D76" s="97"/>
      <c r="E76" s="97"/>
      <c r="F76" s="97"/>
      <c r="G76" s="97"/>
      <c r="H76" s="97"/>
    </row>
    <row r="77" spans="1:8">
      <c r="A77" s="97"/>
      <c r="B77" s="97"/>
      <c r="C77" s="97"/>
      <c r="D77" s="97"/>
      <c r="E77" s="97"/>
      <c r="F77" s="97"/>
      <c r="G77" s="97"/>
      <c r="H77" s="97"/>
    </row>
  </sheetData>
  <mergeCells count="19">
    <mergeCell ref="B13:H13"/>
    <mergeCell ref="D5:E5"/>
    <mergeCell ref="B7:H7"/>
    <mergeCell ref="C8:F8"/>
    <mergeCell ref="B10:H10"/>
    <mergeCell ref="C11:F11"/>
    <mergeCell ref="C14:F14"/>
    <mergeCell ref="F25:G25"/>
    <mergeCell ref="B27:H27"/>
    <mergeCell ref="C28:E28"/>
    <mergeCell ref="D30:E30"/>
    <mergeCell ref="F30:G30"/>
    <mergeCell ref="B37:H37"/>
    <mergeCell ref="D43:G43"/>
    <mergeCell ref="D32:E32"/>
    <mergeCell ref="D31:E31"/>
    <mergeCell ref="D33:E33"/>
    <mergeCell ref="F31:G31"/>
    <mergeCell ref="F32:G3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B1:Q41"/>
  <sheetViews>
    <sheetView showGridLines="0" workbookViewId="0">
      <selection sqref="A1:XFD1048576"/>
    </sheetView>
  </sheetViews>
  <sheetFormatPr baseColWidth="10" defaultColWidth="11.42578125" defaultRowHeight="15"/>
  <cols>
    <col min="1" max="1" width="11.42578125" style="5" customWidth="1"/>
    <col min="2" max="2" width="27.7109375" style="5" bestFit="1" customWidth="1"/>
    <col min="3" max="3" width="10.7109375" style="5" bestFit="1" customWidth="1"/>
    <col min="4" max="4" width="11.42578125" style="5" customWidth="1"/>
    <col min="5" max="9" width="11.42578125" style="5"/>
    <col min="10" max="10" width="11.85546875" style="5" bestFit="1" customWidth="1"/>
    <col min="11" max="11" width="12.7109375" style="5" bestFit="1" customWidth="1"/>
    <col min="13" max="16384" width="11.42578125" style="5"/>
  </cols>
  <sheetData>
    <row r="1" spans="2:17">
      <c r="N1" s="139"/>
      <c r="O1" s="139"/>
      <c r="P1" s="139"/>
      <c r="Q1" s="139"/>
    </row>
    <row r="2" spans="2:17">
      <c r="B2" s="134" t="s">
        <v>124</v>
      </c>
      <c r="C2" s="142">
        <f>Cotización!$D$19</f>
        <v>81500</v>
      </c>
      <c r="E2" s="135" t="s">
        <v>117</v>
      </c>
      <c r="F2" s="135" t="s">
        <v>118</v>
      </c>
      <c r="G2" s="135" t="s">
        <v>119</v>
      </c>
      <c r="H2" s="135" t="s">
        <v>18</v>
      </c>
      <c r="I2" s="135" t="s">
        <v>120</v>
      </c>
      <c r="J2" s="135" t="s">
        <v>17</v>
      </c>
      <c r="K2" s="135" t="s">
        <v>121</v>
      </c>
      <c r="L2" s="135" t="s">
        <v>16</v>
      </c>
      <c r="M2" s="136"/>
      <c r="N2" s="146"/>
      <c r="O2" s="146" t="s">
        <v>122</v>
      </c>
      <c r="P2" s="136"/>
      <c r="Q2" s="139"/>
    </row>
    <row r="3" spans="2:17">
      <c r="B3" s="137" t="s">
        <v>125</v>
      </c>
      <c r="C3" s="138" t="str">
        <f>IF(Cotización!D33="Excluida","Excluida",Cotización!H33)</f>
        <v>Excluida</v>
      </c>
      <c r="E3" s="5" t="str">
        <f>+IF(Cotización!B37="","",Cotización!B37)</f>
        <v>FRANCISCO</v>
      </c>
      <c r="F3" s="5" t="str">
        <f>+IF(Cotización!C37="","",Cotización!C37)</f>
        <v xml:space="preserve">GUTIERREZ </v>
      </c>
      <c r="G3" s="5" t="str">
        <f>+IF(Cotización!D37="","",Cotización!D37)</f>
        <v>GUTIERREZ</v>
      </c>
      <c r="H3" s="5">
        <f>+IF(Cotización!H37="","",VLOOKUP(Cotización!H37,$N$9:$O$10,2,0))</f>
        <v>1</v>
      </c>
      <c r="I3" s="144">
        <f>+IF(Cotización!E37="","",Cotización!E37)</f>
        <v>17716</v>
      </c>
      <c r="J3" s="5">
        <f>+IF(Cotización!G37="","",VLOOKUP(Cotización!G37,'O.T. Emision'!$N$3:$O$6,2,FALSE))</f>
        <v>1</v>
      </c>
      <c r="L3" s="5">
        <f ca="1">+IF(Cotización!F37="","",Cotización!F37)</f>
        <v>71</v>
      </c>
      <c r="M3" s="136"/>
      <c r="N3" s="146" t="s">
        <v>19</v>
      </c>
      <c r="O3" s="146">
        <v>1</v>
      </c>
      <c r="P3" s="136"/>
      <c r="Q3" s="139"/>
    </row>
    <row r="4" spans="2:17">
      <c r="B4" s="137" t="s">
        <v>126</v>
      </c>
      <c r="C4" s="138" t="str">
        <f>IF(Cotización!D31="Excluida","Excluida",Cotización!H31)</f>
        <v>Excluida</v>
      </c>
      <c r="E4" s="5" t="str">
        <f>+IF(Cotización!B38="","",Cotización!B38)</f>
        <v xml:space="preserve">LAURA </v>
      </c>
      <c r="F4" s="5" t="str">
        <f>+IF(Cotización!C38="","",Cotización!C38)</f>
        <v>MORENO</v>
      </c>
      <c r="G4" s="5" t="str">
        <f>+IF(Cotización!D38="","",Cotización!D38)</f>
        <v>MONTEMAYOR</v>
      </c>
      <c r="H4" s="5">
        <f>+IF(Cotización!H38="","",VLOOKUP(Cotización!H38,$N$9:$O$10,2,0))</f>
        <v>0</v>
      </c>
      <c r="I4" s="144">
        <f>+IF(Cotización!E38="","",Cotización!E38)</f>
        <v>18451</v>
      </c>
      <c r="J4" s="5">
        <f>+IF(Cotización!G38="","",VLOOKUP(Cotización!G38,'O.T. Emision'!$N$3:$O$6,2,FALSE))</f>
        <v>2</v>
      </c>
      <c r="L4" s="5">
        <f ca="1">+IF(Cotización!F38="","",Cotización!F38)</f>
        <v>69</v>
      </c>
      <c r="M4" s="136"/>
      <c r="N4" s="146" t="s">
        <v>29</v>
      </c>
      <c r="O4" s="146">
        <v>2</v>
      </c>
      <c r="P4" s="136"/>
      <c r="Q4" s="139"/>
    </row>
    <row r="5" spans="2:17">
      <c r="B5" s="137" t="s">
        <v>55</v>
      </c>
      <c r="C5" s="138" t="str">
        <f>IF(Cotización!D29="Excluida","Excluida",Cotización!H29)</f>
        <v>Excluida</v>
      </c>
      <c r="E5" s="5" t="str">
        <f>+IF(Cotización!B39="","",Cotización!B39)</f>
        <v/>
      </c>
      <c r="F5" s="5" t="str">
        <f>+IF(Cotización!C39="","",Cotización!C39)</f>
        <v/>
      </c>
      <c r="G5" s="5" t="str">
        <f>+IF(Cotización!D39="","",Cotización!D39)</f>
        <v/>
      </c>
      <c r="H5" s="5" t="str">
        <f>+IF(Cotización!H39="","",VLOOKUP(Cotización!H39,$N$9:$O$10,2,0))</f>
        <v/>
      </c>
      <c r="I5" s="144" t="str">
        <f>+IF(Cotización!E39="","",Cotización!E39)</f>
        <v/>
      </c>
      <c r="J5" s="5" t="str">
        <f>+IF(Cotización!G39="","",VLOOKUP(Cotización!G39,'O.T. Emision'!$N$3:$O$6,2,FALSE))</f>
        <v/>
      </c>
      <c r="L5" s="5" t="str">
        <f>+IF(Cotización!F39="","",Cotización!F39)</f>
        <v/>
      </c>
      <c r="M5" s="136"/>
      <c r="N5" s="146" t="s">
        <v>30</v>
      </c>
      <c r="O5" s="146">
        <v>3</v>
      </c>
      <c r="P5" s="136"/>
      <c r="Q5" s="139"/>
    </row>
    <row r="6" spans="2:17">
      <c r="B6" s="137" t="s">
        <v>133</v>
      </c>
      <c r="C6" s="172">
        <f ca="1">Cotización!I14</f>
        <v>43971</v>
      </c>
      <c r="E6" s="5" t="str">
        <f>+IF(Cotización!B40="","",Cotización!B40)</f>
        <v/>
      </c>
      <c r="F6" s="5" t="str">
        <f>+IF(Cotización!C40="","",Cotización!C40)</f>
        <v/>
      </c>
      <c r="G6" s="5" t="str">
        <f>+IF(Cotización!D40="","",Cotización!D40)</f>
        <v/>
      </c>
      <c r="H6" s="5" t="str">
        <f>+IF(Cotización!H40="","",VLOOKUP(Cotización!H40,$N$9:$O$10,2,0))</f>
        <v/>
      </c>
      <c r="I6" s="144" t="str">
        <f>+IF(Cotización!E40="","",Cotización!E40)</f>
        <v/>
      </c>
      <c r="J6" s="5" t="str">
        <f>+IF(Cotización!G40="","",VLOOKUP(Cotización!G40,'O.T. Emision'!$N$3:$O$6,2,FALSE))</f>
        <v/>
      </c>
      <c r="L6" s="5" t="str">
        <f>+IF(Cotización!F40="","",Cotización!F40)</f>
        <v/>
      </c>
      <c r="M6" s="136"/>
      <c r="N6" s="146" t="s">
        <v>31</v>
      </c>
      <c r="O6" s="146">
        <v>4</v>
      </c>
      <c r="P6" s="136"/>
      <c r="Q6" s="139"/>
    </row>
    <row r="7" spans="2:17">
      <c r="B7" s="140" t="s">
        <v>127</v>
      </c>
      <c r="C7" s="143">
        <f>+Cotización!$J$20</f>
        <v>44372</v>
      </c>
      <c r="E7" s="5" t="str">
        <f>+IF(Cotización!B41="","",Cotización!B41)</f>
        <v/>
      </c>
      <c r="F7" s="5" t="str">
        <f>+IF(Cotización!C41="","",Cotización!C41)</f>
        <v/>
      </c>
      <c r="G7" s="5" t="str">
        <f>+IF(Cotización!D41="","",Cotización!D41)</f>
        <v/>
      </c>
      <c r="H7" s="5" t="str">
        <f>+IF(Cotización!H41="","",VLOOKUP(Cotización!H41,$N$9:$O$10,2,0))</f>
        <v/>
      </c>
      <c r="I7" s="144" t="str">
        <f>+IF(Cotización!E41="","",Cotización!E41)</f>
        <v/>
      </c>
      <c r="J7" s="5" t="str">
        <f>+IF(Cotización!G41="","",VLOOKUP(Cotización!G41,'O.T. Emision'!$N$3:$O$6,2,FALSE))</f>
        <v/>
      </c>
      <c r="L7" s="5" t="str">
        <f>+IF(Cotización!F41="","",Cotización!F41)</f>
        <v/>
      </c>
      <c r="M7" s="136"/>
      <c r="N7" s="136"/>
      <c r="O7" s="136"/>
      <c r="P7" s="136"/>
      <c r="Q7" s="139"/>
    </row>
    <row r="8" spans="2:17">
      <c r="E8" s="5" t="str">
        <f>+IF(Cotización!B42="","",Cotización!B42)</f>
        <v/>
      </c>
      <c r="F8" s="5" t="str">
        <f>+IF(Cotización!C42="","",Cotización!C42)</f>
        <v/>
      </c>
      <c r="G8" s="5" t="str">
        <f>+IF(Cotización!D42="","",Cotización!D42)</f>
        <v/>
      </c>
      <c r="H8" s="5" t="str">
        <f>+IF(Cotización!H42="","",VLOOKUP(Cotización!H42,$N$9:$O$10,2,0))</f>
        <v/>
      </c>
      <c r="I8" s="144" t="str">
        <f>+IF(Cotización!E42="","",Cotización!E42)</f>
        <v/>
      </c>
      <c r="J8" s="5" t="str">
        <f>+IF(Cotización!G42="","",VLOOKUP(Cotización!G42,'O.T. Emision'!$N$3:$O$6,2,FALSE))</f>
        <v/>
      </c>
      <c r="L8" s="5" t="str">
        <f>+IF(Cotización!F42="","",Cotización!F42)</f>
        <v/>
      </c>
      <c r="M8" s="136"/>
      <c r="N8" s="136"/>
      <c r="O8" s="136" t="s">
        <v>123</v>
      </c>
      <c r="P8" s="136"/>
      <c r="Q8" s="139"/>
    </row>
    <row r="9" spans="2:17">
      <c r="B9" s="209" t="str">
        <f>Cotización!C49</f>
        <v>Prima Neta</v>
      </c>
      <c r="C9" s="205">
        <f ca="1">Cotización!H49</f>
        <v>10678.832291709376</v>
      </c>
      <c r="E9" s="5" t="str">
        <f>+IF(Cotización!B43="","",Cotización!B43)</f>
        <v/>
      </c>
      <c r="F9" s="5" t="str">
        <f>+IF(Cotización!C43="","",Cotización!C43)</f>
        <v/>
      </c>
      <c r="G9" s="5" t="str">
        <f>+IF(Cotización!D43="","",Cotización!D43)</f>
        <v/>
      </c>
      <c r="H9" s="5" t="str">
        <f>+IF(Cotización!H43="","",VLOOKUP(Cotización!H43,$N$9:$O$10,2,0))</f>
        <v/>
      </c>
      <c r="I9" s="144" t="str">
        <f>+IF(Cotización!E43="","",Cotización!E43)</f>
        <v/>
      </c>
      <c r="J9" s="5" t="str">
        <f>+IF(Cotización!G43="","",VLOOKUP(Cotización!G43,'O.T. Emision'!$N$3:$O$6,2,FALSE))</f>
        <v/>
      </c>
      <c r="L9" s="5" t="str">
        <f>+IF(Cotización!F43="","",Cotización!F43)</f>
        <v/>
      </c>
      <c r="M9" s="136"/>
      <c r="N9" s="136" t="s">
        <v>20</v>
      </c>
      <c r="O9" s="136">
        <v>1</v>
      </c>
      <c r="P9" s="136"/>
      <c r="Q9" s="139"/>
    </row>
    <row r="10" spans="2:17">
      <c r="B10" s="210" t="str">
        <f>Cotización!C50</f>
        <v>Recargo por Pago Fraccionado</v>
      </c>
      <c r="C10" s="206">
        <f>Cotización!H50</f>
        <v>0</v>
      </c>
      <c r="E10" s="5" t="str">
        <f>+IF(Cotización!B44="","",Cotización!B44)</f>
        <v/>
      </c>
      <c r="F10" s="5" t="str">
        <f>+IF(Cotización!C44="","",Cotización!C44)</f>
        <v/>
      </c>
      <c r="G10" s="5" t="str">
        <f>+IF(Cotización!D44="","",Cotización!D44)</f>
        <v/>
      </c>
      <c r="H10" s="5" t="str">
        <f>+IF(Cotización!H44="","",VLOOKUP(Cotización!H44,$N$9:$O$10,2,0))</f>
        <v/>
      </c>
      <c r="I10" s="144" t="str">
        <f>+IF(Cotización!E44="","",Cotización!E44)</f>
        <v/>
      </c>
      <c r="J10" s="5" t="str">
        <f>+IF(Cotización!G44="","",VLOOKUP(Cotización!G44,'O.T. Emision'!$N$3:$O$6,2,FALSE))</f>
        <v/>
      </c>
      <c r="L10" s="5" t="str">
        <f>+IF(Cotización!F44="","",Cotización!F44)</f>
        <v/>
      </c>
      <c r="M10" s="136"/>
      <c r="N10" s="136" t="s">
        <v>21</v>
      </c>
      <c r="O10" s="136">
        <v>0</v>
      </c>
      <c r="P10" s="136"/>
      <c r="Q10" s="139"/>
    </row>
    <row r="11" spans="2:17">
      <c r="B11" s="210" t="str">
        <f>Cotización!C51</f>
        <v>Derecho de Póliza</v>
      </c>
      <c r="C11" s="206">
        <f>Cotización!H51</f>
        <v>250</v>
      </c>
      <c r="H11" s="145"/>
      <c r="I11" s="144"/>
      <c r="L11" s="5" t="s">
        <v>107</v>
      </c>
      <c r="M11" s="136"/>
      <c r="N11" s="139"/>
      <c r="O11" s="139"/>
      <c r="P11" s="139"/>
      <c r="Q11" s="139"/>
    </row>
    <row r="12" spans="2:17">
      <c r="B12" s="210" t="str">
        <f>Cotización!C52</f>
        <v xml:space="preserve">Subtotal </v>
      </c>
      <c r="C12" s="206">
        <f ca="1">Cotización!H52</f>
        <v>10928.832291709376</v>
      </c>
      <c r="L12" s="5"/>
      <c r="M12" s="136"/>
      <c r="N12" s="139"/>
      <c r="O12" s="139"/>
      <c r="P12" s="139"/>
      <c r="Q12" s="139"/>
    </row>
    <row r="13" spans="2:17">
      <c r="B13" s="210" t="str">
        <f>Cotización!C53</f>
        <v>IVA</v>
      </c>
      <c r="C13" s="206">
        <f ca="1">Cotización!H53</f>
        <v>1748.6131666735</v>
      </c>
      <c r="L13" s="5"/>
      <c r="M13" s="136"/>
      <c r="N13" s="139"/>
      <c r="O13" s="139"/>
      <c r="P13" s="139"/>
      <c r="Q13" s="139"/>
    </row>
    <row r="14" spans="2:17">
      <c r="B14" s="210" t="str">
        <f>Cotización!C54</f>
        <v>Prima Total</v>
      </c>
      <c r="C14" s="206">
        <f ca="1">Cotización!H54</f>
        <v>12677.445458382876</v>
      </c>
      <c r="E14" s="139"/>
      <c r="F14" s="139"/>
      <c r="G14" s="139"/>
      <c r="H14" s="139"/>
      <c r="I14" s="139"/>
      <c r="J14" s="139"/>
      <c r="K14" s="139"/>
      <c r="L14" s="139"/>
      <c r="M14" s="136"/>
      <c r="N14" s="139"/>
      <c r="O14" s="139"/>
      <c r="P14" s="139"/>
      <c r="Q14" s="139"/>
    </row>
    <row r="15" spans="2:17">
      <c r="B15" s="208" t="str">
        <f>Cotización!C55</f>
        <v>Pago único</v>
      </c>
      <c r="C15" s="207">
        <f ca="1">Cotización!H55</f>
        <v>12677.445458382876</v>
      </c>
      <c r="E15" s="139"/>
      <c r="F15" s="139"/>
      <c r="G15" s="139"/>
      <c r="H15" s="139"/>
      <c r="I15" s="139"/>
      <c r="J15" s="139"/>
      <c r="K15" s="139"/>
      <c r="L15" s="139"/>
      <c r="M15" s="136"/>
      <c r="N15" s="139"/>
      <c r="O15" s="139"/>
      <c r="P15" s="139"/>
      <c r="Q15" s="139"/>
    </row>
    <row r="16" spans="2:17">
      <c r="E16" s="139"/>
      <c r="F16" s="139"/>
      <c r="G16" s="139"/>
      <c r="H16" s="139"/>
      <c r="I16" s="139"/>
      <c r="J16" s="139"/>
      <c r="K16" s="139"/>
      <c r="L16" s="141"/>
      <c r="M16" s="139"/>
      <c r="N16" s="139"/>
      <c r="O16" s="139"/>
      <c r="P16" s="139"/>
      <c r="Q16" s="139"/>
    </row>
    <row r="17" spans="5:17">
      <c r="E17" s="139"/>
      <c r="F17" s="139"/>
      <c r="G17" s="139"/>
      <c r="H17" s="139"/>
      <c r="I17" s="139"/>
      <c r="J17" s="139"/>
      <c r="K17" s="139"/>
      <c r="L17" s="141"/>
      <c r="N17" s="139"/>
      <c r="O17" s="139"/>
      <c r="P17" s="139"/>
      <c r="Q17" s="139"/>
    </row>
    <row r="18" spans="5:17">
      <c r="E18" s="139"/>
      <c r="F18" s="139"/>
      <c r="G18" s="139"/>
      <c r="H18" s="139"/>
      <c r="I18" s="139"/>
      <c r="J18" s="139"/>
      <c r="K18" s="139"/>
      <c r="L18" s="141"/>
    </row>
    <row r="19" spans="5:17">
      <c r="E19" s="139"/>
      <c r="F19" s="139"/>
      <c r="G19" s="139"/>
      <c r="H19" s="139"/>
      <c r="I19" s="139"/>
      <c r="J19" s="139"/>
      <c r="K19" s="139"/>
      <c r="L19" s="141"/>
    </row>
    <row r="20" spans="5:17">
      <c r="E20" s="139"/>
      <c r="F20" s="139"/>
      <c r="G20" s="139"/>
      <c r="H20" s="139"/>
      <c r="I20" s="139"/>
      <c r="J20" s="139"/>
      <c r="K20" s="139"/>
      <c r="L20" s="141"/>
    </row>
    <row r="21" spans="5:17">
      <c r="E21" s="139"/>
      <c r="F21" s="139"/>
      <c r="G21" s="139"/>
      <c r="H21" s="139"/>
      <c r="I21" s="139"/>
      <c r="J21" s="139"/>
      <c r="K21" s="139"/>
      <c r="L21" s="141"/>
    </row>
    <row r="22" spans="5:17">
      <c r="E22" s="139"/>
      <c r="F22" s="139"/>
      <c r="G22" s="139"/>
      <c r="H22" s="139"/>
      <c r="I22" s="139"/>
      <c r="J22" s="139"/>
      <c r="K22" s="139"/>
      <c r="L22" s="141"/>
    </row>
    <row r="23" spans="5:17">
      <c r="E23" s="139"/>
      <c r="F23" s="139"/>
      <c r="G23" s="139"/>
      <c r="H23" s="139"/>
      <c r="I23" s="139"/>
      <c r="J23" s="139"/>
      <c r="K23" s="139"/>
      <c r="L23" s="141"/>
    </row>
    <row r="24" spans="5:17">
      <c r="E24" s="139"/>
      <c r="F24" s="139"/>
      <c r="G24" s="139"/>
      <c r="H24" s="139"/>
      <c r="I24" s="139"/>
      <c r="J24" s="139"/>
      <c r="K24" s="139"/>
      <c r="L24" s="141"/>
    </row>
    <row r="25" spans="5:17">
      <c r="E25" s="139"/>
      <c r="F25" s="139"/>
      <c r="G25" s="139"/>
      <c r="H25" s="139"/>
      <c r="I25" s="139"/>
      <c r="J25" s="139"/>
      <c r="K25" s="139"/>
      <c r="L25" s="141"/>
    </row>
    <row r="26" spans="5:17">
      <c r="E26" s="139"/>
      <c r="F26" s="139"/>
      <c r="G26" s="139"/>
      <c r="H26" s="139"/>
      <c r="I26" s="139"/>
      <c r="J26" s="139"/>
      <c r="K26" s="139"/>
      <c r="L26" s="141"/>
    </row>
    <row r="27" spans="5:17">
      <c r="E27" s="139"/>
      <c r="F27" s="139"/>
      <c r="G27" s="139"/>
      <c r="H27" s="139"/>
      <c r="I27" s="139"/>
      <c r="J27" s="139"/>
      <c r="K27" s="139"/>
      <c r="L27" s="141"/>
    </row>
    <row r="28" spans="5:17">
      <c r="E28" s="139"/>
      <c r="F28" s="139"/>
      <c r="G28" s="139"/>
      <c r="H28" s="139"/>
      <c r="I28" s="139"/>
      <c r="J28" s="139"/>
      <c r="K28" s="139"/>
      <c r="L28" s="141"/>
    </row>
    <row r="29" spans="5:17">
      <c r="E29" s="139"/>
      <c r="F29" s="139"/>
      <c r="G29" s="139"/>
      <c r="H29" s="139"/>
      <c r="I29" s="139"/>
      <c r="J29" s="139"/>
      <c r="K29" s="139"/>
      <c r="L29" s="141"/>
    </row>
    <row r="30" spans="5:17">
      <c r="E30" s="139"/>
      <c r="F30" s="139"/>
      <c r="G30" s="139"/>
      <c r="H30" s="139"/>
      <c r="I30" s="139"/>
      <c r="J30" s="139"/>
      <c r="K30" s="139"/>
      <c r="L30" s="141"/>
    </row>
    <row r="31" spans="5:17">
      <c r="E31" s="139"/>
      <c r="F31" s="139"/>
      <c r="G31" s="139"/>
      <c r="H31" s="139"/>
      <c r="I31" s="139"/>
      <c r="J31" s="139"/>
      <c r="K31" s="139"/>
      <c r="L31" s="141"/>
    </row>
    <row r="32" spans="5:17">
      <c r="E32" s="139"/>
      <c r="F32" s="139"/>
      <c r="G32" s="139"/>
      <c r="H32" s="139"/>
      <c r="I32" s="139"/>
      <c r="J32" s="139"/>
      <c r="K32" s="139"/>
      <c r="L32" s="141"/>
    </row>
    <row r="33" spans="5:12">
      <c r="E33" s="139"/>
      <c r="F33" s="139"/>
      <c r="G33" s="139"/>
      <c r="H33" s="139"/>
      <c r="I33" s="139"/>
      <c r="J33" s="139"/>
      <c r="K33" s="139"/>
      <c r="L33" s="141"/>
    </row>
    <row r="34" spans="5:12">
      <c r="E34" s="139"/>
      <c r="F34" s="139"/>
      <c r="G34" s="139"/>
      <c r="H34" s="139"/>
      <c r="I34" s="139"/>
      <c r="J34" s="139"/>
      <c r="K34" s="139"/>
      <c r="L34" s="141"/>
    </row>
    <row r="35" spans="5:12">
      <c r="E35" s="139"/>
      <c r="F35" s="139"/>
      <c r="G35" s="139"/>
      <c r="H35" s="139"/>
      <c r="I35" s="139"/>
      <c r="J35" s="139"/>
      <c r="K35" s="139"/>
      <c r="L35" s="141"/>
    </row>
    <row r="36" spans="5:12">
      <c r="E36" s="139"/>
      <c r="F36" s="139"/>
      <c r="G36" s="139"/>
      <c r="H36" s="139"/>
      <c r="I36" s="139"/>
      <c r="J36" s="139"/>
      <c r="K36" s="139"/>
      <c r="L36" s="141"/>
    </row>
    <row r="37" spans="5:12">
      <c r="E37" s="139"/>
      <c r="F37" s="139"/>
      <c r="G37" s="139"/>
      <c r="H37" s="139"/>
      <c r="I37" s="139"/>
      <c r="J37" s="139"/>
      <c r="K37" s="139"/>
      <c r="L37" s="141"/>
    </row>
    <row r="38" spans="5:12">
      <c r="E38" s="139"/>
      <c r="F38" s="139"/>
      <c r="G38" s="139"/>
      <c r="H38" s="139"/>
      <c r="I38" s="139"/>
      <c r="J38" s="139"/>
      <c r="K38" s="139"/>
      <c r="L38" s="141"/>
    </row>
    <row r="39" spans="5:12">
      <c r="E39" s="139"/>
      <c r="F39" s="139"/>
      <c r="G39" s="139"/>
      <c r="H39" s="139"/>
      <c r="I39" s="139"/>
      <c r="J39" s="139"/>
      <c r="K39" s="139"/>
      <c r="L39" s="141"/>
    </row>
    <row r="40" spans="5:12">
      <c r="E40" s="139"/>
      <c r="F40" s="139"/>
      <c r="G40" s="139"/>
      <c r="H40" s="139"/>
      <c r="I40" s="139"/>
      <c r="J40" s="139"/>
      <c r="K40" s="139"/>
      <c r="L40" s="141"/>
    </row>
    <row r="41" spans="5:12">
      <c r="E41" s="139"/>
      <c r="F41" s="139"/>
      <c r="G41" s="139"/>
      <c r="H41" s="139"/>
      <c r="I41" s="139"/>
      <c r="J41" s="139"/>
      <c r="K41" s="139"/>
      <c r="L41" s="141"/>
    </row>
  </sheetData>
  <sheetProtection selectLockedCells="1"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D201"/>
  <sheetViews>
    <sheetView workbookViewId="0">
      <selection activeCell="D2" sqref="D2"/>
    </sheetView>
  </sheetViews>
  <sheetFormatPr baseColWidth="10" defaultColWidth="11.42578125" defaultRowHeight="15"/>
  <cols>
    <col min="1" max="1" width="8.42578125" style="127" customWidth="1"/>
    <col min="2" max="2" width="8" style="127" bestFit="1" customWidth="1"/>
    <col min="3" max="3" width="5.28515625" style="127" bestFit="1" customWidth="1"/>
    <col min="4" max="4" width="6.42578125" style="127" bestFit="1" customWidth="1"/>
    <col min="5" max="16384" width="11.42578125" style="127"/>
  </cols>
  <sheetData>
    <row r="1" spans="1:4" ht="27.75" thickBot="1">
      <c r="A1" s="170" t="s">
        <v>172</v>
      </c>
      <c r="B1" s="170" t="s">
        <v>173</v>
      </c>
      <c r="C1" s="170" t="s">
        <v>18</v>
      </c>
      <c r="D1" s="170" t="s">
        <v>171</v>
      </c>
    </row>
    <row r="2" spans="1:4">
      <c r="A2" s="127">
        <v>0</v>
      </c>
      <c r="B2" s="127">
        <v>0</v>
      </c>
      <c r="C2" s="127">
        <v>1</v>
      </c>
      <c r="D2" s="119">
        <f>ROUND(Carga_Tarifa_2!Q4,2)</f>
        <v>452.75</v>
      </c>
    </row>
    <row r="3" spans="1:4">
      <c r="A3" s="127">
        <v>1</v>
      </c>
      <c r="B3" s="127">
        <v>1</v>
      </c>
      <c r="C3" s="127">
        <v>1</v>
      </c>
      <c r="D3" s="119">
        <f>ROUND(Carga_Tarifa_2!Q5,2)</f>
        <v>468.99</v>
      </c>
    </row>
    <row r="4" spans="1:4">
      <c r="A4" s="127">
        <v>2</v>
      </c>
      <c r="B4" s="127">
        <v>2</v>
      </c>
      <c r="C4" s="127">
        <v>1</v>
      </c>
      <c r="D4" s="119">
        <f>ROUND(Carga_Tarifa_2!Q6,2)</f>
        <v>485.81</v>
      </c>
    </row>
    <row r="5" spans="1:4">
      <c r="A5" s="127">
        <v>3</v>
      </c>
      <c r="B5" s="127">
        <v>3</v>
      </c>
      <c r="C5" s="127">
        <v>1</v>
      </c>
      <c r="D5" s="119">
        <f>ROUND(Carga_Tarifa_2!Q7,2)</f>
        <v>503.24</v>
      </c>
    </row>
    <row r="6" spans="1:4">
      <c r="A6" s="127">
        <v>4</v>
      </c>
      <c r="B6" s="127">
        <v>4</v>
      </c>
      <c r="C6" s="127">
        <v>1</v>
      </c>
      <c r="D6" s="119">
        <f>ROUND(Carga_Tarifa_2!Q8,2)</f>
        <v>521.29</v>
      </c>
    </row>
    <row r="7" spans="1:4">
      <c r="A7" s="127">
        <v>5</v>
      </c>
      <c r="B7" s="127">
        <v>5</v>
      </c>
      <c r="C7" s="127">
        <v>1</v>
      </c>
      <c r="D7" s="119">
        <f>ROUND(Carga_Tarifa_2!Q9,2)</f>
        <v>539.99</v>
      </c>
    </row>
    <row r="8" spans="1:4">
      <c r="A8" s="127">
        <v>6</v>
      </c>
      <c r="B8" s="127">
        <v>6</v>
      </c>
      <c r="C8" s="127">
        <v>1</v>
      </c>
      <c r="D8" s="119">
        <f>ROUND(Carga_Tarifa_2!Q10,2)</f>
        <v>559.36</v>
      </c>
    </row>
    <row r="9" spans="1:4">
      <c r="A9" s="127">
        <v>7</v>
      </c>
      <c r="B9" s="127">
        <v>7</v>
      </c>
      <c r="C9" s="127">
        <v>1</v>
      </c>
      <c r="D9" s="119">
        <f>ROUND(Carga_Tarifa_2!Q11,2)</f>
        <v>579.41999999999996</v>
      </c>
    </row>
    <row r="10" spans="1:4">
      <c r="A10" s="127">
        <v>8</v>
      </c>
      <c r="B10" s="127">
        <v>8</v>
      </c>
      <c r="C10" s="127">
        <v>1</v>
      </c>
      <c r="D10" s="119">
        <f>ROUND(Carga_Tarifa_2!Q12,2)</f>
        <v>600.20000000000005</v>
      </c>
    </row>
    <row r="11" spans="1:4">
      <c r="A11" s="127">
        <v>9</v>
      </c>
      <c r="B11" s="127">
        <v>9</v>
      </c>
      <c r="C11" s="127">
        <v>1</v>
      </c>
      <c r="D11" s="119">
        <f>ROUND(Carga_Tarifa_2!Q13,2)</f>
        <v>621.73</v>
      </c>
    </row>
    <row r="12" spans="1:4">
      <c r="A12" s="127">
        <v>10</v>
      </c>
      <c r="B12" s="127">
        <v>10</v>
      </c>
      <c r="C12" s="127">
        <v>1</v>
      </c>
      <c r="D12" s="119">
        <f>ROUND(Carga_Tarifa_2!Q14,2)</f>
        <v>644.04</v>
      </c>
    </row>
    <row r="13" spans="1:4">
      <c r="A13" s="127">
        <v>11</v>
      </c>
      <c r="B13" s="127">
        <v>11</v>
      </c>
      <c r="C13" s="127">
        <v>1</v>
      </c>
      <c r="D13" s="119">
        <f>ROUND(Carga_Tarifa_2!Q15,2)</f>
        <v>667.14</v>
      </c>
    </row>
    <row r="14" spans="1:4">
      <c r="A14" s="127">
        <v>12</v>
      </c>
      <c r="B14" s="127">
        <v>12</v>
      </c>
      <c r="C14" s="127">
        <v>1</v>
      </c>
      <c r="D14" s="119">
        <f>ROUND(Carga_Tarifa_2!Q16,2)</f>
        <v>691.07</v>
      </c>
    </row>
    <row r="15" spans="1:4">
      <c r="A15" s="127">
        <v>13</v>
      </c>
      <c r="B15" s="127">
        <v>13</v>
      </c>
      <c r="C15" s="127">
        <v>1</v>
      </c>
      <c r="D15" s="119">
        <f>ROUND(Carga_Tarifa_2!Q17,2)</f>
        <v>715.86</v>
      </c>
    </row>
    <row r="16" spans="1:4">
      <c r="A16" s="127">
        <v>14</v>
      </c>
      <c r="B16" s="127">
        <v>14</v>
      </c>
      <c r="C16" s="127">
        <v>1</v>
      </c>
      <c r="D16" s="119">
        <f>ROUND(Carga_Tarifa_2!Q18,2)</f>
        <v>741.53</v>
      </c>
    </row>
    <row r="17" spans="1:4">
      <c r="A17" s="127">
        <v>15</v>
      </c>
      <c r="B17" s="127">
        <v>15</v>
      </c>
      <c r="C17" s="127">
        <v>1</v>
      </c>
      <c r="D17" s="119">
        <f>ROUND(Carga_Tarifa_2!Q19,2)</f>
        <v>768.13</v>
      </c>
    </row>
    <row r="18" spans="1:4">
      <c r="A18" s="127">
        <v>16</v>
      </c>
      <c r="B18" s="127">
        <v>16</v>
      </c>
      <c r="C18" s="127">
        <v>1</v>
      </c>
      <c r="D18" s="119">
        <f>ROUND(Carga_Tarifa_2!Q20,2)</f>
        <v>795.69</v>
      </c>
    </row>
    <row r="19" spans="1:4">
      <c r="A19" s="127">
        <v>17</v>
      </c>
      <c r="B19" s="127">
        <v>17</v>
      </c>
      <c r="C19" s="127">
        <v>1</v>
      </c>
      <c r="D19" s="119">
        <f>ROUND(Carga_Tarifa_2!Q21,2)</f>
        <v>824.23</v>
      </c>
    </row>
    <row r="20" spans="1:4">
      <c r="A20" s="127">
        <v>18</v>
      </c>
      <c r="B20" s="127">
        <v>18</v>
      </c>
      <c r="C20" s="127">
        <v>1</v>
      </c>
      <c r="D20" s="119">
        <f>ROUND(Carga_Tarifa_2!Q22,2)</f>
        <v>853.79</v>
      </c>
    </row>
    <row r="21" spans="1:4">
      <c r="A21" s="127">
        <v>19</v>
      </c>
      <c r="B21" s="127">
        <v>19</v>
      </c>
      <c r="C21" s="127">
        <v>1</v>
      </c>
      <c r="D21" s="119">
        <f>ROUND(Carga_Tarifa_2!Q23,2)</f>
        <v>884.42</v>
      </c>
    </row>
    <row r="22" spans="1:4">
      <c r="A22" s="127">
        <v>20</v>
      </c>
      <c r="B22" s="127">
        <v>20</v>
      </c>
      <c r="C22" s="127">
        <v>1</v>
      </c>
      <c r="D22" s="119">
        <f>ROUND(Carga_Tarifa_2!Q24,2)</f>
        <v>916.14</v>
      </c>
    </row>
    <row r="23" spans="1:4">
      <c r="A23" s="127">
        <v>21</v>
      </c>
      <c r="B23" s="127">
        <v>21</v>
      </c>
      <c r="C23" s="127">
        <v>1</v>
      </c>
      <c r="D23" s="119">
        <f>ROUND(Carga_Tarifa_2!Q25,2)</f>
        <v>949</v>
      </c>
    </row>
    <row r="24" spans="1:4">
      <c r="A24" s="127">
        <v>22</v>
      </c>
      <c r="B24" s="127">
        <v>22</v>
      </c>
      <c r="C24" s="127">
        <v>1</v>
      </c>
      <c r="D24" s="119">
        <f>ROUND(Carga_Tarifa_2!Q26,2)</f>
        <v>983.04</v>
      </c>
    </row>
    <row r="25" spans="1:4">
      <c r="A25" s="127">
        <v>23</v>
      </c>
      <c r="B25" s="127">
        <v>23</v>
      </c>
      <c r="C25" s="127">
        <v>1</v>
      </c>
      <c r="D25" s="119">
        <f>ROUND(Carga_Tarifa_2!Q27,2)</f>
        <v>1018.31</v>
      </c>
    </row>
    <row r="26" spans="1:4">
      <c r="A26" s="127">
        <v>24</v>
      </c>
      <c r="B26" s="127">
        <v>24</v>
      </c>
      <c r="C26" s="127">
        <v>1</v>
      </c>
      <c r="D26" s="119">
        <f>ROUND(Carga_Tarifa_2!Q28,2)</f>
        <v>1054.83</v>
      </c>
    </row>
    <row r="27" spans="1:4">
      <c r="A27" s="127">
        <v>25</v>
      </c>
      <c r="B27" s="127">
        <v>25</v>
      </c>
      <c r="C27" s="127">
        <v>1</v>
      </c>
      <c r="D27" s="119">
        <f>ROUND(Carga_Tarifa_2!Q29,2)</f>
        <v>1092.67</v>
      </c>
    </row>
    <row r="28" spans="1:4">
      <c r="A28" s="127">
        <v>26</v>
      </c>
      <c r="B28" s="127">
        <v>26</v>
      </c>
      <c r="C28" s="127">
        <v>1</v>
      </c>
      <c r="D28" s="119">
        <f>ROUND(Carga_Tarifa_2!Q30,2)</f>
        <v>1131.8599999999999</v>
      </c>
    </row>
    <row r="29" spans="1:4">
      <c r="A29" s="127">
        <v>27</v>
      </c>
      <c r="B29" s="127">
        <v>27</v>
      </c>
      <c r="C29" s="127">
        <v>1</v>
      </c>
      <c r="D29" s="119">
        <f>ROUND(Carga_Tarifa_2!Q31,2)</f>
        <v>1172.46</v>
      </c>
    </row>
    <row r="30" spans="1:4">
      <c r="A30" s="127">
        <v>28</v>
      </c>
      <c r="B30" s="127">
        <v>28</v>
      </c>
      <c r="C30" s="127">
        <v>1</v>
      </c>
      <c r="D30" s="119">
        <f>ROUND(Carga_Tarifa_2!Q32,2)</f>
        <v>1214.52</v>
      </c>
    </row>
    <row r="31" spans="1:4">
      <c r="A31" s="127">
        <v>29</v>
      </c>
      <c r="B31" s="127">
        <v>29</v>
      </c>
      <c r="C31" s="127">
        <v>1</v>
      </c>
      <c r="D31" s="119">
        <f>ROUND(Carga_Tarifa_2!Q33,2)</f>
        <v>1258.08</v>
      </c>
    </row>
    <row r="32" spans="1:4">
      <c r="A32" s="127">
        <v>30</v>
      </c>
      <c r="B32" s="127">
        <v>30</v>
      </c>
      <c r="C32" s="127">
        <v>1</v>
      </c>
      <c r="D32" s="119">
        <f>ROUND(Carga_Tarifa_2!Q34,2)</f>
        <v>1303.21</v>
      </c>
    </row>
    <row r="33" spans="1:4">
      <c r="A33" s="127">
        <v>31</v>
      </c>
      <c r="B33" s="127">
        <v>31</v>
      </c>
      <c r="C33" s="127">
        <v>1</v>
      </c>
      <c r="D33" s="119">
        <f>ROUND(Carga_Tarifa_2!Q35,2)</f>
        <v>1349.96</v>
      </c>
    </row>
    <row r="34" spans="1:4">
      <c r="A34" s="127">
        <v>32</v>
      </c>
      <c r="B34" s="127">
        <v>32</v>
      </c>
      <c r="C34" s="127">
        <v>1</v>
      </c>
      <c r="D34" s="119">
        <f>ROUND(Carga_Tarifa_2!Q36,2)</f>
        <v>1398.38</v>
      </c>
    </row>
    <row r="35" spans="1:4">
      <c r="A35" s="127">
        <v>33</v>
      </c>
      <c r="B35" s="127">
        <v>33</v>
      </c>
      <c r="C35" s="127">
        <v>1</v>
      </c>
      <c r="D35" s="119">
        <f>ROUND(Carga_Tarifa_2!Q37,2)</f>
        <v>1448.54</v>
      </c>
    </row>
    <row r="36" spans="1:4">
      <c r="A36" s="127">
        <v>34</v>
      </c>
      <c r="B36" s="127">
        <v>34</v>
      </c>
      <c r="C36" s="127">
        <v>1</v>
      </c>
      <c r="D36" s="119">
        <f>ROUND(Carga_Tarifa_2!Q38,2)</f>
        <v>1500.5</v>
      </c>
    </row>
    <row r="37" spans="1:4">
      <c r="A37" s="127">
        <v>35</v>
      </c>
      <c r="B37" s="127">
        <v>35</v>
      </c>
      <c r="C37" s="127">
        <v>1</v>
      </c>
      <c r="D37" s="119">
        <f>ROUND(Carga_Tarifa_2!Q39,2)</f>
        <v>1554.32</v>
      </c>
    </row>
    <row r="38" spans="1:4">
      <c r="A38" s="127">
        <v>36</v>
      </c>
      <c r="B38" s="127">
        <v>36</v>
      </c>
      <c r="C38" s="127">
        <v>1</v>
      </c>
      <c r="D38" s="119">
        <f>ROUND(Carga_Tarifa_2!Q40,2)</f>
        <v>1610.08</v>
      </c>
    </row>
    <row r="39" spans="1:4">
      <c r="A39" s="127">
        <v>37</v>
      </c>
      <c r="B39" s="127">
        <v>37</v>
      </c>
      <c r="C39" s="127">
        <v>1</v>
      </c>
      <c r="D39" s="119">
        <f>ROUND(Carga_Tarifa_2!Q41,2)</f>
        <v>1667.83</v>
      </c>
    </row>
    <row r="40" spans="1:4">
      <c r="A40" s="127">
        <v>38</v>
      </c>
      <c r="B40" s="127">
        <v>38</v>
      </c>
      <c r="C40" s="127">
        <v>1</v>
      </c>
      <c r="D40" s="119">
        <f>ROUND(Carga_Tarifa_2!Q42,2)</f>
        <v>1727.65</v>
      </c>
    </row>
    <row r="41" spans="1:4">
      <c r="A41" s="127">
        <v>39</v>
      </c>
      <c r="B41" s="127">
        <v>39</v>
      </c>
      <c r="C41" s="127">
        <v>1</v>
      </c>
      <c r="D41" s="119">
        <f>ROUND(Carga_Tarifa_2!Q43,2)</f>
        <v>1789.62</v>
      </c>
    </row>
    <row r="42" spans="1:4">
      <c r="A42" s="127">
        <v>40</v>
      </c>
      <c r="B42" s="127">
        <v>40</v>
      </c>
      <c r="C42" s="127">
        <v>1</v>
      </c>
      <c r="D42" s="119">
        <f>ROUND(Carga_Tarifa_2!Q44,2)</f>
        <v>1853.82</v>
      </c>
    </row>
    <row r="43" spans="1:4">
      <c r="A43" s="127">
        <v>41</v>
      </c>
      <c r="B43" s="127">
        <v>41</v>
      </c>
      <c r="C43" s="127">
        <v>1</v>
      </c>
      <c r="D43" s="119">
        <f>ROUND(Carga_Tarifa_2!Q45,2)</f>
        <v>1920.31</v>
      </c>
    </row>
    <row r="44" spans="1:4">
      <c r="A44" s="127">
        <v>42</v>
      </c>
      <c r="B44" s="127">
        <v>42</v>
      </c>
      <c r="C44" s="127">
        <v>1</v>
      </c>
      <c r="D44" s="119">
        <f>ROUND(Carga_Tarifa_2!Q46,2)</f>
        <v>1989.2</v>
      </c>
    </row>
    <row r="45" spans="1:4">
      <c r="A45" s="127">
        <v>43</v>
      </c>
      <c r="B45" s="127">
        <v>43</v>
      </c>
      <c r="C45" s="127">
        <v>1</v>
      </c>
      <c r="D45" s="119">
        <f>ROUND(Carga_Tarifa_2!Q47,2)</f>
        <v>2060.5500000000002</v>
      </c>
    </row>
    <row r="46" spans="1:4">
      <c r="A46" s="127">
        <v>44</v>
      </c>
      <c r="B46" s="127">
        <v>44</v>
      </c>
      <c r="C46" s="127">
        <v>1</v>
      </c>
      <c r="D46" s="119">
        <f>ROUND(Carga_Tarifa_2!Q48,2)</f>
        <v>2134.46</v>
      </c>
    </row>
    <row r="47" spans="1:4">
      <c r="A47" s="127">
        <v>45</v>
      </c>
      <c r="B47" s="127">
        <v>45</v>
      </c>
      <c r="C47" s="127">
        <v>1</v>
      </c>
      <c r="D47" s="119">
        <f>ROUND(Carga_Tarifa_2!Q49,2)</f>
        <v>2211.02</v>
      </c>
    </row>
    <row r="48" spans="1:4">
      <c r="A48" s="127">
        <v>46</v>
      </c>
      <c r="B48" s="127">
        <v>46</v>
      </c>
      <c r="C48" s="127">
        <v>1</v>
      </c>
      <c r="D48" s="119">
        <f>ROUND(Carga_Tarifa_2!Q50,2)</f>
        <v>2290.33</v>
      </c>
    </row>
    <row r="49" spans="1:4">
      <c r="A49" s="127">
        <v>47</v>
      </c>
      <c r="B49" s="127">
        <v>47</v>
      </c>
      <c r="C49" s="127">
        <v>1</v>
      </c>
      <c r="D49" s="119">
        <f>ROUND(Carga_Tarifa_2!Q51,2)</f>
        <v>2372.4899999999998</v>
      </c>
    </row>
    <row r="50" spans="1:4">
      <c r="A50" s="127">
        <v>48</v>
      </c>
      <c r="B50" s="127">
        <v>48</v>
      </c>
      <c r="C50" s="127">
        <v>1</v>
      </c>
      <c r="D50" s="119">
        <f>ROUND(Carga_Tarifa_2!Q52,2)</f>
        <v>2457.59</v>
      </c>
    </row>
    <row r="51" spans="1:4">
      <c r="A51" s="127">
        <v>49</v>
      </c>
      <c r="B51" s="127">
        <v>49</v>
      </c>
      <c r="C51" s="127">
        <v>1</v>
      </c>
      <c r="D51" s="119">
        <f>ROUND(Carga_Tarifa_2!Q53,2)</f>
        <v>2545.7399999999998</v>
      </c>
    </row>
    <row r="52" spans="1:4">
      <c r="A52" s="127">
        <v>50</v>
      </c>
      <c r="B52" s="127">
        <v>50</v>
      </c>
      <c r="C52" s="127">
        <v>1</v>
      </c>
      <c r="D52" s="119">
        <f>ROUND(Carga_Tarifa_2!Q54,2)</f>
        <v>2637.06</v>
      </c>
    </row>
    <row r="53" spans="1:4">
      <c r="A53" s="127">
        <v>51</v>
      </c>
      <c r="B53" s="127">
        <v>51</v>
      </c>
      <c r="C53" s="127">
        <v>1</v>
      </c>
      <c r="D53" s="119">
        <f>ROUND(Carga_Tarifa_2!Q55,2)</f>
        <v>2731.65</v>
      </c>
    </row>
    <row r="54" spans="1:4">
      <c r="A54" s="127">
        <v>52</v>
      </c>
      <c r="B54" s="127">
        <v>52</v>
      </c>
      <c r="C54" s="127">
        <v>1</v>
      </c>
      <c r="D54" s="119">
        <f>ROUND(Carga_Tarifa_2!Q56,2)</f>
        <v>2829.63</v>
      </c>
    </row>
    <row r="55" spans="1:4">
      <c r="A55" s="127">
        <v>53</v>
      </c>
      <c r="B55" s="127">
        <v>53</v>
      </c>
      <c r="C55" s="127">
        <v>1</v>
      </c>
      <c r="D55" s="119">
        <f>ROUND(Carga_Tarifa_2!Q57,2)</f>
        <v>2931.13</v>
      </c>
    </row>
    <row r="56" spans="1:4">
      <c r="A56" s="127">
        <v>54</v>
      </c>
      <c r="B56" s="127">
        <v>54</v>
      </c>
      <c r="C56" s="127">
        <v>1</v>
      </c>
      <c r="D56" s="119">
        <f>ROUND(Carga_Tarifa_2!Q58,2)</f>
        <v>3036.27</v>
      </c>
    </row>
    <row r="57" spans="1:4">
      <c r="A57" s="127">
        <v>55</v>
      </c>
      <c r="B57" s="127">
        <v>55</v>
      </c>
      <c r="C57" s="127">
        <v>1</v>
      </c>
      <c r="D57" s="119">
        <f>ROUND(Carga_Tarifa_2!Q59,2)</f>
        <v>3145.18</v>
      </c>
    </row>
    <row r="58" spans="1:4">
      <c r="A58" s="127">
        <v>56</v>
      </c>
      <c r="B58" s="127">
        <v>56</v>
      </c>
      <c r="C58" s="127">
        <v>1</v>
      </c>
      <c r="D58" s="119">
        <f>ROUND(Carga_Tarifa_2!Q60,2)</f>
        <v>3258</v>
      </c>
    </row>
    <row r="59" spans="1:4">
      <c r="A59" s="127">
        <v>57</v>
      </c>
      <c r="B59" s="127">
        <v>57</v>
      </c>
      <c r="C59" s="127">
        <v>1</v>
      </c>
      <c r="D59" s="119">
        <f>ROUND(Carga_Tarifa_2!Q61,2)</f>
        <v>3374.86</v>
      </c>
    </row>
    <row r="60" spans="1:4">
      <c r="A60" s="127">
        <v>58</v>
      </c>
      <c r="B60" s="127">
        <v>58</v>
      </c>
      <c r="C60" s="127">
        <v>1</v>
      </c>
      <c r="D60" s="119">
        <f>ROUND(Carga_Tarifa_2!Q62,2)</f>
        <v>3495.92</v>
      </c>
    </row>
    <row r="61" spans="1:4">
      <c r="A61" s="127">
        <v>59</v>
      </c>
      <c r="B61" s="127">
        <v>59</v>
      </c>
      <c r="C61" s="127">
        <v>1</v>
      </c>
      <c r="D61" s="119">
        <f>ROUND(Carga_Tarifa_2!Q63,2)</f>
        <v>3621.32</v>
      </c>
    </row>
    <row r="62" spans="1:4">
      <c r="A62" s="127">
        <v>60</v>
      </c>
      <c r="B62" s="127">
        <v>60</v>
      </c>
      <c r="C62" s="127">
        <v>1</v>
      </c>
      <c r="D62" s="119">
        <f>ROUND(Carga_Tarifa_2!Q64,2)</f>
        <v>3751.21</v>
      </c>
    </row>
    <row r="63" spans="1:4">
      <c r="A63" s="127">
        <v>61</v>
      </c>
      <c r="B63" s="127">
        <v>61</v>
      </c>
      <c r="C63" s="127">
        <v>1</v>
      </c>
      <c r="D63" s="119">
        <f>ROUND(Carga_Tarifa_2!Q65,2)</f>
        <v>3885.77</v>
      </c>
    </row>
    <row r="64" spans="1:4">
      <c r="A64" s="127">
        <v>62</v>
      </c>
      <c r="B64" s="127">
        <v>62</v>
      </c>
      <c r="C64" s="127">
        <v>1</v>
      </c>
      <c r="D64" s="119">
        <f>ROUND(Carga_Tarifa_2!Q66,2)</f>
        <v>4025.15</v>
      </c>
    </row>
    <row r="65" spans="1:4">
      <c r="A65" s="127">
        <v>63</v>
      </c>
      <c r="B65" s="127">
        <v>63</v>
      </c>
      <c r="C65" s="127">
        <v>1</v>
      </c>
      <c r="D65" s="119">
        <f>ROUND(Carga_Tarifa_2!Q67,2)</f>
        <v>4169.53</v>
      </c>
    </row>
    <row r="66" spans="1:4">
      <c r="A66" s="127">
        <v>64</v>
      </c>
      <c r="B66" s="127">
        <v>64</v>
      </c>
      <c r="C66" s="127">
        <v>1</v>
      </c>
      <c r="D66" s="119">
        <f>ROUND(Carga_Tarifa_2!Q68,2)</f>
        <v>4319.09</v>
      </c>
    </row>
    <row r="67" spans="1:4">
      <c r="A67" s="127">
        <v>65</v>
      </c>
      <c r="B67" s="127">
        <v>65</v>
      </c>
      <c r="C67" s="127">
        <v>1</v>
      </c>
      <c r="D67" s="119">
        <f>ROUND(Carga_Tarifa_2!Q69,2)</f>
        <v>4474.0200000000004</v>
      </c>
    </row>
    <row r="68" spans="1:4">
      <c r="A68" s="127">
        <v>66</v>
      </c>
      <c r="B68" s="127">
        <v>66</v>
      </c>
      <c r="C68" s="127">
        <v>1</v>
      </c>
      <c r="D68" s="119">
        <f>ROUND(Carga_Tarifa_2!Q70,2)</f>
        <v>4634.5</v>
      </c>
    </row>
    <row r="69" spans="1:4">
      <c r="A69" s="127">
        <v>67</v>
      </c>
      <c r="B69" s="127">
        <v>67</v>
      </c>
      <c r="C69" s="127">
        <v>1</v>
      </c>
      <c r="D69" s="119">
        <f>ROUND(Carga_Tarifa_2!Q71,2)</f>
        <v>4800.74</v>
      </c>
    </row>
    <row r="70" spans="1:4">
      <c r="A70" s="127">
        <v>68</v>
      </c>
      <c r="B70" s="127">
        <v>68</v>
      </c>
      <c r="C70" s="127">
        <v>1</v>
      </c>
      <c r="D70" s="119">
        <f>ROUND(Carga_Tarifa_2!Q72,2)</f>
        <v>4972.95</v>
      </c>
    </row>
    <row r="71" spans="1:4">
      <c r="A71" s="127">
        <v>69</v>
      </c>
      <c r="B71" s="127">
        <v>69</v>
      </c>
      <c r="C71" s="127">
        <v>1</v>
      </c>
      <c r="D71" s="119">
        <f>ROUND(Carga_Tarifa_2!Q73,2)</f>
        <v>5151.32</v>
      </c>
    </row>
    <row r="72" spans="1:4">
      <c r="A72" s="127">
        <v>70</v>
      </c>
      <c r="B72" s="127">
        <v>70</v>
      </c>
      <c r="C72" s="127">
        <v>1</v>
      </c>
      <c r="D72" s="119">
        <f>ROUND(Carga_Tarifa_2!Q74,2)</f>
        <v>5336.1</v>
      </c>
    </row>
    <row r="73" spans="1:4">
      <c r="A73" s="127">
        <v>71</v>
      </c>
      <c r="B73" s="127">
        <v>71</v>
      </c>
      <c r="C73" s="127">
        <v>1</v>
      </c>
      <c r="D73" s="119">
        <f>ROUND(Carga_Tarifa_2!Q75,2)</f>
        <v>5527.51</v>
      </c>
    </row>
    <row r="74" spans="1:4">
      <c r="A74" s="127">
        <v>72</v>
      </c>
      <c r="B74" s="127">
        <v>72</v>
      </c>
      <c r="C74" s="127">
        <v>1</v>
      </c>
      <c r="D74" s="119">
        <f>ROUND(Carga_Tarifa_2!Q76,2)</f>
        <v>5725.78</v>
      </c>
    </row>
    <row r="75" spans="1:4">
      <c r="A75" s="127">
        <v>73</v>
      </c>
      <c r="B75" s="127">
        <v>73</v>
      </c>
      <c r="C75" s="127">
        <v>1</v>
      </c>
      <c r="D75" s="119">
        <f>ROUND(Carga_Tarifa_2!Q77,2)</f>
        <v>5931.16</v>
      </c>
    </row>
    <row r="76" spans="1:4">
      <c r="A76" s="127">
        <v>74</v>
      </c>
      <c r="B76" s="127">
        <v>74</v>
      </c>
      <c r="C76" s="127">
        <v>1</v>
      </c>
      <c r="D76" s="119">
        <f>ROUND(Carga_Tarifa_2!Q78,2)</f>
        <v>6143.91</v>
      </c>
    </row>
    <row r="77" spans="1:4">
      <c r="A77" s="127">
        <v>75</v>
      </c>
      <c r="B77" s="127">
        <v>75</v>
      </c>
      <c r="C77" s="127">
        <v>1</v>
      </c>
      <c r="D77" s="119">
        <f>ROUND(Carga_Tarifa_2!Q79,2)</f>
        <v>6364.3</v>
      </c>
    </row>
    <row r="78" spans="1:4">
      <c r="A78" s="127">
        <v>76</v>
      </c>
      <c r="B78" s="127">
        <v>76</v>
      </c>
      <c r="C78" s="127">
        <v>1</v>
      </c>
      <c r="D78" s="119">
        <f>ROUND(Carga_Tarifa_2!Q80,2)</f>
        <v>6592.58</v>
      </c>
    </row>
    <row r="79" spans="1:4">
      <c r="A79" s="127">
        <v>77</v>
      </c>
      <c r="B79" s="127">
        <v>77</v>
      </c>
      <c r="C79" s="127">
        <v>1</v>
      </c>
      <c r="D79" s="119">
        <f>ROUND(Carga_Tarifa_2!Q81,2)</f>
        <v>6829.06</v>
      </c>
    </row>
    <row r="80" spans="1:4">
      <c r="A80" s="127">
        <v>78</v>
      </c>
      <c r="B80" s="127">
        <v>78</v>
      </c>
      <c r="C80" s="127">
        <v>1</v>
      </c>
      <c r="D80" s="119">
        <f>ROUND(Carga_Tarifa_2!Q82,2)</f>
        <v>7074.02</v>
      </c>
    </row>
    <row r="81" spans="1:4">
      <c r="A81" s="127">
        <v>79</v>
      </c>
      <c r="B81" s="127">
        <v>79</v>
      </c>
      <c r="C81" s="127">
        <v>1</v>
      </c>
      <c r="D81" s="119">
        <f>ROUND(Carga_Tarifa_2!Q83,2)</f>
        <v>7327.76</v>
      </c>
    </row>
    <row r="82" spans="1:4">
      <c r="A82" s="127">
        <v>80</v>
      </c>
      <c r="B82" s="127">
        <v>80</v>
      </c>
      <c r="C82" s="127">
        <v>1</v>
      </c>
      <c r="D82" s="119">
        <f>ROUND(Carga_Tarifa_2!Q84,2)</f>
        <v>7590.61</v>
      </c>
    </row>
    <row r="83" spans="1:4">
      <c r="A83" s="127">
        <v>81</v>
      </c>
      <c r="B83" s="127">
        <v>81</v>
      </c>
      <c r="C83" s="127">
        <v>1</v>
      </c>
      <c r="D83" s="119">
        <f>ROUND(Carga_Tarifa_2!Q85,2)</f>
        <v>7862.88</v>
      </c>
    </row>
    <row r="84" spans="1:4">
      <c r="A84" s="127">
        <v>82</v>
      </c>
      <c r="B84" s="127">
        <v>82</v>
      </c>
      <c r="C84" s="127">
        <v>1</v>
      </c>
      <c r="D84" s="119">
        <f>ROUND(Carga_Tarifa_2!Q86,2)</f>
        <v>8144.92</v>
      </c>
    </row>
    <row r="85" spans="1:4">
      <c r="A85" s="127">
        <v>83</v>
      </c>
      <c r="B85" s="127">
        <v>83</v>
      </c>
      <c r="C85" s="127">
        <v>1</v>
      </c>
      <c r="D85" s="119">
        <f>ROUND(Carga_Tarifa_2!Q87,2)</f>
        <v>8437.08</v>
      </c>
    </row>
    <row r="86" spans="1:4">
      <c r="A86" s="127">
        <v>84</v>
      </c>
      <c r="B86" s="127">
        <v>84</v>
      </c>
      <c r="C86" s="127">
        <v>1</v>
      </c>
      <c r="D86" s="119">
        <f>ROUND(Carga_Tarifa_2!Q88,2)</f>
        <v>8739.7199999999993</v>
      </c>
    </row>
    <row r="87" spans="1:4">
      <c r="A87" s="127">
        <v>85</v>
      </c>
      <c r="B87" s="127">
        <v>85</v>
      </c>
      <c r="C87" s="127">
        <v>1</v>
      </c>
      <c r="D87" s="119">
        <f>ROUND(Carga_Tarifa_2!Q89,2)</f>
        <v>9053.2099999999991</v>
      </c>
    </row>
    <row r="88" spans="1:4">
      <c r="A88" s="127">
        <v>86</v>
      </c>
      <c r="B88" s="127">
        <v>86</v>
      </c>
      <c r="C88" s="127">
        <v>1</v>
      </c>
      <c r="D88" s="119">
        <f>ROUND(Carga_Tarifa_2!Q90,2)</f>
        <v>9377.9500000000007</v>
      </c>
    </row>
    <row r="89" spans="1:4">
      <c r="A89" s="127">
        <v>87</v>
      </c>
      <c r="B89" s="127">
        <v>87</v>
      </c>
      <c r="C89" s="127">
        <v>1</v>
      </c>
      <c r="D89" s="119">
        <f>ROUND(Carga_Tarifa_2!Q91,2)</f>
        <v>9714.34</v>
      </c>
    </row>
    <row r="90" spans="1:4">
      <c r="A90" s="127">
        <v>88</v>
      </c>
      <c r="B90" s="127">
        <v>88</v>
      </c>
      <c r="C90" s="127">
        <v>1</v>
      </c>
      <c r="D90" s="119">
        <f>ROUND(Carga_Tarifa_2!Q92,2)</f>
        <v>10062.790000000001</v>
      </c>
    </row>
    <row r="91" spans="1:4">
      <c r="A91" s="127">
        <v>89</v>
      </c>
      <c r="B91" s="127">
        <v>89</v>
      </c>
      <c r="C91" s="127">
        <v>1</v>
      </c>
      <c r="D91" s="119">
        <f>ROUND(Carga_Tarifa_2!Q93,2)</f>
        <v>10423.74</v>
      </c>
    </row>
    <row r="92" spans="1:4">
      <c r="A92" s="127">
        <v>90</v>
      </c>
      <c r="B92" s="127">
        <v>90</v>
      </c>
      <c r="C92" s="127">
        <v>1</v>
      </c>
      <c r="D92" s="119">
        <f>ROUND(Carga_Tarifa_2!Q94,2)</f>
        <v>10797.64</v>
      </c>
    </row>
    <row r="93" spans="1:4">
      <c r="A93" s="127">
        <v>91</v>
      </c>
      <c r="B93" s="127">
        <v>91</v>
      </c>
      <c r="C93" s="127">
        <v>1</v>
      </c>
      <c r="D93" s="119">
        <f>ROUND(Carga_Tarifa_2!Q95,2)</f>
        <v>11184.95</v>
      </c>
    </row>
    <row r="94" spans="1:4">
      <c r="A94" s="127">
        <v>92</v>
      </c>
      <c r="B94" s="127">
        <v>92</v>
      </c>
      <c r="C94" s="127">
        <v>1</v>
      </c>
      <c r="D94" s="119">
        <f>ROUND(Carga_Tarifa_2!Q96,2)</f>
        <v>11586.15</v>
      </c>
    </row>
    <row r="95" spans="1:4">
      <c r="A95" s="127">
        <v>93</v>
      </c>
      <c r="B95" s="127">
        <v>93</v>
      </c>
      <c r="C95" s="127">
        <v>1</v>
      </c>
      <c r="D95" s="119">
        <f>ROUND(Carga_Tarifa_2!Q97,2)</f>
        <v>12001.75</v>
      </c>
    </row>
    <row r="96" spans="1:4">
      <c r="A96" s="127">
        <v>94</v>
      </c>
      <c r="B96" s="127">
        <v>94</v>
      </c>
      <c r="C96" s="127">
        <v>1</v>
      </c>
      <c r="D96" s="119">
        <f>ROUND(Carga_Tarifa_2!Q98,2)</f>
        <v>12432.25</v>
      </c>
    </row>
    <row r="97" spans="1:4">
      <c r="A97" s="127">
        <v>95</v>
      </c>
      <c r="B97" s="127">
        <v>95</v>
      </c>
      <c r="C97" s="127">
        <v>1</v>
      </c>
      <c r="D97" s="119">
        <f>ROUND(Carga_Tarifa_2!Q99,2)</f>
        <v>12878.2</v>
      </c>
    </row>
    <row r="98" spans="1:4">
      <c r="A98" s="127">
        <v>96</v>
      </c>
      <c r="B98" s="127">
        <v>96</v>
      </c>
      <c r="C98" s="127">
        <v>1</v>
      </c>
      <c r="D98" s="119">
        <f>ROUND(Carga_Tarifa_2!Q100,2)</f>
        <v>13340.14</v>
      </c>
    </row>
    <row r="99" spans="1:4">
      <c r="A99" s="127">
        <v>97</v>
      </c>
      <c r="B99" s="127">
        <v>97</v>
      </c>
      <c r="C99" s="127">
        <v>1</v>
      </c>
      <c r="D99" s="119">
        <f>ROUND(Carga_Tarifa_2!Q101,2)</f>
        <v>13818.65</v>
      </c>
    </row>
    <row r="100" spans="1:4">
      <c r="A100" s="127">
        <v>98</v>
      </c>
      <c r="B100" s="127">
        <v>98</v>
      </c>
      <c r="C100" s="127">
        <v>1</v>
      </c>
      <c r="D100" s="119">
        <f>ROUND(Carga_Tarifa_2!Q102,2)</f>
        <v>14314.32</v>
      </c>
    </row>
    <row r="101" spans="1:4">
      <c r="A101" s="127">
        <v>99</v>
      </c>
      <c r="B101" s="127">
        <v>99</v>
      </c>
      <c r="C101" s="127">
        <v>1</v>
      </c>
      <c r="D101" s="119">
        <f>ROUND(Carga_Tarifa_2!Q103,2)</f>
        <v>14827.77</v>
      </c>
    </row>
    <row r="102" spans="1:4">
      <c r="A102" s="127">
        <v>0</v>
      </c>
      <c r="B102" s="127">
        <v>0</v>
      </c>
      <c r="C102" s="127">
        <v>0</v>
      </c>
      <c r="D102" s="119">
        <f>ROUND(Carga_Tarifa_2!R4,2)</f>
        <v>452.75</v>
      </c>
    </row>
    <row r="103" spans="1:4">
      <c r="A103" s="127">
        <v>1</v>
      </c>
      <c r="B103" s="127">
        <v>1</v>
      </c>
      <c r="C103" s="127">
        <v>0</v>
      </c>
      <c r="D103" s="119">
        <f>ROUND(Carga_Tarifa_2!R5,2)</f>
        <v>468.99</v>
      </c>
    </row>
    <row r="104" spans="1:4">
      <c r="A104" s="127">
        <v>2</v>
      </c>
      <c r="B104" s="127">
        <v>2</v>
      </c>
      <c r="C104" s="127">
        <v>0</v>
      </c>
      <c r="D104" s="119">
        <f>ROUND(Carga_Tarifa_2!R6,2)</f>
        <v>485.81</v>
      </c>
    </row>
    <row r="105" spans="1:4">
      <c r="A105" s="127">
        <v>3</v>
      </c>
      <c r="B105" s="127">
        <v>3</v>
      </c>
      <c r="C105" s="127">
        <v>0</v>
      </c>
      <c r="D105" s="119">
        <f>ROUND(Carga_Tarifa_2!R7,2)</f>
        <v>503.24</v>
      </c>
    </row>
    <row r="106" spans="1:4">
      <c r="A106" s="127">
        <v>4</v>
      </c>
      <c r="B106" s="127">
        <v>4</v>
      </c>
      <c r="C106" s="127">
        <v>0</v>
      </c>
      <c r="D106" s="119">
        <f>ROUND(Carga_Tarifa_2!R8,2)</f>
        <v>521.29</v>
      </c>
    </row>
    <row r="107" spans="1:4">
      <c r="A107" s="127">
        <v>5</v>
      </c>
      <c r="B107" s="127">
        <v>5</v>
      </c>
      <c r="C107" s="127">
        <v>0</v>
      </c>
      <c r="D107" s="119">
        <f>ROUND(Carga_Tarifa_2!R9,2)</f>
        <v>539.99</v>
      </c>
    </row>
    <row r="108" spans="1:4">
      <c r="A108" s="127">
        <v>6</v>
      </c>
      <c r="B108" s="127">
        <v>6</v>
      </c>
      <c r="C108" s="127">
        <v>0</v>
      </c>
      <c r="D108" s="119">
        <f>ROUND(Carga_Tarifa_2!R10,2)</f>
        <v>559.36</v>
      </c>
    </row>
    <row r="109" spans="1:4">
      <c r="A109" s="127">
        <v>7</v>
      </c>
      <c r="B109" s="127">
        <v>7</v>
      </c>
      <c r="C109" s="127">
        <v>0</v>
      </c>
      <c r="D109" s="119">
        <f>ROUND(Carga_Tarifa_2!R11,2)</f>
        <v>579.41999999999996</v>
      </c>
    </row>
    <row r="110" spans="1:4">
      <c r="A110" s="127">
        <v>8</v>
      </c>
      <c r="B110" s="127">
        <v>8</v>
      </c>
      <c r="C110" s="127">
        <v>0</v>
      </c>
      <c r="D110" s="119">
        <f>ROUND(Carga_Tarifa_2!R12,2)</f>
        <v>600.20000000000005</v>
      </c>
    </row>
    <row r="111" spans="1:4">
      <c r="A111" s="127">
        <v>9</v>
      </c>
      <c r="B111" s="127">
        <v>9</v>
      </c>
      <c r="C111" s="127">
        <v>0</v>
      </c>
      <c r="D111" s="119">
        <f>ROUND(Carga_Tarifa_2!R13,2)</f>
        <v>621.73</v>
      </c>
    </row>
    <row r="112" spans="1:4">
      <c r="A112" s="127">
        <v>10</v>
      </c>
      <c r="B112" s="127">
        <v>10</v>
      </c>
      <c r="C112" s="127">
        <v>0</v>
      </c>
      <c r="D112" s="119">
        <f>ROUND(Carga_Tarifa_2!R14,2)</f>
        <v>644.04</v>
      </c>
    </row>
    <row r="113" spans="1:4">
      <c r="A113" s="127">
        <v>11</v>
      </c>
      <c r="B113" s="127">
        <v>11</v>
      </c>
      <c r="C113" s="127">
        <v>0</v>
      </c>
      <c r="D113" s="119">
        <f>ROUND(Carga_Tarifa_2!R15,2)</f>
        <v>667.14</v>
      </c>
    </row>
    <row r="114" spans="1:4">
      <c r="A114" s="127">
        <v>12</v>
      </c>
      <c r="B114" s="127">
        <v>12</v>
      </c>
      <c r="C114" s="127">
        <v>0</v>
      </c>
      <c r="D114" s="119">
        <f>ROUND(Carga_Tarifa_2!R16,2)</f>
        <v>691.07</v>
      </c>
    </row>
    <row r="115" spans="1:4">
      <c r="A115" s="127">
        <v>13</v>
      </c>
      <c r="B115" s="127">
        <v>13</v>
      </c>
      <c r="C115" s="127">
        <v>0</v>
      </c>
      <c r="D115" s="119">
        <f>ROUND(Carga_Tarifa_2!R17,2)</f>
        <v>715.86</v>
      </c>
    </row>
    <row r="116" spans="1:4">
      <c r="A116" s="127">
        <v>14</v>
      </c>
      <c r="B116" s="127">
        <v>14</v>
      </c>
      <c r="C116" s="127">
        <v>0</v>
      </c>
      <c r="D116" s="119">
        <f>ROUND(Carga_Tarifa_2!R18,2)</f>
        <v>741.53</v>
      </c>
    </row>
    <row r="117" spans="1:4">
      <c r="A117" s="127">
        <v>15</v>
      </c>
      <c r="B117" s="127">
        <v>15</v>
      </c>
      <c r="C117" s="127">
        <v>0</v>
      </c>
      <c r="D117" s="119">
        <f>ROUND(Carga_Tarifa_2!R19,2)</f>
        <v>768.13</v>
      </c>
    </row>
    <row r="118" spans="1:4">
      <c r="A118" s="127">
        <v>16</v>
      </c>
      <c r="B118" s="127">
        <v>16</v>
      </c>
      <c r="C118" s="127">
        <v>0</v>
      </c>
      <c r="D118" s="119">
        <f>ROUND(Carga_Tarifa_2!R20,2)</f>
        <v>795.69</v>
      </c>
    </row>
    <row r="119" spans="1:4">
      <c r="A119" s="127">
        <v>17</v>
      </c>
      <c r="B119" s="127">
        <v>17</v>
      </c>
      <c r="C119" s="127">
        <v>0</v>
      </c>
      <c r="D119" s="119">
        <f>ROUND(Carga_Tarifa_2!R21,2)</f>
        <v>824.23</v>
      </c>
    </row>
    <row r="120" spans="1:4">
      <c r="A120" s="127">
        <v>18</v>
      </c>
      <c r="B120" s="127">
        <v>18</v>
      </c>
      <c r="C120" s="127">
        <v>0</v>
      </c>
      <c r="D120" s="119">
        <f>ROUND(Carga_Tarifa_2!R22,2)</f>
        <v>853.79</v>
      </c>
    </row>
    <row r="121" spans="1:4">
      <c r="A121" s="127">
        <v>19</v>
      </c>
      <c r="B121" s="127">
        <v>19</v>
      </c>
      <c r="C121" s="127">
        <v>0</v>
      </c>
      <c r="D121" s="119">
        <f>ROUND(Carga_Tarifa_2!R23,2)</f>
        <v>884.42</v>
      </c>
    </row>
    <row r="122" spans="1:4">
      <c r="A122" s="127">
        <v>20</v>
      </c>
      <c r="B122" s="127">
        <v>20</v>
      </c>
      <c r="C122" s="127">
        <v>0</v>
      </c>
      <c r="D122" s="119">
        <f>ROUND(Carga_Tarifa_2!R24,2)</f>
        <v>916.14</v>
      </c>
    </row>
    <row r="123" spans="1:4">
      <c r="A123" s="127">
        <v>21</v>
      </c>
      <c r="B123" s="127">
        <v>21</v>
      </c>
      <c r="C123" s="127">
        <v>0</v>
      </c>
      <c r="D123" s="119">
        <f>ROUND(Carga_Tarifa_2!R25,2)</f>
        <v>949</v>
      </c>
    </row>
    <row r="124" spans="1:4">
      <c r="A124" s="127">
        <v>22</v>
      </c>
      <c r="B124" s="127">
        <v>22</v>
      </c>
      <c r="C124" s="127">
        <v>0</v>
      </c>
      <c r="D124" s="119">
        <f>ROUND(Carga_Tarifa_2!R26,2)</f>
        <v>983.04</v>
      </c>
    </row>
    <row r="125" spans="1:4">
      <c r="A125" s="127">
        <v>23</v>
      </c>
      <c r="B125" s="127">
        <v>23</v>
      </c>
      <c r="C125" s="127">
        <v>0</v>
      </c>
      <c r="D125" s="119">
        <f>ROUND(Carga_Tarifa_2!R27,2)</f>
        <v>1018.31</v>
      </c>
    </row>
    <row r="126" spans="1:4">
      <c r="A126" s="127">
        <v>24</v>
      </c>
      <c r="B126" s="127">
        <v>24</v>
      </c>
      <c r="C126" s="127">
        <v>0</v>
      </c>
      <c r="D126" s="119">
        <f>ROUND(Carga_Tarifa_2!R28,2)</f>
        <v>1054.83</v>
      </c>
    </row>
    <row r="127" spans="1:4">
      <c r="A127" s="127">
        <v>25</v>
      </c>
      <c r="B127" s="127">
        <v>25</v>
      </c>
      <c r="C127" s="127">
        <v>0</v>
      </c>
      <c r="D127" s="119">
        <f>ROUND(Carga_Tarifa_2!R29,2)</f>
        <v>1092.67</v>
      </c>
    </row>
    <row r="128" spans="1:4">
      <c r="A128" s="127">
        <v>26</v>
      </c>
      <c r="B128" s="127">
        <v>26</v>
      </c>
      <c r="C128" s="127">
        <v>0</v>
      </c>
      <c r="D128" s="119">
        <f>ROUND(Carga_Tarifa_2!R30,2)</f>
        <v>1131.8599999999999</v>
      </c>
    </row>
    <row r="129" spans="1:4">
      <c r="A129" s="127">
        <v>27</v>
      </c>
      <c r="B129" s="127">
        <v>27</v>
      </c>
      <c r="C129" s="127">
        <v>0</v>
      </c>
      <c r="D129" s="119">
        <f>ROUND(Carga_Tarifa_2!R31,2)</f>
        <v>1172.46</v>
      </c>
    </row>
    <row r="130" spans="1:4">
      <c r="A130" s="127">
        <v>28</v>
      </c>
      <c r="B130" s="127">
        <v>28</v>
      </c>
      <c r="C130" s="127">
        <v>0</v>
      </c>
      <c r="D130" s="119">
        <f>ROUND(Carga_Tarifa_2!R32,2)</f>
        <v>1214.52</v>
      </c>
    </row>
    <row r="131" spans="1:4">
      <c r="A131" s="127">
        <v>29</v>
      </c>
      <c r="B131" s="127">
        <v>29</v>
      </c>
      <c r="C131" s="127">
        <v>0</v>
      </c>
      <c r="D131" s="119">
        <f>ROUND(Carga_Tarifa_2!R33,2)</f>
        <v>1258.08</v>
      </c>
    </row>
    <row r="132" spans="1:4">
      <c r="A132" s="127">
        <v>30</v>
      </c>
      <c r="B132" s="127">
        <v>30</v>
      </c>
      <c r="C132" s="127">
        <v>0</v>
      </c>
      <c r="D132" s="119">
        <f>ROUND(Carga_Tarifa_2!R34,2)</f>
        <v>1303.21</v>
      </c>
    </row>
    <row r="133" spans="1:4">
      <c r="A133" s="127">
        <v>31</v>
      </c>
      <c r="B133" s="127">
        <v>31</v>
      </c>
      <c r="C133" s="127">
        <v>0</v>
      </c>
      <c r="D133" s="119">
        <f>ROUND(Carga_Tarifa_2!R35,2)</f>
        <v>1349.96</v>
      </c>
    </row>
    <row r="134" spans="1:4">
      <c r="A134" s="127">
        <v>32</v>
      </c>
      <c r="B134" s="127">
        <v>32</v>
      </c>
      <c r="C134" s="127">
        <v>0</v>
      </c>
      <c r="D134" s="119">
        <f>ROUND(Carga_Tarifa_2!R36,2)</f>
        <v>1398.38</v>
      </c>
    </row>
    <row r="135" spans="1:4">
      <c r="A135" s="127">
        <v>33</v>
      </c>
      <c r="B135" s="127">
        <v>33</v>
      </c>
      <c r="C135" s="127">
        <v>0</v>
      </c>
      <c r="D135" s="119">
        <f>ROUND(Carga_Tarifa_2!R37,2)</f>
        <v>1448.54</v>
      </c>
    </row>
    <row r="136" spans="1:4">
      <c r="A136" s="127">
        <v>34</v>
      </c>
      <c r="B136" s="127">
        <v>34</v>
      </c>
      <c r="C136" s="127">
        <v>0</v>
      </c>
      <c r="D136" s="119">
        <f>ROUND(Carga_Tarifa_2!R38,2)</f>
        <v>1500.5</v>
      </c>
    </row>
    <row r="137" spans="1:4">
      <c r="A137" s="127">
        <v>35</v>
      </c>
      <c r="B137" s="127">
        <v>35</v>
      </c>
      <c r="C137" s="127">
        <v>0</v>
      </c>
      <c r="D137" s="119">
        <f>ROUND(Carga_Tarifa_2!R39,2)</f>
        <v>1554.32</v>
      </c>
    </row>
    <row r="138" spans="1:4">
      <c r="A138" s="127">
        <v>36</v>
      </c>
      <c r="B138" s="127">
        <v>36</v>
      </c>
      <c r="C138" s="127">
        <v>0</v>
      </c>
      <c r="D138" s="119">
        <f>ROUND(Carga_Tarifa_2!R40,2)</f>
        <v>1610.08</v>
      </c>
    </row>
    <row r="139" spans="1:4">
      <c r="A139" s="127">
        <v>37</v>
      </c>
      <c r="B139" s="127">
        <v>37</v>
      </c>
      <c r="C139" s="127">
        <v>0</v>
      </c>
      <c r="D139" s="119">
        <f>ROUND(Carga_Tarifa_2!R41,2)</f>
        <v>1667.83</v>
      </c>
    </row>
    <row r="140" spans="1:4">
      <c r="A140" s="127">
        <v>38</v>
      </c>
      <c r="B140" s="127">
        <v>38</v>
      </c>
      <c r="C140" s="127">
        <v>0</v>
      </c>
      <c r="D140" s="119">
        <f>ROUND(Carga_Tarifa_2!R42,2)</f>
        <v>1727.65</v>
      </c>
    </row>
    <row r="141" spans="1:4">
      <c r="A141" s="127">
        <v>39</v>
      </c>
      <c r="B141" s="127">
        <v>39</v>
      </c>
      <c r="C141" s="127">
        <v>0</v>
      </c>
      <c r="D141" s="119">
        <f>ROUND(Carga_Tarifa_2!R43,2)</f>
        <v>1789.62</v>
      </c>
    </row>
    <row r="142" spans="1:4">
      <c r="A142" s="127">
        <v>40</v>
      </c>
      <c r="B142" s="127">
        <v>40</v>
      </c>
      <c r="C142" s="127">
        <v>0</v>
      </c>
      <c r="D142" s="119">
        <f>ROUND(Carga_Tarifa_2!R44,2)</f>
        <v>1853.82</v>
      </c>
    </row>
    <row r="143" spans="1:4">
      <c r="A143" s="127">
        <v>41</v>
      </c>
      <c r="B143" s="127">
        <v>41</v>
      </c>
      <c r="C143" s="127">
        <v>0</v>
      </c>
      <c r="D143" s="119">
        <f>ROUND(Carga_Tarifa_2!R45,2)</f>
        <v>1920.31</v>
      </c>
    </row>
    <row r="144" spans="1:4">
      <c r="A144" s="127">
        <v>42</v>
      </c>
      <c r="B144" s="127">
        <v>42</v>
      </c>
      <c r="C144" s="127">
        <v>0</v>
      </c>
      <c r="D144" s="119">
        <f>ROUND(Carga_Tarifa_2!R46,2)</f>
        <v>1989.2</v>
      </c>
    </row>
    <row r="145" spans="1:4">
      <c r="A145" s="127">
        <v>43</v>
      </c>
      <c r="B145" s="127">
        <v>43</v>
      </c>
      <c r="C145" s="127">
        <v>0</v>
      </c>
      <c r="D145" s="119">
        <f>ROUND(Carga_Tarifa_2!R47,2)</f>
        <v>2060.5500000000002</v>
      </c>
    </row>
    <row r="146" spans="1:4">
      <c r="A146" s="127">
        <v>44</v>
      </c>
      <c r="B146" s="127">
        <v>44</v>
      </c>
      <c r="C146" s="127">
        <v>0</v>
      </c>
      <c r="D146" s="119">
        <f>ROUND(Carga_Tarifa_2!R48,2)</f>
        <v>2134.46</v>
      </c>
    </row>
    <row r="147" spans="1:4">
      <c r="A147" s="127">
        <v>45</v>
      </c>
      <c r="B147" s="127">
        <v>45</v>
      </c>
      <c r="C147" s="127">
        <v>0</v>
      </c>
      <c r="D147" s="119">
        <f>ROUND(Carga_Tarifa_2!R49,2)</f>
        <v>2211.02</v>
      </c>
    </row>
    <row r="148" spans="1:4">
      <c r="A148" s="127">
        <v>46</v>
      </c>
      <c r="B148" s="127">
        <v>46</v>
      </c>
      <c r="C148" s="127">
        <v>0</v>
      </c>
      <c r="D148" s="119">
        <f>ROUND(Carga_Tarifa_2!R50,2)</f>
        <v>2290.33</v>
      </c>
    </row>
    <row r="149" spans="1:4">
      <c r="A149" s="127">
        <v>47</v>
      </c>
      <c r="B149" s="127">
        <v>47</v>
      </c>
      <c r="C149" s="127">
        <v>0</v>
      </c>
      <c r="D149" s="119">
        <f>ROUND(Carga_Tarifa_2!R51,2)</f>
        <v>2372.4899999999998</v>
      </c>
    </row>
    <row r="150" spans="1:4">
      <c r="A150" s="127">
        <v>48</v>
      </c>
      <c r="B150" s="127">
        <v>48</v>
      </c>
      <c r="C150" s="127">
        <v>0</v>
      </c>
      <c r="D150" s="119">
        <f>ROUND(Carga_Tarifa_2!R52,2)</f>
        <v>2457.59</v>
      </c>
    </row>
    <row r="151" spans="1:4">
      <c r="A151" s="127">
        <v>49</v>
      </c>
      <c r="B151" s="127">
        <v>49</v>
      </c>
      <c r="C151" s="127">
        <v>0</v>
      </c>
      <c r="D151" s="119">
        <f>ROUND(Carga_Tarifa_2!R53,2)</f>
        <v>2545.7399999999998</v>
      </c>
    </row>
    <row r="152" spans="1:4">
      <c r="A152" s="127">
        <v>50</v>
      </c>
      <c r="B152" s="127">
        <v>50</v>
      </c>
      <c r="C152" s="127">
        <v>0</v>
      </c>
      <c r="D152" s="119">
        <f>ROUND(Carga_Tarifa_2!R54,2)</f>
        <v>2637.06</v>
      </c>
    </row>
    <row r="153" spans="1:4">
      <c r="A153" s="127">
        <v>51</v>
      </c>
      <c r="B153" s="127">
        <v>51</v>
      </c>
      <c r="C153" s="127">
        <v>0</v>
      </c>
      <c r="D153" s="119">
        <f>ROUND(Carga_Tarifa_2!R55,2)</f>
        <v>2731.65</v>
      </c>
    </row>
    <row r="154" spans="1:4">
      <c r="A154" s="127">
        <v>52</v>
      </c>
      <c r="B154" s="127">
        <v>52</v>
      </c>
      <c r="C154" s="127">
        <v>0</v>
      </c>
      <c r="D154" s="119">
        <f>ROUND(Carga_Tarifa_2!R56,2)</f>
        <v>2829.63</v>
      </c>
    </row>
    <row r="155" spans="1:4">
      <c r="A155" s="127">
        <v>53</v>
      </c>
      <c r="B155" s="127">
        <v>53</v>
      </c>
      <c r="C155" s="127">
        <v>0</v>
      </c>
      <c r="D155" s="119">
        <f>ROUND(Carga_Tarifa_2!R57,2)</f>
        <v>2931.13</v>
      </c>
    </row>
    <row r="156" spans="1:4">
      <c r="A156" s="127">
        <v>54</v>
      </c>
      <c r="B156" s="127">
        <v>54</v>
      </c>
      <c r="C156" s="127">
        <v>0</v>
      </c>
      <c r="D156" s="119">
        <f>ROUND(Carga_Tarifa_2!R58,2)</f>
        <v>3036.27</v>
      </c>
    </row>
    <row r="157" spans="1:4">
      <c r="A157" s="127">
        <v>55</v>
      </c>
      <c r="B157" s="127">
        <v>55</v>
      </c>
      <c r="C157" s="127">
        <v>0</v>
      </c>
      <c r="D157" s="119">
        <f>ROUND(Carga_Tarifa_2!R59,2)</f>
        <v>3145.18</v>
      </c>
    </row>
    <row r="158" spans="1:4">
      <c r="A158" s="127">
        <v>56</v>
      </c>
      <c r="B158" s="127">
        <v>56</v>
      </c>
      <c r="C158" s="127">
        <v>0</v>
      </c>
      <c r="D158" s="119">
        <f>ROUND(Carga_Tarifa_2!R60,2)</f>
        <v>3258</v>
      </c>
    </row>
    <row r="159" spans="1:4">
      <c r="A159" s="127">
        <v>57</v>
      </c>
      <c r="B159" s="127">
        <v>57</v>
      </c>
      <c r="C159" s="127">
        <v>0</v>
      </c>
      <c r="D159" s="119">
        <f>ROUND(Carga_Tarifa_2!R61,2)</f>
        <v>3374.86</v>
      </c>
    </row>
    <row r="160" spans="1:4">
      <c r="A160" s="127">
        <v>58</v>
      </c>
      <c r="B160" s="127">
        <v>58</v>
      </c>
      <c r="C160" s="127">
        <v>0</v>
      </c>
      <c r="D160" s="119">
        <f>ROUND(Carga_Tarifa_2!R62,2)</f>
        <v>3495.92</v>
      </c>
    </row>
    <row r="161" spans="1:4">
      <c r="A161" s="127">
        <v>59</v>
      </c>
      <c r="B161" s="127">
        <v>59</v>
      </c>
      <c r="C161" s="127">
        <v>0</v>
      </c>
      <c r="D161" s="119">
        <f>ROUND(Carga_Tarifa_2!R63,2)</f>
        <v>3621.32</v>
      </c>
    </row>
    <row r="162" spans="1:4">
      <c r="A162" s="127">
        <v>60</v>
      </c>
      <c r="B162" s="127">
        <v>60</v>
      </c>
      <c r="C162" s="127">
        <v>0</v>
      </c>
      <c r="D162" s="119">
        <f>ROUND(Carga_Tarifa_2!R64,2)</f>
        <v>3751.21</v>
      </c>
    </row>
    <row r="163" spans="1:4">
      <c r="A163" s="127">
        <v>61</v>
      </c>
      <c r="B163" s="127">
        <v>61</v>
      </c>
      <c r="C163" s="127">
        <v>0</v>
      </c>
      <c r="D163" s="119">
        <f>ROUND(Carga_Tarifa_2!R65,2)</f>
        <v>3885.77</v>
      </c>
    </row>
    <row r="164" spans="1:4">
      <c r="A164" s="127">
        <v>62</v>
      </c>
      <c r="B164" s="127">
        <v>62</v>
      </c>
      <c r="C164" s="127">
        <v>0</v>
      </c>
      <c r="D164" s="119">
        <f>ROUND(Carga_Tarifa_2!R66,2)</f>
        <v>4025.15</v>
      </c>
    </row>
    <row r="165" spans="1:4">
      <c r="A165" s="127">
        <v>63</v>
      </c>
      <c r="B165" s="127">
        <v>63</v>
      </c>
      <c r="C165" s="127">
        <v>0</v>
      </c>
      <c r="D165" s="119">
        <f>ROUND(Carga_Tarifa_2!R67,2)</f>
        <v>4169.53</v>
      </c>
    </row>
    <row r="166" spans="1:4">
      <c r="A166" s="127">
        <v>64</v>
      </c>
      <c r="B166" s="127">
        <v>64</v>
      </c>
      <c r="C166" s="127">
        <v>0</v>
      </c>
      <c r="D166" s="119">
        <f>ROUND(Carga_Tarifa_2!R68,2)</f>
        <v>4319.09</v>
      </c>
    </row>
    <row r="167" spans="1:4">
      <c r="A167" s="127">
        <v>65</v>
      </c>
      <c r="B167" s="127">
        <v>65</v>
      </c>
      <c r="C167" s="127">
        <v>0</v>
      </c>
      <c r="D167" s="119">
        <f>ROUND(Carga_Tarifa_2!R69,2)</f>
        <v>4474.0200000000004</v>
      </c>
    </row>
    <row r="168" spans="1:4">
      <c r="A168" s="127">
        <v>66</v>
      </c>
      <c r="B168" s="127">
        <v>66</v>
      </c>
      <c r="C168" s="127">
        <v>0</v>
      </c>
      <c r="D168" s="119">
        <f>ROUND(Carga_Tarifa_2!R70,2)</f>
        <v>4634.5</v>
      </c>
    </row>
    <row r="169" spans="1:4">
      <c r="A169" s="127">
        <v>67</v>
      </c>
      <c r="B169" s="127">
        <v>67</v>
      </c>
      <c r="C169" s="127">
        <v>0</v>
      </c>
      <c r="D169" s="119">
        <f>ROUND(Carga_Tarifa_2!R71,2)</f>
        <v>4800.74</v>
      </c>
    </row>
    <row r="170" spans="1:4">
      <c r="A170" s="127">
        <v>68</v>
      </c>
      <c r="B170" s="127">
        <v>68</v>
      </c>
      <c r="C170" s="127">
        <v>0</v>
      </c>
      <c r="D170" s="119">
        <f>ROUND(Carga_Tarifa_2!R72,2)</f>
        <v>4972.95</v>
      </c>
    </row>
    <row r="171" spans="1:4">
      <c r="A171" s="127">
        <v>69</v>
      </c>
      <c r="B171" s="127">
        <v>69</v>
      </c>
      <c r="C171" s="127">
        <v>0</v>
      </c>
      <c r="D171" s="119">
        <f>ROUND(Carga_Tarifa_2!R73,2)</f>
        <v>5151.32</v>
      </c>
    </row>
    <row r="172" spans="1:4">
      <c r="A172" s="127">
        <v>70</v>
      </c>
      <c r="B172" s="127">
        <v>70</v>
      </c>
      <c r="C172" s="127">
        <v>0</v>
      </c>
      <c r="D172" s="119">
        <f>ROUND(Carga_Tarifa_2!R74,2)</f>
        <v>5336.1</v>
      </c>
    </row>
    <row r="173" spans="1:4">
      <c r="A173" s="127">
        <v>71</v>
      </c>
      <c r="B173" s="127">
        <v>71</v>
      </c>
      <c r="C173" s="127">
        <v>0</v>
      </c>
      <c r="D173" s="119">
        <f>ROUND(Carga_Tarifa_2!R75,2)</f>
        <v>5527.51</v>
      </c>
    </row>
    <row r="174" spans="1:4">
      <c r="A174" s="127">
        <v>72</v>
      </c>
      <c r="B174" s="127">
        <v>72</v>
      </c>
      <c r="C174" s="127">
        <v>0</v>
      </c>
      <c r="D174" s="119">
        <f>ROUND(Carga_Tarifa_2!R76,2)</f>
        <v>5725.78</v>
      </c>
    </row>
    <row r="175" spans="1:4">
      <c r="A175" s="127">
        <v>73</v>
      </c>
      <c r="B175" s="127">
        <v>73</v>
      </c>
      <c r="C175" s="127">
        <v>0</v>
      </c>
      <c r="D175" s="119">
        <f>ROUND(Carga_Tarifa_2!R77,2)</f>
        <v>5931.16</v>
      </c>
    </row>
    <row r="176" spans="1:4">
      <c r="A176" s="127">
        <v>74</v>
      </c>
      <c r="B176" s="127">
        <v>74</v>
      </c>
      <c r="C176" s="127">
        <v>0</v>
      </c>
      <c r="D176" s="119">
        <f>ROUND(Carga_Tarifa_2!R78,2)</f>
        <v>6143.91</v>
      </c>
    </row>
    <row r="177" spans="1:4">
      <c r="A177" s="127">
        <v>75</v>
      </c>
      <c r="B177" s="127">
        <v>75</v>
      </c>
      <c r="C177" s="127">
        <v>0</v>
      </c>
      <c r="D177" s="119">
        <f>ROUND(Carga_Tarifa_2!R79,2)</f>
        <v>6364.3</v>
      </c>
    </row>
    <row r="178" spans="1:4">
      <c r="A178" s="127">
        <v>76</v>
      </c>
      <c r="B178" s="127">
        <v>76</v>
      </c>
      <c r="C178" s="127">
        <v>0</v>
      </c>
      <c r="D178" s="119">
        <f>ROUND(Carga_Tarifa_2!R80,2)</f>
        <v>6592.58</v>
      </c>
    </row>
    <row r="179" spans="1:4">
      <c r="A179" s="127">
        <v>77</v>
      </c>
      <c r="B179" s="127">
        <v>77</v>
      </c>
      <c r="C179" s="127">
        <v>0</v>
      </c>
      <c r="D179" s="119">
        <f>ROUND(Carga_Tarifa_2!R81,2)</f>
        <v>6829.06</v>
      </c>
    </row>
    <row r="180" spans="1:4">
      <c r="A180" s="127">
        <v>78</v>
      </c>
      <c r="B180" s="127">
        <v>78</v>
      </c>
      <c r="C180" s="127">
        <v>0</v>
      </c>
      <c r="D180" s="119">
        <f>ROUND(Carga_Tarifa_2!R82,2)</f>
        <v>7074.02</v>
      </c>
    </row>
    <row r="181" spans="1:4">
      <c r="A181" s="127">
        <v>79</v>
      </c>
      <c r="B181" s="127">
        <v>79</v>
      </c>
      <c r="C181" s="127">
        <v>0</v>
      </c>
      <c r="D181" s="119">
        <f>ROUND(Carga_Tarifa_2!R83,2)</f>
        <v>7327.76</v>
      </c>
    </row>
    <row r="182" spans="1:4">
      <c r="A182" s="127">
        <v>80</v>
      </c>
      <c r="B182" s="127">
        <v>80</v>
      </c>
      <c r="C182" s="127">
        <v>0</v>
      </c>
      <c r="D182" s="119">
        <f>ROUND(Carga_Tarifa_2!R84,2)</f>
        <v>7590.61</v>
      </c>
    </row>
    <row r="183" spans="1:4">
      <c r="A183" s="127">
        <v>81</v>
      </c>
      <c r="B183" s="127">
        <v>81</v>
      </c>
      <c r="C183" s="127">
        <v>0</v>
      </c>
      <c r="D183" s="119">
        <f>ROUND(Carga_Tarifa_2!R85,2)</f>
        <v>7862.88</v>
      </c>
    </row>
    <row r="184" spans="1:4">
      <c r="A184" s="127">
        <v>82</v>
      </c>
      <c r="B184" s="127">
        <v>82</v>
      </c>
      <c r="C184" s="127">
        <v>0</v>
      </c>
      <c r="D184" s="119">
        <f>ROUND(Carga_Tarifa_2!R86,2)</f>
        <v>8144.92</v>
      </c>
    </row>
    <row r="185" spans="1:4">
      <c r="A185" s="127">
        <v>83</v>
      </c>
      <c r="B185" s="127">
        <v>83</v>
      </c>
      <c r="C185" s="127">
        <v>0</v>
      </c>
      <c r="D185" s="119">
        <f>ROUND(Carga_Tarifa_2!R87,2)</f>
        <v>8437.08</v>
      </c>
    </row>
    <row r="186" spans="1:4">
      <c r="A186" s="127">
        <v>84</v>
      </c>
      <c r="B186" s="127">
        <v>84</v>
      </c>
      <c r="C186" s="127">
        <v>0</v>
      </c>
      <c r="D186" s="119">
        <f>ROUND(Carga_Tarifa_2!R88,2)</f>
        <v>8739.7199999999993</v>
      </c>
    </row>
    <row r="187" spans="1:4">
      <c r="A187" s="127">
        <v>85</v>
      </c>
      <c r="B187" s="127">
        <v>85</v>
      </c>
      <c r="C187" s="127">
        <v>0</v>
      </c>
      <c r="D187" s="119">
        <f>ROUND(Carga_Tarifa_2!R89,2)</f>
        <v>9053.2099999999991</v>
      </c>
    </row>
    <row r="188" spans="1:4">
      <c r="A188" s="127">
        <v>86</v>
      </c>
      <c r="B188" s="127">
        <v>86</v>
      </c>
      <c r="C188" s="127">
        <v>0</v>
      </c>
      <c r="D188" s="119">
        <f>ROUND(Carga_Tarifa_2!R90,2)</f>
        <v>9377.9500000000007</v>
      </c>
    </row>
    <row r="189" spans="1:4">
      <c r="A189" s="127">
        <v>87</v>
      </c>
      <c r="B189" s="127">
        <v>87</v>
      </c>
      <c r="C189" s="127">
        <v>0</v>
      </c>
      <c r="D189" s="119">
        <f>ROUND(Carga_Tarifa_2!R91,2)</f>
        <v>9714.34</v>
      </c>
    </row>
    <row r="190" spans="1:4">
      <c r="A190" s="127">
        <v>88</v>
      </c>
      <c r="B190" s="127">
        <v>88</v>
      </c>
      <c r="C190" s="127">
        <v>0</v>
      </c>
      <c r="D190" s="119">
        <f>ROUND(Carga_Tarifa_2!R92,2)</f>
        <v>10062.790000000001</v>
      </c>
    </row>
    <row r="191" spans="1:4">
      <c r="A191" s="127">
        <v>89</v>
      </c>
      <c r="B191" s="127">
        <v>89</v>
      </c>
      <c r="C191" s="127">
        <v>0</v>
      </c>
      <c r="D191" s="119">
        <f>ROUND(Carga_Tarifa_2!R93,2)</f>
        <v>10423.74</v>
      </c>
    </row>
    <row r="192" spans="1:4">
      <c r="A192" s="127">
        <v>90</v>
      </c>
      <c r="B192" s="127">
        <v>90</v>
      </c>
      <c r="C192" s="127">
        <v>0</v>
      </c>
      <c r="D192" s="119">
        <f>ROUND(Carga_Tarifa_2!R94,2)</f>
        <v>10797.64</v>
      </c>
    </row>
    <row r="193" spans="1:4">
      <c r="A193" s="127">
        <v>91</v>
      </c>
      <c r="B193" s="127">
        <v>91</v>
      </c>
      <c r="C193" s="127">
        <v>0</v>
      </c>
      <c r="D193" s="119">
        <f>ROUND(Carga_Tarifa_2!R95,2)</f>
        <v>11184.95</v>
      </c>
    </row>
    <row r="194" spans="1:4">
      <c r="A194" s="127">
        <v>92</v>
      </c>
      <c r="B194" s="127">
        <v>92</v>
      </c>
      <c r="C194" s="127">
        <v>0</v>
      </c>
      <c r="D194" s="119">
        <f>ROUND(Carga_Tarifa_2!R96,2)</f>
        <v>11586.15</v>
      </c>
    </row>
    <row r="195" spans="1:4">
      <c r="A195" s="127">
        <v>93</v>
      </c>
      <c r="B195" s="127">
        <v>93</v>
      </c>
      <c r="C195" s="127">
        <v>0</v>
      </c>
      <c r="D195" s="119">
        <f>ROUND(Carga_Tarifa_2!R97,2)</f>
        <v>12001.75</v>
      </c>
    </row>
    <row r="196" spans="1:4">
      <c r="A196" s="127">
        <v>94</v>
      </c>
      <c r="B196" s="127">
        <v>94</v>
      </c>
      <c r="C196" s="127">
        <v>0</v>
      </c>
      <c r="D196" s="119">
        <f>ROUND(Carga_Tarifa_2!R98,2)</f>
        <v>12432.25</v>
      </c>
    </row>
    <row r="197" spans="1:4">
      <c r="A197" s="127">
        <v>95</v>
      </c>
      <c r="B197" s="127">
        <v>95</v>
      </c>
      <c r="C197" s="127">
        <v>0</v>
      </c>
      <c r="D197" s="119">
        <f>ROUND(Carga_Tarifa_2!R99,2)</f>
        <v>12878.2</v>
      </c>
    </row>
    <row r="198" spans="1:4">
      <c r="A198" s="127">
        <v>96</v>
      </c>
      <c r="B198" s="127">
        <v>96</v>
      </c>
      <c r="C198" s="127">
        <v>0</v>
      </c>
      <c r="D198" s="119">
        <f>ROUND(Carga_Tarifa_2!R100,2)</f>
        <v>13340.14</v>
      </c>
    </row>
    <row r="199" spans="1:4">
      <c r="A199" s="127">
        <v>97</v>
      </c>
      <c r="B199" s="127">
        <v>97</v>
      </c>
      <c r="C199" s="127">
        <v>0</v>
      </c>
      <c r="D199" s="119">
        <f>ROUND(Carga_Tarifa_2!R101,2)</f>
        <v>13818.65</v>
      </c>
    </row>
    <row r="200" spans="1:4">
      <c r="A200" s="127">
        <v>98</v>
      </c>
      <c r="B200" s="127">
        <v>98</v>
      </c>
      <c r="C200" s="127">
        <v>0</v>
      </c>
      <c r="D200" s="119">
        <f>ROUND(Carga_Tarifa_2!R102,2)</f>
        <v>14314.32</v>
      </c>
    </row>
    <row r="201" spans="1:4">
      <c r="A201" s="127">
        <v>99</v>
      </c>
      <c r="B201" s="127">
        <v>99</v>
      </c>
      <c r="C201" s="127">
        <v>0</v>
      </c>
      <c r="D201" s="119">
        <f>ROUND(Carga_Tarifa_2!R103,2)</f>
        <v>14827.77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R103"/>
  <sheetViews>
    <sheetView workbookViewId="0">
      <pane xSplit="1" ySplit="3" topLeftCell="B4" activePane="bottomRight" state="frozen"/>
      <selection pane="topRight"/>
      <selection pane="bottomLeft"/>
      <selection pane="bottomRight"/>
    </sheetView>
  </sheetViews>
  <sheetFormatPr baseColWidth="10" defaultColWidth="11.42578125" defaultRowHeight="15"/>
  <cols>
    <col min="2" max="5" width="9.42578125" style="58" customWidth="1"/>
    <col min="6" max="7" width="15.7109375" customWidth="1"/>
    <col min="8" max="13" width="15.7109375" style="58" customWidth="1"/>
  </cols>
  <sheetData>
    <row r="1" spans="1:18" ht="15.75" thickBot="1">
      <c r="B1" s="370" t="s">
        <v>54</v>
      </c>
      <c r="C1" s="370"/>
      <c r="D1" s="377"/>
      <c r="E1" s="377"/>
      <c r="F1" s="370" t="s">
        <v>174</v>
      </c>
      <c r="G1" s="370"/>
      <c r="H1" s="377"/>
      <c r="I1" s="377"/>
      <c r="J1" s="370" t="s">
        <v>175</v>
      </c>
      <c r="K1" s="377"/>
      <c r="L1" s="377"/>
      <c r="M1" s="377"/>
      <c r="N1" s="370" t="s">
        <v>106</v>
      </c>
      <c r="O1" s="370"/>
      <c r="Q1" s="370"/>
      <c r="R1" s="370"/>
    </row>
    <row r="2" spans="1:18" ht="27" customHeight="1">
      <c r="A2" s="378" t="s">
        <v>9</v>
      </c>
      <c r="B2" s="380" t="s">
        <v>34</v>
      </c>
      <c r="C2" s="381"/>
      <c r="D2" s="373" t="s">
        <v>42</v>
      </c>
      <c r="E2" s="374"/>
      <c r="F2" s="373" t="s">
        <v>34</v>
      </c>
      <c r="G2" s="374"/>
      <c r="H2" s="373" t="s">
        <v>42</v>
      </c>
      <c r="I2" s="374"/>
      <c r="J2" s="373" t="s">
        <v>34</v>
      </c>
      <c r="K2" s="374"/>
      <c r="L2" s="375" t="s">
        <v>42</v>
      </c>
      <c r="M2" s="376"/>
      <c r="N2" s="373" t="s">
        <v>105</v>
      </c>
      <c r="O2" s="374"/>
      <c r="Q2" s="371" t="s">
        <v>132</v>
      </c>
      <c r="R2" s="372"/>
    </row>
    <row r="3" spans="1:18" ht="15.75" thickBot="1">
      <c r="A3" s="379"/>
      <c r="B3" s="61" t="s">
        <v>52</v>
      </c>
      <c r="C3" s="62" t="s">
        <v>53</v>
      </c>
      <c r="D3" s="54" t="s">
        <v>52</v>
      </c>
      <c r="E3" s="55" t="s">
        <v>53</v>
      </c>
      <c r="F3" s="81" t="s">
        <v>52</v>
      </c>
      <c r="G3" s="55" t="s">
        <v>53</v>
      </c>
      <c r="H3" s="81" t="s">
        <v>52</v>
      </c>
      <c r="I3" s="55" t="s">
        <v>53</v>
      </c>
      <c r="J3" s="81" t="s">
        <v>52</v>
      </c>
      <c r="K3" s="55" t="s">
        <v>53</v>
      </c>
      <c r="L3" s="81" t="s">
        <v>52</v>
      </c>
      <c r="M3" s="55" t="s">
        <v>53</v>
      </c>
      <c r="N3" s="54" t="s">
        <v>52</v>
      </c>
      <c r="O3" s="55" t="s">
        <v>53</v>
      </c>
      <c r="Q3" s="170" t="s">
        <v>52</v>
      </c>
      <c r="R3" s="171" t="s">
        <v>53</v>
      </c>
    </row>
    <row r="4" spans="1:18">
      <c r="A4" s="56">
        <v>0</v>
      </c>
      <c r="B4" s="115">
        <f>'Cotizador Basica'!P3</f>
        <v>203.73710257898838</v>
      </c>
      <c r="C4" s="115">
        <f>'Cotizador Basica'!P3</f>
        <v>203.73710257898838</v>
      </c>
      <c r="D4" s="116">
        <f>'Cotizador Basica'!P3/(1-Cotización!$O$47-Cotización!$O$48-Cotización!$O$49)</f>
        <v>452.74911684219643</v>
      </c>
      <c r="E4" s="117">
        <f>'Cotizador Basica'!P3/(1-Cotización!$O$47-Cotización!$O$48-Cotización!$O$49)</f>
        <v>452.74911684219643</v>
      </c>
      <c r="F4" s="118" t="e">
        <f>'Cotizador EMER'!P3*IFERROR(VLOOKUP(A4,'Cotizador Cobertura EMER'!$B$7:$C$107,2,FALSE)-1,0)</f>
        <v>#NUM!</v>
      </c>
      <c r="G4" s="118" t="e">
        <f>'Cotizador EMER'!P3*IFERROR(VLOOKUP(A4,'Cotizador Cobertura EMER'!$B$7:$C$107,2,FALSE)-1,0)</f>
        <v>#NUM!</v>
      </c>
      <c r="H4" s="118">
        <f>IF(Cotización!$D$33="Excluida",0,ROUND(F4/(1-Cotización!$O$47-Cotización!O$48-Cotización!$O$49),0))</f>
        <v>0</v>
      </c>
      <c r="I4" s="118">
        <f>IF(Cotización!$D$33="Excluida",0,ROUND(G4/(1-Cotización!$O$47-Cotización!$O$48-Cotización!$O$49),0))</f>
        <v>0</v>
      </c>
      <c r="J4" s="118" t="e">
        <f>'Cotizador Extranjero'!P3*(VLOOKUP(A4,'Cotizador Cobertura Ext 2'!$B$7:$C$107,2,FALSE)-1)</f>
        <v>#NUM!</v>
      </c>
      <c r="K4" s="118" t="e">
        <f>'Cotizador Extranjero'!P3*(VLOOKUP(A4,'Cotizador Cobertura Ext 2'!$B$7:$C$107,2,FALSE)-1)</f>
        <v>#NUM!</v>
      </c>
      <c r="L4" s="118">
        <f>IF(Cotización!$D$31="Excluida",0,ROUND(J4/(1-SUM(Cotización!$O$47:$O$49)),0))</f>
        <v>0</v>
      </c>
      <c r="M4" s="118">
        <f>IF(Cotización!$D$31="Excluida",0,ROUND(K4/(1-SUM(Cotización!$O$47:$O$49)),0))</f>
        <v>0</v>
      </c>
      <c r="N4" s="119">
        <v>266.15122795000002</v>
      </c>
      <c r="O4" s="119">
        <v>266.15122795000002</v>
      </c>
      <c r="Q4" s="215">
        <f>IFERROR(D4,0)+IFERROR(H4,0)+IFERROR(L4,0)</f>
        <v>452.74911684219643</v>
      </c>
      <c r="R4" s="215">
        <f t="shared" ref="R4:R67" si="0">IFERROR(E4,0)+IFERROR(I4,0)+IFERROR(M4,0)</f>
        <v>452.74911684219643</v>
      </c>
    </row>
    <row r="5" spans="1:18">
      <c r="A5" s="56">
        <v>1</v>
      </c>
      <c r="B5" s="115">
        <f>'Cotizador Basica'!P4</f>
        <v>211.04514296119808</v>
      </c>
      <c r="C5" s="115">
        <f>'Cotizador Basica'!P4</f>
        <v>211.04514296119808</v>
      </c>
      <c r="D5" s="116">
        <f>'Cotizador Basica'!P4/(1-Cotización!$O$47-Cotización!$O$48-Cotización!$O$49)</f>
        <v>468.98920658044023</v>
      </c>
      <c r="E5" s="116">
        <f>'Cotizador Basica'!P4/(1-Cotización!$O$47-Cotización!$O$48-Cotización!$O$49)</f>
        <v>468.98920658044023</v>
      </c>
      <c r="F5" s="118" t="e">
        <f>'Cotizador EMER'!P4*IFERROR(VLOOKUP(A5,'Cotizador Cobertura EMER'!$B$7:$C$107,2,FALSE)-1,0)</f>
        <v>#NUM!</v>
      </c>
      <c r="G5" s="118" t="e">
        <f>'Cotizador EMER'!P4*IFERROR(VLOOKUP(A5,'Cotizador Cobertura EMER'!$B$7:$C$107,2,FALSE)-1,0)</f>
        <v>#NUM!</v>
      </c>
      <c r="H5" s="118">
        <f>IF(Cotización!$D$33="Excluida",0,ROUND(F5/(1-Cotización!$O$47-Cotización!O$48-Cotización!$O$49),0))</f>
        <v>0</v>
      </c>
      <c r="I5" s="118">
        <f>IF(Cotización!$D$33="Excluida",0,ROUND(G5/(1-Cotización!$O$47-Cotización!$O$48-Cotización!$O$49),0))</f>
        <v>0</v>
      </c>
      <c r="J5" s="118" t="e">
        <f>'Cotizador Extranjero'!P4*(VLOOKUP(A5,'Cotizador Cobertura Ext 2'!$B$7:$C$107,2,FALSE)-1)</f>
        <v>#NUM!</v>
      </c>
      <c r="K5" s="118" t="e">
        <f>'Cotizador Extranjero'!P4*(VLOOKUP(A5,'Cotizador Cobertura Ext 2'!$B$7:$C$107,2,FALSE)-1)</f>
        <v>#NUM!</v>
      </c>
      <c r="L5" s="118">
        <f>IF(Cotización!$D$31="Excluida",0,ROUND(J5/(1-SUM(Cotización!$O$47:$O$49)),0))</f>
        <v>0</v>
      </c>
      <c r="M5" s="118">
        <f>IF(Cotización!$D$31="Excluida",0,ROUND(K5/(1-SUM(Cotización!$O$47:$O$49)),0))</f>
        <v>0</v>
      </c>
      <c r="N5" s="119">
        <v>266.15122795000002</v>
      </c>
      <c r="O5" s="119">
        <v>266.15122795000002</v>
      </c>
      <c r="Q5" s="215">
        <f t="shared" ref="Q5:Q68" si="1">IFERROR(D5,0)+IFERROR(H5,0)+IFERROR(L5,0)</f>
        <v>468.98920658044023</v>
      </c>
      <c r="R5" s="215">
        <f t="shared" si="0"/>
        <v>468.98920658044023</v>
      </c>
    </row>
    <row r="6" spans="1:18">
      <c r="A6" s="56">
        <v>2</v>
      </c>
      <c r="B6" s="115">
        <f>'Cotizador Basica'!P5</f>
        <v>218.61532241160873</v>
      </c>
      <c r="C6" s="115">
        <f>'Cotizador Basica'!P5</f>
        <v>218.61532241160873</v>
      </c>
      <c r="D6" s="116">
        <f>'Cotizador Basica'!P5/(1-Cotización!$O$47-Cotización!$O$48-Cotización!$O$49)</f>
        <v>485.81182758135276</v>
      </c>
      <c r="E6" s="116">
        <f>'Cotizador Basica'!P5/(1-Cotización!$O$47-Cotización!$O$48-Cotización!$O$49)</f>
        <v>485.81182758135276</v>
      </c>
      <c r="F6" s="118" t="e">
        <f>'Cotizador EMER'!P5*IFERROR(VLOOKUP(A6,'Cotizador Cobertura EMER'!$B$7:$C$107,2,FALSE)-1,0)</f>
        <v>#NUM!</v>
      </c>
      <c r="G6" s="118" t="e">
        <f>'Cotizador EMER'!P5*IFERROR(VLOOKUP(A6,'Cotizador Cobertura EMER'!$B$7:$C$107,2,FALSE)-1,0)</f>
        <v>#NUM!</v>
      </c>
      <c r="H6" s="118">
        <f>IF(Cotización!$D$33="Excluida",0,ROUND(F6/(1-Cotización!$O$47-Cotización!O$48-Cotización!$O$49),0))</f>
        <v>0</v>
      </c>
      <c r="I6" s="118">
        <f>IF(Cotización!$D$33="Excluida",0,ROUND(G6/(1-Cotización!$O$47-Cotización!$O$48-Cotización!$O$49),0))</f>
        <v>0</v>
      </c>
      <c r="J6" s="118" t="e">
        <f>'Cotizador Extranjero'!P5*(VLOOKUP(A6,'Cotizador Cobertura Ext 2'!$B$7:$C$107,2,FALSE)-1)</f>
        <v>#NUM!</v>
      </c>
      <c r="K6" s="118" t="e">
        <f>'Cotizador Extranjero'!P5*(VLOOKUP(A6,'Cotizador Cobertura Ext 2'!$B$7:$C$107,2,FALSE)-1)</f>
        <v>#NUM!</v>
      </c>
      <c r="L6" s="118">
        <f>IF(Cotización!$D$31="Excluida",0,ROUND(J6/(1-SUM(Cotización!$O$47:$O$49)),0))</f>
        <v>0</v>
      </c>
      <c r="M6" s="118">
        <f>IF(Cotización!$D$31="Excluida",0,ROUND(K6/(1-SUM(Cotización!$O$47:$O$49)),0))</f>
        <v>0</v>
      </c>
      <c r="N6" s="119">
        <v>266.15122795000002</v>
      </c>
      <c r="O6" s="119">
        <v>266.15122795000002</v>
      </c>
      <c r="Q6" s="215">
        <f t="shared" si="1"/>
        <v>485.81182758135276</v>
      </c>
      <c r="R6" s="215">
        <f t="shared" si="0"/>
        <v>485.81182758135276</v>
      </c>
    </row>
    <row r="7" spans="1:18">
      <c r="A7" s="56">
        <v>3</v>
      </c>
      <c r="B7" s="115">
        <f>'Cotizador Basica'!P6</f>
        <v>226.45704384638972</v>
      </c>
      <c r="C7" s="115">
        <f>'Cotizador Basica'!P6</f>
        <v>226.45704384638972</v>
      </c>
      <c r="D7" s="116">
        <f>'Cotizador Basica'!P6/(1-Cotización!$O$47-Cotización!$O$48-Cotización!$O$49)</f>
        <v>503.23787521419945</v>
      </c>
      <c r="E7" s="116">
        <f>'Cotizador Basica'!P6/(1-Cotización!$O$47-Cotización!$O$48-Cotización!$O$49)</f>
        <v>503.23787521419945</v>
      </c>
      <c r="F7" s="118" t="e">
        <f>'Cotizador EMER'!P6*IFERROR(VLOOKUP(A7,'Cotizador Cobertura EMER'!$B$7:$C$107,2,FALSE)-1,0)</f>
        <v>#NUM!</v>
      </c>
      <c r="G7" s="118" t="e">
        <f>'Cotizador EMER'!P6*IFERROR(VLOOKUP(A7,'Cotizador Cobertura EMER'!$B$7:$C$107,2,FALSE)-1,0)</f>
        <v>#NUM!</v>
      </c>
      <c r="H7" s="118">
        <f>IF(Cotización!$D$33="Excluida",0,ROUND(F7/(1-Cotización!$O$47-Cotización!O$48-Cotización!$O$49),0))</f>
        <v>0</v>
      </c>
      <c r="I7" s="118">
        <f>IF(Cotización!$D$33="Excluida",0,ROUND(G7/(1-Cotización!$O$47-Cotización!$O$48-Cotización!$O$49),0))</f>
        <v>0</v>
      </c>
      <c r="J7" s="118" t="e">
        <f>'Cotizador Extranjero'!P6*(VLOOKUP(A7,'Cotizador Cobertura Ext 2'!$B$7:$C$107,2,FALSE)-1)</f>
        <v>#NUM!</v>
      </c>
      <c r="K7" s="118" t="e">
        <f>'Cotizador Extranjero'!P6*(VLOOKUP(A7,'Cotizador Cobertura Ext 2'!$B$7:$C$107,2,FALSE)-1)</f>
        <v>#NUM!</v>
      </c>
      <c r="L7" s="118">
        <f>IF(Cotización!$D$31="Excluida",0,ROUND(J7/(1-SUM(Cotización!$O$47:$O$49)),0))</f>
        <v>0</v>
      </c>
      <c r="M7" s="118">
        <f>IF(Cotización!$D$31="Excluida",0,ROUND(K7/(1-SUM(Cotización!$O$47:$O$49)),0))</f>
        <v>0</v>
      </c>
      <c r="N7" s="119">
        <v>266.15122795000002</v>
      </c>
      <c r="O7" s="119">
        <v>266.15122795000002</v>
      </c>
      <c r="Q7" s="215">
        <f t="shared" si="1"/>
        <v>503.23787521419945</v>
      </c>
      <c r="R7" s="215">
        <f t="shared" si="0"/>
        <v>503.23787521419945</v>
      </c>
    </row>
    <row r="8" spans="1:18">
      <c r="A8" s="56">
        <v>4</v>
      </c>
      <c r="B8" s="115">
        <f>'Cotizador Basica'!P7</f>
        <v>234.58004746387579</v>
      </c>
      <c r="C8" s="115">
        <f>'Cotizador Basica'!P7</f>
        <v>234.58004746387579</v>
      </c>
      <c r="D8" s="116">
        <f>'Cotizador Basica'!P7/(1-Cotización!$O$47-Cotización!$O$48-Cotización!$O$49)</f>
        <v>521.2889943641685</v>
      </c>
      <c r="E8" s="116">
        <f>'Cotizador Basica'!P7/(1-Cotización!$O$47-Cotización!$O$48-Cotización!$O$49)</f>
        <v>521.2889943641685</v>
      </c>
      <c r="F8" s="118" t="e">
        <f>'Cotizador EMER'!P7*IFERROR(VLOOKUP(A8,'Cotizador Cobertura EMER'!$B$7:$C$107,2,FALSE)-1,0)</f>
        <v>#NUM!</v>
      </c>
      <c r="G8" s="118" t="e">
        <f>'Cotizador EMER'!P7*IFERROR(VLOOKUP(A8,'Cotizador Cobertura EMER'!$B$7:$C$107,2,FALSE)-1,0)</f>
        <v>#NUM!</v>
      </c>
      <c r="H8" s="118">
        <f>IF(Cotización!$D$33="Excluida",0,ROUND(F8/(1-Cotización!$O$47-Cotización!O$48-Cotización!$O$49),0))</f>
        <v>0</v>
      </c>
      <c r="I8" s="118">
        <f>IF(Cotización!$D$33="Excluida",0,ROUND(G8/(1-Cotización!$O$47-Cotización!$O$48-Cotización!$O$49),0))</f>
        <v>0</v>
      </c>
      <c r="J8" s="118" t="e">
        <f>'Cotizador Extranjero'!P7*(VLOOKUP(A8,'Cotizador Cobertura Ext 2'!$B$7:$C$107,2,FALSE)-1)</f>
        <v>#NUM!</v>
      </c>
      <c r="K8" s="118" t="e">
        <f>'Cotizador Extranjero'!P7*(VLOOKUP(A8,'Cotizador Cobertura Ext 2'!$B$7:$C$107,2,FALSE)-1)</f>
        <v>#NUM!</v>
      </c>
      <c r="L8" s="118">
        <f>IF(Cotización!$D$31="Excluida",0,ROUND(J8/(1-SUM(Cotización!$O$47:$O$49)),0))</f>
        <v>0</v>
      </c>
      <c r="M8" s="118">
        <f>IF(Cotización!$D$31="Excluida",0,ROUND(K8/(1-SUM(Cotización!$O$47:$O$49)),0))</f>
        <v>0</v>
      </c>
      <c r="N8" s="119">
        <v>266.15122795000002</v>
      </c>
      <c r="O8" s="119">
        <v>266.15122795000002</v>
      </c>
      <c r="Q8" s="215">
        <f t="shared" si="1"/>
        <v>521.2889943641685</v>
      </c>
      <c r="R8" s="215">
        <f t="shared" si="0"/>
        <v>521.2889943641685</v>
      </c>
    </row>
    <row r="9" spans="1:18">
      <c r="A9" s="56">
        <v>5</v>
      </c>
      <c r="B9" s="115">
        <f>'Cotizador Basica'!P8</f>
        <v>242.99442284286226</v>
      </c>
      <c r="C9" s="115">
        <f>'Cotizador Basica'!P8</f>
        <v>242.99442284286226</v>
      </c>
      <c r="D9" s="116">
        <f>'Cotizador Basica'!P8/(1-Cotización!$O$47-Cotización!$O$48-Cotización!$O$49)</f>
        <v>539.98760631747177</v>
      </c>
      <c r="E9" s="116">
        <f>'Cotizador Basica'!P8/(1-Cotización!$O$47-Cotización!$O$48-Cotización!$O$49)</f>
        <v>539.98760631747177</v>
      </c>
      <c r="F9" s="118" t="e">
        <f>'Cotizador EMER'!P8*IFERROR(VLOOKUP(A9,'Cotizador Cobertura EMER'!$B$7:$C$107,2,FALSE)-1,0)</f>
        <v>#NUM!</v>
      </c>
      <c r="G9" s="118" t="e">
        <f>'Cotizador EMER'!P8*IFERROR(VLOOKUP(A9,'Cotizador Cobertura EMER'!$B$7:$C$107,2,FALSE)-1,0)</f>
        <v>#NUM!</v>
      </c>
      <c r="H9" s="118">
        <f>IF(Cotización!$D$33="Excluida",0,ROUND(F9/(1-Cotización!$O$47-Cotización!O$48-Cotización!$O$49),0))</f>
        <v>0</v>
      </c>
      <c r="I9" s="118">
        <f>IF(Cotización!$D$33="Excluida",0,ROUND(G9/(1-Cotización!$O$47-Cotización!$O$48-Cotización!$O$49),0))</f>
        <v>0</v>
      </c>
      <c r="J9" s="118" t="e">
        <f>'Cotizador Extranjero'!P8*(VLOOKUP(A9,'Cotizador Cobertura Ext 2'!$B$7:$C$107,2,FALSE)-1)</f>
        <v>#NUM!</v>
      </c>
      <c r="K9" s="118" t="e">
        <f>'Cotizador Extranjero'!P8*(VLOOKUP(A9,'Cotizador Cobertura Ext 2'!$B$7:$C$107,2,FALSE)-1)</f>
        <v>#NUM!</v>
      </c>
      <c r="L9" s="118">
        <f>IF(Cotización!$D$31="Excluida",0,ROUND(J9/(1-SUM(Cotización!$O$47:$O$49)),0))</f>
        <v>0</v>
      </c>
      <c r="M9" s="118">
        <f>IF(Cotización!$D$31="Excluida",0,ROUND(K9/(1-SUM(Cotización!$O$47:$O$49)),0))</f>
        <v>0</v>
      </c>
      <c r="N9" s="119">
        <v>266.15122795000002</v>
      </c>
      <c r="O9" s="119">
        <v>266.15122795000002</v>
      </c>
      <c r="Q9" s="215">
        <f t="shared" si="1"/>
        <v>539.98760631747177</v>
      </c>
      <c r="R9" s="215">
        <f t="shared" si="0"/>
        <v>539.98760631747177</v>
      </c>
    </row>
    <row r="10" spans="1:18">
      <c r="A10" s="56">
        <v>6</v>
      </c>
      <c r="B10" s="115">
        <f>'Cotizador Basica'!P9</f>
        <v>251.71062147486597</v>
      </c>
      <c r="C10" s="115">
        <f>'Cotizador Basica'!P9</f>
        <v>251.71062147486597</v>
      </c>
      <c r="D10" s="116">
        <f>'Cotizador Basica'!P9/(1-Cotización!$O$47-Cotización!$O$48-Cotización!$O$49)</f>
        <v>559.35693661081336</v>
      </c>
      <c r="E10" s="116">
        <f>'Cotizador Basica'!P9/(1-Cotización!$O$47-Cotización!$O$48-Cotización!$O$49)</f>
        <v>559.35693661081336</v>
      </c>
      <c r="F10" s="118" t="e">
        <f>'Cotizador EMER'!P9*IFERROR(VLOOKUP(A10,'Cotizador Cobertura EMER'!$B$7:$C$107,2,FALSE)-1,0)</f>
        <v>#NUM!</v>
      </c>
      <c r="G10" s="118" t="e">
        <f>'Cotizador EMER'!P9*IFERROR(VLOOKUP(A10,'Cotizador Cobertura EMER'!$B$7:$C$107,2,FALSE)-1,0)</f>
        <v>#NUM!</v>
      </c>
      <c r="H10" s="118">
        <f>IF(Cotización!$D$33="Excluida",0,ROUND(F10/(1-Cotización!$O$47-Cotización!O$48-Cotización!$O$49),0))</f>
        <v>0</v>
      </c>
      <c r="I10" s="118">
        <f>IF(Cotización!$D$33="Excluida",0,ROUND(G10/(1-Cotización!$O$47-Cotización!$O$48-Cotización!$O$49),0))</f>
        <v>0</v>
      </c>
      <c r="J10" s="118" t="e">
        <f>'Cotizador Extranjero'!P9*(VLOOKUP(A10,'Cotizador Cobertura Ext 2'!$B$7:$C$107,2,FALSE)-1)</f>
        <v>#NUM!</v>
      </c>
      <c r="K10" s="118" t="e">
        <f>'Cotizador Extranjero'!P9*(VLOOKUP(A10,'Cotizador Cobertura Ext 2'!$B$7:$C$107,2,FALSE)-1)</f>
        <v>#NUM!</v>
      </c>
      <c r="L10" s="118">
        <f>IF(Cotización!$D$31="Excluida",0,ROUND(J10/(1-SUM(Cotización!$O$47:$O$49)),0))</f>
        <v>0</v>
      </c>
      <c r="M10" s="118">
        <f>IF(Cotización!$D$31="Excluida",0,ROUND(K10/(1-SUM(Cotización!$O$47:$O$49)),0))</f>
        <v>0</v>
      </c>
      <c r="N10" s="119">
        <v>266.15122795000002</v>
      </c>
      <c r="O10" s="119">
        <v>266.15122795000002</v>
      </c>
      <c r="Q10" s="215">
        <f t="shared" si="1"/>
        <v>559.35693661081336</v>
      </c>
      <c r="R10" s="215">
        <f t="shared" si="0"/>
        <v>559.35693661081336</v>
      </c>
    </row>
    <row r="11" spans="1:18">
      <c r="A11" s="56">
        <v>7</v>
      </c>
      <c r="B11" s="115">
        <f>'Cotizador Basica'!P10</f>
        <v>260.73946974591792</v>
      </c>
      <c r="C11" s="115">
        <f>'Cotizador Basica'!P10</f>
        <v>260.73946974591792</v>
      </c>
      <c r="D11" s="116">
        <f>'Cotizador Basica'!P10/(1-Cotización!$O$47-Cotización!$O$48-Cotización!$O$49)</f>
        <v>579.4210438798176</v>
      </c>
      <c r="E11" s="116">
        <f>'Cotizador Basica'!P10/(1-Cotización!$O$47-Cotización!$O$48-Cotización!$O$49)</f>
        <v>579.4210438798176</v>
      </c>
      <c r="F11" s="118" t="e">
        <f>'Cotizador EMER'!P10*IFERROR(VLOOKUP(A11,'Cotizador Cobertura EMER'!$B$7:$C$107,2,FALSE)-1,0)</f>
        <v>#NUM!</v>
      </c>
      <c r="G11" s="118" t="e">
        <f>'Cotizador EMER'!P10*IFERROR(VLOOKUP(A11,'Cotizador Cobertura EMER'!$B$7:$C$107,2,FALSE)-1,0)</f>
        <v>#NUM!</v>
      </c>
      <c r="H11" s="118">
        <f>IF(Cotización!$D$33="Excluida",0,ROUND(F11/(1-Cotización!$O$47-Cotización!O$48-Cotización!$O$49),0))</f>
        <v>0</v>
      </c>
      <c r="I11" s="118">
        <f>IF(Cotización!$D$33="Excluida",0,ROUND(G11/(1-Cotización!$O$47-Cotización!$O$48-Cotización!$O$49),0))</f>
        <v>0</v>
      </c>
      <c r="J11" s="118" t="e">
        <f>'Cotizador Extranjero'!P10*(VLOOKUP(A11,'Cotizador Cobertura Ext 2'!$B$7:$C$107,2,FALSE)-1)</f>
        <v>#NUM!</v>
      </c>
      <c r="K11" s="118" t="e">
        <f>'Cotizador Extranjero'!P10*(VLOOKUP(A11,'Cotizador Cobertura Ext 2'!$B$7:$C$107,2,FALSE)-1)</f>
        <v>#NUM!</v>
      </c>
      <c r="L11" s="118">
        <f>IF(Cotización!$D$31="Excluida",0,ROUND(J11/(1-SUM(Cotización!$O$47:$O$49)),0))</f>
        <v>0</v>
      </c>
      <c r="M11" s="118">
        <f>IF(Cotización!$D$31="Excluida",0,ROUND(K11/(1-SUM(Cotización!$O$47:$O$49)),0))</f>
        <v>0</v>
      </c>
      <c r="N11" s="119">
        <v>266.15122795000002</v>
      </c>
      <c r="O11" s="119">
        <v>266.15122795000002</v>
      </c>
      <c r="Q11" s="215">
        <f t="shared" si="1"/>
        <v>579.4210438798176</v>
      </c>
      <c r="R11" s="215">
        <f t="shared" si="0"/>
        <v>579.4210438798176</v>
      </c>
    </row>
    <row r="12" spans="1:18">
      <c r="A12" s="56">
        <v>8</v>
      </c>
      <c r="B12" s="115">
        <f>'Cotizador Basica'!P11</f>
        <v>270.09218238401166</v>
      </c>
      <c r="C12" s="115">
        <f>'Cotizador Basica'!P11</f>
        <v>270.09218238401166</v>
      </c>
      <c r="D12" s="116">
        <f>'Cotizador Basica'!P11/(1-Cotización!$O$47-Cotización!$O$48-Cotización!$O$49)</f>
        <v>600.20484974224826</v>
      </c>
      <c r="E12" s="116">
        <f>'Cotizador Basica'!P11/(1-Cotización!$O$47-Cotización!$O$48-Cotización!$O$49)</f>
        <v>600.20484974224826</v>
      </c>
      <c r="F12" s="118" t="e">
        <f>'Cotizador EMER'!P11*IFERROR(VLOOKUP(A12,'Cotizador Cobertura EMER'!$B$7:$C$107,2,FALSE)-1,0)</f>
        <v>#NUM!</v>
      </c>
      <c r="G12" s="118" t="e">
        <f>'Cotizador EMER'!P11*IFERROR(VLOOKUP(A12,'Cotizador Cobertura EMER'!$B$7:$C$107,2,FALSE)-1,0)</f>
        <v>#NUM!</v>
      </c>
      <c r="H12" s="118">
        <f>IF(Cotización!$D$33="Excluida",0,ROUND(F12/(1-Cotización!$O$47-Cotización!O$48-Cotización!$O$49),0))</f>
        <v>0</v>
      </c>
      <c r="I12" s="118">
        <f>IF(Cotización!$D$33="Excluida",0,ROUND(G12/(1-Cotización!$O$47-Cotización!$O$48-Cotización!$O$49),0))</f>
        <v>0</v>
      </c>
      <c r="J12" s="118" t="e">
        <f>'Cotizador Extranjero'!P11*(VLOOKUP(A12,'Cotizador Cobertura Ext 2'!$B$7:$C$107,2,FALSE)-1)</f>
        <v>#NUM!</v>
      </c>
      <c r="K12" s="118" t="e">
        <f>'Cotizador Extranjero'!P11*(VLOOKUP(A12,'Cotizador Cobertura Ext 2'!$B$7:$C$107,2,FALSE)-1)</f>
        <v>#NUM!</v>
      </c>
      <c r="L12" s="118">
        <f>IF(Cotización!$D$31="Excluida",0,ROUND(J12/(1-SUM(Cotización!$O$47:$O$49)),0))</f>
        <v>0</v>
      </c>
      <c r="M12" s="118">
        <f>IF(Cotización!$D$31="Excluida",0,ROUND(K12/(1-SUM(Cotización!$O$47:$O$49)),0))</f>
        <v>0</v>
      </c>
      <c r="N12" s="119">
        <v>266.15122795000002</v>
      </c>
      <c r="O12" s="119">
        <v>266.15122795000002</v>
      </c>
      <c r="Q12" s="215">
        <f t="shared" si="1"/>
        <v>600.20484974224826</v>
      </c>
      <c r="R12" s="215">
        <f t="shared" si="0"/>
        <v>600.20484974224826</v>
      </c>
    </row>
    <row r="13" spans="1:18">
      <c r="A13" s="56">
        <v>9</v>
      </c>
      <c r="B13" s="115">
        <f>'Cotizador Basica'!P12</f>
        <v>279.78037638891198</v>
      </c>
      <c r="C13" s="115">
        <f>'Cotizador Basica'!P12</f>
        <v>279.78037638891198</v>
      </c>
      <c r="D13" s="116">
        <f>'Cotizador Basica'!P12/(1-Cotización!$O$47-Cotización!$O$48-Cotización!$O$49)</f>
        <v>621.73416975313773</v>
      </c>
      <c r="E13" s="116">
        <f>'Cotizador Basica'!P12/(1-Cotización!$O$47-Cotización!$O$48-Cotización!$O$49)</f>
        <v>621.73416975313773</v>
      </c>
      <c r="F13" s="118" t="e">
        <f>'Cotizador EMER'!P12*IFERROR(VLOOKUP(A13,'Cotizador Cobertura EMER'!$B$7:$C$107,2,FALSE)-1,0)</f>
        <v>#NUM!</v>
      </c>
      <c r="G13" s="118" t="e">
        <f>'Cotizador EMER'!P12*IFERROR(VLOOKUP(A13,'Cotizador Cobertura EMER'!$B$7:$C$107,2,FALSE)-1,0)</f>
        <v>#NUM!</v>
      </c>
      <c r="H13" s="118">
        <f>IF(Cotización!$D$33="Excluida",0,ROUND(F13/(1-Cotización!$O$47-Cotización!O$48-Cotización!$O$49),0))</f>
        <v>0</v>
      </c>
      <c r="I13" s="118">
        <f>IF(Cotización!$D$33="Excluida",0,ROUND(G13/(1-Cotización!$O$47-Cotización!$O$48-Cotización!$O$49),0))</f>
        <v>0</v>
      </c>
      <c r="J13" s="118" t="e">
        <f>'Cotizador Extranjero'!P12*(VLOOKUP(A13,'Cotizador Cobertura Ext 2'!$B$7:$C$107,2,FALSE)-1)</f>
        <v>#NUM!</v>
      </c>
      <c r="K13" s="118" t="e">
        <f>'Cotizador Extranjero'!P12*(VLOOKUP(A13,'Cotizador Cobertura Ext 2'!$B$7:$C$107,2,FALSE)-1)</f>
        <v>#NUM!</v>
      </c>
      <c r="L13" s="118">
        <f>IF(Cotización!$D$31="Excluida",0,ROUND(J13/(1-SUM(Cotización!$O$47:$O$49)),0))</f>
        <v>0</v>
      </c>
      <c r="M13" s="118">
        <f>IF(Cotización!$D$31="Excluida",0,ROUND(K13/(1-SUM(Cotización!$O$47:$O$49)),0))</f>
        <v>0</v>
      </c>
      <c r="N13" s="119">
        <v>266.15122795000002</v>
      </c>
      <c r="O13" s="119">
        <v>266.15122795000002</v>
      </c>
      <c r="Q13" s="215">
        <f t="shared" si="1"/>
        <v>621.73416975313773</v>
      </c>
      <c r="R13" s="215">
        <f t="shared" si="0"/>
        <v>621.73416975313773</v>
      </c>
    </row>
    <row r="14" spans="1:18">
      <c r="A14" s="56">
        <v>10</v>
      </c>
      <c r="B14" s="115">
        <f>'Cotizador Basica'!P13</f>
        <v>289.81608546162391</v>
      </c>
      <c r="C14" s="115">
        <f>'Cotizador Basica'!P13</f>
        <v>289.81608546162391</v>
      </c>
      <c r="D14" s="116">
        <f>'Cotizador Basica'!P13/(1-Cotización!$O$47-Cotización!$O$48-Cotización!$O$49)</f>
        <v>644.0357454702754</v>
      </c>
      <c r="E14" s="116">
        <f>'Cotizador Basica'!P13/(1-Cotización!$O$47-Cotización!$O$48-Cotización!$O$49)</f>
        <v>644.0357454702754</v>
      </c>
      <c r="F14" s="118" t="e">
        <f>'Cotizador EMER'!P13*IFERROR(VLOOKUP(A14,'Cotizador Cobertura EMER'!$B$7:$C$107,2,FALSE)-1,0)</f>
        <v>#NUM!</v>
      </c>
      <c r="G14" s="118" t="e">
        <f>'Cotizador EMER'!P13*IFERROR(VLOOKUP(A14,'Cotizador Cobertura EMER'!$B$7:$C$107,2,FALSE)-1,0)</f>
        <v>#NUM!</v>
      </c>
      <c r="H14" s="118">
        <f>IF(Cotización!$D$33="Excluida",0,ROUND(F14/(1-Cotización!$O$47-Cotización!O$48-Cotización!$O$49),0))</f>
        <v>0</v>
      </c>
      <c r="I14" s="118">
        <f>IF(Cotización!$D$33="Excluida",0,ROUND(G14/(1-Cotización!$O$47-Cotización!$O$48-Cotización!$O$49),0))</f>
        <v>0</v>
      </c>
      <c r="J14" s="118" t="e">
        <f>'Cotizador Extranjero'!P13*(VLOOKUP(A14,'Cotizador Cobertura Ext 2'!$B$7:$C$107,2,FALSE)-1)</f>
        <v>#NUM!</v>
      </c>
      <c r="K14" s="118" t="e">
        <f>'Cotizador Extranjero'!P13*(VLOOKUP(A14,'Cotizador Cobertura Ext 2'!$B$7:$C$107,2,FALSE)-1)</f>
        <v>#NUM!</v>
      </c>
      <c r="L14" s="118">
        <f>IF(Cotización!$D$31="Excluida",0,ROUND(J14/(1-SUM(Cotización!$O$47:$O$49)),0))</f>
        <v>0</v>
      </c>
      <c r="M14" s="118">
        <f>IF(Cotización!$D$31="Excluida",0,ROUND(K14/(1-SUM(Cotización!$O$47:$O$49)),0))</f>
        <v>0</v>
      </c>
      <c r="N14" s="119">
        <v>266.15122795000002</v>
      </c>
      <c r="O14" s="119">
        <v>266.15122795000002</v>
      </c>
      <c r="Q14" s="215">
        <f t="shared" si="1"/>
        <v>644.0357454702754</v>
      </c>
      <c r="R14" s="215">
        <f t="shared" si="0"/>
        <v>644.0357454702754</v>
      </c>
    </row>
    <row r="15" spans="1:18">
      <c r="A15" s="56">
        <v>11</v>
      </c>
      <c r="B15" s="115">
        <f>'Cotizador Basica'!P14</f>
        <v>300.21177495144747</v>
      </c>
      <c r="C15" s="115">
        <f>'Cotizador Basica'!P14</f>
        <v>300.21177495144747</v>
      </c>
      <c r="D15" s="116">
        <f>'Cotizador Basica'!P14/(1-Cotización!$O$47-Cotización!$O$48-Cotización!$O$49)</f>
        <v>667.13727766988336</v>
      </c>
      <c r="E15" s="116">
        <f>'Cotizador Basica'!P14/(1-Cotización!$O$47-Cotización!$O$48-Cotización!$O$49)</f>
        <v>667.13727766988336</v>
      </c>
      <c r="F15" s="118" t="e">
        <f>'Cotizador EMER'!P14*IFERROR(VLOOKUP(A15,'Cotizador Cobertura EMER'!$B$7:$C$107,2,FALSE)-1,0)</f>
        <v>#NUM!</v>
      </c>
      <c r="G15" s="118" t="e">
        <f>'Cotizador EMER'!P14*IFERROR(VLOOKUP(A15,'Cotizador Cobertura EMER'!$B$7:$C$107,2,FALSE)-1,0)</f>
        <v>#NUM!</v>
      </c>
      <c r="H15" s="118">
        <f>IF(Cotización!$D$33="Excluida",0,ROUND(F15/(1-Cotización!$O$47-Cotización!O$48-Cotización!$O$49),0))</f>
        <v>0</v>
      </c>
      <c r="I15" s="118">
        <f>IF(Cotización!$D$33="Excluida",0,ROUND(G15/(1-Cotización!$O$47-Cotización!$O$48-Cotización!$O$49),0))</f>
        <v>0</v>
      </c>
      <c r="J15" s="118" t="e">
        <f>'Cotizador Extranjero'!P14*(VLOOKUP(A15,'Cotizador Cobertura Ext 2'!$B$7:$C$107,2,FALSE)-1)</f>
        <v>#NUM!</v>
      </c>
      <c r="K15" s="118" t="e">
        <f>'Cotizador Extranjero'!P14*(VLOOKUP(A15,'Cotizador Cobertura Ext 2'!$B$7:$C$107,2,FALSE)-1)</f>
        <v>#NUM!</v>
      </c>
      <c r="L15" s="118">
        <f>IF(Cotización!$D$31="Excluida",0,ROUND(J15/(1-SUM(Cotización!$O$47:$O$49)),0))</f>
        <v>0</v>
      </c>
      <c r="M15" s="118">
        <f>IF(Cotización!$D$31="Excluida",0,ROUND(K15/(1-SUM(Cotización!$O$47:$O$49)),0))</f>
        <v>0</v>
      </c>
      <c r="N15" s="119">
        <v>266.15122795000002</v>
      </c>
      <c r="O15" s="119">
        <v>266.15122795000002</v>
      </c>
      <c r="Q15" s="215">
        <f t="shared" si="1"/>
        <v>667.13727766988336</v>
      </c>
      <c r="R15" s="215">
        <f t="shared" si="0"/>
        <v>667.13727766988336</v>
      </c>
    </row>
    <row r="16" spans="1:18">
      <c r="A16" s="56">
        <v>12</v>
      </c>
      <c r="B16" s="115">
        <f>'Cotizador Basica'!P15</f>
        <v>310.98035733918135</v>
      </c>
      <c r="C16" s="115">
        <f>'Cotizador Basica'!P15</f>
        <v>310.98035733918135</v>
      </c>
      <c r="D16" s="116">
        <f>'Cotizador Basica'!P15/(1-Cotización!$O$47-Cotización!$O$48-Cotización!$O$49)</f>
        <v>691.06746075373644</v>
      </c>
      <c r="E16" s="120">
        <f>'Cotizador Basica'!P15/(1-Cotización!$O$47-Cotización!$O$48-Cotización!$O$49)</f>
        <v>691.06746075373644</v>
      </c>
      <c r="F16" s="118" t="e">
        <f>'Cotizador EMER'!P15*IFERROR(VLOOKUP(A16,'Cotizador Cobertura EMER'!$B$7:$C$107,2,FALSE)-1,0)</f>
        <v>#NUM!</v>
      </c>
      <c r="G16" s="118" t="e">
        <f>'Cotizador EMER'!P15*IFERROR(VLOOKUP(A16,'Cotizador Cobertura EMER'!$B$7:$C$107,2,FALSE)-1,0)</f>
        <v>#NUM!</v>
      </c>
      <c r="H16" s="118">
        <f>IF(Cotización!$D$33="Excluida",0,ROUND(F16/(1-Cotización!$O$47-Cotización!O$48-Cotización!$O$49),0))</f>
        <v>0</v>
      </c>
      <c r="I16" s="118">
        <f>IF(Cotización!$D$33="Excluida",0,ROUND(G16/(1-Cotización!$O$47-Cotización!$O$48-Cotización!$O$49),0))</f>
        <v>0</v>
      </c>
      <c r="J16" s="118" t="e">
        <f>'Cotizador Extranjero'!P15*(VLOOKUP(A16,'Cotizador Cobertura Ext 2'!$B$7:$C$107,2,FALSE)-1)</f>
        <v>#NUM!</v>
      </c>
      <c r="K16" s="118" t="e">
        <f>'Cotizador Extranjero'!P15*(VLOOKUP(A16,'Cotizador Cobertura Ext 2'!$B$7:$C$107,2,FALSE)-1)</f>
        <v>#NUM!</v>
      </c>
      <c r="L16" s="118">
        <f>IF(Cotización!$D$31="Excluida",0,ROUND(J16/(1-SUM(Cotización!$O$47:$O$49)),0))</f>
        <v>0</v>
      </c>
      <c r="M16" s="118">
        <f>IF(Cotización!$D$31="Excluida",0,ROUND(K16/(1-SUM(Cotización!$O$47:$O$49)),0))</f>
        <v>0</v>
      </c>
      <c r="N16" s="119">
        <v>266.15122795000002</v>
      </c>
      <c r="O16" s="119">
        <v>266.15122795000002</v>
      </c>
      <c r="Q16" s="215">
        <f t="shared" si="1"/>
        <v>691.06746075373644</v>
      </c>
      <c r="R16" s="215">
        <f t="shared" si="0"/>
        <v>691.06746075373644</v>
      </c>
    </row>
    <row r="17" spans="1:18">
      <c r="A17" s="56">
        <v>13</v>
      </c>
      <c r="B17" s="115">
        <f>'Cotizador Basica'!P16</f>
        <v>322.13520827570943</v>
      </c>
      <c r="C17" s="115">
        <f>'Cotizador Basica'!P16</f>
        <v>322.13520827570943</v>
      </c>
      <c r="D17" s="116">
        <f>'Cotizador Basica'!P16/(1-Cotización!$O$47-Cotización!$O$48-Cotización!$O$49)</f>
        <v>715.85601839046547</v>
      </c>
      <c r="E17" s="116">
        <f>'Cotizador Basica'!P16/(1-Cotización!$O$47-Cotización!$O$48-Cotización!$O$49)</f>
        <v>715.85601839046547</v>
      </c>
      <c r="F17" s="118" t="e">
        <f>'Cotizador EMER'!P16*IFERROR(VLOOKUP(A17,'Cotizador Cobertura EMER'!$B$7:$C$107,2,FALSE)-1,0)</f>
        <v>#NUM!</v>
      </c>
      <c r="G17" s="118" t="e">
        <f>'Cotizador EMER'!P16*IFERROR(VLOOKUP(A17,'Cotizador Cobertura EMER'!$B$7:$C$107,2,FALSE)-1,0)</f>
        <v>#NUM!</v>
      </c>
      <c r="H17" s="118">
        <f>IF(Cotización!$D$33="Excluida",0,ROUND(F17/(1-Cotización!$O$47-Cotización!O$48-Cotización!$O$49),0))</f>
        <v>0</v>
      </c>
      <c r="I17" s="118">
        <f>IF(Cotización!$D$33="Excluida",0,ROUND(G17/(1-Cotización!$O$47-Cotización!$O$48-Cotización!$O$49),0))</f>
        <v>0</v>
      </c>
      <c r="J17" s="118" t="e">
        <f>'Cotizador Extranjero'!P16*(VLOOKUP(A17,'Cotizador Cobertura Ext 2'!$B$7:$C$107,2,FALSE)-1)</f>
        <v>#NUM!</v>
      </c>
      <c r="K17" s="118" t="e">
        <f>'Cotizador Extranjero'!P16*(VLOOKUP(A17,'Cotizador Cobertura Ext 2'!$B$7:$C$107,2,FALSE)-1)</f>
        <v>#NUM!</v>
      </c>
      <c r="L17" s="118">
        <f>IF(Cotización!$D$31="Excluida",0,ROUND(J17/(1-SUM(Cotización!$O$47:$O$49)),0))</f>
        <v>0</v>
      </c>
      <c r="M17" s="118">
        <f>IF(Cotización!$D$31="Excluida",0,ROUND(K17/(1-SUM(Cotización!$O$47:$O$49)),0))</f>
        <v>0</v>
      </c>
      <c r="N17" s="119">
        <v>266.15122795000002</v>
      </c>
      <c r="O17" s="119">
        <v>266.15122795000002</v>
      </c>
      <c r="Q17" s="215">
        <f t="shared" si="1"/>
        <v>715.85601839046547</v>
      </c>
      <c r="R17" s="215">
        <f t="shared" si="0"/>
        <v>715.85601839046547</v>
      </c>
    </row>
    <row r="18" spans="1:18">
      <c r="A18" s="56">
        <v>14</v>
      </c>
      <c r="B18" s="115">
        <f>'Cotizador Basica'!P17</f>
        <v>333.6901831958898</v>
      </c>
      <c r="C18" s="115">
        <f>'Cotizador Basica'!P17</f>
        <v>333.6901831958898</v>
      </c>
      <c r="D18" s="116">
        <f>'Cotizador Basica'!P17/(1-Cotización!$O$47-Cotización!$O$48-Cotización!$O$49)</f>
        <v>741.53374043531073</v>
      </c>
      <c r="E18" s="116">
        <f>'Cotizador Basica'!P17/(1-Cotización!$O$47-Cotización!$O$48-Cotización!$O$49)</f>
        <v>741.53374043531073</v>
      </c>
      <c r="F18" s="118" t="e">
        <f>'Cotizador EMER'!P17*IFERROR(VLOOKUP(A18,'Cotizador Cobertura EMER'!$B$7:$C$107,2,FALSE)-1,0)</f>
        <v>#NUM!</v>
      </c>
      <c r="G18" s="118" t="e">
        <f>'Cotizador EMER'!P17*IFERROR(VLOOKUP(A18,'Cotizador Cobertura EMER'!$B$7:$C$107,2,FALSE)-1,0)</f>
        <v>#NUM!</v>
      </c>
      <c r="H18" s="118">
        <f>IF(Cotización!$D$33="Excluida",0,ROUND(F18/(1-Cotización!$O$47-Cotización!O$48-Cotización!$O$49),0))</f>
        <v>0</v>
      </c>
      <c r="I18" s="118">
        <f>IF(Cotización!$D$33="Excluida",0,ROUND(G18/(1-Cotización!$O$47-Cotización!$O$48-Cotización!$O$49),0))</f>
        <v>0</v>
      </c>
      <c r="J18" s="118" t="e">
        <f>'Cotizador Extranjero'!P17*(VLOOKUP(A18,'Cotizador Cobertura Ext 2'!$B$7:$C$107,2,FALSE)-1)</f>
        <v>#NUM!</v>
      </c>
      <c r="K18" s="118" t="e">
        <f>'Cotizador Extranjero'!P17*(VLOOKUP(A18,'Cotizador Cobertura Ext 2'!$B$7:$C$107,2,FALSE)-1)</f>
        <v>#NUM!</v>
      </c>
      <c r="L18" s="118">
        <f>IF(Cotización!$D$31="Excluida",0,ROUND(J18/(1-SUM(Cotización!$O$47:$O$49)),0))</f>
        <v>0</v>
      </c>
      <c r="M18" s="118">
        <f>IF(Cotización!$D$31="Excluida",0,ROUND(K18/(1-SUM(Cotización!$O$47:$O$49)),0))</f>
        <v>0</v>
      </c>
      <c r="N18" s="119">
        <v>266.15122795000002</v>
      </c>
      <c r="O18" s="119">
        <v>266.15122795000002</v>
      </c>
      <c r="Q18" s="215">
        <f t="shared" si="1"/>
        <v>741.53374043531073</v>
      </c>
      <c r="R18" s="215">
        <f t="shared" si="0"/>
        <v>741.53374043531073</v>
      </c>
    </row>
    <row r="19" spans="1:18">
      <c r="A19" s="56">
        <v>15</v>
      </c>
      <c r="B19" s="115">
        <f>'Cotizador Basica'!P18</f>
        <v>345.65963452838372</v>
      </c>
      <c r="C19" s="115">
        <f>'Cotizador Basica'!P18</f>
        <v>345.65963452838372</v>
      </c>
      <c r="D19" s="116">
        <f>'Cotizador Basica'!P18/(1-Cotización!$O$47-Cotización!$O$48-Cotización!$O$49)</f>
        <v>768.13252117418608</v>
      </c>
      <c r="E19" s="116">
        <f>'Cotizador Basica'!P18/(1-Cotización!$O$47-Cotización!$O$48-Cotización!$O$49)</f>
        <v>768.13252117418608</v>
      </c>
      <c r="F19" s="118" t="e">
        <f>'Cotizador EMER'!P18*IFERROR(VLOOKUP(A19,'Cotizador Cobertura EMER'!$B$7:$C$107,2,FALSE)-1,0)</f>
        <v>#NUM!</v>
      </c>
      <c r="G19" s="118" t="e">
        <f>'Cotizador EMER'!P18*IFERROR(VLOOKUP(A19,'Cotizador Cobertura EMER'!$B$7:$C$107,2,FALSE)-1,0)</f>
        <v>#NUM!</v>
      </c>
      <c r="H19" s="118">
        <f>IF(Cotización!$D$33="Excluida",0,ROUND(F19/(1-Cotización!$O$47-Cotización!O$48-Cotización!$O$49),0))</f>
        <v>0</v>
      </c>
      <c r="I19" s="118">
        <f>IF(Cotización!$D$33="Excluida",0,ROUND(G19/(1-Cotización!$O$47-Cotización!$O$48-Cotización!$O$49),0))</f>
        <v>0</v>
      </c>
      <c r="J19" s="118" t="e">
        <f>'Cotizador Extranjero'!P18*(VLOOKUP(A19,'Cotizador Cobertura Ext 2'!$B$7:$C$107,2,FALSE)-1)</f>
        <v>#NUM!</v>
      </c>
      <c r="K19" s="118" t="e">
        <f>'Cotizador Extranjero'!P18*(VLOOKUP(A19,'Cotizador Cobertura Ext 2'!$B$7:$C$107,2,FALSE)-1)</f>
        <v>#NUM!</v>
      </c>
      <c r="L19" s="118">
        <f>IF(Cotización!$D$31="Excluida",0,ROUND(J19/(1-SUM(Cotización!$O$47:$O$49)),0))</f>
        <v>0</v>
      </c>
      <c r="M19" s="118">
        <f>IF(Cotización!$D$31="Excluida",0,ROUND(K19/(1-SUM(Cotización!$O$47:$O$49)),0))</f>
        <v>0</v>
      </c>
      <c r="N19" s="119">
        <v>266.15122795000002</v>
      </c>
      <c r="O19" s="119">
        <v>266.15122795000002</v>
      </c>
      <c r="Q19" s="215">
        <f t="shared" si="1"/>
        <v>768.13252117418608</v>
      </c>
      <c r="R19" s="215">
        <f t="shared" si="0"/>
        <v>768.13252117418608</v>
      </c>
    </row>
    <row r="20" spans="1:18">
      <c r="A20" s="56">
        <v>16</v>
      </c>
      <c r="B20" s="115">
        <f>'Cotizador Basica'!P19</f>
        <v>358.05842952280022</v>
      </c>
      <c r="C20" s="115">
        <f>'Cotizador Basica'!P19</f>
        <v>358.05842952280022</v>
      </c>
      <c r="D20" s="116">
        <f>'Cotizador Basica'!P19/(1-Cotización!$O$47-Cotización!$O$48-Cotización!$O$49)</f>
        <v>795.68539893955608</v>
      </c>
      <c r="E20" s="116">
        <f>'Cotizador Basica'!P19/(1-Cotización!$O$47-Cotización!$O$48-Cotización!$O$49)</f>
        <v>795.68539893955608</v>
      </c>
      <c r="F20" s="118" t="e">
        <f>'Cotizador EMER'!P19*IFERROR(VLOOKUP(A20,'Cotizador Cobertura EMER'!$B$7:$C$107,2,FALSE)-1,0)</f>
        <v>#NUM!</v>
      </c>
      <c r="G20" s="118" t="e">
        <f>'Cotizador EMER'!P19*IFERROR(VLOOKUP(A20,'Cotizador Cobertura EMER'!$B$7:$C$107,2,FALSE)-1,0)</f>
        <v>#NUM!</v>
      </c>
      <c r="H20" s="118">
        <f>IF(Cotización!$D$33="Excluida",0,ROUND(F20/(1-Cotización!$O$47-Cotización!O$48-Cotización!$O$49),0))</f>
        <v>0</v>
      </c>
      <c r="I20" s="118">
        <f>IF(Cotización!$D$33="Excluida",0,ROUND(G20/(1-Cotización!$O$47-Cotización!$O$48-Cotización!$O$49),0))</f>
        <v>0</v>
      </c>
      <c r="J20" s="118" t="e">
        <f>'Cotizador Extranjero'!P19*(VLOOKUP(A20,'Cotizador Cobertura Ext 2'!$B$7:$C$107,2,FALSE)-1)</f>
        <v>#NUM!</v>
      </c>
      <c r="K20" s="118" t="e">
        <f>'Cotizador Extranjero'!P19*(VLOOKUP(A20,'Cotizador Cobertura Ext 2'!$B$7:$C$107,2,FALSE)-1)</f>
        <v>#NUM!</v>
      </c>
      <c r="L20" s="118">
        <f>IF(Cotización!$D$31="Excluida",0,ROUND(J20/(1-SUM(Cotización!$O$47:$O$49)),0))</f>
        <v>0</v>
      </c>
      <c r="M20" s="118">
        <f>IF(Cotización!$D$31="Excluida",0,ROUND(K20/(1-SUM(Cotización!$O$47:$O$49)),0))</f>
        <v>0</v>
      </c>
      <c r="N20" s="119">
        <v>266.15122795000002</v>
      </c>
      <c r="O20" s="119">
        <v>266.15122795000002</v>
      </c>
      <c r="Q20" s="215">
        <f t="shared" si="1"/>
        <v>795.68539893955608</v>
      </c>
      <c r="R20" s="215">
        <f t="shared" si="0"/>
        <v>795.68539893955608</v>
      </c>
    </row>
    <row r="21" spans="1:18">
      <c r="A21" s="56">
        <v>17</v>
      </c>
      <c r="B21" s="115">
        <f>'Cotizador Basica'!P20</f>
        <v>370.90196871629939</v>
      </c>
      <c r="C21" s="115">
        <f>'Cotizador Basica'!P20</f>
        <v>370.90196871629939</v>
      </c>
      <c r="D21" s="116">
        <f>'Cotizador Basica'!P20/(1-Cotización!$O$47-Cotización!$O$48-Cotización!$O$49)</f>
        <v>824.22659714733209</v>
      </c>
      <c r="E21" s="116">
        <f>'Cotizador Basica'!P20/(1-Cotización!$O$47-Cotización!$O$48-Cotización!$O$49)</f>
        <v>824.22659714733209</v>
      </c>
      <c r="F21" s="118" t="e">
        <f>'Cotizador EMER'!P20*IFERROR(VLOOKUP(A21,'Cotizador Cobertura EMER'!$B$7:$C$107,2,FALSE)-1,0)</f>
        <v>#NUM!</v>
      </c>
      <c r="G21" s="118" t="e">
        <f>'Cotizador EMER'!P20*IFERROR(VLOOKUP(A21,'Cotizador Cobertura EMER'!$B$7:$C$107,2,FALSE)-1,0)</f>
        <v>#NUM!</v>
      </c>
      <c r="H21" s="118">
        <f>IF(Cotización!$D$33="Excluida",0,ROUND(F21/(1-Cotización!$O$47-Cotización!O$48-Cotización!$O$49),0))</f>
        <v>0</v>
      </c>
      <c r="I21" s="118">
        <f>IF(Cotización!$D$33="Excluida",0,ROUND(G21/(1-Cotización!$O$47-Cotización!$O$48-Cotización!$O$49),0))</f>
        <v>0</v>
      </c>
      <c r="J21" s="118" t="e">
        <f>'Cotizador Extranjero'!P20*(VLOOKUP(A21,'Cotizador Cobertura Ext 2'!$B$7:$C$107,2,FALSE)-1)</f>
        <v>#NUM!</v>
      </c>
      <c r="K21" s="118" t="e">
        <f>'Cotizador Extranjero'!P20*(VLOOKUP(A21,'Cotizador Cobertura Ext 2'!$B$7:$C$107,2,FALSE)-1)</f>
        <v>#NUM!</v>
      </c>
      <c r="L21" s="118">
        <f>IF(Cotización!$D$31="Excluida",0,ROUND(J21/(1-SUM(Cotización!$O$47:$O$49)),0))</f>
        <v>0</v>
      </c>
      <c r="M21" s="118">
        <f>IF(Cotización!$D$31="Excluida",0,ROUND(K21/(1-SUM(Cotización!$O$47:$O$49)),0))</f>
        <v>0</v>
      </c>
      <c r="N21" s="119">
        <v>266.15122795000002</v>
      </c>
      <c r="O21" s="119">
        <v>266.15122795000002</v>
      </c>
      <c r="Q21" s="215">
        <f t="shared" si="1"/>
        <v>824.22659714733209</v>
      </c>
      <c r="R21" s="215">
        <f t="shared" si="0"/>
        <v>824.22659714733209</v>
      </c>
    </row>
    <row r="22" spans="1:18">
      <c r="A22" s="56">
        <v>18</v>
      </c>
      <c r="B22" s="115">
        <f>'Cotizador Basica'!P21</f>
        <v>384.2062050625924</v>
      </c>
      <c r="C22" s="115">
        <f>'Cotizador Basica'!P21</f>
        <v>384.2062050625924</v>
      </c>
      <c r="D22" s="116">
        <f>'Cotizador Basica'!P21/(1-Cotización!$O$47-Cotización!$O$48-Cotización!$O$49)</f>
        <v>853.79156680576102</v>
      </c>
      <c r="E22" s="116">
        <f>'Cotizador Basica'!P21/(1-Cotización!$O$47-Cotización!$O$48-Cotización!$O$49)</f>
        <v>853.79156680576102</v>
      </c>
      <c r="F22" s="118" t="e">
        <f>'Cotizador EMER'!P21*IFERROR(VLOOKUP(A22,'Cotizador Cobertura EMER'!$B$7:$C$107,2,FALSE)-1,0)</f>
        <v>#NUM!</v>
      </c>
      <c r="G22" s="118" t="e">
        <f>'Cotizador EMER'!P21*IFERROR(VLOOKUP(A22,'Cotizador Cobertura EMER'!$B$7:$C$107,2,FALSE)-1,0)</f>
        <v>#NUM!</v>
      </c>
      <c r="H22" s="118">
        <f>IF(Cotización!$D$33="Excluida",0,ROUND(F22/(1-Cotización!$O$47-Cotización!O$48-Cotización!$O$49),0))</f>
        <v>0</v>
      </c>
      <c r="I22" s="118">
        <f>IF(Cotización!$D$33="Excluida",0,ROUND(G22/(1-Cotización!$O$47-Cotización!$O$48-Cotización!$O$49),0))</f>
        <v>0</v>
      </c>
      <c r="J22" s="118" t="e">
        <f>'Cotizador Extranjero'!P21*(VLOOKUP(A22,'Cotizador Cobertura Ext 2'!$B$7:$C$107,2,FALSE)-1)</f>
        <v>#NUM!</v>
      </c>
      <c r="K22" s="118" t="e">
        <f>'Cotizador Extranjero'!P21*(VLOOKUP(A22,'Cotizador Cobertura Ext 2'!$B$7:$C$107,2,FALSE)-1)</f>
        <v>#NUM!</v>
      </c>
      <c r="L22" s="118">
        <f>IF(Cotización!$D$31="Excluida",0,ROUND(J22/(1-SUM(Cotización!$O$47:$O$49)),0))</f>
        <v>0</v>
      </c>
      <c r="M22" s="118">
        <f>IF(Cotización!$D$31="Excluida",0,ROUND(K22/(1-SUM(Cotización!$O$47:$O$49)),0))</f>
        <v>0</v>
      </c>
      <c r="N22" s="119">
        <v>266.15122795000002</v>
      </c>
      <c r="O22" s="119">
        <v>266.15122795000002</v>
      </c>
      <c r="Q22" s="215">
        <f t="shared" si="1"/>
        <v>853.79156680576102</v>
      </c>
      <c r="R22" s="215">
        <f t="shared" si="0"/>
        <v>853.79156680576102</v>
      </c>
    </row>
    <row r="23" spans="1:18">
      <c r="A23" s="56">
        <v>19</v>
      </c>
      <c r="B23" s="115">
        <f>'Cotizador Basica'!P22</f>
        <v>397.98766374709686</v>
      </c>
      <c r="C23" s="115">
        <f>'Cotizador Basica'!P22</f>
        <v>397.98766374709686</v>
      </c>
      <c r="D23" s="116">
        <f>'Cotizador Basica'!P22/(1-Cotización!$O$47-Cotización!$O$48-Cotización!$O$49)</f>
        <v>884.4170305491042</v>
      </c>
      <c r="E23" s="116">
        <f>'Cotizador Basica'!P22/(1-Cotización!$O$47-Cotización!$O$48-Cotización!$O$49)</f>
        <v>884.4170305491042</v>
      </c>
      <c r="F23" s="118" t="e">
        <f>'Cotizador EMER'!P22*IFERROR(VLOOKUP(A23,'Cotizador Cobertura EMER'!$B$7:$C$107,2,FALSE)-1,0)</f>
        <v>#NUM!</v>
      </c>
      <c r="G23" s="118" t="e">
        <f>'Cotizador EMER'!P22*IFERROR(VLOOKUP(A23,'Cotizador Cobertura EMER'!$B$7:$C$107,2,FALSE)-1,0)</f>
        <v>#NUM!</v>
      </c>
      <c r="H23" s="118">
        <f>IF(Cotización!$D$33="Excluida",0,ROUND(F23/(1-Cotización!$O$47-Cotización!O$48-Cotización!$O$49),0))</f>
        <v>0</v>
      </c>
      <c r="I23" s="118">
        <f>IF(Cotización!$D$33="Excluida",0,ROUND(G23/(1-Cotización!$O$47-Cotización!$O$48-Cotización!$O$49),0))</f>
        <v>0</v>
      </c>
      <c r="J23" s="118" t="e">
        <f>'Cotizador Extranjero'!P22*(VLOOKUP(A23,'Cotizador Cobertura Ext 2'!$B$7:$C$107,2,FALSE)-1)</f>
        <v>#NUM!</v>
      </c>
      <c r="K23" s="118" t="e">
        <f>'Cotizador Extranjero'!P22*(VLOOKUP(A23,'Cotizador Cobertura Ext 2'!$B$7:$C$107,2,FALSE)-1)</f>
        <v>#NUM!</v>
      </c>
      <c r="L23" s="118">
        <f>IF(Cotización!$D$31="Excluida",0,ROUND(J23/(1-SUM(Cotización!$O$47:$O$49)),0))</f>
        <v>0</v>
      </c>
      <c r="M23" s="118">
        <f>IF(Cotización!$D$31="Excluida",0,ROUND(K23/(1-SUM(Cotización!$O$47:$O$49)),0))</f>
        <v>0</v>
      </c>
      <c r="N23" s="119">
        <v>266.15122795000002</v>
      </c>
      <c r="O23" s="119">
        <v>266.15122795000002</v>
      </c>
      <c r="Q23" s="215">
        <f t="shared" si="1"/>
        <v>884.4170305491042</v>
      </c>
      <c r="R23" s="215">
        <f t="shared" si="0"/>
        <v>884.4170305491042</v>
      </c>
    </row>
    <row r="24" spans="1:18">
      <c r="A24" s="56">
        <v>20</v>
      </c>
      <c r="B24" s="115">
        <f>'Cotizador Basica'!P23</f>
        <v>412.26346271286189</v>
      </c>
      <c r="C24" s="115">
        <f>'Cotizador Basica'!P23</f>
        <v>412.26346271286189</v>
      </c>
      <c r="D24" s="116">
        <f>'Cotizador Basica'!P23/(1-Cotización!$O$47-Cotización!$O$48-Cotización!$O$49)</f>
        <v>916.14102825080431</v>
      </c>
      <c r="E24" s="116">
        <f>'Cotizador Basica'!P23/(1-Cotización!$O$47-Cotización!$O$48-Cotización!$O$49)</f>
        <v>916.14102825080431</v>
      </c>
      <c r="F24" s="118" t="e">
        <f>'Cotizador EMER'!P23*IFERROR(VLOOKUP(A24,'Cotizador Cobertura EMER'!$B$7:$C$107,2,FALSE)-1,0)</f>
        <v>#NUM!</v>
      </c>
      <c r="G24" s="118" t="e">
        <f>'Cotizador EMER'!P23*IFERROR(VLOOKUP(A24,'Cotizador Cobertura EMER'!$B$7:$C$107,2,FALSE)-1,0)</f>
        <v>#NUM!</v>
      </c>
      <c r="H24" s="118">
        <f>IF(Cotización!$D$33="Excluida",0,ROUND(F24/(1-Cotización!$O$47-Cotización!O$48-Cotización!$O$49),0))</f>
        <v>0</v>
      </c>
      <c r="I24" s="118">
        <f>IF(Cotización!$D$33="Excluida",0,ROUND(G24/(1-Cotización!$O$47-Cotización!$O$48-Cotización!$O$49),0))</f>
        <v>0</v>
      </c>
      <c r="J24" s="118" t="e">
        <f>'Cotizador Extranjero'!P23*(VLOOKUP(A24,'Cotizador Cobertura Ext 2'!$B$7:$C$107,2,FALSE)-1)</f>
        <v>#NUM!</v>
      </c>
      <c r="K24" s="118" t="e">
        <f>'Cotizador Extranjero'!P23*(VLOOKUP(A24,'Cotizador Cobertura Ext 2'!$B$7:$C$107,2,FALSE)-1)</f>
        <v>#NUM!</v>
      </c>
      <c r="L24" s="118">
        <f>IF(Cotización!$D$31="Excluida",0,ROUND(J24/(1-SUM(Cotización!$O$47:$O$49)),0))</f>
        <v>0</v>
      </c>
      <c r="M24" s="118">
        <f>IF(Cotización!$D$31="Excluida",0,ROUND(K24/(1-SUM(Cotización!$O$47:$O$49)),0))</f>
        <v>0</v>
      </c>
      <c r="N24" s="119">
        <v>266.15122795000002</v>
      </c>
      <c r="O24" s="119">
        <v>266.15122795000002</v>
      </c>
      <c r="Q24" s="215">
        <f t="shared" si="1"/>
        <v>916.14102825080431</v>
      </c>
      <c r="R24" s="215">
        <f t="shared" si="0"/>
        <v>916.14102825080431</v>
      </c>
    </row>
    <row r="25" spans="1:18">
      <c r="A25" s="56">
        <v>21</v>
      </c>
      <c r="B25" s="115">
        <f>'Cotizador Basica'!P24</f>
        <v>427.05133392275673</v>
      </c>
      <c r="C25" s="115">
        <f>'Cotizador Basica'!P24</f>
        <v>427.05133392275673</v>
      </c>
      <c r="D25" s="116">
        <f>'Cotizador Basica'!P24/(1-Cotización!$O$47-Cotización!$O$48-Cotización!$O$49)</f>
        <v>949.00296427279284</v>
      </c>
      <c r="E25" s="116">
        <f>'Cotizador Basica'!P24/(1-Cotización!$O$47-Cotización!$O$48-Cotización!$O$49)</f>
        <v>949.00296427279284</v>
      </c>
      <c r="F25" s="118" t="e">
        <f>'Cotizador EMER'!P24*IFERROR(VLOOKUP(A25,'Cotizador Cobertura EMER'!$B$7:$C$107,2,FALSE)-1,0)</f>
        <v>#NUM!</v>
      </c>
      <c r="G25" s="118" t="e">
        <f>'Cotizador EMER'!P24*IFERROR(VLOOKUP(A25,'Cotizador Cobertura EMER'!$B$7:$C$107,2,FALSE)-1,0)</f>
        <v>#NUM!</v>
      </c>
      <c r="H25" s="118">
        <f>IF(Cotización!$D$33="Excluida",0,ROUND(F25/(1-Cotización!$O$47-Cotización!O$48-Cotización!$O$49),0))</f>
        <v>0</v>
      </c>
      <c r="I25" s="118">
        <f>IF(Cotización!$D$33="Excluida",0,ROUND(G25/(1-Cotización!$O$47-Cotización!$O$48-Cotización!$O$49),0))</f>
        <v>0</v>
      </c>
      <c r="J25" s="118" t="e">
        <f>'Cotizador Extranjero'!P24*(VLOOKUP(A25,'Cotizador Cobertura Ext 2'!$B$7:$C$107,2,FALSE)-1)</f>
        <v>#NUM!</v>
      </c>
      <c r="K25" s="118" t="e">
        <f>'Cotizador Extranjero'!P24*(VLOOKUP(A25,'Cotizador Cobertura Ext 2'!$B$7:$C$107,2,FALSE)-1)</f>
        <v>#NUM!</v>
      </c>
      <c r="L25" s="118">
        <f>IF(Cotización!$D$31="Excluida",0,ROUND(J25/(1-SUM(Cotización!$O$47:$O$49)),0))</f>
        <v>0</v>
      </c>
      <c r="M25" s="118">
        <f>IF(Cotización!$D$31="Excluida",0,ROUND(K25/(1-SUM(Cotización!$O$47:$O$49)),0))</f>
        <v>0</v>
      </c>
      <c r="N25" s="119">
        <v>266.15122795000002</v>
      </c>
      <c r="O25" s="119">
        <v>266.15122795000002</v>
      </c>
      <c r="Q25" s="215">
        <f t="shared" si="1"/>
        <v>949.00296427279284</v>
      </c>
      <c r="R25" s="215">
        <f t="shared" si="0"/>
        <v>949.00296427279284</v>
      </c>
    </row>
    <row r="26" spans="1:18">
      <c r="A26" s="56">
        <v>22</v>
      </c>
      <c r="B26" s="115">
        <f>'Cotizador Basica'!P25</f>
        <v>442.36964538433284</v>
      </c>
      <c r="C26" s="115">
        <f>'Cotizador Basica'!P25</f>
        <v>442.36964538433284</v>
      </c>
      <c r="D26" s="116">
        <f>'Cotizador Basica'!P25/(1-Cotización!$O$47-Cotización!$O$48-Cotización!$O$49)</f>
        <v>983.04365640962862</v>
      </c>
      <c r="E26" s="116">
        <f>'Cotizador Basica'!P25/(1-Cotización!$O$47-Cotización!$O$48-Cotización!$O$49)</f>
        <v>983.04365640962862</v>
      </c>
      <c r="F26" s="118" t="e">
        <f>'Cotizador EMER'!P25*IFERROR(VLOOKUP(A26,'Cotizador Cobertura EMER'!$B$7:$C$107,2,FALSE)-1,0)</f>
        <v>#NUM!</v>
      </c>
      <c r="G26" s="118" t="e">
        <f>'Cotizador EMER'!P25*IFERROR(VLOOKUP(A26,'Cotizador Cobertura EMER'!$B$7:$C$107,2,FALSE)-1,0)</f>
        <v>#NUM!</v>
      </c>
      <c r="H26" s="118">
        <f>IF(Cotización!$D$33="Excluida",0,ROUND(F26/(1-Cotización!$O$47-Cotización!O$48-Cotización!$O$49),0))</f>
        <v>0</v>
      </c>
      <c r="I26" s="118">
        <f>IF(Cotización!$D$33="Excluida",0,ROUND(G26/(1-Cotización!$O$47-Cotización!$O$48-Cotización!$O$49),0))</f>
        <v>0</v>
      </c>
      <c r="J26" s="118" t="e">
        <f>'Cotizador Extranjero'!P25*(VLOOKUP(A26,'Cotizador Cobertura Ext 2'!$B$7:$C$107,2,FALSE)-1)</f>
        <v>#NUM!</v>
      </c>
      <c r="K26" s="118" t="e">
        <f>'Cotizador Extranjero'!P25*(VLOOKUP(A26,'Cotizador Cobertura Ext 2'!$B$7:$C$107,2,FALSE)-1)</f>
        <v>#NUM!</v>
      </c>
      <c r="L26" s="118">
        <f>IF(Cotización!$D$31="Excluida",0,ROUND(J26/(1-SUM(Cotización!$O$47:$O$49)),0))</f>
        <v>0</v>
      </c>
      <c r="M26" s="118">
        <f>IF(Cotización!$D$31="Excluida",0,ROUND(K26/(1-SUM(Cotización!$O$47:$O$49)),0))</f>
        <v>0</v>
      </c>
      <c r="N26" s="119">
        <v>266.15122795000002</v>
      </c>
      <c r="O26" s="119">
        <v>266.15122795000002</v>
      </c>
      <c r="Q26" s="215">
        <f t="shared" si="1"/>
        <v>983.04365640962862</v>
      </c>
      <c r="R26" s="215">
        <f t="shared" si="0"/>
        <v>983.04365640962862</v>
      </c>
    </row>
    <row r="27" spans="1:18">
      <c r="A27" s="56">
        <v>23</v>
      </c>
      <c r="B27" s="115">
        <f>'Cotizador Basica'!P26</f>
        <v>458.23742396471749</v>
      </c>
      <c r="C27" s="115">
        <f>'Cotizador Basica'!P26</f>
        <v>458.23742396471749</v>
      </c>
      <c r="D27" s="116">
        <f>'Cotizador Basica'!P26/(1-Cotización!$O$47-Cotización!$O$48-Cotización!$O$49)</f>
        <v>1018.3053865882612</v>
      </c>
      <c r="E27" s="116">
        <f>'Cotizador Basica'!P26/(1-Cotización!$O$47-Cotización!$O$48-Cotización!$O$49)</f>
        <v>1018.3053865882612</v>
      </c>
      <c r="F27" s="118" t="e">
        <f>'Cotizador EMER'!P26*IFERROR(VLOOKUP(A27,'Cotizador Cobertura EMER'!$B$7:$C$107,2,FALSE)-1,0)</f>
        <v>#NUM!</v>
      </c>
      <c r="G27" s="118" t="e">
        <f>'Cotizador EMER'!P26*IFERROR(VLOOKUP(A27,'Cotizador Cobertura EMER'!$B$7:$C$107,2,FALSE)-1,0)</f>
        <v>#NUM!</v>
      </c>
      <c r="H27" s="118">
        <f>IF(Cotización!$D$33="Excluida",0,ROUND(F27/(1-Cotización!$O$47-Cotización!O$48-Cotización!$O$49),0))</f>
        <v>0</v>
      </c>
      <c r="I27" s="118">
        <f>IF(Cotización!$D$33="Excluida",0,ROUND(G27/(1-Cotización!$O$47-Cotización!$O$48-Cotización!$O$49),0))</f>
        <v>0</v>
      </c>
      <c r="J27" s="118" t="e">
        <f>'Cotizador Extranjero'!P26*(VLOOKUP(A27,'Cotizador Cobertura Ext 2'!$B$7:$C$107,2,FALSE)-1)</f>
        <v>#NUM!</v>
      </c>
      <c r="K27" s="118" t="e">
        <f>'Cotizador Extranjero'!P26*(VLOOKUP(A27,'Cotizador Cobertura Ext 2'!$B$7:$C$107,2,FALSE)-1)</f>
        <v>#NUM!</v>
      </c>
      <c r="L27" s="118">
        <f>IF(Cotización!$D$31="Excluida",0,ROUND(J27/(1-SUM(Cotización!$O$47:$O$49)),0))</f>
        <v>0</v>
      </c>
      <c r="M27" s="118">
        <f>IF(Cotización!$D$31="Excluida",0,ROUND(K27/(1-SUM(Cotización!$O$47:$O$49)),0))</f>
        <v>0</v>
      </c>
      <c r="N27" s="119">
        <v>266.15122795000002</v>
      </c>
      <c r="O27" s="119">
        <v>266.15122795000002</v>
      </c>
      <c r="Q27" s="215">
        <f t="shared" si="1"/>
        <v>1018.3053865882612</v>
      </c>
      <c r="R27" s="215">
        <f t="shared" si="0"/>
        <v>1018.3053865882612</v>
      </c>
    </row>
    <row r="28" spans="1:18">
      <c r="A28" s="56">
        <v>24</v>
      </c>
      <c r="B28" s="115">
        <f>'Cotizador Basica'!P27</f>
        <v>474.67437902387547</v>
      </c>
      <c r="C28" s="115">
        <f>'Cotizador Basica'!P27</f>
        <v>474.67437902387547</v>
      </c>
      <c r="D28" s="116">
        <f>'Cotizador Basica'!P27/(1-Cotización!$O$47-Cotización!$O$48-Cotización!$O$49)</f>
        <v>1054.8319533863901</v>
      </c>
      <c r="E28" s="116">
        <f>'Cotizador Basica'!P27/(1-Cotización!$O$47-Cotización!$O$48-Cotización!$O$49)</f>
        <v>1054.8319533863901</v>
      </c>
      <c r="F28" s="118" t="e">
        <f>'Cotizador EMER'!P27*IFERROR(VLOOKUP(A28,'Cotizador Cobertura EMER'!$B$7:$C$107,2,FALSE)-1,0)</f>
        <v>#NUM!</v>
      </c>
      <c r="G28" s="118" t="e">
        <f>'Cotizador EMER'!P27*IFERROR(VLOOKUP(A28,'Cotizador Cobertura EMER'!$B$7:$C$107,2,FALSE)-1,0)</f>
        <v>#NUM!</v>
      </c>
      <c r="H28" s="118">
        <f>IF(Cotización!$D$33="Excluida",0,ROUND(F28/(1-Cotización!$O$47-Cotización!O$48-Cotización!$O$49),0))</f>
        <v>0</v>
      </c>
      <c r="I28" s="118">
        <f>IF(Cotización!$D$33="Excluida",0,ROUND(G28/(1-Cotización!$O$47-Cotización!$O$48-Cotización!$O$49),0))</f>
        <v>0</v>
      </c>
      <c r="J28" s="118" t="e">
        <f>'Cotizador Extranjero'!P27*(VLOOKUP(A28,'Cotizador Cobertura Ext 2'!$B$7:$C$107,2,FALSE)-1)</f>
        <v>#NUM!</v>
      </c>
      <c r="K28" s="118" t="e">
        <f>'Cotizador Extranjero'!P27*(VLOOKUP(A28,'Cotizador Cobertura Ext 2'!$B$7:$C$107,2,FALSE)-1)</f>
        <v>#NUM!</v>
      </c>
      <c r="L28" s="118">
        <f>IF(Cotización!$D$31="Excluida",0,ROUND(J28/(1-SUM(Cotización!$O$47:$O$49)),0))</f>
        <v>0</v>
      </c>
      <c r="M28" s="118">
        <f>IF(Cotización!$D$31="Excluida",0,ROUND(K28/(1-SUM(Cotización!$O$47:$O$49)),0))</f>
        <v>0</v>
      </c>
      <c r="N28" s="119">
        <v>266.15122795000002</v>
      </c>
      <c r="O28" s="119">
        <v>266.15122795000002</v>
      </c>
      <c r="Q28" s="215">
        <f t="shared" si="1"/>
        <v>1054.8319533863901</v>
      </c>
      <c r="R28" s="215">
        <f t="shared" si="0"/>
        <v>1054.8319533863901</v>
      </c>
    </row>
    <row r="29" spans="1:18">
      <c r="A29" s="56">
        <v>25</v>
      </c>
      <c r="B29" s="115">
        <f>'Cotizador Basica'!P28</f>
        <v>491.70092689559613</v>
      </c>
      <c r="C29" s="115">
        <f>'Cotizador Basica'!P28</f>
        <v>491.70092689559613</v>
      </c>
      <c r="D29" s="116">
        <f>'Cotizador Basica'!P28/(1-Cotización!$O$47-Cotización!$O$48-Cotización!$O$49)</f>
        <v>1092.6687264346581</v>
      </c>
      <c r="E29" s="116">
        <f>'Cotizador Basica'!P28/(1-Cotización!$O$47-Cotización!$O$48-Cotización!$O$49)</f>
        <v>1092.6687264346581</v>
      </c>
      <c r="F29" s="118" t="e">
        <f>'Cotizador EMER'!P28*IFERROR(VLOOKUP(A29,'Cotizador Cobertura EMER'!$B$7:$C$107,2,FALSE)-1,0)</f>
        <v>#NUM!</v>
      </c>
      <c r="G29" s="118" t="e">
        <f>'Cotizador EMER'!P28*IFERROR(VLOOKUP(A29,'Cotizador Cobertura EMER'!$B$7:$C$107,2,FALSE)-1,0)</f>
        <v>#NUM!</v>
      </c>
      <c r="H29" s="118">
        <f>IF(Cotización!$D$33="Excluida",0,ROUND(F29/(1-Cotización!$O$47-Cotización!O$48-Cotización!$O$49),0))</f>
        <v>0</v>
      </c>
      <c r="I29" s="118">
        <f>IF(Cotización!$D$33="Excluida",0,ROUND(G29/(1-Cotización!$O$47-Cotización!$O$48-Cotización!$O$49),0))</f>
        <v>0</v>
      </c>
      <c r="J29" s="118" t="e">
        <f>'Cotizador Extranjero'!P28*(VLOOKUP(A29,'Cotizador Cobertura Ext 2'!$B$7:$C$107,2,FALSE)-1)</f>
        <v>#NUM!</v>
      </c>
      <c r="K29" s="118" t="e">
        <f>'Cotizador Extranjero'!P28*(VLOOKUP(A29,'Cotizador Cobertura Ext 2'!$B$7:$C$107,2,FALSE)-1)</f>
        <v>#NUM!</v>
      </c>
      <c r="L29" s="118">
        <f>IF(Cotización!$D$31="Excluida",0,ROUND(J29/(1-SUM(Cotización!$O$47:$O$49)),0))</f>
        <v>0</v>
      </c>
      <c r="M29" s="118">
        <f>IF(Cotización!$D$31="Excluida",0,ROUND(K29/(1-SUM(Cotización!$O$47:$O$49)),0))</f>
        <v>0</v>
      </c>
      <c r="N29" s="119">
        <v>266.15122795000002</v>
      </c>
      <c r="O29" s="119">
        <v>266.15122795000002</v>
      </c>
      <c r="Q29" s="215">
        <f t="shared" si="1"/>
        <v>1092.6687264346581</v>
      </c>
      <c r="R29" s="215">
        <f t="shared" si="0"/>
        <v>1092.6687264346581</v>
      </c>
    </row>
    <row r="30" spans="1:18">
      <c r="A30" s="56">
        <v>26</v>
      </c>
      <c r="B30" s="115">
        <f>'Cotizador Basica'!P29</f>
        <v>509.33821624661073</v>
      </c>
      <c r="C30" s="115">
        <f>'Cotizador Basica'!P29</f>
        <v>509.33821624661073</v>
      </c>
      <c r="D30" s="116">
        <f>'Cotizador Basica'!P29/(1-Cotización!$O$47-Cotización!$O$48-Cotización!$O$49)</f>
        <v>1131.8627027702462</v>
      </c>
      <c r="E30" s="116">
        <f>'Cotizador Basica'!P29/(1-Cotización!$O$47-Cotización!$O$48-Cotización!$O$49)</f>
        <v>1131.8627027702462</v>
      </c>
      <c r="F30" s="118" t="e">
        <f>'Cotizador EMER'!P29*IFERROR(VLOOKUP(A30,'Cotizador Cobertura EMER'!$B$7:$C$107,2,FALSE)-1,0)</f>
        <v>#NUM!</v>
      </c>
      <c r="G30" s="118" t="e">
        <f>'Cotizador EMER'!P29*IFERROR(VLOOKUP(A30,'Cotizador Cobertura EMER'!$B$7:$C$107,2,FALSE)-1,0)</f>
        <v>#NUM!</v>
      </c>
      <c r="H30" s="118">
        <f>IF(Cotización!$D$33="Excluida",0,ROUND(F30/(1-Cotización!$O$47-Cotización!O$48-Cotización!$O$49),0))</f>
        <v>0</v>
      </c>
      <c r="I30" s="118">
        <f>IF(Cotización!$D$33="Excluida",0,ROUND(G30/(1-Cotización!$O$47-Cotización!$O$48-Cotización!$O$49),0))</f>
        <v>0</v>
      </c>
      <c r="J30" s="118" t="e">
        <f>'Cotizador Extranjero'!P29*(VLOOKUP(A30,'Cotizador Cobertura Ext 2'!$B$7:$C$107,2,FALSE)-1)</f>
        <v>#NUM!</v>
      </c>
      <c r="K30" s="118" t="e">
        <f>'Cotizador Extranjero'!P29*(VLOOKUP(A30,'Cotizador Cobertura Ext 2'!$B$7:$C$107,2,FALSE)-1)</f>
        <v>#NUM!</v>
      </c>
      <c r="L30" s="118">
        <f>IF(Cotización!$D$31="Excluida",0,ROUND(J30/(1-SUM(Cotización!$O$47:$O$49)),0))</f>
        <v>0</v>
      </c>
      <c r="M30" s="118">
        <f>IF(Cotización!$D$31="Excluida",0,ROUND(K30/(1-SUM(Cotización!$O$47:$O$49)),0))</f>
        <v>0</v>
      </c>
      <c r="N30" s="119">
        <v>266.15122795000002</v>
      </c>
      <c r="O30" s="119">
        <v>266.15122795000002</v>
      </c>
      <c r="Q30" s="215">
        <f t="shared" si="1"/>
        <v>1131.8627027702462</v>
      </c>
      <c r="R30" s="215">
        <f t="shared" si="0"/>
        <v>1131.8627027702462</v>
      </c>
    </row>
    <row r="31" spans="1:18">
      <c r="A31" s="56">
        <v>27</v>
      </c>
      <c r="B31" s="115">
        <f>'Cotizador Basica'!P30</f>
        <v>527.60815434534163</v>
      </c>
      <c r="C31" s="115">
        <f>'Cotizador Basica'!P30</f>
        <v>527.60815434534163</v>
      </c>
      <c r="D31" s="116">
        <f>'Cotizador Basica'!P30/(1-Cotización!$O$47-Cotización!$O$48-Cotización!$O$49)</f>
        <v>1172.4625652118705</v>
      </c>
      <c r="E31" s="116">
        <f>'Cotizador Basica'!P30/(1-Cotización!$O$47-Cotización!$O$48-Cotización!$O$49)</f>
        <v>1172.4625652118705</v>
      </c>
      <c r="F31" s="118" t="e">
        <f>'Cotizador EMER'!P30*IFERROR(VLOOKUP(A31,'Cotizador Cobertura EMER'!$B$7:$C$107,2,FALSE)-1,0)</f>
        <v>#NUM!</v>
      </c>
      <c r="G31" s="118" t="e">
        <f>'Cotizador EMER'!P30*IFERROR(VLOOKUP(A31,'Cotizador Cobertura EMER'!$B$7:$C$107,2,FALSE)-1,0)</f>
        <v>#NUM!</v>
      </c>
      <c r="H31" s="118">
        <f>IF(Cotización!$D$33="Excluida",0,ROUND(F31/(1-Cotización!$O$47-Cotización!O$48-Cotización!$O$49),0))</f>
        <v>0</v>
      </c>
      <c r="I31" s="118">
        <f>IF(Cotización!$D$33="Excluida",0,ROUND(G31/(1-Cotización!$O$47-Cotización!$O$48-Cotización!$O$49),0))</f>
        <v>0</v>
      </c>
      <c r="J31" s="118" t="e">
        <f>'Cotizador Extranjero'!P30*(VLOOKUP(A31,'Cotizador Cobertura Ext 2'!$B$7:$C$107,2,FALSE)-1)</f>
        <v>#NUM!</v>
      </c>
      <c r="K31" s="118" t="e">
        <f>'Cotizador Extranjero'!P30*(VLOOKUP(A31,'Cotizador Cobertura Ext 2'!$B$7:$C$107,2,FALSE)-1)</f>
        <v>#NUM!</v>
      </c>
      <c r="L31" s="118">
        <f>IF(Cotización!$D$31="Excluida",0,ROUND(J31/(1-SUM(Cotización!$O$47:$O$49)),0))</f>
        <v>0</v>
      </c>
      <c r="M31" s="118">
        <f>IF(Cotización!$D$31="Excluida",0,ROUND(K31/(1-SUM(Cotización!$O$47:$O$49)),0))</f>
        <v>0</v>
      </c>
      <c r="N31" s="119">
        <v>266.15122795000002</v>
      </c>
      <c r="O31" s="119">
        <v>266.15122795000002</v>
      </c>
      <c r="Q31" s="215">
        <f t="shared" si="1"/>
        <v>1172.4625652118705</v>
      </c>
      <c r="R31" s="215">
        <f t="shared" si="0"/>
        <v>1172.4625652118705</v>
      </c>
    </row>
    <row r="32" spans="1:18">
      <c r="A32" s="56">
        <v>28</v>
      </c>
      <c r="B32" s="115">
        <f>'Cotizador Basica'!P31</f>
        <v>546.53343427290918</v>
      </c>
      <c r="C32" s="115">
        <f>'Cotizador Basica'!P31</f>
        <v>546.53343427290918</v>
      </c>
      <c r="D32" s="116">
        <f>'Cotizador Basica'!P31/(1-Cotización!$O$47-Cotización!$O$48-Cotización!$O$49)</f>
        <v>1214.5187428286872</v>
      </c>
      <c r="E32" s="116">
        <f>'Cotizador Basica'!P31/(1-Cotización!$O$47-Cotización!$O$48-Cotización!$O$49)</f>
        <v>1214.5187428286872</v>
      </c>
      <c r="F32" s="118" t="e">
        <f>'Cotizador EMER'!P31*IFERROR(VLOOKUP(A32,'Cotizador Cobertura EMER'!$B$7:$C$107,2,FALSE)-1,0)</f>
        <v>#NUM!</v>
      </c>
      <c r="G32" s="118" t="e">
        <f>'Cotizador EMER'!P31*IFERROR(VLOOKUP(A32,'Cotizador Cobertura EMER'!$B$7:$C$107,2,FALSE)-1,0)</f>
        <v>#NUM!</v>
      </c>
      <c r="H32" s="118">
        <f>IF(Cotización!$D$33="Excluida",0,ROUND(F32/(1-Cotización!$O$47-Cotización!O$48-Cotización!$O$49),0))</f>
        <v>0</v>
      </c>
      <c r="I32" s="118">
        <f>IF(Cotización!$D$33="Excluida",0,ROUND(G32/(1-Cotización!$O$47-Cotización!$O$48-Cotización!$O$49),0))</f>
        <v>0</v>
      </c>
      <c r="J32" s="118" t="e">
        <f>'Cotizador Extranjero'!P31*(VLOOKUP(A32,'Cotizador Cobertura Ext 2'!$B$7:$C$107,2,FALSE)-1)</f>
        <v>#NUM!</v>
      </c>
      <c r="K32" s="118" t="e">
        <f>'Cotizador Extranjero'!P31*(VLOOKUP(A32,'Cotizador Cobertura Ext 2'!$B$7:$C$107,2,FALSE)-1)</f>
        <v>#NUM!</v>
      </c>
      <c r="L32" s="118">
        <f>IF(Cotización!$D$31="Excluida",0,ROUND(J32/(1-SUM(Cotización!$O$47:$O$49)),0))</f>
        <v>0</v>
      </c>
      <c r="M32" s="118">
        <f>IF(Cotización!$D$31="Excluida",0,ROUND(K32/(1-SUM(Cotización!$O$47:$O$49)),0))</f>
        <v>0</v>
      </c>
      <c r="N32" s="119">
        <v>266.15122795000002</v>
      </c>
      <c r="O32" s="119">
        <v>266.15122795000002</v>
      </c>
      <c r="Q32" s="215">
        <f t="shared" si="1"/>
        <v>1214.5187428286872</v>
      </c>
      <c r="R32" s="215">
        <f t="shared" si="0"/>
        <v>1214.5187428286872</v>
      </c>
    </row>
    <row r="33" spans="1:18">
      <c r="A33" s="56">
        <v>29</v>
      </c>
      <c r="B33" s="115">
        <f>'Cotizador Basica'!P32</f>
        <v>566.13756311019688</v>
      </c>
      <c r="C33" s="115">
        <f>'Cotizador Basica'!P32</f>
        <v>566.13756311019688</v>
      </c>
      <c r="D33" s="116">
        <f>'Cotizador Basica'!P32/(1-Cotización!$O$47-Cotización!$O$48-Cotización!$O$49)</f>
        <v>1258.0834735782155</v>
      </c>
      <c r="E33" s="116">
        <f>'Cotizador Basica'!P32/(1-Cotización!$O$47-Cotización!$O$48-Cotización!$O$49)</f>
        <v>1258.0834735782155</v>
      </c>
      <c r="F33" s="118" t="e">
        <f>'Cotizador EMER'!P32*IFERROR(VLOOKUP(A33,'Cotizador Cobertura EMER'!$B$7:$C$107,2,FALSE)-1,0)</f>
        <v>#NUM!</v>
      </c>
      <c r="G33" s="118" t="e">
        <f>'Cotizador EMER'!P32*IFERROR(VLOOKUP(A33,'Cotizador Cobertura EMER'!$B$7:$C$107,2,FALSE)-1,0)</f>
        <v>#NUM!</v>
      </c>
      <c r="H33" s="118">
        <f>IF(Cotización!$D$33="Excluida",0,ROUND(F33/(1-Cotización!$O$47-Cotización!O$48-Cotización!$O$49),0))</f>
        <v>0</v>
      </c>
      <c r="I33" s="118">
        <f>IF(Cotización!$D$33="Excluida",0,ROUND(G33/(1-Cotización!$O$47-Cotización!$O$48-Cotización!$O$49),0))</f>
        <v>0</v>
      </c>
      <c r="J33" s="118" t="e">
        <f>'Cotizador Extranjero'!P32*(VLOOKUP(A33,'Cotizador Cobertura Ext 2'!$B$7:$C$107,2,FALSE)-1)</f>
        <v>#NUM!</v>
      </c>
      <c r="K33" s="118" t="e">
        <f>'Cotizador Extranjero'!P32*(VLOOKUP(A33,'Cotizador Cobertura Ext 2'!$B$7:$C$107,2,FALSE)-1)</f>
        <v>#NUM!</v>
      </c>
      <c r="L33" s="118">
        <f>IF(Cotización!$D$31="Excluida",0,ROUND(J33/(1-SUM(Cotización!$O$47:$O$49)),0))</f>
        <v>0</v>
      </c>
      <c r="M33" s="118">
        <f>IF(Cotización!$D$31="Excluida",0,ROUND(K33/(1-SUM(Cotización!$O$47:$O$49)),0))</f>
        <v>0</v>
      </c>
      <c r="N33" s="119">
        <v>266.15122795000002</v>
      </c>
      <c r="O33" s="119">
        <v>266.15122795000002</v>
      </c>
      <c r="Q33" s="215">
        <f t="shared" si="1"/>
        <v>1258.0834735782155</v>
      </c>
      <c r="R33" s="215">
        <f t="shared" si="0"/>
        <v>1258.0834735782155</v>
      </c>
    </row>
    <row r="34" spans="1:18">
      <c r="A34" s="56">
        <v>30</v>
      </c>
      <c r="B34" s="115">
        <f>'Cotizador Basica'!P33</f>
        <v>586.44489113598468</v>
      </c>
      <c r="C34" s="115">
        <f>'Cotizador Basica'!P33</f>
        <v>586.44489113598468</v>
      </c>
      <c r="D34" s="116">
        <f>'Cotizador Basica'!P33/(1-Cotización!$O$47-Cotización!$O$48-Cotización!$O$49)</f>
        <v>1303.2108691910771</v>
      </c>
      <c r="E34" s="116">
        <f>'Cotizador Basica'!P33/(1-Cotización!$O$47-Cotización!$O$48-Cotización!$O$49)</f>
        <v>1303.2108691910771</v>
      </c>
      <c r="F34" s="118" t="e">
        <f>'Cotizador EMER'!P33*IFERROR(VLOOKUP(A34,'Cotizador Cobertura EMER'!$B$7:$C$107,2,FALSE)-1,0)</f>
        <v>#NUM!</v>
      </c>
      <c r="G34" s="118" t="e">
        <f>'Cotizador EMER'!P33*IFERROR(VLOOKUP(A34,'Cotizador Cobertura EMER'!$B$7:$C$107,2,FALSE)-1,0)</f>
        <v>#NUM!</v>
      </c>
      <c r="H34" s="118">
        <f>IF(Cotización!$D$33="Excluida",0,ROUND(F34/(1-Cotización!$O$47-Cotización!O$48-Cotización!$O$49),0))</f>
        <v>0</v>
      </c>
      <c r="I34" s="118">
        <f>IF(Cotización!$D$33="Excluida",0,ROUND(G34/(1-Cotización!$O$47-Cotización!$O$48-Cotización!$O$49),0))</f>
        <v>0</v>
      </c>
      <c r="J34" s="118" t="e">
        <f>'Cotizador Extranjero'!P33*(VLOOKUP(A34,'Cotizador Cobertura Ext 2'!$B$7:$C$107,2,FALSE)-1)</f>
        <v>#NUM!</v>
      </c>
      <c r="K34" s="118" t="e">
        <f>'Cotizador Extranjero'!P33*(VLOOKUP(A34,'Cotizador Cobertura Ext 2'!$B$7:$C$107,2,FALSE)-1)</f>
        <v>#NUM!</v>
      </c>
      <c r="L34" s="118">
        <f>IF(Cotización!$D$31="Excluida",0,ROUND(J34/(1-SUM(Cotización!$O$47:$O$49)),0))</f>
        <v>0</v>
      </c>
      <c r="M34" s="118">
        <f>IF(Cotización!$D$31="Excluida",0,ROUND(K34/(1-SUM(Cotización!$O$47:$O$49)),0))</f>
        <v>0</v>
      </c>
      <c r="N34" s="119">
        <v>266.15122795000002</v>
      </c>
      <c r="O34" s="119">
        <v>266.15122795000002</v>
      </c>
      <c r="Q34" s="215">
        <f t="shared" si="1"/>
        <v>1303.2108691910771</v>
      </c>
      <c r="R34" s="215">
        <f t="shared" si="0"/>
        <v>1303.2108691910771</v>
      </c>
    </row>
    <row r="35" spans="1:18">
      <c r="A35" s="56">
        <v>31</v>
      </c>
      <c r="B35" s="115">
        <f>'Cotizador Basica'!P34</f>
        <v>607.48064207241896</v>
      </c>
      <c r="C35" s="115">
        <f>'Cotizador Basica'!P34</f>
        <v>607.48064207241896</v>
      </c>
      <c r="D35" s="116">
        <f>'Cotizador Basica'!P34/(1-Cotización!$O$47-Cotización!$O$48-Cotización!$O$49)</f>
        <v>1349.9569823831534</v>
      </c>
      <c r="E35" s="116">
        <f>'Cotizador Basica'!P34/(1-Cotización!$O$47-Cotización!$O$48-Cotización!$O$49)</f>
        <v>1349.9569823831534</v>
      </c>
      <c r="F35" s="118" t="e">
        <f>'Cotizador EMER'!P34*IFERROR(VLOOKUP(A35,'Cotizador Cobertura EMER'!$B$7:$C$107,2,FALSE)-1,0)</f>
        <v>#NUM!</v>
      </c>
      <c r="G35" s="118" t="e">
        <f>'Cotizador EMER'!P34*IFERROR(VLOOKUP(A35,'Cotizador Cobertura EMER'!$B$7:$C$107,2,FALSE)-1,0)</f>
        <v>#NUM!</v>
      </c>
      <c r="H35" s="118">
        <f>IF(Cotización!$D$33="Excluida",0,ROUND(F35/(1-Cotización!$O$47-Cotización!O$48-Cotización!$O$49),0))</f>
        <v>0</v>
      </c>
      <c r="I35" s="118">
        <f>IF(Cotización!$D$33="Excluida",0,ROUND(G35/(1-Cotización!$O$47-Cotización!$O$48-Cotización!$O$49),0))</f>
        <v>0</v>
      </c>
      <c r="J35" s="118" t="e">
        <f>'Cotizador Extranjero'!P34*(VLOOKUP(A35,'Cotizador Cobertura Ext 2'!$B$7:$C$107,2,FALSE)-1)</f>
        <v>#NUM!</v>
      </c>
      <c r="K35" s="118" t="e">
        <f>'Cotizador Extranjero'!P34*(VLOOKUP(A35,'Cotizador Cobertura Ext 2'!$B$7:$C$107,2,FALSE)-1)</f>
        <v>#NUM!</v>
      </c>
      <c r="L35" s="118">
        <f>IF(Cotización!$D$31="Excluida",0,ROUND(J35/(1-SUM(Cotización!$O$47:$O$49)),0))</f>
        <v>0</v>
      </c>
      <c r="M35" s="118">
        <f>IF(Cotización!$D$31="Excluida",0,ROUND(K35/(1-SUM(Cotización!$O$47:$O$49)),0))</f>
        <v>0</v>
      </c>
      <c r="N35" s="119">
        <v>266.15122795000002</v>
      </c>
      <c r="O35" s="119">
        <v>266.15122795000002</v>
      </c>
      <c r="Q35" s="215">
        <f t="shared" si="1"/>
        <v>1349.9569823831534</v>
      </c>
      <c r="R35" s="215">
        <f t="shared" si="0"/>
        <v>1349.9569823831534</v>
      </c>
    </row>
    <row r="36" spans="1:18">
      <c r="A36" s="56">
        <v>32</v>
      </c>
      <c r="B36" s="115">
        <f>'Cotizador Basica'!P35</f>
        <v>629.27094441538441</v>
      </c>
      <c r="C36" s="115">
        <f>'Cotizador Basica'!P35</f>
        <v>629.27094441538441</v>
      </c>
      <c r="D36" s="116">
        <f>'Cotizador Basica'!P35/(1-Cotización!$O$47-Cotización!$O$48-Cotización!$O$49)</f>
        <v>1398.3798764786322</v>
      </c>
      <c r="E36" s="116">
        <f>'Cotizador Basica'!P35/(1-Cotización!$O$47-Cotización!$O$48-Cotización!$O$49)</f>
        <v>1398.3798764786322</v>
      </c>
      <c r="F36" s="118" t="e">
        <f>'Cotizador EMER'!P35*IFERROR(VLOOKUP(A36,'Cotizador Cobertura EMER'!$B$7:$C$107,2,FALSE)-1,0)</f>
        <v>#NUM!</v>
      </c>
      <c r="G36" s="118" t="e">
        <f>'Cotizador EMER'!P35*IFERROR(VLOOKUP(A36,'Cotizador Cobertura EMER'!$B$7:$C$107,2,FALSE)-1,0)</f>
        <v>#NUM!</v>
      </c>
      <c r="H36" s="118">
        <f>IF(Cotización!$D$33="Excluida",0,ROUND(F36/(1-Cotización!$O$47-Cotización!O$48-Cotización!$O$49),0))</f>
        <v>0</v>
      </c>
      <c r="I36" s="118">
        <f>IF(Cotización!$D$33="Excluida",0,ROUND(G36/(1-Cotización!$O$47-Cotización!$O$48-Cotización!$O$49),0))</f>
        <v>0</v>
      </c>
      <c r="J36" s="118" t="e">
        <f>'Cotizador Extranjero'!P35*(VLOOKUP(A36,'Cotizador Cobertura Ext 2'!$B$7:$C$107,2,FALSE)-1)</f>
        <v>#NUM!</v>
      </c>
      <c r="K36" s="118" t="e">
        <f>'Cotizador Extranjero'!P35*(VLOOKUP(A36,'Cotizador Cobertura Ext 2'!$B$7:$C$107,2,FALSE)-1)</f>
        <v>#NUM!</v>
      </c>
      <c r="L36" s="118">
        <f>IF(Cotización!$D$31="Excluida",0,ROUND(J36/(1-SUM(Cotización!$O$47:$O$49)),0))</f>
        <v>0</v>
      </c>
      <c r="M36" s="118">
        <f>IF(Cotización!$D$31="Excluida",0,ROUND(K36/(1-SUM(Cotización!$O$47:$O$49)),0))</f>
        <v>0</v>
      </c>
      <c r="N36" s="119">
        <v>266.15122795000002</v>
      </c>
      <c r="O36" s="119">
        <v>266.15122795000002</v>
      </c>
      <c r="Q36" s="215">
        <f t="shared" si="1"/>
        <v>1398.3798764786322</v>
      </c>
      <c r="R36" s="215">
        <f t="shared" si="0"/>
        <v>1398.3798764786322</v>
      </c>
    </row>
    <row r="37" spans="1:18">
      <c r="A37" s="56">
        <v>33</v>
      </c>
      <c r="B37" s="115">
        <f>'Cotizador Basica'!P36</f>
        <v>651.84286388869657</v>
      </c>
      <c r="C37" s="115">
        <f>'Cotizador Basica'!P36</f>
        <v>651.84286388869657</v>
      </c>
      <c r="D37" s="116">
        <f>'Cotizador Basica'!P36/(1-Cotización!$O$47-Cotización!$O$48-Cotización!$O$49)</f>
        <v>1448.539697530437</v>
      </c>
      <c r="E37" s="116">
        <f>'Cotizador Basica'!P36/(1-Cotización!$O$47-Cotización!$O$48-Cotización!$O$49)</f>
        <v>1448.539697530437</v>
      </c>
      <c r="F37" s="118" t="e">
        <f>'Cotizador EMER'!P36*IFERROR(VLOOKUP(A37,'Cotizador Cobertura EMER'!$B$7:$C$107,2,FALSE)-1,0)</f>
        <v>#NUM!</v>
      </c>
      <c r="G37" s="118" t="e">
        <f>'Cotizador EMER'!P36*IFERROR(VLOOKUP(A37,'Cotizador Cobertura EMER'!$B$7:$C$107,2,FALSE)-1,0)</f>
        <v>#NUM!</v>
      </c>
      <c r="H37" s="118">
        <f>IF(Cotización!$D$33="Excluida",0,ROUND(F37/(1-Cotización!$O$47-Cotización!O$48-Cotización!$O$49),0))</f>
        <v>0</v>
      </c>
      <c r="I37" s="118">
        <f>IF(Cotización!$D$33="Excluida",0,ROUND(G37/(1-Cotización!$O$47-Cotización!$O$48-Cotización!$O$49),0))</f>
        <v>0</v>
      </c>
      <c r="J37" s="118" t="e">
        <f>'Cotizador Extranjero'!P36*(VLOOKUP(A37,'Cotizador Cobertura Ext 2'!$B$7:$C$107,2,FALSE)-1)</f>
        <v>#NUM!</v>
      </c>
      <c r="K37" s="118" t="e">
        <f>'Cotizador Extranjero'!P36*(VLOOKUP(A37,'Cotizador Cobertura Ext 2'!$B$7:$C$107,2,FALSE)-1)</f>
        <v>#NUM!</v>
      </c>
      <c r="L37" s="118">
        <f>IF(Cotización!$D$31="Excluida",0,ROUND(J37/(1-SUM(Cotización!$O$47:$O$49)),0))</f>
        <v>0</v>
      </c>
      <c r="M37" s="118">
        <f>IF(Cotización!$D$31="Excluida",0,ROUND(K37/(1-SUM(Cotización!$O$47:$O$49)),0))</f>
        <v>0</v>
      </c>
      <c r="N37" s="119">
        <v>266.15122795000002</v>
      </c>
      <c r="O37" s="119">
        <v>266.15122795000002</v>
      </c>
      <c r="Q37" s="215">
        <f t="shared" si="1"/>
        <v>1448.539697530437</v>
      </c>
      <c r="R37" s="215">
        <f t="shared" si="0"/>
        <v>1448.539697530437</v>
      </c>
    </row>
    <row r="38" spans="1:18">
      <c r="A38" s="56">
        <v>34</v>
      </c>
      <c r="B38" s="115">
        <f>'Cotizador Basica'!P37</f>
        <v>675.22443706242393</v>
      </c>
      <c r="C38" s="115">
        <f>'Cotizador Basica'!P37</f>
        <v>675.22443706242393</v>
      </c>
      <c r="D38" s="116">
        <f>'Cotizador Basica'!P37/(1-Cotización!$O$47-Cotización!$O$48-Cotización!$O$49)</f>
        <v>1500.4987490276089</v>
      </c>
      <c r="E38" s="116">
        <f>'Cotizador Basica'!P37/(1-Cotización!$O$47-Cotización!$O$48-Cotización!$O$49)</f>
        <v>1500.4987490276089</v>
      </c>
      <c r="F38" s="118" t="e">
        <f>'Cotizador EMER'!P37*IFERROR(VLOOKUP(A38,'Cotizador Cobertura EMER'!$B$7:$C$107,2,FALSE)-1,0)</f>
        <v>#NUM!</v>
      </c>
      <c r="G38" s="118" t="e">
        <f>'Cotizador EMER'!P37*IFERROR(VLOOKUP(A38,'Cotizador Cobertura EMER'!$B$7:$C$107,2,FALSE)-1,0)</f>
        <v>#NUM!</v>
      </c>
      <c r="H38" s="118">
        <f>IF(Cotización!$D$33="Excluida",0,ROUND(F38/(1-Cotización!$O$47-Cotización!O$48-Cotización!$O$49),0))</f>
        <v>0</v>
      </c>
      <c r="I38" s="118">
        <f>IF(Cotización!$D$33="Excluida",0,ROUND(G38/(1-Cotización!$O$47-Cotización!$O$48-Cotización!$O$49),0))</f>
        <v>0</v>
      </c>
      <c r="J38" s="118" t="e">
        <f>'Cotizador Extranjero'!P37*(VLOOKUP(A38,'Cotizador Cobertura Ext 2'!$B$7:$C$107,2,FALSE)-1)</f>
        <v>#NUM!</v>
      </c>
      <c r="K38" s="118" t="e">
        <f>'Cotizador Extranjero'!P37*(VLOOKUP(A38,'Cotizador Cobertura Ext 2'!$B$7:$C$107,2,FALSE)-1)</f>
        <v>#NUM!</v>
      </c>
      <c r="L38" s="118">
        <f>IF(Cotización!$D$31="Excluida",0,ROUND(J38/(1-SUM(Cotización!$O$47:$O$49)),0))</f>
        <v>0</v>
      </c>
      <c r="M38" s="118">
        <f>IF(Cotización!$D$31="Excluida",0,ROUND(K38/(1-SUM(Cotización!$O$47:$O$49)),0))</f>
        <v>0</v>
      </c>
      <c r="N38" s="119">
        <v>266.15122795000002</v>
      </c>
      <c r="O38" s="119">
        <v>266.15122795000002</v>
      </c>
      <c r="Q38" s="215">
        <f t="shared" si="1"/>
        <v>1500.4987490276089</v>
      </c>
      <c r="R38" s="215">
        <f t="shared" si="0"/>
        <v>1500.4987490276089</v>
      </c>
    </row>
    <row r="39" spans="1:18">
      <c r="A39" s="56">
        <v>35</v>
      </c>
      <c r="B39" s="115">
        <f>'Cotizador Basica'!P38</f>
        <v>699.44470617709794</v>
      </c>
      <c r="C39" s="115">
        <f>'Cotizador Basica'!P38</f>
        <v>699.44470617709794</v>
      </c>
      <c r="D39" s="116">
        <f>'Cotizador Basica'!P38/(1-Cotización!$O$47-Cotización!$O$48-Cotización!$O$49)</f>
        <v>1554.3215692824401</v>
      </c>
      <c r="E39" s="116">
        <f>'Cotizador Basica'!P38/(1-Cotización!$O$47-Cotización!$O$48-Cotización!$O$49)</f>
        <v>1554.3215692824401</v>
      </c>
      <c r="F39" s="118" t="e">
        <f>'Cotizador EMER'!P38*IFERROR(VLOOKUP(A39,'Cotizador Cobertura EMER'!$B$7:$C$107,2,FALSE)-1,0)</f>
        <v>#NUM!</v>
      </c>
      <c r="G39" s="118" t="e">
        <f>'Cotizador EMER'!P38*IFERROR(VLOOKUP(A39,'Cotizador Cobertura EMER'!$B$7:$C$107,2,FALSE)-1,0)</f>
        <v>#NUM!</v>
      </c>
      <c r="H39" s="118">
        <f>IF(Cotización!$D$33="Excluida",0,ROUND(F39/(1-Cotización!$O$47-Cotización!O$48-Cotización!$O$49),0))</f>
        <v>0</v>
      </c>
      <c r="I39" s="118">
        <f>IF(Cotización!$D$33="Excluida",0,ROUND(G39/(1-Cotización!$O$47-Cotización!$O$48-Cotización!$O$49),0))</f>
        <v>0</v>
      </c>
      <c r="J39" s="118" t="e">
        <f>'Cotizador Extranjero'!P38*(VLOOKUP(A39,'Cotizador Cobertura Ext 2'!$B$7:$C$107,2,FALSE)-1)</f>
        <v>#NUM!</v>
      </c>
      <c r="K39" s="118" t="e">
        <f>'Cotizador Extranjero'!P38*(VLOOKUP(A39,'Cotizador Cobertura Ext 2'!$B$7:$C$107,2,FALSE)-1)</f>
        <v>#NUM!</v>
      </c>
      <c r="L39" s="118">
        <f>IF(Cotización!$D$31="Excluida",0,ROUND(J39/(1-SUM(Cotización!$O$47:$O$49)),0))</f>
        <v>0</v>
      </c>
      <c r="M39" s="118">
        <f>IF(Cotización!$D$31="Excluida",0,ROUND(K39/(1-SUM(Cotización!$O$47:$O$49)),0))</f>
        <v>0</v>
      </c>
      <c r="N39" s="119">
        <v>266.15122795000002</v>
      </c>
      <c r="O39" s="119">
        <v>266.15122795000002</v>
      </c>
      <c r="Q39" s="215">
        <f t="shared" si="1"/>
        <v>1554.3215692824401</v>
      </c>
      <c r="R39" s="215">
        <f t="shared" si="0"/>
        <v>1554.3215692824401</v>
      </c>
    </row>
    <row r="40" spans="1:18">
      <c r="A40" s="56">
        <v>36</v>
      </c>
      <c r="B40" s="115">
        <f>'Cotizador Basica'!P39</f>
        <v>724.53375521706494</v>
      </c>
      <c r="C40" s="115">
        <f>'Cotizador Basica'!P39</f>
        <v>724.53375521706494</v>
      </c>
      <c r="D40" s="116">
        <f>'Cotizador Basica'!P39/(1-Cotización!$O$47-Cotización!$O$48-Cotización!$O$49)</f>
        <v>1610.0750115934777</v>
      </c>
      <c r="E40" s="116">
        <f>'Cotizador Basica'!P39/(1-Cotización!$O$47-Cotización!$O$48-Cotización!$O$49)</f>
        <v>1610.0750115934777</v>
      </c>
      <c r="F40" s="118" t="e">
        <f>'Cotizador EMER'!P39*IFERROR(VLOOKUP(A40,'Cotizador Cobertura EMER'!$B$7:$C$107,2,FALSE)-1,0)</f>
        <v>#NUM!</v>
      </c>
      <c r="G40" s="118" t="e">
        <f>'Cotizador EMER'!P39*IFERROR(VLOOKUP(A40,'Cotizador Cobertura EMER'!$B$7:$C$107,2,FALSE)-1,0)</f>
        <v>#NUM!</v>
      </c>
      <c r="H40" s="118">
        <f>IF(Cotización!$D$33="Excluida",0,ROUND(F40/(1-Cotización!$O$47-Cotización!O$48-Cotización!$O$49),0))</f>
        <v>0</v>
      </c>
      <c r="I40" s="118">
        <f>IF(Cotización!$D$33="Excluida",0,ROUND(G40/(1-Cotización!$O$47-Cotización!$O$48-Cotización!$O$49),0))</f>
        <v>0</v>
      </c>
      <c r="J40" s="118" t="e">
        <f>'Cotizador Extranjero'!P39*(VLOOKUP(A40,'Cotizador Cobertura Ext 2'!$B$7:$C$107,2,FALSE)-1)</f>
        <v>#NUM!</v>
      </c>
      <c r="K40" s="118" t="e">
        <f>'Cotizador Extranjero'!P39*(VLOOKUP(A40,'Cotizador Cobertura Ext 2'!$B$7:$C$107,2,FALSE)-1)</f>
        <v>#NUM!</v>
      </c>
      <c r="L40" s="118">
        <f>IF(Cotización!$D$31="Excluida",0,ROUND(J40/(1-SUM(Cotización!$O$47:$O$49)),0))</f>
        <v>0</v>
      </c>
      <c r="M40" s="118">
        <f>IF(Cotización!$D$31="Excluida",0,ROUND(K40/(1-SUM(Cotización!$O$47:$O$49)),0))</f>
        <v>0</v>
      </c>
      <c r="N40" s="119">
        <v>266.15122795000002</v>
      </c>
      <c r="O40" s="119">
        <v>266.15122795000002</v>
      </c>
      <c r="Q40" s="215">
        <f t="shared" si="1"/>
        <v>1610.0750115934777</v>
      </c>
      <c r="R40" s="215">
        <f t="shared" si="0"/>
        <v>1610.0750115934777</v>
      </c>
    </row>
    <row r="41" spans="1:18">
      <c r="A41" s="56">
        <v>37</v>
      </c>
      <c r="B41" s="115">
        <f>'Cotizador Basica'!P40</f>
        <v>750.52274727778968</v>
      </c>
      <c r="C41" s="115">
        <f>'Cotizador Basica'!P40</f>
        <v>750.52274727778968</v>
      </c>
      <c r="D41" s="116">
        <f>'Cotizador Basica'!P40/(1-Cotización!$O$47-Cotización!$O$48-Cotización!$O$49)</f>
        <v>1667.8283272839772</v>
      </c>
      <c r="E41" s="116">
        <f>'Cotizador Basica'!P40/(1-Cotización!$O$47-Cotización!$O$48-Cotización!$O$49)</f>
        <v>1667.8283272839772</v>
      </c>
      <c r="F41" s="118" t="e">
        <f>'Cotizador EMER'!P40*IFERROR(VLOOKUP(A41,'Cotizador Cobertura EMER'!$B$7:$C$107,2,FALSE)-1,0)</f>
        <v>#NUM!</v>
      </c>
      <c r="G41" s="118" t="e">
        <f>'Cotizador EMER'!P40*IFERROR(VLOOKUP(A41,'Cotizador Cobertura EMER'!$B$7:$C$107,2,FALSE)-1,0)</f>
        <v>#NUM!</v>
      </c>
      <c r="H41" s="118">
        <f>IF(Cotización!$D$33="Excluida",0,ROUND(F41/(1-Cotización!$O$47-Cotización!O$48-Cotización!$O$49),0))</f>
        <v>0</v>
      </c>
      <c r="I41" s="118">
        <f>IF(Cotización!$D$33="Excluida",0,ROUND(G41/(1-Cotización!$O$47-Cotización!$O$48-Cotización!$O$49),0))</f>
        <v>0</v>
      </c>
      <c r="J41" s="118" t="e">
        <f>'Cotizador Extranjero'!P40*(VLOOKUP(A41,'Cotizador Cobertura Ext 2'!$B$7:$C$107,2,FALSE)-1)</f>
        <v>#NUM!</v>
      </c>
      <c r="K41" s="118" t="e">
        <f>'Cotizador Extranjero'!P40*(VLOOKUP(A41,'Cotizador Cobertura Ext 2'!$B$7:$C$107,2,FALSE)-1)</f>
        <v>#NUM!</v>
      </c>
      <c r="L41" s="118">
        <f>IF(Cotización!$D$31="Excluida",0,ROUND(J41/(1-SUM(Cotización!$O$47:$O$49)),0))</f>
        <v>0</v>
      </c>
      <c r="M41" s="118">
        <f>IF(Cotización!$D$31="Excluida",0,ROUND(K41/(1-SUM(Cotización!$O$47:$O$49)),0))</f>
        <v>0</v>
      </c>
      <c r="N41" s="119">
        <v>266.15122795000002</v>
      </c>
      <c r="O41" s="119">
        <v>266.15122795000002</v>
      </c>
      <c r="Q41" s="215">
        <f t="shared" si="1"/>
        <v>1667.8283272839772</v>
      </c>
      <c r="R41" s="215">
        <f t="shared" si="0"/>
        <v>1667.8283272839772</v>
      </c>
    </row>
    <row r="42" spans="1:18">
      <c r="A42" s="56">
        <v>38</v>
      </c>
      <c r="B42" s="115">
        <f>'Cotizador Basica'!P41</f>
        <v>777.44396327351922</v>
      </c>
      <c r="C42" s="115">
        <f>'Cotizador Basica'!P41</f>
        <v>777.44396327351922</v>
      </c>
      <c r="D42" s="116">
        <f>'Cotizador Basica'!P41/(1-Cotización!$O$47-Cotización!$O$48-Cotización!$O$49)</f>
        <v>1727.6532517189319</v>
      </c>
      <c r="E42" s="116">
        <f>'Cotizador Basica'!P41/(1-Cotización!$O$47-Cotización!$O$48-Cotización!$O$49)</f>
        <v>1727.6532517189319</v>
      </c>
      <c r="F42" s="118" t="e">
        <f>'Cotizador EMER'!P41*IFERROR(VLOOKUP(A42,'Cotizador Cobertura EMER'!$B$7:$C$107,2,FALSE)-1,0)</f>
        <v>#NUM!</v>
      </c>
      <c r="G42" s="118" t="e">
        <f>'Cotizador EMER'!P41*IFERROR(VLOOKUP(A42,'Cotizador Cobertura EMER'!$B$7:$C$107,2,FALSE)-1,0)</f>
        <v>#NUM!</v>
      </c>
      <c r="H42" s="118">
        <f>IF(Cotización!$D$33="Excluida",0,ROUND(F42/(1-Cotización!$O$47-Cotización!O$48-Cotización!$O$49),0))</f>
        <v>0</v>
      </c>
      <c r="I42" s="118">
        <f>IF(Cotización!$D$33="Excluida",0,ROUND(G42/(1-Cotización!$O$47-Cotización!$O$48-Cotización!$O$49),0))</f>
        <v>0</v>
      </c>
      <c r="J42" s="118" t="e">
        <f>'Cotizador Extranjero'!P41*(VLOOKUP(A42,'Cotizador Cobertura Ext 2'!$B$7:$C$107,2,FALSE)-1)</f>
        <v>#NUM!</v>
      </c>
      <c r="K42" s="118" t="e">
        <f>'Cotizador Extranjero'!P41*(VLOOKUP(A42,'Cotizador Cobertura Ext 2'!$B$7:$C$107,2,FALSE)-1)</f>
        <v>#NUM!</v>
      </c>
      <c r="L42" s="118">
        <f>IF(Cotización!$D$31="Excluida",0,ROUND(J42/(1-SUM(Cotización!$O$47:$O$49)),0))</f>
        <v>0</v>
      </c>
      <c r="M42" s="118">
        <f>IF(Cotización!$D$31="Excluida",0,ROUND(K42/(1-SUM(Cotización!$O$47:$O$49)),0))</f>
        <v>0</v>
      </c>
      <c r="N42" s="119">
        <v>266.15122795000002</v>
      </c>
      <c r="O42" s="119">
        <v>266.15122795000002</v>
      </c>
      <c r="Q42" s="215">
        <f t="shared" si="1"/>
        <v>1727.6532517189319</v>
      </c>
      <c r="R42" s="215">
        <f t="shared" si="0"/>
        <v>1727.6532517189319</v>
      </c>
    </row>
    <row r="43" spans="1:18">
      <c r="A43" s="56">
        <v>39</v>
      </c>
      <c r="B43" s="115">
        <f>'Cotizador Basica'!P42</f>
        <v>805.33084203339217</v>
      </c>
      <c r="C43" s="115">
        <f>'Cotizador Basica'!P42</f>
        <v>805.33084203339217</v>
      </c>
      <c r="D43" s="116">
        <f>'Cotizador Basica'!P42/(1-Cotización!$O$47-Cotización!$O$48-Cotización!$O$49)</f>
        <v>1789.6240934075383</v>
      </c>
      <c r="E43" s="116">
        <f>'Cotizador Basica'!P42/(1-Cotización!$O$47-Cotización!$O$48-Cotización!$O$49)</f>
        <v>1789.6240934075383</v>
      </c>
      <c r="F43" s="118" t="e">
        <f>'Cotizador EMER'!P42*IFERROR(VLOOKUP(A43,'Cotizador Cobertura EMER'!$B$7:$C$107,2,FALSE)-1,0)</f>
        <v>#NUM!</v>
      </c>
      <c r="G43" s="118" t="e">
        <f>'Cotizador EMER'!P42*IFERROR(VLOOKUP(A43,'Cotizador Cobertura EMER'!$B$7:$C$107,2,FALSE)-1,0)</f>
        <v>#NUM!</v>
      </c>
      <c r="H43" s="118">
        <f>IF(Cotización!$D$33="Excluida",0,ROUND(F43/(1-Cotización!$O$47-Cotización!O$48-Cotización!$O$49),0))</f>
        <v>0</v>
      </c>
      <c r="I43" s="118">
        <f>IF(Cotización!$D$33="Excluida",0,ROUND(G43/(1-Cotización!$O$47-Cotización!$O$48-Cotización!$O$49),0))</f>
        <v>0</v>
      </c>
      <c r="J43" s="118" t="e">
        <f>'Cotizador Extranjero'!P42*(VLOOKUP(A43,'Cotizador Cobertura Ext 2'!$B$7:$C$107,2,FALSE)-1)</f>
        <v>#NUM!</v>
      </c>
      <c r="K43" s="118" t="e">
        <f>'Cotizador Extranjero'!P42*(VLOOKUP(A43,'Cotizador Cobertura Ext 2'!$B$7:$C$107,2,FALSE)-1)</f>
        <v>#NUM!</v>
      </c>
      <c r="L43" s="118">
        <f>IF(Cotización!$D$31="Excluida",0,ROUND(J43/(1-SUM(Cotización!$O$47:$O$49)),0))</f>
        <v>0</v>
      </c>
      <c r="M43" s="118">
        <f>IF(Cotización!$D$31="Excluida",0,ROUND(K43/(1-SUM(Cotización!$O$47:$O$49)),0))</f>
        <v>0</v>
      </c>
      <c r="N43" s="119">
        <v>266.15122795000002</v>
      </c>
      <c r="O43" s="119">
        <v>266.15122795000002</v>
      </c>
      <c r="Q43" s="215">
        <f t="shared" si="1"/>
        <v>1789.6240934075383</v>
      </c>
      <c r="R43" s="215">
        <f t="shared" si="0"/>
        <v>1789.6240934075383</v>
      </c>
    </row>
    <row r="44" spans="1:18" s="59" customFormat="1">
      <c r="A44" s="82">
        <v>40</v>
      </c>
      <c r="B44" s="121">
        <f>'Cotizador Basica'!P43</f>
        <v>834.21802183579075</v>
      </c>
      <c r="C44" s="121">
        <f>'Cotizador Basica'!P43</f>
        <v>834.21802183579075</v>
      </c>
      <c r="D44" s="116">
        <f>'Cotizador Basica'!P43/(1-Cotización!$O$47-Cotización!$O$48-Cotización!$O$49)</f>
        <v>1853.8178263017573</v>
      </c>
      <c r="E44" s="122">
        <f>'Cotizador Basica'!P43/(1-Cotización!$O$47-Cotización!$O$48-Cotización!$O$49)</f>
        <v>1853.8178263017573</v>
      </c>
      <c r="F44" s="214" t="e">
        <f>'Cotizador EMER'!P43*IFERROR(VLOOKUP(A44,'Cotizador Cobertura EMER'!$B$7:$C$107,2,FALSE)-1,0)</f>
        <v>#NUM!</v>
      </c>
      <c r="G44" s="212" t="e">
        <f>'Cotizador EMER'!P43*IFERROR(VLOOKUP(A44,'Cotizador Cobertura EMER'!$B$7:$C$107,2,FALSE)-1,0)</f>
        <v>#NUM!</v>
      </c>
      <c r="H44" s="118">
        <f>IF(Cotización!$D$33="Excluida",0,ROUND(F44/(1-Cotización!$O$47-Cotización!O$48-Cotización!$O$49),0))</f>
        <v>0</v>
      </c>
      <c r="I44" s="118">
        <f>IF(Cotización!$D$33="Excluida",0,ROUND(G44/(1-Cotización!$O$47-Cotización!$O$48-Cotización!$O$49),0))</f>
        <v>0</v>
      </c>
      <c r="J44" s="214" t="e">
        <f>'Cotizador Extranjero'!P43*(VLOOKUP(A44,'Cotizador Cobertura Ext 2'!$B$7:$C$107,2,FALSE)-1)</f>
        <v>#NUM!</v>
      </c>
      <c r="K44" s="212" t="e">
        <f>'Cotizador Extranjero'!P43*(VLOOKUP(A44,'Cotizador Cobertura Ext 2'!$B$7:$C$107,2,FALSE)-1)</f>
        <v>#NUM!</v>
      </c>
      <c r="L44" s="212">
        <f>IF(Cotización!$D$31="Excluida",0,ROUND(J44/(1-SUM(Cotización!$O$47:$O$49)),0))</f>
        <v>0</v>
      </c>
      <c r="M44" s="212">
        <f>IF(Cotización!$D$31="Excluida",0,ROUND(K44/(1-SUM(Cotización!$O$47:$O$49)),0))</f>
        <v>0</v>
      </c>
      <c r="N44" s="213">
        <v>266.15122795000002</v>
      </c>
      <c r="O44" s="213">
        <v>266.15122795000002</v>
      </c>
      <c r="Q44" s="216">
        <f t="shared" si="1"/>
        <v>1853.8178263017573</v>
      </c>
      <c r="R44" s="216">
        <f t="shared" si="0"/>
        <v>1853.8178263017573</v>
      </c>
    </row>
    <row r="45" spans="1:18">
      <c r="A45" s="56">
        <v>41</v>
      </c>
      <c r="B45" s="115">
        <f>'Cotizador Basica'!P44</f>
        <v>864.14138343253023</v>
      </c>
      <c r="C45" s="115">
        <f>'Cotizador Basica'!P44</f>
        <v>864.14138343253023</v>
      </c>
      <c r="D45" s="116">
        <f>'Cotizador Basica'!P44/(1-Cotización!$O$47-Cotización!$O$48-Cotización!$O$49)</f>
        <v>1920.314185405623</v>
      </c>
      <c r="E45" s="116">
        <f>'Cotizador Basica'!P44/(1-Cotización!$O$47-Cotización!$O$48-Cotización!$O$49)</f>
        <v>1920.314185405623</v>
      </c>
      <c r="F45" s="118" t="e">
        <f>'Cotizador EMER'!P44*IFERROR(VLOOKUP(A45,'Cotizador Cobertura EMER'!$B$7:$C$107,2,FALSE)-1,0)</f>
        <v>#NUM!</v>
      </c>
      <c r="G45" s="118" t="e">
        <f>'Cotizador EMER'!P44*IFERROR(VLOOKUP(A45,'Cotizador Cobertura EMER'!$B$7:$C$107,2,FALSE)-1,0)</f>
        <v>#NUM!</v>
      </c>
      <c r="H45" s="118">
        <f>IF(Cotización!$D$33="Excluida",0,ROUND(F45/(1-Cotización!$O$47-Cotización!O$48-Cotización!$O$49),0))</f>
        <v>0</v>
      </c>
      <c r="I45" s="118">
        <f>IF(Cotización!$D$33="Excluida",0,ROUND(G45/(1-Cotización!$O$47-Cotización!$O$48-Cotización!$O$49),0))</f>
        <v>0</v>
      </c>
      <c r="J45" s="118" t="e">
        <f>'Cotizador Extranjero'!P44*(VLOOKUP(A45,'Cotizador Cobertura Ext 2'!$B$7:$C$107,2,FALSE)-1)</f>
        <v>#NUM!</v>
      </c>
      <c r="K45" s="118" t="e">
        <f>'Cotizador Extranjero'!P44*(VLOOKUP(A45,'Cotizador Cobertura Ext 2'!$B$7:$C$107,2,FALSE)-1)</f>
        <v>#NUM!</v>
      </c>
      <c r="L45" s="118">
        <f>IF(Cotización!$D$31="Excluida",0,ROUND(J45/(1-SUM(Cotización!$O$47:$O$49)),0))</f>
        <v>0</v>
      </c>
      <c r="M45" s="118">
        <f>IF(Cotización!$D$31="Excluida",0,ROUND(K45/(1-SUM(Cotización!$O$47:$O$49)),0))</f>
        <v>0</v>
      </c>
      <c r="N45" s="119">
        <v>266.15122795000002</v>
      </c>
      <c r="O45" s="119">
        <v>266.15122795000002</v>
      </c>
      <c r="Q45" s="215">
        <f t="shared" si="1"/>
        <v>1920.314185405623</v>
      </c>
      <c r="R45" s="215">
        <f t="shared" si="0"/>
        <v>1920.314185405623</v>
      </c>
    </row>
    <row r="46" spans="1:18">
      <c r="A46" s="56">
        <v>42</v>
      </c>
      <c r="B46" s="115">
        <f>'Cotizador Basica'!P45</f>
        <v>895.13809461632218</v>
      </c>
      <c r="C46" s="115">
        <f>'Cotizador Basica'!P45</f>
        <v>895.13809461632218</v>
      </c>
      <c r="D46" s="116">
        <f>'Cotizador Basica'!P45/(1-Cotización!$O$47-Cotización!$O$48-Cotización!$O$49)</f>
        <v>1989.1957658140495</v>
      </c>
      <c r="E46" s="116">
        <f>'Cotizador Basica'!P45/(1-Cotización!$O$47-Cotización!$O$48-Cotización!$O$49)</f>
        <v>1989.1957658140495</v>
      </c>
      <c r="F46" s="118" t="e">
        <f>'Cotizador EMER'!P45*IFERROR(VLOOKUP(A46,'Cotizador Cobertura EMER'!$B$7:$C$107,2,FALSE)-1,0)</f>
        <v>#NUM!</v>
      </c>
      <c r="G46" s="118" t="e">
        <f>'Cotizador EMER'!P45*IFERROR(VLOOKUP(A46,'Cotizador Cobertura EMER'!$B$7:$C$107,2,FALSE)-1,0)</f>
        <v>#NUM!</v>
      </c>
      <c r="H46" s="118">
        <f>IF(Cotización!$D$33="Excluida",0,ROUND(F46/(1-Cotización!$O$47-Cotización!O$48-Cotización!$O$49),0))</f>
        <v>0</v>
      </c>
      <c r="I46" s="118">
        <f>IF(Cotización!$D$33="Excluida",0,ROUND(G46/(1-Cotización!$O$47-Cotización!$O$48-Cotización!$O$49),0))</f>
        <v>0</v>
      </c>
      <c r="J46" s="118" t="e">
        <f>'Cotizador Extranjero'!P45*(VLOOKUP(A46,'Cotizador Cobertura Ext 2'!$B$7:$C$107,2,FALSE)-1)</f>
        <v>#NUM!</v>
      </c>
      <c r="K46" s="118" t="e">
        <f>'Cotizador Extranjero'!P45*(VLOOKUP(A46,'Cotizador Cobertura Ext 2'!$B$7:$C$107,2,FALSE)-1)</f>
        <v>#NUM!</v>
      </c>
      <c r="L46" s="118">
        <f>IF(Cotización!$D$31="Excluida",0,ROUND(J46/(1-SUM(Cotización!$O$47:$O$49)),0))</f>
        <v>0</v>
      </c>
      <c r="M46" s="118">
        <f>IF(Cotización!$D$31="Excluida",0,ROUND(K46/(1-SUM(Cotización!$O$47:$O$49)),0))</f>
        <v>0</v>
      </c>
      <c r="N46" s="119">
        <v>266.15122795000002</v>
      </c>
      <c r="O46" s="119">
        <v>266.15122795000002</v>
      </c>
      <c r="Q46" s="215">
        <f t="shared" si="1"/>
        <v>1989.1957658140495</v>
      </c>
      <c r="R46" s="215">
        <f t="shared" si="0"/>
        <v>1989.1957658140495</v>
      </c>
    </row>
    <row r="47" spans="1:18" s="59" customFormat="1">
      <c r="A47" s="56">
        <v>43</v>
      </c>
      <c r="B47" s="123">
        <f>'Cotizador Basica'!P46</f>
        <v>927.24665638687213</v>
      </c>
      <c r="C47" s="123">
        <f>'Cotizador Basica'!P46</f>
        <v>927.24665638687213</v>
      </c>
      <c r="D47" s="116">
        <f>'Cotizador Basica'!P46/(1-Cotización!$O$47-Cotización!$O$48-Cotización!$O$49)</f>
        <v>2060.5481253041603</v>
      </c>
      <c r="E47" s="116">
        <f>'Cotizador Basica'!P46/(1-Cotización!$O$47-Cotización!$O$48-Cotización!$O$49)</f>
        <v>2060.5481253041603</v>
      </c>
      <c r="F47" s="118" t="e">
        <f>'Cotizador EMER'!P46*IFERROR(VLOOKUP(A47,'Cotizador Cobertura EMER'!$B$7:$C$107,2,FALSE)-1,0)</f>
        <v>#NUM!</v>
      </c>
      <c r="G47" s="118" t="e">
        <f>'Cotizador EMER'!P46*IFERROR(VLOOKUP(A47,'Cotizador Cobertura EMER'!$B$7:$C$107,2,FALSE)-1,0)</f>
        <v>#NUM!</v>
      </c>
      <c r="H47" s="118">
        <f>IF(Cotización!$D$33="Excluida",0,ROUND(F47/(1-Cotización!$O$47-Cotización!O$48-Cotización!$O$49),0))</f>
        <v>0</v>
      </c>
      <c r="I47" s="118">
        <f>IF(Cotización!$D$33="Excluida",0,ROUND(G47/(1-Cotización!$O$47-Cotización!$O$48-Cotización!$O$49),0))</f>
        <v>0</v>
      </c>
      <c r="J47" s="118" t="e">
        <f>'Cotizador Extranjero'!P46*(VLOOKUP(A47,'Cotizador Cobertura Ext 2'!$B$7:$C$107,2,FALSE)-1)</f>
        <v>#NUM!</v>
      </c>
      <c r="K47" s="118" t="e">
        <f>'Cotizador Extranjero'!P46*(VLOOKUP(A47,'Cotizador Cobertura Ext 2'!$B$7:$C$107,2,FALSE)-1)</f>
        <v>#NUM!</v>
      </c>
      <c r="L47" s="118">
        <f>IF(Cotización!$D$31="Excluida",0,ROUND(J47/(1-SUM(Cotización!$O$47:$O$49)),0))</f>
        <v>0</v>
      </c>
      <c r="M47" s="118">
        <f>IF(Cotización!$D$31="Excluida",0,ROUND(K47/(1-SUM(Cotización!$O$47:$O$49)),0))</f>
        <v>0</v>
      </c>
      <c r="N47" s="119">
        <v>266.15122795000002</v>
      </c>
      <c r="O47" s="119">
        <v>266.15122795000002</v>
      </c>
      <c r="Q47" s="215">
        <f t="shared" si="1"/>
        <v>2060.5481253041603</v>
      </c>
      <c r="R47" s="215">
        <f t="shared" si="0"/>
        <v>2060.5481253041603</v>
      </c>
    </row>
    <row r="48" spans="1:18">
      <c r="A48" s="56">
        <v>44</v>
      </c>
      <c r="B48" s="115">
        <f>'Cotizador Basica'!P47</f>
        <v>960.50695077295268</v>
      </c>
      <c r="C48" s="115">
        <f>'Cotizador Basica'!P47</f>
        <v>960.50695077295268</v>
      </c>
      <c r="D48" s="116">
        <f>'Cotizador Basica'!P47/(1-Cotización!$O$47-Cotización!$O$48-Cotización!$O$49)</f>
        <v>2134.4598906065617</v>
      </c>
      <c r="E48" s="116">
        <f>'Cotizador Basica'!P47/(1-Cotización!$O$47-Cotización!$O$48-Cotización!$O$49)</f>
        <v>2134.4598906065617</v>
      </c>
      <c r="F48" s="118" t="e">
        <f>'Cotizador EMER'!P47*IFERROR(VLOOKUP(A48,'Cotizador Cobertura EMER'!$B$7:$C$107,2,FALSE)-1,0)</f>
        <v>#NUM!</v>
      </c>
      <c r="G48" s="118" t="e">
        <f>'Cotizador EMER'!P47*IFERROR(VLOOKUP(A48,'Cotizador Cobertura EMER'!$B$7:$C$107,2,FALSE)-1,0)</f>
        <v>#NUM!</v>
      </c>
      <c r="H48" s="118">
        <f>IF(Cotización!$D$33="Excluida",0,ROUND(F48/(1-Cotización!$O$47-Cotización!O$48-Cotización!$O$49),0))</f>
        <v>0</v>
      </c>
      <c r="I48" s="118">
        <f>IF(Cotización!$D$33="Excluida",0,ROUND(G48/(1-Cotización!$O$47-Cotización!$O$48-Cotización!$O$49),0))</f>
        <v>0</v>
      </c>
      <c r="J48" s="118" t="e">
        <f>'Cotizador Extranjero'!P47*(VLOOKUP(A48,'Cotizador Cobertura Ext 2'!$B$7:$C$107,2,FALSE)-1)</f>
        <v>#NUM!</v>
      </c>
      <c r="K48" s="118" t="e">
        <f>'Cotizador Extranjero'!P47*(VLOOKUP(A48,'Cotizador Cobertura Ext 2'!$B$7:$C$107,2,FALSE)-1)</f>
        <v>#NUM!</v>
      </c>
      <c r="L48" s="118">
        <f>IF(Cotización!$D$31="Excluida",0,ROUND(J48/(1-SUM(Cotización!$O$47:$O$49)),0))</f>
        <v>0</v>
      </c>
      <c r="M48" s="118">
        <f>IF(Cotización!$D$31="Excluida",0,ROUND(K48/(1-SUM(Cotización!$O$47:$O$49)),0))</f>
        <v>0</v>
      </c>
      <c r="N48" s="119">
        <v>266.15122795000002</v>
      </c>
      <c r="O48" s="119">
        <v>266.15122795000002</v>
      </c>
      <c r="Q48" s="215">
        <f t="shared" si="1"/>
        <v>2134.4598906065617</v>
      </c>
      <c r="R48" s="215">
        <f t="shared" si="0"/>
        <v>2134.4598906065617</v>
      </c>
    </row>
    <row r="49" spans="1:18">
      <c r="A49" s="56">
        <v>45</v>
      </c>
      <c r="B49" s="115">
        <f>'Cotizador Basica'!P48</f>
        <v>994.96029036985033</v>
      </c>
      <c r="C49" s="115">
        <f>'Cotizador Basica'!P48</f>
        <v>994.96029036985033</v>
      </c>
      <c r="D49" s="116">
        <f>'Cotizador Basica'!P48/(1-Cotización!$O$47-Cotización!$O$48-Cotización!$O$49)</f>
        <v>2211.0228674885566</v>
      </c>
      <c r="E49" s="116">
        <f>'Cotizador Basica'!P48/(1-Cotización!$O$47-Cotización!$O$48-Cotización!$O$49)</f>
        <v>2211.0228674885566</v>
      </c>
      <c r="F49" s="118" t="e">
        <f>'Cotizador EMER'!P48*IFERROR(VLOOKUP(A49,'Cotizador Cobertura EMER'!$B$7:$C$107,2,FALSE)-1,0)</f>
        <v>#NUM!</v>
      </c>
      <c r="G49" s="118" t="e">
        <f>'Cotizador EMER'!P48*IFERROR(VLOOKUP(A49,'Cotizador Cobertura EMER'!$B$7:$C$107,2,FALSE)-1,0)</f>
        <v>#NUM!</v>
      </c>
      <c r="H49" s="118">
        <f>IF(Cotización!$D$33="Excluida",0,ROUND(F49/(1-Cotización!$O$47-Cotización!O$48-Cotización!$O$49),0))</f>
        <v>0</v>
      </c>
      <c r="I49" s="118">
        <f>IF(Cotización!$D$33="Excluida",0,ROUND(G49/(1-Cotización!$O$47-Cotización!$O$48-Cotización!$O$49),0))</f>
        <v>0</v>
      </c>
      <c r="J49" s="118" t="e">
        <f>'Cotizador Extranjero'!P48*(VLOOKUP(A49,'Cotizador Cobertura Ext 2'!$B$7:$C$107,2,FALSE)-1)</f>
        <v>#NUM!</v>
      </c>
      <c r="K49" s="118" t="e">
        <f>'Cotizador Extranjero'!P48*(VLOOKUP(A49,'Cotizador Cobertura Ext 2'!$B$7:$C$107,2,FALSE)-1)</f>
        <v>#NUM!</v>
      </c>
      <c r="L49" s="118">
        <f>IF(Cotización!$D$31="Excluida",0,ROUND(J49/(1-SUM(Cotización!$O$47:$O$49)),0))</f>
        <v>0</v>
      </c>
      <c r="M49" s="118">
        <f>IF(Cotización!$D$31="Excluida",0,ROUND(K49/(1-SUM(Cotización!$O$47:$O$49)),0))</f>
        <v>0</v>
      </c>
      <c r="N49" s="119">
        <v>266.15122795000002</v>
      </c>
      <c r="O49" s="119">
        <v>266.15122795000002</v>
      </c>
      <c r="Q49" s="215">
        <f t="shared" si="1"/>
        <v>2211.0228674885566</v>
      </c>
      <c r="R49" s="215">
        <f t="shared" si="0"/>
        <v>2211.0228674885566</v>
      </c>
    </row>
    <row r="50" spans="1:18">
      <c r="A50" s="56">
        <v>46</v>
      </c>
      <c r="B50" s="115">
        <f>'Cotizador Basica'!P49</f>
        <v>1030.6494696537216</v>
      </c>
      <c r="C50" s="115">
        <f>'Cotizador Basica'!P49</f>
        <v>1030.6494696537216</v>
      </c>
      <c r="D50" s="116">
        <f>'Cotizador Basica'!P49/(1-Cotización!$O$47-Cotización!$O$48-Cotización!$O$49)</f>
        <v>2290.3321547860482</v>
      </c>
      <c r="E50" s="116">
        <f>'Cotizador Basica'!P49/(1-Cotización!$O$47-Cotización!$O$48-Cotización!$O$49)</f>
        <v>2290.3321547860482</v>
      </c>
      <c r="F50" s="118" t="e">
        <f>'Cotizador EMER'!P49*IFERROR(VLOOKUP(A50,'Cotizador Cobertura EMER'!$B$7:$C$107,2,FALSE)-1,0)</f>
        <v>#NUM!</v>
      </c>
      <c r="G50" s="118" t="e">
        <f>'Cotizador EMER'!P49*IFERROR(VLOOKUP(A50,'Cotizador Cobertura EMER'!$B$7:$C$107,2,FALSE)-1,0)</f>
        <v>#NUM!</v>
      </c>
      <c r="H50" s="118">
        <f>IF(Cotización!$D$33="Excluida",0,ROUND(F50/(1-Cotización!$O$47-Cotización!O$48-Cotización!$O$49),0))</f>
        <v>0</v>
      </c>
      <c r="I50" s="118">
        <f>IF(Cotización!$D$33="Excluida",0,ROUND(G50/(1-Cotización!$O$47-Cotización!$O$48-Cotización!$O$49),0))</f>
        <v>0</v>
      </c>
      <c r="J50" s="118" t="e">
        <f>'Cotizador Extranjero'!P49*(VLOOKUP(A50,'Cotizador Cobertura Ext 2'!$B$7:$C$107,2,FALSE)-1)</f>
        <v>#NUM!</v>
      </c>
      <c r="K50" s="118" t="e">
        <f>'Cotizador Extranjero'!P49*(VLOOKUP(A50,'Cotizador Cobertura Ext 2'!$B$7:$C$107,2,FALSE)-1)</f>
        <v>#NUM!</v>
      </c>
      <c r="L50" s="118">
        <f>IF(Cotización!$D$31="Excluida",0,ROUND(J50/(1-SUM(Cotización!$O$47:$O$49)),0))</f>
        <v>0</v>
      </c>
      <c r="M50" s="118">
        <f>IF(Cotización!$D$31="Excluida",0,ROUND(K50/(1-SUM(Cotización!$O$47:$O$49)),0))</f>
        <v>0</v>
      </c>
      <c r="N50" s="119">
        <v>266.15122795000002</v>
      </c>
      <c r="O50" s="119">
        <v>266.15122795000002</v>
      </c>
      <c r="Q50" s="215">
        <f t="shared" si="1"/>
        <v>2290.3321547860482</v>
      </c>
      <c r="R50" s="215">
        <f t="shared" si="0"/>
        <v>2290.3321547860482</v>
      </c>
    </row>
    <row r="51" spans="1:18">
      <c r="A51" s="56">
        <v>47</v>
      </c>
      <c r="B51" s="115">
        <f>'Cotizador Basica'!P50</f>
        <v>1067.6188181365892</v>
      </c>
      <c r="C51" s="115">
        <f>'Cotizador Basica'!P50</f>
        <v>1067.6188181365892</v>
      </c>
      <c r="D51" s="116">
        <f>'Cotizador Basica'!P50/(1-Cotización!$O$47-Cotización!$O$48-Cotización!$O$49)</f>
        <v>2372.4862625257542</v>
      </c>
      <c r="E51" s="116">
        <f>'Cotizador Basica'!P50/(1-Cotización!$O$47-Cotización!$O$48-Cotización!$O$49)</f>
        <v>2372.4862625257542</v>
      </c>
      <c r="F51" s="118" t="e">
        <f>'Cotizador EMER'!P50*IFERROR(VLOOKUP(A51,'Cotizador Cobertura EMER'!$B$7:$C$107,2,FALSE)-1,0)</f>
        <v>#NUM!</v>
      </c>
      <c r="G51" s="118" t="e">
        <f>'Cotizador EMER'!P50*IFERROR(VLOOKUP(A51,'Cotizador Cobertura EMER'!$B$7:$C$107,2,FALSE)-1,0)</f>
        <v>#NUM!</v>
      </c>
      <c r="H51" s="118">
        <f>IF(Cotización!$D$33="Excluida",0,ROUND(F51/(1-Cotización!$O$47-Cotización!O$48-Cotización!$O$49),0))</f>
        <v>0</v>
      </c>
      <c r="I51" s="118">
        <f>IF(Cotización!$D$33="Excluida",0,ROUND(G51/(1-Cotización!$O$47-Cotización!$O$48-Cotización!$O$49),0))</f>
        <v>0</v>
      </c>
      <c r="J51" s="118" t="e">
        <f>'Cotizador Extranjero'!P50*(VLOOKUP(A51,'Cotizador Cobertura Ext 2'!$B$7:$C$107,2,FALSE)-1)</f>
        <v>#NUM!</v>
      </c>
      <c r="K51" s="118" t="e">
        <f>'Cotizador Extranjero'!P50*(VLOOKUP(A51,'Cotizador Cobertura Ext 2'!$B$7:$C$107,2,FALSE)-1)</f>
        <v>#NUM!</v>
      </c>
      <c r="L51" s="118">
        <f>IF(Cotización!$D$31="Excluida",0,ROUND(J51/(1-SUM(Cotización!$O$47:$O$49)),0))</f>
        <v>0</v>
      </c>
      <c r="M51" s="118">
        <f>IF(Cotización!$D$31="Excluida",0,ROUND(K51/(1-SUM(Cotización!$O$47:$O$49)),0))</f>
        <v>0</v>
      </c>
      <c r="N51" s="119">
        <v>266.15122795000002</v>
      </c>
      <c r="O51" s="119">
        <v>266.15122795000002</v>
      </c>
      <c r="Q51" s="215">
        <f t="shared" si="1"/>
        <v>2372.4862625257542</v>
      </c>
      <c r="R51" s="215">
        <f t="shared" si="0"/>
        <v>2372.4862625257542</v>
      </c>
    </row>
    <row r="52" spans="1:18">
      <c r="A52" s="56">
        <v>48</v>
      </c>
      <c r="B52" s="115">
        <f>'Cotizador Basica'!P51</f>
        <v>1105.914255428009</v>
      </c>
      <c r="C52" s="115">
        <f>'Cotizador Basica'!P51</f>
        <v>1105.914255428009</v>
      </c>
      <c r="D52" s="116">
        <f>'Cotizador Basica'!P51/(1-Cotización!$O$47-Cotización!$O$48-Cotización!$O$49)</f>
        <v>2457.5872342844646</v>
      </c>
      <c r="E52" s="116">
        <f>'Cotizador Basica'!P51/(1-Cotización!$O$47-Cotización!$O$48-Cotización!$O$49)</f>
        <v>2457.5872342844646</v>
      </c>
      <c r="F52" s="118" t="e">
        <f>'Cotizador EMER'!P51*IFERROR(VLOOKUP(A52,'Cotizador Cobertura EMER'!$B$7:$C$107,2,FALSE)-1,0)</f>
        <v>#NUM!</v>
      </c>
      <c r="G52" s="118" t="e">
        <f>'Cotizador EMER'!P51*IFERROR(VLOOKUP(A52,'Cotizador Cobertura EMER'!$B$7:$C$107,2,FALSE)-1,0)</f>
        <v>#NUM!</v>
      </c>
      <c r="H52" s="118">
        <f>IF(Cotización!$D$33="Excluida",0,ROUND(F52/(1-Cotización!$O$47-Cotización!O$48-Cotización!$O$49),0))</f>
        <v>0</v>
      </c>
      <c r="I52" s="118">
        <f>IF(Cotización!$D$33="Excluida",0,ROUND(G52/(1-Cotización!$O$47-Cotización!$O$48-Cotización!$O$49),0))</f>
        <v>0</v>
      </c>
      <c r="J52" s="118" t="e">
        <f>'Cotizador Extranjero'!P51*(VLOOKUP(A52,'Cotizador Cobertura Ext 2'!$B$7:$C$107,2,FALSE)-1)</f>
        <v>#NUM!</v>
      </c>
      <c r="K52" s="118" t="e">
        <f>'Cotizador Extranjero'!P51*(VLOOKUP(A52,'Cotizador Cobertura Ext 2'!$B$7:$C$107,2,FALSE)-1)</f>
        <v>#NUM!</v>
      </c>
      <c r="L52" s="118">
        <f>IF(Cotización!$D$31="Excluida",0,ROUND(J52/(1-SUM(Cotización!$O$47:$O$49)),0))</f>
        <v>0</v>
      </c>
      <c r="M52" s="118">
        <f>IF(Cotización!$D$31="Excluida",0,ROUND(K52/(1-SUM(Cotización!$O$47:$O$49)),0))</f>
        <v>0</v>
      </c>
      <c r="N52" s="119">
        <v>266.15122795000002</v>
      </c>
      <c r="O52" s="119">
        <v>266.15122795000002</v>
      </c>
      <c r="Q52" s="215">
        <f t="shared" si="1"/>
        <v>2457.5872342844646</v>
      </c>
      <c r="R52" s="215">
        <f t="shared" si="0"/>
        <v>2457.5872342844646</v>
      </c>
    </row>
    <row r="53" spans="1:18">
      <c r="A53" s="56">
        <v>49</v>
      </c>
      <c r="B53" s="115">
        <f>'Cotizador Basica'!P52</f>
        <v>1145.5833482717924</v>
      </c>
      <c r="C53" s="115">
        <f>'Cotizador Basica'!P52</f>
        <v>1145.5833482717924</v>
      </c>
      <c r="D53" s="116">
        <f>'Cotizador Basica'!P52/(1-Cotización!$O$47-Cotización!$O$48-Cotización!$O$49)</f>
        <v>2545.7407739373166</v>
      </c>
      <c r="E53" s="116">
        <f>'Cotizador Basica'!P52/(1-Cotización!$O$47-Cotización!$O$48-Cotización!$O$49)</f>
        <v>2545.7407739373166</v>
      </c>
      <c r="F53" s="118" t="e">
        <f>'Cotizador EMER'!P52*IFERROR(VLOOKUP(A53,'Cotizador Cobertura EMER'!$B$7:$C$107,2,FALSE)-1,0)</f>
        <v>#NUM!</v>
      </c>
      <c r="G53" s="118" t="e">
        <f>'Cotizador EMER'!P52*IFERROR(VLOOKUP(A53,'Cotizador Cobertura EMER'!$B$7:$C$107,2,FALSE)-1,0)</f>
        <v>#NUM!</v>
      </c>
      <c r="H53" s="118">
        <f>IF(Cotización!$D$33="Excluida",0,ROUND(F53/(1-Cotización!$O$47-Cotización!O$48-Cotización!$O$49),0))</f>
        <v>0</v>
      </c>
      <c r="I53" s="118">
        <f>IF(Cotización!$D$33="Excluida",0,ROUND(G53/(1-Cotización!$O$47-Cotización!$O$48-Cotización!$O$49),0))</f>
        <v>0</v>
      </c>
      <c r="J53" s="118" t="e">
        <f>'Cotizador Extranjero'!P52*(VLOOKUP(A53,'Cotizador Cobertura Ext 2'!$B$7:$C$107,2,FALSE)-1)</f>
        <v>#NUM!</v>
      </c>
      <c r="K53" s="118" t="e">
        <f>'Cotizador Extranjero'!P52*(VLOOKUP(A53,'Cotizador Cobertura Ext 2'!$B$7:$C$107,2,FALSE)-1)</f>
        <v>#NUM!</v>
      </c>
      <c r="L53" s="118">
        <f>IF(Cotización!$D$31="Excluida",0,ROUND(J53/(1-SUM(Cotización!$O$47:$O$49)),0))</f>
        <v>0</v>
      </c>
      <c r="M53" s="118">
        <f>IF(Cotización!$D$31="Excluida",0,ROUND(K53/(1-SUM(Cotización!$O$47:$O$49)),0))</f>
        <v>0</v>
      </c>
      <c r="N53" s="119">
        <v>266.15122795000002</v>
      </c>
      <c r="O53" s="119">
        <v>266.15122795000002</v>
      </c>
      <c r="Q53" s="215">
        <f t="shared" si="1"/>
        <v>2545.7407739373166</v>
      </c>
      <c r="R53" s="215">
        <f t="shared" si="0"/>
        <v>2545.7407739373166</v>
      </c>
    </row>
    <row r="54" spans="1:18">
      <c r="A54" s="56">
        <v>50</v>
      </c>
      <c r="B54" s="115">
        <f>'Cotizador Basica'!P53</f>
        <v>1186.675369628636</v>
      </c>
      <c r="C54" s="115">
        <f>'Cotizador Basica'!P53</f>
        <v>1186.675369628636</v>
      </c>
      <c r="D54" s="116">
        <f>'Cotizador Basica'!P53/(1-Cotización!$O$47-Cotización!$O$48-Cotización!$O$49)</f>
        <v>2637.0563769525247</v>
      </c>
      <c r="E54" s="116">
        <f>'Cotizador Basica'!P53/(1-Cotización!$O$47-Cotización!$O$48-Cotización!$O$49)</f>
        <v>2637.0563769525247</v>
      </c>
      <c r="F54" s="118" t="e">
        <f>'Cotizador EMER'!P53*IFERROR(VLOOKUP(A54,'Cotizador Cobertura EMER'!$B$7:$C$107,2,FALSE)-1,0)</f>
        <v>#NUM!</v>
      </c>
      <c r="G54" s="118" t="e">
        <f>'Cotizador EMER'!P53*IFERROR(VLOOKUP(A54,'Cotizador Cobertura EMER'!$B$7:$C$107,2,FALSE)-1,0)</f>
        <v>#NUM!</v>
      </c>
      <c r="H54" s="118">
        <f>IF(Cotización!$D$33="Excluida",0,ROUND(F54/(1-Cotización!$O$47-Cotización!O$48-Cotización!$O$49),0))</f>
        <v>0</v>
      </c>
      <c r="I54" s="118">
        <f>IF(Cotización!$D$33="Excluida",0,ROUND(G54/(1-Cotización!$O$47-Cotización!$O$48-Cotización!$O$49),0))</f>
        <v>0</v>
      </c>
      <c r="J54" s="118" t="e">
        <f>'Cotizador Extranjero'!P53*(VLOOKUP(A54,'Cotizador Cobertura Ext 2'!$B$7:$C$107,2,FALSE)-1)</f>
        <v>#NUM!</v>
      </c>
      <c r="K54" s="118" t="e">
        <f>'Cotizador Extranjero'!P53*(VLOOKUP(A54,'Cotizador Cobertura Ext 2'!$B$7:$C$107,2,FALSE)-1)</f>
        <v>#NUM!</v>
      </c>
      <c r="L54" s="118">
        <f>IF(Cotización!$D$31="Excluida",0,ROUND(J54/(1-SUM(Cotización!$O$47:$O$49)),0))</f>
        <v>0</v>
      </c>
      <c r="M54" s="118">
        <f>IF(Cotización!$D$31="Excluida",0,ROUND(K54/(1-SUM(Cotización!$O$47:$O$49)),0))</f>
        <v>0</v>
      </c>
      <c r="N54" s="119">
        <v>266.15122795000002</v>
      </c>
      <c r="O54" s="119">
        <v>266.15122795000002</v>
      </c>
      <c r="Q54" s="215">
        <f t="shared" si="1"/>
        <v>2637.0563769525247</v>
      </c>
      <c r="R54" s="215">
        <f t="shared" si="0"/>
        <v>2637.0563769525247</v>
      </c>
    </row>
    <row r="55" spans="1:18">
      <c r="A55" s="56">
        <v>51</v>
      </c>
      <c r="B55" s="115">
        <f>'Cotizador Basica'!P54</f>
        <v>1229.2413598780433</v>
      </c>
      <c r="C55" s="115">
        <f>'Cotizador Basica'!P54</f>
        <v>1229.2413598780433</v>
      </c>
      <c r="D55" s="116">
        <f>'Cotizador Basica'!P54/(1-Cotización!$O$47-Cotización!$O$48-Cotización!$O$49)</f>
        <v>2731.6474663956519</v>
      </c>
      <c r="E55" s="116">
        <f>'Cotizador Basica'!P54/(1-Cotización!$O$47-Cotización!$O$48-Cotización!$O$49)</f>
        <v>2731.6474663956519</v>
      </c>
      <c r="F55" s="118" t="e">
        <f>'Cotizador EMER'!P54*IFERROR(VLOOKUP(A55,'Cotizador Cobertura EMER'!$B$7:$C$107,2,FALSE)-1,0)</f>
        <v>#NUM!</v>
      </c>
      <c r="G55" s="118" t="e">
        <f>'Cotizador EMER'!P54*IFERROR(VLOOKUP(A55,'Cotizador Cobertura EMER'!$B$7:$C$107,2,FALSE)-1,0)</f>
        <v>#NUM!</v>
      </c>
      <c r="H55" s="118">
        <f>IF(Cotización!$D$33="Excluida",0,ROUND(F55/(1-Cotización!$O$47-Cotización!O$48-Cotización!$O$49),0))</f>
        <v>0</v>
      </c>
      <c r="I55" s="118">
        <f>IF(Cotización!$D$33="Excluida",0,ROUND(G55/(1-Cotización!$O$47-Cotización!$O$48-Cotización!$O$49),0))</f>
        <v>0</v>
      </c>
      <c r="J55" s="118" t="e">
        <f>'Cotizador Extranjero'!P54*(VLOOKUP(A55,'Cotizador Cobertura Ext 2'!$B$7:$C$107,2,FALSE)-1)</f>
        <v>#NUM!</v>
      </c>
      <c r="K55" s="118" t="e">
        <f>'Cotizador Extranjero'!P54*(VLOOKUP(A55,'Cotizador Cobertura Ext 2'!$B$7:$C$107,2,FALSE)-1)</f>
        <v>#NUM!</v>
      </c>
      <c r="L55" s="118">
        <f>IF(Cotización!$D$31="Excluida",0,ROUND(J55/(1-SUM(Cotización!$O$47:$O$49)),0))</f>
        <v>0</v>
      </c>
      <c r="M55" s="118">
        <f>IF(Cotización!$D$31="Excluida",0,ROUND(K55/(1-SUM(Cotización!$O$47:$O$49)),0))</f>
        <v>0</v>
      </c>
      <c r="N55" s="119">
        <v>266.15122795000002</v>
      </c>
      <c r="O55" s="119">
        <v>266.15122795000002</v>
      </c>
      <c r="Q55" s="215">
        <f t="shared" si="1"/>
        <v>2731.6474663956519</v>
      </c>
      <c r="R55" s="215">
        <f t="shared" si="0"/>
        <v>2731.6474663956519</v>
      </c>
    </row>
    <row r="56" spans="1:18">
      <c r="A56" s="56">
        <v>52</v>
      </c>
      <c r="B56" s="115">
        <f>'Cotizador Basica'!P55</f>
        <v>1273.3341902155528</v>
      </c>
      <c r="C56" s="115">
        <f>'Cotizador Basica'!P55</f>
        <v>1273.3341902155528</v>
      </c>
      <c r="D56" s="116">
        <f>'Cotizador Basica'!P55/(1-Cotización!$O$47-Cotización!$O$48-Cotización!$O$49)</f>
        <v>2829.63153381234</v>
      </c>
      <c r="E56" s="116">
        <f>'Cotizador Basica'!P55/(1-Cotización!$O$47-Cotización!$O$48-Cotización!$O$49)</f>
        <v>2829.63153381234</v>
      </c>
      <c r="F56" s="118" t="e">
        <f>'Cotizador EMER'!P55*IFERROR(VLOOKUP(A56,'Cotizador Cobertura EMER'!$B$7:$C$107,2,FALSE)-1,0)</f>
        <v>#NUM!</v>
      </c>
      <c r="G56" s="118" t="e">
        <f>'Cotizador EMER'!P55*IFERROR(VLOOKUP(A56,'Cotizador Cobertura EMER'!$B$7:$C$107,2,FALSE)-1,0)</f>
        <v>#NUM!</v>
      </c>
      <c r="H56" s="118">
        <f>IF(Cotización!$D$33="Excluida",0,ROUND(F56/(1-Cotización!$O$47-Cotización!O$48-Cotización!$O$49),0))</f>
        <v>0</v>
      </c>
      <c r="I56" s="118">
        <f>IF(Cotización!$D$33="Excluida",0,ROUND(G56/(1-Cotización!$O$47-Cotización!$O$48-Cotización!$O$49),0))</f>
        <v>0</v>
      </c>
      <c r="J56" s="118" t="e">
        <f>'Cotizador Extranjero'!P55*(VLOOKUP(A56,'Cotizador Cobertura Ext 2'!$B$7:$C$107,2,FALSE)-1)</f>
        <v>#NUM!</v>
      </c>
      <c r="K56" s="118" t="e">
        <f>'Cotizador Extranjero'!P55*(VLOOKUP(A56,'Cotizador Cobertura Ext 2'!$B$7:$C$107,2,FALSE)-1)</f>
        <v>#NUM!</v>
      </c>
      <c r="L56" s="118">
        <f>IF(Cotización!$D$31="Excluida",0,ROUND(J56/(1-SUM(Cotización!$O$47:$O$49)),0))</f>
        <v>0</v>
      </c>
      <c r="M56" s="118">
        <f>IF(Cotización!$D$31="Excluida",0,ROUND(K56/(1-SUM(Cotización!$O$47:$O$49)),0))</f>
        <v>0</v>
      </c>
      <c r="N56" s="119">
        <v>266.15122795000002</v>
      </c>
      <c r="O56" s="119">
        <v>266.15122795000002</v>
      </c>
      <c r="Q56" s="215">
        <f t="shared" si="1"/>
        <v>2829.63153381234</v>
      </c>
      <c r="R56" s="215">
        <f t="shared" si="0"/>
        <v>2829.63153381234</v>
      </c>
    </row>
    <row r="57" spans="1:18">
      <c r="A57" s="114">
        <v>53</v>
      </c>
      <c r="B57" s="123">
        <f>'Cotizador Basica'!P56</f>
        <v>1319.0086283240259</v>
      </c>
      <c r="C57" s="123">
        <f>'Cotizador Basica'!P56</f>
        <v>1319.0086283240259</v>
      </c>
      <c r="D57" s="116">
        <f>'Cotizador Basica'!P56/(1-Cotización!$O$47-Cotización!$O$48-Cotización!$O$49)</f>
        <v>2931.1302851645023</v>
      </c>
      <c r="E57" s="116">
        <f>'Cotizador Basica'!P56/(1-Cotización!$O$47-Cotización!$O$48-Cotización!$O$49)</f>
        <v>2931.1302851645023</v>
      </c>
      <c r="F57" s="118" t="e">
        <f>'Cotizador EMER'!P56*IFERROR(VLOOKUP(A57,'Cotizador Cobertura EMER'!$B$7:$C$107,2,FALSE)-1,0)</f>
        <v>#NUM!</v>
      </c>
      <c r="G57" s="118" t="e">
        <f>'Cotizador EMER'!P56*IFERROR(VLOOKUP(A57,'Cotizador Cobertura EMER'!$B$7:$C$107,2,FALSE)-1,0)</f>
        <v>#NUM!</v>
      </c>
      <c r="H57" s="118">
        <f>IF(Cotización!$D$33="Excluida",0,ROUND(F57/(1-Cotización!$O$47-Cotización!O$48-Cotización!$O$49),0))</f>
        <v>0</v>
      </c>
      <c r="I57" s="118">
        <f>IF(Cotización!$D$33="Excluida",0,ROUND(G57/(1-Cotización!$O$47-Cotización!$O$48-Cotización!$O$49),0))</f>
        <v>0</v>
      </c>
      <c r="J57" s="118" t="e">
        <f>'Cotizador Extranjero'!P56*(VLOOKUP(A57,'Cotizador Cobertura Ext 2'!$B$7:$C$107,2,FALSE)-1)</f>
        <v>#NUM!</v>
      </c>
      <c r="K57" s="118" t="e">
        <f>'Cotizador Extranjero'!P56*(VLOOKUP(A57,'Cotizador Cobertura Ext 2'!$B$7:$C$107,2,FALSE)-1)</f>
        <v>#NUM!</v>
      </c>
      <c r="L57" s="118">
        <f>IF(Cotización!$D$31="Excluida",0,ROUND(J57/(1-SUM(Cotización!$O$47:$O$49)),0))</f>
        <v>0</v>
      </c>
      <c r="M57" s="118">
        <f>IF(Cotización!$D$31="Excluida",0,ROUND(K57/(1-SUM(Cotización!$O$47:$O$49)),0))</f>
        <v>0</v>
      </c>
      <c r="N57" s="119">
        <v>266.15122795000002</v>
      </c>
      <c r="O57" s="119">
        <v>266.15122795000002</v>
      </c>
      <c r="Q57" s="215">
        <f t="shared" si="1"/>
        <v>2931.1302851645023</v>
      </c>
      <c r="R57" s="215">
        <f t="shared" si="0"/>
        <v>2931.1302851645023</v>
      </c>
    </row>
    <row r="58" spans="1:18">
      <c r="A58" s="56">
        <v>54</v>
      </c>
      <c r="B58" s="115">
        <f>'Cotizador Basica'!P57</f>
        <v>1366.3214064005565</v>
      </c>
      <c r="C58" s="115">
        <f>'Cotizador Basica'!P57</f>
        <v>1366.3214064005565</v>
      </c>
      <c r="D58" s="116">
        <f>'Cotizador Basica'!P57/(1-Cotización!$O$47-Cotización!$O$48-Cotización!$O$49)</f>
        <v>3036.269792001237</v>
      </c>
      <c r="E58" s="116">
        <f>'Cotizador Basica'!P57/(1-Cotización!$O$47-Cotización!$O$48-Cotización!$O$49)</f>
        <v>3036.269792001237</v>
      </c>
      <c r="F58" s="118" t="e">
        <f>'Cotizador EMER'!P57*IFERROR(VLOOKUP(A58,'Cotizador Cobertura EMER'!$B$7:$C$107,2,FALSE)-1,0)</f>
        <v>#NUM!</v>
      </c>
      <c r="G58" s="118" t="e">
        <f>'Cotizador EMER'!P57*IFERROR(VLOOKUP(A58,'Cotizador Cobertura EMER'!$B$7:$C$107,2,FALSE)-1,0)</f>
        <v>#NUM!</v>
      </c>
      <c r="H58" s="118">
        <f>IF(Cotización!$D$33="Excluida",0,ROUND(F58/(1-Cotización!$O$47-Cotización!O$48-Cotización!$O$49),0))</f>
        <v>0</v>
      </c>
      <c r="I58" s="118">
        <f>IF(Cotización!$D$33="Excluida",0,ROUND(G58/(1-Cotización!$O$47-Cotización!$O$48-Cotización!$O$49),0))</f>
        <v>0</v>
      </c>
      <c r="J58" s="118" t="e">
        <f>'Cotizador Extranjero'!P57*(VLOOKUP(A58,'Cotizador Cobertura Ext 2'!$B$7:$C$107,2,FALSE)-1)</f>
        <v>#NUM!</v>
      </c>
      <c r="K58" s="118" t="e">
        <f>'Cotizador Extranjero'!P57*(VLOOKUP(A58,'Cotizador Cobertura Ext 2'!$B$7:$C$107,2,FALSE)-1)</f>
        <v>#NUM!</v>
      </c>
      <c r="L58" s="118">
        <f>IF(Cotización!$D$31="Excluida",0,ROUND(J58/(1-SUM(Cotización!$O$47:$O$49)),0))</f>
        <v>0</v>
      </c>
      <c r="M58" s="118">
        <f>IF(Cotización!$D$31="Excluida",0,ROUND(K58/(1-SUM(Cotización!$O$47:$O$49)),0))</f>
        <v>0</v>
      </c>
      <c r="N58" s="119">
        <v>266.15122795000002</v>
      </c>
      <c r="O58" s="119">
        <v>266.15122795000002</v>
      </c>
      <c r="Q58" s="215">
        <f t="shared" si="1"/>
        <v>3036.269792001237</v>
      </c>
      <c r="R58" s="215">
        <f t="shared" si="0"/>
        <v>3036.269792001237</v>
      </c>
    </row>
    <row r="59" spans="1:18">
      <c r="A59" s="56">
        <v>55</v>
      </c>
      <c r="B59" s="115">
        <f>'Cotizador Basica'!P58</f>
        <v>1415.3312916235075</v>
      </c>
      <c r="C59" s="115">
        <f>'Cotizador Basica'!P58</f>
        <v>1415.3312916235075</v>
      </c>
      <c r="D59" s="116">
        <f>'Cotizador Basica'!P58/(1-Cotización!$O$47-Cotización!$O$48-Cotización!$O$49)</f>
        <v>3145.1806480522391</v>
      </c>
      <c r="E59" s="116">
        <f>'Cotizador Basica'!P58/(1-Cotización!$O$47-Cotización!$O$48-Cotización!$O$49)</f>
        <v>3145.1806480522391</v>
      </c>
      <c r="F59" s="118" t="e">
        <f>'Cotizador EMER'!P58*IFERROR(VLOOKUP(A59,'Cotizador Cobertura EMER'!$B$7:$C$107,2,FALSE)-1,0)</f>
        <v>#NUM!</v>
      </c>
      <c r="G59" s="118" t="e">
        <f>'Cotizador EMER'!P58*IFERROR(VLOOKUP(A59,'Cotizador Cobertura EMER'!$B$7:$C$107,2,FALSE)-1,0)</f>
        <v>#NUM!</v>
      </c>
      <c r="H59" s="118">
        <f>IF(Cotización!$D$33="Excluida",0,ROUND(F59/(1-Cotización!$O$47-Cotización!O$48-Cotización!$O$49),0))</f>
        <v>0</v>
      </c>
      <c r="I59" s="118">
        <f>IF(Cotización!$D$33="Excluida",0,ROUND(G59/(1-Cotización!$O$47-Cotización!$O$48-Cotización!$O$49),0))</f>
        <v>0</v>
      </c>
      <c r="J59" s="118" t="e">
        <f>'Cotizador Extranjero'!P58*(VLOOKUP(A59,'Cotizador Cobertura Ext 2'!$B$7:$C$107,2,FALSE)-1)</f>
        <v>#NUM!</v>
      </c>
      <c r="K59" s="118" t="e">
        <f>'Cotizador Extranjero'!P58*(VLOOKUP(A59,'Cotizador Cobertura Ext 2'!$B$7:$C$107,2,FALSE)-1)</f>
        <v>#NUM!</v>
      </c>
      <c r="L59" s="118">
        <f>IF(Cotización!$D$31="Excluida",0,ROUND(J59/(1-SUM(Cotización!$O$47:$O$49)),0))</f>
        <v>0</v>
      </c>
      <c r="M59" s="118">
        <f>IF(Cotización!$D$31="Excluida",0,ROUND(K59/(1-SUM(Cotización!$O$47:$O$49)),0))</f>
        <v>0</v>
      </c>
      <c r="N59" s="119">
        <v>266.15122795000002</v>
      </c>
      <c r="O59" s="119">
        <v>266.15122795000002</v>
      </c>
      <c r="Q59" s="215">
        <f t="shared" si="1"/>
        <v>3145.1806480522391</v>
      </c>
      <c r="R59" s="215">
        <f t="shared" si="0"/>
        <v>3145.1806480522391</v>
      </c>
    </row>
    <row r="60" spans="1:18">
      <c r="A60" s="56">
        <v>56</v>
      </c>
      <c r="B60" s="115">
        <f>'Cotizador Basica'!P59</f>
        <v>1466.0991591471932</v>
      </c>
      <c r="C60" s="115">
        <f>'Cotizador Basica'!P59</f>
        <v>1466.0991591471932</v>
      </c>
      <c r="D60" s="116">
        <f>'Cotizador Basica'!P59/(1-Cotización!$O$47-Cotización!$O$48-Cotización!$O$49)</f>
        <v>3257.9981314382076</v>
      </c>
      <c r="E60" s="116">
        <f>'Cotizador Basica'!P59/(1-Cotización!$O$47-Cotización!$O$48-Cotización!$O$49)</f>
        <v>3257.9981314382076</v>
      </c>
      <c r="F60" s="118" t="e">
        <f>'Cotizador EMER'!P59*IFERROR(VLOOKUP(A60,'Cotizador Cobertura EMER'!$B$7:$C$107,2,FALSE)-1,0)</f>
        <v>#NUM!</v>
      </c>
      <c r="G60" s="118" t="e">
        <f>'Cotizador EMER'!P59*IFERROR(VLOOKUP(A60,'Cotizador Cobertura EMER'!$B$7:$C$107,2,FALSE)-1,0)</f>
        <v>#NUM!</v>
      </c>
      <c r="H60" s="118">
        <f>IF(Cotización!$D$33="Excluida",0,ROUND(F60/(1-Cotización!$O$47-Cotización!O$48-Cotización!$O$49),0))</f>
        <v>0</v>
      </c>
      <c r="I60" s="118">
        <f>IF(Cotización!$D$33="Excluida",0,ROUND(G60/(1-Cotización!$O$47-Cotización!$O$48-Cotización!$O$49),0))</f>
        <v>0</v>
      </c>
      <c r="J60" s="118" t="e">
        <f>'Cotizador Extranjero'!P59*(VLOOKUP(A60,'Cotizador Cobertura Ext 2'!$B$7:$C$107,2,FALSE)-1)</f>
        <v>#NUM!</v>
      </c>
      <c r="K60" s="118" t="e">
        <f>'Cotizador Extranjero'!P59*(VLOOKUP(A60,'Cotizador Cobertura Ext 2'!$B$7:$C$107,2,FALSE)-1)</f>
        <v>#NUM!</v>
      </c>
      <c r="L60" s="118">
        <f>IF(Cotización!$D$31="Excluida",0,ROUND(J60/(1-SUM(Cotización!$O$47:$O$49)),0))</f>
        <v>0</v>
      </c>
      <c r="M60" s="118">
        <f>IF(Cotización!$D$31="Excluida",0,ROUND(K60/(1-SUM(Cotización!$O$47:$O$49)),0))</f>
        <v>0</v>
      </c>
      <c r="N60" s="119">
        <v>266.15122795000002</v>
      </c>
      <c r="O60" s="119">
        <v>266.15122795000002</v>
      </c>
      <c r="Q60" s="215">
        <f t="shared" si="1"/>
        <v>3257.9981314382076</v>
      </c>
      <c r="R60" s="215">
        <f t="shared" si="0"/>
        <v>3257.9981314382076</v>
      </c>
    </row>
    <row r="61" spans="1:18">
      <c r="A61" s="56">
        <v>57</v>
      </c>
      <c r="B61" s="115">
        <f>'Cotizador Basica'!P60</f>
        <v>1518.6880677148777</v>
      </c>
      <c r="C61" s="115">
        <f>'Cotizador Basica'!P60</f>
        <v>1518.6880677148777</v>
      </c>
      <c r="D61" s="116">
        <f>'Cotizador Basica'!P60/(1-Cotización!$O$47-Cotización!$O$48-Cotización!$O$49)</f>
        <v>3374.8623726997284</v>
      </c>
      <c r="E61" s="116">
        <f>'Cotizador Basica'!P60/(1-Cotización!$O$47-Cotización!$O$48-Cotización!$O$49)</f>
        <v>3374.8623726997284</v>
      </c>
      <c r="F61" s="118" t="e">
        <f>'Cotizador EMER'!P60*IFERROR(VLOOKUP(A61,'Cotizador Cobertura EMER'!$B$7:$C$107,2,FALSE)-1,0)</f>
        <v>#NUM!</v>
      </c>
      <c r="G61" s="118" t="e">
        <f>'Cotizador EMER'!P60*IFERROR(VLOOKUP(A61,'Cotizador Cobertura EMER'!$B$7:$C$107,2,FALSE)-1,0)</f>
        <v>#NUM!</v>
      </c>
      <c r="H61" s="118">
        <f>IF(Cotización!$D$33="Excluida",0,ROUND(F61/(1-Cotización!$O$47-Cotización!O$48-Cotización!$O$49),0))</f>
        <v>0</v>
      </c>
      <c r="I61" s="118">
        <f>IF(Cotización!$D$33="Excluida",0,ROUND(G61/(1-Cotización!$O$47-Cotización!$O$48-Cotización!$O$49),0))</f>
        <v>0</v>
      </c>
      <c r="J61" s="118" t="e">
        <f>'Cotizador Extranjero'!P60*(VLOOKUP(A61,'Cotizador Cobertura Ext 2'!$B$7:$C$107,2,FALSE)-1)</f>
        <v>#NUM!</v>
      </c>
      <c r="K61" s="118" t="e">
        <f>'Cotizador Extranjero'!P60*(VLOOKUP(A61,'Cotizador Cobertura Ext 2'!$B$7:$C$107,2,FALSE)-1)</f>
        <v>#NUM!</v>
      </c>
      <c r="L61" s="118">
        <f>IF(Cotización!$D$31="Excluida",0,ROUND(J61/(1-SUM(Cotización!$O$47:$O$49)),0))</f>
        <v>0</v>
      </c>
      <c r="M61" s="118">
        <f>IF(Cotización!$D$31="Excluida",0,ROUND(K61/(1-SUM(Cotización!$O$47:$O$49)),0))</f>
        <v>0</v>
      </c>
      <c r="N61" s="119">
        <v>266.15122795000002</v>
      </c>
      <c r="O61" s="119">
        <v>266.15122795000002</v>
      </c>
      <c r="Q61" s="215">
        <f t="shared" si="1"/>
        <v>3374.8623726997284</v>
      </c>
      <c r="R61" s="215">
        <f t="shared" si="0"/>
        <v>3374.8623726997284</v>
      </c>
    </row>
    <row r="62" spans="1:18">
      <c r="A62" s="56">
        <v>58</v>
      </c>
      <c r="B62" s="115">
        <f>'Cotizador Basica'!P61</f>
        <v>1573.1633379840105</v>
      </c>
      <c r="C62" s="115">
        <f>'Cotizador Basica'!P61</f>
        <v>1573.1633379840105</v>
      </c>
      <c r="D62" s="116">
        <f>'Cotizador Basica'!P61/(1-Cotización!$O$47-Cotización!$O$48-Cotización!$O$49)</f>
        <v>3495.9185288533567</v>
      </c>
      <c r="E62" s="116">
        <f>'Cotizador Basica'!P61/(1-Cotización!$O$47-Cotización!$O$48-Cotización!$O$49)</f>
        <v>3495.9185288533567</v>
      </c>
      <c r="F62" s="118" t="e">
        <f>'Cotizador EMER'!P61*IFERROR(VLOOKUP(A62,'Cotizador Cobertura EMER'!$B$7:$C$107,2,FALSE)-1,0)</f>
        <v>#NUM!</v>
      </c>
      <c r="G62" s="118" t="e">
        <f>'Cotizador EMER'!P61*IFERROR(VLOOKUP(A62,'Cotizador Cobertura EMER'!$B$7:$C$107,2,FALSE)-1,0)</f>
        <v>#NUM!</v>
      </c>
      <c r="H62" s="118">
        <f>IF(Cotización!$D$33="Excluida",0,ROUND(F62/(1-Cotización!$O$47-Cotización!O$48-Cotización!$O$49),0))</f>
        <v>0</v>
      </c>
      <c r="I62" s="118">
        <f>IF(Cotización!$D$33="Excluida",0,ROUND(G62/(1-Cotización!$O$47-Cotización!$O$48-Cotización!$O$49),0))</f>
        <v>0</v>
      </c>
      <c r="J62" s="118" t="e">
        <f>'Cotizador Extranjero'!P61*(VLOOKUP(A62,'Cotizador Cobertura Ext 2'!$B$7:$C$107,2,FALSE)-1)</f>
        <v>#NUM!</v>
      </c>
      <c r="K62" s="118" t="e">
        <f>'Cotizador Extranjero'!P61*(VLOOKUP(A62,'Cotizador Cobertura Ext 2'!$B$7:$C$107,2,FALSE)-1)</f>
        <v>#NUM!</v>
      </c>
      <c r="L62" s="118">
        <f>IF(Cotización!$D$31="Excluida",0,ROUND(J62/(1-SUM(Cotización!$O$47:$O$49)),0))</f>
        <v>0</v>
      </c>
      <c r="M62" s="118">
        <f>IF(Cotización!$D$31="Excluida",0,ROUND(K62/(1-SUM(Cotización!$O$47:$O$49)),0))</f>
        <v>0</v>
      </c>
      <c r="N62" s="119">
        <v>266.15122795000002</v>
      </c>
      <c r="O62" s="119">
        <v>266.15122795000002</v>
      </c>
      <c r="Q62" s="215">
        <f t="shared" si="1"/>
        <v>3495.9185288533567</v>
      </c>
      <c r="R62" s="215">
        <f t="shared" si="0"/>
        <v>3495.9185288533567</v>
      </c>
    </row>
    <row r="63" spans="1:18">
      <c r="A63" s="56">
        <v>59</v>
      </c>
      <c r="B63" s="115">
        <f>'Cotizador Basica'!P62</f>
        <v>1629.5926336609805</v>
      </c>
      <c r="C63" s="115">
        <f>'Cotizador Basica'!P62</f>
        <v>1629.5926336609805</v>
      </c>
      <c r="D63" s="116">
        <f>'Cotizador Basica'!P62/(1-Cotización!$O$47-Cotización!$O$48-Cotización!$O$49)</f>
        <v>3621.3169636910679</v>
      </c>
      <c r="E63" s="116">
        <f>'Cotizador Basica'!P62/(1-Cotización!$O$47-Cotización!$O$48-Cotización!$O$49)</f>
        <v>3621.3169636910679</v>
      </c>
      <c r="F63" s="118" t="e">
        <f>'Cotizador EMER'!P62*IFERROR(VLOOKUP(A63,'Cotizador Cobertura EMER'!$B$7:$C$107,2,FALSE)-1,0)</f>
        <v>#NUM!</v>
      </c>
      <c r="G63" s="118" t="e">
        <f>'Cotizador EMER'!P62*IFERROR(VLOOKUP(A63,'Cotizador Cobertura EMER'!$B$7:$C$107,2,FALSE)-1,0)</f>
        <v>#NUM!</v>
      </c>
      <c r="H63" s="118">
        <f>IF(Cotización!$D$33="Excluida",0,ROUND(F63/(1-Cotización!$O$47-Cotización!O$48-Cotización!$O$49),0))</f>
        <v>0</v>
      </c>
      <c r="I63" s="118">
        <f>IF(Cotización!$D$33="Excluida",0,ROUND(G63/(1-Cotización!$O$47-Cotización!$O$48-Cotización!$O$49),0))</f>
        <v>0</v>
      </c>
      <c r="J63" s="118" t="e">
        <f>'Cotizador Extranjero'!P62*(VLOOKUP(A63,'Cotizador Cobertura Ext 2'!$B$7:$C$107,2,FALSE)-1)</f>
        <v>#NUM!</v>
      </c>
      <c r="K63" s="118" t="e">
        <f>'Cotizador Extranjero'!P62*(VLOOKUP(A63,'Cotizador Cobertura Ext 2'!$B$7:$C$107,2,FALSE)-1)</f>
        <v>#NUM!</v>
      </c>
      <c r="L63" s="118">
        <f>IF(Cotización!$D$31="Excluida",0,ROUND(J63/(1-SUM(Cotización!$O$47:$O$49)),0))</f>
        <v>0</v>
      </c>
      <c r="M63" s="118">
        <f>IF(Cotización!$D$31="Excluida",0,ROUND(K63/(1-SUM(Cotización!$O$47:$O$49)),0))</f>
        <v>0</v>
      </c>
      <c r="N63" s="119">
        <v>266.15122795000002</v>
      </c>
      <c r="O63" s="119">
        <v>266.15122795000002</v>
      </c>
      <c r="Q63" s="215">
        <f t="shared" si="1"/>
        <v>3621.3169636910679</v>
      </c>
      <c r="R63" s="215">
        <f t="shared" si="0"/>
        <v>3621.3169636910679</v>
      </c>
    </row>
    <row r="64" spans="1:18">
      <c r="A64" s="56">
        <v>60</v>
      </c>
      <c r="B64" s="115">
        <f>'Cotizador Basica'!P63</f>
        <v>1688.0460455461762</v>
      </c>
      <c r="C64" s="115">
        <f>'Cotizador Basica'!P63</f>
        <v>1688.0460455461762</v>
      </c>
      <c r="D64" s="116">
        <f>'Cotizador Basica'!P63/(1-Cotización!$O$47-Cotización!$O$48-Cotización!$O$49)</f>
        <v>3751.2134345470586</v>
      </c>
      <c r="E64" s="116">
        <f>'Cotizador Basica'!P63/(1-Cotización!$O$47-Cotización!$O$48-Cotización!$O$49)</f>
        <v>3751.2134345470586</v>
      </c>
      <c r="F64" s="118" t="e">
        <f>'Cotizador EMER'!P63*IFERROR(VLOOKUP(A64,'Cotizador Cobertura EMER'!$B$7:$C$107,2,FALSE)-1,0)</f>
        <v>#NUM!</v>
      </c>
      <c r="G64" s="118" t="e">
        <f>'Cotizador EMER'!P63*IFERROR(VLOOKUP(A64,'Cotizador Cobertura EMER'!$B$7:$C$107,2,FALSE)-1,0)</f>
        <v>#NUM!</v>
      </c>
      <c r="H64" s="118">
        <f>IF(Cotización!$D$33="Excluida",0,ROUND(F64/(1-Cotización!$O$47-Cotización!O$48-Cotización!$O$49),0))</f>
        <v>0</v>
      </c>
      <c r="I64" s="118">
        <f>IF(Cotización!$D$33="Excluida",0,ROUND(G64/(1-Cotización!$O$47-Cotización!$O$48-Cotización!$O$49),0))</f>
        <v>0</v>
      </c>
      <c r="J64" s="118" t="e">
        <f>'Cotizador Extranjero'!P63*(VLOOKUP(A64,'Cotizador Cobertura Ext 2'!$B$7:$C$107,2,FALSE)-1)</f>
        <v>#NUM!</v>
      </c>
      <c r="K64" s="118" t="e">
        <f>'Cotizador Extranjero'!P63*(VLOOKUP(A64,'Cotizador Cobertura Ext 2'!$B$7:$C$107,2,FALSE)-1)</f>
        <v>#NUM!</v>
      </c>
      <c r="L64" s="118">
        <f>IF(Cotización!$D$31="Excluida",0,ROUND(J64/(1-SUM(Cotización!$O$47:$O$49)),0))</f>
        <v>0</v>
      </c>
      <c r="M64" s="118">
        <f>IF(Cotización!$D$31="Excluida",0,ROUND(K64/(1-SUM(Cotización!$O$47:$O$49)),0))</f>
        <v>0</v>
      </c>
      <c r="N64" s="119">
        <v>266.15122795000002</v>
      </c>
      <c r="O64" s="119">
        <v>266.15122795000002</v>
      </c>
      <c r="Q64" s="215">
        <f t="shared" si="1"/>
        <v>3751.2134345470586</v>
      </c>
      <c r="R64" s="215">
        <f t="shared" si="0"/>
        <v>3751.2134345470586</v>
      </c>
    </row>
    <row r="65" spans="1:18">
      <c r="A65" s="56">
        <v>61</v>
      </c>
      <c r="B65" s="115">
        <f>'Cotizador Basica'!P64</f>
        <v>1748.5961785937297</v>
      </c>
      <c r="C65" s="115">
        <f>'Cotizador Basica'!P64</f>
        <v>1748.5961785937297</v>
      </c>
      <c r="D65" s="116">
        <f>'Cotizador Basica'!P64/(1-Cotización!$O$47-Cotización!$O$48-Cotización!$O$49)</f>
        <v>3885.7692857638444</v>
      </c>
      <c r="E65" s="116">
        <f>'Cotizador Basica'!P64/(1-Cotización!$O$47-Cotización!$O$48-Cotización!$O$49)</f>
        <v>3885.7692857638444</v>
      </c>
      <c r="F65" s="118" t="e">
        <f>'Cotizador EMER'!P64*IFERROR(VLOOKUP(A65,'Cotizador Cobertura EMER'!$B$7:$C$107,2,FALSE)-1,0)</f>
        <v>#NUM!</v>
      </c>
      <c r="G65" s="118" t="e">
        <f>'Cotizador EMER'!P64*IFERROR(VLOOKUP(A65,'Cotizador Cobertura EMER'!$B$7:$C$107,2,FALSE)-1,0)</f>
        <v>#NUM!</v>
      </c>
      <c r="H65" s="118">
        <f>IF(Cotización!$D$33="Excluida",0,ROUND(F65/(1-Cotización!$O$47-Cotización!O$48-Cotización!$O$49),0))</f>
        <v>0</v>
      </c>
      <c r="I65" s="118">
        <f>IF(Cotización!$D$33="Excluida",0,ROUND(G65/(1-Cotización!$O$47-Cotización!$O$48-Cotización!$O$49),0))</f>
        <v>0</v>
      </c>
      <c r="J65" s="118" t="e">
        <f>'Cotizador Extranjero'!P64*(VLOOKUP(A65,'Cotizador Cobertura Ext 2'!$B$7:$C$107,2,FALSE)-1)</f>
        <v>#NUM!</v>
      </c>
      <c r="K65" s="118" t="e">
        <f>'Cotizador Extranjero'!P64*(VLOOKUP(A65,'Cotizador Cobertura Ext 2'!$B$7:$C$107,2,FALSE)-1)</f>
        <v>#NUM!</v>
      </c>
      <c r="L65" s="118">
        <f>IF(Cotización!$D$31="Excluida",0,ROUND(J65/(1-SUM(Cotización!$O$47:$O$49)),0))</f>
        <v>0</v>
      </c>
      <c r="M65" s="118">
        <f>IF(Cotización!$D$31="Excluida",0,ROUND(K65/(1-SUM(Cotización!$O$47:$O$49)),0))</f>
        <v>0</v>
      </c>
      <c r="N65" s="119">
        <v>266.15122795000002</v>
      </c>
      <c r="O65" s="119">
        <v>266.15122795000002</v>
      </c>
      <c r="Q65" s="215">
        <f t="shared" si="1"/>
        <v>3885.7692857638444</v>
      </c>
      <c r="R65" s="215">
        <f t="shared" si="0"/>
        <v>3885.7692857638444</v>
      </c>
    </row>
    <row r="66" spans="1:18">
      <c r="A66" s="56">
        <v>62</v>
      </c>
      <c r="B66" s="115">
        <f>'Cotizador Basica'!P65</f>
        <v>1811.3182420940996</v>
      </c>
      <c r="C66" s="115">
        <f>'Cotizador Basica'!P65</f>
        <v>1811.3182420940996</v>
      </c>
      <c r="D66" s="116">
        <f>'Cotizador Basica'!P65/(1-Cotización!$O$47-Cotización!$O$48-Cotización!$O$49)</f>
        <v>4025.1516490979993</v>
      </c>
      <c r="E66" s="116">
        <f>'Cotizador Basica'!P65/(1-Cotización!$O$47-Cotización!$O$48-Cotización!$O$49)</f>
        <v>4025.1516490979993</v>
      </c>
      <c r="F66" s="118" t="e">
        <f>'Cotizador EMER'!P65*IFERROR(VLOOKUP(A66,'Cotizador Cobertura EMER'!$B$7:$C$107,2,FALSE)-1,0)</f>
        <v>#NUM!</v>
      </c>
      <c r="G66" s="118" t="e">
        <f>'Cotizador EMER'!P65*IFERROR(VLOOKUP(A66,'Cotizador Cobertura EMER'!$B$7:$C$107,2,FALSE)-1,0)</f>
        <v>#NUM!</v>
      </c>
      <c r="H66" s="118">
        <f>IF(Cotización!$D$33="Excluida",0,ROUND(F66/(1-Cotización!$O$47-Cotización!O$48-Cotización!$O$49),0))</f>
        <v>0</v>
      </c>
      <c r="I66" s="118">
        <f>IF(Cotización!$D$33="Excluida",0,ROUND(G66/(1-Cotización!$O$47-Cotización!$O$48-Cotización!$O$49),0))</f>
        <v>0</v>
      </c>
      <c r="J66" s="118" t="e">
        <f>'Cotizador Extranjero'!P65*(VLOOKUP(A66,'Cotizador Cobertura Ext 2'!$B$7:$C$107,2,FALSE)-1)</f>
        <v>#NUM!</v>
      </c>
      <c r="K66" s="118" t="e">
        <f>'Cotizador Extranjero'!P65*(VLOOKUP(A66,'Cotizador Cobertura Ext 2'!$B$7:$C$107,2,FALSE)-1)</f>
        <v>#NUM!</v>
      </c>
      <c r="L66" s="118">
        <f>IF(Cotización!$D$31="Excluida",0,ROUND(J66/(1-SUM(Cotización!$O$47:$O$49)),0))</f>
        <v>0</v>
      </c>
      <c r="M66" s="118">
        <f>IF(Cotización!$D$31="Excluida",0,ROUND(K66/(1-SUM(Cotización!$O$47:$O$49)),0))</f>
        <v>0</v>
      </c>
      <c r="N66" s="119">
        <v>266.15122795000002</v>
      </c>
      <c r="O66" s="119">
        <v>266.15122795000002</v>
      </c>
      <c r="Q66" s="215">
        <f t="shared" si="1"/>
        <v>4025.1516490979993</v>
      </c>
      <c r="R66" s="215">
        <f t="shared" si="0"/>
        <v>4025.1516490979993</v>
      </c>
    </row>
    <row r="67" spans="1:18">
      <c r="A67" s="56">
        <v>63</v>
      </c>
      <c r="B67" s="115">
        <f>'Cotizador Basica'!P66</f>
        <v>1876.2901430914872</v>
      </c>
      <c r="C67" s="115">
        <f>'Cotizador Basica'!P66</f>
        <v>1876.2901430914872</v>
      </c>
      <c r="D67" s="116">
        <f>'Cotizador Basica'!P66/(1-Cotización!$O$47-Cotización!$O$48-Cotización!$O$49)</f>
        <v>4169.5336513144166</v>
      </c>
      <c r="E67" s="116">
        <f>'Cotizador Basica'!P66/(1-Cotización!$O$47-Cotización!$O$48-Cotización!$O$49)</f>
        <v>4169.5336513144166</v>
      </c>
      <c r="F67" s="118" t="e">
        <f>'Cotizador EMER'!P66*IFERROR(VLOOKUP(A67,'Cotizador Cobertura EMER'!$B$7:$C$107,2,FALSE)-1,0)</f>
        <v>#NUM!</v>
      </c>
      <c r="G67" s="118" t="e">
        <f>'Cotizador EMER'!P66*IFERROR(VLOOKUP(A67,'Cotizador Cobertura EMER'!$B$7:$C$107,2,FALSE)-1,0)</f>
        <v>#NUM!</v>
      </c>
      <c r="H67" s="118">
        <f>IF(Cotización!$D$33="Excluida",0,ROUND(F67/(1-Cotización!$O$47-Cotización!O$48-Cotización!$O$49),0))</f>
        <v>0</v>
      </c>
      <c r="I67" s="118">
        <f>IF(Cotización!$D$33="Excluida",0,ROUND(G67/(1-Cotización!$O$47-Cotización!$O$48-Cotización!$O$49),0))</f>
        <v>0</v>
      </c>
      <c r="J67" s="118" t="e">
        <f>'Cotizador Extranjero'!P66*(VLOOKUP(A67,'Cotizador Cobertura Ext 2'!$B$7:$C$107,2,FALSE)-1)</f>
        <v>#NUM!</v>
      </c>
      <c r="K67" s="118" t="e">
        <f>'Cotizador Extranjero'!P66*(VLOOKUP(A67,'Cotizador Cobertura Ext 2'!$B$7:$C$107,2,FALSE)-1)</f>
        <v>#NUM!</v>
      </c>
      <c r="L67" s="118">
        <f>IF(Cotización!$D$31="Excluida",0,ROUND(J67/(1-SUM(Cotización!$O$47:$O$49)),0))</f>
        <v>0</v>
      </c>
      <c r="M67" s="118">
        <f>IF(Cotización!$D$31="Excluida",0,ROUND(K67/(1-SUM(Cotización!$O$47:$O$49)),0))</f>
        <v>0</v>
      </c>
      <c r="N67" s="119">
        <v>266.15122795000002</v>
      </c>
      <c r="O67" s="119">
        <v>266.15122795000002</v>
      </c>
      <c r="Q67" s="215">
        <f t="shared" si="1"/>
        <v>4169.5336513144166</v>
      </c>
      <c r="R67" s="215">
        <f t="shared" si="0"/>
        <v>4169.5336513144166</v>
      </c>
    </row>
    <row r="68" spans="1:18">
      <c r="A68" s="56">
        <v>64</v>
      </c>
      <c r="B68" s="115">
        <f>'Cotizador Basica'!P67</f>
        <v>1943.5925831521463</v>
      </c>
      <c r="C68" s="115">
        <f>'Cotizador Basica'!P67</f>
        <v>1943.5925831521463</v>
      </c>
      <c r="D68" s="116">
        <f>'Cotizador Basica'!P67/(1-Cotización!$O$47-Cotización!$O$48-Cotización!$O$49)</f>
        <v>4319.0946292269919</v>
      </c>
      <c r="E68" s="116">
        <f>'Cotizador Basica'!P67/(1-Cotización!$O$47-Cotización!$O$48-Cotización!$O$49)</f>
        <v>4319.0946292269919</v>
      </c>
      <c r="F68" s="118" t="e">
        <f>'Cotizador EMER'!P67*IFERROR(VLOOKUP(A68,'Cotizador Cobertura EMER'!$B$7:$C$107,2,FALSE)-1,0)</f>
        <v>#NUM!</v>
      </c>
      <c r="G68" s="118" t="e">
        <f>'Cotizador EMER'!P67*IFERROR(VLOOKUP(A68,'Cotizador Cobertura EMER'!$B$7:$C$107,2,FALSE)-1,0)</f>
        <v>#NUM!</v>
      </c>
      <c r="H68" s="118">
        <f>IF(Cotización!$D$33="Excluida",0,ROUND(F68/(1-Cotización!$O$47-Cotización!O$48-Cotización!$O$49),0))</f>
        <v>0</v>
      </c>
      <c r="I68" s="118">
        <f>IF(Cotización!$D$33="Excluida",0,ROUND(G68/(1-Cotización!$O$47-Cotización!$O$48-Cotización!$O$49),0))</f>
        <v>0</v>
      </c>
      <c r="J68" s="118" t="e">
        <f>'Cotizador Extranjero'!P67*(VLOOKUP(A68,'Cotizador Cobertura Ext 2'!$B$7:$C$107,2,FALSE)-1)</f>
        <v>#NUM!</v>
      </c>
      <c r="K68" s="118" t="e">
        <f>'Cotizador Extranjero'!P67*(VLOOKUP(A68,'Cotizador Cobertura Ext 2'!$B$7:$C$107,2,FALSE)-1)</f>
        <v>#NUM!</v>
      </c>
      <c r="L68" s="118">
        <f>IF(Cotización!$D$31="Excluida",0,ROUND(J68/(1-SUM(Cotización!$O$47:$O$49)),0))</f>
        <v>0</v>
      </c>
      <c r="M68" s="118">
        <f>IF(Cotización!$D$31="Excluida",0,ROUND(K68/(1-SUM(Cotización!$O$47:$O$49)),0))</f>
        <v>0</v>
      </c>
      <c r="N68" s="119">
        <v>266.15122795000002</v>
      </c>
      <c r="O68" s="119">
        <v>266.15122795000002</v>
      </c>
      <c r="Q68" s="215">
        <f t="shared" si="1"/>
        <v>4319.0946292269919</v>
      </c>
      <c r="R68" s="215">
        <f t="shared" ref="R68:R103" si="2">IFERROR(E68,0)+IFERROR(I68,0)+IFERROR(M68,0)</f>
        <v>4319.0946292269919</v>
      </c>
    </row>
    <row r="69" spans="1:18">
      <c r="A69" s="56">
        <v>65</v>
      </c>
      <c r="B69" s="115">
        <f>'Cotizador Basica'!P68</f>
        <v>2013.3091586037503</v>
      </c>
      <c r="C69" s="115">
        <f>'Cotizador Basica'!P68</f>
        <v>2013.3091586037503</v>
      </c>
      <c r="D69" s="116">
        <f>'Cotizador Basica'!P68/(1-Cotización!$O$47-Cotización!$O$48-Cotización!$O$49)</f>
        <v>4474.0203524527788</v>
      </c>
      <c r="E69" s="116">
        <f>'Cotizador Basica'!P68/(1-Cotización!$O$47-Cotización!$O$48-Cotización!$O$49)</f>
        <v>4474.0203524527788</v>
      </c>
      <c r="F69" s="118" t="e">
        <f>'Cotizador EMER'!P68*IFERROR(VLOOKUP(A69,'Cotizador Cobertura EMER'!$B$7:$C$107,2,FALSE)-1,0)</f>
        <v>#NUM!</v>
      </c>
      <c r="G69" s="118" t="e">
        <f>'Cotizador EMER'!P68*IFERROR(VLOOKUP(A69,'Cotizador Cobertura EMER'!$B$7:$C$107,2,FALSE)-1,0)</f>
        <v>#NUM!</v>
      </c>
      <c r="H69" s="118">
        <f>IF(Cotización!$D$33="Excluida",0,ROUND(F69/(1-Cotización!$O$47-Cotización!O$48-Cotización!$O$49),0))</f>
        <v>0</v>
      </c>
      <c r="I69" s="118">
        <f>IF(Cotización!$D$33="Excluida",0,ROUND(G69/(1-Cotización!$O$47-Cotización!$O$48-Cotización!$O$49),0))</f>
        <v>0</v>
      </c>
      <c r="J69" s="118" t="e">
        <f>'Cotizador Extranjero'!P68*(VLOOKUP(A69,'Cotizador Cobertura Ext 2'!$B$7:$C$107,2,FALSE)-1)</f>
        <v>#NUM!</v>
      </c>
      <c r="K69" s="118" t="e">
        <f>'Cotizador Extranjero'!P68*(VLOOKUP(A69,'Cotizador Cobertura Ext 2'!$B$7:$C$107,2,FALSE)-1)</f>
        <v>#NUM!</v>
      </c>
      <c r="L69" s="118">
        <f>IF(Cotización!$D$31="Excluida",0,ROUND(J69/(1-SUM(Cotización!$O$47:$O$49)),0))</f>
        <v>0</v>
      </c>
      <c r="M69" s="118">
        <f>IF(Cotización!$D$31="Excluida",0,ROUND(K69/(1-SUM(Cotización!$O$47:$O$49)),0))</f>
        <v>0</v>
      </c>
      <c r="N69" s="119">
        <v>266.15122795000002</v>
      </c>
      <c r="O69" s="119">
        <v>266.15122795000002</v>
      </c>
      <c r="Q69" s="215">
        <f t="shared" ref="Q69:Q103" si="3">IFERROR(D69,0)+IFERROR(H69,0)+IFERROR(L69,0)</f>
        <v>4474.0203524527788</v>
      </c>
      <c r="R69" s="215">
        <f t="shared" si="2"/>
        <v>4474.0203524527788</v>
      </c>
    </row>
    <row r="70" spans="1:18">
      <c r="A70" s="56">
        <v>66</v>
      </c>
      <c r="B70" s="115">
        <f>'Cotizador Basica'!P69</f>
        <v>2085.526464370354</v>
      </c>
      <c r="C70" s="115">
        <f>'Cotizador Basica'!P69</f>
        <v>2085.526464370354</v>
      </c>
      <c r="D70" s="116">
        <f>'Cotizador Basica'!P69/(1-Cotización!$O$47-Cotización!$O$48-Cotización!$O$49)</f>
        <v>4634.5032541563423</v>
      </c>
      <c r="E70" s="116">
        <f>'Cotizador Basica'!P69/(1-Cotización!$O$47-Cotización!$O$48-Cotización!$O$49)</f>
        <v>4634.5032541563423</v>
      </c>
      <c r="F70" s="118" t="e">
        <f>'Cotizador EMER'!P69*IFERROR(VLOOKUP(A70,'Cotizador Cobertura EMER'!$B$7:$C$107,2,FALSE)-1,0)</f>
        <v>#NUM!</v>
      </c>
      <c r="G70" s="118" t="e">
        <f>'Cotizador EMER'!P69*IFERROR(VLOOKUP(A70,'Cotizador Cobertura EMER'!$B$7:$C$107,2,FALSE)-1,0)</f>
        <v>#NUM!</v>
      </c>
      <c r="H70" s="118">
        <f>IF(Cotización!$D$33="Excluida",0,ROUND(F70/(1-Cotización!$O$47-Cotización!O$48-Cotización!$O$49),0))</f>
        <v>0</v>
      </c>
      <c r="I70" s="118">
        <f>IF(Cotización!$D$33="Excluida",0,ROUND(G70/(1-Cotización!$O$47-Cotización!$O$48-Cotización!$O$49),0))</f>
        <v>0</v>
      </c>
      <c r="J70" s="118" t="e">
        <f>'Cotizador Extranjero'!P69*(VLOOKUP(A70,'Cotizador Cobertura Ext 2'!$B$7:$C$107,2,FALSE)-1)</f>
        <v>#NUM!</v>
      </c>
      <c r="K70" s="118" t="e">
        <f>'Cotizador Extranjero'!P69*(VLOOKUP(A70,'Cotizador Cobertura Ext 2'!$B$7:$C$107,2,FALSE)-1)</f>
        <v>#NUM!</v>
      </c>
      <c r="L70" s="118">
        <f>IF(Cotización!$D$31="Excluida",0,ROUND(J70/(1-SUM(Cotización!$O$47:$O$49)),0))</f>
        <v>0</v>
      </c>
      <c r="M70" s="118">
        <f>IF(Cotización!$D$31="Excluida",0,ROUND(K70/(1-SUM(Cotización!$O$47:$O$49)),0))</f>
        <v>0</v>
      </c>
      <c r="N70" s="119">
        <v>266.15122795000002</v>
      </c>
      <c r="O70" s="119">
        <v>266.15122795000002</v>
      </c>
      <c r="Q70" s="215">
        <f t="shared" si="3"/>
        <v>4634.5032541563423</v>
      </c>
      <c r="R70" s="215">
        <f t="shared" si="2"/>
        <v>4634.5032541563423</v>
      </c>
    </row>
    <row r="71" spans="1:18">
      <c r="A71" s="56">
        <v>67</v>
      </c>
      <c r="B71" s="115">
        <f>'Cotizador Basica'!P70</f>
        <v>2160.334201531909</v>
      </c>
      <c r="C71" s="115">
        <f>'Cotizador Basica'!P70</f>
        <v>2160.334201531909</v>
      </c>
      <c r="D71" s="116">
        <f>'Cotizador Basica'!P70/(1-Cotización!$O$47-Cotización!$O$48-Cotización!$O$49)</f>
        <v>4800.7426700709093</v>
      </c>
      <c r="E71" s="116">
        <f>'Cotizador Basica'!P70/(1-Cotización!$O$47-Cotización!$O$48-Cotización!$O$49)</f>
        <v>4800.7426700709093</v>
      </c>
      <c r="F71" s="118" t="e">
        <f>'Cotizador EMER'!P70*IFERROR(VLOOKUP(A71,'Cotizador Cobertura EMER'!$B$7:$C$107,2,FALSE)-1,0)</f>
        <v>#NUM!</v>
      </c>
      <c r="G71" s="118" t="e">
        <f>'Cotizador EMER'!P70*IFERROR(VLOOKUP(A71,'Cotizador Cobertura EMER'!$B$7:$C$107,2,FALSE)-1,0)</f>
        <v>#NUM!</v>
      </c>
      <c r="H71" s="118">
        <f>IF(Cotización!$D$33="Excluida",0,ROUND(F71/(1-Cotización!$O$47-Cotización!O$48-Cotización!$O$49),0))</f>
        <v>0</v>
      </c>
      <c r="I71" s="118">
        <f>IF(Cotización!$D$33="Excluida",0,ROUND(G71/(1-Cotización!$O$47-Cotización!$O$48-Cotización!$O$49),0))</f>
        <v>0</v>
      </c>
      <c r="J71" s="118" t="e">
        <f>'Cotizador Extranjero'!P70*(VLOOKUP(A71,'Cotizador Cobertura Ext 2'!$B$7:$C$107,2,FALSE)-1)</f>
        <v>#NUM!</v>
      </c>
      <c r="K71" s="118" t="e">
        <f>'Cotizador Extranjero'!P70*(VLOOKUP(A71,'Cotizador Cobertura Ext 2'!$B$7:$C$107,2,FALSE)-1)</f>
        <v>#NUM!</v>
      </c>
      <c r="L71" s="118">
        <f>IF(Cotización!$D$31="Excluida",0,ROUND(J71/(1-SUM(Cotización!$O$47:$O$49)),0))</f>
        <v>0</v>
      </c>
      <c r="M71" s="118">
        <f>IF(Cotización!$D$31="Excluida",0,ROUND(K71/(1-SUM(Cotización!$O$47:$O$49)),0))</f>
        <v>0</v>
      </c>
      <c r="N71" s="119">
        <v>266.15122795000002</v>
      </c>
      <c r="O71" s="119">
        <v>266.15122795000002</v>
      </c>
      <c r="Q71" s="215">
        <f t="shared" si="3"/>
        <v>4800.7426700709093</v>
      </c>
      <c r="R71" s="215">
        <f t="shared" si="2"/>
        <v>4800.7426700709093</v>
      </c>
    </row>
    <row r="72" spans="1:18">
      <c r="A72" s="56">
        <v>68</v>
      </c>
      <c r="B72" s="115">
        <f>'Cotizador Basica'!P71</f>
        <v>2237.8252887419226</v>
      </c>
      <c r="C72" s="115">
        <f>'Cotizador Basica'!P71</f>
        <v>2237.8252887419226</v>
      </c>
      <c r="D72" s="116">
        <f>'Cotizador Basica'!P71/(1-Cotización!$O$47-Cotización!$O$48-Cotización!$O$49)</f>
        <v>4972.945086093162</v>
      </c>
      <c r="E72" s="116">
        <f>'Cotizador Basica'!P71/(1-Cotización!$O$47-Cotización!$O$48-Cotización!$O$49)</f>
        <v>4972.945086093162</v>
      </c>
      <c r="F72" s="118" t="e">
        <f>'Cotizador EMER'!P71*IFERROR(VLOOKUP(A72,'Cotizador Cobertura EMER'!$B$7:$C$107,2,FALSE)-1,0)</f>
        <v>#NUM!</v>
      </c>
      <c r="G72" s="118" t="e">
        <f>'Cotizador EMER'!P71*IFERROR(VLOOKUP(A72,'Cotizador Cobertura EMER'!$B$7:$C$107,2,FALSE)-1,0)</f>
        <v>#NUM!</v>
      </c>
      <c r="H72" s="118">
        <f>IF(Cotización!$D$33="Excluida",0,ROUND(F72/(1-Cotización!$O$47-Cotización!O$48-Cotización!$O$49),0))</f>
        <v>0</v>
      </c>
      <c r="I72" s="118">
        <f>IF(Cotización!$D$33="Excluida",0,ROUND(G72/(1-Cotización!$O$47-Cotización!$O$48-Cotización!$O$49),0))</f>
        <v>0</v>
      </c>
      <c r="J72" s="118" t="e">
        <f>'Cotizador Extranjero'!P71*(VLOOKUP(A72,'Cotizador Cobertura Ext 2'!$B$7:$C$107,2,FALSE)-1)</f>
        <v>#NUM!</v>
      </c>
      <c r="K72" s="118" t="e">
        <f>'Cotizador Extranjero'!P71*(VLOOKUP(A72,'Cotizador Cobertura Ext 2'!$B$7:$C$107,2,FALSE)-1)</f>
        <v>#NUM!</v>
      </c>
      <c r="L72" s="118">
        <f>IF(Cotización!$D$31="Excluida",0,ROUND(J72/(1-SUM(Cotización!$O$47:$O$49)),0))</f>
        <v>0</v>
      </c>
      <c r="M72" s="118">
        <f>IF(Cotización!$D$31="Excluida",0,ROUND(K72/(1-SUM(Cotización!$O$47:$O$49)),0))</f>
        <v>0</v>
      </c>
      <c r="N72" s="124">
        <v>266.15122795000002</v>
      </c>
      <c r="O72" s="124">
        <v>266.15122795000002</v>
      </c>
      <c r="Q72" s="215">
        <f t="shared" si="3"/>
        <v>4972.945086093162</v>
      </c>
      <c r="R72" s="215">
        <f t="shared" si="2"/>
        <v>4972.945086093162</v>
      </c>
    </row>
    <row r="73" spans="1:18">
      <c r="A73" s="56">
        <v>69</v>
      </c>
      <c r="B73" s="115">
        <f>'Cotizador Basica'!P72</f>
        <v>2318.0959776416812</v>
      </c>
      <c r="C73" s="115">
        <f>'Cotizador Basica'!P72</f>
        <v>2318.0959776416812</v>
      </c>
      <c r="D73" s="116">
        <f>'Cotizador Basica'!P72/(1-Cotización!$O$47-Cotización!$O$48-Cotización!$O$49)</f>
        <v>5151.3243947592919</v>
      </c>
      <c r="E73" s="116">
        <f>'Cotizador Basica'!P72/(1-Cotización!$O$47-Cotización!$O$48-Cotización!$O$49)</f>
        <v>5151.3243947592919</v>
      </c>
      <c r="F73" s="118" t="e">
        <f>'Cotizador EMER'!P72*IFERROR(VLOOKUP(A73,'Cotizador Cobertura EMER'!$B$7:$C$107,2,FALSE)-1,0)</f>
        <v>#NUM!</v>
      </c>
      <c r="G73" s="118" t="e">
        <f>'Cotizador EMER'!P72*IFERROR(VLOOKUP(A73,'Cotizador Cobertura EMER'!$B$7:$C$107,2,FALSE)-1,0)</f>
        <v>#NUM!</v>
      </c>
      <c r="H73" s="118">
        <f>IF(Cotización!$D$33="Excluida",0,ROUND(F73/(1-Cotización!$O$47-Cotización!O$48-Cotización!$O$49),0))</f>
        <v>0</v>
      </c>
      <c r="I73" s="118">
        <f>IF(Cotización!$D$33="Excluida",0,ROUND(G73/(1-Cotización!$O$47-Cotización!$O$48-Cotización!$O$49),0))</f>
        <v>0</v>
      </c>
      <c r="J73" s="118" t="e">
        <f>'Cotizador Extranjero'!P72*(VLOOKUP(A73,'Cotizador Cobertura Ext 2'!$B$7:$C$107,2,FALSE)-1)</f>
        <v>#NUM!</v>
      </c>
      <c r="K73" s="118" t="e">
        <f>'Cotizador Extranjero'!P72*(VLOOKUP(A73,'Cotizador Cobertura Ext 2'!$B$7:$C$107,2,FALSE)-1)</f>
        <v>#NUM!</v>
      </c>
      <c r="L73" s="118">
        <f>IF(Cotización!$D$31="Excluida",0,ROUND(J73/(1-SUM(Cotización!$O$47:$O$49)),0))</f>
        <v>0</v>
      </c>
      <c r="M73" s="118">
        <f>IF(Cotización!$D$31="Excluida",0,ROUND(K73/(1-SUM(Cotización!$O$47:$O$49)),0))</f>
        <v>0</v>
      </c>
      <c r="N73" s="124">
        <v>266.15122795000002</v>
      </c>
      <c r="O73" s="124">
        <v>266.15122795000002</v>
      </c>
      <c r="Q73" s="215">
        <f t="shared" si="3"/>
        <v>5151.3243947592919</v>
      </c>
      <c r="R73" s="215">
        <f t="shared" si="2"/>
        <v>5151.3243947592919</v>
      </c>
    </row>
    <row r="74" spans="1:18">
      <c r="A74" s="56">
        <v>70</v>
      </c>
      <c r="B74" s="115">
        <f>'Cotizador Basica'!P73</f>
        <v>2401.2459724143578</v>
      </c>
      <c r="C74" s="115">
        <f>'Cotizador Basica'!P73</f>
        <v>2401.2459724143578</v>
      </c>
      <c r="D74" s="116">
        <f>'Cotizador Basica'!P73/(1-Cotización!$O$47-Cotización!$O$48-Cotización!$O$49)</f>
        <v>5336.1021609207955</v>
      </c>
      <c r="E74" s="116">
        <f>'Cotizador Basica'!P73/(1-Cotización!$O$47-Cotización!$O$48-Cotización!$O$49)</f>
        <v>5336.1021609207955</v>
      </c>
      <c r="F74" s="118" t="e">
        <f>'Cotizador EMER'!P73*IFERROR(VLOOKUP(A74,'Cotizador Cobertura EMER'!$B$7:$C$107,2,FALSE)-1,0)</f>
        <v>#NUM!</v>
      </c>
      <c r="G74" s="118" t="e">
        <f>'Cotizador EMER'!P73*IFERROR(VLOOKUP(A74,'Cotizador Cobertura EMER'!$B$7:$C$107,2,FALSE)-1,0)</f>
        <v>#NUM!</v>
      </c>
      <c r="H74" s="118">
        <f>IF(Cotización!$D$33="Excluida",0,ROUND(F74/(1-Cotización!$O$47-Cotización!O$48-Cotización!$O$49),0))</f>
        <v>0</v>
      </c>
      <c r="I74" s="118">
        <f>IF(Cotización!$D$33="Excluida",0,ROUND(G74/(1-Cotización!$O$47-Cotización!$O$48-Cotización!$O$49),0))</f>
        <v>0</v>
      </c>
      <c r="J74" s="118" t="e">
        <f>'Cotizador Extranjero'!P73*(VLOOKUP(A74,'Cotizador Cobertura Ext 2'!$B$7:$C$107,2,FALSE)-1)</f>
        <v>#NUM!</v>
      </c>
      <c r="K74" s="118" t="e">
        <f>'Cotizador Extranjero'!P73*(VLOOKUP(A74,'Cotizador Cobertura Ext 2'!$B$7:$C$107,2,FALSE)-1)</f>
        <v>#NUM!</v>
      </c>
      <c r="L74" s="118">
        <f>IF(Cotización!$D$31="Excluida",0,ROUND(J74/(1-SUM(Cotización!$O$47:$O$49)),0))</f>
        <v>0</v>
      </c>
      <c r="M74" s="118">
        <f>IF(Cotización!$D$31="Excluida",0,ROUND(K74/(1-SUM(Cotización!$O$47:$O$49)),0))</f>
        <v>0</v>
      </c>
      <c r="N74" s="124">
        <v>266.15122795000002</v>
      </c>
      <c r="O74" s="124">
        <v>266.15122795000002</v>
      </c>
      <c r="Q74" s="215">
        <f t="shared" si="3"/>
        <v>5336.1021609207955</v>
      </c>
      <c r="R74" s="215">
        <f t="shared" si="2"/>
        <v>5336.1021609207955</v>
      </c>
    </row>
    <row r="75" spans="1:18">
      <c r="A75" s="56">
        <v>71</v>
      </c>
      <c r="B75" s="115">
        <f>'Cotizador Basica'!P74</f>
        <v>2487.3785536275377</v>
      </c>
      <c r="C75" s="115">
        <f>'Cotizador Basica'!P74</f>
        <v>2487.3785536275377</v>
      </c>
      <c r="D75" s="116">
        <f>'Cotizador Basica'!P74/(1-Cotización!$O$47-Cotización!$O$48-Cotización!$O$49)</f>
        <v>5527.5078969500846</v>
      </c>
      <c r="E75" s="116">
        <f>'Cotizador Basica'!P74/(1-Cotización!$O$47-Cotización!$O$48-Cotización!$O$49)</f>
        <v>5527.5078969500846</v>
      </c>
      <c r="F75" s="118" t="e">
        <f>'Cotizador EMER'!P74*IFERROR(VLOOKUP(A75,'Cotizador Cobertura EMER'!$B$7:$C$107,2,FALSE)-1,0)</f>
        <v>#NUM!</v>
      </c>
      <c r="G75" s="118" t="e">
        <f>'Cotizador EMER'!P74*IFERROR(VLOOKUP(A75,'Cotizador Cobertura EMER'!$B$7:$C$107,2,FALSE)-1,0)</f>
        <v>#NUM!</v>
      </c>
      <c r="H75" s="118">
        <f>IF(Cotización!$D$33="Excluida",0,ROUND(F75/(1-Cotización!$O$47-Cotización!O$48-Cotización!$O$49),0))</f>
        <v>0</v>
      </c>
      <c r="I75" s="118">
        <f>IF(Cotización!$D$33="Excluida",0,ROUND(G75/(1-Cotización!$O$47-Cotización!$O$48-Cotización!$O$49),0))</f>
        <v>0</v>
      </c>
      <c r="J75" s="118" t="e">
        <f>'Cotizador Extranjero'!P74*(VLOOKUP(A75,'Cotizador Cobertura Ext 2'!$B$7:$C$107,2,FALSE)-1)</f>
        <v>#NUM!</v>
      </c>
      <c r="K75" s="118" t="e">
        <f>'Cotizador Extranjero'!P74*(VLOOKUP(A75,'Cotizador Cobertura Ext 2'!$B$7:$C$107,2,FALSE)-1)</f>
        <v>#NUM!</v>
      </c>
      <c r="L75" s="118">
        <f>IF(Cotización!$D$31="Excluida",0,ROUND(J75/(1-SUM(Cotización!$O$47:$O$49)),0))</f>
        <v>0</v>
      </c>
      <c r="M75" s="118">
        <f>IF(Cotización!$D$31="Excluida",0,ROUND(K75/(1-SUM(Cotización!$O$47:$O$49)),0))</f>
        <v>0</v>
      </c>
      <c r="N75" s="124">
        <v>266.15122795000002</v>
      </c>
      <c r="O75" s="124">
        <v>266.15122795000002</v>
      </c>
      <c r="Q75" s="215">
        <f t="shared" si="3"/>
        <v>5527.5078969500846</v>
      </c>
      <c r="R75" s="215">
        <f t="shared" si="2"/>
        <v>5527.5078969500846</v>
      </c>
    </row>
    <row r="76" spans="1:18">
      <c r="A76" s="56">
        <v>72</v>
      </c>
      <c r="B76" s="115">
        <f>'Cotizador Basica'!P75</f>
        <v>2576.600706517951</v>
      </c>
      <c r="C76" s="115">
        <f>'Cotizador Basica'!P75</f>
        <v>2576.600706517951</v>
      </c>
      <c r="D76" s="116">
        <f>'Cotizador Basica'!P75/(1-Cotización!$O$47-Cotización!$O$48-Cotización!$O$49)</f>
        <v>5725.77934781767</v>
      </c>
      <c r="E76" s="116">
        <f>'Cotizador Basica'!P75/(1-Cotización!$O$47-Cotización!$O$48-Cotización!$O$49)</f>
        <v>5725.77934781767</v>
      </c>
      <c r="F76" s="118" t="e">
        <f>'Cotizador EMER'!P75*IFERROR(VLOOKUP(A76,'Cotizador Cobertura EMER'!$B$7:$C$107,2,FALSE)-1,0)</f>
        <v>#NUM!</v>
      </c>
      <c r="G76" s="118" t="e">
        <f>'Cotizador EMER'!P75*IFERROR(VLOOKUP(A76,'Cotizador Cobertura EMER'!$B$7:$C$107,2,FALSE)-1,0)</f>
        <v>#NUM!</v>
      </c>
      <c r="H76" s="118">
        <f>IF(Cotización!$D$33="Excluida",0,ROUND(F76/(1-Cotización!$O$47-Cotización!O$48-Cotización!$O$49),0))</f>
        <v>0</v>
      </c>
      <c r="I76" s="118">
        <f>IF(Cotización!$D$33="Excluida",0,ROUND(G76/(1-Cotización!$O$47-Cotización!$O$48-Cotización!$O$49),0))</f>
        <v>0</v>
      </c>
      <c r="J76" s="118" t="e">
        <f>'Cotizador Extranjero'!P75*(VLOOKUP(A76,'Cotizador Cobertura Ext 2'!$B$7:$C$107,2,FALSE)-1)</f>
        <v>#NUM!</v>
      </c>
      <c r="K76" s="118" t="e">
        <f>'Cotizador Extranjero'!P75*(VLOOKUP(A76,'Cotizador Cobertura Ext 2'!$B$7:$C$107,2,FALSE)-1)</f>
        <v>#NUM!</v>
      </c>
      <c r="L76" s="118">
        <f>IF(Cotización!$D$31="Excluida",0,ROUND(J76/(1-SUM(Cotización!$O$47:$O$49)),0))</f>
        <v>0</v>
      </c>
      <c r="M76" s="118">
        <f>IF(Cotización!$D$31="Excluida",0,ROUND(K76/(1-SUM(Cotización!$O$47:$O$49)),0))</f>
        <v>0</v>
      </c>
      <c r="N76" s="124">
        <v>266.15122795000002</v>
      </c>
      <c r="O76" s="124">
        <v>266.15122795000002</v>
      </c>
      <c r="Q76" s="215">
        <f t="shared" si="3"/>
        <v>5725.77934781767</v>
      </c>
      <c r="R76" s="215">
        <f t="shared" si="2"/>
        <v>5725.77934781767</v>
      </c>
    </row>
    <row r="77" spans="1:18">
      <c r="A77" s="56">
        <v>73</v>
      </c>
      <c r="B77" s="115">
        <f>'Cotizador Basica'!P76</f>
        <v>2669.0232538777923</v>
      </c>
      <c r="C77" s="115">
        <f>'Cotizador Basica'!P76</f>
        <v>2669.0232538777923</v>
      </c>
      <c r="D77" s="116">
        <f>'Cotizador Basica'!P76/(1-Cotización!$O$47-Cotización!$O$48-Cotización!$O$49)</f>
        <v>5931.1627863950944</v>
      </c>
      <c r="E77" s="116">
        <f>'Cotizador Basica'!P76/(1-Cotización!$O$47-Cotización!$O$48-Cotización!$O$49)</f>
        <v>5931.1627863950944</v>
      </c>
      <c r="F77" s="118" t="e">
        <f>'Cotizador EMER'!P76*IFERROR(VLOOKUP(A77,'Cotizador Cobertura EMER'!$B$7:$C$107,2,FALSE)-1,0)</f>
        <v>#NUM!</v>
      </c>
      <c r="G77" s="118" t="e">
        <f>'Cotizador EMER'!P76*IFERROR(VLOOKUP(A77,'Cotizador Cobertura EMER'!$B$7:$C$107,2,FALSE)-1,0)</f>
        <v>#NUM!</v>
      </c>
      <c r="H77" s="118">
        <f>IF(Cotización!$D$33="Excluida",0,ROUND(F77/(1-Cotización!$O$47-Cotización!O$48-Cotización!$O$49),0))</f>
        <v>0</v>
      </c>
      <c r="I77" s="118">
        <f>IF(Cotización!$D$33="Excluida",0,ROUND(G77/(1-Cotización!$O$47-Cotización!$O$48-Cotización!$O$49),0))</f>
        <v>0</v>
      </c>
      <c r="J77" s="118" t="e">
        <f>'Cotizador Extranjero'!P76*(VLOOKUP(A77,'Cotizador Cobertura Ext 2'!$B$7:$C$107,2,FALSE)-1)</f>
        <v>#NUM!</v>
      </c>
      <c r="K77" s="118" t="e">
        <f>'Cotizador Extranjero'!P76*(VLOOKUP(A77,'Cotizador Cobertura Ext 2'!$B$7:$C$107,2,FALSE)-1)</f>
        <v>#NUM!</v>
      </c>
      <c r="L77" s="118">
        <f>IF(Cotización!$D$31="Excluida",0,ROUND(J77/(1-SUM(Cotización!$O$47:$O$49)),0))</f>
        <v>0</v>
      </c>
      <c r="M77" s="118">
        <f>IF(Cotización!$D$31="Excluida",0,ROUND(K77/(1-SUM(Cotización!$O$47:$O$49)),0))</f>
        <v>0</v>
      </c>
      <c r="N77" s="124">
        <v>266.15122795000002</v>
      </c>
      <c r="O77" s="124">
        <v>266.15122795000002</v>
      </c>
      <c r="Q77" s="215">
        <f t="shared" si="3"/>
        <v>5931.1627863950944</v>
      </c>
      <c r="R77" s="215">
        <f t="shared" si="2"/>
        <v>5931.1627863950944</v>
      </c>
    </row>
    <row r="78" spans="1:18">
      <c r="A78" s="56">
        <v>74</v>
      </c>
      <c r="B78" s="115">
        <f>'Cotizador Basica'!P77</f>
        <v>2764.7609937076477</v>
      </c>
      <c r="C78" s="115">
        <f>'Cotizador Basica'!P77</f>
        <v>2764.7609937076477</v>
      </c>
      <c r="D78" s="116">
        <f>'Cotizador Basica'!P77/(1-Cotización!$O$47-Cotización!$O$48-Cotización!$O$49)</f>
        <v>6143.9133193503285</v>
      </c>
      <c r="E78" s="116">
        <f>'Cotizador Basica'!P77/(1-Cotización!$O$47-Cotización!$O$48-Cotización!$O$49)</f>
        <v>6143.9133193503285</v>
      </c>
      <c r="F78" s="118" t="e">
        <f>'Cotizador EMER'!P77*IFERROR(VLOOKUP(A78,'Cotizador Cobertura EMER'!$B$7:$C$107,2,FALSE)-1,0)</f>
        <v>#NUM!</v>
      </c>
      <c r="G78" s="118" t="e">
        <f>'Cotizador EMER'!P77*IFERROR(VLOOKUP(A78,'Cotizador Cobertura EMER'!$B$7:$C$107,2,FALSE)-1,0)</f>
        <v>#NUM!</v>
      </c>
      <c r="H78" s="118">
        <f>IF(Cotización!$D$33="Excluida",0,ROUND(F78/(1-Cotización!$O$47-Cotización!O$48-Cotización!$O$49),0))</f>
        <v>0</v>
      </c>
      <c r="I78" s="118">
        <f>IF(Cotización!$D$33="Excluida",0,ROUND(G78/(1-Cotización!$O$47-Cotización!$O$48-Cotización!$O$49),0))</f>
        <v>0</v>
      </c>
      <c r="J78" s="118" t="e">
        <f>'Cotizador Extranjero'!P77*(VLOOKUP(A78,'Cotizador Cobertura Ext 2'!$B$7:$C$107,2,FALSE)-1)</f>
        <v>#NUM!</v>
      </c>
      <c r="K78" s="118" t="e">
        <f>'Cotizador Extranjero'!P77*(VLOOKUP(A78,'Cotizador Cobertura Ext 2'!$B$7:$C$107,2,FALSE)-1)</f>
        <v>#NUM!</v>
      </c>
      <c r="L78" s="118">
        <f>IF(Cotización!$D$31="Excluida",0,ROUND(J78/(1-SUM(Cotización!$O$47:$O$49)),0))</f>
        <v>0</v>
      </c>
      <c r="M78" s="118">
        <f>IF(Cotización!$D$31="Excluida",0,ROUND(K78/(1-SUM(Cotización!$O$47:$O$49)),0))</f>
        <v>0</v>
      </c>
      <c r="N78" s="124">
        <v>266.15122795000002</v>
      </c>
      <c r="O78" s="124">
        <v>266.15122795000002</v>
      </c>
      <c r="Q78" s="215">
        <f t="shared" si="3"/>
        <v>6143.9133193503285</v>
      </c>
      <c r="R78" s="215">
        <f t="shared" si="2"/>
        <v>6143.9133193503285</v>
      </c>
    </row>
    <row r="79" spans="1:18">
      <c r="A79" s="56">
        <v>75</v>
      </c>
      <c r="B79" s="115">
        <f>'Cotizador Basica'!P78</f>
        <v>2863.9328418070395</v>
      </c>
      <c r="C79" s="115">
        <f>'Cotizador Basica'!P78</f>
        <v>2863.9328418070395</v>
      </c>
      <c r="D79" s="116">
        <f>'Cotizador Basica'!P78/(1-Cotización!$O$47-Cotización!$O$48-Cotización!$O$49)</f>
        <v>6364.2952040156442</v>
      </c>
      <c r="E79" s="116">
        <f>'Cotizador Basica'!P78/(1-Cotización!$O$47-Cotización!$O$48-Cotización!$O$49)</f>
        <v>6364.2952040156442</v>
      </c>
      <c r="F79" s="118" t="e">
        <f>'Cotizador EMER'!P78*IFERROR(VLOOKUP(A79,'Cotizador Cobertura EMER'!$B$7:$C$107,2,FALSE)-1,0)</f>
        <v>#NUM!</v>
      </c>
      <c r="G79" s="118" t="e">
        <f>'Cotizador EMER'!P78*IFERROR(VLOOKUP(A79,'Cotizador Cobertura EMER'!$B$7:$C$107,2,FALSE)-1,0)</f>
        <v>#NUM!</v>
      </c>
      <c r="H79" s="118">
        <f>IF(Cotización!$D$33="Excluida",0,ROUND(F79/(1-Cotización!$O$47-Cotización!O$48-Cotización!$O$49),0))</f>
        <v>0</v>
      </c>
      <c r="I79" s="118">
        <f>IF(Cotización!$D$33="Excluida",0,ROUND(G79/(1-Cotización!$O$47-Cotización!$O$48-Cotización!$O$49),0))</f>
        <v>0</v>
      </c>
      <c r="J79" s="118" t="e">
        <f>'Cotizador Extranjero'!P78*(VLOOKUP(A79,'Cotizador Cobertura Ext 2'!$B$7:$C$107,2,FALSE)-1)</f>
        <v>#NUM!</v>
      </c>
      <c r="K79" s="118" t="e">
        <f>'Cotizador Extranjero'!P78*(VLOOKUP(A79,'Cotizador Cobertura Ext 2'!$B$7:$C$107,2,FALSE)-1)</f>
        <v>#NUM!</v>
      </c>
      <c r="L79" s="118">
        <f>IF(Cotización!$D$31="Excluida",0,ROUND(J79/(1-SUM(Cotización!$O$47:$O$49)),0))</f>
        <v>0</v>
      </c>
      <c r="M79" s="118">
        <f>IF(Cotización!$D$31="Excluida",0,ROUND(K79/(1-SUM(Cotización!$O$47:$O$49)),0))</f>
        <v>0</v>
      </c>
      <c r="N79" s="124">
        <v>266.15122795000002</v>
      </c>
      <c r="O79" s="124">
        <v>266.15122795000002</v>
      </c>
      <c r="Q79" s="215">
        <f t="shared" si="3"/>
        <v>6364.2952040156442</v>
      </c>
      <c r="R79" s="215">
        <f t="shared" si="2"/>
        <v>6364.2952040156442</v>
      </c>
    </row>
    <row r="80" spans="1:18">
      <c r="A80" s="56">
        <v>76</v>
      </c>
      <c r="B80" s="115">
        <f>'Cotizador Basica'!P79</f>
        <v>2966.6619794796839</v>
      </c>
      <c r="C80" s="115">
        <f>'Cotizador Basica'!P79</f>
        <v>2966.6619794796839</v>
      </c>
      <c r="D80" s="116">
        <f>'Cotizador Basica'!P79/(1-Cotización!$O$47-Cotización!$O$48-Cotización!$O$49)</f>
        <v>6592.5821766215204</v>
      </c>
      <c r="E80" s="116">
        <f>'Cotizador Basica'!P79/(1-Cotización!$O$47-Cotización!$O$48-Cotización!$O$49)</f>
        <v>6592.5821766215204</v>
      </c>
      <c r="F80" s="118" t="e">
        <f>'Cotizador EMER'!P79*IFERROR(VLOOKUP(A80,'Cotizador Cobertura EMER'!$B$7:$C$107,2,FALSE)-1,0)</f>
        <v>#NUM!</v>
      </c>
      <c r="G80" s="118" t="e">
        <f>'Cotizador EMER'!P79*IFERROR(VLOOKUP(A80,'Cotizador Cobertura EMER'!$B$7:$C$107,2,FALSE)-1,0)</f>
        <v>#NUM!</v>
      </c>
      <c r="H80" s="118">
        <f>IF(Cotización!$D$33="Excluida",0,ROUND(F80/(1-Cotización!$O$47-Cotización!O$48-Cotización!$O$49),0))</f>
        <v>0</v>
      </c>
      <c r="I80" s="118">
        <f>IF(Cotización!$D$33="Excluida",0,ROUND(G80/(1-Cotización!$O$47-Cotización!$O$48-Cotización!$O$49),0))</f>
        <v>0</v>
      </c>
      <c r="J80" s="118" t="e">
        <f>'Cotizador Extranjero'!P79*(VLOOKUP(A80,'Cotizador Cobertura Ext 2'!$B$7:$C$107,2,FALSE)-1)</f>
        <v>#NUM!</v>
      </c>
      <c r="K80" s="118" t="e">
        <f>'Cotizador Extranjero'!P79*(VLOOKUP(A80,'Cotizador Cobertura Ext 2'!$B$7:$C$107,2,FALSE)-1)</f>
        <v>#NUM!</v>
      </c>
      <c r="L80" s="118">
        <f>IF(Cotización!$D$31="Excluida",0,ROUND(J80/(1-SUM(Cotización!$O$47:$O$49)),0))</f>
        <v>0</v>
      </c>
      <c r="M80" s="118">
        <f>IF(Cotización!$D$31="Excluida",0,ROUND(K80/(1-SUM(Cotización!$O$47:$O$49)),0))</f>
        <v>0</v>
      </c>
      <c r="N80" s="124">
        <v>266.15122795000002</v>
      </c>
      <c r="O80" s="124">
        <v>266.15122795000002</v>
      </c>
      <c r="Q80" s="215">
        <f t="shared" si="3"/>
        <v>6592.5821766215204</v>
      </c>
      <c r="R80" s="215">
        <f t="shared" si="2"/>
        <v>6592.5821766215204</v>
      </c>
    </row>
    <row r="81" spans="1:18">
      <c r="A81" s="56">
        <v>77</v>
      </c>
      <c r="B81" s="115">
        <f>'Cotizador Basica'!P80</f>
        <v>3073.0760065369209</v>
      </c>
      <c r="C81" s="115">
        <f>'Cotizador Basica'!P80</f>
        <v>3073.0760065369209</v>
      </c>
      <c r="D81" s="116">
        <f>'Cotizador Basica'!P80/(1-Cotización!$O$47-Cotización!$O$48-Cotización!$O$49)</f>
        <v>6829.0577923042692</v>
      </c>
      <c r="E81" s="116">
        <f>'Cotizador Basica'!P80/(1-Cotización!$O$47-Cotización!$O$48-Cotización!$O$49)</f>
        <v>6829.0577923042692</v>
      </c>
      <c r="F81" s="118" t="e">
        <f>'Cotizador EMER'!P80*IFERROR(VLOOKUP(A81,'Cotizador Cobertura EMER'!$B$7:$C$107,2,FALSE)-1,0)</f>
        <v>#NUM!</v>
      </c>
      <c r="G81" s="118" t="e">
        <f>'Cotizador EMER'!P80*IFERROR(VLOOKUP(A81,'Cotizador Cobertura EMER'!$B$7:$C$107,2,FALSE)-1,0)</f>
        <v>#NUM!</v>
      </c>
      <c r="H81" s="118">
        <f>IF(Cotización!$D$33="Excluida",0,ROUND(F81/(1-Cotización!$O$47-Cotización!O$48-Cotización!$O$49),0))</f>
        <v>0</v>
      </c>
      <c r="I81" s="118">
        <f>IF(Cotización!$D$33="Excluida",0,ROUND(G81/(1-Cotización!$O$47-Cotización!$O$48-Cotización!$O$49),0))</f>
        <v>0</v>
      </c>
      <c r="J81" s="118" t="e">
        <f>'Cotizador Extranjero'!P80*(VLOOKUP(A81,'Cotizador Cobertura Ext 2'!$B$7:$C$107,2,FALSE)-1)</f>
        <v>#NUM!</v>
      </c>
      <c r="K81" s="118" t="e">
        <f>'Cotizador Extranjero'!P80*(VLOOKUP(A81,'Cotizador Cobertura Ext 2'!$B$7:$C$107,2,FALSE)-1)</f>
        <v>#NUM!</v>
      </c>
      <c r="L81" s="118">
        <f>IF(Cotización!$D$31="Excluida",0,ROUND(J81/(1-SUM(Cotización!$O$47:$O$49)),0))</f>
        <v>0</v>
      </c>
      <c r="M81" s="118">
        <f>IF(Cotización!$D$31="Excluida",0,ROUND(K81/(1-SUM(Cotización!$O$47:$O$49)),0))</f>
        <v>0</v>
      </c>
      <c r="N81" s="124">
        <v>266.15122795000002</v>
      </c>
      <c r="O81" s="124">
        <v>266.15122795000002</v>
      </c>
      <c r="Q81" s="215">
        <f t="shared" si="3"/>
        <v>6829.0577923042692</v>
      </c>
      <c r="R81" s="215">
        <f t="shared" si="2"/>
        <v>6829.0577923042692</v>
      </c>
    </row>
    <row r="82" spans="1:18">
      <c r="A82" s="56">
        <v>78</v>
      </c>
      <c r="B82" s="115">
        <f>'Cotizador Basica'!P81</f>
        <v>3183.3070997893869</v>
      </c>
      <c r="C82" s="115">
        <f>'Cotizador Basica'!P81</f>
        <v>3183.3070997893869</v>
      </c>
      <c r="D82" s="116">
        <f>'Cotizador Basica'!P81/(1-Cotización!$O$47-Cotización!$O$48-Cotización!$O$49)</f>
        <v>7074.0157773097499</v>
      </c>
      <c r="E82" s="116">
        <f>'Cotizador Basica'!P81/(1-Cotización!$O$47-Cotización!$O$48-Cotización!$O$49)</f>
        <v>7074.0157773097499</v>
      </c>
      <c r="F82" s="118" t="e">
        <f>'Cotizador EMER'!P81*IFERROR(VLOOKUP(A82,'Cotizador Cobertura EMER'!$B$7:$C$107,2,FALSE)-1,0)</f>
        <v>#NUM!</v>
      </c>
      <c r="G82" s="118" t="e">
        <f>'Cotizador EMER'!P81*IFERROR(VLOOKUP(A82,'Cotizador Cobertura EMER'!$B$7:$C$107,2,FALSE)-1,0)</f>
        <v>#NUM!</v>
      </c>
      <c r="H82" s="118">
        <f>IF(Cotización!$D$33="Excluida",0,ROUND(F82/(1-Cotización!$O$47-Cotización!O$48-Cotización!$O$49),0))</f>
        <v>0</v>
      </c>
      <c r="I82" s="118">
        <f>IF(Cotización!$D$33="Excluida",0,ROUND(G82/(1-Cotización!$O$47-Cotización!$O$48-Cotización!$O$49),0))</f>
        <v>0</v>
      </c>
      <c r="J82" s="118" t="e">
        <f>'Cotizador Extranjero'!P81*(VLOOKUP(A82,'Cotizador Cobertura Ext 2'!$B$7:$C$107,2,FALSE)-1)</f>
        <v>#NUM!</v>
      </c>
      <c r="K82" s="118" t="e">
        <f>'Cotizador Extranjero'!P81*(VLOOKUP(A82,'Cotizador Cobertura Ext 2'!$B$7:$C$107,2,FALSE)-1)</f>
        <v>#NUM!</v>
      </c>
      <c r="L82" s="118">
        <f>IF(Cotización!$D$31="Excluida",0,ROUND(J82/(1-SUM(Cotización!$O$47:$O$49)),0))</f>
        <v>0</v>
      </c>
      <c r="M82" s="118">
        <f>IF(Cotización!$D$31="Excluida",0,ROUND(K82/(1-SUM(Cotización!$O$47:$O$49)),0))</f>
        <v>0</v>
      </c>
      <c r="N82" s="124">
        <v>266.15122795000002</v>
      </c>
      <c r="O82" s="124">
        <v>266.15122795000002</v>
      </c>
      <c r="Q82" s="215">
        <f t="shared" si="3"/>
        <v>7074.0157773097499</v>
      </c>
      <c r="R82" s="215">
        <f t="shared" si="2"/>
        <v>7074.0157773097499</v>
      </c>
    </row>
    <row r="83" spans="1:18">
      <c r="A83" s="56">
        <v>79</v>
      </c>
      <c r="B83" s="115">
        <f>'Cotizador Basica'!P82</f>
        <v>3297.4921772237553</v>
      </c>
      <c r="C83" s="115">
        <f>'Cotizador Basica'!P82</f>
        <v>3297.4921772237553</v>
      </c>
      <c r="D83" s="116">
        <f>'Cotizador Basica'!P82/(1-Cotización!$O$47-Cotización!$O$48-Cotización!$O$49)</f>
        <v>7327.7603938305683</v>
      </c>
      <c r="E83" s="116">
        <f>'Cotizador Basica'!P82/(1-Cotización!$O$47-Cotización!$O$48-Cotización!$O$49)</f>
        <v>7327.7603938305683</v>
      </c>
      <c r="F83" s="118" t="e">
        <f>'Cotizador EMER'!P82*IFERROR(VLOOKUP(A83,'Cotizador Cobertura EMER'!$B$7:$C$107,2,FALSE)-1,0)</f>
        <v>#NUM!</v>
      </c>
      <c r="G83" s="118" t="e">
        <f>'Cotizador EMER'!P82*IFERROR(VLOOKUP(A83,'Cotizador Cobertura EMER'!$B$7:$C$107,2,FALSE)-1,0)</f>
        <v>#NUM!</v>
      </c>
      <c r="H83" s="118">
        <f>IF(Cotización!$D$33="Excluida",0,ROUND(F83/(1-Cotización!$O$47-Cotización!O$48-Cotización!$O$49),0))</f>
        <v>0</v>
      </c>
      <c r="I83" s="118">
        <f>IF(Cotización!$D$33="Excluida",0,ROUND(G83/(1-Cotización!$O$47-Cotización!$O$48-Cotización!$O$49),0))</f>
        <v>0</v>
      </c>
      <c r="J83" s="118" t="e">
        <f>'Cotizador Extranjero'!P82*(VLOOKUP(A83,'Cotizador Cobertura Ext 2'!$B$7:$C$107,2,FALSE)-1)</f>
        <v>#NUM!</v>
      </c>
      <c r="K83" s="118" t="e">
        <f>'Cotizador Extranjero'!P82*(VLOOKUP(A83,'Cotizador Cobertura Ext 2'!$B$7:$C$107,2,FALSE)-1)</f>
        <v>#NUM!</v>
      </c>
      <c r="L83" s="118">
        <f>IF(Cotización!$D$31="Excluida",0,ROUND(J83/(1-SUM(Cotización!$O$47:$O$49)),0))</f>
        <v>0</v>
      </c>
      <c r="M83" s="118">
        <f>IF(Cotización!$D$31="Excluida",0,ROUND(K83/(1-SUM(Cotización!$O$47:$O$49)),0))</f>
        <v>0</v>
      </c>
      <c r="N83" s="124">
        <v>266.15122795000002</v>
      </c>
      <c r="O83" s="124">
        <v>266.15122795000002</v>
      </c>
      <c r="Q83" s="215">
        <f t="shared" si="3"/>
        <v>7327.7603938305683</v>
      </c>
      <c r="R83" s="215">
        <f t="shared" si="2"/>
        <v>7327.7603938305683</v>
      </c>
    </row>
    <row r="84" spans="1:18">
      <c r="A84" s="56">
        <v>80</v>
      </c>
      <c r="B84" s="115">
        <f>'Cotizador Basica'!P83</f>
        <v>3415.7730680685099</v>
      </c>
      <c r="C84" s="115">
        <f>'Cotizador Basica'!P83</f>
        <v>3415.7730680685099</v>
      </c>
      <c r="D84" s="116">
        <f>'Cotizador Basica'!P83/(1-Cotización!$O$47-Cotización!$O$48-Cotización!$O$49)</f>
        <v>7590.6068179300228</v>
      </c>
      <c r="E84" s="116">
        <f>'Cotizador Basica'!P83/(1-Cotización!$O$47-Cotización!$O$48-Cotización!$O$49)</f>
        <v>7590.6068179300228</v>
      </c>
      <c r="F84" s="118" t="e">
        <f>'Cotizador EMER'!P83*IFERROR(VLOOKUP(A84,'Cotizador Cobertura EMER'!$B$7:$C$107,2,FALSE)-1,0)</f>
        <v>#NUM!</v>
      </c>
      <c r="G84" s="118" t="e">
        <f>'Cotizador EMER'!P83*IFERROR(VLOOKUP(A84,'Cotizador Cobertura EMER'!$B$7:$C$107,2,FALSE)-1,0)</f>
        <v>#NUM!</v>
      </c>
      <c r="H84" s="118">
        <f>IF(Cotización!$D$33="Excluida",0,ROUND(F84/(1-Cotización!$O$47-Cotización!O$48-Cotización!$O$49),0))</f>
        <v>0</v>
      </c>
      <c r="I84" s="118">
        <f>IF(Cotización!$D$33="Excluida",0,ROUND(G84/(1-Cotización!$O$47-Cotización!$O$48-Cotización!$O$49),0))</f>
        <v>0</v>
      </c>
      <c r="J84" s="118" t="e">
        <f>'Cotizador Extranjero'!P83*(VLOOKUP(A84,'Cotizador Cobertura Ext 2'!$B$7:$C$107,2,FALSE)-1)</f>
        <v>#NUM!</v>
      </c>
      <c r="K84" s="118" t="e">
        <f>'Cotizador Extranjero'!P83*(VLOOKUP(A84,'Cotizador Cobertura Ext 2'!$B$7:$C$107,2,FALSE)-1)</f>
        <v>#NUM!</v>
      </c>
      <c r="L84" s="118">
        <f>IF(Cotización!$D$31="Excluida",0,ROUND(J84/(1-SUM(Cotización!$O$47:$O$49)),0))</f>
        <v>0</v>
      </c>
      <c r="M84" s="118">
        <f>IF(Cotización!$D$31="Excluida",0,ROUND(K84/(1-SUM(Cotización!$O$47:$O$49)),0))</f>
        <v>0</v>
      </c>
      <c r="N84" s="124">
        <v>266.15122795000002</v>
      </c>
      <c r="O84" s="124">
        <v>266.15122795000002</v>
      </c>
      <c r="Q84" s="215">
        <f t="shared" si="3"/>
        <v>7590.6068179300228</v>
      </c>
      <c r="R84" s="215">
        <f t="shared" si="2"/>
        <v>7590.6068179300228</v>
      </c>
    </row>
    <row r="85" spans="1:18">
      <c r="A85" s="56">
        <v>81</v>
      </c>
      <c r="B85" s="115">
        <f>'Cotizador Basica'!P84</f>
        <v>3538.2966889599538</v>
      </c>
      <c r="C85" s="115">
        <f>'Cotizador Basica'!P84</f>
        <v>3538.2966889599538</v>
      </c>
      <c r="D85" s="116">
        <f>'Cotizador Basica'!P84/(1-Cotización!$O$47-Cotización!$O$48-Cotización!$O$49)</f>
        <v>7862.8815310221207</v>
      </c>
      <c r="E85" s="116">
        <f>'Cotizador Basica'!P84/(1-Cotización!$O$47-Cotización!$O$48-Cotización!$O$49)</f>
        <v>7862.8815310221207</v>
      </c>
      <c r="F85" s="118" t="e">
        <f>'Cotizador EMER'!P84*IFERROR(VLOOKUP(A85,'Cotizador Cobertura EMER'!$B$7:$C$107,2,FALSE)-1,0)</f>
        <v>#NUM!</v>
      </c>
      <c r="G85" s="118" t="e">
        <f>'Cotizador EMER'!P84*IFERROR(VLOOKUP(A85,'Cotizador Cobertura EMER'!$B$7:$C$107,2,FALSE)-1,0)</f>
        <v>#NUM!</v>
      </c>
      <c r="H85" s="118">
        <f>IF(Cotización!$D$33="Excluida",0,ROUND(F85/(1-Cotización!$O$47-Cotización!O$48-Cotización!$O$49),0))</f>
        <v>0</v>
      </c>
      <c r="I85" s="118">
        <f>IF(Cotización!$D$33="Excluida",0,ROUND(G85/(1-Cotización!$O$47-Cotización!$O$48-Cotización!$O$49),0))</f>
        <v>0</v>
      </c>
      <c r="J85" s="118" t="e">
        <f>'Cotizador Extranjero'!P84*(VLOOKUP(A85,'Cotizador Cobertura Ext 2'!$B$7:$C$107,2,FALSE)-1)</f>
        <v>#NUM!</v>
      </c>
      <c r="K85" s="118" t="e">
        <f>'Cotizador Extranjero'!P84*(VLOOKUP(A85,'Cotizador Cobertura Ext 2'!$B$7:$C$107,2,FALSE)-1)</f>
        <v>#NUM!</v>
      </c>
      <c r="L85" s="118">
        <f>IF(Cotización!$D$31="Excluida",0,ROUND(J85/(1-SUM(Cotización!$O$47:$O$49)),0))</f>
        <v>0</v>
      </c>
      <c r="M85" s="118">
        <f>IF(Cotización!$D$31="Excluida",0,ROUND(K85/(1-SUM(Cotización!$O$47:$O$49)),0))</f>
        <v>0</v>
      </c>
      <c r="N85" s="124">
        <v>266.15122795000002</v>
      </c>
      <c r="O85" s="124">
        <v>266.15122795000002</v>
      </c>
      <c r="Q85" s="215">
        <f t="shared" si="3"/>
        <v>7862.8815310221207</v>
      </c>
      <c r="R85" s="215">
        <f t="shared" si="2"/>
        <v>7862.8815310221207</v>
      </c>
    </row>
    <row r="86" spans="1:18">
      <c r="A86" s="56">
        <v>82</v>
      </c>
      <c r="B86" s="115">
        <f>'Cotizador Basica'!P85</f>
        <v>3665.2152264272913</v>
      </c>
      <c r="C86" s="115">
        <f>'Cotizador Basica'!P85</f>
        <v>3665.2152264272913</v>
      </c>
      <c r="D86" s="116">
        <f>'Cotizador Basica'!P85/(1-Cotización!$O$47-Cotización!$O$48-Cotización!$O$49)</f>
        <v>8144.9227253939816</v>
      </c>
      <c r="E86" s="116">
        <f>'Cotizador Basica'!P85/(1-Cotización!$O$47-Cotización!$O$48-Cotización!$O$49)</f>
        <v>8144.9227253939816</v>
      </c>
      <c r="F86" s="118" t="e">
        <f>'Cotizador EMER'!P85*IFERROR(VLOOKUP(A86,'Cotizador Cobertura EMER'!$B$7:$C$107,2,FALSE)-1,0)</f>
        <v>#NUM!</v>
      </c>
      <c r="G86" s="118" t="e">
        <f>'Cotizador EMER'!P85*IFERROR(VLOOKUP(A86,'Cotizador Cobertura EMER'!$B$7:$C$107,2,FALSE)-1,0)</f>
        <v>#NUM!</v>
      </c>
      <c r="H86" s="118">
        <f>IF(Cotización!$D$33="Excluida",0,ROUND(F86/(1-Cotización!$O$47-Cotización!O$48-Cotización!$O$49),0))</f>
        <v>0</v>
      </c>
      <c r="I86" s="118">
        <f>IF(Cotización!$D$33="Excluida",0,ROUND(G86/(1-Cotización!$O$47-Cotización!$O$48-Cotización!$O$49),0))</f>
        <v>0</v>
      </c>
      <c r="J86" s="118" t="e">
        <f>'Cotizador Extranjero'!P85*(VLOOKUP(A86,'Cotizador Cobertura Ext 2'!$B$7:$C$107,2,FALSE)-1)</f>
        <v>#NUM!</v>
      </c>
      <c r="K86" s="118" t="e">
        <f>'Cotizador Extranjero'!P85*(VLOOKUP(A86,'Cotizador Cobertura Ext 2'!$B$7:$C$107,2,FALSE)-1)</f>
        <v>#NUM!</v>
      </c>
      <c r="L86" s="118">
        <f>IF(Cotización!$D$31="Excluida",0,ROUND(J86/(1-SUM(Cotización!$O$47:$O$49)),0))</f>
        <v>0</v>
      </c>
      <c r="M86" s="118">
        <f>IF(Cotización!$D$31="Excluida",0,ROUND(K86/(1-SUM(Cotización!$O$47:$O$49)),0))</f>
        <v>0</v>
      </c>
      <c r="N86" s="124">
        <v>266.15122795000002</v>
      </c>
      <c r="O86" s="124">
        <v>266.15122795000002</v>
      </c>
      <c r="Q86" s="215">
        <f t="shared" si="3"/>
        <v>8144.9227253939816</v>
      </c>
      <c r="R86" s="215">
        <f t="shared" si="2"/>
        <v>8144.9227253939816</v>
      </c>
    </row>
    <row r="87" spans="1:18">
      <c r="A87" s="56">
        <v>83</v>
      </c>
      <c r="B87" s="115">
        <f>'Cotizador Basica'!P86</f>
        <v>3796.6863259234474</v>
      </c>
      <c r="C87" s="115">
        <f>'Cotizador Basica'!P86</f>
        <v>3796.6863259234474</v>
      </c>
      <c r="D87" s="116">
        <f>'Cotizador Basica'!P86/(1-Cotización!$O$47-Cotización!$O$48-Cotización!$O$49)</f>
        <v>8437.0807242743285</v>
      </c>
      <c r="E87" s="116">
        <f>'Cotizador Basica'!P86/(1-Cotización!$O$47-Cotización!$O$48-Cotización!$O$49)</f>
        <v>8437.0807242743285</v>
      </c>
      <c r="F87" s="118" t="e">
        <f>'Cotizador EMER'!P86*IFERROR(VLOOKUP(A87,'Cotizador Cobertura EMER'!$B$7:$C$107,2,FALSE)-1,0)</f>
        <v>#NUM!</v>
      </c>
      <c r="G87" s="118" t="e">
        <f>'Cotizador EMER'!P86*IFERROR(VLOOKUP(A87,'Cotizador Cobertura EMER'!$B$7:$C$107,2,FALSE)-1,0)</f>
        <v>#NUM!</v>
      </c>
      <c r="H87" s="118">
        <f>IF(Cotización!$D$33="Excluida",0,ROUND(F87/(1-Cotización!$O$47-Cotización!O$48-Cotización!$O$49),0))</f>
        <v>0</v>
      </c>
      <c r="I87" s="118">
        <f>IF(Cotización!$D$33="Excluida",0,ROUND(G87/(1-Cotización!$O$47-Cotización!$O$48-Cotización!$O$49),0))</f>
        <v>0</v>
      </c>
      <c r="J87" s="118" t="e">
        <f>'Cotizador Extranjero'!P86*(VLOOKUP(A87,'Cotizador Cobertura Ext 2'!$B$7:$C$107,2,FALSE)-1)</f>
        <v>#NUM!</v>
      </c>
      <c r="K87" s="118" t="e">
        <f>'Cotizador Extranjero'!P86*(VLOOKUP(A87,'Cotizador Cobertura Ext 2'!$B$7:$C$107,2,FALSE)-1)</f>
        <v>#NUM!</v>
      </c>
      <c r="L87" s="118">
        <f>IF(Cotización!$D$31="Excluida",0,ROUND(J87/(1-SUM(Cotización!$O$47:$O$49)),0))</f>
        <v>0</v>
      </c>
      <c r="M87" s="118">
        <f>IF(Cotización!$D$31="Excluida",0,ROUND(K87/(1-SUM(Cotización!$O$47:$O$49)),0))</f>
        <v>0</v>
      </c>
      <c r="N87" s="124">
        <v>266.15122795000002</v>
      </c>
      <c r="O87" s="124">
        <v>266.15122795000002</v>
      </c>
      <c r="Q87" s="215">
        <f t="shared" si="3"/>
        <v>8437.0807242743285</v>
      </c>
      <c r="R87" s="215">
        <f t="shared" si="2"/>
        <v>8437.0807242743285</v>
      </c>
    </row>
    <row r="88" spans="1:18">
      <c r="A88" s="56">
        <v>84</v>
      </c>
      <c r="B88" s="115">
        <f>'Cotizador Basica'!P87</f>
        <v>3932.8732876363956</v>
      </c>
      <c r="C88" s="115">
        <f>'Cotizador Basica'!P87</f>
        <v>3932.8732876363956</v>
      </c>
      <c r="D88" s="116">
        <f>'Cotizador Basica'!P87/(1-Cotización!$O$47-Cotización!$O$48-Cotización!$O$49)</f>
        <v>8739.7184169697684</v>
      </c>
      <c r="E88" s="116">
        <f>'Cotizador Basica'!P87/(1-Cotización!$O$47-Cotización!$O$48-Cotización!$O$49)</f>
        <v>8739.7184169697684</v>
      </c>
      <c r="F88" s="118" t="e">
        <f>'Cotizador EMER'!P87*IFERROR(VLOOKUP(A88,'Cotizador Cobertura EMER'!$B$7:$C$107,2,FALSE)-1,0)</f>
        <v>#NUM!</v>
      </c>
      <c r="G88" s="118" t="e">
        <f>'Cotizador EMER'!P87*IFERROR(VLOOKUP(A88,'Cotizador Cobertura EMER'!$B$7:$C$107,2,FALSE)-1,0)</f>
        <v>#NUM!</v>
      </c>
      <c r="H88" s="118">
        <f>IF(Cotización!$D$33="Excluida",0,ROUND(F88/(1-Cotización!$O$47-Cotización!O$48-Cotización!$O$49),0))</f>
        <v>0</v>
      </c>
      <c r="I88" s="118">
        <f>IF(Cotización!$D$33="Excluida",0,ROUND(G88/(1-Cotización!$O$47-Cotización!$O$48-Cotización!$O$49),0))</f>
        <v>0</v>
      </c>
      <c r="J88" s="118" t="e">
        <f>'Cotizador Extranjero'!P87*(VLOOKUP(A88,'Cotizador Cobertura Ext 2'!$B$7:$C$107,2,FALSE)-1)</f>
        <v>#NUM!</v>
      </c>
      <c r="K88" s="118" t="e">
        <f>'Cotizador Extranjero'!P87*(VLOOKUP(A88,'Cotizador Cobertura Ext 2'!$B$7:$C$107,2,FALSE)-1)</f>
        <v>#NUM!</v>
      </c>
      <c r="L88" s="118">
        <f>IF(Cotización!$D$31="Excluida",0,ROUND(J88/(1-SUM(Cotización!$O$47:$O$49)),0))</f>
        <v>0</v>
      </c>
      <c r="M88" s="118">
        <f>IF(Cotización!$D$31="Excluida",0,ROUND(K88/(1-SUM(Cotización!$O$47:$O$49)),0))</f>
        <v>0</v>
      </c>
      <c r="N88" s="124">
        <v>266.15122795000002</v>
      </c>
      <c r="O88" s="124">
        <v>266.15122795000002</v>
      </c>
      <c r="Q88" s="215">
        <f t="shared" si="3"/>
        <v>8739.7184169697684</v>
      </c>
      <c r="R88" s="215">
        <f t="shared" si="2"/>
        <v>8739.7184169697684</v>
      </c>
    </row>
    <row r="89" spans="1:18">
      <c r="A89" s="56">
        <v>85</v>
      </c>
      <c r="B89" s="115">
        <f>'Cotizador Basica'!P88</f>
        <v>4073.945269324257</v>
      </c>
      <c r="C89" s="115">
        <f>'Cotizador Basica'!P88</f>
        <v>4073.945269324257</v>
      </c>
      <c r="D89" s="116">
        <f>'Cotizador Basica'!P88/(1-Cotización!$O$47-Cotización!$O$48-Cotización!$O$49)</f>
        <v>9053.2117096094607</v>
      </c>
      <c r="E89" s="116">
        <f>'Cotizador Basica'!P88/(1-Cotización!$O$47-Cotización!$O$48-Cotización!$O$49)</f>
        <v>9053.2117096094607</v>
      </c>
      <c r="F89" s="118" t="e">
        <f>'Cotizador EMER'!P88*IFERROR(VLOOKUP(A89,'Cotizador Cobertura EMER'!$B$7:$C$107,2,FALSE)-1,0)</f>
        <v>#NUM!</v>
      </c>
      <c r="G89" s="118" t="e">
        <f>'Cotizador EMER'!P88*IFERROR(VLOOKUP(A89,'Cotizador Cobertura EMER'!$B$7:$C$107,2,FALSE)-1,0)</f>
        <v>#NUM!</v>
      </c>
      <c r="H89" s="118">
        <f>IF(Cotización!$D$33="Excluida",0,ROUND(F89/(1-Cotización!$O$47-Cotización!O$48-Cotización!$O$49),0))</f>
        <v>0</v>
      </c>
      <c r="I89" s="118">
        <f>IF(Cotización!$D$33="Excluida",0,ROUND(G89/(1-Cotización!$O$47-Cotización!$O$48-Cotización!$O$49),0))</f>
        <v>0</v>
      </c>
      <c r="J89" s="118" t="e">
        <f>'Cotizador Extranjero'!P88*(VLOOKUP(A89,'Cotizador Cobertura Ext 2'!$B$7:$C$107,2,FALSE)-1)</f>
        <v>#NUM!</v>
      </c>
      <c r="K89" s="118" t="e">
        <f>'Cotizador Extranjero'!P88*(VLOOKUP(A89,'Cotizador Cobertura Ext 2'!$B$7:$C$107,2,FALSE)-1)</f>
        <v>#NUM!</v>
      </c>
      <c r="L89" s="118">
        <f>IF(Cotización!$D$31="Excluida",0,ROUND(J89/(1-SUM(Cotización!$O$47:$O$49)),0))</f>
        <v>0</v>
      </c>
      <c r="M89" s="118">
        <f>IF(Cotización!$D$31="Excluida",0,ROUND(K89/(1-SUM(Cotización!$O$47:$O$49)),0))</f>
        <v>0</v>
      </c>
      <c r="N89" s="124">
        <v>266.15122795000002</v>
      </c>
      <c r="O89" s="124">
        <v>266.15122795000002</v>
      </c>
      <c r="Q89" s="215">
        <f t="shared" si="3"/>
        <v>9053.2117096094607</v>
      </c>
      <c r="R89" s="215">
        <f t="shared" si="2"/>
        <v>9053.2117096094607</v>
      </c>
    </row>
    <row r="90" spans="1:18">
      <c r="A90" s="56">
        <v>86</v>
      </c>
      <c r="B90" s="115">
        <f>'Cotizador Basica'!P89</f>
        <v>4220.0774964260472</v>
      </c>
      <c r="C90" s="115">
        <f>'Cotizador Basica'!P89</f>
        <v>4220.0774964260472</v>
      </c>
      <c r="D90" s="116">
        <f>'Cotizador Basica'!P89/(1-Cotización!$O$47-Cotización!$O$48-Cotización!$O$49)</f>
        <v>9377.9499920578837</v>
      </c>
      <c r="E90" s="116">
        <f>'Cotizador Basica'!P89/(1-Cotización!$O$47-Cotización!$O$48-Cotización!$O$49)</f>
        <v>9377.9499920578837</v>
      </c>
      <c r="F90" s="118" t="e">
        <f>'Cotizador EMER'!P89*IFERROR(VLOOKUP(A90,'Cotizador Cobertura EMER'!$B$7:$C$107,2,FALSE)-1,0)</f>
        <v>#NUM!</v>
      </c>
      <c r="G90" s="118" t="e">
        <f>'Cotizador EMER'!P89*IFERROR(VLOOKUP(A90,'Cotizador Cobertura EMER'!$B$7:$C$107,2,FALSE)-1,0)</f>
        <v>#NUM!</v>
      </c>
      <c r="H90" s="118">
        <f>IF(Cotización!$D$33="Excluida",0,ROUND(F90/(1-Cotización!$O$47-Cotización!O$48-Cotización!$O$49),0))</f>
        <v>0</v>
      </c>
      <c r="I90" s="118">
        <f>IF(Cotización!$D$33="Excluida",0,ROUND(G90/(1-Cotización!$O$47-Cotización!$O$48-Cotización!$O$49),0))</f>
        <v>0</v>
      </c>
      <c r="J90" s="118" t="e">
        <f>'Cotizador Extranjero'!P89*(VLOOKUP(A90,'Cotizador Cobertura Ext 2'!$B$7:$C$107,2,FALSE)-1)</f>
        <v>#NUM!</v>
      </c>
      <c r="K90" s="118" t="e">
        <f>'Cotizador Extranjero'!P89*(VLOOKUP(A90,'Cotizador Cobertura Ext 2'!$B$7:$C$107,2,FALSE)-1)</f>
        <v>#NUM!</v>
      </c>
      <c r="L90" s="118">
        <f>IF(Cotización!$D$31="Excluida",0,ROUND(J90/(1-SUM(Cotización!$O$47:$O$49)),0))</f>
        <v>0</v>
      </c>
      <c r="M90" s="118">
        <f>IF(Cotización!$D$31="Excluida",0,ROUND(K90/(1-SUM(Cotización!$O$47:$O$49)),0))</f>
        <v>0</v>
      </c>
      <c r="N90" s="124">
        <v>266.15122795000002</v>
      </c>
      <c r="O90" s="124">
        <v>266.15122795000002</v>
      </c>
      <c r="Q90" s="215">
        <f t="shared" si="3"/>
        <v>9377.9499920578837</v>
      </c>
      <c r="R90" s="215">
        <f t="shared" si="2"/>
        <v>9377.9499920578837</v>
      </c>
    </row>
    <row r="91" spans="1:18">
      <c r="A91" s="56">
        <v>87</v>
      </c>
      <c r="B91" s="115">
        <f>'Cotizador Basica'!P90</f>
        <v>4371.4514797091342</v>
      </c>
      <c r="C91" s="115">
        <f>'Cotizador Basica'!P90</f>
        <v>4371.4514797091342</v>
      </c>
      <c r="D91" s="116">
        <f>'Cotizador Basica'!P90/(1-Cotización!$O$47-Cotización!$O$48-Cotización!$O$49)</f>
        <v>9714.3366215758542</v>
      </c>
      <c r="E91" s="116">
        <f>'Cotizador Basica'!P90/(1-Cotización!$O$47-Cotización!$O$48-Cotización!$O$49)</f>
        <v>9714.3366215758542</v>
      </c>
      <c r="F91" s="118" t="e">
        <f>'Cotizador EMER'!P90*IFERROR(VLOOKUP(A91,'Cotizador Cobertura EMER'!$B$7:$C$107,2,FALSE)-1,0)</f>
        <v>#NUM!</v>
      </c>
      <c r="G91" s="118" t="e">
        <f>'Cotizador EMER'!P90*IFERROR(VLOOKUP(A91,'Cotizador Cobertura EMER'!$B$7:$C$107,2,FALSE)-1,0)</f>
        <v>#NUM!</v>
      </c>
      <c r="H91" s="118">
        <f>IF(Cotización!$D$33="Excluida",0,ROUND(F91/(1-Cotización!$O$47-Cotización!O$48-Cotización!$O$49),0))</f>
        <v>0</v>
      </c>
      <c r="I91" s="118">
        <f>IF(Cotización!$D$33="Excluida",0,ROUND(G91/(1-Cotización!$O$47-Cotización!$O$48-Cotización!$O$49),0))</f>
        <v>0</v>
      </c>
      <c r="J91" s="118" t="e">
        <f>'Cotizador Extranjero'!P90*(VLOOKUP(A91,'Cotizador Cobertura Ext 2'!$B$7:$C$107,2,FALSE)-1)</f>
        <v>#NUM!</v>
      </c>
      <c r="K91" s="118" t="e">
        <f>'Cotizador Extranjero'!P90*(VLOOKUP(A91,'Cotizador Cobertura Ext 2'!$B$7:$C$107,2,FALSE)-1)</f>
        <v>#NUM!</v>
      </c>
      <c r="L91" s="118">
        <f>IF(Cotización!$D$31="Excluida",0,ROUND(J91/(1-SUM(Cotización!$O$47:$O$49)),0))</f>
        <v>0</v>
      </c>
      <c r="M91" s="118">
        <f>IF(Cotización!$D$31="Excluida",0,ROUND(K91/(1-SUM(Cotización!$O$47:$O$49)),0))</f>
        <v>0</v>
      </c>
      <c r="N91" s="124">
        <v>266.15122795000002</v>
      </c>
      <c r="O91" s="124">
        <v>266.15122795000002</v>
      </c>
      <c r="Q91" s="215">
        <f t="shared" si="3"/>
        <v>9714.3366215758542</v>
      </c>
      <c r="R91" s="215">
        <f t="shared" si="2"/>
        <v>9714.3366215758542</v>
      </c>
    </row>
    <row r="92" spans="1:18">
      <c r="A92" s="56">
        <v>88</v>
      </c>
      <c r="B92" s="115">
        <f>'Cotizador Basica'!P91</f>
        <v>4528.2552407236471</v>
      </c>
      <c r="C92" s="115">
        <f>'Cotizador Basica'!P91</f>
        <v>4528.2552407236471</v>
      </c>
      <c r="D92" s="116">
        <f>'Cotizador Basica'!P91/(1-Cotización!$O$47-Cotización!$O$48-Cotización!$O$49)</f>
        <v>10062.789423830329</v>
      </c>
      <c r="E92" s="116">
        <f>'Cotizador Basica'!P91/(1-Cotización!$O$47-Cotización!$O$48-Cotización!$O$49)</f>
        <v>10062.789423830329</v>
      </c>
      <c r="F92" s="118" t="e">
        <f>'Cotizador EMER'!P91*IFERROR(VLOOKUP(A92,'Cotizador Cobertura EMER'!$B$7:$C$107,2,FALSE)-1,0)</f>
        <v>#NUM!</v>
      </c>
      <c r="G92" s="118" t="e">
        <f>'Cotizador EMER'!P91*IFERROR(VLOOKUP(A92,'Cotizador Cobertura EMER'!$B$7:$C$107,2,FALSE)-1,0)</f>
        <v>#NUM!</v>
      </c>
      <c r="H92" s="118">
        <f>IF(Cotización!$D$33="Excluida",0,ROUND(F92/(1-Cotización!$O$47-Cotización!O$48-Cotización!$O$49),0))</f>
        <v>0</v>
      </c>
      <c r="I92" s="118">
        <f>IF(Cotización!$D$33="Excluida",0,ROUND(G92/(1-Cotización!$O$47-Cotización!$O$48-Cotización!$O$49),0))</f>
        <v>0</v>
      </c>
      <c r="J92" s="118" t="e">
        <f>'Cotizador Extranjero'!P91*(VLOOKUP(A92,'Cotizador Cobertura Ext 2'!$B$7:$C$107,2,FALSE)-1)</f>
        <v>#NUM!</v>
      </c>
      <c r="K92" s="118" t="e">
        <f>'Cotizador Extranjero'!P91*(VLOOKUP(A92,'Cotizador Cobertura Ext 2'!$B$7:$C$107,2,FALSE)-1)</f>
        <v>#NUM!</v>
      </c>
      <c r="L92" s="118">
        <f>IF(Cotización!$D$31="Excluida",0,ROUND(J92/(1-SUM(Cotización!$O$47:$O$49)),0))</f>
        <v>0</v>
      </c>
      <c r="M92" s="118">
        <f>IF(Cotización!$D$31="Excluida",0,ROUND(K92/(1-SUM(Cotización!$O$47:$O$49)),0))</f>
        <v>0</v>
      </c>
      <c r="N92" s="124">
        <v>266.15122795000002</v>
      </c>
      <c r="O92" s="124">
        <v>266.15122795000002</v>
      </c>
      <c r="Q92" s="215">
        <f t="shared" si="3"/>
        <v>10062.789423830329</v>
      </c>
      <c r="R92" s="215">
        <f t="shared" si="2"/>
        <v>10062.789423830329</v>
      </c>
    </row>
    <row r="93" spans="1:18">
      <c r="A93" s="56">
        <v>89</v>
      </c>
      <c r="B93" s="115">
        <f>'Cotizador Basica'!P92</f>
        <v>4690.6835453439644</v>
      </c>
      <c r="C93" s="115">
        <f>'Cotizador Basica'!P92</f>
        <v>4690.6835453439644</v>
      </c>
      <c r="D93" s="116">
        <f>'Cotizador Basica'!P92/(1-Cotización!$O$47-Cotización!$O$48-Cotización!$O$49)</f>
        <v>10423.741211875478</v>
      </c>
      <c r="E93" s="116">
        <f>'Cotizador Basica'!P92/(1-Cotización!$O$47-Cotización!$O$48-Cotización!$O$49)</f>
        <v>10423.741211875478</v>
      </c>
      <c r="F93" s="118" t="e">
        <f>'Cotizador EMER'!P92*IFERROR(VLOOKUP(A93,'Cotizador Cobertura EMER'!$B$7:$C$107,2,FALSE)-1,0)</f>
        <v>#NUM!</v>
      </c>
      <c r="G93" s="118" t="e">
        <f>'Cotizador EMER'!P92*IFERROR(VLOOKUP(A93,'Cotizador Cobertura EMER'!$B$7:$C$107,2,FALSE)-1,0)</f>
        <v>#NUM!</v>
      </c>
      <c r="H93" s="118">
        <f>IF(Cotización!$D$33="Excluida",0,ROUND(F93/(1-Cotización!$O$47-Cotización!O$48-Cotización!$O$49),0))</f>
        <v>0</v>
      </c>
      <c r="I93" s="118">
        <f>IF(Cotización!$D$33="Excluida",0,ROUND(G93/(1-Cotización!$O$47-Cotización!$O$48-Cotización!$O$49),0))</f>
        <v>0</v>
      </c>
      <c r="J93" s="118" t="e">
        <f>'Cotizador Extranjero'!P92*(VLOOKUP(A93,'Cotizador Cobertura Ext 2'!$B$7:$C$107,2,FALSE)-1)</f>
        <v>#NUM!</v>
      </c>
      <c r="K93" s="118" t="e">
        <f>'Cotizador Extranjero'!P92*(VLOOKUP(A93,'Cotizador Cobertura Ext 2'!$B$7:$C$107,2,FALSE)-1)</f>
        <v>#NUM!</v>
      </c>
      <c r="L93" s="118">
        <f>IF(Cotización!$D$31="Excluida",0,ROUND(J93/(1-SUM(Cotización!$O$47:$O$49)),0))</f>
        <v>0</v>
      </c>
      <c r="M93" s="118">
        <f>IF(Cotización!$D$31="Excluida",0,ROUND(K93/(1-SUM(Cotización!$O$47:$O$49)),0))</f>
        <v>0</v>
      </c>
      <c r="N93" s="124">
        <v>266.15122795000002</v>
      </c>
      <c r="O93" s="124">
        <v>266.15122795000002</v>
      </c>
      <c r="Q93" s="215">
        <f t="shared" si="3"/>
        <v>10423.741211875478</v>
      </c>
      <c r="R93" s="215">
        <f t="shared" si="2"/>
        <v>10423.741211875478</v>
      </c>
    </row>
    <row r="94" spans="1:18">
      <c r="A94" s="56">
        <v>90</v>
      </c>
      <c r="B94" s="115">
        <f>'Cotizador Basica'!P93</f>
        <v>4858.938145687318</v>
      </c>
      <c r="C94" s="115">
        <f>'Cotizador Basica'!P93</f>
        <v>4858.938145687318</v>
      </c>
      <c r="D94" s="116">
        <f>'Cotizador Basica'!P93/(1-Cotización!$O$47-Cotización!$O$48-Cotización!$O$49)</f>
        <v>10797.640323749596</v>
      </c>
      <c r="E94" s="116">
        <f>'Cotizador Basica'!P93/(1-Cotización!$O$47-Cotización!$O$48-Cotización!$O$49)</f>
        <v>10797.640323749596</v>
      </c>
      <c r="F94" s="118" t="e">
        <f>'Cotizador EMER'!P93*IFERROR(VLOOKUP(A94,'Cotizador Cobertura EMER'!$B$7:$C$107,2,FALSE)-1,0)</f>
        <v>#NUM!</v>
      </c>
      <c r="G94" s="118" t="e">
        <f>'Cotizador EMER'!P93*IFERROR(VLOOKUP(A94,'Cotizador Cobertura EMER'!$B$7:$C$107,2,FALSE)-1,0)</f>
        <v>#NUM!</v>
      </c>
      <c r="H94" s="118">
        <f>IF(Cotización!$D$33="Excluida",0,ROUND(F94/(1-Cotización!$O$47-Cotización!O$48-Cotización!$O$49),0))</f>
        <v>0</v>
      </c>
      <c r="I94" s="118">
        <f>IF(Cotización!$D$33="Excluida",0,ROUND(G94/(1-Cotización!$O$47-Cotización!$O$48-Cotización!$O$49),0))</f>
        <v>0</v>
      </c>
      <c r="J94" s="118" t="e">
        <f>'Cotizador Extranjero'!P93*(VLOOKUP(A94,'Cotizador Cobertura Ext 2'!$B$7:$C$107,2,FALSE)-1)</f>
        <v>#NUM!</v>
      </c>
      <c r="K94" s="118" t="e">
        <f>'Cotizador Extranjero'!P93*(VLOOKUP(A94,'Cotizador Cobertura Ext 2'!$B$7:$C$107,2,FALSE)-1)</f>
        <v>#NUM!</v>
      </c>
      <c r="L94" s="118">
        <f>IF(Cotización!$D$31="Excluida",0,ROUND(J94/(1-SUM(Cotización!$O$47:$O$49)),0))</f>
        <v>0</v>
      </c>
      <c r="M94" s="118">
        <f>IF(Cotización!$D$31="Excluida",0,ROUND(K94/(1-SUM(Cotización!$O$47:$O$49)),0))</f>
        <v>0</v>
      </c>
      <c r="N94" s="124">
        <v>266.15122795000002</v>
      </c>
      <c r="O94" s="124">
        <v>266.15122795000002</v>
      </c>
      <c r="Q94" s="215">
        <f t="shared" si="3"/>
        <v>10797.640323749596</v>
      </c>
      <c r="R94" s="215">
        <f t="shared" si="2"/>
        <v>10797.640323749596</v>
      </c>
    </row>
    <row r="95" spans="1:18">
      <c r="A95" s="56">
        <v>91</v>
      </c>
      <c r="B95" s="115">
        <f>'Cotizador Basica'!P94</f>
        <v>5033.2280307099791</v>
      </c>
      <c r="C95" s="115">
        <f>'Cotizador Basica'!P94</f>
        <v>5033.2280307099791</v>
      </c>
      <c r="D95" s="116">
        <f>'Cotizador Basica'!P94/(1-Cotización!$O$47-Cotización!$O$48-Cotización!$O$49)</f>
        <v>11184.95117935551</v>
      </c>
      <c r="E95" s="116">
        <f>'Cotizador Basica'!P94/(1-Cotización!$O$47-Cotización!$O$48-Cotización!$O$49)</f>
        <v>11184.95117935551</v>
      </c>
      <c r="F95" s="118" t="e">
        <f>'Cotizador EMER'!P94*IFERROR(VLOOKUP(A95,'Cotizador Cobertura EMER'!$B$7:$C$107,2,FALSE)-1,0)</f>
        <v>#NUM!</v>
      </c>
      <c r="G95" s="118" t="e">
        <f>'Cotizador EMER'!P94*IFERROR(VLOOKUP(A95,'Cotizador Cobertura EMER'!$B$7:$C$107,2,FALSE)-1,0)</f>
        <v>#NUM!</v>
      </c>
      <c r="H95" s="118">
        <f>IF(Cotización!$D$33="Excluida",0,ROUND(F95/(1-Cotización!$O$47-Cotización!O$48-Cotización!$O$49),0))</f>
        <v>0</v>
      </c>
      <c r="I95" s="118">
        <f>IF(Cotización!$D$33="Excluida",0,ROUND(G95/(1-Cotización!$O$47-Cotización!$O$48-Cotización!$O$49),0))</f>
        <v>0</v>
      </c>
      <c r="J95" s="118" t="e">
        <f>'Cotizador Extranjero'!P94*(VLOOKUP(A95,'Cotizador Cobertura Ext 2'!$B$7:$C$107,2,FALSE)-1)</f>
        <v>#NUM!</v>
      </c>
      <c r="K95" s="118" t="e">
        <f>'Cotizador Extranjero'!P94*(VLOOKUP(A95,'Cotizador Cobertura Ext 2'!$B$7:$C$107,2,FALSE)-1)</f>
        <v>#NUM!</v>
      </c>
      <c r="L95" s="118">
        <f>IF(Cotización!$D$31="Excluida",0,ROUND(J95/(1-SUM(Cotización!$O$47:$O$49)),0))</f>
        <v>0</v>
      </c>
      <c r="M95" s="118">
        <f>IF(Cotización!$D$31="Excluida",0,ROUND(K95/(1-SUM(Cotización!$O$47:$O$49)),0))</f>
        <v>0</v>
      </c>
      <c r="N95" s="124">
        <v>266.15122795000002</v>
      </c>
      <c r="O95" s="124">
        <v>266.15122795000002</v>
      </c>
      <c r="Q95" s="215">
        <f t="shared" si="3"/>
        <v>11184.95117935551</v>
      </c>
      <c r="R95" s="215">
        <f t="shared" si="2"/>
        <v>11184.95117935551</v>
      </c>
    </row>
    <row r="96" spans="1:18">
      <c r="A96" s="56">
        <v>92</v>
      </c>
      <c r="B96" s="115">
        <f>'Cotizador Basica'!P95</f>
        <v>5213.7696857923556</v>
      </c>
      <c r="C96" s="115">
        <f>'Cotizador Basica'!P95</f>
        <v>5213.7696857923556</v>
      </c>
      <c r="D96" s="116">
        <f>'Cotizador Basica'!P95/(1-Cotización!$O$47-Cotización!$O$48-Cotización!$O$49)</f>
        <v>11586.154857316347</v>
      </c>
      <c r="E96" s="116">
        <f>'Cotizador Basica'!P95/(1-Cotización!$O$47-Cotización!$O$48-Cotización!$O$49)</f>
        <v>11586.154857316347</v>
      </c>
      <c r="F96" s="118" t="e">
        <f>'Cotizador EMER'!P95*IFERROR(VLOOKUP(A96,'Cotizador Cobertura EMER'!$B$7:$C$107,2,FALSE)-1,0)</f>
        <v>#NUM!</v>
      </c>
      <c r="G96" s="118" t="e">
        <f>'Cotizador EMER'!P95*IFERROR(VLOOKUP(A96,'Cotizador Cobertura EMER'!$B$7:$C$107,2,FALSE)-1,0)</f>
        <v>#NUM!</v>
      </c>
      <c r="H96" s="118">
        <f>IF(Cotización!$D$33="Excluida",0,ROUND(F96/(1-Cotización!$O$47-Cotización!O$48-Cotización!$O$49),0))</f>
        <v>0</v>
      </c>
      <c r="I96" s="118">
        <f>IF(Cotización!$D$33="Excluida",0,ROUND(G96/(1-Cotización!$O$47-Cotización!$O$48-Cotización!$O$49),0))</f>
        <v>0</v>
      </c>
      <c r="J96" s="118" t="e">
        <f>'Cotizador Extranjero'!P95*(VLOOKUP(A96,'Cotizador Cobertura Ext 2'!$B$7:$C$107,2,FALSE)-1)</f>
        <v>#NUM!</v>
      </c>
      <c r="K96" s="118" t="e">
        <f>'Cotizador Extranjero'!P95*(VLOOKUP(A96,'Cotizador Cobertura Ext 2'!$B$7:$C$107,2,FALSE)-1)</f>
        <v>#NUM!</v>
      </c>
      <c r="L96" s="118">
        <f>IF(Cotización!$D$31="Excluida",0,ROUND(J96/(1-SUM(Cotización!$O$47:$O$49)),0))</f>
        <v>0</v>
      </c>
      <c r="M96" s="118">
        <f>IF(Cotización!$D$31="Excluida",0,ROUND(K96/(1-SUM(Cotización!$O$47:$O$49)),0))</f>
        <v>0</v>
      </c>
      <c r="N96" s="124">
        <v>266.15122795000002</v>
      </c>
      <c r="O96" s="124">
        <v>266.15122795000002</v>
      </c>
      <c r="Q96" s="215">
        <f t="shared" si="3"/>
        <v>11586.154857316347</v>
      </c>
      <c r="R96" s="215">
        <f t="shared" si="2"/>
        <v>11586.154857316347</v>
      </c>
    </row>
    <row r="97" spans="1:18">
      <c r="A97" s="56">
        <v>93</v>
      </c>
      <c r="B97" s="115">
        <f>'Cotizador Basica'!P96</f>
        <v>5400.7873616353654</v>
      </c>
      <c r="C97" s="115">
        <f>'Cotizador Basica'!P96</f>
        <v>5400.7873616353654</v>
      </c>
      <c r="D97" s="116">
        <f>'Cotizador Basica'!P96/(1-Cotización!$O$47-Cotización!$O$48-Cotización!$O$49)</f>
        <v>12001.749692523035</v>
      </c>
      <c r="E97" s="116">
        <f>'Cotizador Basica'!P96/(1-Cotización!$O$47-Cotización!$O$48-Cotización!$O$49)</f>
        <v>12001.749692523035</v>
      </c>
      <c r="F97" s="118" t="e">
        <f>'Cotizador EMER'!P96*IFERROR(VLOOKUP(A97,'Cotizador Cobertura EMER'!$B$7:$C$107,2,FALSE)-1,0)</f>
        <v>#NUM!</v>
      </c>
      <c r="G97" s="118" t="e">
        <f>'Cotizador EMER'!P96*IFERROR(VLOOKUP(A97,'Cotizador Cobertura EMER'!$B$7:$C$107,2,FALSE)-1,0)</f>
        <v>#NUM!</v>
      </c>
      <c r="H97" s="118">
        <f>IF(Cotización!$D$33="Excluida",0,ROUND(F97/(1-Cotización!$O$47-Cotización!O$48-Cotización!$O$49),0))</f>
        <v>0</v>
      </c>
      <c r="I97" s="118">
        <f>IF(Cotización!$D$33="Excluida",0,ROUND(G97/(1-Cotización!$O$47-Cotización!$O$48-Cotización!$O$49),0))</f>
        <v>0</v>
      </c>
      <c r="J97" s="118" t="e">
        <f>'Cotizador Extranjero'!P96*(VLOOKUP(A97,'Cotizador Cobertura Ext 2'!$B$7:$C$107,2,FALSE)-1)</f>
        <v>#NUM!</v>
      </c>
      <c r="K97" s="118" t="e">
        <f>'Cotizador Extranjero'!P96*(VLOOKUP(A97,'Cotizador Cobertura Ext 2'!$B$7:$C$107,2,FALSE)-1)</f>
        <v>#NUM!</v>
      </c>
      <c r="L97" s="118">
        <f>IF(Cotización!$D$31="Excluida",0,ROUND(J97/(1-SUM(Cotización!$O$47:$O$49)),0))</f>
        <v>0</v>
      </c>
      <c r="M97" s="118">
        <f>IF(Cotización!$D$31="Excluida",0,ROUND(K97/(1-SUM(Cotización!$O$47:$O$49)),0))</f>
        <v>0</v>
      </c>
      <c r="N97" s="124">
        <v>266.15122795000002</v>
      </c>
      <c r="O97" s="124">
        <v>266.15122795000002</v>
      </c>
      <c r="Q97" s="215">
        <f t="shared" si="3"/>
        <v>12001.749692523035</v>
      </c>
      <c r="R97" s="215">
        <f t="shared" si="2"/>
        <v>12001.749692523035</v>
      </c>
    </row>
    <row r="98" spans="1:18">
      <c r="A98" s="56">
        <v>94</v>
      </c>
      <c r="B98" s="115">
        <f>'Cotizador Basica'!P97</f>
        <v>5594.5133528021297</v>
      </c>
      <c r="C98" s="115">
        <f>'Cotizador Basica'!P97</f>
        <v>5594.5133528021297</v>
      </c>
      <c r="D98" s="116">
        <f>'Cotizador Basica'!P97/(1-Cotización!$O$47-Cotización!$O$48-Cotización!$O$49)</f>
        <v>12432.251895115845</v>
      </c>
      <c r="E98" s="116">
        <f>'Cotizador Basica'!P97/(1-Cotización!$O$47-Cotización!$O$48-Cotización!$O$49)</f>
        <v>12432.251895115845</v>
      </c>
      <c r="F98" s="118" t="e">
        <f>'Cotizador EMER'!P97*IFERROR(VLOOKUP(A98,'Cotizador Cobertura EMER'!$B$7:$C$107,2,FALSE)-1,0)</f>
        <v>#NUM!</v>
      </c>
      <c r="G98" s="118" t="e">
        <f>'Cotizador EMER'!P97*IFERROR(VLOOKUP(A98,'Cotizador Cobertura EMER'!$B$7:$C$107,2,FALSE)-1,0)</f>
        <v>#NUM!</v>
      </c>
      <c r="H98" s="118">
        <f>IF(Cotización!$D$33="Excluida",0,ROUND(F98/(1-Cotización!$O$47-Cotización!O$48-Cotización!$O$49),0))</f>
        <v>0</v>
      </c>
      <c r="I98" s="118">
        <f>IF(Cotización!$D$33="Excluida",0,ROUND(G98/(1-Cotización!$O$47-Cotización!$O$48-Cotización!$O$49),0))</f>
        <v>0</v>
      </c>
      <c r="J98" s="118" t="e">
        <f>'Cotizador Extranjero'!P97*(VLOOKUP(A98,'Cotizador Cobertura Ext 2'!$B$7:$C$107,2,FALSE)-1)</f>
        <v>#NUM!</v>
      </c>
      <c r="K98" s="118" t="e">
        <f>'Cotizador Extranjero'!P97*(VLOOKUP(A98,'Cotizador Cobertura Ext 2'!$B$7:$C$107,2,FALSE)-1)</f>
        <v>#NUM!</v>
      </c>
      <c r="L98" s="118">
        <f>IF(Cotización!$D$31="Excluida",0,ROUND(J98/(1-SUM(Cotización!$O$47:$O$49)),0))</f>
        <v>0</v>
      </c>
      <c r="M98" s="118">
        <f>IF(Cotización!$D$31="Excluida",0,ROUND(K98/(1-SUM(Cotización!$O$47:$O$49)),0))</f>
        <v>0</v>
      </c>
      <c r="N98" s="124">
        <v>266.15122795000002</v>
      </c>
      <c r="O98" s="124">
        <v>266.15122795000002</v>
      </c>
      <c r="Q98" s="215">
        <f t="shared" si="3"/>
        <v>12432.251895115845</v>
      </c>
      <c r="R98" s="215">
        <f t="shared" si="2"/>
        <v>12432.251895115845</v>
      </c>
    </row>
    <row r="99" spans="1:18">
      <c r="A99" s="56">
        <v>95</v>
      </c>
      <c r="B99" s="115">
        <f>'Cotizador Basica'!P98</f>
        <v>5795.1882862509265</v>
      </c>
      <c r="C99" s="115">
        <f>'Cotizador Basica'!P98</f>
        <v>5795.1882862509265</v>
      </c>
      <c r="D99" s="116">
        <f>'Cotizador Basica'!P98/(1-Cotización!$O$47-Cotización!$O$48-Cotización!$O$49)</f>
        <v>12878.196191668727</v>
      </c>
      <c r="E99" s="116">
        <f>'Cotizador Basica'!P98/(1-Cotización!$O$47-Cotización!$O$48-Cotización!$O$49)</f>
        <v>12878.196191668727</v>
      </c>
      <c r="F99" s="118" t="e">
        <f>'Cotizador EMER'!P98*IFERROR(VLOOKUP(A99,'Cotizador Cobertura EMER'!$B$7:$C$107,2,FALSE)-1,0)</f>
        <v>#NUM!</v>
      </c>
      <c r="G99" s="118" t="e">
        <f>'Cotizador EMER'!P98*IFERROR(VLOOKUP(A99,'Cotizador Cobertura EMER'!$B$7:$C$107,2,FALSE)-1,0)</f>
        <v>#NUM!</v>
      </c>
      <c r="H99" s="118">
        <f>IF(Cotización!$D$33="Excluida",0,ROUND(F99/(1-Cotización!$O$47-Cotización!O$48-Cotización!$O$49),0))</f>
        <v>0</v>
      </c>
      <c r="I99" s="118">
        <f>IF(Cotización!$D$33="Excluida",0,ROUND(G99/(1-Cotización!$O$47-Cotización!$O$48-Cotización!$O$49),0))</f>
        <v>0</v>
      </c>
      <c r="J99" s="118" t="e">
        <f>'Cotizador Extranjero'!P98*(VLOOKUP(A99,'Cotizador Cobertura Ext 2'!$B$7:$C$107,2,FALSE)-1)</f>
        <v>#NUM!</v>
      </c>
      <c r="K99" s="118" t="e">
        <f>'Cotizador Extranjero'!P98*(VLOOKUP(A99,'Cotizador Cobertura Ext 2'!$B$7:$C$107,2,FALSE)-1)</f>
        <v>#NUM!</v>
      </c>
      <c r="L99" s="118">
        <f>IF(Cotización!$D$31="Excluida",0,ROUND(J99/(1-SUM(Cotización!$O$47:$O$49)),0))</f>
        <v>0</v>
      </c>
      <c r="M99" s="118">
        <f>IF(Cotización!$D$31="Excluida",0,ROUND(K99/(1-SUM(Cotización!$O$47:$O$49)),0))</f>
        <v>0</v>
      </c>
      <c r="N99" s="124">
        <v>266.15122795000002</v>
      </c>
      <c r="O99" s="124">
        <v>266.15122795000002</v>
      </c>
      <c r="Q99" s="215">
        <f t="shared" si="3"/>
        <v>12878.196191668727</v>
      </c>
      <c r="R99" s="215">
        <f t="shared" si="2"/>
        <v>12878.196191668727</v>
      </c>
    </row>
    <row r="100" spans="1:18">
      <c r="A100" s="56">
        <v>96</v>
      </c>
      <c r="B100" s="115">
        <f>'Cotizador Basica'!P99</f>
        <v>6003.0614202178294</v>
      </c>
      <c r="C100" s="115">
        <f>'Cotizador Basica'!P99</f>
        <v>6003.0614202178294</v>
      </c>
      <c r="D100" s="116">
        <f>'Cotizador Basica'!P99/(1-Cotización!$O$47-Cotización!$O$48-Cotización!$O$49)</f>
        <v>13340.136489372955</v>
      </c>
      <c r="E100" s="116">
        <f>'Cotizador Basica'!P99/(1-Cotización!$O$47-Cotización!$O$48-Cotización!$O$49)</f>
        <v>13340.136489372955</v>
      </c>
      <c r="F100" s="118" t="e">
        <f>'Cotizador EMER'!P99*IFERROR(VLOOKUP(A100,'Cotizador Cobertura EMER'!$B$7:$C$107,2,FALSE)-1,0)</f>
        <v>#NUM!</v>
      </c>
      <c r="G100" s="118" t="e">
        <f>'Cotizador EMER'!P99*IFERROR(VLOOKUP(A100,'Cotizador Cobertura EMER'!$B$7:$C$107,2,FALSE)-1,0)</f>
        <v>#NUM!</v>
      </c>
      <c r="H100" s="118">
        <f>IF(Cotización!$D$33="Excluida",0,ROUND(F100/(1-Cotización!$O$47-Cotización!O$48-Cotización!$O$49),0))</f>
        <v>0</v>
      </c>
      <c r="I100" s="118">
        <f>IF(Cotización!$D$33="Excluida",0,ROUND(G100/(1-Cotización!$O$47-Cotización!$O$48-Cotización!$O$49),0))</f>
        <v>0</v>
      </c>
      <c r="J100" s="118" t="e">
        <f>'Cotizador Extranjero'!P99*(VLOOKUP(A100,'Cotizador Cobertura Ext 2'!$B$7:$C$107,2,FALSE)-1)</f>
        <v>#NUM!</v>
      </c>
      <c r="K100" s="118" t="e">
        <f>'Cotizador Extranjero'!P99*(VLOOKUP(A100,'Cotizador Cobertura Ext 2'!$B$7:$C$107,2,FALSE)-1)</f>
        <v>#NUM!</v>
      </c>
      <c r="L100" s="118">
        <f>IF(Cotización!$D$31="Excluida",0,ROUND(J100/(1-SUM(Cotización!$O$47:$O$49)),0))</f>
        <v>0</v>
      </c>
      <c r="M100" s="118">
        <f>IF(Cotización!$D$31="Excluida",0,ROUND(K100/(1-SUM(Cotización!$O$47:$O$49)),0))</f>
        <v>0</v>
      </c>
      <c r="N100" s="124">
        <v>266.15122795000002</v>
      </c>
      <c r="O100" s="124">
        <v>266.15122795000002</v>
      </c>
      <c r="Q100" s="215">
        <f t="shared" si="3"/>
        <v>13340.136489372955</v>
      </c>
      <c r="R100" s="215">
        <f t="shared" si="2"/>
        <v>13340.136489372955</v>
      </c>
    </row>
    <row r="101" spans="1:18">
      <c r="A101" s="56">
        <v>97</v>
      </c>
      <c r="B101" s="115">
        <f>'Cotizador Basica'!P100</f>
        <v>6218.390953820227</v>
      </c>
      <c r="C101" s="115">
        <f>'Cotizador Basica'!P100</f>
        <v>6218.390953820227</v>
      </c>
      <c r="D101" s="116">
        <f>'Cotizador Basica'!P100/(1-Cotización!$O$47-Cotización!$O$48-Cotización!$O$49)</f>
        <v>13818.64656404495</v>
      </c>
      <c r="E101" s="116">
        <f>'Cotizador Basica'!P100/(1-Cotización!$O$47-Cotización!$O$48-Cotización!$O$49)</f>
        <v>13818.64656404495</v>
      </c>
      <c r="F101" s="118" t="e">
        <f>'Cotizador EMER'!P100*IFERROR(VLOOKUP(A101,'Cotizador Cobertura EMER'!$B$7:$C$107,2,FALSE)-1,0)</f>
        <v>#NUM!</v>
      </c>
      <c r="G101" s="118" t="e">
        <f>'Cotizador EMER'!P100*IFERROR(VLOOKUP(A101,'Cotizador Cobertura EMER'!$B$7:$C$107,2,FALSE)-1,0)</f>
        <v>#NUM!</v>
      </c>
      <c r="H101" s="118">
        <f>IF(Cotización!$D$33="Excluida",0,ROUND(F101/(1-Cotización!$O$47-Cotización!O$48-Cotización!$O$49),0))</f>
        <v>0</v>
      </c>
      <c r="I101" s="118">
        <f>IF(Cotización!$D$33="Excluida",0,ROUND(G101/(1-Cotización!$O$47-Cotización!$O$48-Cotización!$O$49),0))</f>
        <v>0</v>
      </c>
      <c r="J101" s="118" t="e">
        <f>'Cotizador Extranjero'!P100*(VLOOKUP(A101,'Cotizador Cobertura Ext 2'!$B$7:$C$107,2,FALSE)-1)</f>
        <v>#NUM!</v>
      </c>
      <c r="K101" s="118" t="e">
        <f>'Cotizador Extranjero'!P100*(VLOOKUP(A101,'Cotizador Cobertura Ext 2'!$B$7:$C$107,2,FALSE)-1)</f>
        <v>#NUM!</v>
      </c>
      <c r="L101" s="118">
        <f>IF(Cotización!$D$31="Excluida",0,ROUND(J101/(1-SUM(Cotización!$O$47:$O$49)),0))</f>
        <v>0</v>
      </c>
      <c r="M101" s="118">
        <f>IF(Cotización!$D$31="Excluida",0,ROUND(K101/(1-SUM(Cotización!$O$47:$O$49)),0))</f>
        <v>0</v>
      </c>
      <c r="N101" s="124">
        <v>266.15122795000002</v>
      </c>
      <c r="O101" s="124">
        <v>266.15122795000002</v>
      </c>
      <c r="Q101" s="215">
        <f t="shared" si="3"/>
        <v>13818.64656404495</v>
      </c>
      <c r="R101" s="215">
        <f t="shared" si="2"/>
        <v>13818.64656404495</v>
      </c>
    </row>
    <row r="102" spans="1:18">
      <c r="A102" s="56">
        <v>98</v>
      </c>
      <c r="B102" s="115">
        <f>'Cotizador Basica'!P101</f>
        <v>6441.4443477658224</v>
      </c>
      <c r="C102" s="115">
        <f>'Cotizador Basica'!P101</f>
        <v>6441.4443477658224</v>
      </c>
      <c r="D102" s="116">
        <f>'Cotizador Basica'!P101/(1-Cotización!$O$47-Cotización!$O$48-Cotización!$O$49)</f>
        <v>14314.32077281294</v>
      </c>
      <c r="E102" s="116">
        <f>'Cotizador Basica'!P101/(1-Cotización!$O$47-Cotización!$O$48-Cotización!$O$49)</f>
        <v>14314.32077281294</v>
      </c>
      <c r="F102" s="118" t="e">
        <f>'Cotizador EMER'!P101*IFERROR(VLOOKUP(A102,'Cotizador Cobertura EMER'!$B$7:$C$107,2,FALSE)-1,0)</f>
        <v>#NUM!</v>
      </c>
      <c r="G102" s="118" t="e">
        <f>'Cotizador EMER'!P101*IFERROR(VLOOKUP(A102,'Cotizador Cobertura EMER'!$B$7:$C$107,2,FALSE)-1,0)</f>
        <v>#NUM!</v>
      </c>
      <c r="H102" s="118">
        <f>IF(Cotización!$D$33="Excluida",0,ROUND(F102/(1-Cotización!$O$47-Cotización!O$48-Cotización!$O$49),0))</f>
        <v>0</v>
      </c>
      <c r="I102" s="118">
        <f>IF(Cotización!$D$33="Excluida",0,ROUND(G102/(1-Cotización!$O$47-Cotización!$O$48-Cotización!$O$49),0))</f>
        <v>0</v>
      </c>
      <c r="J102" s="118" t="e">
        <f>'Cotizador Extranjero'!P101*(VLOOKUP(A102,'Cotizador Cobertura Ext 2'!$B$7:$C$107,2,FALSE)-1)</f>
        <v>#NUM!</v>
      </c>
      <c r="K102" s="118" t="e">
        <f>'Cotizador Extranjero'!P101*(VLOOKUP(A102,'Cotizador Cobertura Ext 2'!$B$7:$C$107,2,FALSE)-1)</f>
        <v>#NUM!</v>
      </c>
      <c r="L102" s="118">
        <f>IF(Cotización!$D$31="Excluida",0,ROUND(J102/(1-SUM(Cotización!$O$47:$O$49)),0))</f>
        <v>0</v>
      </c>
      <c r="M102" s="118">
        <f>IF(Cotización!$D$31="Excluida",0,ROUND(K102/(1-SUM(Cotización!$O$47:$O$49)),0))</f>
        <v>0</v>
      </c>
      <c r="N102" s="124">
        <v>266.15122795000002</v>
      </c>
      <c r="O102" s="124">
        <v>266.15122795000002</v>
      </c>
      <c r="Q102" s="215">
        <f t="shared" si="3"/>
        <v>14314.32077281294</v>
      </c>
      <c r="R102" s="215">
        <f t="shared" si="2"/>
        <v>14314.32077281294</v>
      </c>
    </row>
    <row r="103" spans="1:18" ht="15.75" thickBot="1">
      <c r="A103" s="57">
        <v>99</v>
      </c>
      <c r="B103" s="125">
        <f>'Cotizador Basica'!P102</f>
        <v>6672.4986565654626</v>
      </c>
      <c r="C103" s="125">
        <f>'Cotizador Basica'!P102</f>
        <v>6672.4986565654626</v>
      </c>
      <c r="D103" s="116">
        <f>'Cotizador Basica'!P102/(1-Cotización!$O$47-Cotización!$O$48-Cotización!$O$49)</f>
        <v>14827.774792367696</v>
      </c>
      <c r="E103" s="126">
        <f>'Cotizador Basica'!P102/(1-Cotización!$O$47-Cotización!$O$48-Cotización!$O$49)</f>
        <v>14827.774792367696</v>
      </c>
      <c r="F103" s="118" t="e">
        <f>'Cotizador EMER'!P102*IFERROR(VLOOKUP(A103,'Cotizador Cobertura EMER'!$B$7:$C$107,2,FALSE)-1,0)</f>
        <v>#NUM!</v>
      </c>
      <c r="G103" s="118" t="e">
        <f>'Cotizador EMER'!P102*IFERROR(VLOOKUP(A103,'Cotizador Cobertura EMER'!$B$7:$C$107,2,FALSE)-1,0)</f>
        <v>#NUM!</v>
      </c>
      <c r="H103" s="118">
        <f>IF(Cotización!$D$33="Excluida",0,ROUND(F103/(1-Cotización!$O$47-Cotización!O$48-Cotización!$O$49),0))</f>
        <v>0</v>
      </c>
      <c r="I103" s="118">
        <f>IF(Cotización!$D$33="Excluida",0,ROUND(G103/(1-Cotización!$O$47-Cotización!$O$48-Cotización!$O$49),0))</f>
        <v>0</v>
      </c>
      <c r="J103" s="118" t="e">
        <f>'Cotizador Extranjero'!P102*(VLOOKUP(A103,'Cotizador Cobertura Ext 2'!$B$7:$C$107,2,FALSE)-1)</f>
        <v>#NUM!</v>
      </c>
      <c r="K103" s="118" t="e">
        <f>'Cotizador Extranjero'!P102*(VLOOKUP(A103,'Cotizador Cobertura Ext 2'!$B$7:$C$107,2,FALSE)-1)</f>
        <v>#NUM!</v>
      </c>
      <c r="L103" s="118">
        <f>IF(Cotización!$D$31="Excluida",0,ROUND(J103/(1-SUM(Cotización!$O$47:$O$49)),0))</f>
        <v>0</v>
      </c>
      <c r="M103" s="118">
        <f>IF(Cotización!$D$31="Excluida",0,ROUND(K103/(1-SUM(Cotización!$O$47:$O$49)),0))</f>
        <v>0</v>
      </c>
      <c r="N103" s="124">
        <v>266.15122795000002</v>
      </c>
      <c r="O103" s="124">
        <v>266.15122795000002</v>
      </c>
      <c r="Q103" s="215">
        <f t="shared" si="3"/>
        <v>14827.774792367696</v>
      </c>
      <c r="R103" s="215">
        <f t="shared" si="2"/>
        <v>14827.774792367696</v>
      </c>
    </row>
  </sheetData>
  <mergeCells count="14">
    <mergeCell ref="A2:A3"/>
    <mergeCell ref="D2:E2"/>
    <mergeCell ref="F2:G2"/>
    <mergeCell ref="B2:C2"/>
    <mergeCell ref="B1:E1"/>
    <mergeCell ref="Q1:R1"/>
    <mergeCell ref="Q2:R2"/>
    <mergeCell ref="H2:I2"/>
    <mergeCell ref="J2:K2"/>
    <mergeCell ref="L2:M2"/>
    <mergeCell ref="N2:O2"/>
    <mergeCell ref="N1:O1"/>
    <mergeCell ref="F1:I1"/>
    <mergeCell ref="J1:M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51"/>
  <sheetViews>
    <sheetView topLeftCell="A10" workbookViewId="0">
      <selection activeCell="J10" sqref="J10"/>
    </sheetView>
  </sheetViews>
  <sheetFormatPr baseColWidth="10" defaultColWidth="11.42578125" defaultRowHeight="15"/>
  <cols>
    <col min="1" max="1" width="9.5703125" bestFit="1" customWidth="1"/>
    <col min="2" max="2" width="8.28515625" bestFit="1" customWidth="1"/>
    <col min="3" max="3" width="7.85546875" bestFit="1" customWidth="1"/>
    <col min="5" max="5" width="12.28515625" bestFit="1" customWidth="1"/>
    <col min="6" max="6" width="14" bestFit="1" customWidth="1"/>
    <col min="7" max="7" width="7.28515625" bestFit="1" customWidth="1"/>
    <col min="10" max="10" width="15.140625" bestFit="1" customWidth="1"/>
  </cols>
  <sheetData>
    <row r="1" spans="1:14">
      <c r="A1" t="s">
        <v>82</v>
      </c>
      <c r="B1" t="s">
        <v>197</v>
      </c>
      <c r="C1" t="s">
        <v>83</v>
      </c>
    </row>
    <row r="2" spans="1:14">
      <c r="A2">
        <v>1</v>
      </c>
      <c r="B2" s="67">
        <v>61228</v>
      </c>
      <c r="C2">
        <v>0.20530000000000001</v>
      </c>
      <c r="D2" s="79">
        <f t="shared" ref="D2:D9" si="0">B2/$B$2</f>
        <v>1</v>
      </c>
      <c r="E2" s="80"/>
      <c r="F2" s="58"/>
      <c r="G2" s="58"/>
      <c r="H2" s="74"/>
      <c r="J2" t="s">
        <v>82</v>
      </c>
      <c r="K2">
        <f>Cotización!$H$29</f>
        <v>0</v>
      </c>
      <c r="M2" s="67">
        <v>76583</v>
      </c>
      <c r="N2" t="s">
        <v>82</v>
      </c>
    </row>
    <row r="3" spans="1:14">
      <c r="A3">
        <v>2</v>
      </c>
      <c r="B3" s="67">
        <v>102861</v>
      </c>
      <c r="C3">
        <v>0.3448</v>
      </c>
      <c r="D3" s="79">
        <f t="shared" si="0"/>
        <v>1.6799666819102372</v>
      </c>
      <c r="E3" s="80"/>
      <c r="F3" s="58"/>
      <c r="G3" s="58"/>
      <c r="H3" s="74"/>
      <c r="J3" s="72" t="s">
        <v>84</v>
      </c>
      <c r="K3">
        <v>462.45</v>
      </c>
      <c r="M3" s="67">
        <v>88117</v>
      </c>
      <c r="N3" t="s">
        <v>85</v>
      </c>
    </row>
    <row r="4" spans="1:14">
      <c r="A4">
        <v>3</v>
      </c>
      <c r="B4" s="67">
        <v>133075</v>
      </c>
      <c r="C4">
        <v>0.4461</v>
      </c>
      <c r="D4" s="79">
        <f t="shared" si="0"/>
        <v>2.1734337231332068</v>
      </c>
      <c r="E4" s="80"/>
      <c r="F4" s="58"/>
      <c r="G4" s="58"/>
      <c r="J4" s="72" t="s">
        <v>65</v>
      </c>
      <c r="K4">
        <v>0.87</v>
      </c>
    </row>
    <row r="5" spans="1:14">
      <c r="A5">
        <v>4</v>
      </c>
      <c r="B5" s="67">
        <v>155754</v>
      </c>
      <c r="C5">
        <v>0.52210000000000001</v>
      </c>
      <c r="D5" s="79">
        <f t="shared" si="0"/>
        <v>2.543836153393872</v>
      </c>
      <c r="E5" s="80"/>
      <c r="F5" s="58"/>
      <c r="G5" s="58"/>
      <c r="J5" t="s">
        <v>86</v>
      </c>
      <c r="K5">
        <f>K4*K3</f>
        <v>402.33150000000001</v>
      </c>
    </row>
    <row r="6" spans="1:14">
      <c r="A6">
        <v>5</v>
      </c>
      <c r="B6" s="67">
        <v>173356</v>
      </c>
      <c r="C6">
        <v>0.58120000000000005</v>
      </c>
      <c r="D6" s="79">
        <f t="shared" si="0"/>
        <v>2.8313190043770824</v>
      </c>
      <c r="E6" s="80"/>
      <c r="F6" s="58"/>
      <c r="G6" s="58"/>
      <c r="J6" s="72" t="s">
        <v>87</v>
      </c>
      <c r="K6">
        <v>1.45</v>
      </c>
    </row>
    <row r="7" spans="1:14">
      <c r="A7">
        <v>6</v>
      </c>
      <c r="B7" s="67">
        <v>187488</v>
      </c>
      <c r="C7">
        <v>0.62849999999999995</v>
      </c>
      <c r="D7" s="79">
        <f t="shared" si="0"/>
        <v>3.0621284379695566</v>
      </c>
      <c r="E7" s="80"/>
      <c r="F7" s="58"/>
      <c r="G7" s="58"/>
      <c r="J7" t="s">
        <v>88</v>
      </c>
      <c r="K7">
        <f>K6*K5</f>
        <v>583.380675</v>
      </c>
    </row>
    <row r="8" spans="1:14">
      <c r="A8">
        <v>7</v>
      </c>
      <c r="B8" s="67">
        <v>199045</v>
      </c>
      <c r="C8">
        <v>0.6673</v>
      </c>
      <c r="D8" s="79">
        <f t="shared" si="0"/>
        <v>3.2508819494348993</v>
      </c>
      <c r="E8" s="80"/>
      <c r="F8" s="58"/>
      <c r="G8" s="58"/>
      <c r="J8" s="72" t="s">
        <v>89</v>
      </c>
      <c r="K8" t="e">
        <f>VLOOKUP(K2,$A$2:$D$51,3)</f>
        <v>#N/A</v>
      </c>
    </row>
    <row r="9" spans="1:14">
      <c r="A9">
        <v>8</v>
      </c>
      <c r="B9" s="67">
        <v>208666</v>
      </c>
      <c r="C9">
        <v>0.69950000000000001</v>
      </c>
      <c r="D9" s="79">
        <f t="shared" si="0"/>
        <v>3.4080159404194159</v>
      </c>
      <c r="E9" s="80"/>
      <c r="F9" s="58"/>
      <c r="G9" s="58"/>
    </row>
    <row r="10" spans="1:14">
      <c r="A10">
        <v>9</v>
      </c>
      <c r="B10" s="67">
        <v>216742</v>
      </c>
      <c r="C10">
        <v>0.72660000000000002</v>
      </c>
      <c r="D10" s="79">
        <f t="shared" ref="D10:D51" si="1">B10/$B$2</f>
        <v>3.5399163781276539</v>
      </c>
      <c r="E10" s="80"/>
      <c r="F10" s="58"/>
      <c r="G10" s="58"/>
      <c r="J10" s="72" t="s">
        <v>90</v>
      </c>
      <c r="K10" s="58" t="e">
        <f>K8*K7</f>
        <v>#N/A</v>
      </c>
    </row>
    <row r="11" spans="1:14">
      <c r="A11">
        <v>10</v>
      </c>
      <c r="B11" s="67">
        <v>223655</v>
      </c>
      <c r="C11">
        <v>0.74980000000000002</v>
      </c>
      <c r="D11" s="79">
        <f t="shared" si="1"/>
        <v>3.6528222381916771</v>
      </c>
      <c r="E11" s="80"/>
      <c r="F11" s="58"/>
      <c r="G11" s="58"/>
    </row>
    <row r="12" spans="1:14">
      <c r="A12">
        <v>11</v>
      </c>
      <c r="B12" s="67">
        <v>228649</v>
      </c>
      <c r="C12">
        <v>0.76649999999999996</v>
      </c>
      <c r="D12" s="79">
        <f t="shared" si="1"/>
        <v>3.7343862285228981</v>
      </c>
      <c r="E12" s="80"/>
      <c r="F12" s="58"/>
      <c r="G12" s="58"/>
    </row>
    <row r="13" spans="1:14">
      <c r="A13">
        <v>12</v>
      </c>
      <c r="B13" s="67">
        <v>233012</v>
      </c>
      <c r="C13">
        <v>0.78110000000000002</v>
      </c>
      <c r="D13" s="79">
        <f t="shared" si="1"/>
        <v>3.8056444763833541</v>
      </c>
      <c r="E13" s="80"/>
      <c r="F13" s="58"/>
      <c r="G13" s="58"/>
    </row>
    <row r="14" spans="1:14">
      <c r="A14">
        <v>13</v>
      </c>
      <c r="B14" s="67">
        <v>236879</v>
      </c>
      <c r="C14">
        <v>0.79410000000000003</v>
      </c>
      <c r="D14" s="79">
        <f t="shared" si="1"/>
        <v>3.8688018553602928</v>
      </c>
      <c r="E14" s="80"/>
      <c r="F14" s="58"/>
      <c r="G14" s="58"/>
    </row>
    <row r="15" spans="1:14">
      <c r="A15">
        <v>14</v>
      </c>
      <c r="B15" s="67">
        <v>240345</v>
      </c>
      <c r="C15">
        <v>0.80569999999999997</v>
      </c>
      <c r="D15" s="79">
        <f t="shared" si="1"/>
        <v>3.9254099431632588</v>
      </c>
      <c r="E15" s="80"/>
      <c r="F15" s="58"/>
      <c r="G15" s="58"/>
    </row>
    <row r="16" spans="1:14">
      <c r="A16">
        <v>15</v>
      </c>
      <c r="B16" s="67">
        <v>243468</v>
      </c>
      <c r="C16">
        <v>0.81620000000000004</v>
      </c>
      <c r="D16" s="79">
        <f t="shared" si="1"/>
        <v>3.9764160188149211</v>
      </c>
      <c r="E16" s="80"/>
      <c r="F16" s="58"/>
      <c r="G16" s="58"/>
    </row>
    <row r="17" spans="1:7">
      <c r="A17">
        <v>16</v>
      </c>
      <c r="B17" s="67">
        <v>246296</v>
      </c>
      <c r="C17">
        <v>0.82569999999999999</v>
      </c>
      <c r="D17" s="79">
        <f t="shared" si="1"/>
        <v>4.0226040373685246</v>
      </c>
      <c r="E17" s="80"/>
      <c r="F17" s="58"/>
      <c r="G17" s="58"/>
    </row>
    <row r="18" spans="1:7">
      <c r="A18">
        <v>17</v>
      </c>
      <c r="B18" s="67">
        <v>248860</v>
      </c>
      <c r="C18">
        <v>0.83430000000000004</v>
      </c>
      <c r="D18" s="79">
        <f t="shared" si="1"/>
        <v>4.0644803031292875</v>
      </c>
      <c r="E18" s="80"/>
      <c r="F18" s="58"/>
      <c r="G18" s="58"/>
    </row>
    <row r="19" spans="1:7">
      <c r="A19">
        <v>18</v>
      </c>
      <c r="B19" s="67">
        <v>251221</v>
      </c>
      <c r="C19">
        <v>0.84219999999999995</v>
      </c>
      <c r="D19" s="79">
        <f t="shared" si="1"/>
        <v>4.1030410923107077</v>
      </c>
      <c r="E19" s="80"/>
      <c r="F19" s="58"/>
      <c r="G19" s="58"/>
    </row>
    <row r="20" spans="1:7">
      <c r="A20">
        <v>19</v>
      </c>
      <c r="B20" s="67">
        <v>253390</v>
      </c>
      <c r="C20">
        <v>0.84950000000000003</v>
      </c>
      <c r="D20" s="79">
        <f t="shared" si="1"/>
        <v>4.1384660612791535</v>
      </c>
      <c r="E20" s="80"/>
      <c r="F20" s="58"/>
      <c r="G20" s="58"/>
    </row>
    <row r="21" spans="1:7">
      <c r="A21">
        <v>20</v>
      </c>
      <c r="B21" s="67">
        <v>255403</v>
      </c>
      <c r="C21">
        <v>0.85619999999999996</v>
      </c>
      <c r="D21" s="79">
        <f t="shared" si="1"/>
        <v>4.171343176324557</v>
      </c>
      <c r="E21" s="80"/>
      <c r="F21" s="58"/>
      <c r="G21" s="58"/>
    </row>
    <row r="22" spans="1:7">
      <c r="A22">
        <v>21</v>
      </c>
      <c r="B22" s="67">
        <v>257255</v>
      </c>
      <c r="C22">
        <v>0.86240000000000006</v>
      </c>
      <c r="D22" s="79">
        <f t="shared" si="1"/>
        <v>4.2015907754622068</v>
      </c>
      <c r="E22" s="80"/>
      <c r="F22" s="58"/>
      <c r="G22" s="58"/>
    </row>
    <row r="23" spans="1:7">
      <c r="A23">
        <v>22</v>
      </c>
      <c r="B23" s="67">
        <v>258985</v>
      </c>
      <c r="C23">
        <v>0.86819999999999997</v>
      </c>
      <c r="D23" s="79">
        <f t="shared" si="1"/>
        <v>4.2298458221728623</v>
      </c>
      <c r="E23" s="80"/>
      <c r="F23" s="58"/>
      <c r="G23" s="58"/>
    </row>
    <row r="24" spans="1:7">
      <c r="A24">
        <v>23</v>
      </c>
      <c r="B24" s="67">
        <v>260627</v>
      </c>
      <c r="C24">
        <v>0.87370000000000003</v>
      </c>
      <c r="D24" s="79">
        <f t="shared" si="1"/>
        <v>4.2566636179525705</v>
      </c>
      <c r="E24" s="80"/>
      <c r="F24" s="58"/>
      <c r="G24" s="58"/>
    </row>
    <row r="25" spans="1:7">
      <c r="A25">
        <v>24</v>
      </c>
      <c r="B25" s="67">
        <v>262172</v>
      </c>
      <c r="C25">
        <v>0.87890000000000001</v>
      </c>
      <c r="D25" s="79">
        <f t="shared" si="1"/>
        <v>4.2818971712288496</v>
      </c>
      <c r="E25" s="80"/>
      <c r="F25" s="58"/>
      <c r="G25" s="58"/>
    </row>
    <row r="26" spans="1:7">
      <c r="A26">
        <v>25</v>
      </c>
      <c r="B26" s="67">
        <v>263622</v>
      </c>
      <c r="C26">
        <v>0.88380000000000003</v>
      </c>
      <c r="D26" s="79">
        <f t="shared" si="1"/>
        <v>4.3055791467955835</v>
      </c>
      <c r="E26" s="80"/>
      <c r="F26" s="58"/>
      <c r="G26" s="58"/>
    </row>
    <row r="27" spans="1:7">
      <c r="A27">
        <v>26</v>
      </c>
      <c r="B27" s="67">
        <v>264981</v>
      </c>
      <c r="C27">
        <v>0.88829999999999998</v>
      </c>
      <c r="D27" s="79">
        <f t="shared" si="1"/>
        <v>4.3277748742405437</v>
      </c>
      <c r="E27" s="80"/>
      <c r="F27" s="58"/>
      <c r="G27" s="58"/>
    </row>
    <row r="28" spans="1:7">
      <c r="A28">
        <v>27</v>
      </c>
      <c r="B28" s="67">
        <v>266258</v>
      </c>
      <c r="C28">
        <v>0.89259999999999995</v>
      </c>
      <c r="D28" s="79">
        <f t="shared" si="1"/>
        <v>4.3486313451362122</v>
      </c>
      <c r="E28" s="80"/>
      <c r="F28" s="58"/>
      <c r="G28" s="58"/>
    </row>
    <row r="29" spans="1:7">
      <c r="A29">
        <v>28</v>
      </c>
      <c r="B29" s="67">
        <v>267466</v>
      </c>
      <c r="C29">
        <v>0.89659999999999995</v>
      </c>
      <c r="D29" s="79">
        <f t="shared" si="1"/>
        <v>4.3683608806428431</v>
      </c>
      <c r="E29" s="80"/>
      <c r="F29" s="58"/>
      <c r="G29" s="58"/>
    </row>
    <row r="30" spans="1:7">
      <c r="A30">
        <v>29</v>
      </c>
      <c r="B30" s="67">
        <v>268598</v>
      </c>
      <c r="C30">
        <v>0.90039999999999998</v>
      </c>
      <c r="D30" s="79">
        <f t="shared" si="1"/>
        <v>4.3868491539818386</v>
      </c>
      <c r="E30" s="80"/>
      <c r="F30" s="58"/>
      <c r="G30" s="58"/>
    </row>
    <row r="31" spans="1:7">
      <c r="A31">
        <v>30</v>
      </c>
      <c r="B31" s="67">
        <v>269664</v>
      </c>
      <c r="C31">
        <v>0.90400000000000003</v>
      </c>
      <c r="D31" s="79">
        <f t="shared" si="1"/>
        <v>4.4042594891226239</v>
      </c>
      <c r="E31" s="80"/>
      <c r="F31" s="58"/>
      <c r="G31" s="58"/>
    </row>
    <row r="32" spans="1:7">
      <c r="A32">
        <v>31</v>
      </c>
      <c r="B32" s="67">
        <v>270668</v>
      </c>
      <c r="C32">
        <v>0.90739999999999998</v>
      </c>
      <c r="D32" s="79">
        <f t="shared" si="1"/>
        <v>4.4206572156529695</v>
      </c>
      <c r="E32" s="80"/>
      <c r="F32" s="58"/>
      <c r="G32" s="58"/>
    </row>
    <row r="33" spans="1:7">
      <c r="A33">
        <v>32</v>
      </c>
      <c r="B33" s="67">
        <v>271621</v>
      </c>
      <c r="C33">
        <v>0.91059999999999997</v>
      </c>
      <c r="D33" s="79">
        <f t="shared" si="1"/>
        <v>4.4362219899392432</v>
      </c>
      <c r="E33" s="80"/>
      <c r="F33" s="58"/>
      <c r="G33" s="58"/>
    </row>
    <row r="34" spans="1:7">
      <c r="A34">
        <v>33</v>
      </c>
      <c r="B34" s="67">
        <v>272527</v>
      </c>
      <c r="C34">
        <v>0.91359999999999997</v>
      </c>
      <c r="D34" s="79">
        <f t="shared" si="1"/>
        <v>4.4510191415692164</v>
      </c>
      <c r="E34" s="80"/>
      <c r="F34" s="58"/>
      <c r="G34" s="58"/>
    </row>
    <row r="35" spans="1:7">
      <c r="A35">
        <v>34</v>
      </c>
      <c r="B35" s="67">
        <v>273378</v>
      </c>
      <c r="C35">
        <v>0.91649999999999998</v>
      </c>
      <c r="D35" s="79">
        <f t="shared" si="1"/>
        <v>4.4649180113673479</v>
      </c>
      <c r="E35" s="80"/>
      <c r="F35" s="58"/>
      <c r="G35" s="58"/>
    </row>
    <row r="36" spans="1:7">
      <c r="A36">
        <v>35</v>
      </c>
      <c r="B36" s="67">
        <v>274183</v>
      </c>
      <c r="C36">
        <v>0.91920000000000002</v>
      </c>
      <c r="D36" s="79">
        <f t="shared" si="1"/>
        <v>4.4780655909061213</v>
      </c>
      <c r="E36" s="80"/>
      <c r="F36" s="58"/>
      <c r="G36" s="58"/>
    </row>
    <row r="37" spans="1:7">
      <c r="A37">
        <v>36</v>
      </c>
      <c r="B37" s="67">
        <v>274949</v>
      </c>
      <c r="C37">
        <v>0.92169999999999996</v>
      </c>
      <c r="D37" s="79">
        <f t="shared" si="1"/>
        <v>4.4905762069641337</v>
      </c>
      <c r="E37" s="80"/>
      <c r="F37" s="58"/>
      <c r="G37" s="58"/>
    </row>
    <row r="38" spans="1:7">
      <c r="A38">
        <v>37</v>
      </c>
      <c r="B38" s="67">
        <v>275682</v>
      </c>
      <c r="C38">
        <v>0.92420000000000002</v>
      </c>
      <c r="D38" s="79">
        <f t="shared" si="1"/>
        <v>4.5025478539230415</v>
      </c>
      <c r="E38" s="80"/>
      <c r="F38" s="58"/>
      <c r="G38" s="58"/>
    </row>
    <row r="39" spans="1:7">
      <c r="A39">
        <v>38</v>
      </c>
      <c r="B39" s="67">
        <v>276377</v>
      </c>
      <c r="C39">
        <v>0.92649999999999999</v>
      </c>
      <c r="D39" s="79">
        <f t="shared" si="1"/>
        <v>4.5138988697981315</v>
      </c>
      <c r="E39" s="80"/>
      <c r="F39" s="58"/>
      <c r="G39" s="58"/>
    </row>
    <row r="40" spans="1:7">
      <c r="A40">
        <v>39</v>
      </c>
      <c r="B40" s="67">
        <v>277041</v>
      </c>
      <c r="C40">
        <v>0.92869999999999997</v>
      </c>
      <c r="D40" s="79">
        <f t="shared" si="1"/>
        <v>4.5247435813680017</v>
      </c>
      <c r="E40" s="80"/>
      <c r="F40" s="58"/>
      <c r="G40" s="58"/>
    </row>
    <row r="41" spans="1:7">
      <c r="A41">
        <v>40</v>
      </c>
      <c r="B41" s="67">
        <v>277676</v>
      </c>
      <c r="C41">
        <v>0.93089999999999995</v>
      </c>
      <c r="D41" s="79">
        <f t="shared" si="1"/>
        <v>4.535114653426537</v>
      </c>
      <c r="E41" s="80"/>
      <c r="F41" s="58"/>
      <c r="G41" s="58"/>
    </row>
    <row r="42" spans="1:7">
      <c r="A42">
        <v>41</v>
      </c>
      <c r="B42" s="67">
        <v>278283</v>
      </c>
      <c r="C42">
        <v>0.93289999999999995</v>
      </c>
      <c r="D42" s="79">
        <f t="shared" si="1"/>
        <v>4.5450284183706797</v>
      </c>
      <c r="E42" s="80"/>
      <c r="F42" s="58"/>
      <c r="G42" s="58"/>
    </row>
    <row r="43" spans="1:7">
      <c r="A43">
        <v>42</v>
      </c>
      <c r="B43" s="67">
        <v>278873</v>
      </c>
      <c r="C43">
        <v>0.93489999999999995</v>
      </c>
      <c r="D43" s="79">
        <f t="shared" si="1"/>
        <v>4.5546645325667994</v>
      </c>
      <c r="E43" s="80"/>
      <c r="F43" s="58"/>
      <c r="G43" s="58"/>
    </row>
    <row r="44" spans="1:7">
      <c r="A44">
        <v>43</v>
      </c>
      <c r="B44" s="67">
        <v>279431</v>
      </c>
      <c r="C44">
        <v>0.93679999999999997</v>
      </c>
      <c r="D44" s="79">
        <f t="shared" si="1"/>
        <v>4.5637780100607568</v>
      </c>
      <c r="E44" s="80"/>
      <c r="F44" s="58"/>
      <c r="G44" s="58"/>
    </row>
    <row r="45" spans="1:7">
      <c r="A45">
        <v>44</v>
      </c>
      <c r="B45" s="67">
        <v>279970</v>
      </c>
      <c r="C45">
        <v>0.93859999999999999</v>
      </c>
      <c r="D45" s="79">
        <f t="shared" si="1"/>
        <v>4.5725811720128045</v>
      </c>
      <c r="E45" s="80"/>
      <c r="F45" s="58"/>
      <c r="G45" s="58"/>
    </row>
    <row r="46" spans="1:7">
      <c r="A46">
        <v>45</v>
      </c>
      <c r="B46" s="67">
        <v>280490</v>
      </c>
      <c r="C46">
        <v>0.94030000000000002</v>
      </c>
      <c r="D46" s="79">
        <f t="shared" si="1"/>
        <v>4.5810740184229441</v>
      </c>
      <c r="E46" s="80"/>
      <c r="F46" s="58"/>
      <c r="G46" s="58"/>
    </row>
    <row r="47" spans="1:7">
      <c r="A47">
        <v>46</v>
      </c>
      <c r="B47" s="67">
        <v>280992</v>
      </c>
      <c r="C47">
        <v>0.94199999999999995</v>
      </c>
      <c r="D47" s="79">
        <f t="shared" si="1"/>
        <v>4.5892728816881165</v>
      </c>
      <c r="E47" s="80"/>
      <c r="F47" s="58"/>
      <c r="G47" s="58"/>
    </row>
    <row r="48" spans="1:7">
      <c r="A48">
        <v>47</v>
      </c>
      <c r="B48" s="67">
        <v>281465</v>
      </c>
      <c r="C48">
        <v>0.94359999999999999</v>
      </c>
      <c r="D48" s="79">
        <f t="shared" si="1"/>
        <v>4.5969981054419549</v>
      </c>
      <c r="E48" s="80"/>
      <c r="F48" s="58"/>
      <c r="G48" s="58"/>
    </row>
    <row r="49" spans="1:7">
      <c r="A49">
        <v>48</v>
      </c>
      <c r="B49" s="67">
        <v>281923</v>
      </c>
      <c r="C49">
        <v>0.94510000000000005</v>
      </c>
      <c r="D49" s="79">
        <f t="shared" si="1"/>
        <v>4.6044783432416541</v>
      </c>
      <c r="E49" s="80"/>
      <c r="F49" s="58"/>
      <c r="G49" s="58"/>
    </row>
    <row r="50" spans="1:7">
      <c r="A50">
        <v>49</v>
      </c>
      <c r="B50" s="67">
        <v>282364</v>
      </c>
      <c r="C50">
        <v>0.9466</v>
      </c>
      <c r="D50" s="79">
        <f t="shared" si="1"/>
        <v>4.6116809302933301</v>
      </c>
      <c r="E50" s="80"/>
      <c r="F50" s="58"/>
      <c r="G50" s="58"/>
    </row>
    <row r="51" spans="1:7">
      <c r="A51">
        <v>50</v>
      </c>
      <c r="B51" s="67">
        <v>298295</v>
      </c>
      <c r="C51">
        <v>1</v>
      </c>
      <c r="D51" s="79">
        <f t="shared" si="1"/>
        <v>4.8718723459854969</v>
      </c>
      <c r="E51" s="80"/>
      <c r="F51" s="58"/>
      <c r="G51" s="58"/>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C103"/>
  <sheetViews>
    <sheetView showGridLines="0" zoomScale="70" zoomScaleNormal="70" workbookViewId="0">
      <selection activeCell="D1" sqref="D1"/>
    </sheetView>
  </sheetViews>
  <sheetFormatPr baseColWidth="10" defaultColWidth="11.42578125" defaultRowHeight="15"/>
  <cols>
    <col min="1" max="1" width="17" style="5" bestFit="1" customWidth="1"/>
    <col min="2" max="3" width="12.7109375" style="5" customWidth="1"/>
    <col min="4" max="4" width="28.8554687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20.7109375" style="5" customWidth="1"/>
    <col min="17" max="17" width="4.42578125" style="5" customWidth="1"/>
    <col min="18" max="18" width="9.85546875" style="5" customWidth="1"/>
    <col min="19" max="20" width="11.5703125" style="5" bestFit="1" customWidth="1"/>
    <col min="21" max="21" width="11.140625" style="5" bestFit="1" customWidth="1"/>
    <col min="22" max="22" width="12" style="5" bestFit="1" customWidth="1"/>
    <col min="23" max="24" width="11.42578125" style="5"/>
    <col min="25" max="25" width="10.5703125" style="5" bestFit="1" customWidth="1"/>
    <col min="26" max="26" width="9.85546875" style="5" bestFit="1" customWidth="1"/>
    <col min="27" max="16384" width="11.42578125" style="5"/>
  </cols>
  <sheetData>
    <row r="1" spans="1:29" ht="30">
      <c r="A1" s="15" t="s">
        <v>0</v>
      </c>
      <c r="B1" s="16" t="s">
        <v>1</v>
      </c>
      <c r="C1" s="16" t="s">
        <v>7</v>
      </c>
      <c r="D1" s="17" t="s">
        <v>2</v>
      </c>
      <c r="O1" s="18" t="s">
        <v>8</v>
      </c>
      <c r="P1" s="19"/>
      <c r="T1" s="20"/>
    </row>
    <row r="2" spans="1:29">
      <c r="A2" s="21" t="s">
        <v>5</v>
      </c>
      <c r="B2" s="22">
        <f>Cotización!H33</f>
        <v>0</v>
      </c>
      <c r="C2" s="23">
        <v>0</v>
      </c>
      <c r="D2" s="24"/>
      <c r="O2" s="25" t="s">
        <v>9</v>
      </c>
      <c r="P2" s="25" t="s">
        <v>6</v>
      </c>
      <c r="Q2" s="26"/>
      <c r="R2" s="26"/>
      <c r="S2" s="26"/>
      <c r="T2" s="26"/>
      <c r="U2" s="26"/>
      <c r="V2" s="26"/>
      <c r="W2" s="26"/>
      <c r="X2" s="27"/>
    </row>
    <row r="3" spans="1:29">
      <c r="A3" s="28" t="s">
        <v>3</v>
      </c>
      <c r="B3" s="29">
        <f>B2</f>
        <v>0</v>
      </c>
      <c r="C3" s="30">
        <f>C2</f>
        <v>0</v>
      </c>
      <c r="D3" s="31"/>
      <c r="O3" s="32">
        <v>0</v>
      </c>
      <c r="P3" s="33" t="e">
        <f>$X$23*EXP($X$21*O3)</f>
        <v>#NUM!</v>
      </c>
      <c r="R3" s="26"/>
      <c r="S3" t="s">
        <v>59</v>
      </c>
      <c r="T3" t="s">
        <v>60</v>
      </c>
      <c r="U3" t="s">
        <v>61</v>
      </c>
      <c r="V3" t="s">
        <v>62</v>
      </c>
      <c r="W3" t="s">
        <v>63</v>
      </c>
      <c r="X3" t="s">
        <v>64</v>
      </c>
      <c r="Y3" s="5" t="s">
        <v>1</v>
      </c>
      <c r="Z3" s="5" t="s">
        <v>68</v>
      </c>
      <c r="AA3" t="s">
        <v>65</v>
      </c>
      <c r="AB3" t="s">
        <v>66</v>
      </c>
      <c r="AC3" t="s">
        <v>67</v>
      </c>
    </row>
    <row r="4" spans="1:29">
      <c r="A4" s="21" t="s">
        <v>4</v>
      </c>
      <c r="B4" s="36">
        <f>B2</f>
        <v>0</v>
      </c>
      <c r="C4" s="37">
        <f>C2</f>
        <v>0</v>
      </c>
      <c r="D4" s="24"/>
      <c r="O4" s="32">
        <v>1</v>
      </c>
      <c r="P4" s="33" t="e">
        <f t="shared" ref="P4:P67" si="0">$X$23*EXP($X$21*O4)</f>
        <v>#NUM!</v>
      </c>
      <c r="R4" s="26"/>
      <c r="S4">
        <v>0</v>
      </c>
      <c r="T4" s="66">
        <v>66580.97</v>
      </c>
      <c r="U4" s="66">
        <v>89519.15</v>
      </c>
      <c r="V4" s="66">
        <v>78803.33</v>
      </c>
      <c r="W4" s="67">
        <v>6819211</v>
      </c>
      <c r="X4" s="68">
        <v>1.11707941196337E-5</v>
      </c>
      <c r="Y4" s="44">
        <f t="shared" ref="Y4:Z6" si="1">B2</f>
        <v>0</v>
      </c>
      <c r="Z4" s="70">
        <f t="shared" si="1"/>
        <v>0</v>
      </c>
      <c r="AA4" s="69">
        <f>V4/W4</f>
        <v>1.1556077381972783E-2</v>
      </c>
      <c r="AB4" s="58">
        <f>Y4* EXP(-X4* Y4)  * (1 -Z4)</f>
        <v>0</v>
      </c>
      <c r="AC4">
        <f>AB4*AA4</f>
        <v>0</v>
      </c>
    </row>
    <row r="5" spans="1:29">
      <c r="A5" s="38"/>
      <c r="B5" s="39"/>
      <c r="C5" s="40"/>
      <c r="D5" s="41"/>
      <c r="O5" s="32">
        <v>2</v>
      </c>
      <c r="P5" s="33" t="e">
        <f t="shared" si="0"/>
        <v>#NUM!</v>
      </c>
      <c r="R5" s="26"/>
      <c r="S5">
        <v>25</v>
      </c>
      <c r="T5" s="66">
        <v>96832.960000000006</v>
      </c>
      <c r="U5" s="66">
        <v>137013.46</v>
      </c>
      <c r="V5" s="66">
        <v>146569.32999999999</v>
      </c>
      <c r="W5" s="67">
        <v>11992164</v>
      </c>
      <c r="X5" s="68">
        <v>7.2985528969408801E-6</v>
      </c>
      <c r="Y5" s="44">
        <f t="shared" si="1"/>
        <v>0</v>
      </c>
      <c r="Z5" s="70">
        <f t="shared" si="1"/>
        <v>0</v>
      </c>
      <c r="AA5" s="69">
        <f>V5/W5</f>
        <v>1.2222091859317467E-2</v>
      </c>
      <c r="AB5" s="58">
        <f t="shared" ref="AB5:AB6" si="2">Y5* EXP(-X5* Y5)  * (1 -Z5)</f>
        <v>0</v>
      </c>
      <c r="AC5">
        <f>AB5*AA5</f>
        <v>0</v>
      </c>
    </row>
    <row r="6" spans="1:29">
      <c r="C6" s="42"/>
      <c r="D6" s="34"/>
      <c r="O6" s="32">
        <v>3</v>
      </c>
      <c r="P6" s="33" t="e">
        <f t="shared" si="0"/>
        <v>#NUM!</v>
      </c>
      <c r="R6" s="26"/>
      <c r="S6">
        <v>50</v>
      </c>
      <c r="T6" s="66">
        <v>112538.57</v>
      </c>
      <c r="U6" s="66">
        <v>171648.97</v>
      </c>
      <c r="V6" s="66">
        <v>121608.33</v>
      </c>
      <c r="W6" s="67">
        <v>3036493</v>
      </c>
      <c r="X6" s="68">
        <v>5.8258434251214803E-6</v>
      </c>
      <c r="Y6" s="44">
        <f t="shared" si="1"/>
        <v>0</v>
      </c>
      <c r="Z6" s="70">
        <f t="shared" si="1"/>
        <v>0</v>
      </c>
      <c r="AA6" s="69">
        <f>V6/W6</f>
        <v>4.0048941328038629E-2</v>
      </c>
      <c r="AB6" s="58">
        <f t="shared" si="2"/>
        <v>0</v>
      </c>
      <c r="AC6">
        <f>AB6*AA6</f>
        <v>0</v>
      </c>
    </row>
    <row r="7" spans="1:29">
      <c r="D7" s="35"/>
      <c r="O7" s="32">
        <v>4</v>
      </c>
      <c r="P7" s="33" t="e">
        <f t="shared" si="0"/>
        <v>#NUM!</v>
      </c>
      <c r="R7" s="26"/>
      <c r="S7" s="26"/>
      <c r="T7" s="26"/>
      <c r="U7" s="26"/>
      <c r="V7" s="26"/>
      <c r="W7" s="43"/>
      <c r="X7" s="43"/>
    </row>
    <row r="8" spans="1:29">
      <c r="D8" s="35"/>
      <c r="O8" s="32">
        <v>5</v>
      </c>
      <c r="P8" s="33" t="e">
        <f t="shared" si="0"/>
        <v>#NUM!</v>
      </c>
      <c r="R8" s="26"/>
      <c r="S8" s="26"/>
      <c r="T8" s="26"/>
      <c r="U8" s="26"/>
      <c r="V8" s="26"/>
    </row>
    <row r="9" spans="1:29">
      <c r="D9" s="35"/>
      <c r="O9" s="32">
        <v>6</v>
      </c>
      <c r="P9" s="33" t="e">
        <f t="shared" si="0"/>
        <v>#NUM!</v>
      </c>
      <c r="R9" s="26"/>
      <c r="S9" s="26"/>
      <c r="T9" s="26"/>
      <c r="U9" s="26"/>
      <c r="V9" s="26"/>
    </row>
    <row r="10" spans="1:29">
      <c r="D10" s="35"/>
      <c r="O10" s="32">
        <v>7</v>
      </c>
      <c r="P10" s="33" t="e">
        <f t="shared" si="0"/>
        <v>#NUM!</v>
      </c>
      <c r="R10" s="26"/>
      <c r="S10" s="26"/>
      <c r="T10" s="26"/>
      <c r="U10" s="26"/>
      <c r="V10" s="26"/>
      <c r="W10" t="s">
        <v>69</v>
      </c>
      <c r="X10" t="s">
        <v>70</v>
      </c>
      <c r="Y10" t="s">
        <v>71</v>
      </c>
      <c r="Z10" t="s">
        <v>72</v>
      </c>
      <c r="AA10" t="s">
        <v>73</v>
      </c>
      <c r="AB10" t="s">
        <v>74</v>
      </c>
      <c r="AC10" t="s">
        <v>75</v>
      </c>
    </row>
    <row r="11" spans="1:29">
      <c r="D11" s="35"/>
      <c r="O11" s="32">
        <v>8</v>
      </c>
      <c r="P11" s="33" t="e">
        <f t="shared" si="0"/>
        <v>#NUM!</v>
      </c>
      <c r="R11" s="26"/>
      <c r="S11" s="26"/>
      <c r="T11" s="26"/>
      <c r="U11" s="26"/>
      <c r="V11" s="26"/>
      <c r="W11">
        <v>13</v>
      </c>
      <c r="X11">
        <f>AC4</f>
        <v>0</v>
      </c>
      <c r="Y11" t="e">
        <f>LN(X11)</f>
        <v>#NUM!</v>
      </c>
      <c r="Z11" t="e">
        <f>Y11*W11</f>
        <v>#NUM!</v>
      </c>
      <c r="AA11">
        <f>W11^2</f>
        <v>169</v>
      </c>
      <c r="AB11" t="e">
        <f>Y11^2</f>
        <v>#NUM!</v>
      </c>
      <c r="AC11">
        <f>W11*X11</f>
        <v>0</v>
      </c>
    </row>
    <row r="12" spans="1:29">
      <c r="D12" s="35"/>
      <c r="N12" s="35"/>
      <c r="O12" s="32">
        <v>9</v>
      </c>
      <c r="P12" s="33" t="e">
        <f t="shared" si="0"/>
        <v>#NUM!</v>
      </c>
      <c r="R12" s="26"/>
      <c r="S12" s="26"/>
      <c r="T12" s="26"/>
      <c r="U12" s="26"/>
      <c r="V12" s="26"/>
      <c r="W12">
        <v>38</v>
      </c>
      <c r="X12">
        <f>AC5</f>
        <v>0</v>
      </c>
      <c r="Y12" t="e">
        <f>LN(X12)</f>
        <v>#NUM!</v>
      </c>
      <c r="Z12" t="e">
        <f>Y12*W12</f>
        <v>#NUM!</v>
      </c>
      <c r="AA12">
        <f t="shared" ref="AA12:AA13" si="3">W12^2</f>
        <v>1444</v>
      </c>
      <c r="AB12" t="e">
        <f t="shared" ref="AB12:AB13" si="4">Y12^2</f>
        <v>#NUM!</v>
      </c>
      <c r="AC12">
        <f>W12*X12</f>
        <v>0</v>
      </c>
    </row>
    <row r="13" spans="1:29">
      <c r="D13" s="35"/>
      <c r="N13" s="35"/>
      <c r="O13" s="32">
        <v>10</v>
      </c>
      <c r="P13" s="33" t="e">
        <f t="shared" si="0"/>
        <v>#NUM!</v>
      </c>
      <c r="R13" s="26"/>
      <c r="S13" s="26"/>
      <c r="T13" s="26"/>
      <c r="U13" s="26"/>
      <c r="V13" s="26"/>
      <c r="W13">
        <v>60</v>
      </c>
      <c r="X13">
        <f>AC6</f>
        <v>0</v>
      </c>
      <c r="Y13" t="e">
        <f>LN(X13)</f>
        <v>#NUM!</v>
      </c>
      <c r="Z13" t="e">
        <f>Y13*W13</f>
        <v>#NUM!</v>
      </c>
      <c r="AA13">
        <f t="shared" si="3"/>
        <v>3600</v>
      </c>
      <c r="AB13" t="e">
        <f t="shared" si="4"/>
        <v>#NUM!</v>
      </c>
      <c r="AC13">
        <f>W13*X13</f>
        <v>0</v>
      </c>
    </row>
    <row r="14" spans="1:29">
      <c r="D14" s="35"/>
      <c r="O14" s="32">
        <v>11</v>
      </c>
      <c r="P14" s="33" t="e">
        <f t="shared" si="0"/>
        <v>#NUM!</v>
      </c>
      <c r="R14" s="26"/>
      <c r="S14" s="26"/>
      <c r="T14" s="26"/>
      <c r="U14" s="26"/>
      <c r="V14" s="26"/>
    </row>
    <row r="15" spans="1:29">
      <c r="D15" s="35"/>
      <c r="O15" s="32">
        <v>12</v>
      </c>
      <c r="P15" s="33" t="e">
        <f t="shared" si="0"/>
        <v>#NUM!</v>
      </c>
    </row>
    <row r="16" spans="1:29">
      <c r="D16" s="35"/>
      <c r="O16" s="45">
        <v>13</v>
      </c>
      <c r="P16" s="33" t="e">
        <f t="shared" si="0"/>
        <v>#NUM!</v>
      </c>
      <c r="Q16" s="46"/>
    </row>
    <row r="17" spans="4:29">
      <c r="D17" s="35"/>
      <c r="O17" s="32">
        <v>14</v>
      </c>
      <c r="P17" s="33" t="e">
        <f t="shared" si="0"/>
        <v>#NUM!</v>
      </c>
      <c r="W17" s="59">
        <f t="shared" ref="W17:AC17" si="5">SUM(W11:W16)</f>
        <v>111</v>
      </c>
      <c r="X17" s="59">
        <f t="shared" si="5"/>
        <v>0</v>
      </c>
      <c r="Y17" s="59" t="e">
        <f t="shared" si="5"/>
        <v>#NUM!</v>
      </c>
      <c r="Z17" s="59" t="e">
        <f t="shared" si="5"/>
        <v>#NUM!</v>
      </c>
      <c r="AA17" s="59">
        <f t="shared" si="5"/>
        <v>5213</v>
      </c>
      <c r="AB17" s="59" t="e">
        <f t="shared" si="5"/>
        <v>#NUM!</v>
      </c>
      <c r="AC17" s="59">
        <f t="shared" si="5"/>
        <v>0</v>
      </c>
    </row>
    <row r="18" spans="4:29">
      <c r="D18" s="35"/>
      <c r="O18" s="32">
        <v>15</v>
      </c>
      <c r="P18" s="33" t="e">
        <f t="shared" si="0"/>
        <v>#NUM!</v>
      </c>
      <c r="W18"/>
      <c r="X18"/>
      <c r="Y18"/>
      <c r="Z18"/>
      <c r="AA18"/>
      <c r="AB18"/>
      <c r="AC18"/>
    </row>
    <row r="19" spans="4:29">
      <c r="D19" s="35"/>
      <c r="O19" s="32">
        <v>16</v>
      </c>
      <c r="P19" s="33" t="e">
        <f t="shared" si="0"/>
        <v>#NUM!</v>
      </c>
      <c r="W19"/>
      <c r="X19"/>
      <c r="Y19"/>
      <c r="Z19"/>
      <c r="AA19"/>
      <c r="AB19"/>
      <c r="AC19"/>
    </row>
    <row r="20" spans="4:29">
      <c r="D20" s="35"/>
      <c r="O20" s="32">
        <v>17</v>
      </c>
      <c r="P20" s="33" t="e">
        <f t="shared" si="0"/>
        <v>#NUM!</v>
      </c>
      <c r="W20" t="s">
        <v>76</v>
      </c>
      <c r="X20">
        <v>3</v>
      </c>
      <c r="Y20"/>
      <c r="Z20"/>
      <c r="AA20"/>
      <c r="AB20"/>
      <c r="AC20"/>
    </row>
    <row r="21" spans="4:29">
      <c r="D21" s="35"/>
      <c r="O21" s="32">
        <v>18</v>
      </c>
      <c r="P21" s="33" t="e">
        <f t="shared" si="0"/>
        <v>#NUM!</v>
      </c>
      <c r="W21" t="s">
        <v>11</v>
      </c>
      <c r="X21" s="71" t="e">
        <f>((Z17*X20)-(W17)*(Y17))/((X20*AA17)-W17^2)</f>
        <v>#NUM!</v>
      </c>
      <c r="Y21"/>
      <c r="Z21"/>
      <c r="AA21"/>
      <c r="AB21"/>
      <c r="AC21"/>
    </row>
    <row r="22" spans="4:29">
      <c r="D22" s="35"/>
      <c r="O22" s="32">
        <v>19</v>
      </c>
      <c r="P22" s="33" t="e">
        <f t="shared" si="0"/>
        <v>#NUM!</v>
      </c>
      <c r="W22" t="s">
        <v>77</v>
      </c>
      <c r="X22" t="e">
        <f>(Y17/X20)-(X21*(W17/X20))</f>
        <v>#NUM!</v>
      </c>
      <c r="Y22"/>
      <c r="Z22"/>
      <c r="AA22"/>
      <c r="AB22"/>
      <c r="AC22"/>
    </row>
    <row r="23" spans="4:29">
      <c r="D23" s="35"/>
      <c r="O23" s="32">
        <v>20</v>
      </c>
      <c r="P23" s="33" t="e">
        <f t="shared" si="0"/>
        <v>#NUM!</v>
      </c>
      <c r="W23" t="s">
        <v>10</v>
      </c>
      <c r="X23" s="72" t="e">
        <f>EXP(X22)</f>
        <v>#NUM!</v>
      </c>
      <c r="Y23"/>
      <c r="Z23"/>
      <c r="AA23"/>
      <c r="AB23"/>
      <c r="AC23"/>
    </row>
    <row r="24" spans="4:29">
      <c r="D24" s="35"/>
      <c r="O24" s="32">
        <v>21</v>
      </c>
      <c r="P24" s="33" t="e">
        <f t="shared" si="0"/>
        <v>#NUM!</v>
      </c>
    </row>
    <row r="25" spans="4:29">
      <c r="D25" s="35"/>
      <c r="O25" s="32">
        <v>22</v>
      </c>
      <c r="P25" s="33" t="e">
        <f t="shared" si="0"/>
        <v>#NUM!</v>
      </c>
    </row>
    <row r="26" spans="4:29">
      <c r="D26" s="35"/>
      <c r="O26" s="32">
        <v>23</v>
      </c>
      <c r="P26" s="33" t="e">
        <f t="shared" si="0"/>
        <v>#NUM!</v>
      </c>
    </row>
    <row r="27" spans="4:29" ht="15.75" customHeight="1">
      <c r="D27" s="35"/>
      <c r="O27" s="32">
        <v>24</v>
      </c>
      <c r="P27" s="33" t="e">
        <f t="shared" si="0"/>
        <v>#NUM!</v>
      </c>
    </row>
    <row r="28" spans="4:29">
      <c r="D28" s="35"/>
      <c r="O28" s="75">
        <v>25</v>
      </c>
      <c r="P28" s="76" t="e">
        <f t="shared" si="0"/>
        <v>#NUM!</v>
      </c>
    </row>
    <row r="29" spans="4:29">
      <c r="D29" s="35"/>
      <c r="O29" s="47">
        <v>26</v>
      </c>
      <c r="P29" s="33" t="e">
        <f t="shared" si="0"/>
        <v>#NUM!</v>
      </c>
    </row>
    <row r="30" spans="4:29">
      <c r="D30" s="35"/>
      <c r="O30" s="47">
        <v>27</v>
      </c>
      <c r="P30" s="33" t="e">
        <f t="shared" si="0"/>
        <v>#NUM!</v>
      </c>
    </row>
    <row r="31" spans="4:29">
      <c r="D31" s="35"/>
      <c r="O31" s="47">
        <v>28</v>
      </c>
      <c r="P31" s="33" t="e">
        <f t="shared" si="0"/>
        <v>#NUM!</v>
      </c>
    </row>
    <row r="32" spans="4:29">
      <c r="D32" s="35"/>
      <c r="O32" s="47">
        <v>29</v>
      </c>
      <c r="P32" s="33" t="e">
        <f t="shared" si="0"/>
        <v>#NUM!</v>
      </c>
    </row>
    <row r="33" spans="4:17">
      <c r="D33" s="35"/>
      <c r="O33" s="47">
        <v>30</v>
      </c>
      <c r="P33" s="33" t="e">
        <f t="shared" si="0"/>
        <v>#NUM!</v>
      </c>
    </row>
    <row r="34" spans="4:17">
      <c r="D34" s="35"/>
      <c r="O34" s="47">
        <v>31</v>
      </c>
      <c r="P34" s="33" t="e">
        <f t="shared" si="0"/>
        <v>#NUM!</v>
      </c>
    </row>
    <row r="35" spans="4:17">
      <c r="D35" s="35"/>
      <c r="O35" s="47">
        <v>32</v>
      </c>
      <c r="P35" s="33" t="e">
        <f t="shared" si="0"/>
        <v>#NUM!</v>
      </c>
    </row>
    <row r="36" spans="4:17">
      <c r="D36" s="35"/>
      <c r="O36" s="47">
        <v>33</v>
      </c>
      <c r="P36" s="33" t="e">
        <f t="shared" si="0"/>
        <v>#NUM!</v>
      </c>
    </row>
    <row r="37" spans="4:17">
      <c r="D37" s="35"/>
      <c r="O37" s="47">
        <v>34</v>
      </c>
      <c r="P37" s="33" t="e">
        <f t="shared" si="0"/>
        <v>#NUM!</v>
      </c>
    </row>
    <row r="38" spans="4:17">
      <c r="D38" s="35"/>
      <c r="O38" s="47">
        <v>35</v>
      </c>
      <c r="P38" s="33" t="e">
        <f t="shared" si="0"/>
        <v>#NUM!</v>
      </c>
    </row>
    <row r="39" spans="4:17">
      <c r="O39" s="47">
        <v>36</v>
      </c>
      <c r="P39" s="33" t="e">
        <f t="shared" si="0"/>
        <v>#NUM!</v>
      </c>
    </row>
    <row r="40" spans="4:17">
      <c r="O40" s="47">
        <v>37</v>
      </c>
      <c r="P40" s="33" t="e">
        <f t="shared" si="0"/>
        <v>#NUM!</v>
      </c>
    </row>
    <row r="41" spans="4:17">
      <c r="O41" s="45">
        <v>38</v>
      </c>
      <c r="P41" s="33" t="e">
        <f t="shared" si="0"/>
        <v>#NUM!</v>
      </c>
      <c r="Q41" s="46"/>
    </row>
    <row r="42" spans="4:17">
      <c r="O42" s="47">
        <v>39</v>
      </c>
      <c r="P42" s="33" t="e">
        <f t="shared" si="0"/>
        <v>#NUM!</v>
      </c>
    </row>
    <row r="43" spans="4:17">
      <c r="O43" s="63">
        <v>40</v>
      </c>
      <c r="P43" s="64" t="e">
        <f t="shared" si="0"/>
        <v>#NUM!</v>
      </c>
    </row>
    <row r="44" spans="4:17">
      <c r="O44" s="47">
        <v>41</v>
      </c>
      <c r="P44" s="33" t="e">
        <f t="shared" si="0"/>
        <v>#NUM!</v>
      </c>
    </row>
    <row r="45" spans="4:17">
      <c r="O45" s="47">
        <v>42</v>
      </c>
      <c r="P45" s="33" t="e">
        <f t="shared" si="0"/>
        <v>#NUM!</v>
      </c>
    </row>
    <row r="46" spans="4:17">
      <c r="O46" s="47">
        <v>43</v>
      </c>
      <c r="P46" s="33" t="e">
        <f t="shared" si="0"/>
        <v>#NUM!</v>
      </c>
    </row>
    <row r="47" spans="4:17">
      <c r="O47" s="47">
        <v>44</v>
      </c>
      <c r="P47" s="33" t="e">
        <f t="shared" si="0"/>
        <v>#NUM!</v>
      </c>
    </row>
    <row r="48" spans="4:17">
      <c r="O48" s="47">
        <v>45</v>
      </c>
      <c r="P48" s="33" t="e">
        <f t="shared" si="0"/>
        <v>#NUM!</v>
      </c>
    </row>
    <row r="49" spans="15:16">
      <c r="O49" s="47">
        <v>46</v>
      </c>
      <c r="P49" s="33" t="e">
        <f t="shared" si="0"/>
        <v>#NUM!</v>
      </c>
    </row>
    <row r="50" spans="15:16">
      <c r="O50" s="47">
        <v>47</v>
      </c>
      <c r="P50" s="33" t="e">
        <f t="shared" si="0"/>
        <v>#NUM!</v>
      </c>
    </row>
    <row r="51" spans="15:16">
      <c r="O51" s="47">
        <v>48</v>
      </c>
      <c r="P51" s="33" t="e">
        <f t="shared" si="0"/>
        <v>#NUM!</v>
      </c>
    </row>
    <row r="52" spans="15:16">
      <c r="O52" s="47">
        <v>49</v>
      </c>
      <c r="P52" s="33" t="e">
        <f t="shared" si="0"/>
        <v>#NUM!</v>
      </c>
    </row>
    <row r="53" spans="15:16">
      <c r="O53" s="47">
        <v>50</v>
      </c>
      <c r="P53" s="33" t="e">
        <f t="shared" si="0"/>
        <v>#NUM!</v>
      </c>
    </row>
    <row r="54" spans="15:16">
      <c r="O54" s="32">
        <v>51</v>
      </c>
      <c r="P54" s="33" t="e">
        <f t="shared" si="0"/>
        <v>#NUM!</v>
      </c>
    </row>
    <row r="55" spans="15:16">
      <c r="O55" s="32">
        <v>52</v>
      </c>
      <c r="P55" s="33" t="e">
        <f t="shared" si="0"/>
        <v>#NUM!</v>
      </c>
    </row>
    <row r="56" spans="15:16">
      <c r="O56" s="32">
        <v>53</v>
      </c>
      <c r="P56" s="33" t="e">
        <f t="shared" si="0"/>
        <v>#NUM!</v>
      </c>
    </row>
    <row r="57" spans="15:16">
      <c r="O57" s="32">
        <v>54</v>
      </c>
      <c r="P57" s="33" t="e">
        <f t="shared" si="0"/>
        <v>#NUM!</v>
      </c>
    </row>
    <row r="58" spans="15:16">
      <c r="O58" s="32">
        <v>55</v>
      </c>
      <c r="P58" s="33" t="e">
        <f t="shared" si="0"/>
        <v>#NUM!</v>
      </c>
    </row>
    <row r="59" spans="15:16">
      <c r="O59" s="32">
        <v>56</v>
      </c>
      <c r="P59" s="33" t="e">
        <f t="shared" si="0"/>
        <v>#NUM!</v>
      </c>
    </row>
    <row r="60" spans="15:16">
      <c r="O60" s="32">
        <v>57</v>
      </c>
      <c r="P60" s="33" t="e">
        <f t="shared" si="0"/>
        <v>#NUM!</v>
      </c>
    </row>
    <row r="61" spans="15:16">
      <c r="O61" s="32">
        <v>58</v>
      </c>
      <c r="P61" s="33" t="e">
        <f t="shared" si="0"/>
        <v>#NUM!</v>
      </c>
    </row>
    <row r="62" spans="15:16">
      <c r="O62" s="32">
        <v>59</v>
      </c>
      <c r="P62" s="33" t="e">
        <f t="shared" si="0"/>
        <v>#NUM!</v>
      </c>
    </row>
    <row r="63" spans="15:16">
      <c r="O63" s="32">
        <v>60</v>
      </c>
      <c r="P63" s="33" t="e">
        <f t="shared" si="0"/>
        <v>#NUM!</v>
      </c>
    </row>
    <row r="64" spans="15:16">
      <c r="O64" s="32">
        <v>61</v>
      </c>
      <c r="P64" s="33" t="e">
        <f t="shared" si="0"/>
        <v>#NUM!</v>
      </c>
    </row>
    <row r="65" spans="15:17">
      <c r="O65" s="32">
        <v>62</v>
      </c>
      <c r="P65" s="33" t="e">
        <f t="shared" si="0"/>
        <v>#NUM!</v>
      </c>
    </row>
    <row r="66" spans="15:17">
      <c r="O66" s="45">
        <v>63</v>
      </c>
      <c r="P66" s="33" t="e">
        <f t="shared" si="0"/>
        <v>#NUM!</v>
      </c>
      <c r="Q66" s="46"/>
    </row>
    <row r="67" spans="15:17">
      <c r="O67" s="32">
        <v>64</v>
      </c>
      <c r="P67" s="33" t="e">
        <f t="shared" si="0"/>
        <v>#NUM!</v>
      </c>
    </row>
    <row r="68" spans="15:17">
      <c r="O68" s="32">
        <v>65</v>
      </c>
      <c r="P68" s="33" t="e">
        <f t="shared" ref="P68:P103" si="6">$X$23*EXP($X$21*O68)</f>
        <v>#NUM!</v>
      </c>
    </row>
    <row r="69" spans="15:17">
      <c r="O69" s="32">
        <v>66</v>
      </c>
      <c r="P69" s="33" t="e">
        <f t="shared" si="6"/>
        <v>#NUM!</v>
      </c>
    </row>
    <row r="70" spans="15:17">
      <c r="O70" s="32">
        <v>67</v>
      </c>
      <c r="P70" s="33" t="e">
        <f t="shared" si="6"/>
        <v>#NUM!</v>
      </c>
    </row>
    <row r="71" spans="15:17">
      <c r="O71" s="32">
        <v>68</v>
      </c>
      <c r="P71" s="33" t="e">
        <f t="shared" si="6"/>
        <v>#NUM!</v>
      </c>
    </row>
    <row r="72" spans="15:17">
      <c r="O72" s="32">
        <v>69</v>
      </c>
      <c r="P72" s="33" t="e">
        <f t="shared" si="6"/>
        <v>#NUM!</v>
      </c>
    </row>
    <row r="73" spans="15:17">
      <c r="O73" s="32">
        <v>70</v>
      </c>
      <c r="P73" s="33" t="e">
        <f t="shared" si="6"/>
        <v>#NUM!</v>
      </c>
    </row>
    <row r="74" spans="15:17">
      <c r="O74" s="32">
        <v>71</v>
      </c>
      <c r="P74" s="33" t="e">
        <f t="shared" si="6"/>
        <v>#NUM!</v>
      </c>
    </row>
    <row r="75" spans="15:17">
      <c r="O75" s="32">
        <v>72</v>
      </c>
      <c r="P75" s="33" t="e">
        <f t="shared" si="6"/>
        <v>#NUM!</v>
      </c>
    </row>
    <row r="76" spans="15:17">
      <c r="O76" s="32">
        <v>73</v>
      </c>
      <c r="P76" s="33" t="e">
        <f t="shared" si="6"/>
        <v>#NUM!</v>
      </c>
    </row>
    <row r="77" spans="15:17">
      <c r="O77" s="32">
        <v>74</v>
      </c>
      <c r="P77" s="33" t="e">
        <f t="shared" si="6"/>
        <v>#NUM!</v>
      </c>
    </row>
    <row r="78" spans="15:17">
      <c r="O78" s="32">
        <v>75</v>
      </c>
      <c r="P78" s="33" t="e">
        <f t="shared" si="6"/>
        <v>#NUM!</v>
      </c>
    </row>
    <row r="79" spans="15:17">
      <c r="O79" s="47">
        <v>76</v>
      </c>
      <c r="P79" s="33" t="e">
        <f t="shared" si="6"/>
        <v>#NUM!</v>
      </c>
    </row>
    <row r="80" spans="15:17">
      <c r="O80" s="47">
        <v>77</v>
      </c>
      <c r="P80" s="33" t="e">
        <f t="shared" si="6"/>
        <v>#NUM!</v>
      </c>
    </row>
    <row r="81" spans="15:17">
      <c r="O81" s="47">
        <v>78</v>
      </c>
      <c r="P81" s="33" t="e">
        <f t="shared" si="6"/>
        <v>#NUM!</v>
      </c>
    </row>
    <row r="82" spans="15:17">
      <c r="O82" s="47">
        <v>79</v>
      </c>
      <c r="P82" s="33" t="e">
        <f t="shared" si="6"/>
        <v>#NUM!</v>
      </c>
    </row>
    <row r="83" spans="15:17">
      <c r="O83" s="47">
        <v>80</v>
      </c>
      <c r="P83" s="33" t="e">
        <f t="shared" si="6"/>
        <v>#NUM!</v>
      </c>
    </row>
    <row r="84" spans="15:17">
      <c r="O84" s="47">
        <v>81</v>
      </c>
      <c r="P84" s="33" t="e">
        <f t="shared" si="6"/>
        <v>#NUM!</v>
      </c>
    </row>
    <row r="85" spans="15:17">
      <c r="O85" s="47">
        <v>82</v>
      </c>
      <c r="P85" s="33" t="e">
        <f t="shared" si="6"/>
        <v>#NUM!</v>
      </c>
    </row>
    <row r="86" spans="15:17">
      <c r="O86" s="47">
        <v>83</v>
      </c>
      <c r="P86" s="33" t="e">
        <f t="shared" si="6"/>
        <v>#NUM!</v>
      </c>
    </row>
    <row r="87" spans="15:17">
      <c r="O87" s="47">
        <v>84</v>
      </c>
      <c r="P87" s="33" t="e">
        <f t="shared" si="6"/>
        <v>#NUM!</v>
      </c>
    </row>
    <row r="88" spans="15:17">
      <c r="O88" s="47">
        <v>85</v>
      </c>
      <c r="P88" s="33" t="e">
        <f t="shared" si="6"/>
        <v>#NUM!</v>
      </c>
    </row>
    <row r="89" spans="15:17">
      <c r="O89" s="47">
        <v>86</v>
      </c>
      <c r="P89" s="33" t="e">
        <f t="shared" si="6"/>
        <v>#NUM!</v>
      </c>
    </row>
    <row r="90" spans="15:17">
      <c r="O90" s="47">
        <v>87</v>
      </c>
      <c r="P90" s="33" t="e">
        <f t="shared" si="6"/>
        <v>#NUM!</v>
      </c>
    </row>
    <row r="91" spans="15:17">
      <c r="O91" s="45">
        <v>88</v>
      </c>
      <c r="P91" s="33" t="e">
        <f t="shared" si="6"/>
        <v>#NUM!</v>
      </c>
      <c r="Q91" s="46"/>
    </row>
    <row r="92" spans="15:17">
      <c r="O92" s="47">
        <v>89</v>
      </c>
      <c r="P92" s="33" t="e">
        <f t="shared" si="6"/>
        <v>#NUM!</v>
      </c>
    </row>
    <row r="93" spans="15:17">
      <c r="O93" s="47">
        <v>90</v>
      </c>
      <c r="P93" s="33" t="e">
        <f t="shared" si="6"/>
        <v>#NUM!</v>
      </c>
    </row>
    <row r="94" spans="15:17">
      <c r="O94" s="47">
        <v>91</v>
      </c>
      <c r="P94" s="33" t="e">
        <f t="shared" si="6"/>
        <v>#NUM!</v>
      </c>
    </row>
    <row r="95" spans="15:17">
      <c r="O95" s="47">
        <v>92</v>
      </c>
      <c r="P95" s="33" t="e">
        <f t="shared" si="6"/>
        <v>#NUM!</v>
      </c>
    </row>
    <row r="96" spans="15:17">
      <c r="O96" s="47">
        <v>93</v>
      </c>
      <c r="P96" s="33" t="e">
        <f t="shared" si="6"/>
        <v>#NUM!</v>
      </c>
    </row>
    <row r="97" spans="15:16">
      <c r="O97" s="47">
        <v>94</v>
      </c>
      <c r="P97" s="33" t="e">
        <f t="shared" si="6"/>
        <v>#NUM!</v>
      </c>
    </row>
    <row r="98" spans="15:16">
      <c r="O98" s="47">
        <v>95</v>
      </c>
      <c r="P98" s="33" t="e">
        <f t="shared" si="6"/>
        <v>#NUM!</v>
      </c>
    </row>
    <row r="99" spans="15:16">
      <c r="O99" s="47">
        <v>96</v>
      </c>
      <c r="P99" s="33" t="e">
        <f t="shared" si="6"/>
        <v>#NUM!</v>
      </c>
    </row>
    <row r="100" spans="15:16">
      <c r="O100" s="47">
        <v>97</v>
      </c>
      <c r="P100" s="33" t="e">
        <f t="shared" si="6"/>
        <v>#NUM!</v>
      </c>
    </row>
    <row r="101" spans="15:16">
      <c r="O101" s="47">
        <v>98</v>
      </c>
      <c r="P101" s="33" t="e">
        <f t="shared" si="6"/>
        <v>#NUM!</v>
      </c>
    </row>
    <row r="102" spans="15:16">
      <c r="O102" s="47">
        <v>99</v>
      </c>
      <c r="P102" s="33" t="e">
        <f t="shared" si="6"/>
        <v>#NUM!</v>
      </c>
    </row>
    <row r="103" spans="15:16">
      <c r="O103" s="47">
        <v>100</v>
      </c>
      <c r="P103" s="33" t="e">
        <f t="shared" si="6"/>
        <v>#NUM!</v>
      </c>
    </row>
  </sheetData>
  <conditionalFormatting sqref="D2:D4">
    <cfRule type="cellIs" dxfId="5" priority="2" operator="equal">
      <formula>"PIVOTE NO PUEDE SER MENOR AL EXCESO"</formula>
    </cfRule>
  </conditionalFormatting>
  <conditionalFormatting sqref="D5">
    <cfRule type="cellIs" dxfId="4" priority="1" operator="equal">
      <formula>"PIVOTE NO PUEDE SER MENOR AL EXCESO"</formula>
    </cfRule>
  </conditionalFormatting>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C103"/>
  <sheetViews>
    <sheetView showGridLines="0" zoomScale="70" zoomScaleNormal="70" workbookViewId="0">
      <selection activeCell="P3" sqref="P3"/>
    </sheetView>
  </sheetViews>
  <sheetFormatPr baseColWidth="10" defaultColWidth="11.42578125" defaultRowHeight="15"/>
  <cols>
    <col min="1" max="1" width="17" style="5" bestFit="1" customWidth="1"/>
    <col min="2" max="3" width="12.7109375" style="5" customWidth="1"/>
    <col min="4" max="4" width="28.8554687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16.42578125" style="5" customWidth="1"/>
    <col min="17" max="17" width="4.42578125" style="5" customWidth="1"/>
    <col min="18" max="18" width="9.85546875" style="5" customWidth="1"/>
    <col min="19" max="20" width="11.5703125" style="5" bestFit="1" customWidth="1"/>
    <col min="21" max="21" width="11.140625" style="5" bestFit="1" customWidth="1"/>
    <col min="22" max="22" width="12" style="5" bestFit="1" customWidth="1"/>
    <col min="23" max="24" width="11.42578125" style="5"/>
    <col min="25" max="25" width="10.5703125" style="5" bestFit="1" customWidth="1"/>
    <col min="26" max="26" width="9.85546875" style="5" bestFit="1" customWidth="1"/>
    <col min="27" max="16384" width="11.42578125" style="5"/>
  </cols>
  <sheetData>
    <row r="1" spans="1:29" ht="30">
      <c r="A1" s="15" t="s">
        <v>0</v>
      </c>
      <c r="B1" s="16" t="s">
        <v>1</v>
      </c>
      <c r="C1" s="16" t="s">
        <v>7</v>
      </c>
      <c r="D1" s="17" t="s">
        <v>2</v>
      </c>
      <c r="O1" s="18" t="s">
        <v>8</v>
      </c>
      <c r="P1" s="19"/>
      <c r="T1" s="20"/>
    </row>
    <row r="2" spans="1:29">
      <c r="A2" s="21" t="s">
        <v>5</v>
      </c>
      <c r="B2" s="22">
        <f>Cotización!D19</f>
        <v>81500</v>
      </c>
      <c r="C2" s="23">
        <v>0</v>
      </c>
      <c r="D2" s="24"/>
      <c r="O2" s="25" t="s">
        <v>9</v>
      </c>
      <c r="P2" s="25" t="s">
        <v>6</v>
      </c>
      <c r="Q2" s="26"/>
      <c r="R2" s="26"/>
      <c r="S2" s="26"/>
      <c r="T2" s="26"/>
      <c r="U2" s="26"/>
      <c r="V2" s="26"/>
      <c r="W2" s="26"/>
      <c r="X2" s="27"/>
    </row>
    <row r="3" spans="1:29">
      <c r="A3" s="28" t="s">
        <v>3</v>
      </c>
      <c r="B3" s="29">
        <f>B2</f>
        <v>81500</v>
      </c>
      <c r="C3" s="30">
        <f>C2</f>
        <v>0</v>
      </c>
      <c r="D3" s="31"/>
      <c r="O3" s="32">
        <v>0</v>
      </c>
      <c r="P3" s="33">
        <f>$X$23*EXP($X$21*O3)</f>
        <v>203.73710257898838</v>
      </c>
      <c r="R3" s="26"/>
      <c r="S3" t="s">
        <v>59</v>
      </c>
      <c r="T3" t="s">
        <v>60</v>
      </c>
      <c r="U3" t="s">
        <v>61</v>
      </c>
      <c r="V3" t="s">
        <v>62</v>
      </c>
      <c r="W3" t="s">
        <v>63</v>
      </c>
      <c r="X3" t="s">
        <v>64</v>
      </c>
      <c r="Y3" s="5" t="s">
        <v>1</v>
      </c>
      <c r="Z3" s="5" t="s">
        <v>68</v>
      </c>
      <c r="AA3" t="s">
        <v>65</v>
      </c>
      <c r="AB3" t="s">
        <v>66</v>
      </c>
      <c r="AC3" t="s">
        <v>67</v>
      </c>
    </row>
    <row r="4" spans="1:29">
      <c r="A4" s="21" t="s">
        <v>4</v>
      </c>
      <c r="B4" s="36">
        <f>B2</f>
        <v>81500</v>
      </c>
      <c r="C4" s="37">
        <f>C2</f>
        <v>0</v>
      </c>
      <c r="D4" s="24"/>
      <c r="O4" s="32">
        <v>1</v>
      </c>
      <c r="P4" s="33">
        <f t="shared" ref="P4:P67" si="0">$X$23*EXP($X$21*O4)</f>
        <v>211.04514296119808</v>
      </c>
      <c r="R4" s="26"/>
      <c r="S4">
        <v>0</v>
      </c>
      <c r="T4" s="66">
        <v>66580.97</v>
      </c>
      <c r="U4" s="66">
        <v>89519.15</v>
      </c>
      <c r="V4" s="66">
        <v>78803.33</v>
      </c>
      <c r="W4" s="67">
        <v>6819211</v>
      </c>
      <c r="X4" s="68">
        <v>1.11707941196337E-5</v>
      </c>
      <c r="Y4" s="44">
        <f t="shared" ref="Y4:Z6" si="1">B2</f>
        <v>81500</v>
      </c>
      <c r="Z4" s="70">
        <f t="shared" si="1"/>
        <v>0</v>
      </c>
      <c r="AA4" s="69">
        <f>V4/W4</f>
        <v>1.1556077381972783E-2</v>
      </c>
      <c r="AB4" s="58">
        <f>Y4* EXP(-X4* Y4)  * (1 -Z4)</f>
        <v>32791.95790476066</v>
      </c>
      <c r="AC4">
        <f>AB4*AA4</f>
        <v>378.9464030538083</v>
      </c>
    </row>
    <row r="5" spans="1:29">
      <c r="A5" s="38"/>
      <c r="B5" s="39"/>
      <c r="C5" s="40"/>
      <c r="D5" s="41"/>
      <c r="O5" s="32">
        <v>2</v>
      </c>
      <c r="P5" s="33">
        <f t="shared" si="0"/>
        <v>218.61532241160873</v>
      </c>
      <c r="R5" s="26"/>
      <c r="S5">
        <v>25</v>
      </c>
      <c r="T5" s="66">
        <v>96832.960000000006</v>
      </c>
      <c r="U5" s="66">
        <v>137013.46</v>
      </c>
      <c r="V5" s="66">
        <v>146569.32999999999</v>
      </c>
      <c r="W5" s="67">
        <v>11992164</v>
      </c>
      <c r="X5" s="68">
        <v>7.2985528969408801E-6</v>
      </c>
      <c r="Y5" s="44">
        <f t="shared" si="1"/>
        <v>81500</v>
      </c>
      <c r="Z5" s="70">
        <f t="shared" si="1"/>
        <v>0</v>
      </c>
      <c r="AA5" s="69">
        <f>V5/W5</f>
        <v>1.2222091859317467E-2</v>
      </c>
      <c r="AB5" s="58">
        <f t="shared" ref="AB5:AB6" si="2">Y5* EXP(-X5* Y5)  * (1 -Z5)</f>
        <v>44959.899000202495</v>
      </c>
      <c r="AC5">
        <f>AB5*AA5</f>
        <v>549.50401556611041</v>
      </c>
    </row>
    <row r="6" spans="1:29">
      <c r="C6" s="42"/>
      <c r="D6" s="34"/>
      <c r="O6" s="32">
        <v>3</v>
      </c>
      <c r="P6" s="33">
        <f t="shared" si="0"/>
        <v>226.45704384638972</v>
      </c>
      <c r="R6" s="26"/>
      <c r="S6">
        <v>50</v>
      </c>
      <c r="T6" s="66">
        <v>112538.57</v>
      </c>
      <c r="U6" s="66">
        <v>171648.97</v>
      </c>
      <c r="V6" s="66">
        <v>121608.33</v>
      </c>
      <c r="W6" s="67">
        <v>3036493</v>
      </c>
      <c r="X6" s="68">
        <v>5.8258434251214803E-6</v>
      </c>
      <c r="Y6" s="44">
        <f t="shared" si="1"/>
        <v>81500</v>
      </c>
      <c r="Z6" s="70">
        <f t="shared" si="1"/>
        <v>0</v>
      </c>
      <c r="AA6" s="69">
        <f>V6/W6</f>
        <v>4.0048941328038629E-2</v>
      </c>
      <c r="AB6" s="58">
        <f t="shared" si="2"/>
        <v>50693.453557144072</v>
      </c>
      <c r="AC6">
        <f>AB6*AA6</f>
        <v>2030.2191472257141</v>
      </c>
    </row>
    <row r="7" spans="1:29">
      <c r="D7" s="35"/>
      <c r="O7" s="32">
        <v>4</v>
      </c>
      <c r="P7" s="33">
        <f t="shared" si="0"/>
        <v>234.58004746387579</v>
      </c>
      <c r="R7" s="26"/>
      <c r="S7" s="26"/>
      <c r="T7" s="26"/>
      <c r="U7" s="26"/>
      <c r="V7" s="26"/>
      <c r="W7" s="43"/>
      <c r="X7" s="43"/>
    </row>
    <row r="8" spans="1:29">
      <c r="D8" s="35"/>
      <c r="O8" s="32">
        <v>5</v>
      </c>
      <c r="P8" s="33">
        <f t="shared" si="0"/>
        <v>242.99442284286226</v>
      </c>
      <c r="R8" s="26"/>
      <c r="S8" s="26"/>
      <c r="T8" s="26"/>
      <c r="U8" s="26"/>
      <c r="V8" s="26"/>
    </row>
    <row r="9" spans="1:29">
      <c r="D9" s="35"/>
      <c r="O9" s="32">
        <v>6</v>
      </c>
      <c r="P9" s="33">
        <f t="shared" si="0"/>
        <v>251.71062147486597</v>
      </c>
      <c r="R9" s="26"/>
      <c r="S9" s="26"/>
      <c r="T9" s="26"/>
      <c r="U9" s="26"/>
      <c r="V9" s="26"/>
    </row>
    <row r="10" spans="1:29">
      <c r="D10" s="35"/>
      <c r="O10" s="32">
        <v>7</v>
      </c>
      <c r="P10" s="33">
        <f t="shared" si="0"/>
        <v>260.73946974591792</v>
      </c>
      <c r="R10" s="26"/>
      <c r="S10" s="26"/>
      <c r="T10" s="26"/>
      <c r="U10" s="26"/>
      <c r="V10" s="26"/>
      <c r="W10" t="s">
        <v>69</v>
      </c>
      <c r="X10" t="s">
        <v>70</v>
      </c>
      <c r="Y10" t="s">
        <v>71</v>
      </c>
      <c r="Z10" t="s">
        <v>72</v>
      </c>
      <c r="AA10" t="s">
        <v>73</v>
      </c>
      <c r="AB10" t="s">
        <v>74</v>
      </c>
      <c r="AC10" t="s">
        <v>75</v>
      </c>
    </row>
    <row r="11" spans="1:29">
      <c r="D11" s="35"/>
      <c r="O11" s="32">
        <v>8</v>
      </c>
      <c r="P11" s="33">
        <f t="shared" si="0"/>
        <v>270.09218238401166</v>
      </c>
      <c r="R11" s="26"/>
      <c r="S11" s="26"/>
      <c r="T11" s="26"/>
      <c r="U11" s="26"/>
      <c r="V11" s="26"/>
      <c r="W11">
        <v>13</v>
      </c>
      <c r="X11">
        <f>AC4</f>
        <v>378.9464030538083</v>
      </c>
      <c r="Y11">
        <f>LN(X11)</f>
        <v>5.9373947783375662</v>
      </c>
      <c r="Z11">
        <f>Y11*W11</f>
        <v>77.186132118388358</v>
      </c>
      <c r="AA11">
        <f>W11^2</f>
        <v>169</v>
      </c>
      <c r="AB11">
        <f>Y11^2</f>
        <v>35.252656753830195</v>
      </c>
      <c r="AC11">
        <f>W11*X11</f>
        <v>4926.3032396995077</v>
      </c>
    </row>
    <row r="12" spans="1:29">
      <c r="D12" s="35"/>
      <c r="N12" s="35"/>
      <c r="O12" s="32">
        <v>9</v>
      </c>
      <c r="P12" s="33">
        <f t="shared" si="0"/>
        <v>279.78037638891198</v>
      </c>
      <c r="R12" s="26"/>
      <c r="S12" s="26"/>
      <c r="T12" s="26"/>
      <c r="U12" s="26"/>
      <c r="V12" s="26"/>
      <c r="W12">
        <v>38</v>
      </c>
      <c r="X12">
        <f>AC5</f>
        <v>549.50401556611041</v>
      </c>
      <c r="Y12">
        <f>LN(X12)</f>
        <v>6.3090160814896059</v>
      </c>
      <c r="Z12">
        <f>Y12*W12</f>
        <v>239.74261109660503</v>
      </c>
      <c r="AA12">
        <f t="shared" ref="AA12:AA13" si="3">W12^2</f>
        <v>1444</v>
      </c>
      <c r="AB12">
        <f t="shared" ref="AB12:AB13" si="4">Y12^2</f>
        <v>39.803683916494464</v>
      </c>
      <c r="AC12">
        <f>W12*X12</f>
        <v>20881.152591512197</v>
      </c>
    </row>
    <row r="13" spans="1:29">
      <c r="D13" s="35"/>
      <c r="N13" s="35"/>
      <c r="O13" s="32">
        <v>10</v>
      </c>
      <c r="P13" s="33">
        <f t="shared" si="0"/>
        <v>289.81608546162391</v>
      </c>
      <c r="R13" s="26"/>
      <c r="S13" s="26"/>
      <c r="T13" s="26"/>
      <c r="U13" s="26"/>
      <c r="V13" s="26"/>
      <c r="W13">
        <v>60</v>
      </c>
      <c r="X13">
        <f>AC6</f>
        <v>2030.2191472257141</v>
      </c>
      <c r="Y13">
        <f>LN(X13)</f>
        <v>7.6158990205075687</v>
      </c>
      <c r="Z13">
        <f>Y13*W13</f>
        <v>456.95394123045412</v>
      </c>
      <c r="AA13">
        <f t="shared" si="3"/>
        <v>3600</v>
      </c>
      <c r="AB13">
        <f t="shared" si="4"/>
        <v>58.001917890568144</v>
      </c>
      <c r="AC13">
        <f>W13*X13</f>
        <v>121813.14883354284</v>
      </c>
    </row>
    <row r="14" spans="1:29">
      <c r="D14" s="35"/>
      <c r="O14" s="32">
        <v>11</v>
      </c>
      <c r="P14" s="33">
        <f t="shared" si="0"/>
        <v>300.21177495144747</v>
      </c>
      <c r="R14" s="26"/>
      <c r="S14" s="26"/>
      <c r="T14" s="26"/>
      <c r="U14" s="26"/>
      <c r="V14" s="26"/>
    </row>
    <row r="15" spans="1:29">
      <c r="D15" s="35"/>
      <c r="O15" s="32">
        <v>12</v>
      </c>
      <c r="P15" s="33">
        <f t="shared" si="0"/>
        <v>310.98035733918135</v>
      </c>
    </row>
    <row r="16" spans="1:29">
      <c r="D16" s="35"/>
      <c r="O16" s="45">
        <v>13</v>
      </c>
      <c r="P16" s="33">
        <f t="shared" si="0"/>
        <v>322.13520827570943</v>
      </c>
      <c r="Q16" s="46"/>
    </row>
    <row r="17" spans="4:29">
      <c r="D17" s="35"/>
      <c r="O17" s="32">
        <v>14</v>
      </c>
      <c r="P17" s="33">
        <f t="shared" si="0"/>
        <v>333.6901831958898</v>
      </c>
      <c r="W17" s="59">
        <f t="shared" ref="W17:AC17" si="5">SUM(W11:W16)</f>
        <v>111</v>
      </c>
      <c r="X17" s="59">
        <f t="shared" si="5"/>
        <v>2958.6695658456329</v>
      </c>
      <c r="Y17" s="59">
        <f t="shared" si="5"/>
        <v>19.862309880334742</v>
      </c>
      <c r="Z17" s="59">
        <f t="shared" si="5"/>
        <v>773.88268444544747</v>
      </c>
      <c r="AA17" s="59">
        <f t="shared" si="5"/>
        <v>5213</v>
      </c>
      <c r="AB17" s="59">
        <f t="shared" si="5"/>
        <v>133.0582585608928</v>
      </c>
      <c r="AC17" s="59">
        <f t="shared" si="5"/>
        <v>147620.60466475456</v>
      </c>
    </row>
    <row r="18" spans="4:29">
      <c r="D18" s="35"/>
      <c r="O18" s="32">
        <v>15</v>
      </c>
      <c r="P18" s="33">
        <f t="shared" si="0"/>
        <v>345.65963452838372</v>
      </c>
      <c r="W18"/>
      <c r="X18"/>
      <c r="Y18"/>
      <c r="Z18"/>
      <c r="AA18"/>
      <c r="AB18"/>
      <c r="AC18"/>
    </row>
    <row r="19" spans="4:29">
      <c r="D19" s="35"/>
      <c r="O19" s="32">
        <v>16</v>
      </c>
      <c r="P19" s="33">
        <f t="shared" si="0"/>
        <v>358.05842952280022</v>
      </c>
      <c r="W19"/>
      <c r="X19"/>
      <c r="Y19"/>
      <c r="Z19"/>
      <c r="AA19"/>
      <c r="AB19"/>
      <c r="AC19"/>
    </row>
    <row r="20" spans="4:29">
      <c r="D20" s="35"/>
      <c r="O20" s="32">
        <v>17</v>
      </c>
      <c r="P20" s="33">
        <f t="shared" si="0"/>
        <v>370.90196871629939</v>
      </c>
      <c r="W20" t="s">
        <v>76</v>
      </c>
      <c r="X20">
        <v>3</v>
      </c>
      <c r="Y20"/>
      <c r="Z20"/>
      <c r="AA20"/>
      <c r="AB20"/>
      <c r="AC20"/>
    </row>
    <row r="21" spans="4:29">
      <c r="D21" s="35"/>
      <c r="O21" s="32">
        <v>18</v>
      </c>
      <c r="P21" s="33">
        <f t="shared" si="0"/>
        <v>384.2062050625924</v>
      </c>
      <c r="W21" t="s">
        <v>11</v>
      </c>
      <c r="X21" s="71">
        <f>((Z17*X20)-(W17)*(Y17))/((X20*AA17)-W17^2)</f>
        <v>3.5241608384323692E-2</v>
      </c>
      <c r="Y21"/>
      <c r="Z21"/>
      <c r="AA21"/>
      <c r="AB21"/>
      <c r="AC21"/>
    </row>
    <row r="22" spans="4:29">
      <c r="D22" s="35"/>
      <c r="O22" s="32">
        <v>19</v>
      </c>
      <c r="P22" s="33">
        <f t="shared" si="0"/>
        <v>397.98766374709686</v>
      </c>
      <c r="W22" t="s">
        <v>77</v>
      </c>
      <c r="X22">
        <f>(Y17/X20)-(X21*(W17/X20))</f>
        <v>5.3168304498916044</v>
      </c>
      <c r="Y22"/>
      <c r="Z22"/>
      <c r="AA22"/>
      <c r="AB22"/>
      <c r="AC22"/>
    </row>
    <row r="23" spans="4:29">
      <c r="D23" s="35"/>
      <c r="O23" s="32">
        <v>20</v>
      </c>
      <c r="P23" s="33">
        <f t="shared" si="0"/>
        <v>412.26346271286189</v>
      </c>
      <c r="W23" t="s">
        <v>10</v>
      </c>
      <c r="X23" s="72">
        <f>EXP(X22)</f>
        <v>203.73710257898838</v>
      </c>
      <c r="Y23"/>
      <c r="Z23"/>
      <c r="AA23"/>
      <c r="AB23"/>
      <c r="AC23"/>
    </row>
    <row r="24" spans="4:29">
      <c r="D24" s="35"/>
      <c r="O24" s="32">
        <v>21</v>
      </c>
      <c r="P24" s="33">
        <f t="shared" si="0"/>
        <v>427.05133392275673</v>
      </c>
    </row>
    <row r="25" spans="4:29">
      <c r="D25" s="35"/>
      <c r="O25" s="32">
        <v>22</v>
      </c>
      <c r="P25" s="33">
        <f t="shared" si="0"/>
        <v>442.36964538433284</v>
      </c>
    </row>
    <row r="26" spans="4:29">
      <c r="D26" s="35"/>
      <c r="O26" s="32">
        <v>23</v>
      </c>
      <c r="P26" s="33">
        <f t="shared" si="0"/>
        <v>458.23742396471749</v>
      </c>
    </row>
    <row r="27" spans="4:29" ht="15.75" customHeight="1">
      <c r="D27" s="35"/>
      <c r="O27" s="32">
        <v>24</v>
      </c>
      <c r="P27" s="33">
        <f t="shared" si="0"/>
        <v>474.67437902387547</v>
      </c>
    </row>
    <row r="28" spans="4:29">
      <c r="D28" s="35"/>
      <c r="O28" s="75">
        <v>25</v>
      </c>
      <c r="P28" s="76">
        <f t="shared" si="0"/>
        <v>491.70092689559613</v>
      </c>
    </row>
    <row r="29" spans="4:29">
      <c r="D29" s="35"/>
      <c r="O29" s="47">
        <v>26</v>
      </c>
      <c r="P29" s="33">
        <f t="shared" si="0"/>
        <v>509.33821624661073</v>
      </c>
    </row>
    <row r="30" spans="4:29">
      <c r="D30" s="35"/>
      <c r="O30" s="47">
        <v>27</v>
      </c>
      <c r="P30" s="33">
        <f t="shared" si="0"/>
        <v>527.60815434534163</v>
      </c>
    </row>
    <row r="31" spans="4:29">
      <c r="D31" s="35"/>
      <c r="O31" s="47">
        <v>28</v>
      </c>
      <c r="P31" s="33">
        <f t="shared" si="0"/>
        <v>546.53343427290918</v>
      </c>
    </row>
    <row r="32" spans="4:29">
      <c r="D32" s="35"/>
      <c r="O32" s="47">
        <v>29</v>
      </c>
      <c r="P32" s="33">
        <f t="shared" si="0"/>
        <v>566.13756311019688</v>
      </c>
    </row>
    <row r="33" spans="4:17">
      <c r="D33" s="35"/>
      <c r="O33" s="47">
        <v>30</v>
      </c>
      <c r="P33" s="33">
        <f t="shared" si="0"/>
        <v>586.44489113598468</v>
      </c>
    </row>
    <row r="34" spans="4:17">
      <c r="D34" s="35"/>
      <c r="O34" s="47">
        <v>31</v>
      </c>
      <c r="P34" s="33">
        <f t="shared" si="0"/>
        <v>607.48064207241896</v>
      </c>
    </row>
    <row r="35" spans="4:17">
      <c r="D35" s="35"/>
      <c r="O35" s="47">
        <v>32</v>
      </c>
      <c r="P35" s="33">
        <f t="shared" si="0"/>
        <v>629.27094441538441</v>
      </c>
    </row>
    <row r="36" spans="4:17">
      <c r="D36" s="35"/>
      <c r="O36" s="47">
        <v>33</v>
      </c>
      <c r="P36" s="33">
        <f t="shared" si="0"/>
        <v>651.84286388869657</v>
      </c>
    </row>
    <row r="37" spans="4:17">
      <c r="D37" s="35"/>
      <c r="O37" s="47">
        <v>34</v>
      </c>
      <c r="P37" s="33">
        <f t="shared" si="0"/>
        <v>675.22443706242393</v>
      </c>
    </row>
    <row r="38" spans="4:17">
      <c r="D38" s="35"/>
      <c r="O38" s="47">
        <v>35</v>
      </c>
      <c r="P38" s="33">
        <f t="shared" si="0"/>
        <v>699.44470617709794</v>
      </c>
    </row>
    <row r="39" spans="4:17">
      <c r="O39" s="47">
        <v>36</v>
      </c>
      <c r="P39" s="33">
        <f t="shared" si="0"/>
        <v>724.53375521706494</v>
      </c>
    </row>
    <row r="40" spans="4:17">
      <c r="O40" s="47">
        <v>37</v>
      </c>
      <c r="P40" s="33">
        <f t="shared" si="0"/>
        <v>750.52274727778968</v>
      </c>
    </row>
    <row r="41" spans="4:17">
      <c r="O41" s="45">
        <v>38</v>
      </c>
      <c r="P41" s="33">
        <f t="shared" si="0"/>
        <v>777.44396327351922</v>
      </c>
      <c r="Q41" s="46"/>
    </row>
    <row r="42" spans="4:17">
      <c r="O42" s="47">
        <v>39</v>
      </c>
      <c r="P42" s="33">
        <f t="shared" si="0"/>
        <v>805.33084203339217</v>
      </c>
    </row>
    <row r="43" spans="4:17">
      <c r="O43" s="63">
        <v>40</v>
      </c>
      <c r="P43" s="64">
        <f t="shared" si="0"/>
        <v>834.21802183579075</v>
      </c>
    </row>
    <row r="44" spans="4:17">
      <c r="O44" s="47">
        <v>41</v>
      </c>
      <c r="P44" s="33">
        <f t="shared" si="0"/>
        <v>864.14138343253023</v>
      </c>
    </row>
    <row r="45" spans="4:17">
      <c r="O45" s="47">
        <v>42</v>
      </c>
      <c r="P45" s="33">
        <f t="shared" si="0"/>
        <v>895.13809461632218</v>
      </c>
    </row>
    <row r="46" spans="4:17">
      <c r="O46" s="47">
        <v>43</v>
      </c>
      <c r="P46" s="33">
        <f t="shared" si="0"/>
        <v>927.24665638687213</v>
      </c>
    </row>
    <row r="47" spans="4:17">
      <c r="O47" s="47">
        <v>44</v>
      </c>
      <c r="P47" s="33">
        <f t="shared" si="0"/>
        <v>960.50695077295268</v>
      </c>
    </row>
    <row r="48" spans="4:17">
      <c r="O48" s="47">
        <v>45</v>
      </c>
      <c r="P48" s="33">
        <f t="shared" si="0"/>
        <v>994.96029036985033</v>
      </c>
    </row>
    <row r="49" spans="15:16">
      <c r="O49" s="47">
        <v>46</v>
      </c>
      <c r="P49" s="33">
        <f t="shared" si="0"/>
        <v>1030.6494696537216</v>
      </c>
    </row>
    <row r="50" spans="15:16">
      <c r="O50" s="47">
        <v>47</v>
      </c>
      <c r="P50" s="33">
        <f t="shared" si="0"/>
        <v>1067.6188181365892</v>
      </c>
    </row>
    <row r="51" spans="15:16">
      <c r="O51" s="47">
        <v>48</v>
      </c>
      <c r="P51" s="33">
        <f t="shared" si="0"/>
        <v>1105.914255428009</v>
      </c>
    </row>
    <row r="52" spans="15:16">
      <c r="O52" s="47">
        <v>49</v>
      </c>
      <c r="P52" s="33">
        <f t="shared" si="0"/>
        <v>1145.5833482717924</v>
      </c>
    </row>
    <row r="53" spans="15:16">
      <c r="O53" s="47">
        <v>50</v>
      </c>
      <c r="P53" s="33">
        <f t="shared" si="0"/>
        <v>1186.675369628636</v>
      </c>
    </row>
    <row r="54" spans="15:16">
      <c r="O54" s="32">
        <v>51</v>
      </c>
      <c r="P54" s="33">
        <f t="shared" si="0"/>
        <v>1229.2413598780433</v>
      </c>
    </row>
    <row r="55" spans="15:16">
      <c r="O55" s="32">
        <v>52</v>
      </c>
      <c r="P55" s="33">
        <f t="shared" si="0"/>
        <v>1273.3341902155528</v>
      </c>
    </row>
    <row r="56" spans="15:16">
      <c r="O56" s="32">
        <v>53</v>
      </c>
      <c r="P56" s="33">
        <f t="shared" si="0"/>
        <v>1319.0086283240259</v>
      </c>
    </row>
    <row r="57" spans="15:16">
      <c r="O57" s="32">
        <v>54</v>
      </c>
      <c r="P57" s="33">
        <f t="shared" si="0"/>
        <v>1366.3214064005565</v>
      </c>
    </row>
    <row r="58" spans="15:16">
      <c r="O58" s="32">
        <v>55</v>
      </c>
      <c r="P58" s="33">
        <f t="shared" si="0"/>
        <v>1415.3312916235075</v>
      </c>
    </row>
    <row r="59" spans="15:16">
      <c r="O59" s="32">
        <v>56</v>
      </c>
      <c r="P59" s="33">
        <f t="shared" si="0"/>
        <v>1466.0991591471932</v>
      </c>
    </row>
    <row r="60" spans="15:16">
      <c r="O60" s="32">
        <v>57</v>
      </c>
      <c r="P60" s="33">
        <f t="shared" si="0"/>
        <v>1518.6880677148777</v>
      </c>
    </row>
    <row r="61" spans="15:16">
      <c r="O61" s="32">
        <v>58</v>
      </c>
      <c r="P61" s="33">
        <f t="shared" si="0"/>
        <v>1573.1633379840105</v>
      </c>
    </row>
    <row r="62" spans="15:16">
      <c r="O62" s="32">
        <v>59</v>
      </c>
      <c r="P62" s="33">
        <f t="shared" si="0"/>
        <v>1629.5926336609805</v>
      </c>
    </row>
    <row r="63" spans="15:16">
      <c r="O63" s="32">
        <v>60</v>
      </c>
      <c r="P63" s="33">
        <f t="shared" si="0"/>
        <v>1688.0460455461762</v>
      </c>
    </row>
    <row r="64" spans="15:16">
      <c r="O64" s="32">
        <v>61</v>
      </c>
      <c r="P64" s="33">
        <f t="shared" si="0"/>
        <v>1748.5961785937297</v>
      </c>
    </row>
    <row r="65" spans="15:17">
      <c r="O65" s="32">
        <v>62</v>
      </c>
      <c r="P65" s="33">
        <f t="shared" si="0"/>
        <v>1811.3182420940996</v>
      </c>
    </row>
    <row r="66" spans="15:17">
      <c r="O66" s="45">
        <v>63</v>
      </c>
      <c r="P66" s="33">
        <f t="shared" si="0"/>
        <v>1876.2901430914872</v>
      </c>
      <c r="Q66" s="46"/>
    </row>
    <row r="67" spans="15:17">
      <c r="O67" s="32">
        <v>64</v>
      </c>
      <c r="P67" s="33">
        <f t="shared" si="0"/>
        <v>1943.5925831521463</v>
      </c>
    </row>
    <row r="68" spans="15:17">
      <c r="O68" s="32">
        <v>65</v>
      </c>
      <c r="P68" s="33">
        <f t="shared" ref="P68:P103" si="6">$X$23*EXP($X$21*O68)</f>
        <v>2013.3091586037503</v>
      </c>
    </row>
    <row r="69" spans="15:17">
      <c r="O69" s="32">
        <v>66</v>
      </c>
      <c r="P69" s="33">
        <f t="shared" si="6"/>
        <v>2085.526464370354</v>
      </c>
    </row>
    <row r="70" spans="15:17">
      <c r="O70" s="32">
        <v>67</v>
      </c>
      <c r="P70" s="33">
        <f t="shared" si="6"/>
        <v>2160.334201531909</v>
      </c>
    </row>
    <row r="71" spans="15:17">
      <c r="O71" s="32">
        <v>68</v>
      </c>
      <c r="P71" s="33">
        <f t="shared" si="6"/>
        <v>2237.8252887419226</v>
      </c>
    </row>
    <row r="72" spans="15:17">
      <c r="O72" s="32">
        <v>69</v>
      </c>
      <c r="P72" s="33">
        <f t="shared" si="6"/>
        <v>2318.0959776416812</v>
      </c>
    </row>
    <row r="73" spans="15:17">
      <c r="O73" s="32">
        <v>70</v>
      </c>
      <c r="P73" s="33">
        <f t="shared" si="6"/>
        <v>2401.2459724143578</v>
      </c>
    </row>
    <row r="74" spans="15:17">
      <c r="O74" s="32">
        <v>71</v>
      </c>
      <c r="P74" s="33">
        <f t="shared" si="6"/>
        <v>2487.3785536275377</v>
      </c>
    </row>
    <row r="75" spans="15:17">
      <c r="O75" s="32">
        <v>72</v>
      </c>
      <c r="P75" s="33">
        <f t="shared" si="6"/>
        <v>2576.600706517951</v>
      </c>
    </row>
    <row r="76" spans="15:17">
      <c r="O76" s="32">
        <v>73</v>
      </c>
      <c r="P76" s="33">
        <f t="shared" si="6"/>
        <v>2669.0232538777923</v>
      </c>
    </row>
    <row r="77" spans="15:17">
      <c r="O77" s="32">
        <v>74</v>
      </c>
      <c r="P77" s="33">
        <f t="shared" si="6"/>
        <v>2764.7609937076477</v>
      </c>
    </row>
    <row r="78" spans="15:17">
      <c r="O78" s="32">
        <v>75</v>
      </c>
      <c r="P78" s="33">
        <f t="shared" si="6"/>
        <v>2863.9328418070395</v>
      </c>
    </row>
    <row r="79" spans="15:17">
      <c r="O79" s="47">
        <v>76</v>
      </c>
      <c r="P79" s="33">
        <f t="shared" si="6"/>
        <v>2966.6619794796839</v>
      </c>
    </row>
    <row r="80" spans="15:17">
      <c r="O80" s="47">
        <v>77</v>
      </c>
      <c r="P80" s="33">
        <f t="shared" si="6"/>
        <v>3073.0760065369209</v>
      </c>
    </row>
    <row r="81" spans="15:17">
      <c r="O81" s="47">
        <v>78</v>
      </c>
      <c r="P81" s="33">
        <f t="shared" si="6"/>
        <v>3183.3070997893869</v>
      </c>
    </row>
    <row r="82" spans="15:17">
      <c r="O82" s="47">
        <v>79</v>
      </c>
      <c r="P82" s="33">
        <f t="shared" si="6"/>
        <v>3297.4921772237553</v>
      </c>
    </row>
    <row r="83" spans="15:17">
      <c r="O83" s="47">
        <v>80</v>
      </c>
      <c r="P83" s="33">
        <f t="shared" si="6"/>
        <v>3415.7730680685099</v>
      </c>
    </row>
    <row r="84" spans="15:17">
      <c r="O84" s="47">
        <v>81</v>
      </c>
      <c r="P84" s="33">
        <f t="shared" si="6"/>
        <v>3538.2966889599538</v>
      </c>
    </row>
    <row r="85" spans="15:17">
      <c r="O85" s="47">
        <v>82</v>
      </c>
      <c r="P85" s="33">
        <f t="shared" si="6"/>
        <v>3665.2152264272913</v>
      </c>
    </row>
    <row r="86" spans="15:17">
      <c r="O86" s="47">
        <v>83</v>
      </c>
      <c r="P86" s="33">
        <f t="shared" si="6"/>
        <v>3796.6863259234474</v>
      </c>
    </row>
    <row r="87" spans="15:17">
      <c r="O87" s="47">
        <v>84</v>
      </c>
      <c r="P87" s="33">
        <f t="shared" si="6"/>
        <v>3932.8732876363956</v>
      </c>
    </row>
    <row r="88" spans="15:17">
      <c r="O88" s="47">
        <v>85</v>
      </c>
      <c r="P88" s="33">
        <f t="shared" si="6"/>
        <v>4073.945269324257</v>
      </c>
    </row>
    <row r="89" spans="15:17">
      <c r="O89" s="47">
        <v>86</v>
      </c>
      <c r="P89" s="33">
        <f t="shared" si="6"/>
        <v>4220.0774964260472</v>
      </c>
    </row>
    <row r="90" spans="15:17">
      <c r="O90" s="47">
        <v>87</v>
      </c>
      <c r="P90" s="33">
        <f t="shared" si="6"/>
        <v>4371.4514797091342</v>
      </c>
    </row>
    <row r="91" spans="15:17">
      <c r="O91" s="45">
        <v>88</v>
      </c>
      <c r="P91" s="33">
        <f t="shared" si="6"/>
        <v>4528.2552407236471</v>
      </c>
      <c r="Q91" s="46"/>
    </row>
    <row r="92" spans="15:17">
      <c r="O92" s="47">
        <v>89</v>
      </c>
      <c r="P92" s="33">
        <f t="shared" si="6"/>
        <v>4690.6835453439644</v>
      </c>
    </row>
    <row r="93" spans="15:17">
      <c r="O93" s="47">
        <v>90</v>
      </c>
      <c r="P93" s="33">
        <f t="shared" si="6"/>
        <v>4858.938145687318</v>
      </c>
    </row>
    <row r="94" spans="15:17">
      <c r="O94" s="47">
        <v>91</v>
      </c>
      <c r="P94" s="33">
        <f t="shared" si="6"/>
        <v>5033.2280307099791</v>
      </c>
    </row>
    <row r="95" spans="15:17">
      <c r="O95" s="47">
        <v>92</v>
      </c>
      <c r="P95" s="33">
        <f t="shared" si="6"/>
        <v>5213.7696857923556</v>
      </c>
    </row>
    <row r="96" spans="15:17">
      <c r="O96" s="47">
        <v>93</v>
      </c>
      <c r="P96" s="33">
        <f t="shared" si="6"/>
        <v>5400.7873616353654</v>
      </c>
    </row>
    <row r="97" spans="15:16">
      <c r="O97" s="47">
        <v>94</v>
      </c>
      <c r="P97" s="33">
        <f t="shared" si="6"/>
        <v>5594.5133528021297</v>
      </c>
    </row>
    <row r="98" spans="15:16">
      <c r="O98" s="47">
        <v>95</v>
      </c>
      <c r="P98" s="33">
        <f t="shared" si="6"/>
        <v>5795.1882862509265</v>
      </c>
    </row>
    <row r="99" spans="15:16">
      <c r="O99" s="47">
        <v>96</v>
      </c>
      <c r="P99" s="33">
        <f t="shared" si="6"/>
        <v>6003.0614202178294</v>
      </c>
    </row>
    <row r="100" spans="15:16">
      <c r="O100" s="47">
        <v>97</v>
      </c>
      <c r="P100" s="33">
        <f t="shared" si="6"/>
        <v>6218.390953820227</v>
      </c>
    </row>
    <row r="101" spans="15:16">
      <c r="O101" s="47">
        <v>98</v>
      </c>
      <c r="P101" s="33">
        <f t="shared" si="6"/>
        <v>6441.4443477658224</v>
      </c>
    </row>
    <row r="102" spans="15:16">
      <c r="O102" s="47">
        <v>99</v>
      </c>
      <c r="P102" s="33">
        <f t="shared" si="6"/>
        <v>6672.4986565654626</v>
      </c>
    </row>
    <row r="103" spans="15:16">
      <c r="O103" s="47">
        <v>100</v>
      </c>
      <c r="P103" s="33">
        <f t="shared" si="6"/>
        <v>6911.8408726623811</v>
      </c>
    </row>
  </sheetData>
  <conditionalFormatting sqref="D2:D4">
    <cfRule type="cellIs" dxfId="3" priority="64" operator="equal">
      <formula>"PIVOTE NO PUEDE SER MENOR AL EXCESO"</formula>
    </cfRule>
  </conditionalFormatting>
  <conditionalFormatting sqref="D5">
    <cfRule type="cellIs" dxfId="2" priority="63" operator="equal">
      <formula>"PIVOTE NO PUEDE SER MENOR AL EXCESO"</formula>
    </cfRule>
  </conditionalFormatting>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C103"/>
  <sheetViews>
    <sheetView showGridLines="0" topLeftCell="H75" zoomScale="70" zoomScaleNormal="70" workbookViewId="0">
      <selection activeCell="T104" sqref="T104"/>
    </sheetView>
  </sheetViews>
  <sheetFormatPr baseColWidth="10" defaultColWidth="11.42578125" defaultRowHeight="15"/>
  <cols>
    <col min="1" max="1" width="17" style="5" bestFit="1" customWidth="1"/>
    <col min="2" max="3" width="12.7109375" style="5" customWidth="1"/>
    <col min="4" max="4" width="24.570312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16.42578125" style="5" customWidth="1"/>
    <col min="17" max="17" width="4.42578125" style="5" customWidth="1"/>
    <col min="18" max="18" width="9.85546875" style="5" customWidth="1"/>
    <col min="19" max="19" width="6.85546875" style="5" bestFit="1" customWidth="1"/>
    <col min="20" max="21" width="11.5703125" style="5" bestFit="1" customWidth="1"/>
    <col min="22" max="22" width="12" style="5" bestFit="1" customWidth="1"/>
    <col min="23" max="23" width="12.5703125" style="5" bestFit="1" customWidth="1"/>
    <col min="24" max="24" width="17.42578125" style="5" bestFit="1" customWidth="1"/>
    <col min="25" max="25" width="10.5703125" style="5" bestFit="1" customWidth="1"/>
    <col min="26" max="26" width="9.85546875" style="5" bestFit="1" customWidth="1"/>
    <col min="27" max="16384" width="11.42578125" style="5"/>
  </cols>
  <sheetData>
    <row r="1" spans="1:29" ht="45">
      <c r="A1" s="15" t="s">
        <v>0</v>
      </c>
      <c r="B1" s="16" t="s">
        <v>1</v>
      </c>
      <c r="C1" s="16" t="s">
        <v>7</v>
      </c>
      <c r="D1" s="17" t="s">
        <v>2</v>
      </c>
      <c r="O1" s="18" t="s">
        <v>8</v>
      </c>
      <c r="P1" s="19"/>
      <c r="T1" s="20"/>
    </row>
    <row r="2" spans="1:29">
      <c r="A2" s="21" t="s">
        <v>5</v>
      </c>
      <c r="B2" s="22">
        <f>Cotización!H31</f>
        <v>0</v>
      </c>
      <c r="C2" s="23">
        <v>0</v>
      </c>
      <c r="D2" s="24"/>
      <c r="O2" s="25" t="s">
        <v>9</v>
      </c>
      <c r="P2" s="25" t="s">
        <v>6</v>
      </c>
      <c r="Q2" s="26"/>
      <c r="R2" s="26"/>
      <c r="S2" s="26"/>
      <c r="T2" s="26"/>
      <c r="U2" s="26"/>
      <c r="V2" s="26"/>
      <c r="W2" s="26"/>
      <c r="X2" s="27"/>
    </row>
    <row r="3" spans="1:29">
      <c r="A3" s="28" t="s">
        <v>3</v>
      </c>
      <c r="B3" s="29">
        <f>B2</f>
        <v>0</v>
      </c>
      <c r="C3" s="30">
        <f>C2</f>
        <v>0</v>
      </c>
      <c r="D3" s="31"/>
      <c r="O3" s="32">
        <v>0</v>
      </c>
      <c r="P3" s="33" t="e">
        <f>$X$23*EXP($X$21*O3)</f>
        <v>#NUM!</v>
      </c>
      <c r="R3" s="26"/>
      <c r="S3" t="s">
        <v>59</v>
      </c>
      <c r="T3" t="s">
        <v>60</v>
      </c>
      <c r="U3" t="s">
        <v>61</v>
      </c>
      <c r="V3" t="s">
        <v>62</v>
      </c>
      <c r="W3" t="s">
        <v>63</v>
      </c>
      <c r="X3" t="s">
        <v>64</v>
      </c>
      <c r="Y3" s="5" t="s">
        <v>1</v>
      </c>
      <c r="Z3" s="5" t="s">
        <v>68</v>
      </c>
      <c r="AA3" t="s">
        <v>65</v>
      </c>
      <c r="AB3" t="s">
        <v>66</v>
      </c>
      <c r="AC3" t="s">
        <v>67</v>
      </c>
    </row>
    <row r="4" spans="1:29">
      <c r="A4" s="21" t="s">
        <v>4</v>
      </c>
      <c r="B4" s="29">
        <f>B3</f>
        <v>0</v>
      </c>
      <c r="C4" s="37">
        <f>C2</f>
        <v>0</v>
      </c>
      <c r="D4" s="24"/>
      <c r="O4" s="32">
        <v>1</v>
      </c>
      <c r="P4" s="33" t="e">
        <f t="shared" ref="P4:P67" si="0">$X$23*EXP($X$21*O4)</f>
        <v>#NUM!</v>
      </c>
      <c r="R4" s="26"/>
      <c r="S4">
        <v>0</v>
      </c>
      <c r="T4" s="66">
        <v>66580.97</v>
      </c>
      <c r="U4" s="66">
        <v>89519.15</v>
      </c>
      <c r="V4" s="66">
        <v>78803.33</v>
      </c>
      <c r="W4" s="67">
        <v>6819211</v>
      </c>
      <c r="X4" s="68">
        <v>1.11707941196337E-5</v>
      </c>
      <c r="Y4" s="44">
        <f t="shared" ref="Y4:Z6" si="1">B2</f>
        <v>0</v>
      </c>
      <c r="Z4" s="70">
        <f t="shared" si="1"/>
        <v>0</v>
      </c>
      <c r="AA4" s="69">
        <f>V4/W4</f>
        <v>1.1556077381972783E-2</v>
      </c>
      <c r="AB4" s="58">
        <f>Y4* EXP(-X4* Y4)  * (1 -Z4)</f>
        <v>0</v>
      </c>
      <c r="AC4">
        <f>AB4*AA4</f>
        <v>0</v>
      </c>
    </row>
    <row r="5" spans="1:29">
      <c r="A5" s="38"/>
      <c r="B5" s="39"/>
      <c r="C5" s="40"/>
      <c r="D5" s="41"/>
      <c r="O5" s="32">
        <v>2</v>
      </c>
      <c r="P5" s="33" t="e">
        <f t="shared" si="0"/>
        <v>#NUM!</v>
      </c>
      <c r="R5" s="26"/>
      <c r="S5">
        <v>25</v>
      </c>
      <c r="T5" s="66">
        <v>96832.960000000006</v>
      </c>
      <c r="U5" s="66">
        <v>137013.46</v>
      </c>
      <c r="V5" s="66">
        <v>146569.32999999999</v>
      </c>
      <c r="W5" s="67">
        <v>11992164</v>
      </c>
      <c r="X5" s="68">
        <v>7.2985528969408801E-6</v>
      </c>
      <c r="Y5" s="44">
        <f t="shared" si="1"/>
        <v>0</v>
      </c>
      <c r="Z5" s="70">
        <f t="shared" si="1"/>
        <v>0</v>
      </c>
      <c r="AA5" s="69">
        <f>V5/W5</f>
        <v>1.2222091859317467E-2</v>
      </c>
      <c r="AB5" s="58">
        <f t="shared" ref="AB5:AB6" si="2">Y5* EXP(-X5* Y5)  * (1 -Z5)</f>
        <v>0</v>
      </c>
      <c r="AC5">
        <f>AB5*AA5</f>
        <v>0</v>
      </c>
    </row>
    <row r="6" spans="1:29">
      <c r="C6" s="42"/>
      <c r="D6" s="34"/>
      <c r="O6" s="32">
        <v>3</v>
      </c>
      <c r="P6" s="33" t="e">
        <f t="shared" si="0"/>
        <v>#NUM!</v>
      </c>
      <c r="R6" s="26"/>
      <c r="S6">
        <v>50</v>
      </c>
      <c r="T6" s="66">
        <v>112538.57</v>
      </c>
      <c r="U6" s="66">
        <v>171648.97</v>
      </c>
      <c r="V6" s="66">
        <v>121608.33</v>
      </c>
      <c r="W6" s="67">
        <v>3036493</v>
      </c>
      <c r="X6" s="68">
        <v>5.8258434251214803E-6</v>
      </c>
      <c r="Y6" s="44">
        <f t="shared" si="1"/>
        <v>0</v>
      </c>
      <c r="Z6" s="70">
        <f t="shared" si="1"/>
        <v>0</v>
      </c>
      <c r="AA6" s="69">
        <f>V6/W6</f>
        <v>4.0048941328038629E-2</v>
      </c>
      <c r="AB6" s="58">
        <f t="shared" si="2"/>
        <v>0</v>
      </c>
      <c r="AC6">
        <f>AB6*AA6</f>
        <v>0</v>
      </c>
    </row>
    <row r="7" spans="1:29">
      <c r="D7" s="35"/>
      <c r="O7" s="32">
        <v>4</v>
      </c>
      <c r="P7" s="33" t="e">
        <f t="shared" si="0"/>
        <v>#NUM!</v>
      </c>
      <c r="R7" s="26"/>
      <c r="S7" s="26"/>
      <c r="T7" s="26"/>
      <c r="U7" s="26"/>
      <c r="V7" s="26"/>
      <c r="W7" s="43"/>
      <c r="X7" s="43"/>
    </row>
    <row r="8" spans="1:29">
      <c r="D8" s="35"/>
      <c r="O8" s="32">
        <v>5</v>
      </c>
      <c r="P8" s="33" t="e">
        <f t="shared" si="0"/>
        <v>#NUM!</v>
      </c>
      <c r="R8" s="26"/>
      <c r="S8" s="26"/>
      <c r="T8" s="26"/>
      <c r="U8" s="26"/>
      <c r="V8" s="26"/>
    </row>
    <row r="9" spans="1:29">
      <c r="D9" s="35"/>
      <c r="O9" s="32">
        <v>6</v>
      </c>
      <c r="P9" s="33" t="e">
        <f t="shared" si="0"/>
        <v>#NUM!</v>
      </c>
      <c r="R9" s="26"/>
      <c r="S9" s="26"/>
      <c r="T9" s="26"/>
      <c r="U9" s="26"/>
      <c r="V9" s="26"/>
    </row>
    <row r="10" spans="1:29">
      <c r="D10" s="35"/>
      <c r="O10" s="32">
        <v>7</v>
      </c>
      <c r="P10" s="33" t="e">
        <f t="shared" si="0"/>
        <v>#NUM!</v>
      </c>
      <c r="R10" s="26"/>
      <c r="S10" s="26"/>
      <c r="T10" s="26"/>
      <c r="U10" s="26"/>
      <c r="V10" s="26"/>
      <c r="W10" t="s">
        <v>69</v>
      </c>
      <c r="X10" t="s">
        <v>70</v>
      </c>
      <c r="Y10" t="s">
        <v>71</v>
      </c>
      <c r="Z10" t="s">
        <v>72</v>
      </c>
      <c r="AA10" t="s">
        <v>73</v>
      </c>
      <c r="AB10" t="s">
        <v>74</v>
      </c>
      <c r="AC10" t="s">
        <v>75</v>
      </c>
    </row>
    <row r="11" spans="1:29">
      <c r="D11" s="35"/>
      <c r="O11" s="32">
        <v>8</v>
      </c>
      <c r="P11" s="33" t="e">
        <f t="shared" si="0"/>
        <v>#NUM!</v>
      </c>
      <c r="R11" s="26"/>
      <c r="S11" s="26"/>
      <c r="T11" s="26"/>
      <c r="U11" s="26"/>
      <c r="V11" s="26"/>
      <c r="W11">
        <v>13</v>
      </c>
      <c r="X11">
        <f>AC4</f>
        <v>0</v>
      </c>
      <c r="Y11" t="e">
        <f>LN(X11)</f>
        <v>#NUM!</v>
      </c>
      <c r="Z11" t="e">
        <f>Y11*W11</f>
        <v>#NUM!</v>
      </c>
      <c r="AA11">
        <f>W11^2</f>
        <v>169</v>
      </c>
      <c r="AB11" t="e">
        <f>Y11^2</f>
        <v>#NUM!</v>
      </c>
      <c r="AC11">
        <f>W11*X11</f>
        <v>0</v>
      </c>
    </row>
    <row r="12" spans="1:29">
      <c r="D12" s="35"/>
      <c r="N12" s="35"/>
      <c r="O12" s="32">
        <v>9</v>
      </c>
      <c r="P12" s="33" t="e">
        <f t="shared" si="0"/>
        <v>#NUM!</v>
      </c>
      <c r="R12" s="26"/>
      <c r="S12" s="26"/>
      <c r="T12" s="26"/>
      <c r="U12" s="26"/>
      <c r="V12" s="26"/>
      <c r="W12">
        <v>38</v>
      </c>
      <c r="X12">
        <f>AC5</f>
        <v>0</v>
      </c>
      <c r="Y12" t="e">
        <f>LN(X12)</f>
        <v>#NUM!</v>
      </c>
      <c r="Z12" t="e">
        <f>Y12*W12</f>
        <v>#NUM!</v>
      </c>
      <c r="AA12">
        <f t="shared" ref="AA12:AA13" si="3">W12^2</f>
        <v>1444</v>
      </c>
      <c r="AB12" t="e">
        <f t="shared" ref="AB12:AB13" si="4">Y12^2</f>
        <v>#NUM!</v>
      </c>
      <c r="AC12">
        <f>W12*X12</f>
        <v>0</v>
      </c>
    </row>
    <row r="13" spans="1:29">
      <c r="D13" s="35"/>
      <c r="N13" s="35"/>
      <c r="O13" s="32">
        <v>10</v>
      </c>
      <c r="P13" s="33" t="e">
        <f t="shared" si="0"/>
        <v>#NUM!</v>
      </c>
      <c r="R13" s="26"/>
      <c r="S13" s="26"/>
      <c r="T13" s="26"/>
      <c r="U13" s="26"/>
      <c r="V13" s="26"/>
      <c r="W13">
        <v>60</v>
      </c>
      <c r="X13">
        <f>AC6</f>
        <v>0</v>
      </c>
      <c r="Y13" t="e">
        <f>LN(X13)</f>
        <v>#NUM!</v>
      </c>
      <c r="Z13" t="e">
        <f>Y13*W13</f>
        <v>#NUM!</v>
      </c>
      <c r="AA13">
        <f t="shared" si="3"/>
        <v>3600</v>
      </c>
      <c r="AB13" t="e">
        <f t="shared" si="4"/>
        <v>#NUM!</v>
      </c>
      <c r="AC13">
        <f>W13*X13</f>
        <v>0</v>
      </c>
    </row>
    <row r="14" spans="1:29">
      <c r="D14" s="35"/>
      <c r="O14" s="32">
        <v>11</v>
      </c>
      <c r="P14" s="33" t="e">
        <f t="shared" si="0"/>
        <v>#NUM!</v>
      </c>
      <c r="R14" s="26"/>
      <c r="S14" s="26"/>
      <c r="T14" s="26"/>
      <c r="U14" s="26"/>
      <c r="V14" s="26"/>
    </row>
    <row r="15" spans="1:29">
      <c r="D15" s="35"/>
      <c r="O15" s="32">
        <v>12</v>
      </c>
      <c r="P15" s="33" t="e">
        <f t="shared" si="0"/>
        <v>#NUM!</v>
      </c>
    </row>
    <row r="16" spans="1:29">
      <c r="D16" s="35"/>
      <c r="O16" s="45">
        <v>13</v>
      </c>
      <c r="P16" s="33" t="e">
        <f t="shared" si="0"/>
        <v>#NUM!</v>
      </c>
      <c r="Q16" s="46"/>
    </row>
    <row r="17" spans="4:29">
      <c r="D17" s="35"/>
      <c r="O17" s="32">
        <v>14</v>
      </c>
      <c r="P17" s="33" t="e">
        <f t="shared" si="0"/>
        <v>#NUM!</v>
      </c>
      <c r="W17" s="59">
        <f t="shared" ref="W17:AC17" si="5">SUM(W11:W16)</f>
        <v>111</v>
      </c>
      <c r="X17" s="59">
        <f t="shared" si="5"/>
        <v>0</v>
      </c>
      <c r="Y17" s="59" t="e">
        <f t="shared" si="5"/>
        <v>#NUM!</v>
      </c>
      <c r="Z17" s="59" t="e">
        <f t="shared" si="5"/>
        <v>#NUM!</v>
      </c>
      <c r="AA17" s="59">
        <f t="shared" si="5"/>
        <v>5213</v>
      </c>
      <c r="AB17" s="59" t="e">
        <f t="shared" si="5"/>
        <v>#NUM!</v>
      </c>
      <c r="AC17" s="59">
        <f t="shared" si="5"/>
        <v>0</v>
      </c>
    </row>
    <row r="18" spans="4:29">
      <c r="D18" s="35"/>
      <c r="O18" s="32">
        <v>15</v>
      </c>
      <c r="P18" s="33" t="e">
        <f t="shared" si="0"/>
        <v>#NUM!</v>
      </c>
      <c r="W18"/>
      <c r="X18"/>
      <c r="Y18"/>
      <c r="Z18"/>
      <c r="AA18"/>
      <c r="AB18"/>
      <c r="AC18"/>
    </row>
    <row r="19" spans="4:29">
      <c r="D19" s="35"/>
      <c r="O19" s="32">
        <v>16</v>
      </c>
      <c r="P19" s="33" t="e">
        <f t="shared" si="0"/>
        <v>#NUM!</v>
      </c>
      <c r="W19"/>
      <c r="X19"/>
      <c r="Y19"/>
      <c r="Z19"/>
      <c r="AA19"/>
      <c r="AB19"/>
      <c r="AC19"/>
    </row>
    <row r="20" spans="4:29">
      <c r="D20" s="35"/>
      <c r="O20" s="32">
        <v>17</v>
      </c>
      <c r="P20" s="33" t="e">
        <f t="shared" si="0"/>
        <v>#NUM!</v>
      </c>
      <c r="W20" t="s">
        <v>76</v>
      </c>
      <c r="X20">
        <v>3</v>
      </c>
      <c r="Y20"/>
      <c r="Z20"/>
      <c r="AA20"/>
      <c r="AB20"/>
      <c r="AC20"/>
    </row>
    <row r="21" spans="4:29">
      <c r="D21" s="35"/>
      <c r="O21" s="32">
        <v>18</v>
      </c>
      <c r="P21" s="33" t="e">
        <f t="shared" si="0"/>
        <v>#NUM!</v>
      </c>
      <c r="W21" t="s">
        <v>11</v>
      </c>
      <c r="X21" s="71" t="e">
        <f>((Z17*X20)-(W17)*(Y17))/((X20*AA17)-W17^2)</f>
        <v>#NUM!</v>
      </c>
      <c r="Y21"/>
      <c r="Z21"/>
      <c r="AA21"/>
      <c r="AB21"/>
      <c r="AC21"/>
    </row>
    <row r="22" spans="4:29">
      <c r="D22" s="35"/>
      <c r="O22" s="32">
        <v>19</v>
      </c>
      <c r="P22" s="33" t="e">
        <f t="shared" si="0"/>
        <v>#NUM!</v>
      </c>
      <c r="W22" t="s">
        <v>77</v>
      </c>
      <c r="X22" t="e">
        <f>(Y17/X20)-(X21*(W17/X20))</f>
        <v>#NUM!</v>
      </c>
      <c r="Y22"/>
      <c r="Z22"/>
      <c r="AA22"/>
      <c r="AB22"/>
      <c r="AC22"/>
    </row>
    <row r="23" spans="4:29">
      <c r="D23" s="35"/>
      <c r="O23" s="32">
        <v>20</v>
      </c>
      <c r="P23" s="33" t="e">
        <f t="shared" si="0"/>
        <v>#NUM!</v>
      </c>
      <c r="W23" t="s">
        <v>10</v>
      </c>
      <c r="X23" s="72" t="e">
        <f>EXP(X22)</f>
        <v>#NUM!</v>
      </c>
      <c r="Y23"/>
      <c r="Z23"/>
      <c r="AA23"/>
      <c r="AB23"/>
      <c r="AC23"/>
    </row>
    <row r="24" spans="4:29">
      <c r="D24" s="35"/>
      <c r="O24" s="32">
        <v>21</v>
      </c>
      <c r="P24" s="33" t="e">
        <f t="shared" si="0"/>
        <v>#NUM!</v>
      </c>
    </row>
    <row r="25" spans="4:29">
      <c r="D25" s="35"/>
      <c r="O25" s="32">
        <v>22</v>
      </c>
      <c r="P25" s="33" t="e">
        <f t="shared" si="0"/>
        <v>#NUM!</v>
      </c>
    </row>
    <row r="26" spans="4:29">
      <c r="D26" s="35"/>
      <c r="O26" s="32">
        <v>23</v>
      </c>
      <c r="P26" s="33" t="e">
        <f t="shared" si="0"/>
        <v>#NUM!</v>
      </c>
    </row>
    <row r="27" spans="4:29" ht="15.75" customHeight="1">
      <c r="D27" s="35"/>
      <c r="O27" s="32">
        <v>24</v>
      </c>
      <c r="P27" s="33" t="e">
        <f t="shared" si="0"/>
        <v>#NUM!</v>
      </c>
    </row>
    <row r="28" spans="4:29">
      <c r="D28" s="35"/>
      <c r="O28" s="75">
        <v>25</v>
      </c>
      <c r="P28" s="76" t="e">
        <f t="shared" si="0"/>
        <v>#NUM!</v>
      </c>
    </row>
    <row r="29" spans="4:29">
      <c r="D29" s="35"/>
      <c r="O29" s="47">
        <v>26</v>
      </c>
      <c r="P29" s="33" t="e">
        <f t="shared" si="0"/>
        <v>#NUM!</v>
      </c>
    </row>
    <row r="30" spans="4:29">
      <c r="D30" s="35"/>
      <c r="O30" s="47">
        <v>27</v>
      </c>
      <c r="P30" s="33" t="e">
        <f t="shared" si="0"/>
        <v>#NUM!</v>
      </c>
    </row>
    <row r="31" spans="4:29">
      <c r="D31" s="35"/>
      <c r="O31" s="47">
        <v>28</v>
      </c>
      <c r="P31" s="33" t="e">
        <f t="shared" si="0"/>
        <v>#NUM!</v>
      </c>
    </row>
    <row r="32" spans="4:29">
      <c r="D32" s="35"/>
      <c r="O32" s="47">
        <v>29</v>
      </c>
      <c r="P32" s="33" t="e">
        <f t="shared" si="0"/>
        <v>#NUM!</v>
      </c>
    </row>
    <row r="33" spans="4:17">
      <c r="D33" s="35"/>
      <c r="O33" s="47">
        <v>30</v>
      </c>
      <c r="P33" s="33" t="e">
        <f t="shared" si="0"/>
        <v>#NUM!</v>
      </c>
    </row>
    <row r="34" spans="4:17">
      <c r="D34" s="35"/>
      <c r="O34" s="47">
        <v>31</v>
      </c>
      <c r="P34" s="33" t="e">
        <f t="shared" si="0"/>
        <v>#NUM!</v>
      </c>
    </row>
    <row r="35" spans="4:17">
      <c r="D35" s="35"/>
      <c r="O35" s="47">
        <v>32</v>
      </c>
      <c r="P35" s="33" t="e">
        <f t="shared" si="0"/>
        <v>#NUM!</v>
      </c>
    </row>
    <row r="36" spans="4:17">
      <c r="D36" s="35"/>
      <c r="O36" s="47">
        <v>33</v>
      </c>
      <c r="P36" s="33" t="e">
        <f t="shared" si="0"/>
        <v>#NUM!</v>
      </c>
    </row>
    <row r="37" spans="4:17">
      <c r="D37" s="35"/>
      <c r="O37" s="47">
        <v>34</v>
      </c>
      <c r="P37" s="33" t="e">
        <f t="shared" si="0"/>
        <v>#NUM!</v>
      </c>
    </row>
    <row r="38" spans="4:17">
      <c r="D38" s="35"/>
      <c r="O38" s="47">
        <v>35</v>
      </c>
      <c r="P38" s="33" t="e">
        <f t="shared" si="0"/>
        <v>#NUM!</v>
      </c>
    </row>
    <row r="39" spans="4:17">
      <c r="O39" s="47">
        <v>36</v>
      </c>
      <c r="P39" s="33" t="e">
        <f t="shared" si="0"/>
        <v>#NUM!</v>
      </c>
    </row>
    <row r="40" spans="4:17">
      <c r="O40" s="47">
        <v>37</v>
      </c>
      <c r="P40" s="33" t="e">
        <f t="shared" si="0"/>
        <v>#NUM!</v>
      </c>
    </row>
    <row r="41" spans="4:17">
      <c r="O41" s="45">
        <v>38</v>
      </c>
      <c r="P41" s="33" t="e">
        <f t="shared" si="0"/>
        <v>#NUM!</v>
      </c>
      <c r="Q41" s="46"/>
    </row>
    <row r="42" spans="4:17">
      <c r="O42" s="47">
        <v>39</v>
      </c>
      <c r="P42" s="33" t="e">
        <f t="shared" si="0"/>
        <v>#NUM!</v>
      </c>
    </row>
    <row r="43" spans="4:17">
      <c r="O43" s="63">
        <v>40</v>
      </c>
      <c r="P43" s="64" t="e">
        <f t="shared" si="0"/>
        <v>#NUM!</v>
      </c>
    </row>
    <row r="44" spans="4:17">
      <c r="O44" s="47">
        <v>41</v>
      </c>
      <c r="P44" s="33" t="e">
        <f t="shared" si="0"/>
        <v>#NUM!</v>
      </c>
    </row>
    <row r="45" spans="4:17">
      <c r="O45" s="47">
        <v>42</v>
      </c>
      <c r="P45" s="33" t="e">
        <f t="shared" si="0"/>
        <v>#NUM!</v>
      </c>
    </row>
    <row r="46" spans="4:17">
      <c r="O46" s="47">
        <v>43</v>
      </c>
      <c r="P46" s="33" t="e">
        <f t="shared" si="0"/>
        <v>#NUM!</v>
      </c>
    </row>
    <row r="47" spans="4:17">
      <c r="O47" s="47">
        <v>44</v>
      </c>
      <c r="P47" s="33" t="e">
        <f t="shared" si="0"/>
        <v>#NUM!</v>
      </c>
    </row>
    <row r="48" spans="4:17">
      <c r="O48" s="47">
        <v>45</v>
      </c>
      <c r="P48" s="33" t="e">
        <f t="shared" si="0"/>
        <v>#NUM!</v>
      </c>
    </row>
    <row r="49" spans="15:16">
      <c r="O49" s="47">
        <v>46</v>
      </c>
      <c r="P49" s="33" t="e">
        <f t="shared" si="0"/>
        <v>#NUM!</v>
      </c>
    </row>
    <row r="50" spans="15:16">
      <c r="O50" s="47">
        <v>47</v>
      </c>
      <c r="P50" s="33" t="e">
        <f t="shared" si="0"/>
        <v>#NUM!</v>
      </c>
    </row>
    <row r="51" spans="15:16">
      <c r="O51" s="47">
        <v>48</v>
      </c>
      <c r="P51" s="33" t="e">
        <f t="shared" si="0"/>
        <v>#NUM!</v>
      </c>
    </row>
    <row r="52" spans="15:16">
      <c r="O52" s="47">
        <v>49</v>
      </c>
      <c r="P52" s="33" t="e">
        <f t="shared" si="0"/>
        <v>#NUM!</v>
      </c>
    </row>
    <row r="53" spans="15:16">
      <c r="O53" s="47">
        <v>50</v>
      </c>
      <c r="P53" s="33" t="e">
        <f t="shared" si="0"/>
        <v>#NUM!</v>
      </c>
    </row>
    <row r="54" spans="15:16">
      <c r="O54" s="32">
        <v>51</v>
      </c>
      <c r="P54" s="33" t="e">
        <f t="shared" si="0"/>
        <v>#NUM!</v>
      </c>
    </row>
    <row r="55" spans="15:16">
      <c r="O55" s="32">
        <v>52</v>
      </c>
      <c r="P55" s="33" t="e">
        <f t="shared" si="0"/>
        <v>#NUM!</v>
      </c>
    </row>
    <row r="56" spans="15:16">
      <c r="O56" s="32">
        <v>53</v>
      </c>
      <c r="P56" s="33" t="e">
        <f t="shared" si="0"/>
        <v>#NUM!</v>
      </c>
    </row>
    <row r="57" spans="15:16">
      <c r="O57" s="32">
        <v>54</v>
      </c>
      <c r="P57" s="33" t="e">
        <f t="shared" si="0"/>
        <v>#NUM!</v>
      </c>
    </row>
    <row r="58" spans="15:16">
      <c r="O58" s="32">
        <v>55</v>
      </c>
      <c r="P58" s="33" t="e">
        <f t="shared" si="0"/>
        <v>#NUM!</v>
      </c>
    </row>
    <row r="59" spans="15:16">
      <c r="O59" s="32">
        <v>56</v>
      </c>
      <c r="P59" s="33" t="e">
        <f t="shared" si="0"/>
        <v>#NUM!</v>
      </c>
    </row>
    <row r="60" spans="15:16">
      <c r="O60" s="32">
        <v>57</v>
      </c>
      <c r="P60" s="33" t="e">
        <f t="shared" si="0"/>
        <v>#NUM!</v>
      </c>
    </row>
    <row r="61" spans="15:16">
      <c r="O61" s="32">
        <v>58</v>
      </c>
      <c r="P61" s="33" t="e">
        <f t="shared" si="0"/>
        <v>#NUM!</v>
      </c>
    </row>
    <row r="62" spans="15:16">
      <c r="O62" s="32">
        <v>59</v>
      </c>
      <c r="P62" s="33" t="e">
        <f t="shared" si="0"/>
        <v>#NUM!</v>
      </c>
    </row>
    <row r="63" spans="15:16">
      <c r="O63" s="32">
        <v>60</v>
      </c>
      <c r="P63" s="33" t="e">
        <f t="shared" si="0"/>
        <v>#NUM!</v>
      </c>
    </row>
    <row r="64" spans="15:16">
      <c r="O64" s="32">
        <v>61</v>
      </c>
      <c r="P64" s="33" t="e">
        <f t="shared" si="0"/>
        <v>#NUM!</v>
      </c>
    </row>
    <row r="65" spans="15:17">
      <c r="O65" s="32">
        <v>62</v>
      </c>
      <c r="P65" s="33" t="e">
        <f t="shared" si="0"/>
        <v>#NUM!</v>
      </c>
    </row>
    <row r="66" spans="15:17">
      <c r="O66" s="45">
        <v>63</v>
      </c>
      <c r="P66" s="33" t="e">
        <f t="shared" si="0"/>
        <v>#NUM!</v>
      </c>
      <c r="Q66" s="46"/>
    </row>
    <row r="67" spans="15:17">
      <c r="O67" s="32">
        <v>64</v>
      </c>
      <c r="P67" s="33" t="e">
        <f t="shared" si="0"/>
        <v>#NUM!</v>
      </c>
    </row>
    <row r="68" spans="15:17">
      <c r="O68" s="32">
        <v>65</v>
      </c>
      <c r="P68" s="33" t="e">
        <f t="shared" ref="P68:P103" si="6">$X$23*EXP($X$21*O68)</f>
        <v>#NUM!</v>
      </c>
    </row>
    <row r="69" spans="15:17">
      <c r="O69" s="32">
        <v>66</v>
      </c>
      <c r="P69" s="33" t="e">
        <f t="shared" si="6"/>
        <v>#NUM!</v>
      </c>
    </row>
    <row r="70" spans="15:17">
      <c r="O70" s="32">
        <v>67</v>
      </c>
      <c r="P70" s="33" t="e">
        <f t="shared" si="6"/>
        <v>#NUM!</v>
      </c>
    </row>
    <row r="71" spans="15:17">
      <c r="O71" s="32">
        <v>68</v>
      </c>
      <c r="P71" s="33" t="e">
        <f t="shared" si="6"/>
        <v>#NUM!</v>
      </c>
    </row>
    <row r="72" spans="15:17">
      <c r="O72" s="32">
        <v>69</v>
      </c>
      <c r="P72" s="33" t="e">
        <f t="shared" si="6"/>
        <v>#NUM!</v>
      </c>
    </row>
    <row r="73" spans="15:17">
      <c r="O73" s="32">
        <v>70</v>
      </c>
      <c r="P73" s="33" t="e">
        <f t="shared" si="6"/>
        <v>#NUM!</v>
      </c>
    </row>
    <row r="74" spans="15:17">
      <c r="O74" s="32">
        <v>71</v>
      </c>
      <c r="P74" s="33" t="e">
        <f t="shared" si="6"/>
        <v>#NUM!</v>
      </c>
    </row>
    <row r="75" spans="15:17">
      <c r="O75" s="32">
        <v>72</v>
      </c>
      <c r="P75" s="33" t="e">
        <f t="shared" si="6"/>
        <v>#NUM!</v>
      </c>
    </row>
    <row r="76" spans="15:17">
      <c r="O76" s="32">
        <v>73</v>
      </c>
      <c r="P76" s="33" t="e">
        <f t="shared" si="6"/>
        <v>#NUM!</v>
      </c>
    </row>
    <row r="77" spans="15:17">
      <c r="O77" s="32">
        <v>74</v>
      </c>
      <c r="P77" s="33" t="e">
        <f t="shared" si="6"/>
        <v>#NUM!</v>
      </c>
    </row>
    <row r="78" spans="15:17">
      <c r="O78" s="32">
        <v>75</v>
      </c>
      <c r="P78" s="33" t="e">
        <f t="shared" si="6"/>
        <v>#NUM!</v>
      </c>
    </row>
    <row r="79" spans="15:17">
      <c r="O79" s="47">
        <v>76</v>
      </c>
      <c r="P79" s="33" t="e">
        <f t="shared" si="6"/>
        <v>#NUM!</v>
      </c>
    </row>
    <row r="80" spans="15:17">
      <c r="O80" s="47">
        <v>77</v>
      </c>
      <c r="P80" s="33" t="e">
        <f t="shared" si="6"/>
        <v>#NUM!</v>
      </c>
    </row>
    <row r="81" spans="15:17">
      <c r="O81" s="47">
        <v>78</v>
      </c>
      <c r="P81" s="33" t="e">
        <f t="shared" si="6"/>
        <v>#NUM!</v>
      </c>
    </row>
    <row r="82" spans="15:17">
      <c r="O82" s="47">
        <v>79</v>
      </c>
      <c r="P82" s="33" t="e">
        <f t="shared" si="6"/>
        <v>#NUM!</v>
      </c>
    </row>
    <row r="83" spans="15:17">
      <c r="O83" s="47">
        <v>80</v>
      </c>
      <c r="P83" s="33" t="e">
        <f t="shared" si="6"/>
        <v>#NUM!</v>
      </c>
    </row>
    <row r="84" spans="15:17">
      <c r="O84" s="47">
        <v>81</v>
      </c>
      <c r="P84" s="33" t="e">
        <f t="shared" si="6"/>
        <v>#NUM!</v>
      </c>
    </row>
    <row r="85" spans="15:17">
      <c r="O85" s="47">
        <v>82</v>
      </c>
      <c r="P85" s="33" t="e">
        <f t="shared" si="6"/>
        <v>#NUM!</v>
      </c>
    </row>
    <row r="86" spans="15:17">
      <c r="O86" s="47">
        <v>83</v>
      </c>
      <c r="P86" s="33" t="e">
        <f t="shared" si="6"/>
        <v>#NUM!</v>
      </c>
    </row>
    <row r="87" spans="15:17">
      <c r="O87" s="47">
        <v>84</v>
      </c>
      <c r="P87" s="33" t="e">
        <f t="shared" si="6"/>
        <v>#NUM!</v>
      </c>
    </row>
    <row r="88" spans="15:17">
      <c r="O88" s="47">
        <v>85</v>
      </c>
      <c r="P88" s="33" t="e">
        <f t="shared" si="6"/>
        <v>#NUM!</v>
      </c>
    </row>
    <row r="89" spans="15:17">
      <c r="O89" s="47">
        <v>86</v>
      </c>
      <c r="P89" s="33" t="e">
        <f t="shared" si="6"/>
        <v>#NUM!</v>
      </c>
    </row>
    <row r="90" spans="15:17">
      <c r="O90" s="47">
        <v>87</v>
      </c>
      <c r="P90" s="33" t="e">
        <f t="shared" si="6"/>
        <v>#NUM!</v>
      </c>
    </row>
    <row r="91" spans="15:17">
      <c r="O91" s="45">
        <v>88</v>
      </c>
      <c r="P91" s="33" t="e">
        <f t="shared" si="6"/>
        <v>#NUM!</v>
      </c>
      <c r="Q91" s="46"/>
    </row>
    <row r="92" spans="15:17">
      <c r="O92" s="47">
        <v>89</v>
      </c>
      <c r="P92" s="33" t="e">
        <f t="shared" si="6"/>
        <v>#NUM!</v>
      </c>
    </row>
    <row r="93" spans="15:17">
      <c r="O93" s="47">
        <v>90</v>
      </c>
      <c r="P93" s="33" t="e">
        <f t="shared" si="6"/>
        <v>#NUM!</v>
      </c>
    </row>
    <row r="94" spans="15:17">
      <c r="O94" s="47">
        <v>91</v>
      </c>
      <c r="P94" s="33" t="e">
        <f t="shared" si="6"/>
        <v>#NUM!</v>
      </c>
    </row>
    <row r="95" spans="15:17">
      <c r="O95" s="47">
        <v>92</v>
      </c>
      <c r="P95" s="33" t="e">
        <f t="shared" si="6"/>
        <v>#NUM!</v>
      </c>
    </row>
    <row r="96" spans="15:17">
      <c r="O96" s="47">
        <v>93</v>
      </c>
      <c r="P96" s="33" t="e">
        <f t="shared" si="6"/>
        <v>#NUM!</v>
      </c>
    </row>
    <row r="97" spans="15:16">
      <c r="O97" s="47">
        <v>94</v>
      </c>
      <c r="P97" s="33" t="e">
        <f t="shared" si="6"/>
        <v>#NUM!</v>
      </c>
    </row>
    <row r="98" spans="15:16">
      <c r="O98" s="47">
        <v>95</v>
      </c>
      <c r="P98" s="33" t="e">
        <f t="shared" si="6"/>
        <v>#NUM!</v>
      </c>
    </row>
    <row r="99" spans="15:16">
      <c r="O99" s="47">
        <v>96</v>
      </c>
      <c r="P99" s="33" t="e">
        <f t="shared" si="6"/>
        <v>#NUM!</v>
      </c>
    </row>
    <row r="100" spans="15:16">
      <c r="O100" s="47">
        <v>97</v>
      </c>
      <c r="P100" s="33" t="e">
        <f t="shared" si="6"/>
        <v>#NUM!</v>
      </c>
    </row>
    <row r="101" spans="15:16">
      <c r="O101" s="47">
        <v>98</v>
      </c>
      <c r="P101" s="33" t="e">
        <f t="shared" si="6"/>
        <v>#NUM!</v>
      </c>
    </row>
    <row r="102" spans="15:16">
      <c r="O102" s="47">
        <v>99</v>
      </c>
      <c r="P102" s="33" t="e">
        <f t="shared" si="6"/>
        <v>#NUM!</v>
      </c>
    </row>
    <row r="103" spans="15:16">
      <c r="O103" s="47">
        <v>100</v>
      </c>
      <c r="P103" s="33" t="e">
        <f t="shared" si="6"/>
        <v>#NUM!</v>
      </c>
    </row>
  </sheetData>
  <conditionalFormatting sqref="D2:D4">
    <cfRule type="cellIs" dxfId="1" priority="2" operator="equal">
      <formula>"PIVOTE NO PUEDE SER MENOR AL EXCESO"</formula>
    </cfRule>
  </conditionalFormatting>
  <conditionalFormatting sqref="D5">
    <cfRule type="cellIs" dxfId="0" priority="1" operator="equal">
      <formula>"PIVOTE NO PUEDE SER MENOR AL EXCESO"</formula>
    </cfRule>
  </conditionalFormatting>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3:I117"/>
  <sheetViews>
    <sheetView workbookViewId="0"/>
  </sheetViews>
  <sheetFormatPr baseColWidth="10" defaultColWidth="11.42578125" defaultRowHeight="15"/>
  <cols>
    <col min="3" max="3" width="14.7109375" bestFit="1" customWidth="1"/>
  </cols>
  <sheetData>
    <row r="3" spans="2:3">
      <c r="B3" s="60" t="s">
        <v>80</v>
      </c>
      <c r="C3" s="65"/>
    </row>
    <row r="5" spans="2:3" ht="30">
      <c r="B5" s="18" t="s">
        <v>78</v>
      </c>
      <c r="C5" s="19"/>
    </row>
    <row r="6" spans="2:3">
      <c r="B6" s="25" t="s">
        <v>9</v>
      </c>
      <c r="C6" s="25" t="s">
        <v>79</v>
      </c>
    </row>
    <row r="7" spans="2:3">
      <c r="B7" s="32">
        <v>0</v>
      </c>
      <c r="C7" s="33">
        <v>4.2866999999999997</v>
      </c>
    </row>
    <row r="8" spans="2:3">
      <c r="B8" s="32">
        <v>1</v>
      </c>
      <c r="C8" s="33">
        <v>4.2866999999999997</v>
      </c>
    </row>
    <row r="9" spans="2:3">
      <c r="B9" s="32">
        <v>2</v>
      </c>
      <c r="C9" s="33">
        <v>4.2866999999999997</v>
      </c>
    </row>
    <row r="10" spans="2:3">
      <c r="B10" s="32">
        <v>3</v>
      </c>
      <c r="C10" s="33">
        <v>4.2866999999999997</v>
      </c>
    </row>
    <row r="11" spans="2:3">
      <c r="B11" s="32">
        <v>4</v>
      </c>
      <c r="C11" s="33">
        <v>4.2866999999999997</v>
      </c>
    </row>
    <row r="12" spans="2:3">
      <c r="B12" s="32">
        <v>5</v>
      </c>
      <c r="C12" s="33">
        <v>4.2866999999999997</v>
      </c>
    </row>
    <row r="13" spans="2:3">
      <c r="B13" s="32">
        <v>6</v>
      </c>
      <c r="C13" s="33">
        <v>4.2866999999999997</v>
      </c>
    </row>
    <row r="14" spans="2:3">
      <c r="B14" s="32">
        <v>7</v>
      </c>
      <c r="C14" s="33">
        <v>4.2866999999999997</v>
      </c>
    </row>
    <row r="15" spans="2:3">
      <c r="B15" s="32">
        <v>8</v>
      </c>
      <c r="C15" s="33">
        <v>4.2866999999999997</v>
      </c>
    </row>
    <row r="16" spans="2:3">
      <c r="B16" s="32">
        <v>9</v>
      </c>
      <c r="C16" s="33">
        <v>4.2866999999999997</v>
      </c>
    </row>
    <row r="17" spans="2:9">
      <c r="B17" s="32">
        <v>10</v>
      </c>
      <c r="C17" s="33">
        <v>4.2866999999999997</v>
      </c>
    </row>
    <row r="18" spans="2:9">
      <c r="B18" s="32">
        <v>11</v>
      </c>
      <c r="C18" s="33">
        <v>4.2866999999999997</v>
      </c>
    </row>
    <row r="19" spans="2:9">
      <c r="B19" s="32">
        <v>12</v>
      </c>
      <c r="C19" s="33">
        <v>4.2866999999999997</v>
      </c>
    </row>
    <row r="20" spans="2:9">
      <c r="B20" s="45">
        <v>13</v>
      </c>
      <c r="C20" s="33">
        <v>4.2866999999999997</v>
      </c>
    </row>
    <row r="21" spans="2:9">
      <c r="B21" s="32">
        <v>14</v>
      </c>
      <c r="C21" s="33">
        <v>4.2866999999999997</v>
      </c>
    </row>
    <row r="22" spans="2:9">
      <c r="B22" s="32">
        <v>15</v>
      </c>
      <c r="C22" s="33">
        <v>4.2866999999999997</v>
      </c>
    </row>
    <row r="23" spans="2:9">
      <c r="B23" s="32">
        <v>16</v>
      </c>
      <c r="C23" s="33">
        <v>4.2866999999999997</v>
      </c>
    </row>
    <row r="24" spans="2:9">
      <c r="B24" s="32">
        <v>17</v>
      </c>
      <c r="C24" s="33">
        <v>4.2866999999999997</v>
      </c>
    </row>
    <row r="25" spans="2:9">
      <c r="B25" s="32">
        <v>18</v>
      </c>
      <c r="C25" s="33">
        <v>4.2866999999999997</v>
      </c>
    </row>
    <row r="26" spans="2:9">
      <c r="B26" s="32">
        <v>19</v>
      </c>
      <c r="C26" s="33">
        <v>4.2866999999999997</v>
      </c>
    </row>
    <row r="27" spans="2:9">
      <c r="B27" s="32">
        <v>20</v>
      </c>
      <c r="C27" s="33">
        <v>4.2866999999999997</v>
      </c>
    </row>
    <row r="28" spans="2:9">
      <c r="B28" s="32">
        <v>21</v>
      </c>
      <c r="C28" s="33">
        <v>4.2866999999999997</v>
      </c>
    </row>
    <row r="29" spans="2:9">
      <c r="B29" s="32">
        <v>22</v>
      </c>
      <c r="C29" s="33">
        <v>4.2866999999999997</v>
      </c>
    </row>
    <row r="30" spans="2:9">
      <c r="B30" s="32">
        <v>23</v>
      </c>
      <c r="C30" s="33">
        <v>4.2866999999999997</v>
      </c>
    </row>
    <row r="31" spans="2:9">
      <c r="B31" s="32">
        <v>24</v>
      </c>
      <c r="C31" s="33">
        <v>4.2866999999999997</v>
      </c>
    </row>
    <row r="32" spans="2:9">
      <c r="B32" s="32">
        <v>25</v>
      </c>
      <c r="C32" s="33">
        <v>2.8866000000000001</v>
      </c>
      <c r="E32" s="10">
        <v>506.31780255452441</v>
      </c>
      <c r="F32" s="74">
        <f>C31*E32</f>
        <v>2170.4325242104796</v>
      </c>
      <c r="G32" s="74">
        <f>C31-1</f>
        <v>3.2866999999999997</v>
      </c>
      <c r="H32" s="74">
        <f>G32*E32</f>
        <v>1664.1147216559552</v>
      </c>
      <c r="I32" s="74">
        <f>H32+E32</f>
        <v>2170.4325242104796</v>
      </c>
    </row>
    <row r="33" spans="2:9">
      <c r="B33" s="47">
        <v>26</v>
      </c>
      <c r="C33" s="33">
        <v>2.8866000000000001</v>
      </c>
      <c r="E33" s="10">
        <v>506.31780255452441</v>
      </c>
      <c r="F33" s="74">
        <f>C32*E33</f>
        <v>1461.5369688538901</v>
      </c>
      <c r="G33" s="74">
        <f>C32-1</f>
        <v>1.8866000000000001</v>
      </c>
      <c r="H33" s="77">
        <f>G33*E33</f>
        <v>955.21916629936572</v>
      </c>
      <c r="I33" s="74">
        <f>H33+E33</f>
        <v>1461.5369688538901</v>
      </c>
    </row>
    <row r="34" spans="2:9">
      <c r="B34" s="47">
        <v>27</v>
      </c>
      <c r="C34" s="33">
        <v>2.8866000000000001</v>
      </c>
    </row>
    <row r="35" spans="2:9">
      <c r="B35" s="47">
        <v>28</v>
      </c>
      <c r="C35" s="33">
        <v>2.8866000000000001</v>
      </c>
    </row>
    <row r="36" spans="2:9">
      <c r="B36" s="47">
        <v>29</v>
      </c>
      <c r="C36" s="33">
        <v>2.8866000000000001</v>
      </c>
    </row>
    <row r="37" spans="2:9">
      <c r="B37" s="47">
        <v>30</v>
      </c>
      <c r="C37" s="33">
        <v>2.8866000000000001</v>
      </c>
    </row>
    <row r="38" spans="2:9">
      <c r="B38" s="47">
        <v>31</v>
      </c>
      <c r="C38" s="33">
        <v>2.8866000000000001</v>
      </c>
    </row>
    <row r="39" spans="2:9">
      <c r="B39" s="47">
        <v>32</v>
      </c>
      <c r="C39" s="33">
        <v>2.8866000000000001</v>
      </c>
    </row>
    <row r="40" spans="2:9">
      <c r="B40" s="47">
        <v>33</v>
      </c>
      <c r="C40" s="33">
        <v>2.8866000000000001</v>
      </c>
    </row>
    <row r="41" spans="2:9">
      <c r="B41" s="47">
        <v>34</v>
      </c>
      <c r="C41" s="33">
        <v>2.8866000000000001</v>
      </c>
    </row>
    <row r="42" spans="2:9">
      <c r="B42" s="47">
        <v>35</v>
      </c>
      <c r="C42" s="33">
        <v>2.8866000000000001</v>
      </c>
    </row>
    <row r="43" spans="2:9">
      <c r="B43" s="47">
        <v>36</v>
      </c>
      <c r="C43" s="33">
        <v>2.8866000000000001</v>
      </c>
    </row>
    <row r="44" spans="2:9">
      <c r="B44" s="47">
        <v>37</v>
      </c>
      <c r="C44" s="33">
        <v>2.8866000000000001</v>
      </c>
    </row>
    <row r="45" spans="2:9">
      <c r="B45" s="45">
        <v>38</v>
      </c>
      <c r="C45" s="33">
        <v>2.8866000000000001</v>
      </c>
    </row>
    <row r="46" spans="2:9">
      <c r="B46" s="47">
        <v>39</v>
      </c>
      <c r="C46" s="33">
        <v>2.8866000000000001</v>
      </c>
    </row>
    <row r="47" spans="2:9">
      <c r="B47" s="47">
        <v>40</v>
      </c>
      <c r="C47" s="33">
        <v>2.8866000000000001</v>
      </c>
    </row>
    <row r="48" spans="2:9">
      <c r="B48" s="47">
        <v>41</v>
      </c>
      <c r="C48" s="33">
        <v>2.8866000000000001</v>
      </c>
    </row>
    <row r="49" spans="2:3">
      <c r="B49" s="47">
        <v>42</v>
      </c>
      <c r="C49" s="33">
        <v>2.8866000000000001</v>
      </c>
    </row>
    <row r="50" spans="2:3">
      <c r="B50" s="47">
        <v>43</v>
      </c>
      <c r="C50" s="33">
        <v>2.8866000000000001</v>
      </c>
    </row>
    <row r="51" spans="2:3">
      <c r="B51" s="47">
        <v>44</v>
      </c>
      <c r="C51" s="33">
        <v>2.8866000000000001</v>
      </c>
    </row>
    <row r="52" spans="2:3">
      <c r="B52" s="47">
        <v>45</v>
      </c>
      <c r="C52" s="33">
        <v>2.8866000000000001</v>
      </c>
    </row>
    <row r="53" spans="2:3">
      <c r="B53" s="47">
        <v>46</v>
      </c>
      <c r="C53" s="33">
        <v>2.8866000000000001</v>
      </c>
    </row>
    <row r="54" spans="2:3">
      <c r="B54" s="47">
        <v>47</v>
      </c>
      <c r="C54" s="33">
        <v>2.8866000000000001</v>
      </c>
    </row>
    <row r="55" spans="2:3">
      <c r="B55" s="47">
        <v>48</v>
      </c>
      <c r="C55" s="33">
        <v>2.8866000000000001</v>
      </c>
    </row>
    <row r="56" spans="2:3">
      <c r="B56" s="47">
        <v>49</v>
      </c>
      <c r="C56" s="33">
        <v>2.8866000000000001</v>
      </c>
    </row>
    <row r="57" spans="2:3">
      <c r="B57" s="47">
        <v>50</v>
      </c>
      <c r="C57" s="33">
        <v>3.2056</v>
      </c>
    </row>
    <row r="58" spans="2:3">
      <c r="B58" s="32">
        <v>51</v>
      </c>
      <c r="C58" s="33">
        <v>3.2056</v>
      </c>
    </row>
    <row r="59" spans="2:3">
      <c r="B59" s="32">
        <v>52</v>
      </c>
      <c r="C59" s="33">
        <v>3.2056</v>
      </c>
    </row>
    <row r="60" spans="2:3">
      <c r="B60" s="32">
        <v>53</v>
      </c>
      <c r="C60" s="33">
        <v>3.2056</v>
      </c>
    </row>
    <row r="61" spans="2:3">
      <c r="B61" s="32">
        <v>54</v>
      </c>
      <c r="C61" s="33">
        <v>3.2056</v>
      </c>
    </row>
    <row r="62" spans="2:3">
      <c r="B62" s="32">
        <v>55</v>
      </c>
      <c r="C62" s="33">
        <v>3.2056</v>
      </c>
    </row>
    <row r="63" spans="2:3">
      <c r="B63" s="32">
        <v>56</v>
      </c>
      <c r="C63" s="33">
        <v>3.2056</v>
      </c>
    </row>
    <row r="64" spans="2:3">
      <c r="B64" s="32">
        <v>57</v>
      </c>
      <c r="C64" s="33">
        <v>3.2056</v>
      </c>
    </row>
    <row r="65" spans="2:3">
      <c r="B65" s="32">
        <v>58</v>
      </c>
      <c r="C65" s="33">
        <v>3.2056</v>
      </c>
    </row>
    <row r="66" spans="2:3">
      <c r="B66" s="32">
        <v>59</v>
      </c>
      <c r="C66" s="33">
        <v>3.2056</v>
      </c>
    </row>
    <row r="67" spans="2:3">
      <c r="B67" s="32">
        <v>60</v>
      </c>
      <c r="C67" s="33">
        <v>3.2056</v>
      </c>
    </row>
    <row r="68" spans="2:3">
      <c r="B68" s="32">
        <v>61</v>
      </c>
      <c r="C68" s="33">
        <v>3.2056</v>
      </c>
    </row>
    <row r="69" spans="2:3">
      <c r="B69" s="32">
        <v>62</v>
      </c>
      <c r="C69" s="33">
        <v>3.2056</v>
      </c>
    </row>
    <row r="70" spans="2:3">
      <c r="B70" s="45">
        <v>63</v>
      </c>
      <c r="C70" s="33">
        <v>3.2056</v>
      </c>
    </row>
    <row r="71" spans="2:3">
      <c r="B71" s="32">
        <v>64</v>
      </c>
      <c r="C71" s="33">
        <v>3.2056</v>
      </c>
    </row>
    <row r="72" spans="2:3">
      <c r="B72" s="32">
        <v>65</v>
      </c>
      <c r="C72" s="33">
        <v>3.2056</v>
      </c>
    </row>
    <row r="73" spans="2:3">
      <c r="B73" s="32">
        <v>66</v>
      </c>
      <c r="C73" s="33">
        <v>3.2056</v>
      </c>
    </row>
    <row r="74" spans="2:3">
      <c r="B74" s="32">
        <v>67</v>
      </c>
      <c r="C74" s="33">
        <v>3.2056</v>
      </c>
    </row>
    <row r="75" spans="2:3">
      <c r="B75" s="32">
        <v>68</v>
      </c>
      <c r="C75" s="33">
        <v>3.2056</v>
      </c>
    </row>
    <row r="76" spans="2:3">
      <c r="B76" s="32">
        <v>69</v>
      </c>
      <c r="C76" s="33">
        <v>3.2056</v>
      </c>
    </row>
    <row r="77" spans="2:3">
      <c r="B77" s="32">
        <v>70</v>
      </c>
      <c r="C77" s="33">
        <v>3.2056</v>
      </c>
    </row>
    <row r="78" spans="2:3">
      <c r="B78" s="32">
        <v>71</v>
      </c>
      <c r="C78" s="33">
        <v>3.2056</v>
      </c>
    </row>
    <row r="79" spans="2:3">
      <c r="B79" s="32">
        <v>72</v>
      </c>
      <c r="C79" s="33">
        <v>3.2056</v>
      </c>
    </row>
    <row r="80" spans="2:3">
      <c r="B80" s="32">
        <v>73</v>
      </c>
      <c r="C80" s="33">
        <v>3.2056</v>
      </c>
    </row>
    <row r="81" spans="2:3">
      <c r="B81" s="32">
        <v>74</v>
      </c>
      <c r="C81" s="33">
        <v>3.2056</v>
      </c>
    </row>
    <row r="82" spans="2:3">
      <c r="B82" s="32">
        <v>75</v>
      </c>
      <c r="C82" s="33">
        <v>3.2056</v>
      </c>
    </row>
    <row r="83" spans="2:3">
      <c r="B83" s="47">
        <v>76</v>
      </c>
      <c r="C83" s="33">
        <v>3.2056</v>
      </c>
    </row>
    <row r="84" spans="2:3">
      <c r="B84" s="47">
        <v>77</v>
      </c>
      <c r="C84" s="33">
        <v>3.2056</v>
      </c>
    </row>
    <row r="85" spans="2:3">
      <c r="B85" s="47">
        <v>78</v>
      </c>
      <c r="C85" s="33">
        <v>3.2056</v>
      </c>
    </row>
    <row r="86" spans="2:3">
      <c r="B86" s="47">
        <v>79</v>
      </c>
      <c r="C86" s="33">
        <v>3.2056</v>
      </c>
    </row>
    <row r="87" spans="2:3">
      <c r="B87" s="47">
        <v>80</v>
      </c>
      <c r="C87" s="33">
        <v>3.2056</v>
      </c>
    </row>
    <row r="88" spans="2:3">
      <c r="B88" s="47">
        <v>81</v>
      </c>
      <c r="C88" s="33">
        <v>3.2056</v>
      </c>
    </row>
    <row r="89" spans="2:3">
      <c r="B89" s="47">
        <v>82</v>
      </c>
      <c r="C89" s="33">
        <v>3.2056</v>
      </c>
    </row>
    <row r="90" spans="2:3">
      <c r="B90" s="47">
        <v>83</v>
      </c>
      <c r="C90" s="33">
        <v>3.2056</v>
      </c>
    </row>
    <row r="91" spans="2:3">
      <c r="B91" s="47">
        <v>84</v>
      </c>
      <c r="C91" s="33">
        <v>3.2056</v>
      </c>
    </row>
    <row r="92" spans="2:3">
      <c r="B92" s="47">
        <v>85</v>
      </c>
      <c r="C92" s="33">
        <v>3.2056</v>
      </c>
    </row>
    <row r="93" spans="2:3">
      <c r="B93" s="47">
        <v>86</v>
      </c>
      <c r="C93" s="33">
        <v>3.2056</v>
      </c>
    </row>
    <row r="94" spans="2:3">
      <c r="B94" s="47">
        <v>87</v>
      </c>
      <c r="C94" s="33">
        <v>3.2056</v>
      </c>
    </row>
    <row r="95" spans="2:3">
      <c r="B95" s="45">
        <v>88</v>
      </c>
      <c r="C95" s="33">
        <v>3.2056</v>
      </c>
    </row>
    <row r="96" spans="2:3">
      <c r="B96" s="47">
        <v>89</v>
      </c>
      <c r="C96" s="33">
        <v>3.2056</v>
      </c>
    </row>
    <row r="97" spans="2:3">
      <c r="B97" s="47">
        <v>90</v>
      </c>
      <c r="C97" s="33">
        <v>3.2056</v>
      </c>
    </row>
    <row r="98" spans="2:3">
      <c r="B98" s="47">
        <v>91</v>
      </c>
      <c r="C98" s="33">
        <v>3.2056</v>
      </c>
    </row>
    <row r="99" spans="2:3">
      <c r="B99" s="47">
        <v>92</v>
      </c>
      <c r="C99" s="33">
        <v>3.2056</v>
      </c>
    </row>
    <row r="100" spans="2:3">
      <c r="B100" s="47">
        <v>93</v>
      </c>
      <c r="C100" s="33">
        <v>3.2056</v>
      </c>
    </row>
    <row r="101" spans="2:3">
      <c r="B101" s="47">
        <v>94</v>
      </c>
      <c r="C101" s="33">
        <v>3.2056</v>
      </c>
    </row>
    <row r="102" spans="2:3">
      <c r="B102" s="47">
        <v>95</v>
      </c>
      <c r="C102" s="33">
        <v>3.2056</v>
      </c>
    </row>
    <row r="103" spans="2:3">
      <c r="B103" s="47">
        <v>96</v>
      </c>
      <c r="C103" s="33">
        <v>3.2056</v>
      </c>
    </row>
    <row r="104" spans="2:3">
      <c r="B104" s="47">
        <v>97</v>
      </c>
      <c r="C104" s="33">
        <v>3.2056</v>
      </c>
    </row>
    <row r="105" spans="2:3">
      <c r="B105" s="47">
        <v>98</v>
      </c>
      <c r="C105" s="33">
        <v>3.2056</v>
      </c>
    </row>
    <row r="106" spans="2:3">
      <c r="B106" s="47">
        <v>99</v>
      </c>
      <c r="C106" s="33">
        <v>3.2056</v>
      </c>
    </row>
    <row r="107" spans="2:3">
      <c r="B107" s="47">
        <v>100</v>
      </c>
      <c r="C107" s="33">
        <v>3.2056</v>
      </c>
    </row>
    <row r="108" spans="2:3">
      <c r="C108">
        <v>3.2056</v>
      </c>
    </row>
    <row r="109" spans="2:3">
      <c r="C109">
        <v>3.2056</v>
      </c>
    </row>
    <row r="110" spans="2:3">
      <c r="C110">
        <v>3.2056</v>
      </c>
    </row>
    <row r="111" spans="2:3">
      <c r="C111">
        <v>3.2056</v>
      </c>
    </row>
    <row r="112" spans="2:3">
      <c r="C112">
        <v>3.2056</v>
      </c>
    </row>
    <row r="113" spans="3:3">
      <c r="C113">
        <v>3.2056</v>
      </c>
    </row>
    <row r="114" spans="3:3">
      <c r="C114">
        <v>3.2056</v>
      </c>
    </row>
    <row r="115" spans="3:3">
      <c r="C115">
        <v>3.2056</v>
      </c>
    </row>
    <row r="116" spans="3:3">
      <c r="C116">
        <v>3.2056</v>
      </c>
    </row>
    <row r="117" spans="3:3">
      <c r="C117">
        <v>3.2056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3:K117"/>
  <sheetViews>
    <sheetView workbookViewId="0"/>
  </sheetViews>
  <sheetFormatPr baseColWidth="10" defaultColWidth="11.42578125" defaultRowHeight="15"/>
  <cols>
    <col min="3" max="3" width="14.7109375" bestFit="1" customWidth="1"/>
  </cols>
  <sheetData>
    <row r="3" spans="2:3">
      <c r="B3" s="60" t="s">
        <v>81</v>
      </c>
      <c r="C3" s="65"/>
    </row>
    <row r="5" spans="2:3" ht="30">
      <c r="B5" s="18" t="s">
        <v>78</v>
      </c>
      <c r="C5" s="19"/>
    </row>
    <row r="6" spans="2:3">
      <c r="B6" s="25" t="s">
        <v>9</v>
      </c>
      <c r="C6" s="25" t="s">
        <v>79</v>
      </c>
    </row>
    <row r="7" spans="2:3">
      <c r="B7" s="32">
        <v>0</v>
      </c>
      <c r="C7" s="33">
        <v>1.8217000000000001</v>
      </c>
    </row>
    <row r="8" spans="2:3">
      <c r="B8" s="32">
        <v>1</v>
      </c>
      <c r="C8" s="33">
        <v>1.8217000000000001</v>
      </c>
    </row>
    <row r="9" spans="2:3">
      <c r="B9" s="32">
        <v>2</v>
      </c>
      <c r="C9" s="33">
        <v>1.8217000000000001</v>
      </c>
    </row>
    <row r="10" spans="2:3">
      <c r="B10" s="32">
        <v>3</v>
      </c>
      <c r="C10" s="33">
        <v>1.8217000000000001</v>
      </c>
    </row>
    <row r="11" spans="2:3">
      <c r="B11" s="32">
        <v>4</v>
      </c>
      <c r="C11" s="33">
        <v>1.8217000000000001</v>
      </c>
    </row>
    <row r="12" spans="2:3">
      <c r="B12" s="32">
        <v>5</v>
      </c>
      <c r="C12" s="33">
        <v>1.8217000000000001</v>
      </c>
    </row>
    <row r="13" spans="2:3">
      <c r="B13" s="32">
        <v>6</v>
      </c>
      <c r="C13" s="33">
        <v>1.8217000000000001</v>
      </c>
    </row>
    <row r="14" spans="2:3">
      <c r="B14" s="32">
        <v>7</v>
      </c>
      <c r="C14" s="33">
        <v>1.8217000000000001</v>
      </c>
    </row>
    <row r="15" spans="2:3">
      <c r="B15" s="32">
        <v>8</v>
      </c>
      <c r="C15" s="33">
        <v>1.8217000000000001</v>
      </c>
    </row>
    <row r="16" spans="2:3">
      <c r="B16" s="32">
        <v>9</v>
      </c>
      <c r="C16" s="33">
        <v>1.8217000000000001</v>
      </c>
    </row>
    <row r="17" spans="2:11">
      <c r="B17" s="32">
        <v>10</v>
      </c>
      <c r="C17" s="33">
        <v>1.8217000000000001</v>
      </c>
    </row>
    <row r="18" spans="2:11">
      <c r="B18" s="32">
        <v>11</v>
      </c>
      <c r="C18" s="33">
        <v>1.8217000000000001</v>
      </c>
    </row>
    <row r="19" spans="2:11">
      <c r="B19" s="32">
        <v>12</v>
      </c>
      <c r="C19" s="33">
        <v>1.8217000000000001</v>
      </c>
    </row>
    <row r="20" spans="2:11">
      <c r="B20" s="45">
        <v>13</v>
      </c>
      <c r="C20" s="33">
        <v>1.8217000000000001</v>
      </c>
    </row>
    <row r="21" spans="2:11">
      <c r="B21" s="32">
        <v>14</v>
      </c>
      <c r="C21" s="33">
        <v>1.8217000000000001</v>
      </c>
    </row>
    <row r="22" spans="2:11">
      <c r="B22" s="32">
        <v>15</v>
      </c>
      <c r="C22" s="33">
        <v>1.8217000000000001</v>
      </c>
    </row>
    <row r="23" spans="2:11">
      <c r="B23" s="32">
        <v>16</v>
      </c>
      <c r="C23" s="33">
        <v>1.8217000000000001</v>
      </c>
    </row>
    <row r="24" spans="2:11">
      <c r="B24" s="32">
        <v>17</v>
      </c>
      <c r="C24" s="33">
        <v>1.8217000000000001</v>
      </c>
    </row>
    <row r="25" spans="2:11">
      <c r="B25" s="32">
        <v>18</v>
      </c>
      <c r="C25" s="33">
        <v>1.8217000000000001</v>
      </c>
    </row>
    <row r="26" spans="2:11">
      <c r="B26" s="32">
        <v>19</v>
      </c>
      <c r="C26" s="33">
        <v>1.8217000000000001</v>
      </c>
    </row>
    <row r="27" spans="2:11">
      <c r="B27" s="32">
        <v>20</v>
      </c>
      <c r="C27" s="33">
        <v>1.8217000000000001</v>
      </c>
    </row>
    <row r="28" spans="2:11">
      <c r="B28" s="32">
        <v>21</v>
      </c>
      <c r="C28" s="33">
        <v>1.8217000000000001</v>
      </c>
    </row>
    <row r="29" spans="2:11">
      <c r="B29" s="32">
        <v>22</v>
      </c>
      <c r="C29" s="33">
        <v>1.8217000000000001</v>
      </c>
    </row>
    <row r="30" spans="2:11">
      <c r="B30" s="32">
        <v>23</v>
      </c>
      <c r="C30" s="33">
        <v>1.8217000000000001</v>
      </c>
    </row>
    <row r="31" spans="2:11">
      <c r="B31" s="32">
        <v>24</v>
      </c>
      <c r="C31" s="33">
        <v>1.8217000000000001</v>
      </c>
    </row>
    <row r="32" spans="2:11">
      <c r="B32" s="73">
        <v>25</v>
      </c>
      <c r="C32" s="64">
        <v>1.4716</v>
      </c>
      <c r="F32" s="10">
        <v>506.31780255452441</v>
      </c>
      <c r="G32" s="74">
        <f>C31*F32</f>
        <v>922.35914091357711</v>
      </c>
      <c r="I32" s="74">
        <f>C31-1</f>
        <v>0.8217000000000001</v>
      </c>
      <c r="J32" s="74">
        <f>I32*F32</f>
        <v>416.04133835905276</v>
      </c>
      <c r="K32" s="74">
        <f>J32+F32</f>
        <v>922.35914091357722</v>
      </c>
    </row>
    <row r="33" spans="2:11">
      <c r="B33" s="47">
        <v>26</v>
      </c>
      <c r="C33" s="33">
        <v>1.4716</v>
      </c>
      <c r="F33" s="10">
        <v>506.31780255452441</v>
      </c>
      <c r="G33" s="74">
        <f>C32*F33</f>
        <v>745.09727823923811</v>
      </c>
      <c r="I33" s="74">
        <f>C32-1</f>
        <v>0.47160000000000002</v>
      </c>
      <c r="J33" s="74">
        <f>I33*F33</f>
        <v>238.77947568471373</v>
      </c>
      <c r="K33" s="74">
        <f>J33+F33</f>
        <v>745.09727823923811</v>
      </c>
    </row>
    <row r="34" spans="2:11">
      <c r="B34" s="47">
        <v>27</v>
      </c>
      <c r="C34" s="33">
        <v>1.4716</v>
      </c>
    </row>
    <row r="35" spans="2:11">
      <c r="B35" s="47">
        <v>28</v>
      </c>
      <c r="C35" s="33">
        <v>1.4716</v>
      </c>
    </row>
    <row r="36" spans="2:11">
      <c r="B36" s="47">
        <v>29</v>
      </c>
      <c r="C36" s="33">
        <v>1.4716</v>
      </c>
    </row>
    <row r="37" spans="2:11">
      <c r="B37" s="47">
        <v>30</v>
      </c>
      <c r="C37" s="33">
        <v>1.4716</v>
      </c>
    </row>
    <row r="38" spans="2:11">
      <c r="B38" s="47">
        <v>31</v>
      </c>
      <c r="C38" s="33">
        <v>1.4716</v>
      </c>
    </row>
    <row r="39" spans="2:11">
      <c r="B39" s="47">
        <v>32</v>
      </c>
      <c r="C39" s="33">
        <v>1.4716</v>
      </c>
    </row>
    <row r="40" spans="2:11">
      <c r="B40" s="47">
        <v>33</v>
      </c>
      <c r="C40" s="33">
        <v>1.4716</v>
      </c>
    </row>
    <row r="41" spans="2:11">
      <c r="B41" s="47">
        <v>34</v>
      </c>
      <c r="C41" s="33">
        <v>1.4716</v>
      </c>
    </row>
    <row r="42" spans="2:11">
      <c r="B42" s="47">
        <v>35</v>
      </c>
      <c r="C42" s="33">
        <v>1.4716</v>
      </c>
    </row>
    <row r="43" spans="2:11">
      <c r="B43" s="47">
        <v>36</v>
      </c>
      <c r="C43" s="33">
        <v>1.4716</v>
      </c>
    </row>
    <row r="44" spans="2:11">
      <c r="B44" s="47">
        <v>37</v>
      </c>
      <c r="C44" s="33">
        <v>1.4716</v>
      </c>
    </row>
    <row r="45" spans="2:11">
      <c r="B45" s="45">
        <v>38</v>
      </c>
      <c r="C45" s="33">
        <v>1.4716</v>
      </c>
    </row>
    <row r="46" spans="2:11">
      <c r="B46" s="47">
        <v>39</v>
      </c>
      <c r="C46" s="33">
        <v>1.4716</v>
      </c>
    </row>
    <row r="47" spans="2:11">
      <c r="B47" s="47">
        <v>40</v>
      </c>
      <c r="C47" s="33">
        <v>1.4716</v>
      </c>
    </row>
    <row r="48" spans="2:11">
      <c r="B48" s="47">
        <v>41</v>
      </c>
      <c r="C48" s="33">
        <v>1.4716</v>
      </c>
    </row>
    <row r="49" spans="2:3">
      <c r="B49" s="47">
        <v>42</v>
      </c>
      <c r="C49" s="33">
        <v>1.4716</v>
      </c>
    </row>
    <row r="50" spans="2:3">
      <c r="B50" s="47">
        <v>43</v>
      </c>
      <c r="C50" s="33">
        <v>1.4716</v>
      </c>
    </row>
    <row r="51" spans="2:3">
      <c r="B51" s="47">
        <v>44</v>
      </c>
      <c r="C51" s="33">
        <v>1.4716</v>
      </c>
    </row>
    <row r="52" spans="2:3">
      <c r="B52" s="47">
        <v>45</v>
      </c>
      <c r="C52" s="33">
        <v>1.4716</v>
      </c>
    </row>
    <row r="53" spans="2:3">
      <c r="B53" s="47">
        <v>46</v>
      </c>
      <c r="C53" s="33">
        <v>1.4716</v>
      </c>
    </row>
    <row r="54" spans="2:3">
      <c r="B54" s="47">
        <v>47</v>
      </c>
      <c r="C54" s="33">
        <v>1.4716</v>
      </c>
    </row>
    <row r="55" spans="2:3">
      <c r="B55" s="47">
        <v>48</v>
      </c>
      <c r="C55" s="33">
        <v>1.4716</v>
      </c>
    </row>
    <row r="56" spans="2:3">
      <c r="B56" s="47">
        <v>49</v>
      </c>
      <c r="C56" s="33">
        <v>1.4716</v>
      </c>
    </row>
    <row r="57" spans="2:3">
      <c r="B57" s="47">
        <v>50</v>
      </c>
      <c r="C57" s="33">
        <v>1.5513999999999999</v>
      </c>
    </row>
    <row r="58" spans="2:3">
      <c r="B58" s="32">
        <v>51</v>
      </c>
      <c r="C58" s="33">
        <v>1.5513999999999999</v>
      </c>
    </row>
    <row r="59" spans="2:3">
      <c r="B59" s="32">
        <v>52</v>
      </c>
      <c r="C59" s="33">
        <v>1.5513999999999999</v>
      </c>
    </row>
    <row r="60" spans="2:3">
      <c r="B60" s="32">
        <v>53</v>
      </c>
      <c r="C60" s="33">
        <v>1.5513999999999999</v>
      </c>
    </row>
    <row r="61" spans="2:3">
      <c r="B61" s="32">
        <v>54</v>
      </c>
      <c r="C61" s="33">
        <v>1.5513999999999999</v>
      </c>
    </row>
    <row r="62" spans="2:3">
      <c r="B62" s="32">
        <v>55</v>
      </c>
      <c r="C62" s="33">
        <v>1.5513999999999999</v>
      </c>
    </row>
    <row r="63" spans="2:3">
      <c r="B63" s="32">
        <v>56</v>
      </c>
      <c r="C63" s="33">
        <v>1.5513999999999999</v>
      </c>
    </row>
    <row r="64" spans="2:3">
      <c r="B64" s="32">
        <v>57</v>
      </c>
      <c r="C64" s="33">
        <v>1.5513999999999999</v>
      </c>
    </row>
    <row r="65" spans="2:3">
      <c r="B65" s="32">
        <v>58</v>
      </c>
      <c r="C65" s="33">
        <v>1.5513999999999999</v>
      </c>
    </row>
    <row r="66" spans="2:3">
      <c r="B66" s="32">
        <v>59</v>
      </c>
      <c r="C66" s="33">
        <v>1.5513999999999999</v>
      </c>
    </row>
    <row r="67" spans="2:3">
      <c r="B67" s="32">
        <v>60</v>
      </c>
      <c r="C67" s="33">
        <v>1.5513999999999999</v>
      </c>
    </row>
    <row r="68" spans="2:3">
      <c r="B68" s="32">
        <v>61</v>
      </c>
      <c r="C68" s="33">
        <v>1.5513999999999999</v>
      </c>
    </row>
    <row r="69" spans="2:3">
      <c r="B69" s="32">
        <v>62</v>
      </c>
      <c r="C69" s="33">
        <v>1.5513999999999999</v>
      </c>
    </row>
    <row r="70" spans="2:3">
      <c r="B70" s="45">
        <v>63</v>
      </c>
      <c r="C70" s="33">
        <v>1.5513999999999999</v>
      </c>
    </row>
    <row r="71" spans="2:3">
      <c r="B71" s="32">
        <v>64</v>
      </c>
      <c r="C71" s="33">
        <v>1.5513999999999999</v>
      </c>
    </row>
    <row r="72" spans="2:3">
      <c r="B72" s="32">
        <v>65</v>
      </c>
      <c r="C72" s="33">
        <v>1.5513999999999999</v>
      </c>
    </row>
    <row r="73" spans="2:3">
      <c r="B73" s="32">
        <v>66</v>
      </c>
      <c r="C73" s="33">
        <v>1.5513999999999999</v>
      </c>
    </row>
    <row r="74" spans="2:3">
      <c r="B74" s="32">
        <v>67</v>
      </c>
      <c r="C74" s="33">
        <v>1.5513999999999999</v>
      </c>
    </row>
    <row r="75" spans="2:3">
      <c r="B75" s="32">
        <v>68</v>
      </c>
      <c r="C75" s="33">
        <v>1.5513999999999999</v>
      </c>
    </row>
    <row r="76" spans="2:3">
      <c r="B76" s="32">
        <v>69</v>
      </c>
      <c r="C76" s="33">
        <v>1.5513999999999999</v>
      </c>
    </row>
    <row r="77" spans="2:3">
      <c r="B77" s="32">
        <v>70</v>
      </c>
      <c r="C77" s="33">
        <v>1.5513999999999999</v>
      </c>
    </row>
    <row r="78" spans="2:3">
      <c r="B78" s="32">
        <v>71</v>
      </c>
      <c r="C78" s="33">
        <v>1.5513999999999999</v>
      </c>
    </row>
    <row r="79" spans="2:3">
      <c r="B79" s="32">
        <v>72</v>
      </c>
      <c r="C79" s="33">
        <v>1.5513999999999999</v>
      </c>
    </row>
    <row r="80" spans="2:3">
      <c r="B80" s="32">
        <v>73</v>
      </c>
      <c r="C80" s="33">
        <v>1.5513999999999999</v>
      </c>
    </row>
    <row r="81" spans="2:3">
      <c r="B81" s="32">
        <v>74</v>
      </c>
      <c r="C81" s="33">
        <v>1.5513999999999999</v>
      </c>
    </row>
    <row r="82" spans="2:3">
      <c r="B82" s="32">
        <v>75</v>
      </c>
      <c r="C82" s="33">
        <v>1.5513999999999999</v>
      </c>
    </row>
    <row r="83" spans="2:3">
      <c r="B83" s="47">
        <v>76</v>
      </c>
      <c r="C83" s="33">
        <v>1.5513999999999999</v>
      </c>
    </row>
    <row r="84" spans="2:3">
      <c r="B84" s="47">
        <v>77</v>
      </c>
      <c r="C84" s="33">
        <v>1.5513999999999999</v>
      </c>
    </row>
    <row r="85" spans="2:3">
      <c r="B85" s="47">
        <v>78</v>
      </c>
      <c r="C85" s="33">
        <v>1.5513999999999999</v>
      </c>
    </row>
    <row r="86" spans="2:3">
      <c r="B86" s="47">
        <v>79</v>
      </c>
      <c r="C86" s="33">
        <v>1.5513999999999999</v>
      </c>
    </row>
    <row r="87" spans="2:3">
      <c r="B87" s="47">
        <v>80</v>
      </c>
      <c r="C87" s="33">
        <v>1.5513999999999999</v>
      </c>
    </row>
    <row r="88" spans="2:3">
      <c r="B88" s="47">
        <v>81</v>
      </c>
      <c r="C88" s="33">
        <v>1.5513999999999999</v>
      </c>
    </row>
    <row r="89" spans="2:3">
      <c r="B89" s="47">
        <v>82</v>
      </c>
      <c r="C89" s="33">
        <v>1.5513999999999999</v>
      </c>
    </row>
    <row r="90" spans="2:3">
      <c r="B90" s="47">
        <v>83</v>
      </c>
      <c r="C90" s="33">
        <v>1.5513999999999999</v>
      </c>
    </row>
    <row r="91" spans="2:3">
      <c r="B91" s="47">
        <v>84</v>
      </c>
      <c r="C91" s="33">
        <v>1.5513999999999999</v>
      </c>
    </row>
    <row r="92" spans="2:3">
      <c r="B92" s="47">
        <v>85</v>
      </c>
      <c r="C92" s="33">
        <v>1.5513999999999999</v>
      </c>
    </row>
    <row r="93" spans="2:3">
      <c r="B93" s="47">
        <v>86</v>
      </c>
      <c r="C93" s="33">
        <v>1.5513999999999999</v>
      </c>
    </row>
    <row r="94" spans="2:3">
      <c r="B94" s="47">
        <v>87</v>
      </c>
      <c r="C94" s="33">
        <v>1.5513999999999999</v>
      </c>
    </row>
    <row r="95" spans="2:3">
      <c r="B95" s="45">
        <v>88</v>
      </c>
      <c r="C95" s="33">
        <v>1.5513999999999999</v>
      </c>
    </row>
    <row r="96" spans="2:3">
      <c r="B96" s="47">
        <v>89</v>
      </c>
      <c r="C96" s="33">
        <v>1.5513999999999999</v>
      </c>
    </row>
    <row r="97" spans="2:3">
      <c r="B97" s="47">
        <v>90</v>
      </c>
      <c r="C97" s="33">
        <v>1.5513999999999999</v>
      </c>
    </row>
    <row r="98" spans="2:3">
      <c r="B98" s="47">
        <v>91</v>
      </c>
      <c r="C98" s="33">
        <v>1.5513999999999999</v>
      </c>
    </row>
    <row r="99" spans="2:3">
      <c r="B99" s="47">
        <v>92</v>
      </c>
      <c r="C99" s="33">
        <v>1.5513999999999999</v>
      </c>
    </row>
    <row r="100" spans="2:3">
      <c r="B100" s="47">
        <v>93</v>
      </c>
      <c r="C100" s="33">
        <v>1.5513999999999999</v>
      </c>
    </row>
    <row r="101" spans="2:3">
      <c r="B101" s="47">
        <v>94</v>
      </c>
      <c r="C101" s="33">
        <v>1.5513999999999999</v>
      </c>
    </row>
    <row r="102" spans="2:3">
      <c r="B102" s="47">
        <v>95</v>
      </c>
      <c r="C102" s="33">
        <v>1.5513999999999999</v>
      </c>
    </row>
    <row r="103" spans="2:3">
      <c r="B103" s="47">
        <v>96</v>
      </c>
      <c r="C103" s="33">
        <v>1.5513999999999999</v>
      </c>
    </row>
    <row r="104" spans="2:3">
      <c r="B104" s="47">
        <v>97</v>
      </c>
      <c r="C104" s="33">
        <v>1.5513999999999999</v>
      </c>
    </row>
    <row r="105" spans="2:3">
      <c r="B105" s="47">
        <v>98</v>
      </c>
      <c r="C105" s="33">
        <v>1.5513999999999999</v>
      </c>
    </row>
    <row r="106" spans="2:3">
      <c r="B106" s="47">
        <v>99</v>
      </c>
      <c r="C106" s="33">
        <v>1.5513999999999999</v>
      </c>
    </row>
    <row r="107" spans="2:3">
      <c r="B107" s="47">
        <v>100</v>
      </c>
      <c r="C107" s="33">
        <v>1.5513999999999999</v>
      </c>
    </row>
    <row r="108" spans="2:3">
      <c r="C108">
        <v>1.5513999999999999</v>
      </c>
    </row>
    <row r="109" spans="2:3">
      <c r="C109">
        <v>1.5513999999999999</v>
      </c>
    </row>
    <row r="110" spans="2:3">
      <c r="C110">
        <v>1.5513999999999999</v>
      </c>
    </row>
    <row r="111" spans="2:3">
      <c r="C111">
        <v>1.5513999999999999</v>
      </c>
    </row>
    <row r="112" spans="2:3">
      <c r="C112">
        <v>1.5513999999999999</v>
      </c>
    </row>
    <row r="113" spans="3:3">
      <c r="C113">
        <v>1.5513999999999999</v>
      </c>
    </row>
    <row r="114" spans="3:3">
      <c r="C114">
        <v>1.5513999999999999</v>
      </c>
    </row>
    <row r="115" spans="3:3">
      <c r="C115">
        <v>1.5513999999999999</v>
      </c>
    </row>
    <row r="116" spans="3:3">
      <c r="C116">
        <v>1.5513999999999999</v>
      </c>
    </row>
    <row r="117" spans="3:3">
      <c r="C117">
        <v>1.5513999999999999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2:I106"/>
  <sheetViews>
    <sheetView workbookViewId="0">
      <pane xSplit="2" ySplit="2" topLeftCell="C3" activePane="bottomRight" state="frozen"/>
      <selection pane="topRight"/>
      <selection pane="bottomLeft"/>
      <selection pane="bottomRight" activeCell="C6" sqref="C6"/>
    </sheetView>
  </sheetViews>
  <sheetFormatPr baseColWidth="10" defaultColWidth="11.42578125" defaultRowHeight="15"/>
  <cols>
    <col min="1" max="1" width="8.28515625" customWidth="1"/>
    <col min="2" max="2" width="4" bestFit="1" customWidth="1"/>
    <col min="3" max="3" width="7" bestFit="1" customWidth="1"/>
    <col min="4" max="4" width="7.140625" customWidth="1"/>
    <col min="5" max="5" width="7" bestFit="1" customWidth="1"/>
    <col min="6" max="6" width="3" bestFit="1" customWidth="1"/>
    <col min="7" max="7" width="7" bestFit="1" customWidth="1"/>
    <col min="8" max="8" width="4" bestFit="1" customWidth="1"/>
    <col min="9" max="9" width="7" bestFit="1" customWidth="1"/>
  </cols>
  <sheetData>
    <row r="2" spans="2:9">
      <c r="B2" s="60" t="s">
        <v>57</v>
      </c>
      <c r="C2" s="60" t="s">
        <v>58</v>
      </c>
      <c r="D2" s="59"/>
      <c r="E2" s="59"/>
      <c r="F2" s="59"/>
      <c r="G2" s="59"/>
      <c r="H2" s="59"/>
      <c r="I2" s="59"/>
    </row>
    <row r="3" spans="2:9">
      <c r="B3">
        <v>0</v>
      </c>
      <c r="C3" s="58">
        <v>198.95869999999999</v>
      </c>
    </row>
    <row r="4" spans="2:9">
      <c r="B4">
        <v>1</v>
      </c>
      <c r="C4" s="58">
        <v>206.53299999999999</v>
      </c>
    </row>
    <row r="5" spans="2:9">
      <c r="B5">
        <v>2</v>
      </c>
      <c r="C5" s="58">
        <v>214.3956</v>
      </c>
    </row>
    <row r="6" spans="2:9">
      <c r="B6">
        <v>3</v>
      </c>
      <c r="C6" s="58">
        <v>222.5575</v>
      </c>
    </row>
    <row r="7" spans="2:9">
      <c r="B7">
        <v>4</v>
      </c>
      <c r="C7" s="58">
        <v>231.0301</v>
      </c>
    </row>
    <row r="8" spans="2:9">
      <c r="B8">
        <v>5</v>
      </c>
      <c r="C8" s="58">
        <v>239.8253</v>
      </c>
    </row>
    <row r="9" spans="2:9">
      <c r="B9">
        <v>6</v>
      </c>
      <c r="C9" s="58">
        <v>248.95529999999999</v>
      </c>
    </row>
    <row r="10" spans="2:9">
      <c r="B10">
        <v>7</v>
      </c>
      <c r="C10" s="58">
        <v>258.43290000000002</v>
      </c>
    </row>
    <row r="11" spans="2:9">
      <c r="B11">
        <v>8</v>
      </c>
      <c r="C11" s="58">
        <v>268.2713</v>
      </c>
    </row>
    <row r="12" spans="2:9">
      <c r="B12">
        <v>9</v>
      </c>
      <c r="C12" s="58">
        <v>278.48430000000002</v>
      </c>
    </row>
    <row r="13" spans="2:9">
      <c r="B13">
        <v>10</v>
      </c>
      <c r="C13" s="58">
        <v>289.08600000000001</v>
      </c>
    </row>
    <row r="14" spans="2:9">
      <c r="B14">
        <v>11</v>
      </c>
      <c r="C14" s="58">
        <v>300.09140000000002</v>
      </c>
    </row>
    <row r="15" spans="2:9">
      <c r="B15">
        <v>12</v>
      </c>
      <c r="C15" s="58">
        <v>311.51569999999998</v>
      </c>
    </row>
    <row r="16" spans="2:9">
      <c r="B16">
        <v>13</v>
      </c>
      <c r="C16" s="58">
        <v>323.37490000000003</v>
      </c>
    </row>
    <row r="17" spans="2:3">
      <c r="B17">
        <v>14</v>
      </c>
      <c r="C17" s="58">
        <v>335.68560000000002</v>
      </c>
    </row>
    <row r="18" spans="2:3">
      <c r="B18">
        <v>15</v>
      </c>
      <c r="C18" s="58">
        <v>348.46499999999997</v>
      </c>
    </row>
    <row r="19" spans="2:3">
      <c r="B19">
        <v>16</v>
      </c>
      <c r="C19" s="58">
        <v>361.73079999999999</v>
      </c>
    </row>
    <row r="20" spans="2:3">
      <c r="B20">
        <v>17</v>
      </c>
      <c r="C20" s="58">
        <v>375.50170000000003</v>
      </c>
    </row>
    <row r="21" spans="2:3">
      <c r="B21">
        <v>18</v>
      </c>
      <c r="C21" s="58">
        <v>389.79689999999999</v>
      </c>
    </row>
    <row r="22" spans="2:3">
      <c r="B22">
        <v>19</v>
      </c>
      <c r="C22" s="58">
        <v>404.63619999999997</v>
      </c>
    </row>
    <row r="23" spans="2:3">
      <c r="B23">
        <v>20</v>
      </c>
      <c r="C23" s="58">
        <v>420.04050000000001</v>
      </c>
    </row>
    <row r="24" spans="2:3">
      <c r="B24">
        <v>21</v>
      </c>
      <c r="C24" s="58">
        <v>436.03120000000001</v>
      </c>
    </row>
    <row r="25" spans="2:3">
      <c r="B25">
        <v>22</v>
      </c>
      <c r="C25" s="58">
        <v>452.63069999999999</v>
      </c>
    </row>
    <row r="26" spans="2:3">
      <c r="B26">
        <v>23</v>
      </c>
      <c r="C26" s="58">
        <v>469.8621</v>
      </c>
    </row>
    <row r="27" spans="2:3">
      <c r="B27">
        <v>24</v>
      </c>
      <c r="C27" s="58">
        <v>487.74950000000001</v>
      </c>
    </row>
    <row r="28" spans="2:3">
      <c r="B28">
        <v>25</v>
      </c>
      <c r="C28" s="58">
        <v>506.31779999999998</v>
      </c>
    </row>
    <row r="29" spans="2:3">
      <c r="B29">
        <v>26</v>
      </c>
      <c r="C29" s="58">
        <v>525.59310000000005</v>
      </c>
    </row>
    <row r="30" spans="2:3">
      <c r="B30">
        <v>27</v>
      </c>
      <c r="C30" s="58">
        <v>545.60209999999995</v>
      </c>
    </row>
    <row r="31" spans="2:3">
      <c r="B31">
        <v>28</v>
      </c>
      <c r="C31" s="58">
        <v>566.37289999999996</v>
      </c>
    </row>
    <row r="32" spans="2:3">
      <c r="B32">
        <v>29</v>
      </c>
      <c r="C32" s="58">
        <v>587.93439999999998</v>
      </c>
    </row>
    <row r="33" spans="2:3">
      <c r="B33">
        <v>30</v>
      </c>
      <c r="C33" s="58">
        <v>610.31669999999997</v>
      </c>
    </row>
    <row r="34" spans="2:3">
      <c r="B34">
        <v>31</v>
      </c>
      <c r="C34" s="58">
        <v>633.55110000000002</v>
      </c>
    </row>
    <row r="35" spans="2:3">
      <c r="B35">
        <v>32</v>
      </c>
      <c r="C35" s="58">
        <v>657.67010000000005</v>
      </c>
    </row>
    <row r="36" spans="2:3">
      <c r="B36">
        <v>33</v>
      </c>
      <c r="C36" s="58">
        <v>682.70719999999994</v>
      </c>
    </row>
    <row r="37" spans="2:3">
      <c r="B37">
        <v>34</v>
      </c>
      <c r="C37" s="58">
        <v>708.69749999999999</v>
      </c>
    </row>
    <row r="38" spans="2:3">
      <c r="B38">
        <v>35</v>
      </c>
      <c r="C38" s="58">
        <v>735.67719999999997</v>
      </c>
    </row>
    <row r="39" spans="2:3">
      <c r="B39">
        <v>36</v>
      </c>
      <c r="C39" s="58">
        <v>763.68409999999994</v>
      </c>
    </row>
    <row r="40" spans="2:3">
      <c r="B40">
        <v>37</v>
      </c>
      <c r="C40" s="58">
        <v>792.75710000000004</v>
      </c>
    </row>
    <row r="41" spans="2:3">
      <c r="B41">
        <v>38</v>
      </c>
      <c r="C41" s="58">
        <v>822.93690000000004</v>
      </c>
    </row>
    <row r="42" spans="2:3">
      <c r="B42">
        <v>39</v>
      </c>
      <c r="C42" s="58">
        <v>854.26570000000004</v>
      </c>
    </row>
    <row r="43" spans="2:3">
      <c r="B43">
        <v>40</v>
      </c>
      <c r="C43" s="58">
        <v>886.78710000000001</v>
      </c>
    </row>
    <row r="44" spans="2:3">
      <c r="B44">
        <v>41</v>
      </c>
      <c r="C44" s="58">
        <v>920.54660000000001</v>
      </c>
    </row>
    <row r="45" spans="2:3">
      <c r="B45">
        <v>42</v>
      </c>
      <c r="C45" s="58">
        <v>955.59130000000005</v>
      </c>
    </row>
    <row r="46" spans="2:3">
      <c r="B46">
        <v>43</v>
      </c>
      <c r="C46" s="58">
        <v>991.9701</v>
      </c>
    </row>
    <row r="47" spans="2:3">
      <c r="B47">
        <v>44</v>
      </c>
      <c r="C47" s="58">
        <v>1029.7338999999999</v>
      </c>
    </row>
    <row r="48" spans="2:3">
      <c r="B48">
        <v>45</v>
      </c>
      <c r="C48" s="58">
        <v>1068.9353000000001</v>
      </c>
    </row>
    <row r="49" spans="2:3">
      <c r="B49">
        <v>46</v>
      </c>
      <c r="C49" s="58">
        <v>1109.6291000000001</v>
      </c>
    </row>
    <row r="50" spans="2:3">
      <c r="B50">
        <v>47</v>
      </c>
      <c r="C50" s="58">
        <v>1151.8720000000001</v>
      </c>
    </row>
    <row r="51" spans="2:3">
      <c r="B51">
        <v>48</v>
      </c>
      <c r="C51" s="58">
        <v>1195.7230999999999</v>
      </c>
    </row>
    <row r="52" spans="2:3">
      <c r="B52">
        <v>49</v>
      </c>
      <c r="C52" s="58">
        <v>1241.2437</v>
      </c>
    </row>
    <row r="53" spans="2:3">
      <c r="B53">
        <v>50</v>
      </c>
      <c r="C53" s="58">
        <v>1288.4971</v>
      </c>
    </row>
    <row r="54" spans="2:3">
      <c r="B54">
        <v>51</v>
      </c>
      <c r="C54" s="58">
        <v>1337.5495000000001</v>
      </c>
    </row>
    <row r="55" spans="2:3">
      <c r="B55">
        <v>52</v>
      </c>
      <c r="C55" s="58">
        <v>1388.4693</v>
      </c>
    </row>
    <row r="56" spans="2:3">
      <c r="B56">
        <v>53</v>
      </c>
      <c r="C56" s="58">
        <v>1441.3275000000001</v>
      </c>
    </row>
    <row r="57" spans="2:3">
      <c r="B57">
        <v>54</v>
      </c>
      <c r="C57" s="58">
        <v>1496.1981000000001</v>
      </c>
    </row>
    <row r="58" spans="2:3">
      <c r="B58">
        <v>55</v>
      </c>
      <c r="C58" s="58">
        <v>1553.1575</v>
      </c>
    </row>
    <row r="59" spans="2:3">
      <c r="B59">
        <v>56</v>
      </c>
      <c r="C59" s="58">
        <v>1612.2854</v>
      </c>
    </row>
    <row r="60" spans="2:3">
      <c r="B60">
        <v>57</v>
      </c>
      <c r="C60" s="58">
        <v>1673.6641999999999</v>
      </c>
    </row>
    <row r="61" spans="2:3">
      <c r="B61">
        <v>58</v>
      </c>
      <c r="C61" s="58">
        <v>1737.3796</v>
      </c>
    </row>
    <row r="62" spans="2:3">
      <c r="B62">
        <v>59</v>
      </c>
      <c r="C62" s="58">
        <v>1803.5207</v>
      </c>
    </row>
    <row r="63" spans="2:3">
      <c r="B63">
        <v>60</v>
      </c>
      <c r="C63" s="58">
        <v>1872.1797999999999</v>
      </c>
    </row>
    <row r="64" spans="2:3">
      <c r="B64">
        <v>61</v>
      </c>
      <c r="C64" s="58">
        <v>1943.4526000000001</v>
      </c>
    </row>
    <row r="65" spans="2:3">
      <c r="B65">
        <v>62</v>
      </c>
      <c r="C65" s="58">
        <v>2017.4387999999999</v>
      </c>
    </row>
    <row r="66" spans="2:3">
      <c r="B66">
        <v>63</v>
      </c>
      <c r="C66" s="58">
        <v>2094.2415999999998</v>
      </c>
    </row>
    <row r="67" spans="2:3">
      <c r="B67">
        <v>64</v>
      </c>
      <c r="C67" s="58">
        <v>2173.9681999999998</v>
      </c>
    </row>
    <row r="68" spans="2:3">
      <c r="B68">
        <v>65</v>
      </c>
      <c r="C68" s="58">
        <v>2256.73</v>
      </c>
    </row>
    <row r="69" spans="2:3">
      <c r="B69">
        <v>66</v>
      </c>
      <c r="C69" s="58">
        <v>2342.6424000000002</v>
      </c>
    </row>
    <row r="70" spans="2:3">
      <c r="B70">
        <v>67</v>
      </c>
      <c r="C70" s="58">
        <v>2431.8254999999999</v>
      </c>
    </row>
    <row r="71" spans="2:3">
      <c r="B71">
        <v>68</v>
      </c>
      <c r="C71" s="58">
        <v>2524.4038</v>
      </c>
    </row>
    <row r="72" spans="2:3">
      <c r="B72">
        <v>69</v>
      </c>
      <c r="C72" s="58">
        <v>2620.5064000000002</v>
      </c>
    </row>
    <row r="73" spans="2:3">
      <c r="B73">
        <v>70</v>
      </c>
      <c r="C73" s="58">
        <v>2720.2676999999999</v>
      </c>
    </row>
    <row r="74" spans="2:3">
      <c r="B74">
        <v>71</v>
      </c>
      <c r="C74" s="58">
        <v>2823.8267999999998</v>
      </c>
    </row>
    <row r="75" spans="2:3">
      <c r="B75">
        <v>72</v>
      </c>
      <c r="C75" s="58">
        <v>2931.3283000000001</v>
      </c>
    </row>
    <row r="76" spans="2:3">
      <c r="B76">
        <v>73</v>
      </c>
      <c r="C76" s="58">
        <v>3042.9223000000002</v>
      </c>
    </row>
    <row r="77" spans="2:3">
      <c r="B77">
        <v>74</v>
      </c>
      <c r="C77" s="58">
        <v>3158.7647000000002</v>
      </c>
    </row>
    <row r="78" spans="2:3">
      <c r="B78">
        <v>75</v>
      </c>
      <c r="C78" s="58">
        <v>3279.0171</v>
      </c>
    </row>
    <row r="79" spans="2:3">
      <c r="B79">
        <v>76</v>
      </c>
      <c r="C79" s="58">
        <v>3403.8474999999999</v>
      </c>
    </row>
    <row r="80" spans="2:3">
      <c r="B80">
        <v>77</v>
      </c>
      <c r="C80" s="58">
        <v>3533.4301</v>
      </c>
    </row>
    <row r="81" spans="2:3">
      <c r="B81">
        <v>78</v>
      </c>
      <c r="C81" s="58">
        <v>3667.9458</v>
      </c>
    </row>
    <row r="82" spans="2:3">
      <c r="B82">
        <v>79</v>
      </c>
      <c r="C82" s="58">
        <v>3807.5825</v>
      </c>
    </row>
    <row r="83" spans="2:3">
      <c r="B83">
        <v>80</v>
      </c>
      <c r="C83" s="58">
        <v>3952.5351000000001</v>
      </c>
    </row>
    <row r="84" spans="2:3">
      <c r="B84">
        <v>81</v>
      </c>
      <c r="C84" s="58">
        <v>4103.0059000000001</v>
      </c>
    </row>
    <row r="85" spans="2:3">
      <c r="B85">
        <v>82</v>
      </c>
      <c r="C85" s="58">
        <v>4259.2051000000001</v>
      </c>
    </row>
    <row r="86" spans="2:3">
      <c r="B86">
        <v>83</v>
      </c>
      <c r="C86" s="58">
        <v>4421.3505999999998</v>
      </c>
    </row>
    <row r="87" spans="2:3">
      <c r="B87">
        <v>84</v>
      </c>
      <c r="C87" s="58">
        <v>4589.6689999999999</v>
      </c>
    </row>
    <row r="88" spans="2:3">
      <c r="B88">
        <v>85</v>
      </c>
      <c r="C88" s="58">
        <v>4764.3951999999999</v>
      </c>
    </row>
    <row r="89" spans="2:3">
      <c r="B89">
        <v>86</v>
      </c>
      <c r="C89" s="58">
        <v>4945.7731000000003</v>
      </c>
    </row>
    <row r="90" spans="2:3">
      <c r="B90">
        <v>87</v>
      </c>
      <c r="C90" s="58">
        <v>5134.0559000000003</v>
      </c>
    </row>
    <row r="91" spans="2:3">
      <c r="B91">
        <v>88</v>
      </c>
      <c r="C91" s="58">
        <v>5329.5065999999997</v>
      </c>
    </row>
    <row r="92" spans="2:3">
      <c r="B92">
        <v>89</v>
      </c>
      <c r="C92" s="58">
        <v>5532.3980000000001</v>
      </c>
    </row>
    <row r="93" spans="2:3">
      <c r="B93">
        <v>90</v>
      </c>
      <c r="C93" s="58">
        <v>5743.0132999999996</v>
      </c>
    </row>
    <row r="94" spans="2:3">
      <c r="B94">
        <v>91</v>
      </c>
      <c r="C94" s="58">
        <v>5961.6467000000002</v>
      </c>
    </row>
    <row r="95" spans="2:3">
      <c r="B95">
        <v>92</v>
      </c>
      <c r="C95" s="58">
        <v>6188.6031999999996</v>
      </c>
    </row>
    <row r="96" spans="2:3">
      <c r="B96">
        <v>93</v>
      </c>
      <c r="C96" s="58">
        <v>6424.2</v>
      </c>
    </row>
    <row r="97" spans="2:3">
      <c r="B97">
        <v>94</v>
      </c>
      <c r="C97" s="58">
        <v>6668.7656999999999</v>
      </c>
    </row>
    <row r="98" spans="2:3">
      <c r="B98">
        <v>95</v>
      </c>
      <c r="C98" s="58">
        <v>6922.6418999999996</v>
      </c>
    </row>
    <row r="99" spans="2:3">
      <c r="B99">
        <v>96</v>
      </c>
      <c r="C99" s="58">
        <v>7186.1831000000002</v>
      </c>
    </row>
    <row r="100" spans="2:3">
      <c r="B100">
        <v>97</v>
      </c>
      <c r="C100" s="58">
        <v>7459.7570999999998</v>
      </c>
    </row>
    <row r="101" spans="2:3">
      <c r="B101">
        <v>98</v>
      </c>
      <c r="C101" s="58">
        <v>7743.7458999999999</v>
      </c>
    </row>
    <row r="102" spans="2:3">
      <c r="B102">
        <v>99</v>
      </c>
      <c r="C102" s="58">
        <v>8038.5460999999996</v>
      </c>
    </row>
    <row r="103" spans="2:3">
      <c r="B103">
        <v>100</v>
      </c>
      <c r="C103" s="58">
        <v>8344.5691000000006</v>
      </c>
    </row>
    <row r="104" spans="2:3">
      <c r="B104">
        <v>101</v>
      </c>
      <c r="C104" s="58">
        <v>8662.2422000000006</v>
      </c>
    </row>
    <row r="105" spans="2:3">
      <c r="B105">
        <v>102</v>
      </c>
      <c r="C105" s="58">
        <v>8992.009</v>
      </c>
    </row>
    <row r="106" spans="2:3">
      <c r="B106">
        <v>103</v>
      </c>
      <c r="C106" s="58">
        <v>9334.3297999999995</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vt:i4>
      </vt:variant>
    </vt:vector>
  </HeadingPairs>
  <TitlesOfParts>
    <vt:vector size="16" baseType="lpstr">
      <vt:lpstr>Bienvenida</vt:lpstr>
      <vt:lpstr>Cotización</vt:lpstr>
      <vt:lpstr>Hoja1</vt:lpstr>
      <vt:lpstr>Agente</vt:lpstr>
      <vt:lpstr>NAS</vt:lpstr>
      <vt:lpstr>O.T. Emision</vt:lpstr>
      <vt:lpstr>Carga_Tarifa</vt:lpstr>
      <vt:lpstr>Carga_Tarifa_2</vt:lpstr>
      <vt:lpstr>Hospitalario</vt:lpstr>
      <vt:lpstr>Cotizador EMER</vt:lpstr>
      <vt:lpstr>Cotizador Basica</vt:lpstr>
      <vt:lpstr>Cotizador Extranjero</vt:lpstr>
      <vt:lpstr>Cotizador Cobertura Ext 2</vt:lpstr>
      <vt:lpstr>Cotizador Cobertura EMER</vt:lpstr>
      <vt:lpstr>Prima de Riesgo</vt:lpstr>
      <vt:lpstr>Cotización!Área_de_impresión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Gabita II</dc:creator>
  <cp:lastModifiedBy>Usuario de Windows</cp:lastModifiedBy>
  <cp:lastPrinted>2020-05-20T18:33:28Z</cp:lastPrinted>
  <dcterms:created xsi:type="dcterms:W3CDTF">2016-08-02T21:08:27Z</dcterms:created>
  <dcterms:modified xsi:type="dcterms:W3CDTF">2020-05-20T18:33:34Z</dcterms:modified>
</cp:coreProperties>
</file>