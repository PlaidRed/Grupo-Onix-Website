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2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3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MIN\Desktop\GASTOS MEDICOS\"/>
    </mc:Choice>
  </mc:AlternateContent>
  <workbookProtection workbookAlgorithmName="SHA-512" workbookHashValue="NHWYmfoBPnQzyRzVJYeSziVU/JW0W5ViqqtpCuZ7sfNCj+gs4jZNMMNNWrTDo551sNCsc6YXEC9hyQJ2saRpDw==" workbookSaltValue="e4buUUl7FgWWSgmw4aOSCA==" workbookSpinCount="100000" lockStructure="1"/>
  <bookViews>
    <workbookView xWindow="0" yWindow="0" windowWidth="10710" windowHeight="3840" tabRatio="532"/>
  </bookViews>
  <sheets>
    <sheet name="Cotizador" sheetId="23" r:id="rId1"/>
    <sheet name="Parametros" sheetId="28" r:id="rId2"/>
    <sheet name="Cotizacion" sheetId="27" state="hidden" r:id="rId3"/>
    <sheet name="Tablas" sheetId="25" state="veryHidden" r:id="rId4"/>
    <sheet name="Historial de Factores" sheetId="29" state="veryHidden" r:id="rId5"/>
  </sheets>
  <definedNames>
    <definedName name="_xlnm._FilterDatabase" localSheetId="3" hidden="1">Tablas!$Q$4:$Y$107</definedName>
    <definedName name="_qxD1" localSheetId="2">Cotizacion!#REF!</definedName>
    <definedName name="_qxD2" localSheetId="2">Cotizacion!#REF!</definedName>
    <definedName name="_qxD3" localSheetId="2">Cotizacion!#REF!</definedName>
    <definedName name="_qxD4" localSheetId="2">Cotizacion!#REF!</definedName>
    <definedName name="_qxD5" localSheetId="2">Cotizacion!#REF!</definedName>
    <definedName name="Alto">Tablas!$AC$89:$AC$91</definedName>
    <definedName name="_xlnm.Print_Area" localSheetId="2">Cotizacion!$B$1:$O$76</definedName>
    <definedName name="_xlnm.Print_Area" localSheetId="0">Cotizador!$B$2:$M$29</definedName>
    <definedName name="COASEGURO">Tablas!$AO$27:$AO$30</definedName>
    <definedName name="DEDUCIBLE">Tablas!$AO$4:$AO$21</definedName>
    <definedName name="EDAD" localSheetId="2">Cotizacion!#REF!</definedName>
    <definedName name="EDAD">Cotizador!$AG$6:$AG$105</definedName>
    <definedName name="ESTADO">Tablas!$Q$5:$Q$36</definedName>
    <definedName name="Estandar">Tablas!$AE$89:$AE$91</definedName>
    <definedName name="FAYUDADIARIA">Tablas!$N$25</definedName>
    <definedName name="FCOBEXT">Tablas!$N$10</definedName>
    <definedName name="FCONTINUIDAD">Tablas!$N$87</definedName>
    <definedName name="FCS">Tablas!$AP$25</definedName>
    <definedName name="FDCE">Tablas!$N$92</definedName>
    <definedName name="FDED">Tablas!$AP$2</definedName>
    <definedName name="FELIMINADEDYCS">Tablas!$N$20</definedName>
    <definedName name="FEME">Tablas!$N$6</definedName>
    <definedName name="FENFGVESEXT">Tablas!$N$92</definedName>
    <definedName name="FGASTOEXT">Tablas!$N$30</definedName>
    <definedName name="FGFD1">Cotizador!$AB$10</definedName>
    <definedName name="FGFD2">Cotizador!$AB$12</definedName>
    <definedName name="FGFD3">Cotizador!$AB$14</definedName>
    <definedName name="FGFD4">Cotizador!$AB$16</definedName>
    <definedName name="FGFD5">Cotizador!$AB$18</definedName>
    <definedName name="FGFTITULAR">Cotizador!$AB$8</definedName>
    <definedName name="FNH">Tablas!$AD$27</definedName>
    <definedName name="FR">Tablas!$AE$2</definedName>
    <definedName name="FRC">Tablas!$AV$2</definedName>
    <definedName name="FROD1" localSheetId="2">Cotizacion!#REF!</definedName>
    <definedName name="FROD1">Cotizador!$Z$10</definedName>
    <definedName name="FROD2" localSheetId="2">Cotizacion!#REF!</definedName>
    <definedName name="FROD2">Cotizador!$Z$12</definedName>
    <definedName name="FROD3" localSheetId="2">Cotizacion!#REF!</definedName>
    <definedName name="FROD3">Cotizador!$Z$14</definedName>
    <definedName name="FROD4" localSheetId="2">Cotizacion!#REF!</definedName>
    <definedName name="FROD4">Cotizador!$Z$16</definedName>
    <definedName name="FROD5" localSheetId="2">Cotizacion!#REF!</definedName>
    <definedName name="FROD5">Cotizador!$Z$18</definedName>
    <definedName name="FROTITULAR" localSheetId="2">Cotizacion!#REF!</definedName>
    <definedName name="FROTITULAR">Cotizador!$Z$8</definedName>
    <definedName name="FSA">Tablas!$AD$45</definedName>
    <definedName name="FTABHM">Tablas!$AD$61</definedName>
    <definedName name="GASADMON">Tablas!$AP$52</definedName>
    <definedName name="GASADQUI">Tablas!$AP$53</definedName>
    <definedName name="HM">Tablas!$AC$64:$AC$69</definedName>
    <definedName name="HONMED">Tablas!$AO$61:$AO$63</definedName>
    <definedName name="INFLACION2008">Tablas!$AP$45</definedName>
    <definedName name="INFLACION2009">Tablas!$AP$46</definedName>
    <definedName name="INFLACION2010">Tablas!$AP$47</definedName>
    <definedName name="INFLACION2011">Tablas!$AP$48</definedName>
    <definedName name="MARGENDESVIACION">Tablas!$AP$55</definedName>
    <definedName name="Medio">Tablas!$AD$89:$AD$91</definedName>
    <definedName name="Mr">Tablas!$AE$3</definedName>
    <definedName name="NH">Tablas!$AC$29:$AC$31</definedName>
    <definedName name="PCATD1" localSheetId="2">Cotizacion!#REF!</definedName>
    <definedName name="PCATD1">Cotizador!$AA$10</definedName>
    <definedName name="PCATD2" localSheetId="2">Cotizacion!#REF!</definedName>
    <definedName name="PCATD2">Cotizador!$AA$12</definedName>
    <definedName name="PCATD3" localSheetId="2">Cotizacion!#REF!</definedName>
    <definedName name="PCATD3">Cotizador!$AA$14</definedName>
    <definedName name="PCATD4" localSheetId="2">Cotizacion!#REF!</definedName>
    <definedName name="PCATD4">Cotizador!$AA$16</definedName>
    <definedName name="PCATD5" localSheetId="2">Cotizacion!#REF!</definedName>
    <definedName name="PCATD5">Cotizador!$AA$18</definedName>
    <definedName name="PCATTITULAR" localSheetId="2">Cotizacion!#REF!</definedName>
    <definedName name="PCATTITULAR">Cotizador!$AA$8</definedName>
    <definedName name="PP">Tablas!#REF!</definedName>
    <definedName name="qxTITULAR" localSheetId="2">Cotizacion!#REF!</definedName>
    <definedName name="RO">Tablas!$AC$35:$AC$42</definedName>
    <definedName name="SA">Tablas!$AC$47:$AC$58</definedName>
    <definedName name="TC">Tablas!#REF!</definedName>
    <definedName name="UTILIDAD">Tablas!$AP$54</definedName>
    <definedName name="ZONA_COBEXT">Tablas!$M$12:$M$15</definedName>
    <definedName name="ZONA_EME">Tablas!$M$6:$M$7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28" l="1"/>
  <c r="B70" i="27"/>
  <c r="E56" i="27" l="1"/>
  <c r="AV59" i="25" l="1"/>
  <c r="AV60" i="25" s="1"/>
  <c r="AV61" i="25" s="1"/>
  <c r="AV62" i="25" s="1"/>
  <c r="AV63" i="25" s="1"/>
  <c r="AV64" i="25" s="1"/>
  <c r="AV65" i="25" s="1"/>
  <c r="AV66" i="25" s="1"/>
  <c r="AV67" i="25" s="1"/>
  <c r="AV68" i="25" s="1"/>
  <c r="AV69" i="25" s="1"/>
  <c r="AV70" i="25" s="1"/>
  <c r="AV71" i="25" s="1"/>
  <c r="AV72" i="25" s="1"/>
  <c r="AV73" i="25" s="1"/>
  <c r="T36" i="28" l="1"/>
  <c r="T26" i="28"/>
  <c r="L42" i="28"/>
  <c r="R50" i="28" s="1"/>
  <c r="L41" i="28"/>
  <c r="R45" i="28" s="1"/>
  <c r="T24" i="28"/>
  <c r="T35" i="28"/>
  <c r="T24" i="23"/>
  <c r="K10" i="27" s="1"/>
  <c r="T25" i="23"/>
  <c r="AP2" i="25" s="1"/>
  <c r="F7" i="25"/>
  <c r="H7" i="25" s="1"/>
  <c r="J7" i="25" s="1"/>
  <c r="T35" i="23"/>
  <c r="C31" i="27" s="1"/>
  <c r="F31" i="27" s="1"/>
  <c r="G8" i="25"/>
  <c r="I8" i="25" s="1"/>
  <c r="K8" i="25" s="1"/>
  <c r="G9" i="25"/>
  <c r="G10" i="25"/>
  <c r="I10" i="25" s="1"/>
  <c r="K10" i="25" s="1"/>
  <c r="G11" i="25"/>
  <c r="G12" i="25"/>
  <c r="I12" i="25" s="1"/>
  <c r="K12" i="25" s="1"/>
  <c r="G13" i="25"/>
  <c r="I13" i="25" s="1"/>
  <c r="K13" i="25" s="1"/>
  <c r="G14" i="25"/>
  <c r="I14" i="25" s="1"/>
  <c r="K14" i="25" s="1"/>
  <c r="G15" i="25"/>
  <c r="I15" i="25" s="1"/>
  <c r="K15" i="25" s="1"/>
  <c r="G16" i="25"/>
  <c r="G17" i="25"/>
  <c r="I17" i="25" s="1"/>
  <c r="K17" i="25" s="1"/>
  <c r="G18" i="25"/>
  <c r="I18" i="25" s="1"/>
  <c r="K18" i="25" s="1"/>
  <c r="G19" i="25"/>
  <c r="I19" i="25" s="1"/>
  <c r="K19" i="25" s="1"/>
  <c r="G20" i="25"/>
  <c r="I20" i="25" s="1"/>
  <c r="K20" i="25" s="1"/>
  <c r="G21" i="25"/>
  <c r="I21" i="25" s="1"/>
  <c r="K21" i="25" s="1"/>
  <c r="G22" i="25"/>
  <c r="G23" i="25"/>
  <c r="I23" i="25" s="1"/>
  <c r="K23" i="25" s="1"/>
  <c r="G24" i="25"/>
  <c r="G25" i="25"/>
  <c r="I25" i="25" s="1"/>
  <c r="K25" i="25" s="1"/>
  <c r="G26" i="25"/>
  <c r="I26" i="25" s="1"/>
  <c r="K26" i="25" s="1"/>
  <c r="G27" i="25"/>
  <c r="I27" i="25" s="1"/>
  <c r="K27" i="25" s="1"/>
  <c r="G28" i="25"/>
  <c r="I28" i="25" s="1"/>
  <c r="K28" i="25" s="1"/>
  <c r="G29" i="25"/>
  <c r="I29" i="25" s="1"/>
  <c r="K29" i="25" s="1"/>
  <c r="G30" i="25"/>
  <c r="I30" i="25" s="1"/>
  <c r="K30" i="25" s="1"/>
  <c r="G31" i="25"/>
  <c r="I31" i="25" s="1"/>
  <c r="K31" i="25" s="1"/>
  <c r="G32" i="25"/>
  <c r="I32" i="25" s="1"/>
  <c r="K32" i="25" s="1"/>
  <c r="G33" i="25"/>
  <c r="I33" i="25" s="1"/>
  <c r="K33" i="25" s="1"/>
  <c r="G34" i="25"/>
  <c r="I34" i="25" s="1"/>
  <c r="K34" i="25" s="1"/>
  <c r="G35" i="25"/>
  <c r="I35" i="25" s="1"/>
  <c r="K35" i="25" s="1"/>
  <c r="G36" i="25"/>
  <c r="I36" i="25" s="1"/>
  <c r="K36" i="25" s="1"/>
  <c r="G37" i="25"/>
  <c r="I37" i="25" s="1"/>
  <c r="K37" i="25" s="1"/>
  <c r="G38" i="25"/>
  <c r="I38" i="25" s="1"/>
  <c r="K38" i="25" s="1"/>
  <c r="G39" i="25"/>
  <c r="I39" i="25" s="1"/>
  <c r="K39" i="25" s="1"/>
  <c r="G40" i="25"/>
  <c r="I40" i="25" s="1"/>
  <c r="K40" i="25" s="1"/>
  <c r="G41" i="25"/>
  <c r="I41" i="25" s="1"/>
  <c r="K41" i="25" s="1"/>
  <c r="G42" i="25"/>
  <c r="I42" i="25" s="1"/>
  <c r="K42" i="25" s="1"/>
  <c r="G43" i="25"/>
  <c r="I43" i="25" s="1"/>
  <c r="K43" i="25" s="1"/>
  <c r="G44" i="25"/>
  <c r="I44" i="25" s="1"/>
  <c r="K44" i="25" s="1"/>
  <c r="G45" i="25"/>
  <c r="I45" i="25" s="1"/>
  <c r="K45" i="25" s="1"/>
  <c r="G46" i="25"/>
  <c r="G47" i="25"/>
  <c r="I47" i="25" s="1"/>
  <c r="K47" i="25" s="1"/>
  <c r="G48" i="25"/>
  <c r="I48" i="25" s="1"/>
  <c r="K48" i="25" s="1"/>
  <c r="G49" i="25"/>
  <c r="I49" i="25" s="1"/>
  <c r="K49" i="25" s="1"/>
  <c r="G50" i="25"/>
  <c r="I50" i="25" s="1"/>
  <c r="K50" i="25" s="1"/>
  <c r="G51" i="25"/>
  <c r="I51" i="25" s="1"/>
  <c r="K51" i="25" s="1"/>
  <c r="G52" i="25"/>
  <c r="I52" i="25" s="1"/>
  <c r="K52" i="25" s="1"/>
  <c r="G53" i="25"/>
  <c r="I53" i="25" s="1"/>
  <c r="K53" i="25" s="1"/>
  <c r="G54" i="25"/>
  <c r="G55" i="25"/>
  <c r="I55" i="25" s="1"/>
  <c r="K55" i="25" s="1"/>
  <c r="G56" i="25"/>
  <c r="I56" i="25" s="1"/>
  <c r="K56" i="25" s="1"/>
  <c r="G57" i="25"/>
  <c r="I57" i="25" s="1"/>
  <c r="K57" i="25" s="1"/>
  <c r="G58" i="25"/>
  <c r="I58" i="25" s="1"/>
  <c r="K58" i="25" s="1"/>
  <c r="G59" i="25"/>
  <c r="I59" i="25" s="1"/>
  <c r="K59" i="25" s="1"/>
  <c r="G60" i="25"/>
  <c r="I60" i="25" s="1"/>
  <c r="K60" i="25" s="1"/>
  <c r="G61" i="25"/>
  <c r="I61" i="25" s="1"/>
  <c r="K61" i="25" s="1"/>
  <c r="G62" i="25"/>
  <c r="I62" i="25" s="1"/>
  <c r="K62" i="25" s="1"/>
  <c r="G63" i="25"/>
  <c r="I63" i="25" s="1"/>
  <c r="K63" i="25" s="1"/>
  <c r="G64" i="25"/>
  <c r="G65" i="25"/>
  <c r="I65" i="25" s="1"/>
  <c r="K65" i="25" s="1"/>
  <c r="G66" i="25"/>
  <c r="I66" i="25" s="1"/>
  <c r="K66" i="25" s="1"/>
  <c r="G67" i="25"/>
  <c r="I67" i="25" s="1"/>
  <c r="K67" i="25" s="1"/>
  <c r="G68" i="25"/>
  <c r="I68" i="25" s="1"/>
  <c r="K68" i="25" s="1"/>
  <c r="G69" i="25"/>
  <c r="I69" i="25" s="1"/>
  <c r="K69" i="25" s="1"/>
  <c r="G70" i="25"/>
  <c r="G71" i="25"/>
  <c r="I71" i="25" s="1"/>
  <c r="K71" i="25" s="1"/>
  <c r="G72" i="25"/>
  <c r="I72" i="25" s="1"/>
  <c r="K72" i="25" s="1"/>
  <c r="G73" i="25"/>
  <c r="I73" i="25" s="1"/>
  <c r="K73" i="25" s="1"/>
  <c r="G74" i="25"/>
  <c r="I74" i="25" s="1"/>
  <c r="K74" i="25" s="1"/>
  <c r="G75" i="25"/>
  <c r="I75" i="25" s="1"/>
  <c r="K75" i="25" s="1"/>
  <c r="G76" i="25"/>
  <c r="I76" i="25" s="1"/>
  <c r="K76" i="25" s="1"/>
  <c r="G77" i="25"/>
  <c r="I77" i="25" s="1"/>
  <c r="K77" i="25" s="1"/>
  <c r="G78" i="25"/>
  <c r="G79" i="25"/>
  <c r="I79" i="25" s="1"/>
  <c r="K79" i="25" s="1"/>
  <c r="G80" i="25"/>
  <c r="I80" i="25" s="1"/>
  <c r="K80" i="25" s="1"/>
  <c r="G81" i="25"/>
  <c r="I81" i="25" s="1"/>
  <c r="K81" i="25" s="1"/>
  <c r="G82" i="25"/>
  <c r="I82" i="25" s="1"/>
  <c r="K82" i="25" s="1"/>
  <c r="G83" i="25"/>
  <c r="I83" i="25" s="1"/>
  <c r="K83" i="25" s="1"/>
  <c r="G84" i="25"/>
  <c r="I84" i="25" s="1"/>
  <c r="K84" i="25" s="1"/>
  <c r="G85" i="25"/>
  <c r="I85" i="25" s="1"/>
  <c r="K85" i="25" s="1"/>
  <c r="G86" i="25"/>
  <c r="G87" i="25"/>
  <c r="I87" i="25" s="1"/>
  <c r="K87" i="25" s="1"/>
  <c r="G88" i="25"/>
  <c r="G89" i="25"/>
  <c r="I89" i="25" s="1"/>
  <c r="K89" i="25" s="1"/>
  <c r="G90" i="25"/>
  <c r="I90" i="25" s="1"/>
  <c r="K90" i="25" s="1"/>
  <c r="G91" i="25"/>
  <c r="I91" i="25" s="1"/>
  <c r="K91" i="25" s="1"/>
  <c r="G92" i="25"/>
  <c r="I92" i="25" s="1"/>
  <c r="K92" i="25" s="1"/>
  <c r="G93" i="25"/>
  <c r="I93" i="25" s="1"/>
  <c r="K93" i="25" s="1"/>
  <c r="G94" i="25"/>
  <c r="G95" i="25"/>
  <c r="I95" i="25" s="1"/>
  <c r="K95" i="25" s="1"/>
  <c r="G96" i="25"/>
  <c r="G97" i="25"/>
  <c r="I97" i="25" s="1"/>
  <c r="K97" i="25" s="1"/>
  <c r="G98" i="25"/>
  <c r="I98" i="25" s="1"/>
  <c r="K98" i="25" s="1"/>
  <c r="G99" i="25"/>
  <c r="I99" i="25" s="1"/>
  <c r="K99" i="25" s="1"/>
  <c r="G100" i="25"/>
  <c r="I100" i="25" s="1"/>
  <c r="K100" i="25" s="1"/>
  <c r="G101" i="25"/>
  <c r="I101" i="25" s="1"/>
  <c r="K101" i="25" s="1"/>
  <c r="G102" i="25"/>
  <c r="G103" i="25"/>
  <c r="I103" i="25" s="1"/>
  <c r="K103" i="25" s="1"/>
  <c r="G104" i="25"/>
  <c r="I104" i="25" s="1"/>
  <c r="K104" i="25" s="1"/>
  <c r="G105" i="25"/>
  <c r="I105" i="25" s="1"/>
  <c r="K105" i="25" s="1"/>
  <c r="G106" i="25"/>
  <c r="G107" i="25"/>
  <c r="G7" i="25"/>
  <c r="I7" i="25" s="1"/>
  <c r="K7" i="25" s="1"/>
  <c r="F8" i="25"/>
  <c r="H8" i="25" s="1"/>
  <c r="J8" i="25" s="1"/>
  <c r="F9" i="25"/>
  <c r="H9" i="25" s="1"/>
  <c r="J9" i="25" s="1"/>
  <c r="F10" i="25"/>
  <c r="H10" i="25" s="1"/>
  <c r="J10" i="25" s="1"/>
  <c r="F11" i="25"/>
  <c r="F12" i="25"/>
  <c r="H12" i="25" s="1"/>
  <c r="J12" i="25" s="1"/>
  <c r="F13" i="25"/>
  <c r="H13" i="25" s="1"/>
  <c r="J13" i="25" s="1"/>
  <c r="F14" i="25"/>
  <c r="H14" i="25" s="1"/>
  <c r="J14" i="25" s="1"/>
  <c r="F15" i="25"/>
  <c r="H15" i="25" s="1"/>
  <c r="J15" i="25" s="1"/>
  <c r="F16" i="25"/>
  <c r="H16" i="25" s="1"/>
  <c r="J16" i="25" s="1"/>
  <c r="F17" i="25"/>
  <c r="F18" i="25"/>
  <c r="H18" i="25" s="1"/>
  <c r="J18" i="25" s="1"/>
  <c r="F19" i="25"/>
  <c r="H19" i="25" s="1"/>
  <c r="J19" i="25" s="1"/>
  <c r="F20" i="25"/>
  <c r="H20" i="25" s="1"/>
  <c r="J20" i="25" s="1"/>
  <c r="F21" i="25"/>
  <c r="H21" i="25" s="1"/>
  <c r="J21" i="25" s="1"/>
  <c r="F22" i="25"/>
  <c r="H22" i="25" s="1"/>
  <c r="J22" i="25" s="1"/>
  <c r="F23" i="25"/>
  <c r="H23" i="25" s="1"/>
  <c r="J23" i="25" s="1"/>
  <c r="F24" i="25"/>
  <c r="H24" i="25" s="1"/>
  <c r="J24" i="25" s="1"/>
  <c r="F25" i="25"/>
  <c r="F26" i="25"/>
  <c r="H26" i="25" s="1"/>
  <c r="J26" i="25" s="1"/>
  <c r="F27" i="25"/>
  <c r="H27" i="25" s="1"/>
  <c r="J27" i="25" s="1"/>
  <c r="F28" i="25"/>
  <c r="H28" i="25" s="1"/>
  <c r="J28" i="25" s="1"/>
  <c r="F29" i="25"/>
  <c r="H29" i="25" s="1"/>
  <c r="J29" i="25" s="1"/>
  <c r="F30" i="25"/>
  <c r="H30" i="25" s="1"/>
  <c r="J30" i="25" s="1"/>
  <c r="F31" i="25"/>
  <c r="H31" i="25" s="1"/>
  <c r="J31" i="25" s="1"/>
  <c r="F32" i="25"/>
  <c r="H32" i="25" s="1"/>
  <c r="J32" i="25" s="1"/>
  <c r="F33" i="25"/>
  <c r="H33" i="25" s="1"/>
  <c r="J33" i="25" s="1"/>
  <c r="F34" i="25"/>
  <c r="H34" i="25" s="1"/>
  <c r="J34" i="25" s="1"/>
  <c r="F35" i="25"/>
  <c r="F36" i="25"/>
  <c r="H36" i="25" s="1"/>
  <c r="J36" i="25" s="1"/>
  <c r="F37" i="25"/>
  <c r="H37" i="25" s="1"/>
  <c r="J37" i="25" s="1"/>
  <c r="F38" i="25"/>
  <c r="H38" i="25" s="1"/>
  <c r="J38" i="25" s="1"/>
  <c r="F39" i="25"/>
  <c r="H39" i="25" s="1"/>
  <c r="J39" i="25" s="1"/>
  <c r="F40" i="25"/>
  <c r="H40" i="25" s="1"/>
  <c r="J40" i="25" s="1"/>
  <c r="F41" i="25"/>
  <c r="F42" i="25"/>
  <c r="H42" i="25" s="1"/>
  <c r="J42" i="25" s="1"/>
  <c r="F43" i="25"/>
  <c r="F44" i="25"/>
  <c r="H44" i="25" s="1"/>
  <c r="J44" i="25" s="1"/>
  <c r="F45" i="25"/>
  <c r="H45" i="25" s="1"/>
  <c r="J45" i="25" s="1"/>
  <c r="F46" i="25"/>
  <c r="H46" i="25" s="1"/>
  <c r="J46" i="25" s="1"/>
  <c r="F47" i="25"/>
  <c r="H47" i="25" s="1"/>
  <c r="J47" i="25" s="1"/>
  <c r="F48" i="25"/>
  <c r="H48" i="25" s="1"/>
  <c r="J48" i="25" s="1"/>
  <c r="F49" i="25"/>
  <c r="H49" i="25" s="1"/>
  <c r="J49" i="25" s="1"/>
  <c r="F50" i="25"/>
  <c r="H50" i="25" s="1"/>
  <c r="J50" i="25" s="1"/>
  <c r="F51" i="25"/>
  <c r="F52" i="25"/>
  <c r="H52" i="25" s="1"/>
  <c r="J52" i="25" s="1"/>
  <c r="F53" i="25"/>
  <c r="H53" i="25" s="1"/>
  <c r="J53" i="25" s="1"/>
  <c r="F54" i="25"/>
  <c r="H54" i="25" s="1"/>
  <c r="J54" i="25" s="1"/>
  <c r="F55" i="25"/>
  <c r="H55" i="25" s="1"/>
  <c r="J55" i="25" s="1"/>
  <c r="F56" i="25"/>
  <c r="H56" i="25" s="1"/>
  <c r="J56" i="25" s="1"/>
  <c r="F57" i="25"/>
  <c r="H57" i="25" s="1"/>
  <c r="J57" i="25" s="1"/>
  <c r="F58" i="25"/>
  <c r="H58" i="25" s="1"/>
  <c r="J58" i="25" s="1"/>
  <c r="F59" i="25"/>
  <c r="F60" i="25"/>
  <c r="H60" i="25" s="1"/>
  <c r="J60" i="25" s="1"/>
  <c r="F61" i="25"/>
  <c r="H61" i="25" s="1"/>
  <c r="J61" i="25" s="1"/>
  <c r="F62" i="25"/>
  <c r="H62" i="25" s="1"/>
  <c r="J62" i="25" s="1"/>
  <c r="F63" i="25"/>
  <c r="H63" i="25" s="1"/>
  <c r="J63" i="25" s="1"/>
  <c r="F64" i="25"/>
  <c r="H64" i="25" s="1"/>
  <c r="J64" i="25" s="1"/>
  <c r="F65" i="25"/>
  <c r="F66" i="25"/>
  <c r="H66" i="25" s="1"/>
  <c r="J66" i="25" s="1"/>
  <c r="F67" i="25"/>
  <c r="H67" i="25" s="1"/>
  <c r="J67" i="25" s="1"/>
  <c r="F68" i="25"/>
  <c r="H68" i="25" s="1"/>
  <c r="J68" i="25" s="1"/>
  <c r="F69" i="25"/>
  <c r="H69" i="25" s="1"/>
  <c r="J69" i="25" s="1"/>
  <c r="F70" i="25"/>
  <c r="H70" i="25" s="1"/>
  <c r="J70" i="25" s="1"/>
  <c r="F71" i="25"/>
  <c r="H71" i="25" s="1"/>
  <c r="J71" i="25" s="1"/>
  <c r="F72" i="25"/>
  <c r="H72" i="25" s="1"/>
  <c r="J72" i="25" s="1"/>
  <c r="F73" i="25"/>
  <c r="F74" i="25"/>
  <c r="H74" i="25" s="1"/>
  <c r="J74" i="25" s="1"/>
  <c r="F75" i="25"/>
  <c r="H75" i="25" s="1"/>
  <c r="J75" i="25" s="1"/>
  <c r="F76" i="25"/>
  <c r="H76" i="25" s="1"/>
  <c r="J76" i="25" s="1"/>
  <c r="F77" i="25"/>
  <c r="H77" i="25" s="1"/>
  <c r="J77" i="25" s="1"/>
  <c r="F78" i="25"/>
  <c r="H78" i="25" s="1"/>
  <c r="J78" i="25" s="1"/>
  <c r="F79" i="25"/>
  <c r="H79" i="25" s="1"/>
  <c r="J79" i="25" s="1"/>
  <c r="F80" i="25"/>
  <c r="H80" i="25" s="1"/>
  <c r="J80" i="25" s="1"/>
  <c r="F81" i="25"/>
  <c r="H81" i="25" s="1"/>
  <c r="J81" i="25" s="1"/>
  <c r="F82" i="25"/>
  <c r="H82" i="25" s="1"/>
  <c r="J82" i="25" s="1"/>
  <c r="F83" i="25"/>
  <c r="H83" i="25" s="1"/>
  <c r="J83" i="25" s="1"/>
  <c r="F84" i="25"/>
  <c r="H84" i="25" s="1"/>
  <c r="J84" i="25" s="1"/>
  <c r="F85" i="25"/>
  <c r="H85" i="25" s="1"/>
  <c r="J85" i="25" s="1"/>
  <c r="F86" i="25"/>
  <c r="H86" i="25" s="1"/>
  <c r="J86" i="25" s="1"/>
  <c r="F87" i="25"/>
  <c r="H87" i="25" s="1"/>
  <c r="J87" i="25" s="1"/>
  <c r="F88" i="25"/>
  <c r="H88" i="25" s="1"/>
  <c r="J88" i="25" s="1"/>
  <c r="F89" i="25"/>
  <c r="F90" i="25"/>
  <c r="H90" i="25" s="1"/>
  <c r="J90" i="25" s="1"/>
  <c r="F91" i="25"/>
  <c r="H91" i="25" s="1"/>
  <c r="J91" i="25" s="1"/>
  <c r="F92" i="25"/>
  <c r="H92" i="25" s="1"/>
  <c r="J92" i="25" s="1"/>
  <c r="F93" i="25"/>
  <c r="H93" i="25" s="1"/>
  <c r="J93" i="25" s="1"/>
  <c r="F94" i="25"/>
  <c r="H94" i="25" s="1"/>
  <c r="J94" i="25" s="1"/>
  <c r="F95" i="25"/>
  <c r="H95" i="25" s="1"/>
  <c r="J95" i="25" s="1"/>
  <c r="F96" i="25"/>
  <c r="H96" i="25" s="1"/>
  <c r="J96" i="25" s="1"/>
  <c r="F97" i="25"/>
  <c r="F98" i="25"/>
  <c r="H98" i="25" s="1"/>
  <c r="J98" i="25" s="1"/>
  <c r="F99" i="25"/>
  <c r="H99" i="25" s="1"/>
  <c r="J99" i="25" s="1"/>
  <c r="F100" i="25"/>
  <c r="H100" i="25" s="1"/>
  <c r="J100" i="25" s="1"/>
  <c r="F101" i="25"/>
  <c r="H101" i="25" s="1"/>
  <c r="J101" i="25" s="1"/>
  <c r="F102" i="25"/>
  <c r="H102" i="25" s="1"/>
  <c r="J102" i="25" s="1"/>
  <c r="F103" i="25"/>
  <c r="H103" i="25" s="1"/>
  <c r="J103" i="25" s="1"/>
  <c r="F104" i="25"/>
  <c r="H104" i="25" s="1"/>
  <c r="J104" i="25" s="1"/>
  <c r="F105" i="25"/>
  <c r="H105" i="25" s="1"/>
  <c r="J105" i="25" s="1"/>
  <c r="F106" i="25"/>
  <c r="H106" i="25" s="1"/>
  <c r="J106" i="25" s="1"/>
  <c r="F107" i="25"/>
  <c r="T34" i="28"/>
  <c r="T33" i="28"/>
  <c r="T28" i="28"/>
  <c r="T3" i="23"/>
  <c r="AG7" i="23"/>
  <c r="AG8" i="23" s="1"/>
  <c r="AG9" i="23" s="1"/>
  <c r="AG10" i="23" s="1"/>
  <c r="AG11" i="23" s="1"/>
  <c r="AG12" i="23" s="1"/>
  <c r="AG13" i="23" s="1"/>
  <c r="AG14" i="23" s="1"/>
  <c r="AG15" i="23" s="1"/>
  <c r="AG16" i="23" s="1"/>
  <c r="AG17" i="23" s="1"/>
  <c r="AG18" i="23" s="1"/>
  <c r="AG19" i="23" s="1"/>
  <c r="AG20" i="23" s="1"/>
  <c r="AG21" i="23" s="1"/>
  <c r="AG22" i="23" s="1"/>
  <c r="AG23" i="23" s="1"/>
  <c r="AG24" i="23" s="1"/>
  <c r="AG25" i="23" s="1"/>
  <c r="AG26" i="23" s="1"/>
  <c r="AG27" i="23" s="1"/>
  <c r="AG28" i="23" s="1"/>
  <c r="AG29" i="23" s="1"/>
  <c r="AG30" i="23" s="1"/>
  <c r="AG31" i="23" s="1"/>
  <c r="AG32" i="23" s="1"/>
  <c r="AG33" i="23" s="1"/>
  <c r="AG34" i="23" s="1"/>
  <c r="AG35" i="23" s="1"/>
  <c r="AG36" i="23" s="1"/>
  <c r="AG37" i="23" s="1"/>
  <c r="AG38" i="23" s="1"/>
  <c r="AG39" i="23" s="1"/>
  <c r="AG40" i="23" s="1"/>
  <c r="AG41" i="23" s="1"/>
  <c r="AG42" i="23" s="1"/>
  <c r="AG43" i="23" s="1"/>
  <c r="AG44" i="23" s="1"/>
  <c r="AG45" i="23" s="1"/>
  <c r="AG46" i="23" s="1"/>
  <c r="AG47" i="23" s="1"/>
  <c r="AG48" i="23" s="1"/>
  <c r="AG49" i="23" s="1"/>
  <c r="AG50" i="23" s="1"/>
  <c r="AG51" i="23" s="1"/>
  <c r="AG52" i="23" s="1"/>
  <c r="AG53" i="23" s="1"/>
  <c r="AG54" i="23" s="1"/>
  <c r="AG55" i="23" s="1"/>
  <c r="AG56" i="23" s="1"/>
  <c r="AG57" i="23" s="1"/>
  <c r="AG58" i="23" s="1"/>
  <c r="AG59" i="23" s="1"/>
  <c r="AG60" i="23" s="1"/>
  <c r="AG61" i="23" s="1"/>
  <c r="AG62" i="23" s="1"/>
  <c r="AG63" i="23" s="1"/>
  <c r="AG64" i="23" s="1"/>
  <c r="AG65" i="23" s="1"/>
  <c r="AG66" i="23" s="1"/>
  <c r="AG67" i="23" s="1"/>
  <c r="AG68" i="23" s="1"/>
  <c r="AG69" i="23" s="1"/>
  <c r="AG70" i="23" s="1"/>
  <c r="AG71" i="23" s="1"/>
  <c r="AG72" i="23" s="1"/>
  <c r="AG73" i="23" s="1"/>
  <c r="AG74" i="23" s="1"/>
  <c r="AG75" i="23" s="1"/>
  <c r="AG76" i="23" s="1"/>
  <c r="AG77" i="23" s="1"/>
  <c r="AG78" i="23" s="1"/>
  <c r="AG79" i="23" s="1"/>
  <c r="AG80" i="23" s="1"/>
  <c r="AG81" i="23" s="1"/>
  <c r="AG82" i="23" s="1"/>
  <c r="AG83" i="23" s="1"/>
  <c r="AG84" i="23" s="1"/>
  <c r="AG85" i="23" s="1"/>
  <c r="AG86" i="23" s="1"/>
  <c r="AG87" i="23" s="1"/>
  <c r="AG88" i="23" s="1"/>
  <c r="AG89" i="23" s="1"/>
  <c r="AG90" i="23" s="1"/>
  <c r="AG91" i="23" s="1"/>
  <c r="AG92" i="23" s="1"/>
  <c r="AG93" i="23" s="1"/>
  <c r="AG94" i="23" s="1"/>
  <c r="AG95" i="23" s="1"/>
  <c r="AG96" i="23" s="1"/>
  <c r="AG97" i="23" s="1"/>
  <c r="AG98" i="23" s="1"/>
  <c r="AG99" i="23" s="1"/>
  <c r="AG100" i="23" s="1"/>
  <c r="AG101" i="23" s="1"/>
  <c r="AG102" i="23" s="1"/>
  <c r="AG103" i="23" s="1"/>
  <c r="AG104" i="23" s="1"/>
  <c r="AG105" i="23" s="1"/>
  <c r="S8" i="23"/>
  <c r="Z8" i="23" s="1"/>
  <c r="T8" i="23"/>
  <c r="U8" i="23"/>
  <c r="W8" i="23" s="1"/>
  <c r="S10" i="23"/>
  <c r="C43" i="27" s="1"/>
  <c r="T10" i="23"/>
  <c r="U10" i="23"/>
  <c r="W10" i="23" s="1"/>
  <c r="P11" i="23"/>
  <c r="S12" i="23"/>
  <c r="Z12" i="23" s="1"/>
  <c r="T12" i="23"/>
  <c r="U12" i="23"/>
  <c r="W12" i="23" s="1"/>
  <c r="S14" i="23"/>
  <c r="Z14" i="23" s="1"/>
  <c r="T14" i="23"/>
  <c r="U14" i="23"/>
  <c r="W14" i="23" s="1"/>
  <c r="S16" i="23"/>
  <c r="C49" i="27" s="1"/>
  <c r="T16" i="23"/>
  <c r="U16" i="23"/>
  <c r="AD16" i="23" s="1"/>
  <c r="S18" i="23"/>
  <c r="C51" i="27" s="1"/>
  <c r="T18" i="23"/>
  <c r="U18" i="23"/>
  <c r="AD18" i="23" s="1"/>
  <c r="T22" i="23"/>
  <c r="T26" i="23"/>
  <c r="K14" i="27" s="1"/>
  <c r="AH27" i="23"/>
  <c r="AH28" i="23" s="1"/>
  <c r="AH29" i="23" s="1"/>
  <c r="AH30" i="23" s="1"/>
  <c r="AH31" i="23" s="1"/>
  <c r="AH32" i="23" s="1"/>
  <c r="AH33" i="23" s="1"/>
  <c r="AH34" i="23" s="1"/>
  <c r="AH35" i="23" s="1"/>
  <c r="AH36" i="23" s="1"/>
  <c r="AH37" i="23" s="1"/>
  <c r="AH38" i="23" s="1"/>
  <c r="AH39" i="23" s="1"/>
  <c r="AH40" i="23" s="1"/>
  <c r="AH41" i="23" s="1"/>
  <c r="AH42" i="23" s="1"/>
  <c r="AH43" i="23" s="1"/>
  <c r="AH44" i="23" s="1"/>
  <c r="AH45" i="23" s="1"/>
  <c r="AH46" i="23" s="1"/>
  <c r="AH47" i="23" s="1"/>
  <c r="AH48" i="23" s="1"/>
  <c r="AH49" i="23" s="1"/>
  <c r="AH50" i="23" s="1"/>
  <c r="AH51" i="23" s="1"/>
  <c r="AH52" i="23" s="1"/>
  <c r="AH53" i="23" s="1"/>
  <c r="AH54" i="23" s="1"/>
  <c r="AH55" i="23" s="1"/>
  <c r="AH56" i="23" s="1"/>
  <c r="AH57" i="23" s="1"/>
  <c r="AH58" i="23" s="1"/>
  <c r="AH59" i="23" s="1"/>
  <c r="AH60" i="23" s="1"/>
  <c r="AH61" i="23" s="1"/>
  <c r="AH62" i="23" s="1"/>
  <c r="AH63" i="23" s="1"/>
  <c r="AH64" i="23" s="1"/>
  <c r="AH65" i="23" s="1"/>
  <c r="AH66" i="23" s="1"/>
  <c r="AH67" i="23" s="1"/>
  <c r="AH68" i="23" s="1"/>
  <c r="AH69" i="23" s="1"/>
  <c r="AH70" i="23" s="1"/>
  <c r="AH71" i="23" s="1"/>
  <c r="AH72" i="23" s="1"/>
  <c r="AH73" i="23" s="1"/>
  <c r="AH74" i="23" s="1"/>
  <c r="AH75" i="23" s="1"/>
  <c r="AH76" i="23" s="1"/>
  <c r="AH77" i="23" s="1"/>
  <c r="AH78" i="23" s="1"/>
  <c r="AH79" i="23" s="1"/>
  <c r="AH80" i="23" s="1"/>
  <c r="AH81" i="23" s="1"/>
  <c r="AH82" i="23" s="1"/>
  <c r="AH83" i="23" s="1"/>
  <c r="AH84" i="23" s="1"/>
  <c r="AH85" i="23" s="1"/>
  <c r="AH86" i="23" s="1"/>
  <c r="AH87" i="23" s="1"/>
  <c r="AH88" i="23" s="1"/>
  <c r="AH89" i="23" s="1"/>
  <c r="AH90" i="23" s="1"/>
  <c r="AH91" i="23" s="1"/>
  <c r="AH92" i="23" s="1"/>
  <c r="AH93" i="23" s="1"/>
  <c r="AH94" i="23" s="1"/>
  <c r="AH95" i="23" s="1"/>
  <c r="AH96" i="23" s="1"/>
  <c r="AH97" i="23" s="1"/>
  <c r="AH98" i="23" s="1"/>
  <c r="AH99" i="23" s="1"/>
  <c r="AH100" i="23" s="1"/>
  <c r="AH101" i="23" s="1"/>
  <c r="AH102" i="23" s="1"/>
  <c r="AH103" i="23" s="1"/>
  <c r="AH104" i="23" s="1"/>
  <c r="AH105" i="23" s="1"/>
  <c r="T31" i="23"/>
  <c r="T32" i="23"/>
  <c r="T33" i="23"/>
  <c r="T34" i="23"/>
  <c r="C30" i="27" s="1"/>
  <c r="F30" i="27" s="1"/>
  <c r="AA34" i="23"/>
  <c r="AB34" i="23"/>
  <c r="AC34" i="23"/>
  <c r="T36" i="23"/>
  <c r="C32" i="27" s="1"/>
  <c r="F32" i="27" s="1"/>
  <c r="T37" i="23"/>
  <c r="T38" i="23"/>
  <c r="T39" i="23"/>
  <c r="Q79" i="23"/>
  <c r="Q80" i="23"/>
  <c r="S80" i="23"/>
  <c r="T80" i="23"/>
  <c r="U80" i="23"/>
  <c r="V80" i="23"/>
  <c r="W80" i="23"/>
  <c r="X80" i="23"/>
  <c r="Q82" i="23"/>
  <c r="S82" i="23"/>
  <c r="T82" i="23"/>
  <c r="U82" i="23"/>
  <c r="V82" i="23"/>
  <c r="W82" i="23"/>
  <c r="X82" i="23"/>
  <c r="Q83" i="23"/>
  <c r="S83" i="23"/>
  <c r="T83" i="23"/>
  <c r="U83" i="23"/>
  <c r="V83" i="23"/>
  <c r="W83" i="23"/>
  <c r="X83" i="23"/>
  <c r="Q91" i="23"/>
  <c r="Q92" i="23"/>
  <c r="S92" i="23"/>
  <c r="T92" i="23"/>
  <c r="U92" i="23"/>
  <c r="V92" i="23"/>
  <c r="W92" i="23"/>
  <c r="X92" i="23"/>
  <c r="Q94" i="23"/>
  <c r="S94" i="23"/>
  <c r="T94" i="23"/>
  <c r="U94" i="23"/>
  <c r="V94" i="23"/>
  <c r="W94" i="23"/>
  <c r="X94" i="23"/>
  <c r="Q95" i="23"/>
  <c r="S95" i="23"/>
  <c r="T95" i="23"/>
  <c r="U95" i="23"/>
  <c r="V95" i="23"/>
  <c r="W95" i="23"/>
  <c r="X95" i="23"/>
  <c r="Z18" i="23"/>
  <c r="B71" i="27"/>
  <c r="T40" i="28"/>
  <c r="R54" i="28" s="1"/>
  <c r="T39" i="28"/>
  <c r="R53" i="28" s="1"/>
  <c r="T38" i="28"/>
  <c r="R52" i="28" s="1"/>
  <c r="T37" i="28"/>
  <c r="R51" i="28" s="1"/>
  <c r="T32" i="28"/>
  <c r="R49" i="28" s="1"/>
  <c r="T31" i="28"/>
  <c r="R48" i="28" s="1"/>
  <c r="T30" i="28"/>
  <c r="R47" i="28" s="1"/>
  <c r="T29" i="28"/>
  <c r="R46" i="28" s="1"/>
  <c r="T27" i="28"/>
  <c r="T25" i="28"/>
  <c r="R44" i="28" s="1"/>
  <c r="T23" i="28"/>
  <c r="T22" i="28"/>
  <c r="AI85" i="25"/>
  <c r="AI84" i="25"/>
  <c r="AI83" i="25"/>
  <c r="AI82" i="25"/>
  <c r="AI81" i="25"/>
  <c r="AI80" i="25"/>
  <c r="AI79" i="25"/>
  <c r="AI78" i="25"/>
  <c r="AI77" i="25"/>
  <c r="O75" i="27"/>
  <c r="H97" i="25"/>
  <c r="J97" i="25" s="1"/>
  <c r="I96" i="25"/>
  <c r="K96" i="25" s="1"/>
  <c r="I94" i="25"/>
  <c r="K94" i="25" s="1"/>
  <c r="H89" i="25"/>
  <c r="J89" i="25" s="1"/>
  <c r="I88" i="25"/>
  <c r="K88" i="25" s="1"/>
  <c r="I86" i="25"/>
  <c r="K86" i="25" s="1"/>
  <c r="I78" i="25"/>
  <c r="K78" i="25" s="1"/>
  <c r="H73" i="25"/>
  <c r="J73" i="25" s="1"/>
  <c r="I70" i="25"/>
  <c r="K70" i="25" s="1"/>
  <c r="H65" i="25"/>
  <c r="J65" i="25" s="1"/>
  <c r="I64" i="25"/>
  <c r="K64" i="25" s="1"/>
  <c r="H59" i="25"/>
  <c r="J59" i="25" s="1"/>
  <c r="I54" i="25"/>
  <c r="K54" i="25" s="1"/>
  <c r="H51" i="25"/>
  <c r="J51" i="25" s="1"/>
  <c r="I46" i="25"/>
  <c r="K46" i="25" s="1"/>
  <c r="H43" i="25"/>
  <c r="J43" i="25" s="1"/>
  <c r="H41" i="25"/>
  <c r="J41" i="25" s="1"/>
  <c r="H35" i="25"/>
  <c r="J35" i="25" s="1"/>
  <c r="H25" i="25"/>
  <c r="J25" i="25" s="1"/>
  <c r="I24" i="25"/>
  <c r="K24" i="25" s="1"/>
  <c r="I22" i="25"/>
  <c r="K22" i="25" s="1"/>
  <c r="H17" i="25"/>
  <c r="J17" i="25" s="1"/>
  <c r="I16" i="25"/>
  <c r="K16" i="25" s="1"/>
  <c r="I11" i="25"/>
  <c r="K11" i="25" s="1"/>
  <c r="H11" i="25"/>
  <c r="J11" i="25" s="1"/>
  <c r="I9" i="25"/>
  <c r="K9" i="25" s="1"/>
  <c r="E7" i="28"/>
  <c r="T27" i="23" s="1"/>
  <c r="T23" i="23"/>
  <c r="I106" i="25"/>
  <c r="K106" i="25" s="1"/>
  <c r="I102" i="25"/>
  <c r="K102" i="25" s="1"/>
  <c r="N6" i="25"/>
  <c r="AE91" i="25"/>
  <c r="AE90" i="25"/>
  <c r="AE89" i="25"/>
  <c r="AD91" i="25"/>
  <c r="AD90" i="25"/>
  <c r="AD89" i="25"/>
  <c r="AC91" i="25"/>
  <c r="AC90" i="25"/>
  <c r="AC89" i="25"/>
  <c r="E28" i="25"/>
  <c r="E29" i="25" s="1"/>
  <c r="E30" i="25" s="1"/>
  <c r="E31" i="25" s="1"/>
  <c r="E32" i="25" s="1"/>
  <c r="E33" i="25" s="1"/>
  <c r="E34" i="25" s="1"/>
  <c r="E35" i="25" s="1"/>
  <c r="E36" i="25" s="1"/>
  <c r="E37" i="25" s="1"/>
  <c r="E38" i="25" s="1"/>
  <c r="E39" i="25" s="1"/>
  <c r="E40" i="25" s="1"/>
  <c r="E41" i="25" s="1"/>
  <c r="E42" i="25" s="1"/>
  <c r="E43" i="25" s="1"/>
  <c r="E44" i="25" s="1"/>
  <c r="E45" i="25" s="1"/>
  <c r="E46" i="25" s="1"/>
  <c r="E47" i="25" s="1"/>
  <c r="E48" i="25" s="1"/>
  <c r="E49" i="25" s="1"/>
  <c r="E50" i="25" s="1"/>
  <c r="E51" i="25" s="1"/>
  <c r="E52" i="25" s="1"/>
  <c r="E53" i="25" s="1"/>
  <c r="E54" i="25" s="1"/>
  <c r="E55" i="25" s="1"/>
  <c r="E56" i="25" s="1"/>
  <c r="E57" i="25" s="1"/>
  <c r="E58" i="25" s="1"/>
  <c r="E59" i="25" s="1"/>
  <c r="E60" i="25" s="1"/>
  <c r="E61" i="25" s="1"/>
  <c r="E62" i="25" s="1"/>
  <c r="E63" i="25" s="1"/>
  <c r="E64" i="25" s="1"/>
  <c r="E65" i="25" s="1"/>
  <c r="E66" i="25" s="1"/>
  <c r="E67" i="25" s="1"/>
  <c r="E68" i="25" s="1"/>
  <c r="E69" i="25" s="1"/>
  <c r="E70" i="25" s="1"/>
  <c r="E71" i="25" s="1"/>
  <c r="E72" i="25" s="1"/>
  <c r="E73" i="25" s="1"/>
  <c r="E74" i="25" s="1"/>
  <c r="E75" i="25" s="1"/>
  <c r="E76" i="25" s="1"/>
  <c r="E77" i="25" s="1"/>
  <c r="E78" i="25" s="1"/>
  <c r="E79" i="25" s="1"/>
  <c r="E80" i="25" s="1"/>
  <c r="E81" i="25" s="1"/>
  <c r="E82" i="25" s="1"/>
  <c r="E83" i="25" s="1"/>
  <c r="E84" i="25" s="1"/>
  <c r="E85" i="25" s="1"/>
  <c r="E86" i="25" s="1"/>
  <c r="AR5" i="25"/>
  <c r="AR6" i="25" s="1"/>
  <c r="AR7" i="25" s="1"/>
  <c r="AR8" i="25" s="1"/>
  <c r="AR9" i="25" s="1"/>
  <c r="AR10" i="25" s="1"/>
  <c r="AR11" i="25" s="1"/>
  <c r="AR12" i="25" s="1"/>
  <c r="AR13" i="25" s="1"/>
  <c r="AR14" i="25" s="1"/>
  <c r="AR15" i="25" s="1"/>
  <c r="AR16" i="25" s="1"/>
  <c r="AR17" i="25" s="1"/>
  <c r="AR18" i="25" s="1"/>
  <c r="AR19" i="25" s="1"/>
  <c r="AR20" i="25" s="1"/>
  <c r="AR21" i="25" s="1"/>
  <c r="AR22" i="25" s="1"/>
  <c r="AR23" i="25" s="1"/>
  <c r="AR24" i="25" s="1"/>
  <c r="AR25" i="25" s="1"/>
  <c r="AR26" i="25" s="1"/>
  <c r="AR27" i="25" s="1"/>
  <c r="AR28" i="25" s="1"/>
  <c r="AR29" i="25" s="1"/>
  <c r="AR30" i="25" s="1"/>
  <c r="AR31" i="25" s="1"/>
  <c r="AR32" i="25" s="1"/>
  <c r="AR33" i="25" s="1"/>
  <c r="AR34" i="25" s="1"/>
  <c r="AR35" i="25" s="1"/>
  <c r="AR36" i="25" s="1"/>
  <c r="AR37" i="25" s="1"/>
  <c r="AR38" i="25" s="1"/>
  <c r="AR39" i="25" s="1"/>
  <c r="AR40" i="25" s="1"/>
  <c r="AR41" i="25" s="1"/>
  <c r="AR42" i="25" s="1"/>
  <c r="AR43" i="25" s="1"/>
  <c r="AR44" i="25" s="1"/>
  <c r="AR45" i="25" s="1"/>
  <c r="AR46" i="25" s="1"/>
  <c r="AR47" i="25" s="1"/>
  <c r="AR48" i="25" s="1"/>
  <c r="AR49" i="25" s="1"/>
  <c r="AR50" i="25" s="1"/>
  <c r="AR51" i="25" s="1"/>
  <c r="AR52" i="25" s="1"/>
  <c r="AR53" i="25" s="1"/>
  <c r="AR54" i="25" s="1"/>
  <c r="AR55" i="25" s="1"/>
  <c r="AR56" i="25" s="1"/>
  <c r="AR57" i="25" s="1"/>
  <c r="AR58" i="25" s="1"/>
  <c r="AR59" i="25" s="1"/>
  <c r="AR60" i="25" s="1"/>
  <c r="AR61" i="25" s="1"/>
  <c r="AR62" i="25" s="1"/>
  <c r="AR63" i="25" s="1"/>
  <c r="AR64" i="25" s="1"/>
  <c r="AR65" i="25" s="1"/>
  <c r="AR66" i="25" s="1"/>
  <c r="AR67" i="25" s="1"/>
  <c r="AR68" i="25" s="1"/>
  <c r="AR69" i="25" s="1"/>
  <c r="AR70" i="25" s="1"/>
  <c r="AR71" i="25" s="1"/>
  <c r="AR72" i="25" s="1"/>
  <c r="AR73" i="25" s="1"/>
  <c r="AR74" i="25" s="1"/>
  <c r="AR75" i="25" s="1"/>
  <c r="AR76" i="25" s="1"/>
  <c r="AR77" i="25" s="1"/>
  <c r="AR78" i="25" s="1"/>
  <c r="AR79" i="25" s="1"/>
  <c r="AR80" i="25" s="1"/>
  <c r="AR81" i="25" s="1"/>
  <c r="AR82" i="25" s="1"/>
  <c r="AR83" i="25" s="1"/>
  <c r="AR84" i="25" s="1"/>
  <c r="AR85" i="25" s="1"/>
  <c r="AR86" i="25" s="1"/>
  <c r="AR87" i="25" s="1"/>
  <c r="AR88" i="25" s="1"/>
  <c r="AR89" i="25" s="1"/>
  <c r="AR90" i="25" s="1"/>
  <c r="AR91" i="25" s="1"/>
  <c r="AR92" i="25" s="1"/>
  <c r="D6" i="27"/>
  <c r="D7" i="27"/>
  <c r="O7" i="27"/>
  <c r="N8" i="27"/>
  <c r="O8" i="27"/>
  <c r="O10" i="27"/>
  <c r="C20" i="27" s="1"/>
  <c r="F20" i="27" s="1"/>
  <c r="C19" i="27"/>
  <c r="C45" i="27"/>
  <c r="C58" i="27"/>
  <c r="L7" i="23"/>
  <c r="AE2" i="25" l="1"/>
  <c r="AE3" i="25"/>
  <c r="AD45" i="25"/>
  <c r="K47" i="27"/>
  <c r="C47" i="27"/>
  <c r="K51" i="27"/>
  <c r="X51" i="23"/>
  <c r="S55" i="23"/>
  <c r="V51" i="23"/>
  <c r="AC18" i="23"/>
  <c r="X55" i="23"/>
  <c r="W51" i="23"/>
  <c r="I45" i="27"/>
  <c r="U55" i="23"/>
  <c r="C33" i="27"/>
  <c r="F33" i="27" s="1"/>
  <c r="C29" i="27"/>
  <c r="F29" i="27" s="1"/>
  <c r="V55" i="23"/>
  <c r="C35" i="27"/>
  <c r="F35" i="27" s="1"/>
  <c r="C27" i="27"/>
  <c r="F27" i="27" s="1"/>
  <c r="I51" i="27"/>
  <c r="W18" i="23"/>
  <c r="X18" i="23" s="1"/>
  <c r="X45" i="23" s="1"/>
  <c r="X14" i="23"/>
  <c r="V45" i="23" s="1"/>
  <c r="I47" i="27"/>
  <c r="AD12" i="23"/>
  <c r="X12" i="23"/>
  <c r="U45" i="23" s="1"/>
  <c r="AD10" i="23"/>
  <c r="AA16" i="23"/>
  <c r="W61" i="23" s="1"/>
  <c r="G49" i="27"/>
  <c r="G51" i="27"/>
  <c r="AB18" i="23"/>
  <c r="AB12" i="23"/>
  <c r="Y18" i="23"/>
  <c r="AB16" i="23"/>
  <c r="AA18" i="23"/>
  <c r="X61" i="23" s="1"/>
  <c r="Y14" i="23"/>
  <c r="G47" i="27"/>
  <c r="W55" i="23"/>
  <c r="Y16" i="23"/>
  <c r="AC16" i="23"/>
  <c r="Z16" i="23"/>
  <c r="I49" i="27"/>
  <c r="K49" i="27"/>
  <c r="AC14" i="23"/>
  <c r="AB14" i="23"/>
  <c r="G45" i="27"/>
  <c r="Y12" i="23"/>
  <c r="K45" i="27"/>
  <c r="AA12" i="23"/>
  <c r="U61" i="23" s="1"/>
  <c r="U51" i="23"/>
  <c r="AC12" i="23"/>
  <c r="W16" i="23"/>
  <c r="X16" i="23" s="1"/>
  <c r="W45" i="23" s="1"/>
  <c r="T55" i="23"/>
  <c r="N10" i="25"/>
  <c r="E12" i="27"/>
  <c r="AP25" i="25"/>
  <c r="AD8" i="23"/>
  <c r="AA8" i="23" s="1"/>
  <c r="S61" i="23" s="1"/>
  <c r="S51" i="23"/>
  <c r="D8" i="27"/>
  <c r="AD14" i="23"/>
  <c r="AA14" i="23" s="1"/>
  <c r="V61" i="23" s="1"/>
  <c r="K41" i="27"/>
  <c r="I41" i="27"/>
  <c r="C41" i="27"/>
  <c r="E14" i="27"/>
  <c r="X10" i="23"/>
  <c r="T45" i="23" s="1"/>
  <c r="X8" i="23"/>
  <c r="S45" i="23" s="1"/>
  <c r="AB8" i="23"/>
  <c r="Y8" i="23"/>
  <c r="AC8" i="23"/>
  <c r="AB10" i="23"/>
  <c r="G41" i="27"/>
  <c r="C28" i="27"/>
  <c r="F28" i="27" s="1"/>
  <c r="AA10" i="23"/>
  <c r="T61" i="23" s="1"/>
  <c r="Y10" i="23"/>
  <c r="G43" i="27"/>
  <c r="AC10" i="23"/>
  <c r="Z10" i="23"/>
  <c r="T51" i="23"/>
  <c r="K43" i="27"/>
  <c r="I43" i="27"/>
  <c r="AC62" i="25"/>
  <c r="AD62" i="25" s="1"/>
  <c r="AD61" i="25" s="1"/>
  <c r="T40" i="23"/>
  <c r="C36" i="27" s="1"/>
  <c r="F36" i="27" s="1"/>
  <c r="K12" i="27"/>
  <c r="AD27" i="25"/>
  <c r="E10" i="27"/>
  <c r="F19" i="27" s="1"/>
  <c r="C34" i="27"/>
  <c r="F34" i="27" s="1"/>
  <c r="X57" i="23" l="1"/>
  <c r="W47" i="23"/>
  <c r="W71" i="23" s="1"/>
  <c r="U47" i="23"/>
  <c r="U71" i="23" s="1"/>
  <c r="U57" i="23"/>
  <c r="V57" i="23"/>
  <c r="T57" i="23"/>
  <c r="W57" i="23"/>
  <c r="S57" i="23"/>
  <c r="V47" i="23"/>
  <c r="V69" i="23" s="1"/>
  <c r="X47" i="23"/>
  <c r="X69" i="23" s="1"/>
  <c r="T47" i="23"/>
  <c r="S47" i="23"/>
  <c r="AB22" i="23"/>
  <c r="W63" i="23" l="1"/>
  <c r="W65" i="23"/>
  <c r="W49" i="23"/>
  <c r="W79" i="23" s="1"/>
  <c r="S49" i="27" s="1"/>
  <c r="W49" i="27" s="1"/>
  <c r="U59" i="23"/>
  <c r="W59" i="23"/>
  <c r="U65" i="23"/>
  <c r="W67" i="23"/>
  <c r="U49" i="23"/>
  <c r="U53" i="23" s="1"/>
  <c r="U67" i="23"/>
  <c r="U63" i="23"/>
  <c r="W69" i="23"/>
  <c r="U69" i="23"/>
  <c r="S67" i="23"/>
  <c r="S69" i="23"/>
  <c r="T67" i="23"/>
  <c r="T69" i="23"/>
  <c r="X71" i="23"/>
  <c r="X67" i="23"/>
  <c r="V71" i="23"/>
  <c r="V67" i="23"/>
  <c r="T63" i="23"/>
  <c r="T71" i="23"/>
  <c r="X63" i="23"/>
  <c r="X65" i="23"/>
  <c r="V63" i="23"/>
  <c r="V65" i="23"/>
  <c r="X49" i="23"/>
  <c r="X79" i="23" s="1"/>
  <c r="S51" i="27" s="1"/>
  <c r="W51" i="27" s="1"/>
  <c r="X59" i="23"/>
  <c r="V49" i="23"/>
  <c r="V53" i="23" s="1"/>
  <c r="V59" i="23"/>
  <c r="T49" i="23"/>
  <c r="T53" i="23" s="1"/>
  <c r="T65" i="23"/>
  <c r="S63" i="23"/>
  <c r="S65" i="23"/>
  <c r="Z61" i="23"/>
  <c r="S71" i="23"/>
  <c r="T59" i="23"/>
  <c r="S49" i="23"/>
  <c r="Z64" i="23"/>
  <c r="Z59" i="23" l="1"/>
  <c r="S53" i="23"/>
  <c r="Z65" i="23" s="1"/>
  <c r="U79" i="23"/>
  <c r="S45" i="27" s="1"/>
  <c r="M45" i="27" s="1"/>
  <c r="W53" i="23"/>
  <c r="U91" i="23"/>
  <c r="T45" i="27" s="1"/>
  <c r="X45" i="27" s="1"/>
  <c r="W91" i="23"/>
  <c r="T49" i="27" s="1"/>
  <c r="U49" i="27" s="1"/>
  <c r="M49" i="27"/>
  <c r="V91" i="23"/>
  <c r="T47" i="27" s="1"/>
  <c r="X47" i="27" s="1"/>
  <c r="X91" i="23"/>
  <c r="T51" i="27" s="1"/>
  <c r="X51" i="27" s="1"/>
  <c r="Y51" i="27" s="1"/>
  <c r="V79" i="23"/>
  <c r="S47" i="27" s="1"/>
  <c r="W47" i="27" s="1"/>
  <c r="X53" i="23"/>
  <c r="M51" i="27"/>
  <c r="S91" i="23"/>
  <c r="T41" i="27" s="1"/>
  <c r="X41" i="27" s="1"/>
  <c r="T79" i="23"/>
  <c r="S43" i="27" s="1"/>
  <c r="M43" i="27" s="1"/>
  <c r="T91" i="23"/>
  <c r="T43" i="27" s="1"/>
  <c r="X43" i="27" s="1"/>
  <c r="S79" i="23"/>
  <c r="S41" i="27" s="1"/>
  <c r="W45" i="27" l="1"/>
  <c r="Y45" i="27" s="1"/>
  <c r="N45" i="27"/>
  <c r="O45" i="27" s="1"/>
  <c r="U45" i="27"/>
  <c r="X49" i="27"/>
  <c r="Y49" i="27" s="1"/>
  <c r="N49" i="27"/>
  <c r="O49" i="27" s="1"/>
  <c r="N47" i="27"/>
  <c r="U51" i="27"/>
  <c r="N51" i="27"/>
  <c r="O51" i="27" s="1"/>
  <c r="Y47" i="27"/>
  <c r="M47" i="27"/>
  <c r="U47" i="27"/>
  <c r="U41" i="27"/>
  <c r="N41" i="27"/>
  <c r="W43" i="27"/>
  <c r="Y43" i="27" s="1"/>
  <c r="U43" i="27"/>
  <c r="N43" i="27"/>
  <c r="O43" i="27" s="1"/>
  <c r="M41" i="27"/>
  <c r="W41" i="27"/>
  <c r="Y41" i="27" s="1"/>
  <c r="O47" i="27" l="1"/>
  <c r="O41" i="27"/>
  <c r="O53" i="27" l="1"/>
  <c r="O54" i="27" s="1"/>
  <c r="O56" i="27" s="1"/>
  <c r="O57" i="27" l="1"/>
  <c r="O58" i="27" s="1"/>
  <c r="E57" i="27" s="1"/>
  <c r="E58" i="27" l="1"/>
</calcChain>
</file>

<file path=xl/comments1.xml><?xml version="1.0" encoding="utf-8"?>
<comments xmlns="http://schemas.openxmlformats.org/spreadsheetml/2006/main">
  <authors>
    <author>ALEJANDRO</author>
  </authors>
  <commentList>
    <comment ref="AC54" authorId="0" shapeId="0">
      <text>
        <r>
          <rPr>
            <b/>
            <sz val="9"/>
            <color indexed="81"/>
            <rFont val="Tahoma"/>
            <family val="2"/>
          </rPr>
          <t>El monto máximo de siniestralidad es de:
$18,000,000</t>
        </r>
      </text>
    </comment>
  </commentList>
</comments>
</file>

<file path=xl/sharedStrings.xml><?xml version="1.0" encoding="utf-8"?>
<sst xmlns="http://schemas.openxmlformats.org/spreadsheetml/2006/main" count="590" uniqueCount="330">
  <si>
    <t>EDAD</t>
  </si>
  <si>
    <t>HOMBRES</t>
  </si>
  <si>
    <t>MUJERES</t>
  </si>
  <si>
    <t>BAJA CALIFORNIA NORTE</t>
  </si>
  <si>
    <t>BAJA CALIFORNIA SUR</t>
  </si>
  <si>
    <t>CAMPECHE</t>
  </si>
  <si>
    <t>COAHUILA</t>
  </si>
  <si>
    <t>COLIMA</t>
  </si>
  <si>
    <t>CHIAPAS</t>
  </si>
  <si>
    <t>CHIHUAHUA</t>
  </si>
  <si>
    <t>GUANAJUATO</t>
  </si>
  <si>
    <t>GUERRERO</t>
  </si>
  <si>
    <t>HIDALGO</t>
  </si>
  <si>
    <t>JALISCO</t>
  </si>
  <si>
    <t>MEXICO</t>
  </si>
  <si>
    <t>MICHOACAN</t>
  </si>
  <si>
    <t xml:space="preserve">MORELOS </t>
  </si>
  <si>
    <t>NAYARIT</t>
  </si>
  <si>
    <t>NUEVO LEON</t>
  </si>
  <si>
    <t>OAXACA</t>
  </si>
  <si>
    <t>PUEBLA</t>
  </si>
  <si>
    <t>QUERETARO</t>
  </si>
  <si>
    <t>QUINTANA ROO</t>
  </si>
  <si>
    <t>SAN LUIS POTOSI</t>
  </si>
  <si>
    <t>SINALOA</t>
  </si>
  <si>
    <t>SONORA</t>
  </si>
  <si>
    <t>TABASCO</t>
  </si>
  <si>
    <t>TAMAULIPAS</t>
  </si>
  <si>
    <t>TLAXCALA</t>
  </si>
  <si>
    <t>VERACRUZ</t>
  </si>
  <si>
    <t>YUCATAN</t>
  </si>
  <si>
    <t>ZACATECAS</t>
  </si>
  <si>
    <t>EXTRANJERO</t>
  </si>
  <si>
    <t>AGUASCALIENTES</t>
  </si>
  <si>
    <t xml:space="preserve">DURANGO </t>
  </si>
  <si>
    <t>ENTIDAD</t>
  </si>
  <si>
    <t>PRIMA DE RIESGO</t>
  </si>
  <si>
    <t>Regiòn</t>
  </si>
  <si>
    <t>NIVEL HOSPITALARIO</t>
  </si>
  <si>
    <t>Factor</t>
  </si>
  <si>
    <t>Extraprima</t>
  </si>
  <si>
    <t>D</t>
  </si>
  <si>
    <t>E</t>
  </si>
  <si>
    <t>F</t>
  </si>
  <si>
    <t>G</t>
  </si>
  <si>
    <t>H</t>
  </si>
  <si>
    <t>I</t>
  </si>
  <si>
    <t>J</t>
  </si>
  <si>
    <t>SA</t>
  </si>
  <si>
    <t>ESTADO/REGION</t>
  </si>
  <si>
    <t>FACTORES SUMA ASEGURADA</t>
  </si>
  <si>
    <t>FACTORES DEDUCIBLE</t>
  </si>
  <si>
    <t>FACTORES COASEGURO</t>
  </si>
  <si>
    <t>SEXO</t>
  </si>
  <si>
    <t>ZONA</t>
  </si>
  <si>
    <t>FSA</t>
  </si>
  <si>
    <t>FACTOR</t>
  </si>
  <si>
    <t>MARGEN DE DESVIACIONES</t>
  </si>
  <si>
    <t>UTILIDAD</t>
  </si>
  <si>
    <t>GASTOS DE ADQUISICION</t>
  </si>
  <si>
    <t>FACTORES RIESGO OCUPACIONAL</t>
  </si>
  <si>
    <t>GASTOS DE ADMINISTRACION</t>
  </si>
  <si>
    <t>FACTORES NIVEL HOSPITALARIO</t>
  </si>
  <si>
    <t>COBERTURA EN EL EXTRANJERO</t>
  </si>
  <si>
    <t>FNH</t>
  </si>
  <si>
    <t>FCOBEXT</t>
  </si>
  <si>
    <t>FCS</t>
  </si>
  <si>
    <t>FDED</t>
  </si>
  <si>
    <t>FR</t>
  </si>
  <si>
    <t>FEME</t>
  </si>
  <si>
    <t>RIESGO OCUPACIONAL</t>
  </si>
  <si>
    <t>SUMA ASEGURADA</t>
  </si>
  <si>
    <t>DEDUCIBLE</t>
  </si>
  <si>
    <t>COASEGURO</t>
  </si>
  <si>
    <t>COBERTURA DE CONTINUIDAD</t>
  </si>
  <si>
    <t>A - C</t>
  </si>
  <si>
    <t>2000-I</t>
  </si>
  <si>
    <t>TABLA DE MORTALIDAD INDIVIDUAL</t>
  </si>
  <si>
    <t>TABLA DE MORTALIDAD 2000-I</t>
  </si>
  <si>
    <t>PARAMETROS GENERALES</t>
  </si>
  <si>
    <t>TITULAR</t>
  </si>
  <si>
    <t>DEPENDIENTE 1</t>
  </si>
  <si>
    <t>DEPENDIENTE 2</t>
  </si>
  <si>
    <t>DEPENDIENTE 3</t>
  </si>
  <si>
    <t>DEPENDIENTE 4</t>
  </si>
  <si>
    <t>DEPENDIENTE 5</t>
  </si>
  <si>
    <t>PARAMETROS PARTICULARES</t>
  </si>
  <si>
    <t>ASEGURADO</t>
  </si>
  <si>
    <t>COBERTURA</t>
  </si>
  <si>
    <t>QUINQUENIO</t>
  </si>
  <si>
    <t>COLUMNA</t>
  </si>
  <si>
    <t>BASE</t>
  </si>
  <si>
    <t>BASE SIN H.Q.</t>
  </si>
  <si>
    <t>FACTOR RIESGO</t>
  </si>
  <si>
    <t>OCUPACIONAL</t>
  </si>
  <si>
    <t>TIPO DE PRODUCTO</t>
  </si>
  <si>
    <t>PRIMA</t>
  </si>
  <si>
    <t>qx</t>
  </si>
  <si>
    <t>DATOS DEL CONTRATANTE</t>
  </si>
  <si>
    <t>NOMBRE</t>
  </si>
  <si>
    <t xml:space="preserve">Fecha </t>
  </si>
  <si>
    <t>PR Y FACTOR</t>
  </si>
  <si>
    <t>Ayuda diaria para Gastos Extras o Adicionales</t>
  </si>
  <si>
    <t>Básica</t>
  </si>
  <si>
    <t>Emergencia Médica en el Extranjero</t>
  </si>
  <si>
    <t xml:space="preserve">Ayuda x Gastos en el Extranjero </t>
  </si>
  <si>
    <t>Servicios de Asistencia</t>
  </si>
  <si>
    <t>Gastos Funerarios</t>
  </si>
  <si>
    <t>CALCULO DE PRIMAS DE TARIFA</t>
  </si>
  <si>
    <t>Factor por región</t>
  </si>
  <si>
    <t>Factor c/base región 1</t>
  </si>
  <si>
    <t>Protección Continua</t>
  </si>
  <si>
    <t>PAQUETE</t>
  </si>
  <si>
    <t>b</t>
  </si>
  <si>
    <t>OPCIONAL</t>
  </si>
  <si>
    <t>TODAS</t>
  </si>
  <si>
    <t>Nombre:</t>
  </si>
  <si>
    <t>Domicilio:</t>
  </si>
  <si>
    <t>PROTECCION CONTINUA</t>
  </si>
  <si>
    <t>GASTOS FUNERARIOS</t>
  </si>
  <si>
    <t>PRODUCTO :</t>
  </si>
  <si>
    <t>PLAN :</t>
  </si>
  <si>
    <t>Estado:</t>
  </si>
  <si>
    <t>SUBTOTAL</t>
  </si>
  <si>
    <t>DERECHO DE POLIZA</t>
  </si>
  <si>
    <t>IVA</t>
  </si>
  <si>
    <t>PRIMA TOTAL</t>
  </si>
  <si>
    <t>x</t>
  </si>
  <si>
    <t>COBERTURAS OPCIONALES</t>
  </si>
  <si>
    <t>HONORARIOS</t>
  </si>
  <si>
    <t>SIN HONORARIOS</t>
  </si>
  <si>
    <t>AMPARADA</t>
  </si>
  <si>
    <t>COBERTURAS BASICAS</t>
  </si>
  <si>
    <t>TOTAL</t>
  </si>
  <si>
    <t>RIESGO</t>
  </si>
  <si>
    <t xml:space="preserve">AVISO </t>
  </si>
  <si>
    <t>A</t>
  </si>
  <si>
    <t>B</t>
  </si>
  <si>
    <t>C</t>
  </si>
  <si>
    <t>Cobertura de Excesos Individuales</t>
  </si>
  <si>
    <t>NACIONAL</t>
  </si>
  <si>
    <t>INTERNACIONAL</t>
  </si>
  <si>
    <t>GF</t>
  </si>
  <si>
    <t>TASAS DE INCIDENCIA</t>
  </si>
  <si>
    <t>PRIMA CAT</t>
  </si>
  <si>
    <t>FTABHM</t>
  </si>
  <si>
    <t>Enfermedades Graves</t>
  </si>
  <si>
    <t>ENFERMEDADES GRAVES</t>
  </si>
  <si>
    <t>ENF GRAVES</t>
  </si>
  <si>
    <t>TABULADOR DE HONORARIOS MEDICOS</t>
  </si>
  <si>
    <t>PARAMETROS DE COBERTURAS OPCIONALES</t>
  </si>
  <si>
    <t>PRIMA NETA</t>
  </si>
  <si>
    <t>RECARGO PAGO FRACCIONADO</t>
  </si>
  <si>
    <t>FORMA DE PAGO:</t>
  </si>
  <si>
    <t>TASA PAGO FRACCIONADO</t>
  </si>
  <si>
    <t>ANUAL</t>
  </si>
  <si>
    <t>SEMESTRAL</t>
  </si>
  <si>
    <t>TRIMESTRAL</t>
  </si>
  <si>
    <t>FPAGO</t>
  </si>
  <si>
    <t>TASA</t>
  </si>
  <si>
    <t>RECIBOS</t>
  </si>
  <si>
    <t>REGION POLIZA</t>
  </si>
  <si>
    <t>ZONA INTERNACIONAL</t>
  </si>
  <si>
    <t>PRIMAS NETAS</t>
  </si>
  <si>
    <t>COBERTURAS INCLUIDAS</t>
  </si>
  <si>
    <t>Condonación en accidente</t>
  </si>
  <si>
    <t>No. Recibos:</t>
  </si>
  <si>
    <t>Primer recibo:</t>
  </si>
  <si>
    <t>Con Honorarios Quirurgicos</t>
  </si>
  <si>
    <t>Sin Honorarios Quirurgicos</t>
  </si>
  <si>
    <t>NIVEL TABULADOR</t>
  </si>
  <si>
    <t>Estado/Región:</t>
  </si>
  <si>
    <t>Fecha :</t>
  </si>
  <si>
    <t>SUMA ASEGURADA:</t>
  </si>
  <si>
    <t>NOTAS IMPORTANTES</t>
  </si>
  <si>
    <t>Aviso Importante: En caso de utilizar un nivel de hospital distinto al contratado el coaseguro podrá variar.</t>
  </si>
  <si>
    <t>4. De acuerdo a las disposiciones emitidas por la Secretaria de Hacienda y Crédito Público relativas a las medidas que internacionalmente debemos cumplir para prevenir el lavado de dinero y financiamiento al terrorismo, nos obliga a las compañías de seguros a recabar documentación adicional en materia de identificación del contratante, asegurados y beneficiarios. En caso de solicitar la emisión de la póliza será necesario recabar dicha documentación. Los originales serán utilizados únicamente para cotejo de las copias y serán devueltos al asegurado.</t>
  </si>
  <si>
    <t>Cobertura Internacional</t>
  </si>
  <si>
    <t>Cobertura de Derechos de Converción de Entrada</t>
  </si>
  <si>
    <t>PRIMAS COSTO DE ADQUISICION</t>
  </si>
  <si>
    <t>Agente</t>
  </si>
  <si>
    <t>Promotor</t>
  </si>
  <si>
    <t>Bonos</t>
  </si>
  <si>
    <t>DIARIO</t>
  </si>
  <si>
    <t>MENSUAL</t>
  </si>
  <si>
    <t>SALARIOS MINIMOS 2010</t>
  </si>
  <si>
    <t>ZONA A</t>
  </si>
  <si>
    <t>PB</t>
  </si>
  <si>
    <t>PROTECCIÓN CONTINUA</t>
  </si>
  <si>
    <t>COBERTURA INTERNACIONAL</t>
  </si>
  <si>
    <t>Paquete-Básica  (Básica)</t>
  </si>
  <si>
    <t>Paquete Básica Final (Paquete-Básica*FR*FNH*FSA*FDED*FCS)</t>
  </si>
  <si>
    <t>ALTO</t>
  </si>
  <si>
    <t>MEDIO</t>
  </si>
  <si>
    <t>ESTANDAR</t>
  </si>
  <si>
    <t>ELIMINACIÓN DE DEDUCIBLE Y COASEGURO EN CASO DE ACCIDENTE</t>
  </si>
  <si>
    <t>MENSUAL*</t>
  </si>
  <si>
    <t>Prima Total</t>
  </si>
  <si>
    <t xml:space="preserve">                                                                                                          </t>
  </si>
  <si>
    <t>Multi-Región</t>
  </si>
  <si>
    <t>FRC</t>
  </si>
  <si>
    <t>1_Alto</t>
  </si>
  <si>
    <t>1_Medio</t>
  </si>
  <si>
    <t>1_Estandar</t>
  </si>
  <si>
    <t>2_Alto</t>
  </si>
  <si>
    <t>2_Medio</t>
  </si>
  <si>
    <t>2_Estandar</t>
  </si>
  <si>
    <t>3_Alto</t>
  </si>
  <si>
    <t>3_Medio</t>
  </si>
  <si>
    <t>3_Estandar</t>
  </si>
  <si>
    <t>Nivel de Tabulador</t>
  </si>
  <si>
    <t>Disminución de Coaseguro en Enfermedad</t>
  </si>
  <si>
    <t>BENEFICIOS ADICIONALES CON COSTO</t>
  </si>
  <si>
    <t>Ayuda Diaria por Hospitalización</t>
  </si>
  <si>
    <t>Eliminación de Deducible y Coaseguro en Accidente</t>
  </si>
  <si>
    <t>y los gastos excedan 2,000 pesos. Aplica solo si el deducible contratado es tradicional.</t>
  </si>
  <si>
    <t>AYUDA DIARIA POR HOSPITALIZACIÓN</t>
  </si>
  <si>
    <t>g</t>
  </si>
  <si>
    <t>Incluida</t>
  </si>
  <si>
    <t>5, 4 y 3</t>
  </si>
  <si>
    <t>2 y 1</t>
  </si>
  <si>
    <t>TOPE COASEGURO:</t>
  </si>
  <si>
    <t>TOPE</t>
  </si>
  <si>
    <t>Esta cotización fue realizada por el Departamento de Suscripción Personas</t>
  </si>
  <si>
    <t>Folio:</t>
  </si>
  <si>
    <t>alto</t>
  </si>
  <si>
    <t>medio</t>
  </si>
  <si>
    <t>bajo</t>
  </si>
  <si>
    <t>TABULADOR</t>
  </si>
  <si>
    <t>Gasto Admon</t>
  </si>
  <si>
    <t>Comisión</t>
  </si>
  <si>
    <t>Utilidad</t>
  </si>
  <si>
    <t>Cobertura Dental</t>
  </si>
  <si>
    <t>INFLACIÓN</t>
  </si>
  <si>
    <t>PRIMAS COBERTURA BÁSICA</t>
  </si>
  <si>
    <t>COBERTURA ELIMINACION DE DEDUCIBLE Y COASEGURO EN CASO DE ACCIDENTE</t>
  </si>
  <si>
    <t>COBERTURA DE AYUDA DIARIA PARA GASTOS EXTRAS ADICIONALES</t>
  </si>
  <si>
    <t xml:space="preserve">COBERTURA DE AYUDA POR GASTOS  EN EL EXTRANJERO </t>
  </si>
  <si>
    <t>NIVEL</t>
  </si>
  <si>
    <t>TABULADOR HONORARIOS MÉDICOS</t>
  </si>
  <si>
    <t>REDUCCIÓN DE COASEGURO</t>
  </si>
  <si>
    <t>PRIMA DE TARIFA 2014</t>
  </si>
  <si>
    <t>DEDUCIBLE C/BASE 6,000</t>
  </si>
  <si>
    <t>PARÁMETROS PRIMA DE TARIFA</t>
  </si>
  <si>
    <t>MULTI-REGIÓN</t>
  </si>
  <si>
    <t>REGIONALIZACIÓN</t>
  </si>
  <si>
    <t>MR</t>
  </si>
  <si>
    <t>EMERGENCIA MÉDICA EN EL EXTRANJERO</t>
  </si>
  <si>
    <t>COBERTURA ADICIONAL TABULADOR ESPECIAL</t>
  </si>
  <si>
    <t>Tabulador Honorarios $90,000</t>
  </si>
  <si>
    <t>O</t>
  </si>
  <si>
    <t>CONYUGE</t>
  </si>
  <si>
    <t>PADRE</t>
  </si>
  <si>
    <t>MADRE</t>
  </si>
  <si>
    <t>HIJO(A)</t>
  </si>
  <si>
    <t>OTRO</t>
  </si>
  <si>
    <t>Suma Asegurada máxima de $120,000 m.n.</t>
  </si>
  <si>
    <t>3. Las coberturas amparadas en la presente cotización están sujetas a las Condiciones Contractuales registradas ante la C.N.S.F.</t>
  </si>
  <si>
    <t>2. La aceptación de los Asegurados está sujeta a selección médica conforme al llenado del Cuestionario Médico.</t>
  </si>
  <si>
    <t>DESCUENTO 15%</t>
  </si>
  <si>
    <t>Enfermedades Graves en el Extranjero</t>
  </si>
  <si>
    <t>ENFERMEDADES GRAVES EN EL EXTRANJERO</t>
  </si>
  <si>
    <t>FECHA NAC</t>
  </si>
  <si>
    <t xml:space="preserve">   SELECCIONE:</t>
  </si>
  <si>
    <t>Nivel Hospitalario</t>
  </si>
  <si>
    <t>Suma Asegurada</t>
  </si>
  <si>
    <t>Deducible</t>
  </si>
  <si>
    <t>Coaseguro</t>
  </si>
  <si>
    <t>THQ</t>
  </si>
  <si>
    <t>Combinaciones</t>
  </si>
  <si>
    <t>DISMINUCIÓN DE COASEGURO EN ENFERMEDAD</t>
  </si>
  <si>
    <t>COBERTURAS ADICIONALES</t>
  </si>
  <si>
    <t>1. COBERTURA BÁSICA</t>
  </si>
  <si>
    <t>2. EMERGENCIA MÉDICA EN EL EXTRANJERO</t>
  </si>
  <si>
    <t>3. SERVICIOS DE ASISTENCIA EN EL EXTRANJERO</t>
  </si>
  <si>
    <t>PARÁMETROS GENERALES</t>
  </si>
  <si>
    <t>COBERTURAS</t>
  </si>
  <si>
    <t xml:space="preserve">Nivel Hospitalario - THQ: </t>
  </si>
  <si>
    <t xml:space="preserve">Nivel Hospitalario: </t>
  </si>
  <si>
    <t xml:space="preserve">THQ: </t>
  </si>
  <si>
    <t xml:space="preserve">Suma Asegurada: </t>
  </si>
  <si>
    <t xml:space="preserve">Coaseguro: </t>
  </si>
  <si>
    <t xml:space="preserve">Deducible: </t>
  </si>
  <si>
    <t xml:space="preserve"> </t>
  </si>
  <si>
    <t>Aplica el deducible y coaseguro contratado en el plan básico, eliminando el tope de coaseguro.</t>
  </si>
  <si>
    <t>Se cubren los gastos en que incurra el asegurado tanto en territorio nacional como en el extranjero, mismos que no deberán rebasar la Suma Asegurada contratada.</t>
  </si>
  <si>
    <t>Art. 101 LISF Cesión de Comisión del agente</t>
  </si>
  <si>
    <t>PROTECCION CONTINUA (La póliza debe contar con al menos un dependiente, no aplica solo Titular)</t>
  </si>
  <si>
    <t>CIUDAD DE MEXICO</t>
  </si>
  <si>
    <t>Servicio de Asistencia en el Extranjero</t>
  </si>
  <si>
    <t>5. COBERTURA DENTAL</t>
  </si>
  <si>
    <t>ExtPrima</t>
  </si>
  <si>
    <t>Cónyuge</t>
  </si>
  <si>
    <t>1. La presente cotización tiene vigencia de 30 días  contados a partir de la fecha de cotización y no será válida sin el sello o firma del Agente de Seguros.</t>
  </si>
  <si>
    <t>PÓLIZA DE RENOVACIÓN</t>
  </si>
  <si>
    <r>
      <t>4. ASISTENCIA MÉDICA B</t>
    </r>
    <r>
      <rPr>
        <sz val="10"/>
        <color indexed="8"/>
        <rFont val="Calibri"/>
        <family val="2"/>
      </rPr>
      <t>×</t>
    </r>
    <r>
      <rPr>
        <sz val="8.5"/>
        <color indexed="8"/>
        <rFont val="Tahoma"/>
        <family val="2"/>
      </rPr>
      <t>+</t>
    </r>
  </si>
  <si>
    <r>
      <t>Asistencia Médica B</t>
    </r>
    <r>
      <rPr>
        <sz val="10"/>
        <rFont val="Calibri"/>
        <family val="2"/>
      </rPr>
      <t>×</t>
    </r>
    <r>
      <rPr>
        <sz val="8.5"/>
        <rFont val="Arial"/>
        <family val="2"/>
      </rPr>
      <t>+</t>
    </r>
  </si>
  <si>
    <t>actual</t>
  </si>
  <si>
    <t>MACRO</t>
  </si>
  <si>
    <t>Tarifa Anterior</t>
  </si>
  <si>
    <t>ZONA ANTERIOR</t>
  </si>
  <si>
    <t>Anterior</t>
  </si>
  <si>
    <t>SI</t>
  </si>
  <si>
    <t>La edad máxima de aceptación es de 64 años y se cancela al cumplir 80 años el Asegurado Titular. La renovación de las pólizas que den lugar a esta cobertura se efectuará de manera automática y garantizada.</t>
  </si>
  <si>
    <t>REGION 2019</t>
  </si>
  <si>
    <t>FACTOR REGIÓN 2019</t>
  </si>
  <si>
    <t>FACTOR REGIÓN 2020</t>
  </si>
  <si>
    <t>REGION 2020</t>
  </si>
  <si>
    <t>FACTOR 2019</t>
  </si>
  <si>
    <t>FACTOR 2020</t>
  </si>
  <si>
    <t>BIMESTRAL</t>
  </si>
  <si>
    <t>Incremento 2020</t>
  </si>
  <si>
    <t>Incremento 2021</t>
  </si>
  <si>
    <t>FACTOR REGIÓN 2021</t>
  </si>
  <si>
    <t>REGION 2021</t>
  </si>
  <si>
    <t>FACTOR 2021</t>
  </si>
  <si>
    <t>Incremento 2022</t>
  </si>
  <si>
    <t>FACTOR REGIÓN 2022</t>
  </si>
  <si>
    <t>REGION 2022</t>
  </si>
  <si>
    <t>FACTOR 2022</t>
  </si>
  <si>
    <t>REGION 2023</t>
  </si>
  <si>
    <t>FACTOR 2023</t>
  </si>
  <si>
    <t>Incremento 2023</t>
  </si>
  <si>
    <t>FACTOR REGIÓN 2023</t>
  </si>
  <si>
    <t>GM Bx+ 2024. Versión: 1_05.08.31</t>
  </si>
  <si>
    <t>Incremento 2024</t>
  </si>
  <si>
    <t>REGION 2024</t>
  </si>
  <si>
    <t>FACTOR REGIÓN 2024</t>
  </si>
  <si>
    <t>FACTOR MULTIREGIÓN anterior</t>
  </si>
  <si>
    <t>FACTOR MULTIREGIÓN 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</si>
</sst>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9">
    <numFmt numFmtId="7" formatCode="&quot;$&quot;#,##0.00;\-&quot;$&quot;#,##0.00"/>
    <numFmt numFmtId="42" formatCode="_-&quot;$&quot;* #,##0_-;\-&quot;$&quot;* #,##0_-;_-&quot;$&quot;* &quot;-&quot;_-;_-@_-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#,##0.000"/>
    <numFmt numFmtId="165" formatCode="&quot;$&quot;#,##0"/>
    <numFmt numFmtId="166" formatCode="#,##0.0000"/>
    <numFmt numFmtId="167" formatCode="0.0000"/>
    <numFmt numFmtId="168" formatCode="&quot;$&quot;#,##0.00"/>
    <numFmt numFmtId="169" formatCode="[$$-409]#,##0"/>
    <numFmt numFmtId="170" formatCode="0.0000%"/>
    <numFmt numFmtId="171" formatCode="0.000"/>
    <numFmt numFmtId="172" formatCode="#,##0.000000"/>
    <numFmt numFmtId="173" formatCode="0.0%"/>
    <numFmt numFmtId="174" formatCode="0.000000"/>
    <numFmt numFmtId="175" formatCode="0.00000"/>
    <numFmt numFmtId="176" formatCode="_-* #,##0_-;\-* #,##0_-;_-* &quot;-&quot;??_-;_-@_-"/>
    <numFmt numFmtId="177" formatCode="_-* #,##0.00000_-;\-* #,##0.00000_-;_-* &quot;-&quot;??_-;_-@_-"/>
    <numFmt numFmtId="178" formatCode="#,##0_ ;\-#,##0\ "/>
  </numFmts>
  <fonts count="129" x14ac:knownFonts="1">
    <font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b/>
      <sz val="18"/>
      <color indexed="8"/>
      <name val="Calibri"/>
      <family val="2"/>
    </font>
    <font>
      <b/>
      <sz val="12"/>
      <color indexed="8"/>
      <name val="Calibri"/>
      <family val="2"/>
    </font>
    <font>
      <b/>
      <sz val="11"/>
      <color indexed="10"/>
      <name val="Calibri"/>
      <family val="2"/>
    </font>
    <font>
      <sz val="8"/>
      <color indexed="8"/>
      <name val="Calibri"/>
      <family val="2"/>
    </font>
    <font>
      <sz val="8"/>
      <name val="Calibri"/>
      <family val="2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b/>
      <sz val="8"/>
      <color indexed="8"/>
      <name val="Arial"/>
      <family val="2"/>
    </font>
    <font>
      <b/>
      <sz val="11"/>
      <color indexed="8"/>
      <name val="Calibri"/>
      <family val="2"/>
    </font>
    <font>
      <b/>
      <sz val="11"/>
      <color indexed="10"/>
      <name val="Calibri"/>
      <family val="2"/>
    </font>
    <font>
      <b/>
      <sz val="11"/>
      <color indexed="10"/>
      <name val="Calibri"/>
      <family val="2"/>
    </font>
    <font>
      <b/>
      <sz val="11"/>
      <color indexed="12"/>
      <name val="Calibri"/>
      <family val="2"/>
    </font>
    <font>
      <b/>
      <sz val="8"/>
      <color indexed="56"/>
      <name val="Arial"/>
      <family val="2"/>
    </font>
    <font>
      <b/>
      <sz val="11"/>
      <name val="Calibri"/>
      <family val="2"/>
    </font>
    <font>
      <b/>
      <sz val="11"/>
      <color indexed="10"/>
      <name val="Calibri"/>
      <family val="2"/>
    </font>
    <font>
      <b/>
      <sz val="11"/>
      <color indexed="12"/>
      <name val="Calibri"/>
      <family val="2"/>
    </font>
    <font>
      <b/>
      <sz val="11"/>
      <color indexed="10"/>
      <name val="Calibri"/>
      <family val="2"/>
    </font>
    <font>
      <b/>
      <sz val="12"/>
      <color indexed="10"/>
      <name val="Arial"/>
      <family val="2"/>
    </font>
    <font>
      <sz val="8"/>
      <color indexed="8"/>
      <name val="Arial"/>
      <family val="2"/>
    </font>
    <font>
      <sz val="11"/>
      <color indexed="8"/>
      <name val="Arial"/>
      <family val="2"/>
    </font>
    <font>
      <b/>
      <sz val="10"/>
      <color indexed="12"/>
      <name val="Arial"/>
      <family val="2"/>
    </font>
    <font>
      <b/>
      <sz val="10"/>
      <color indexed="10"/>
      <name val="Arial"/>
      <family val="2"/>
    </font>
    <font>
      <b/>
      <sz val="11"/>
      <color indexed="8"/>
      <name val="Arial"/>
      <family val="2"/>
    </font>
    <font>
      <b/>
      <sz val="11"/>
      <color indexed="10"/>
      <name val="Arial"/>
      <family val="2"/>
    </font>
    <font>
      <b/>
      <sz val="12"/>
      <color indexed="8"/>
      <name val="Arial"/>
      <family val="2"/>
    </font>
    <font>
      <b/>
      <sz val="12"/>
      <color indexed="12"/>
      <name val="Arial"/>
      <family val="2"/>
    </font>
    <font>
      <sz val="10"/>
      <name val="Arial"/>
      <family val="2"/>
    </font>
    <font>
      <b/>
      <sz val="11"/>
      <name val="Arial"/>
      <family val="2"/>
    </font>
    <font>
      <b/>
      <sz val="13"/>
      <color indexed="8"/>
      <name val="Arial"/>
      <family val="2"/>
    </font>
    <font>
      <b/>
      <sz val="10"/>
      <name val="Arial"/>
      <family val="2"/>
    </font>
    <font>
      <b/>
      <sz val="11"/>
      <color indexed="8"/>
      <name val="Calibri"/>
      <family val="2"/>
    </font>
    <font>
      <sz val="11"/>
      <color indexed="8"/>
      <name val="Arial"/>
      <family val="2"/>
    </font>
    <font>
      <b/>
      <sz val="10"/>
      <color indexed="9"/>
      <name val="Arial"/>
      <family val="2"/>
    </font>
    <font>
      <b/>
      <sz val="8"/>
      <color indexed="9"/>
      <name val="Arial"/>
      <family val="2"/>
    </font>
    <font>
      <sz val="8"/>
      <color indexed="8"/>
      <name val="Arial"/>
      <family val="2"/>
    </font>
    <font>
      <sz val="10"/>
      <color indexed="8"/>
      <name val="Arial"/>
      <family val="2"/>
    </font>
    <font>
      <b/>
      <sz val="12"/>
      <color indexed="10"/>
      <name val="Marlett"/>
      <charset val="2"/>
    </font>
    <font>
      <b/>
      <sz val="12"/>
      <color indexed="12"/>
      <name val="Marlett"/>
      <charset val="2"/>
    </font>
    <font>
      <sz val="13"/>
      <color indexed="8"/>
      <name val="Arial"/>
      <family val="2"/>
    </font>
    <font>
      <b/>
      <sz val="11"/>
      <color indexed="8"/>
      <name val="Arial"/>
      <family val="2"/>
    </font>
    <font>
      <i/>
      <sz val="11"/>
      <color indexed="8"/>
      <name val="Arial"/>
      <family val="2"/>
    </font>
    <font>
      <sz val="12"/>
      <color indexed="8"/>
      <name val="Arial"/>
      <family val="2"/>
    </font>
    <font>
      <b/>
      <sz val="12"/>
      <color indexed="8"/>
      <name val="Arial"/>
      <family val="2"/>
    </font>
    <font>
      <b/>
      <sz val="11"/>
      <color indexed="12"/>
      <name val="Arial"/>
      <family val="2"/>
    </font>
    <font>
      <b/>
      <i/>
      <u/>
      <sz val="11"/>
      <color indexed="12"/>
      <name val="Arial"/>
      <family val="2"/>
    </font>
    <font>
      <b/>
      <u/>
      <sz val="13"/>
      <color indexed="12"/>
      <name val="Arial"/>
      <family val="2"/>
    </font>
    <font>
      <b/>
      <sz val="12"/>
      <color indexed="12"/>
      <name val="Arial"/>
      <family val="2"/>
    </font>
    <font>
      <sz val="11"/>
      <color indexed="8"/>
      <name val="Calibri"/>
      <family val="2"/>
    </font>
    <font>
      <b/>
      <sz val="8"/>
      <color indexed="8"/>
      <name val="Calibri"/>
      <family val="2"/>
    </font>
    <font>
      <sz val="8"/>
      <color indexed="8"/>
      <name val="Calibri"/>
      <family val="2"/>
    </font>
    <font>
      <sz val="11"/>
      <color indexed="10"/>
      <name val="Calibri"/>
      <family val="2"/>
    </font>
    <font>
      <b/>
      <sz val="11"/>
      <color indexed="10"/>
      <name val="Calibri"/>
      <family val="2"/>
    </font>
    <font>
      <b/>
      <sz val="9"/>
      <color indexed="81"/>
      <name val="Tahoma"/>
      <family val="2"/>
    </font>
    <font>
      <sz val="8"/>
      <color indexed="8"/>
      <name val="Bookman Old Style"/>
      <family val="1"/>
    </font>
    <font>
      <b/>
      <sz val="8"/>
      <color indexed="8"/>
      <name val="Bookman Old Style"/>
      <family val="1"/>
    </font>
    <font>
      <b/>
      <sz val="8"/>
      <color indexed="10"/>
      <name val="Bookman Old Style"/>
      <family val="1"/>
    </font>
    <font>
      <b/>
      <sz val="8"/>
      <color indexed="56"/>
      <name val="Bookman Old Style"/>
      <family val="1"/>
    </font>
    <font>
      <b/>
      <sz val="8"/>
      <color indexed="9"/>
      <name val="Bookman Old Style"/>
      <family val="1"/>
    </font>
    <font>
      <b/>
      <sz val="8"/>
      <color indexed="18"/>
      <name val="Bookman Old Style"/>
      <family val="1"/>
    </font>
    <font>
      <b/>
      <sz val="8"/>
      <name val="Bookman Old Style"/>
      <family val="1"/>
    </font>
    <font>
      <b/>
      <sz val="8"/>
      <color indexed="12"/>
      <name val="Bookman Old Style"/>
      <family val="1"/>
    </font>
    <font>
      <sz val="8"/>
      <name val="Bookman Old Style"/>
      <family val="1"/>
    </font>
    <font>
      <sz val="10"/>
      <name val="MS Sans Serif"/>
      <family val="2"/>
    </font>
    <font>
      <sz val="11"/>
      <name val="Tahoma"/>
      <family val="2"/>
    </font>
    <font>
      <sz val="10"/>
      <name val="Tahoma"/>
      <family val="2"/>
    </font>
    <font>
      <b/>
      <sz val="10"/>
      <name val="Tahoma"/>
      <family val="2"/>
    </font>
    <font>
      <sz val="11"/>
      <name val="Arial"/>
      <family val="2"/>
    </font>
    <font>
      <b/>
      <sz val="12"/>
      <name val="Arial"/>
      <family val="2"/>
    </font>
    <font>
      <b/>
      <sz val="10"/>
      <name val="Calibri"/>
      <family val="2"/>
    </font>
    <font>
      <sz val="10"/>
      <color indexed="8"/>
      <name val="Calibri"/>
      <family val="2"/>
    </font>
    <font>
      <sz val="8.5"/>
      <color indexed="8"/>
      <name val="Tahoma"/>
      <family val="2"/>
    </font>
    <font>
      <sz val="10"/>
      <name val="Calibri"/>
      <family val="2"/>
    </font>
    <font>
      <sz val="8.5"/>
      <name val="Arial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color rgb="FF00379A"/>
      <name val="Arial"/>
      <family val="2"/>
    </font>
    <font>
      <b/>
      <sz val="10"/>
      <color rgb="FF00379A"/>
      <name val="Arial"/>
      <family val="2"/>
    </font>
    <font>
      <sz val="11"/>
      <color rgb="FF575959"/>
      <name val="Calibri"/>
      <family val="2"/>
      <scheme val="minor"/>
    </font>
    <font>
      <sz val="11"/>
      <color rgb="FF575959"/>
      <name val="Arial"/>
      <family val="2"/>
    </font>
    <font>
      <b/>
      <sz val="11"/>
      <color rgb="FF575959"/>
      <name val="Arial"/>
      <family val="2"/>
    </font>
    <font>
      <b/>
      <sz val="11"/>
      <color rgb="FF575959"/>
      <name val="Calibri"/>
      <family val="2"/>
    </font>
    <font>
      <b/>
      <sz val="11"/>
      <color rgb="FF575959"/>
      <name val="Calibri"/>
      <family val="2"/>
      <scheme val="minor"/>
    </font>
    <font>
      <b/>
      <sz val="10"/>
      <color rgb="FF575959"/>
      <name val="Arial"/>
      <family val="2"/>
    </font>
    <font>
      <b/>
      <sz val="10"/>
      <color rgb="FF575959"/>
      <name val="Calibri"/>
      <family val="2"/>
    </font>
    <font>
      <sz val="10"/>
      <color rgb="FF575959"/>
      <name val="Calibri"/>
      <family val="2"/>
    </font>
    <font>
      <sz val="8"/>
      <color rgb="FF575959"/>
      <name val="Arial"/>
      <family val="2"/>
    </font>
    <font>
      <b/>
      <sz val="12"/>
      <color theme="3"/>
      <name val="Calibri"/>
      <family val="2"/>
    </font>
    <font>
      <sz val="11"/>
      <color theme="3"/>
      <name val="Calibri"/>
      <family val="2"/>
      <scheme val="minor"/>
    </font>
    <font>
      <b/>
      <sz val="10"/>
      <color theme="3"/>
      <name val="Arial"/>
      <family val="2"/>
    </font>
    <font>
      <b/>
      <sz val="8"/>
      <color rgb="FFFF0000"/>
      <name val="Bookman Old Style"/>
      <family val="1"/>
    </font>
    <font>
      <b/>
      <sz val="8"/>
      <color theme="0"/>
      <name val="Bookman Old Style"/>
      <family val="1"/>
    </font>
    <font>
      <b/>
      <sz val="8"/>
      <color rgb="FFFFFF00"/>
      <name val="Bookman Old Style"/>
      <family val="1"/>
    </font>
    <font>
      <sz val="8"/>
      <color theme="0"/>
      <name val="Bookman Old Style"/>
      <family val="1"/>
    </font>
    <font>
      <b/>
      <sz val="12"/>
      <color rgb="FF575959"/>
      <name val="Arial"/>
      <family val="2"/>
    </font>
    <font>
      <b/>
      <sz val="8"/>
      <color rgb="FF575959"/>
      <name val="Arial"/>
      <family val="2"/>
    </font>
    <font>
      <sz val="8"/>
      <color rgb="FFFFFF00"/>
      <name val="Arial"/>
      <family val="2"/>
    </font>
    <font>
      <b/>
      <sz val="8"/>
      <color rgb="FF575959"/>
      <name val="Calibri"/>
      <family val="2"/>
    </font>
    <font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3"/>
      <name val="Calibri"/>
      <family val="2"/>
      <scheme val="minor"/>
    </font>
    <font>
      <b/>
      <sz val="10"/>
      <color rgb="FFFF0000"/>
      <name val="Arial"/>
      <family val="2"/>
    </font>
    <font>
      <sz val="10"/>
      <color theme="1"/>
      <name val="Tahoma"/>
      <family val="2"/>
    </font>
    <font>
      <sz val="11"/>
      <color theme="1"/>
      <name val="Tahoma"/>
      <family val="2"/>
    </font>
    <font>
      <sz val="10"/>
      <color theme="0"/>
      <name val="Arial"/>
      <family val="2"/>
    </font>
    <font>
      <b/>
      <sz val="10"/>
      <color theme="0"/>
      <name val="Arial"/>
      <family val="2"/>
    </font>
    <font>
      <sz val="10"/>
      <color rgb="FF575959"/>
      <name val="Arial"/>
      <family val="2"/>
    </font>
    <font>
      <sz val="10"/>
      <color theme="0"/>
      <name val="Calibri"/>
      <family val="2"/>
    </font>
    <font>
      <b/>
      <sz val="11"/>
      <name val="Calibri"/>
      <family val="2"/>
      <scheme val="minor"/>
    </font>
    <font>
      <b/>
      <sz val="10"/>
      <color theme="0"/>
      <name val="Calibri"/>
      <family val="2"/>
    </font>
    <font>
      <b/>
      <sz val="10"/>
      <color rgb="FF3BB0C9"/>
      <name val="Arial"/>
      <family val="2"/>
    </font>
    <font>
      <b/>
      <sz val="11"/>
      <color rgb="FF3BB0C9"/>
      <name val="Arial"/>
      <family val="2"/>
    </font>
    <font>
      <sz val="10"/>
      <color rgb="FF3BB0C9"/>
      <name val="Arial"/>
      <family val="2"/>
    </font>
    <font>
      <b/>
      <sz val="8"/>
      <color rgb="FF3BB0C9"/>
      <name val="Arial"/>
      <family val="2"/>
    </font>
    <font>
      <sz val="8"/>
      <color rgb="FF3BB0C9"/>
      <name val="Arial"/>
      <family val="2"/>
    </font>
    <font>
      <b/>
      <sz val="10"/>
      <color theme="0" tint="-0.499984740745262"/>
      <name val="Arial"/>
      <family val="2"/>
    </font>
    <font>
      <sz val="10"/>
      <color theme="0" tint="-0.499984740745262"/>
      <name val="Arial"/>
      <family val="2"/>
    </font>
    <font>
      <b/>
      <sz val="11"/>
      <color theme="0" tint="-0.499984740745262"/>
      <name val="Arial"/>
      <family val="2"/>
    </font>
    <font>
      <sz val="11"/>
      <color theme="0" tint="-0.499984740745262"/>
      <name val="Calibri"/>
      <family val="2"/>
      <scheme val="minor"/>
    </font>
    <font>
      <sz val="11"/>
      <color rgb="FF3BB0C9"/>
      <name val="Calibri"/>
      <family val="2"/>
      <scheme val="minor"/>
    </font>
    <font>
      <sz val="12"/>
      <color rgb="FF00379A"/>
      <name val="Arial"/>
      <family val="2"/>
    </font>
    <font>
      <b/>
      <sz val="20"/>
      <color rgb="FF3BB0C9"/>
      <name val="Tahoma"/>
      <family val="2"/>
    </font>
    <font>
      <b/>
      <sz val="12"/>
      <color theme="1"/>
      <name val="Tahoma"/>
      <family val="2"/>
    </font>
    <font>
      <b/>
      <i/>
      <u val="double"/>
      <sz val="11"/>
      <color rgb="FF3BB0C9"/>
      <name val="Arial"/>
      <family val="2"/>
    </font>
    <font>
      <b/>
      <sz val="16"/>
      <color rgb="FFC4D600"/>
      <name val="Arial"/>
      <family val="2"/>
    </font>
    <font>
      <sz val="16"/>
      <color rgb="FF000000"/>
      <name val="Calibri"/>
      <family val="2"/>
    </font>
    <font>
      <sz val="8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65"/>
        <bgColor indexed="12"/>
      </patternFill>
    </fill>
    <fill>
      <patternFill patternType="solid">
        <fgColor indexed="65"/>
        <bgColor indexed="10"/>
      </patternFill>
    </fill>
    <fill>
      <patternFill patternType="solid">
        <fgColor rgb="FFFFFF0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lightTrellis">
        <fgColor theme="2"/>
        <bgColor theme="2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4D6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2D3D4"/>
        <bgColor indexed="64"/>
      </patternFill>
    </fill>
    <fill>
      <patternFill patternType="solid">
        <fgColor theme="0" tint="-0.14999847407452621"/>
        <bgColor indexed="64"/>
      </patternFill>
    </fill>
  </fills>
  <borders count="82">
    <border>
      <left/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/>
      <right/>
      <top/>
      <bottom style="dashed">
        <color indexed="64"/>
      </bottom>
      <diagonal/>
    </border>
    <border>
      <left/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23"/>
      </left>
      <right style="medium">
        <color indexed="63"/>
      </right>
      <top style="thin">
        <color indexed="23"/>
      </top>
      <bottom style="medium">
        <color indexed="63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23"/>
      </left>
      <right style="medium">
        <color indexed="23"/>
      </right>
      <top style="thin">
        <color indexed="23"/>
      </top>
      <bottom style="medium">
        <color indexed="23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dashed">
        <color indexed="64"/>
      </left>
      <right/>
      <top style="dashed">
        <color indexed="64"/>
      </top>
      <bottom/>
      <diagonal/>
    </border>
    <border>
      <left/>
      <right/>
      <top style="dashed">
        <color indexed="64"/>
      </top>
      <bottom/>
      <diagonal/>
    </border>
    <border>
      <left/>
      <right style="dashed">
        <color indexed="64"/>
      </right>
      <top style="dashed">
        <color indexed="64"/>
      </top>
      <bottom/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/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/>
      <bottom/>
      <diagonal/>
    </border>
    <border>
      <left/>
      <right/>
      <top style="medium">
        <color indexed="64"/>
      </top>
      <bottom style="dashed">
        <color indexed="64"/>
      </bottom>
      <diagonal/>
    </border>
    <border>
      <left style="thin">
        <color indexed="23"/>
      </left>
      <right/>
      <top style="thin">
        <color indexed="23"/>
      </top>
      <bottom style="medium">
        <color indexed="23"/>
      </bottom>
      <diagonal/>
    </border>
    <border>
      <left/>
      <right/>
      <top style="thin">
        <color indexed="23"/>
      </top>
      <bottom style="medium">
        <color indexed="23"/>
      </bottom>
      <diagonal/>
    </border>
    <border>
      <left/>
      <right style="medium">
        <color indexed="23"/>
      </right>
      <top style="thin">
        <color indexed="23"/>
      </top>
      <bottom style="medium">
        <color indexed="23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6">
    <xf numFmtId="0" fontId="0" fillId="0" borderId="0"/>
    <xf numFmtId="43" fontId="49" fillId="0" borderId="0" applyFont="0" applyFill="0" applyBorder="0" applyAlignment="0" applyProtection="0"/>
    <xf numFmtId="43" fontId="28" fillId="0" borderId="0" applyFont="0" applyFill="0" applyBorder="0" applyAlignment="0" applyProtection="0"/>
    <xf numFmtId="40" fontId="64" fillId="0" borderId="0" applyFont="0" applyFill="0" applyBorder="0" applyAlignment="0" applyProtection="0"/>
    <xf numFmtId="44" fontId="75" fillId="0" borderId="0" applyFont="0" applyFill="0" applyBorder="0" applyAlignment="0" applyProtection="0"/>
    <xf numFmtId="9" fontId="7" fillId="0" borderId="0" applyFont="0" applyFill="0" applyBorder="0" applyAlignment="0" applyProtection="0"/>
  </cellStyleXfs>
  <cellXfs count="798">
    <xf numFmtId="0" fontId="0" fillId="0" borderId="0" xfId="0"/>
    <xf numFmtId="168" fontId="12" fillId="0" borderId="0" xfId="0" applyNumberFormat="1" applyFont="1" applyProtection="1">
      <protection hidden="1"/>
    </xf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8" fillId="0" borderId="0" xfId="0" applyFont="1" applyAlignment="1">
      <alignment horizontal="center" vertical="top"/>
    </xf>
    <xf numFmtId="0" fontId="10" fillId="0" borderId="0" xfId="0" applyFont="1" applyAlignment="1">
      <alignment horizontal="center"/>
    </xf>
    <xf numFmtId="3" fontId="0" fillId="0" borderId="0" xfId="0" applyNumberFormat="1"/>
    <xf numFmtId="44" fontId="12" fillId="0" borderId="0" xfId="0" applyNumberFormat="1" applyFont="1" applyProtection="1">
      <protection hidden="1"/>
    </xf>
    <xf numFmtId="44" fontId="13" fillId="0" borderId="0" xfId="0" applyNumberFormat="1" applyFont="1" applyProtection="1">
      <protection hidden="1"/>
    </xf>
    <xf numFmtId="0" fontId="12" fillId="0" borderId="0" xfId="0" applyFont="1" applyProtection="1">
      <protection locked="0"/>
    </xf>
    <xf numFmtId="44" fontId="18" fillId="0" borderId="0" xfId="0" applyNumberFormat="1" applyFont="1" applyProtection="1">
      <protection hidden="1"/>
    </xf>
    <xf numFmtId="0" fontId="4" fillId="0" borderId="0" xfId="0" applyFont="1"/>
    <xf numFmtId="0" fontId="11" fillId="0" borderId="0" xfId="0" applyFont="1"/>
    <xf numFmtId="0" fontId="2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0" fontId="1" fillId="0" borderId="0" xfId="0" applyFont="1" applyAlignment="1">
      <alignment horizontal="center" vertical="top"/>
    </xf>
    <xf numFmtId="0" fontId="21" fillId="0" borderId="0" xfId="0" applyFont="1"/>
    <xf numFmtId="4" fontId="0" fillId="0" borderId="0" xfId="0" applyNumberFormat="1" applyAlignment="1" applyProtection="1">
      <alignment horizontal="center"/>
      <protection locked="0"/>
    </xf>
    <xf numFmtId="4" fontId="17" fillId="0" borderId="0" xfId="0" applyNumberFormat="1" applyFont="1" applyAlignment="1" applyProtection="1">
      <alignment horizontal="center"/>
      <protection locked="0"/>
    </xf>
    <xf numFmtId="0" fontId="32" fillId="0" borderId="0" xfId="0" applyFont="1"/>
    <xf numFmtId="4" fontId="37" fillId="0" borderId="1" xfId="0" applyNumberFormat="1" applyFont="1" applyBorder="1" applyAlignment="1" applyProtection="1">
      <alignment horizontal="center"/>
      <protection locked="0"/>
    </xf>
    <xf numFmtId="4" fontId="37" fillId="0" borderId="2" xfId="0" applyNumberFormat="1" applyFont="1" applyBorder="1" applyAlignment="1" applyProtection="1">
      <alignment horizontal="center"/>
      <protection locked="0"/>
    </xf>
    <xf numFmtId="9" fontId="0" fillId="0" borderId="0" xfId="0" applyNumberFormat="1"/>
    <xf numFmtId="0" fontId="33" fillId="0" borderId="0" xfId="0" applyFont="1"/>
    <xf numFmtId="0" fontId="24" fillId="0" borderId="0" xfId="0" applyFont="1" applyAlignment="1">
      <alignment horizontal="center"/>
    </xf>
    <xf numFmtId="44" fontId="25" fillId="0" borderId="0" xfId="0" applyNumberFormat="1" applyFont="1" applyProtection="1">
      <protection hidden="1"/>
    </xf>
    <xf numFmtId="0" fontId="33" fillId="0" borderId="0" xfId="0" applyFont="1" applyAlignment="1">
      <alignment horizontal="center"/>
    </xf>
    <xf numFmtId="0" fontId="25" fillId="0" borderId="0" xfId="0" applyFont="1" applyProtection="1">
      <protection locked="0"/>
    </xf>
    <xf numFmtId="169" fontId="29" fillId="0" borderId="0" xfId="0" applyNumberFormat="1" applyFont="1" applyAlignment="1">
      <alignment horizontal="center"/>
    </xf>
    <xf numFmtId="168" fontId="25" fillId="0" borderId="0" xfId="0" applyNumberFormat="1" applyFont="1" applyProtection="1">
      <protection hidden="1"/>
    </xf>
    <xf numFmtId="0" fontId="26" fillId="0" borderId="0" xfId="0" applyFont="1" applyAlignment="1">
      <alignment horizontal="left"/>
    </xf>
    <xf numFmtId="0" fontId="40" fillId="0" borderId="0" xfId="0" applyFont="1"/>
    <xf numFmtId="0" fontId="30" fillId="0" borderId="0" xfId="0" applyFont="1"/>
    <xf numFmtId="0" fontId="24" fillId="0" borderId="0" xfId="0" applyFont="1"/>
    <xf numFmtId="0" fontId="41" fillId="0" borderId="0" xfId="0" applyFont="1"/>
    <xf numFmtId="9" fontId="25" fillId="0" borderId="0" xfId="0" applyNumberFormat="1" applyFont="1" applyAlignment="1" applyProtection="1">
      <alignment horizontal="center"/>
      <protection hidden="1"/>
    </xf>
    <xf numFmtId="0" fontId="41" fillId="0" borderId="0" xfId="0" applyFont="1" applyAlignment="1">
      <alignment horizontal="center"/>
    </xf>
    <xf numFmtId="0" fontId="42" fillId="0" borderId="0" xfId="0" applyFont="1"/>
    <xf numFmtId="0" fontId="25" fillId="0" borderId="0" xfId="0" applyFont="1"/>
    <xf numFmtId="0" fontId="26" fillId="0" borderId="0" xfId="0" applyFont="1"/>
    <xf numFmtId="0" fontId="43" fillId="0" borderId="0" xfId="0" applyFont="1"/>
    <xf numFmtId="0" fontId="45" fillId="0" borderId="0" xfId="0" applyFont="1" applyAlignment="1" applyProtection="1">
      <alignment horizontal="left"/>
      <protection hidden="1"/>
    </xf>
    <xf numFmtId="0" fontId="46" fillId="0" borderId="0" xfId="0" applyFont="1" applyAlignment="1" applyProtection="1">
      <alignment horizontal="left"/>
      <protection hidden="1"/>
    </xf>
    <xf numFmtId="0" fontId="45" fillId="0" borderId="0" xfId="0" applyFont="1" applyAlignment="1">
      <alignment horizontal="center"/>
    </xf>
    <xf numFmtId="0" fontId="47" fillId="0" borderId="0" xfId="0" applyFont="1" applyProtection="1">
      <protection hidden="1"/>
    </xf>
    <xf numFmtId="0" fontId="45" fillId="0" borderId="0" xfId="0" applyFont="1" applyProtection="1">
      <protection hidden="1"/>
    </xf>
    <xf numFmtId="0" fontId="47" fillId="0" borderId="0" xfId="0" applyFont="1" applyAlignment="1" applyProtection="1">
      <alignment horizontal="center"/>
      <protection hidden="1"/>
    </xf>
    <xf numFmtId="42" fontId="45" fillId="0" borderId="0" xfId="0" applyNumberFormat="1" applyFont="1" applyProtection="1">
      <protection hidden="1"/>
    </xf>
    <xf numFmtId="44" fontId="48" fillId="0" borderId="0" xfId="0" applyNumberFormat="1" applyFont="1" applyAlignment="1" applyProtection="1">
      <alignment horizontal="right"/>
      <protection hidden="1"/>
    </xf>
    <xf numFmtId="44" fontId="44" fillId="0" borderId="0" xfId="0" applyNumberFormat="1" applyFont="1" applyAlignment="1">
      <alignment horizontal="right"/>
    </xf>
    <xf numFmtId="4" fontId="37" fillId="0" borderId="3" xfId="0" applyNumberFormat="1" applyFont="1" applyBorder="1" applyAlignment="1" applyProtection="1">
      <alignment horizontal="center"/>
      <protection locked="0"/>
    </xf>
    <xf numFmtId="4" fontId="38" fillId="0" borderId="3" xfId="0" applyNumberFormat="1" applyFont="1" applyBorder="1" applyAlignment="1" applyProtection="1">
      <alignment horizontal="center"/>
      <protection locked="0"/>
    </xf>
    <xf numFmtId="0" fontId="2" fillId="0" borderId="0" xfId="0" applyFont="1"/>
    <xf numFmtId="0" fontId="3" fillId="0" borderId="0" xfId="0" applyFont="1" applyAlignment="1">
      <alignment vertical="center"/>
    </xf>
    <xf numFmtId="165" fontId="29" fillId="0" borderId="0" xfId="0" applyNumberFormat="1" applyFont="1" applyAlignment="1" applyProtection="1">
      <alignment horizontal="center"/>
      <protection locked="0" hidden="1"/>
    </xf>
    <xf numFmtId="0" fontId="1" fillId="0" borderId="0" xfId="0" applyFont="1" applyAlignment="1">
      <alignment vertical="center"/>
    </xf>
    <xf numFmtId="0" fontId="21" fillId="0" borderId="0" xfId="0" applyFont="1" applyAlignment="1">
      <alignment horizontal="center"/>
    </xf>
    <xf numFmtId="168" fontId="4" fillId="0" borderId="0" xfId="0" applyNumberFormat="1" applyFont="1" applyProtection="1">
      <protection hidden="1"/>
    </xf>
    <xf numFmtId="44" fontId="4" fillId="0" borderId="0" xfId="0" applyNumberFormat="1" applyFont="1" applyProtection="1">
      <protection hidden="1"/>
    </xf>
    <xf numFmtId="44" fontId="27" fillId="0" borderId="0" xfId="0" applyNumberFormat="1" applyFont="1" applyAlignment="1" applyProtection="1">
      <alignment horizontal="right"/>
      <protection hidden="1"/>
    </xf>
    <xf numFmtId="44" fontId="26" fillId="0" borderId="0" xfId="0" applyNumberFormat="1" applyFont="1" applyAlignment="1">
      <alignment horizontal="right"/>
    </xf>
    <xf numFmtId="4" fontId="19" fillId="0" borderId="3" xfId="0" applyNumberFormat="1" applyFont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4" fontId="22" fillId="0" borderId="4" xfId="0" applyNumberFormat="1" applyFont="1" applyBorder="1" applyAlignment="1" applyProtection="1">
      <alignment horizontal="center"/>
      <protection locked="0"/>
    </xf>
    <xf numFmtId="4" fontId="22" fillId="0" borderId="5" xfId="0" applyNumberFormat="1" applyFont="1" applyBorder="1" applyAlignment="1" applyProtection="1">
      <alignment horizontal="center"/>
      <protection locked="0"/>
    </xf>
    <xf numFmtId="4" fontId="23" fillId="0" borderId="6" xfId="0" applyNumberFormat="1" applyFont="1" applyBorder="1" applyAlignment="1" applyProtection="1">
      <alignment horizontal="center"/>
      <protection locked="0"/>
    </xf>
    <xf numFmtId="0" fontId="0" fillId="0" borderId="7" xfId="0" applyBorder="1"/>
    <xf numFmtId="0" fontId="9" fillId="0" borderId="0" xfId="0" applyFont="1" applyAlignment="1">
      <alignment horizontal="center"/>
    </xf>
    <xf numFmtId="9" fontId="20" fillId="0" borderId="8" xfId="0" applyNumberFormat="1" applyFont="1" applyBorder="1" applyAlignment="1">
      <alignment horizontal="center"/>
    </xf>
    <xf numFmtId="9" fontId="20" fillId="0" borderId="9" xfId="0" applyNumberFormat="1" applyFont="1" applyBorder="1" applyAlignment="1">
      <alignment horizontal="center"/>
    </xf>
    <xf numFmtId="0" fontId="78" fillId="0" borderId="0" xfId="0" applyFont="1"/>
    <xf numFmtId="44" fontId="78" fillId="0" borderId="10" xfId="0" applyNumberFormat="1" applyFont="1" applyBorder="1" applyProtection="1">
      <protection hidden="1"/>
    </xf>
    <xf numFmtId="44" fontId="78" fillId="0" borderId="0" xfId="0" applyNumberFormat="1" applyFont="1" applyProtection="1">
      <protection hidden="1"/>
    </xf>
    <xf numFmtId="44" fontId="78" fillId="0" borderId="0" xfId="0" applyNumberFormat="1" applyFont="1" applyAlignment="1" applyProtection="1">
      <alignment horizontal="right"/>
      <protection hidden="1"/>
    </xf>
    <xf numFmtId="0" fontId="9" fillId="0" borderId="0" xfId="0" applyFont="1"/>
    <xf numFmtId="0" fontId="20" fillId="0" borderId="0" xfId="0" applyFont="1"/>
    <xf numFmtId="0" fontId="20" fillId="0" borderId="11" xfId="0" applyFont="1" applyBorder="1"/>
    <xf numFmtId="9" fontId="20" fillId="0" borderId="11" xfId="0" applyNumberFormat="1" applyFont="1" applyBorder="1"/>
    <xf numFmtId="4" fontId="39" fillId="0" borderId="12" xfId="0" applyNumberFormat="1" applyFont="1" applyBorder="1" applyAlignment="1" applyProtection="1">
      <alignment horizontal="center"/>
      <protection locked="0"/>
    </xf>
    <xf numFmtId="4" fontId="39" fillId="0" borderId="3" xfId="0" applyNumberFormat="1" applyFont="1" applyBorder="1" applyAlignment="1" applyProtection="1">
      <alignment horizontal="center"/>
      <protection locked="0"/>
    </xf>
    <xf numFmtId="4" fontId="22" fillId="0" borderId="12" xfId="0" applyNumberFormat="1" applyFont="1" applyBorder="1" applyAlignment="1" applyProtection="1">
      <alignment horizontal="center"/>
      <protection locked="0"/>
    </xf>
    <xf numFmtId="4" fontId="22" fillId="0" borderId="3" xfId="0" applyNumberFormat="1" applyFont="1" applyBorder="1" applyAlignment="1" applyProtection="1">
      <alignment horizontal="center"/>
      <protection locked="0"/>
    </xf>
    <xf numFmtId="4" fontId="23" fillId="0" borderId="3" xfId="0" applyNumberFormat="1" applyFont="1" applyBorder="1" applyAlignment="1" applyProtection="1">
      <alignment horizontal="center"/>
      <protection locked="0"/>
    </xf>
    <xf numFmtId="0" fontId="0" fillId="0" borderId="13" xfId="0" applyBorder="1"/>
    <xf numFmtId="44" fontId="78" fillId="0" borderId="13" xfId="0" applyNumberFormat="1" applyFont="1" applyBorder="1" applyProtection="1">
      <protection hidden="1"/>
    </xf>
    <xf numFmtId="44" fontId="78" fillId="0" borderId="7" xfId="0" applyNumberFormat="1" applyFont="1" applyBorder="1" applyProtection="1">
      <protection hidden="1"/>
    </xf>
    <xf numFmtId="44" fontId="78" fillId="0" borderId="13" xfId="0" applyNumberFormat="1" applyFont="1" applyBorder="1" applyAlignment="1" applyProtection="1">
      <alignment horizontal="right"/>
      <protection hidden="1"/>
    </xf>
    <xf numFmtId="44" fontId="78" fillId="0" borderId="7" xfId="0" applyNumberFormat="1" applyFont="1" applyBorder="1" applyAlignment="1" applyProtection="1">
      <alignment horizontal="right"/>
      <protection hidden="1"/>
    </xf>
    <xf numFmtId="44" fontId="78" fillId="0" borderId="14" xfId="0" applyNumberFormat="1" applyFont="1" applyBorder="1" applyProtection="1">
      <protection hidden="1"/>
    </xf>
    <xf numFmtId="44" fontId="78" fillId="0" borderId="15" xfId="0" applyNumberFormat="1" applyFont="1" applyBorder="1" applyProtection="1">
      <protection hidden="1"/>
    </xf>
    <xf numFmtId="0" fontId="79" fillId="0" borderId="16" xfId="0" applyFont="1" applyBorder="1" applyAlignment="1" applyProtection="1">
      <alignment horizontal="center" vertical="center" wrapText="1"/>
      <protection hidden="1"/>
    </xf>
    <xf numFmtId="0" fontId="79" fillId="0" borderId="17" xfId="0" applyFont="1" applyBorder="1" applyAlignment="1" applyProtection="1">
      <alignment horizontal="center" vertical="center" wrapText="1"/>
      <protection hidden="1"/>
    </xf>
    <xf numFmtId="0" fontId="79" fillId="0" borderId="18" xfId="0" applyFont="1" applyBorder="1" applyAlignment="1" applyProtection="1">
      <alignment horizontal="center" vertical="center"/>
      <protection hidden="1"/>
    </xf>
    <xf numFmtId="0" fontId="78" fillId="0" borderId="13" xfId="0" applyFont="1" applyBorder="1" applyProtection="1">
      <protection hidden="1"/>
    </xf>
    <xf numFmtId="4" fontId="39" fillId="10" borderId="12" xfId="0" applyNumberFormat="1" applyFont="1" applyFill="1" applyBorder="1" applyAlignment="1" applyProtection="1">
      <alignment horizontal="center"/>
      <protection locked="0"/>
    </xf>
    <xf numFmtId="0" fontId="80" fillId="0" borderId="0" xfId="0" applyFont="1"/>
    <xf numFmtId="0" fontId="81" fillId="0" borderId="0" xfId="0" applyFont="1"/>
    <xf numFmtId="0" fontId="82" fillId="0" borderId="0" xfId="0" applyFont="1" applyAlignment="1" applyProtection="1">
      <alignment horizontal="left"/>
      <protection hidden="1"/>
    </xf>
    <xf numFmtId="0" fontId="83" fillId="0" borderId="0" xfId="0" applyFont="1"/>
    <xf numFmtId="0" fontId="81" fillId="0" borderId="0" xfId="0" applyFont="1" applyAlignment="1">
      <alignment horizontal="center"/>
    </xf>
    <xf numFmtId="44" fontId="82" fillId="0" borderId="0" xfId="0" applyNumberFormat="1" applyFont="1" applyProtection="1">
      <protection hidden="1"/>
    </xf>
    <xf numFmtId="0" fontId="84" fillId="0" borderId="17" xfId="0" applyFont="1" applyBorder="1" applyAlignment="1" applyProtection="1">
      <alignment horizontal="center"/>
      <protection locked="0"/>
    </xf>
    <xf numFmtId="168" fontId="85" fillId="0" borderId="0" xfId="0" applyNumberFormat="1" applyFont="1" applyAlignment="1" applyProtection="1">
      <alignment horizontal="center"/>
      <protection locked="0"/>
    </xf>
    <xf numFmtId="0" fontId="86" fillId="0" borderId="0" xfId="0" applyFont="1" applyAlignment="1" applyProtection="1">
      <alignment horizontal="center"/>
      <protection locked="0"/>
    </xf>
    <xf numFmtId="0" fontId="87" fillId="0" borderId="0" xfId="0" applyFont="1" applyAlignment="1" applyProtection="1">
      <alignment horizontal="center"/>
      <protection locked="0"/>
    </xf>
    <xf numFmtId="9" fontId="86" fillId="0" borderId="0" xfId="0" applyNumberFormat="1" applyFont="1" applyAlignment="1" applyProtection="1">
      <alignment horizontal="center"/>
      <protection locked="0"/>
    </xf>
    <xf numFmtId="4" fontId="83" fillId="0" borderId="0" xfId="0" applyNumberFormat="1" applyFont="1" applyAlignment="1" applyProtection="1">
      <alignment horizontal="center"/>
      <protection locked="0"/>
    </xf>
    <xf numFmtId="0" fontId="83" fillId="0" borderId="0" xfId="0" applyFont="1" applyAlignment="1" applyProtection="1">
      <alignment horizontal="center"/>
      <protection locked="0"/>
    </xf>
    <xf numFmtId="4" fontId="80" fillId="0" borderId="0" xfId="0" applyNumberFormat="1" applyFont="1" applyAlignment="1" applyProtection="1">
      <alignment horizontal="center"/>
      <protection locked="0"/>
    </xf>
    <xf numFmtId="0" fontId="80" fillId="0" borderId="0" xfId="0" applyFont="1" applyProtection="1">
      <protection locked="0"/>
    </xf>
    <xf numFmtId="4" fontId="83" fillId="0" borderId="0" xfId="0" applyNumberFormat="1" applyFont="1" applyAlignment="1" applyProtection="1">
      <alignment horizontal="left"/>
      <protection locked="0"/>
    </xf>
    <xf numFmtId="4" fontId="88" fillId="0" borderId="0" xfId="0" applyNumberFormat="1" applyFont="1" applyAlignment="1" applyProtection="1">
      <alignment horizontal="center"/>
      <protection locked="0"/>
    </xf>
    <xf numFmtId="4" fontId="88" fillId="0" borderId="1" xfId="0" applyNumberFormat="1" applyFont="1" applyBorder="1" applyAlignment="1" applyProtection="1">
      <alignment horizontal="center"/>
      <protection locked="0"/>
    </xf>
    <xf numFmtId="4" fontId="88" fillId="0" borderId="19" xfId="0" applyNumberFormat="1" applyFont="1" applyBorder="1" applyAlignment="1" applyProtection="1">
      <alignment horizontal="center"/>
      <protection locked="0"/>
    </xf>
    <xf numFmtId="4" fontId="88" fillId="0" borderId="20" xfId="0" applyNumberFormat="1" applyFont="1" applyBorder="1" applyAlignment="1" applyProtection="1">
      <alignment horizontal="center"/>
      <protection locked="0"/>
    </xf>
    <xf numFmtId="4" fontId="88" fillId="0" borderId="21" xfId="0" applyNumberFormat="1" applyFont="1" applyBorder="1" applyAlignment="1" applyProtection="1">
      <alignment horizontal="center"/>
      <protection locked="0"/>
    </xf>
    <xf numFmtId="4" fontId="88" fillId="0" borderId="22" xfId="0" applyNumberFormat="1" applyFont="1" applyBorder="1" applyAlignment="1" applyProtection="1">
      <alignment horizontal="center"/>
      <protection locked="0"/>
    </xf>
    <xf numFmtId="0" fontId="0" fillId="0" borderId="10" xfId="0" applyBorder="1"/>
    <xf numFmtId="9" fontId="75" fillId="0" borderId="0" xfId="5" applyFont="1" applyProtection="1"/>
    <xf numFmtId="168" fontId="0" fillId="0" borderId="0" xfId="0" applyNumberFormat="1"/>
    <xf numFmtId="44" fontId="0" fillId="0" borderId="7" xfId="0" applyNumberFormat="1" applyBorder="1"/>
    <xf numFmtId="43" fontId="75" fillId="0" borderId="0" xfId="1" applyFont="1" applyProtection="1"/>
    <xf numFmtId="0" fontId="89" fillId="0" borderId="0" xfId="0" applyFont="1" applyAlignment="1">
      <alignment vertical="center"/>
    </xf>
    <xf numFmtId="0" fontId="90" fillId="0" borderId="0" xfId="0" applyFont="1"/>
    <xf numFmtId="0" fontId="91" fillId="0" borderId="17" xfId="0" applyFont="1" applyBorder="1" applyAlignment="1">
      <alignment horizontal="left" vertical="center"/>
    </xf>
    <xf numFmtId="0" fontId="82" fillId="0" borderId="0" xfId="0" applyFont="1"/>
    <xf numFmtId="165" fontId="29" fillId="0" borderId="0" xfId="0" applyNumberFormat="1" applyFont="1" applyAlignment="1" applyProtection="1">
      <alignment horizontal="center"/>
      <protection hidden="1"/>
    </xf>
    <xf numFmtId="0" fontId="55" fillId="0" borderId="0" xfId="0" applyFont="1" applyProtection="1">
      <protection hidden="1"/>
    </xf>
    <xf numFmtId="0" fontId="92" fillId="0" borderId="0" xfId="0" applyFont="1" applyProtection="1">
      <protection hidden="1"/>
    </xf>
    <xf numFmtId="0" fontId="55" fillId="3" borderId="0" xfId="0" applyFont="1" applyFill="1" applyProtection="1">
      <protection hidden="1"/>
    </xf>
    <xf numFmtId="0" fontId="57" fillId="0" borderId="0" xfId="0" applyFont="1" applyAlignment="1" applyProtection="1">
      <alignment horizontal="center"/>
      <protection hidden="1"/>
    </xf>
    <xf numFmtId="0" fontId="58" fillId="0" borderId="0" xfId="0" applyFont="1" applyProtection="1">
      <protection hidden="1"/>
    </xf>
    <xf numFmtId="0" fontId="93" fillId="11" borderId="23" xfId="0" applyFont="1" applyFill="1" applyBorder="1" applyAlignment="1" applyProtection="1">
      <alignment horizontal="center" vertical="center"/>
      <protection hidden="1"/>
    </xf>
    <xf numFmtId="0" fontId="60" fillId="0" borderId="0" xfId="0" applyFont="1" applyProtection="1">
      <protection hidden="1"/>
    </xf>
    <xf numFmtId="0" fontId="61" fillId="0" borderId="0" xfId="0" applyFont="1" applyProtection="1">
      <protection hidden="1"/>
    </xf>
    <xf numFmtId="4" fontId="55" fillId="0" borderId="0" xfId="0" applyNumberFormat="1" applyFont="1" applyProtection="1">
      <protection hidden="1"/>
    </xf>
    <xf numFmtId="9" fontId="60" fillId="0" borderId="0" xfId="5" applyFont="1" applyProtection="1">
      <protection hidden="1"/>
    </xf>
    <xf numFmtId="3" fontId="60" fillId="0" borderId="0" xfId="0" applyNumberFormat="1" applyFont="1" applyProtection="1">
      <protection hidden="1"/>
    </xf>
    <xf numFmtId="0" fontId="59" fillId="0" borderId="0" xfId="0" applyFont="1" applyAlignment="1" applyProtection="1">
      <alignment horizontal="center"/>
      <protection hidden="1"/>
    </xf>
    <xf numFmtId="3" fontId="55" fillId="0" borderId="0" xfId="0" applyNumberFormat="1" applyFont="1" applyProtection="1">
      <protection hidden="1"/>
    </xf>
    <xf numFmtId="0" fontId="62" fillId="0" borderId="0" xfId="0" applyFont="1" applyProtection="1">
      <protection hidden="1"/>
    </xf>
    <xf numFmtId="49" fontId="55" fillId="0" borderId="0" xfId="0" applyNumberFormat="1" applyFont="1" applyAlignment="1" applyProtection="1">
      <alignment horizontal="center"/>
      <protection hidden="1"/>
    </xf>
    <xf numFmtId="0" fontId="55" fillId="0" borderId="0" xfId="0" applyFont="1" applyAlignment="1" applyProtection="1">
      <alignment horizontal="center"/>
      <protection hidden="1"/>
    </xf>
    <xf numFmtId="0" fontId="55" fillId="0" borderId="24" xfId="0" applyFont="1" applyBorder="1" applyProtection="1">
      <protection hidden="1"/>
    </xf>
    <xf numFmtId="10" fontId="55" fillId="0" borderId="20" xfId="0" applyNumberFormat="1" applyFont="1" applyBorder="1" applyAlignment="1" applyProtection="1">
      <alignment horizontal="center"/>
      <protection hidden="1"/>
    </xf>
    <xf numFmtId="0" fontId="55" fillId="0" borderId="13" xfId="0" applyFont="1" applyBorder="1" applyProtection="1">
      <protection hidden="1"/>
    </xf>
    <xf numFmtId="10" fontId="55" fillId="0" borderId="1" xfId="0" applyNumberFormat="1" applyFont="1" applyBorder="1" applyAlignment="1" applyProtection="1">
      <alignment horizontal="center"/>
      <protection hidden="1"/>
    </xf>
    <xf numFmtId="174" fontId="55" fillId="0" borderId="0" xfId="0" applyNumberFormat="1" applyFont="1" applyProtection="1">
      <protection hidden="1"/>
    </xf>
    <xf numFmtId="0" fontId="55" fillId="0" borderId="14" xfId="0" applyFont="1" applyBorder="1" applyProtection="1">
      <protection hidden="1"/>
    </xf>
    <xf numFmtId="10" fontId="55" fillId="0" borderId="25" xfId="0" applyNumberFormat="1" applyFont="1" applyBorder="1" applyAlignment="1" applyProtection="1">
      <alignment horizontal="center"/>
      <protection hidden="1"/>
    </xf>
    <xf numFmtId="164" fontId="55" fillId="0" borderId="0" xfId="0" applyNumberFormat="1" applyFont="1" applyProtection="1">
      <protection hidden="1"/>
    </xf>
    <xf numFmtId="172" fontId="55" fillId="0" borderId="0" xfId="0" applyNumberFormat="1" applyFont="1" applyProtection="1">
      <protection hidden="1"/>
    </xf>
    <xf numFmtId="0" fontId="59" fillId="0" borderId="0" xfId="0" applyFont="1" applyProtection="1">
      <protection hidden="1"/>
    </xf>
    <xf numFmtId="10" fontId="59" fillId="0" borderId="0" xfId="0" applyNumberFormat="1" applyFont="1" applyProtection="1">
      <protection hidden="1"/>
    </xf>
    <xf numFmtId="0" fontId="57" fillId="0" borderId="0" xfId="0" applyFont="1" applyProtection="1">
      <protection hidden="1"/>
    </xf>
    <xf numFmtId="164" fontId="62" fillId="0" borderId="0" xfId="0" applyNumberFormat="1" applyFont="1" applyProtection="1">
      <protection hidden="1"/>
    </xf>
    <xf numFmtId="176" fontId="55" fillId="0" borderId="0" xfId="1" applyNumberFormat="1" applyFont="1" applyProtection="1">
      <protection hidden="1"/>
    </xf>
    <xf numFmtId="170" fontId="55" fillId="0" borderId="0" xfId="5" applyNumberFormat="1" applyFont="1" applyProtection="1">
      <protection hidden="1"/>
    </xf>
    <xf numFmtId="3" fontId="63" fillId="12" borderId="26" xfId="0" applyNumberFormat="1" applyFont="1" applyFill="1" applyBorder="1" applyAlignment="1" applyProtection="1">
      <alignment horizontal="center"/>
      <protection hidden="1"/>
    </xf>
    <xf numFmtId="3" fontId="63" fillId="12" borderId="1" xfId="0" applyNumberFormat="1" applyFont="1" applyFill="1" applyBorder="1" applyAlignment="1" applyProtection="1">
      <alignment horizontal="center"/>
      <protection hidden="1"/>
    </xf>
    <xf numFmtId="3" fontId="63" fillId="0" borderId="26" xfId="0" applyNumberFormat="1" applyFont="1" applyBorder="1" applyProtection="1">
      <protection hidden="1"/>
    </xf>
    <xf numFmtId="3" fontId="63" fillId="0" borderId="1" xfId="0" applyNumberFormat="1" applyFont="1" applyBorder="1" applyProtection="1">
      <protection hidden="1"/>
    </xf>
    <xf numFmtId="0" fontId="63" fillId="0" borderId="3" xfId="0" quotePrefix="1" applyFont="1" applyBorder="1" applyAlignment="1" applyProtection="1">
      <alignment horizontal="center"/>
      <protection hidden="1"/>
    </xf>
    <xf numFmtId="3" fontId="63" fillId="13" borderId="26" xfId="0" applyNumberFormat="1" applyFont="1" applyFill="1" applyBorder="1" applyProtection="1">
      <protection hidden="1"/>
    </xf>
    <xf numFmtId="3" fontId="63" fillId="13" borderId="1" xfId="0" applyNumberFormat="1" applyFont="1" applyFill="1" applyBorder="1" applyProtection="1">
      <protection hidden="1"/>
    </xf>
    <xf numFmtId="0" fontId="63" fillId="13" borderId="3" xfId="0" quotePrefix="1" applyFont="1" applyFill="1" applyBorder="1" applyAlignment="1" applyProtection="1">
      <alignment horizontal="center"/>
      <protection hidden="1"/>
    </xf>
    <xf numFmtId="0" fontId="63" fillId="0" borderId="27" xfId="0" quotePrefix="1" applyFont="1" applyBorder="1" applyAlignment="1" applyProtection="1">
      <alignment horizontal="center"/>
      <protection hidden="1"/>
    </xf>
    <xf numFmtId="3" fontId="63" fillId="13" borderId="28" xfId="0" applyNumberFormat="1" applyFont="1" applyFill="1" applyBorder="1" applyProtection="1">
      <protection hidden="1"/>
    </xf>
    <xf numFmtId="3" fontId="63" fillId="13" borderId="22" xfId="0" applyNumberFormat="1" applyFont="1" applyFill="1" applyBorder="1" applyProtection="1">
      <protection hidden="1"/>
    </xf>
    <xf numFmtId="0" fontId="63" fillId="13" borderId="29" xfId="0" quotePrefix="1" applyFont="1" applyFill="1" applyBorder="1" applyAlignment="1" applyProtection="1">
      <alignment horizontal="center"/>
      <protection hidden="1"/>
    </xf>
    <xf numFmtId="0" fontId="93" fillId="14" borderId="30" xfId="0" applyFont="1" applyFill="1" applyBorder="1" applyAlignment="1" applyProtection="1">
      <alignment horizontal="left"/>
      <protection hidden="1"/>
    </xf>
    <xf numFmtId="0" fontId="93" fillId="14" borderId="12" xfId="0" applyFont="1" applyFill="1" applyBorder="1" applyAlignment="1" applyProtection="1">
      <alignment horizontal="left"/>
      <protection hidden="1"/>
    </xf>
    <xf numFmtId="0" fontId="93" fillId="14" borderId="31" xfId="0" applyFont="1" applyFill="1" applyBorder="1" applyAlignment="1" applyProtection="1">
      <alignment horizontal="left"/>
      <protection hidden="1"/>
    </xf>
    <xf numFmtId="9" fontId="93" fillId="14" borderId="32" xfId="5" applyFont="1" applyFill="1" applyBorder="1" applyAlignment="1" applyProtection="1">
      <alignment horizontal="left"/>
      <protection hidden="1"/>
    </xf>
    <xf numFmtId="9" fontId="93" fillId="14" borderId="1" xfId="5" applyFont="1" applyFill="1" applyBorder="1" applyAlignment="1" applyProtection="1">
      <alignment horizontal="left"/>
      <protection hidden="1"/>
    </xf>
    <xf numFmtId="9" fontId="93" fillId="14" borderId="22" xfId="5" applyFont="1" applyFill="1" applyBorder="1" applyAlignment="1" applyProtection="1">
      <alignment horizontal="left"/>
      <protection hidden="1"/>
    </xf>
    <xf numFmtId="0" fontId="61" fillId="0" borderId="12" xfId="0" applyFont="1" applyBorder="1" applyAlignment="1" applyProtection="1">
      <alignment horizontal="center" vertical="top" wrapText="1"/>
      <protection hidden="1"/>
    </xf>
    <xf numFmtId="0" fontId="61" fillId="0" borderId="31" xfId="0" applyFont="1" applyBorder="1" applyAlignment="1" applyProtection="1">
      <alignment horizontal="center" vertical="top" wrapText="1"/>
      <protection hidden="1"/>
    </xf>
    <xf numFmtId="0" fontId="61" fillId="13" borderId="12" xfId="0" applyFont="1" applyFill="1" applyBorder="1" applyAlignment="1" applyProtection="1">
      <alignment horizontal="center" vertical="top" wrapText="1"/>
      <protection hidden="1"/>
    </xf>
    <xf numFmtId="0" fontId="93" fillId="11" borderId="23" xfId="0" applyFont="1" applyFill="1" applyBorder="1" applyAlignment="1" applyProtection="1">
      <alignment horizontal="center" vertical="center" wrapText="1"/>
      <protection hidden="1"/>
    </xf>
    <xf numFmtId="0" fontId="93" fillId="11" borderId="27" xfId="0" applyFont="1" applyFill="1" applyBorder="1" applyAlignment="1" applyProtection="1">
      <alignment horizontal="center" vertical="center" wrapText="1"/>
      <protection hidden="1"/>
    </xf>
    <xf numFmtId="0" fontId="61" fillId="13" borderId="12" xfId="0" applyFont="1" applyFill="1" applyBorder="1" applyAlignment="1" applyProtection="1">
      <alignment horizontal="center" vertical="center" wrapText="1"/>
      <protection hidden="1"/>
    </xf>
    <xf numFmtId="0" fontId="59" fillId="11" borderId="33" xfId="0" applyFont="1" applyFill="1" applyBorder="1" applyAlignment="1" applyProtection="1">
      <alignment horizontal="center"/>
      <protection hidden="1"/>
    </xf>
    <xf numFmtId="0" fontId="93" fillId="11" borderId="33" xfId="0" applyFont="1" applyFill="1" applyBorder="1" applyAlignment="1" applyProtection="1">
      <alignment horizontal="center"/>
      <protection hidden="1"/>
    </xf>
    <xf numFmtId="0" fontId="93" fillId="11" borderId="30" xfId="0" applyFont="1" applyFill="1" applyBorder="1" applyAlignment="1" applyProtection="1">
      <alignment horizontal="center"/>
      <protection hidden="1"/>
    </xf>
    <xf numFmtId="0" fontId="93" fillId="11" borderId="32" xfId="0" applyFont="1" applyFill="1" applyBorder="1" applyAlignment="1" applyProtection="1">
      <alignment horizontal="center"/>
      <protection hidden="1"/>
    </xf>
    <xf numFmtId="3" fontId="59" fillId="0" borderId="0" xfId="0" applyNumberFormat="1" applyFont="1" applyAlignment="1" applyProtection="1">
      <alignment horizontal="center"/>
      <protection hidden="1"/>
    </xf>
    <xf numFmtId="0" fontId="59" fillId="11" borderId="0" xfId="0" applyFont="1" applyFill="1" applyAlignment="1" applyProtection="1">
      <alignment horizontal="center"/>
      <protection hidden="1"/>
    </xf>
    <xf numFmtId="2" fontId="59" fillId="0" borderId="0" xfId="0" applyNumberFormat="1" applyFont="1" applyAlignment="1" applyProtection="1">
      <alignment horizontal="center"/>
      <protection hidden="1"/>
    </xf>
    <xf numFmtId="0" fontId="56" fillId="0" borderId="0" xfId="0" applyFont="1" applyAlignment="1" applyProtection="1">
      <alignment horizontal="center"/>
      <protection hidden="1"/>
    </xf>
    <xf numFmtId="165" fontId="59" fillId="4" borderId="0" xfId="0" applyNumberFormat="1" applyFont="1" applyFill="1" applyAlignment="1" applyProtection="1">
      <alignment horizontal="center"/>
      <protection hidden="1"/>
    </xf>
    <xf numFmtId="3" fontId="57" fillId="0" borderId="0" xfId="0" applyNumberFormat="1" applyFont="1" applyProtection="1">
      <protection hidden="1"/>
    </xf>
    <xf numFmtId="3" fontId="93" fillId="11" borderId="23" xfId="0" applyNumberFormat="1" applyFont="1" applyFill="1" applyBorder="1" applyAlignment="1" applyProtection="1">
      <alignment horizontal="center"/>
      <protection hidden="1"/>
    </xf>
    <xf numFmtId="172" fontId="56" fillId="0" borderId="0" xfId="0" applyNumberFormat="1" applyFont="1" applyAlignment="1" applyProtection="1">
      <alignment horizontal="center"/>
      <protection hidden="1"/>
    </xf>
    <xf numFmtId="0" fontId="93" fillId="11" borderId="33" xfId="0" applyFont="1" applyFill="1" applyBorder="1" applyProtection="1">
      <protection hidden="1"/>
    </xf>
    <xf numFmtId="0" fontId="93" fillId="11" borderId="34" xfId="0" applyFont="1" applyFill="1" applyBorder="1" applyProtection="1">
      <protection hidden="1"/>
    </xf>
    <xf numFmtId="0" fontId="93" fillId="11" borderId="21" xfId="0" applyFont="1" applyFill="1" applyBorder="1" applyProtection="1">
      <protection hidden="1"/>
    </xf>
    <xf numFmtId="0" fontId="59" fillId="11" borderId="30" xfId="0" applyFont="1" applyFill="1" applyBorder="1" applyAlignment="1" applyProtection="1">
      <alignment horizontal="center"/>
      <protection hidden="1"/>
    </xf>
    <xf numFmtId="166" fontId="61" fillId="0" borderId="32" xfId="0" applyNumberFormat="1" applyFont="1" applyBorder="1" applyAlignment="1" applyProtection="1">
      <alignment horizontal="center"/>
      <protection hidden="1"/>
    </xf>
    <xf numFmtId="166" fontId="61" fillId="0" borderId="22" xfId="0" applyNumberFormat="1" applyFont="1" applyBorder="1" applyAlignment="1" applyProtection="1">
      <alignment horizontal="center"/>
      <protection hidden="1"/>
    </xf>
    <xf numFmtId="3" fontId="93" fillId="0" borderId="0" xfId="0" applyNumberFormat="1" applyFont="1" applyAlignment="1" applyProtection="1">
      <alignment horizontal="center"/>
      <protection hidden="1"/>
    </xf>
    <xf numFmtId="168" fontId="61" fillId="0" borderId="0" xfId="0" applyNumberFormat="1" applyFont="1" applyProtection="1">
      <protection hidden="1"/>
    </xf>
    <xf numFmtId="166" fontId="94" fillId="13" borderId="35" xfId="0" applyNumberFormat="1" applyFont="1" applyFill="1" applyBorder="1" applyProtection="1">
      <protection hidden="1"/>
    </xf>
    <xf numFmtId="168" fontId="61" fillId="0" borderId="35" xfId="0" applyNumberFormat="1" applyFont="1" applyBorder="1" applyProtection="1">
      <protection hidden="1"/>
    </xf>
    <xf numFmtId="0" fontId="93" fillId="11" borderId="27" xfId="0" applyFont="1" applyFill="1" applyBorder="1" applyAlignment="1" applyProtection="1">
      <alignment horizontal="center" vertical="center"/>
      <protection hidden="1"/>
    </xf>
    <xf numFmtId="0" fontId="63" fillId="0" borderId="3" xfId="0" applyFont="1" applyBorder="1" applyProtection="1">
      <protection hidden="1"/>
    </xf>
    <xf numFmtId="0" fontId="63" fillId="0" borderId="3" xfId="0" applyFont="1" applyBorder="1" applyAlignment="1" applyProtection="1">
      <alignment horizontal="center"/>
      <protection hidden="1"/>
    </xf>
    <xf numFmtId="0" fontId="63" fillId="0" borderId="29" xfId="0" applyFont="1" applyBorder="1" applyProtection="1">
      <protection hidden="1"/>
    </xf>
    <xf numFmtId="0" fontId="63" fillId="0" borderId="0" xfId="0" applyFont="1" applyProtection="1">
      <protection hidden="1"/>
    </xf>
    <xf numFmtId="0" fontId="63" fillId="0" borderId="12" xfId="0" applyFont="1" applyBorder="1" applyProtection="1">
      <protection hidden="1"/>
    </xf>
    <xf numFmtId="167" fontId="61" fillId="13" borderId="35" xfId="0" applyNumberFormat="1" applyFont="1" applyFill="1" applyBorder="1" applyAlignment="1" applyProtection="1">
      <alignment horizontal="center"/>
      <protection hidden="1"/>
    </xf>
    <xf numFmtId="165" fontId="63" fillId="0" borderId="35" xfId="0" applyNumberFormat="1" applyFont="1" applyBorder="1" applyAlignment="1" applyProtection="1">
      <alignment horizontal="center"/>
      <protection hidden="1"/>
    </xf>
    <xf numFmtId="167" fontId="61" fillId="13" borderId="22" xfId="0" applyNumberFormat="1" applyFont="1" applyFill="1" applyBorder="1" applyAlignment="1" applyProtection="1">
      <alignment horizontal="center"/>
      <protection hidden="1"/>
    </xf>
    <xf numFmtId="175" fontId="61" fillId="13" borderId="35" xfId="0" applyNumberFormat="1" applyFont="1" applyFill="1" applyBorder="1" applyAlignment="1" applyProtection="1">
      <alignment horizontal="center"/>
      <protection hidden="1"/>
    </xf>
    <xf numFmtId="0" fontId="61" fillId="13" borderId="0" xfId="0" applyFont="1" applyFill="1" applyProtection="1">
      <protection hidden="1"/>
    </xf>
    <xf numFmtId="166" fontId="61" fillId="13" borderId="32" xfId="0" applyNumberFormat="1" applyFont="1" applyFill="1" applyBorder="1" applyAlignment="1" applyProtection="1">
      <alignment horizontal="center"/>
      <protection hidden="1"/>
    </xf>
    <xf numFmtId="166" fontId="63" fillId="0" borderId="35" xfId="0" applyNumberFormat="1" applyFont="1" applyBorder="1" applyAlignment="1" applyProtection="1">
      <alignment horizontal="center"/>
      <protection hidden="1"/>
    </xf>
    <xf numFmtId="0" fontId="63" fillId="15" borderId="30" xfId="0" applyFont="1" applyFill="1" applyBorder="1" applyAlignment="1" applyProtection="1">
      <alignment horizontal="center"/>
      <protection hidden="1"/>
    </xf>
    <xf numFmtId="164" fontId="63" fillId="15" borderId="32" xfId="0" applyNumberFormat="1" applyFont="1" applyFill="1" applyBorder="1" applyAlignment="1" applyProtection="1">
      <alignment horizontal="center"/>
      <protection hidden="1"/>
    </xf>
    <xf numFmtId="0" fontId="63" fillId="15" borderId="12" xfId="0" applyFont="1" applyFill="1" applyBorder="1" applyAlignment="1" applyProtection="1">
      <alignment horizontal="center"/>
      <protection hidden="1"/>
    </xf>
    <xf numFmtId="164" fontId="63" fillId="15" borderId="1" xfId="0" applyNumberFormat="1" applyFont="1" applyFill="1" applyBorder="1" applyAlignment="1" applyProtection="1">
      <alignment horizontal="center"/>
      <protection hidden="1"/>
    </xf>
    <xf numFmtId="0" fontId="63" fillId="15" borderId="31" xfId="0" applyFont="1" applyFill="1" applyBorder="1" applyAlignment="1" applyProtection="1">
      <alignment horizontal="center"/>
      <protection hidden="1"/>
    </xf>
    <xf numFmtId="164" fontId="63" fillId="15" borderId="22" xfId="0" applyNumberFormat="1" applyFont="1" applyFill="1" applyBorder="1" applyAlignment="1" applyProtection="1">
      <alignment horizontal="center"/>
      <protection hidden="1"/>
    </xf>
    <xf numFmtId="0" fontId="63" fillId="13" borderId="3" xfId="0" applyFont="1" applyFill="1" applyBorder="1" applyProtection="1">
      <protection hidden="1"/>
    </xf>
    <xf numFmtId="0" fontId="63" fillId="13" borderId="3" xfId="0" applyFont="1" applyFill="1" applyBorder="1" applyAlignment="1" applyProtection="1">
      <alignment horizontal="center"/>
      <protection hidden="1"/>
    </xf>
    <xf numFmtId="0" fontId="93" fillId="11" borderId="6" xfId="0" applyFont="1" applyFill="1" applyBorder="1" applyAlignment="1" applyProtection="1">
      <alignment horizontal="center" vertical="center" wrapText="1"/>
      <protection hidden="1"/>
    </xf>
    <xf numFmtId="0" fontId="93" fillId="11" borderId="0" xfId="0" applyFont="1" applyFill="1" applyAlignment="1" applyProtection="1">
      <alignment horizontal="center"/>
      <protection hidden="1"/>
    </xf>
    <xf numFmtId="0" fontId="95" fillId="11" borderId="0" xfId="0" applyFont="1" applyFill="1" applyAlignment="1" applyProtection="1">
      <alignment horizontal="center"/>
      <protection hidden="1"/>
    </xf>
    <xf numFmtId="2" fontId="61" fillId="13" borderId="0" xfId="0" applyNumberFormat="1" applyFont="1" applyFill="1" applyAlignment="1" applyProtection="1">
      <alignment horizontal="center"/>
      <protection hidden="1"/>
    </xf>
    <xf numFmtId="0" fontId="61" fillId="0" borderId="36" xfId="0" applyFont="1" applyBorder="1" applyAlignment="1" applyProtection="1">
      <alignment horizontal="center"/>
      <protection hidden="1"/>
    </xf>
    <xf numFmtId="9" fontId="61" fillId="0" borderId="36" xfId="0" applyNumberFormat="1" applyFont="1" applyBorder="1" applyAlignment="1" applyProtection="1">
      <alignment horizontal="center"/>
      <protection hidden="1"/>
    </xf>
    <xf numFmtId="166" fontId="61" fillId="0" borderId="37" xfId="0" applyNumberFormat="1" applyFont="1" applyBorder="1" applyAlignment="1" applyProtection="1">
      <alignment horizontal="center"/>
      <protection hidden="1"/>
    </xf>
    <xf numFmtId="9" fontId="61" fillId="0" borderId="2" xfId="0" applyNumberFormat="1" applyFont="1" applyBorder="1" applyAlignment="1" applyProtection="1">
      <alignment horizontal="center"/>
      <protection hidden="1"/>
    </xf>
    <xf numFmtId="9" fontId="61" fillId="0" borderId="38" xfId="0" applyNumberFormat="1" applyFont="1" applyBorder="1" applyAlignment="1" applyProtection="1">
      <alignment horizontal="center"/>
      <protection hidden="1"/>
    </xf>
    <xf numFmtId="166" fontId="61" fillId="0" borderId="39" xfId="0" applyNumberFormat="1" applyFont="1" applyBorder="1" applyAlignment="1" applyProtection="1">
      <alignment horizontal="center"/>
      <protection hidden="1"/>
    </xf>
    <xf numFmtId="0" fontId="61" fillId="0" borderId="27" xfId="0" applyFont="1" applyBorder="1" applyAlignment="1" applyProtection="1">
      <alignment horizontal="center"/>
      <protection hidden="1"/>
    </xf>
    <xf numFmtId="4" fontId="61" fillId="0" borderId="27" xfId="0" applyNumberFormat="1" applyFont="1" applyBorder="1" applyAlignment="1" applyProtection="1">
      <alignment horizontal="center"/>
      <protection hidden="1"/>
    </xf>
    <xf numFmtId="0" fontId="61" fillId="0" borderId="3" xfId="0" applyFont="1" applyBorder="1" applyAlignment="1" applyProtection="1">
      <alignment horizontal="center"/>
      <protection hidden="1"/>
    </xf>
    <xf numFmtId="4" fontId="61" fillId="0" borderId="3" xfId="0" applyNumberFormat="1" applyFont="1" applyBorder="1" applyAlignment="1" applyProtection="1">
      <alignment horizontal="center"/>
      <protection hidden="1"/>
    </xf>
    <xf numFmtId="0" fontId="61" fillId="0" borderId="29" xfId="0" applyFont="1" applyBorder="1" applyAlignment="1" applyProtection="1">
      <alignment horizontal="center"/>
      <protection hidden="1"/>
    </xf>
    <xf numFmtId="4" fontId="61" fillId="0" borderId="29" xfId="0" applyNumberFormat="1" applyFont="1" applyBorder="1" applyAlignment="1" applyProtection="1">
      <alignment horizontal="center"/>
      <protection hidden="1"/>
    </xf>
    <xf numFmtId="3" fontId="61" fillId="0" borderId="3" xfId="0" applyNumberFormat="1" applyFont="1" applyBorder="1" applyAlignment="1" applyProtection="1">
      <alignment horizontal="center"/>
      <protection hidden="1"/>
    </xf>
    <xf numFmtId="164" fontId="61" fillId="0" borderId="1" xfId="0" applyNumberFormat="1" applyFont="1" applyBorder="1" applyAlignment="1" applyProtection="1">
      <alignment horizontal="center"/>
      <protection hidden="1"/>
    </xf>
    <xf numFmtId="4" fontId="63" fillId="0" borderId="0" xfId="0" applyNumberFormat="1" applyFont="1" applyProtection="1">
      <protection hidden="1"/>
    </xf>
    <xf numFmtId="3" fontId="61" fillId="0" borderId="29" xfId="0" applyNumberFormat="1" applyFont="1" applyBorder="1" applyAlignment="1" applyProtection="1">
      <alignment horizontal="center"/>
      <protection hidden="1"/>
    </xf>
    <xf numFmtId="3" fontId="63" fillId="0" borderId="0" xfId="0" applyNumberFormat="1" applyFont="1" applyProtection="1">
      <protection hidden="1"/>
    </xf>
    <xf numFmtId="176" fontId="61" fillId="0" borderId="36" xfId="1" applyNumberFormat="1" applyFont="1" applyFill="1" applyBorder="1" applyAlignment="1" applyProtection="1">
      <alignment horizontal="center"/>
      <protection hidden="1"/>
    </xf>
    <xf numFmtId="166" fontId="61" fillId="0" borderId="1" xfId="0" applyNumberFormat="1" applyFont="1" applyBorder="1" applyAlignment="1" applyProtection="1">
      <alignment horizontal="center"/>
      <protection hidden="1"/>
    </xf>
    <xf numFmtId="164" fontId="61" fillId="0" borderId="22" xfId="0" applyNumberFormat="1" applyFont="1" applyBorder="1" applyAlignment="1" applyProtection="1">
      <alignment horizontal="center"/>
      <protection hidden="1"/>
    </xf>
    <xf numFmtId="164" fontId="61" fillId="0" borderId="0" xfId="0" applyNumberFormat="1" applyFont="1" applyAlignment="1" applyProtection="1">
      <alignment horizontal="center"/>
      <protection hidden="1"/>
    </xf>
    <xf numFmtId="0" fontId="93" fillId="11" borderId="40" xfId="0" applyFont="1" applyFill="1" applyBorder="1" applyAlignment="1" applyProtection="1">
      <alignment horizontal="center" vertical="center"/>
      <protection hidden="1"/>
    </xf>
    <xf numFmtId="0" fontId="61" fillId="0" borderId="30" xfId="0" applyFont="1" applyBorder="1" applyProtection="1">
      <protection hidden="1"/>
    </xf>
    <xf numFmtId="167" fontId="61" fillId="0" borderId="32" xfId="0" applyNumberFormat="1" applyFont="1" applyBorder="1" applyProtection="1">
      <protection hidden="1"/>
    </xf>
    <xf numFmtId="0" fontId="61" fillId="0" borderId="12" xfId="0" applyFont="1" applyBorder="1" applyProtection="1">
      <protection hidden="1"/>
    </xf>
    <xf numFmtId="167" fontId="61" fillId="0" borderId="1" xfId="0" applyNumberFormat="1" applyFont="1" applyBorder="1" applyProtection="1">
      <protection hidden="1"/>
    </xf>
    <xf numFmtId="0" fontId="61" fillId="0" borderId="31" xfId="0" applyFont="1" applyBorder="1" applyProtection="1">
      <protection hidden="1"/>
    </xf>
    <xf numFmtId="167" fontId="61" fillId="0" borderId="22" xfId="0" applyNumberFormat="1" applyFont="1" applyBorder="1" applyProtection="1">
      <protection hidden="1"/>
    </xf>
    <xf numFmtId="0" fontId="93" fillId="11" borderId="41" xfId="0" applyFont="1" applyFill="1" applyBorder="1" applyAlignment="1" applyProtection="1">
      <alignment horizontal="center" vertical="center" wrapText="1"/>
      <protection hidden="1"/>
    </xf>
    <xf numFmtId="0" fontId="61" fillId="0" borderId="4" xfId="0" applyFont="1" applyBorder="1" applyAlignment="1" applyProtection="1">
      <alignment horizontal="center"/>
      <protection hidden="1"/>
    </xf>
    <xf numFmtId="9" fontId="61" fillId="0" borderId="4" xfId="0" applyNumberFormat="1" applyFont="1" applyBorder="1" applyAlignment="1" applyProtection="1">
      <alignment horizontal="center"/>
      <protection hidden="1"/>
    </xf>
    <xf numFmtId="166" fontId="61" fillId="0" borderId="5" xfId="0" applyNumberFormat="1" applyFont="1" applyBorder="1" applyAlignment="1" applyProtection="1">
      <alignment horizontal="center"/>
      <protection hidden="1"/>
    </xf>
    <xf numFmtId="0" fontId="61" fillId="0" borderId="38" xfId="0" applyFont="1" applyBorder="1" applyAlignment="1" applyProtection="1">
      <alignment horizontal="center"/>
      <protection hidden="1"/>
    </xf>
    <xf numFmtId="0" fontId="93" fillId="11" borderId="42" xfId="0" applyFont="1" applyFill="1" applyBorder="1" applyAlignment="1" applyProtection="1">
      <alignment horizontal="center" vertical="center"/>
      <protection hidden="1"/>
    </xf>
    <xf numFmtId="0" fontId="93" fillId="11" borderId="43" xfId="0" applyFont="1" applyFill="1" applyBorder="1" applyAlignment="1" applyProtection="1">
      <alignment horizontal="center" vertical="center"/>
      <protection hidden="1"/>
    </xf>
    <xf numFmtId="0" fontId="93" fillId="11" borderId="23" xfId="0" applyFont="1" applyFill="1" applyBorder="1" applyAlignment="1" applyProtection="1">
      <alignment horizontal="center"/>
      <protection hidden="1"/>
    </xf>
    <xf numFmtId="171" fontId="61" fillId="13" borderId="0" xfId="0" applyNumberFormat="1" applyFont="1" applyFill="1" applyAlignment="1" applyProtection="1">
      <alignment horizontal="center"/>
      <protection hidden="1"/>
    </xf>
    <xf numFmtId="0" fontId="93" fillId="11" borderId="35" xfId="0" applyFont="1" applyFill="1" applyBorder="1" applyAlignment="1" applyProtection="1">
      <alignment horizontal="center" vertical="center"/>
      <protection hidden="1"/>
    </xf>
    <xf numFmtId="3" fontId="61" fillId="0" borderId="27" xfId="0" applyNumberFormat="1" applyFont="1" applyBorder="1" applyAlignment="1" applyProtection="1">
      <alignment horizontal="center"/>
      <protection hidden="1"/>
    </xf>
    <xf numFmtId="164" fontId="61" fillId="0" borderId="32" xfId="0" applyNumberFormat="1" applyFont="1" applyBorder="1" applyAlignment="1" applyProtection="1">
      <alignment horizontal="center"/>
      <protection hidden="1"/>
    </xf>
    <xf numFmtId="9" fontId="55" fillId="0" borderId="4" xfId="0" applyNumberFormat="1" applyFont="1" applyBorder="1" applyProtection="1">
      <protection hidden="1"/>
    </xf>
    <xf numFmtId="176" fontId="55" fillId="0" borderId="5" xfId="1" applyNumberFormat="1" applyFont="1" applyBorder="1" applyProtection="1">
      <protection hidden="1"/>
    </xf>
    <xf numFmtId="9" fontId="55" fillId="0" borderId="36" xfId="0" applyNumberFormat="1" applyFont="1" applyBorder="1" applyProtection="1">
      <protection hidden="1"/>
    </xf>
    <xf numFmtId="176" fontId="55" fillId="0" borderId="37" xfId="1" applyNumberFormat="1" applyFont="1" applyBorder="1" applyProtection="1">
      <protection hidden="1"/>
    </xf>
    <xf numFmtId="9" fontId="55" fillId="0" borderId="38" xfId="0" applyNumberFormat="1" applyFont="1" applyBorder="1" applyProtection="1">
      <protection hidden="1"/>
    </xf>
    <xf numFmtId="176" fontId="55" fillId="0" borderId="39" xfId="1" applyNumberFormat="1" applyFont="1" applyBorder="1" applyProtection="1">
      <protection hidden="1"/>
    </xf>
    <xf numFmtId="0" fontId="93" fillId="11" borderId="41" xfId="0" applyFont="1" applyFill="1" applyBorder="1" applyAlignment="1" applyProtection="1">
      <alignment horizontal="center" vertical="center"/>
      <protection hidden="1"/>
    </xf>
    <xf numFmtId="176" fontId="61" fillId="0" borderId="4" xfId="1" applyNumberFormat="1" applyFont="1" applyFill="1" applyBorder="1" applyAlignment="1" applyProtection="1">
      <alignment horizontal="center"/>
      <protection hidden="1"/>
    </xf>
    <xf numFmtId="176" fontId="61" fillId="0" borderId="38" xfId="1" applyNumberFormat="1" applyFont="1" applyFill="1" applyBorder="1" applyAlignment="1" applyProtection="1">
      <alignment horizontal="center"/>
      <protection hidden="1"/>
    </xf>
    <xf numFmtId="176" fontId="55" fillId="0" borderId="12" xfId="0" applyNumberFormat="1" applyFont="1" applyBorder="1" applyProtection="1">
      <protection hidden="1"/>
    </xf>
    <xf numFmtId="176" fontId="55" fillId="0" borderId="0" xfId="1" applyNumberFormat="1" applyFont="1" applyBorder="1" applyProtection="1">
      <protection hidden="1"/>
    </xf>
    <xf numFmtId="176" fontId="55" fillId="0" borderId="1" xfId="1" applyNumberFormat="1" applyFont="1" applyBorder="1" applyProtection="1">
      <protection hidden="1"/>
    </xf>
    <xf numFmtId="176" fontId="55" fillId="0" borderId="0" xfId="0" applyNumberFormat="1" applyFont="1" applyProtection="1">
      <protection hidden="1"/>
    </xf>
    <xf numFmtId="176" fontId="55" fillId="0" borderId="31" xfId="0" applyNumberFormat="1" applyFont="1" applyBorder="1" applyProtection="1">
      <protection hidden="1"/>
    </xf>
    <xf numFmtId="176" fontId="55" fillId="0" borderId="21" xfId="0" applyNumberFormat="1" applyFont="1" applyBorder="1" applyProtection="1">
      <protection hidden="1"/>
    </xf>
    <xf numFmtId="176" fontId="55" fillId="0" borderId="22" xfId="1" applyNumberFormat="1" applyFont="1" applyBorder="1" applyProtection="1">
      <protection hidden="1"/>
    </xf>
    <xf numFmtId="0" fontId="55" fillId="0" borderId="30" xfId="0" applyFont="1" applyBorder="1" applyAlignment="1" applyProtection="1">
      <alignment horizontal="center"/>
      <protection hidden="1"/>
    </xf>
    <xf numFmtId="176" fontId="55" fillId="0" borderId="44" xfId="1" applyNumberFormat="1" applyFont="1" applyBorder="1" applyAlignment="1" applyProtection="1">
      <alignment horizontal="center"/>
      <protection hidden="1"/>
    </xf>
    <xf numFmtId="171" fontId="55" fillId="0" borderId="32" xfId="0" applyNumberFormat="1" applyFont="1" applyBorder="1" applyAlignment="1" applyProtection="1">
      <alignment horizontal="center"/>
      <protection hidden="1"/>
    </xf>
    <xf numFmtId="0" fontId="55" fillId="0" borderId="0" xfId="0" quotePrefix="1" applyFont="1" applyAlignment="1" applyProtection="1">
      <alignment horizontal="center"/>
      <protection hidden="1"/>
    </xf>
    <xf numFmtId="16" fontId="55" fillId="0" borderId="0" xfId="0" quotePrefix="1" applyNumberFormat="1" applyFont="1" applyAlignment="1" applyProtection="1">
      <alignment horizontal="center"/>
      <protection hidden="1"/>
    </xf>
    <xf numFmtId="17" fontId="55" fillId="0" borderId="0" xfId="0" quotePrefix="1" applyNumberFormat="1" applyFont="1" applyAlignment="1" applyProtection="1">
      <alignment horizontal="center"/>
      <protection hidden="1"/>
    </xf>
    <xf numFmtId="178" fontId="61" fillId="0" borderId="4" xfId="1" applyNumberFormat="1" applyFont="1" applyFill="1" applyBorder="1" applyAlignment="1" applyProtection="1">
      <alignment horizontal="center"/>
      <protection hidden="1"/>
    </xf>
    <xf numFmtId="178" fontId="61" fillId="0" borderId="36" xfId="1" applyNumberFormat="1" applyFont="1" applyFill="1" applyBorder="1" applyAlignment="1" applyProtection="1">
      <alignment horizontal="center"/>
      <protection hidden="1"/>
    </xf>
    <xf numFmtId="178" fontId="61" fillId="0" borderId="38" xfId="1" applyNumberFormat="1" applyFont="1" applyFill="1" applyBorder="1" applyAlignment="1" applyProtection="1">
      <alignment horizontal="center"/>
      <protection hidden="1"/>
    </xf>
    <xf numFmtId="3" fontId="94" fillId="0" borderId="0" xfId="0" applyNumberFormat="1" applyFont="1" applyProtection="1">
      <protection hidden="1"/>
    </xf>
    <xf numFmtId="164" fontId="94" fillId="0" borderId="0" xfId="0" applyNumberFormat="1" applyFont="1" applyProtection="1">
      <protection hidden="1"/>
    </xf>
    <xf numFmtId="9" fontId="93" fillId="11" borderId="2" xfId="0" applyNumberFormat="1" applyFont="1" applyFill="1" applyBorder="1" applyAlignment="1" applyProtection="1">
      <alignment horizontal="center" vertical="center"/>
      <protection hidden="1"/>
    </xf>
    <xf numFmtId="9" fontId="93" fillId="11" borderId="2" xfId="0" applyNumberFormat="1" applyFont="1" applyFill="1" applyBorder="1" applyAlignment="1" applyProtection="1">
      <alignment horizontal="center" vertical="center" wrapText="1"/>
      <protection hidden="1"/>
    </xf>
    <xf numFmtId="3" fontId="61" fillId="0" borderId="3" xfId="0" applyNumberFormat="1" applyFont="1" applyBorder="1" applyProtection="1">
      <protection hidden="1"/>
    </xf>
    <xf numFmtId="166" fontId="61" fillId="0" borderId="3" xfId="0" applyNumberFormat="1" applyFont="1" applyBorder="1" applyProtection="1">
      <protection hidden="1"/>
    </xf>
    <xf numFmtId="3" fontId="61" fillId="0" borderId="29" xfId="0" applyNumberFormat="1" applyFont="1" applyBorder="1" applyProtection="1">
      <protection hidden="1"/>
    </xf>
    <xf numFmtId="3" fontId="61" fillId="0" borderId="27" xfId="0" applyNumberFormat="1" applyFont="1" applyBorder="1" applyProtection="1">
      <protection hidden="1"/>
    </xf>
    <xf numFmtId="166" fontId="61" fillId="0" borderId="27" xfId="0" applyNumberFormat="1" applyFont="1" applyBorder="1" applyProtection="1">
      <protection hidden="1"/>
    </xf>
    <xf numFmtId="3" fontId="61" fillId="0" borderId="12" xfId="0" applyNumberFormat="1" applyFont="1" applyBorder="1" applyProtection="1">
      <protection hidden="1"/>
    </xf>
    <xf numFmtId="3" fontId="61" fillId="0" borderId="31" xfId="0" applyNumberFormat="1" applyFont="1" applyBorder="1" applyProtection="1">
      <protection hidden="1"/>
    </xf>
    <xf numFmtId="166" fontId="61" fillId="0" borderId="29" xfId="0" applyNumberFormat="1" applyFont="1" applyBorder="1" applyProtection="1">
      <protection hidden="1"/>
    </xf>
    <xf numFmtId="9" fontId="61" fillId="0" borderId="0" xfId="0" applyNumberFormat="1" applyFont="1" applyAlignment="1" applyProtection="1">
      <alignment horizontal="center"/>
      <protection hidden="1"/>
    </xf>
    <xf numFmtId="9" fontId="61" fillId="0" borderId="30" xfId="0" applyNumberFormat="1" applyFont="1" applyBorder="1" applyAlignment="1" applyProtection="1">
      <alignment horizontal="center"/>
      <protection hidden="1"/>
    </xf>
    <xf numFmtId="9" fontId="61" fillId="0" borderId="12" xfId="0" applyNumberFormat="1" applyFont="1" applyBorder="1" applyAlignment="1" applyProtection="1">
      <alignment horizontal="center"/>
      <protection hidden="1"/>
    </xf>
    <xf numFmtId="9" fontId="61" fillId="0" borderId="31" xfId="0" applyNumberFormat="1" applyFont="1" applyBorder="1" applyAlignment="1" applyProtection="1">
      <alignment horizontal="center"/>
      <protection hidden="1"/>
    </xf>
    <xf numFmtId="0" fontId="63" fillId="0" borderId="27" xfId="0" applyFont="1" applyBorder="1" applyAlignment="1" applyProtection="1">
      <alignment horizontal="center"/>
      <protection hidden="1"/>
    </xf>
    <xf numFmtId="172" fontId="63" fillId="0" borderId="1" xfId="0" applyNumberFormat="1" applyFont="1" applyBorder="1" applyAlignment="1" applyProtection="1">
      <alignment horizontal="center"/>
      <protection hidden="1"/>
    </xf>
    <xf numFmtId="0" fontId="61" fillId="0" borderId="23" xfId="0" applyFont="1" applyBorder="1" applyAlignment="1" applyProtection="1">
      <alignment horizontal="center"/>
      <protection hidden="1"/>
    </xf>
    <xf numFmtId="172" fontId="61" fillId="0" borderId="35" xfId="0" applyNumberFormat="1" applyFont="1" applyBorder="1" applyAlignment="1" applyProtection="1">
      <alignment horizontal="center"/>
      <protection hidden="1"/>
    </xf>
    <xf numFmtId="172" fontId="63" fillId="13" borderId="1" xfId="0" applyNumberFormat="1" applyFont="1" applyFill="1" applyBorder="1" applyAlignment="1" applyProtection="1">
      <alignment horizontal="center"/>
      <protection hidden="1"/>
    </xf>
    <xf numFmtId="0" fontId="93" fillId="11" borderId="3" xfId="0" applyFont="1" applyFill="1" applyBorder="1" applyAlignment="1" applyProtection="1">
      <alignment horizontal="center"/>
      <protection hidden="1"/>
    </xf>
    <xf numFmtId="0" fontId="93" fillId="11" borderId="1" xfId="0" applyFont="1" applyFill="1" applyBorder="1" applyAlignment="1" applyProtection="1">
      <alignment horizontal="center"/>
      <protection hidden="1"/>
    </xf>
    <xf numFmtId="174" fontId="63" fillId="0" borderId="1" xfId="0" applyNumberFormat="1" applyFont="1" applyBorder="1" applyAlignment="1" applyProtection="1">
      <alignment horizontal="center"/>
      <protection hidden="1"/>
    </xf>
    <xf numFmtId="174" fontId="63" fillId="13" borderId="1" xfId="0" applyNumberFormat="1" applyFont="1" applyFill="1" applyBorder="1" applyAlignment="1" applyProtection="1">
      <alignment horizontal="center"/>
      <protection hidden="1"/>
    </xf>
    <xf numFmtId="0" fontId="63" fillId="0" borderId="29" xfId="0" applyFont="1" applyBorder="1" applyAlignment="1" applyProtection="1">
      <alignment horizontal="center"/>
      <protection hidden="1"/>
    </xf>
    <xf numFmtId="174" fontId="63" fillId="0" borderId="22" xfId="0" applyNumberFormat="1" applyFont="1" applyBorder="1" applyAlignment="1" applyProtection="1">
      <alignment horizontal="center"/>
      <protection hidden="1"/>
    </xf>
    <xf numFmtId="0" fontId="56" fillId="0" borderId="0" xfId="0" applyFont="1" applyAlignment="1" applyProtection="1">
      <alignment vertical="center"/>
      <protection hidden="1"/>
    </xf>
    <xf numFmtId="0" fontId="61" fillId="0" borderId="45" xfId="0" applyFont="1" applyBorder="1" applyAlignment="1" applyProtection="1">
      <alignment horizontal="center"/>
      <protection hidden="1"/>
    </xf>
    <xf numFmtId="0" fontId="61" fillId="0" borderId="46" xfId="0" applyFont="1" applyBorder="1" applyAlignment="1" applyProtection="1">
      <alignment horizontal="center"/>
      <protection hidden="1"/>
    </xf>
    <xf numFmtId="0" fontId="92" fillId="0" borderId="21" xfId="0" applyFont="1" applyBorder="1" applyProtection="1">
      <protection hidden="1"/>
    </xf>
    <xf numFmtId="166" fontId="61" fillId="0" borderId="45" xfId="0" applyNumberFormat="1" applyFont="1" applyBorder="1" applyAlignment="1" applyProtection="1">
      <alignment horizontal="center"/>
      <protection hidden="1"/>
    </xf>
    <xf numFmtId="166" fontId="61" fillId="0" borderId="47" xfId="0" applyNumberFormat="1" applyFont="1" applyBorder="1" applyAlignment="1" applyProtection="1">
      <alignment horizontal="center"/>
      <protection hidden="1"/>
    </xf>
    <xf numFmtId="166" fontId="61" fillId="0" borderId="46" xfId="0" applyNumberFormat="1" applyFont="1" applyBorder="1" applyAlignment="1" applyProtection="1">
      <alignment horizontal="center"/>
      <protection hidden="1"/>
    </xf>
    <xf numFmtId="0" fontId="93" fillId="11" borderId="8" xfId="0" applyFont="1" applyFill="1" applyBorder="1" applyAlignment="1" applyProtection="1">
      <alignment horizontal="center"/>
      <protection hidden="1"/>
    </xf>
    <xf numFmtId="0" fontId="61" fillId="0" borderId="30" xfId="0" applyFont="1" applyBorder="1" applyAlignment="1" applyProtection="1">
      <alignment horizontal="center"/>
      <protection hidden="1"/>
    </xf>
    <xf numFmtId="10" fontId="61" fillId="0" borderId="32" xfId="0" applyNumberFormat="1" applyFont="1" applyBorder="1" applyAlignment="1" applyProtection="1">
      <alignment horizontal="center"/>
      <protection hidden="1"/>
    </xf>
    <xf numFmtId="0" fontId="61" fillId="0" borderId="12" xfId="0" applyFont="1" applyBorder="1" applyAlignment="1" applyProtection="1">
      <alignment horizontal="center"/>
      <protection hidden="1"/>
    </xf>
    <xf numFmtId="10" fontId="61" fillId="0" borderId="1" xfId="0" applyNumberFormat="1" applyFont="1" applyBorder="1" applyAlignment="1" applyProtection="1">
      <alignment horizontal="center"/>
      <protection hidden="1"/>
    </xf>
    <xf numFmtId="0" fontId="61" fillId="0" borderId="31" xfId="0" applyFont="1" applyBorder="1" applyAlignment="1" applyProtection="1">
      <alignment horizontal="center"/>
      <protection hidden="1"/>
    </xf>
    <xf numFmtId="10" fontId="61" fillId="0" borderId="22" xfId="0" applyNumberFormat="1" applyFont="1" applyBorder="1" applyAlignment="1" applyProtection="1">
      <alignment horizontal="center"/>
      <protection hidden="1"/>
    </xf>
    <xf numFmtId="0" fontId="93" fillId="0" borderId="0" xfId="0" applyFont="1" applyProtection="1">
      <protection hidden="1"/>
    </xf>
    <xf numFmtId="10" fontId="93" fillId="0" borderId="0" xfId="5" applyNumberFormat="1" applyFont="1" applyFill="1" applyBorder="1" applyProtection="1">
      <protection hidden="1"/>
    </xf>
    <xf numFmtId="173" fontId="93" fillId="0" borderId="0" xfId="0" applyNumberFormat="1" applyFont="1" applyProtection="1">
      <protection hidden="1"/>
    </xf>
    <xf numFmtId="9" fontId="93" fillId="0" borderId="0" xfId="0" applyNumberFormat="1" applyFont="1" applyProtection="1">
      <protection hidden="1"/>
    </xf>
    <xf numFmtId="178" fontId="61" fillId="16" borderId="38" xfId="1" applyNumberFormat="1" applyFont="1" applyFill="1" applyBorder="1" applyAlignment="1" applyProtection="1">
      <alignment horizontal="center"/>
      <protection hidden="1"/>
    </xf>
    <xf numFmtId="166" fontId="61" fillId="16" borderId="39" xfId="0" applyNumberFormat="1" applyFont="1" applyFill="1" applyBorder="1" applyAlignment="1" applyProtection="1">
      <alignment horizontal="center"/>
      <protection hidden="1"/>
    </xf>
    <xf numFmtId="0" fontId="84" fillId="0" borderId="16" xfId="0" applyFont="1" applyBorder="1" applyProtection="1">
      <protection locked="0"/>
    </xf>
    <xf numFmtId="0" fontId="84" fillId="0" borderId="18" xfId="0" applyFont="1" applyBorder="1" applyAlignment="1" applyProtection="1">
      <alignment horizontal="center"/>
      <protection locked="0"/>
    </xf>
    <xf numFmtId="9" fontId="0" fillId="0" borderId="0" xfId="0" applyNumberFormat="1" applyProtection="1">
      <protection locked="0"/>
    </xf>
    <xf numFmtId="0" fontId="96" fillId="0" borderId="0" xfId="0" applyFont="1" applyProtection="1">
      <protection locked="0"/>
    </xf>
    <xf numFmtId="0" fontId="88" fillId="0" borderId="0" xfId="0" applyFont="1" applyAlignment="1" applyProtection="1">
      <alignment horizontal="center"/>
      <protection locked="0"/>
    </xf>
    <xf numFmtId="0" fontId="97" fillId="0" borderId="0" xfId="0" applyFont="1" applyAlignment="1" applyProtection="1">
      <alignment horizontal="center"/>
      <protection locked="0"/>
    </xf>
    <xf numFmtId="0" fontId="81" fillId="0" borderId="0" xfId="0" applyFont="1" applyProtection="1">
      <protection locked="0"/>
    </xf>
    <xf numFmtId="0" fontId="34" fillId="5" borderId="23" xfId="0" applyFont="1" applyFill="1" applyBorder="1" applyAlignment="1" applyProtection="1">
      <alignment horizontal="center"/>
      <protection locked="0" hidden="1"/>
    </xf>
    <xf numFmtId="0" fontId="34" fillId="5" borderId="35" xfId="0" applyFont="1" applyFill="1" applyBorder="1" applyAlignment="1" applyProtection="1">
      <alignment horizontal="center"/>
      <protection locked="0" hidden="1"/>
    </xf>
    <xf numFmtId="0" fontId="35" fillId="5" borderId="12" xfId="0" applyFont="1" applyFill="1" applyBorder="1" applyAlignment="1" applyProtection="1">
      <alignment horizontal="center"/>
      <protection locked="0" hidden="1"/>
    </xf>
    <xf numFmtId="0" fontId="20" fillId="6" borderId="3" xfId="0" quotePrefix="1" applyFont="1" applyFill="1" applyBorder="1" applyAlignment="1" applyProtection="1">
      <alignment horizontal="center"/>
      <protection locked="0" hidden="1"/>
    </xf>
    <xf numFmtId="0" fontId="80" fillId="0" borderId="7" xfId="0" applyFont="1" applyBorder="1" applyProtection="1">
      <protection locked="0"/>
    </xf>
    <xf numFmtId="0" fontId="98" fillId="17" borderId="3" xfId="0" quotePrefix="1" applyFont="1" applyFill="1" applyBorder="1" applyAlignment="1" applyProtection="1">
      <alignment horizontal="center"/>
      <protection locked="0" hidden="1"/>
    </xf>
    <xf numFmtId="0" fontId="86" fillId="0" borderId="0" xfId="0" applyFont="1" applyProtection="1">
      <protection locked="0"/>
    </xf>
    <xf numFmtId="0" fontId="5" fillId="0" borderId="0" xfId="0" applyFont="1" applyProtection="1">
      <protection locked="0"/>
    </xf>
    <xf numFmtId="0" fontId="85" fillId="0" borderId="12" xfId="0" applyFont="1" applyBorder="1" applyProtection="1">
      <protection locked="0"/>
    </xf>
    <xf numFmtId="168" fontId="0" fillId="0" borderId="0" xfId="0" applyNumberFormat="1" applyProtection="1">
      <protection locked="0"/>
    </xf>
    <xf numFmtId="0" fontId="83" fillId="0" borderId="0" xfId="0" applyFont="1" applyProtection="1">
      <protection locked="0"/>
    </xf>
    <xf numFmtId="0" fontId="83" fillId="7" borderId="16" xfId="0" applyFont="1" applyFill="1" applyBorder="1" applyAlignment="1" applyProtection="1">
      <alignment horizontal="center"/>
      <protection locked="0"/>
    </xf>
    <xf numFmtId="0" fontId="83" fillId="7" borderId="17" xfId="0" applyFont="1" applyFill="1" applyBorder="1" applyAlignment="1" applyProtection="1">
      <alignment horizontal="center"/>
      <protection locked="0"/>
    </xf>
    <xf numFmtId="0" fontId="83" fillId="7" borderId="18" xfId="0" applyFont="1" applyFill="1" applyBorder="1" applyAlignment="1" applyProtection="1">
      <alignment horizontal="center"/>
      <protection locked="0"/>
    </xf>
    <xf numFmtId="0" fontId="84" fillId="0" borderId="16" xfId="0" applyFont="1" applyBorder="1" applyAlignment="1" applyProtection="1">
      <alignment horizontal="center"/>
      <protection locked="0"/>
    </xf>
    <xf numFmtId="0" fontId="84" fillId="0" borderId="0" xfId="0" applyFont="1" applyAlignment="1" applyProtection="1">
      <alignment horizontal="right"/>
      <protection locked="0"/>
    </xf>
    <xf numFmtId="4" fontId="83" fillId="7" borderId="24" xfId="0" applyNumberFormat="1" applyFont="1" applyFill="1" applyBorder="1" applyAlignment="1" applyProtection="1">
      <alignment horizontal="center"/>
      <protection locked="0"/>
    </xf>
    <xf numFmtId="4" fontId="83" fillId="7" borderId="19" xfId="0" applyNumberFormat="1" applyFont="1" applyFill="1" applyBorder="1" applyAlignment="1" applyProtection="1">
      <alignment horizontal="center"/>
      <protection locked="0"/>
    </xf>
    <xf numFmtId="4" fontId="83" fillId="7" borderId="48" xfId="0" applyNumberFormat="1" applyFont="1" applyFill="1" applyBorder="1" applyAlignment="1" applyProtection="1">
      <alignment horizontal="center"/>
      <protection locked="0"/>
    </xf>
    <xf numFmtId="0" fontId="80" fillId="0" borderId="13" xfId="0" applyFont="1" applyBorder="1" applyProtection="1">
      <protection locked="0"/>
    </xf>
    <xf numFmtId="4" fontId="83" fillId="7" borderId="13" xfId="0" applyNumberFormat="1" applyFont="1" applyFill="1" applyBorder="1" applyAlignment="1" applyProtection="1">
      <alignment horizontal="center"/>
      <protection locked="0"/>
    </xf>
    <xf numFmtId="4" fontId="83" fillId="7" borderId="0" xfId="0" applyNumberFormat="1" applyFont="1" applyFill="1" applyAlignment="1" applyProtection="1">
      <alignment horizontal="center"/>
      <protection locked="0"/>
    </xf>
    <xf numFmtId="4" fontId="83" fillId="7" borderId="7" xfId="0" applyNumberFormat="1" applyFont="1" applyFill="1" applyBorder="1" applyAlignment="1" applyProtection="1">
      <alignment horizontal="center"/>
      <protection locked="0"/>
    </xf>
    <xf numFmtId="4" fontId="80" fillId="0" borderId="13" xfId="0" applyNumberFormat="1" applyFont="1" applyBorder="1" applyAlignment="1" applyProtection="1">
      <alignment horizontal="right"/>
      <protection locked="0"/>
    </xf>
    <xf numFmtId="4" fontId="80" fillId="0" borderId="0" xfId="0" applyNumberFormat="1" applyFont="1" applyAlignment="1" applyProtection="1">
      <alignment horizontal="right"/>
      <protection locked="0"/>
    </xf>
    <xf numFmtId="4" fontId="80" fillId="0" borderId="7" xfId="0" applyNumberFormat="1" applyFont="1" applyBorder="1" applyAlignment="1" applyProtection="1">
      <alignment horizontal="right"/>
      <protection locked="0"/>
    </xf>
    <xf numFmtId="3" fontId="83" fillId="0" borderId="14" xfId="0" applyNumberFormat="1" applyFont="1" applyBorder="1" applyAlignment="1" applyProtection="1">
      <alignment horizontal="right"/>
      <protection locked="0"/>
    </xf>
    <xf numFmtId="3" fontId="83" fillId="0" borderId="10" xfId="0" applyNumberFormat="1" applyFont="1" applyBorder="1" applyAlignment="1" applyProtection="1">
      <alignment horizontal="right"/>
      <protection locked="0"/>
    </xf>
    <xf numFmtId="3" fontId="83" fillId="0" borderId="15" xfId="0" applyNumberFormat="1" applyFont="1" applyBorder="1" applyAlignment="1" applyProtection="1">
      <alignment horizontal="right"/>
      <protection locked="0"/>
    </xf>
    <xf numFmtId="43" fontId="75" fillId="0" borderId="0" xfId="1" applyFont="1" applyProtection="1">
      <protection locked="0"/>
    </xf>
    <xf numFmtId="177" fontId="75" fillId="0" borderId="0" xfId="1" applyNumberFormat="1" applyFont="1" applyProtection="1">
      <protection locked="0"/>
    </xf>
    <xf numFmtId="3" fontId="0" fillId="0" borderId="0" xfId="0" applyNumberFormat="1" applyProtection="1">
      <protection locked="0"/>
    </xf>
    <xf numFmtId="43" fontId="52" fillId="0" borderId="0" xfId="0" applyNumberFormat="1" applyFont="1" applyProtection="1">
      <protection locked="0"/>
    </xf>
    <xf numFmtId="43" fontId="0" fillId="0" borderId="0" xfId="0" applyNumberFormat="1" applyProtection="1">
      <protection locked="0"/>
    </xf>
    <xf numFmtId="4" fontId="80" fillId="0" borderId="0" xfId="0" applyNumberFormat="1" applyFont="1" applyProtection="1">
      <protection locked="0"/>
    </xf>
    <xf numFmtId="2" fontId="0" fillId="0" borderId="0" xfId="0" applyNumberFormat="1" applyProtection="1">
      <protection locked="0"/>
    </xf>
    <xf numFmtId="0" fontId="52" fillId="0" borderId="0" xfId="0" applyFont="1" applyProtection="1">
      <protection locked="0"/>
    </xf>
    <xf numFmtId="0" fontId="50" fillId="0" borderId="0" xfId="0" applyFont="1" applyAlignment="1" applyProtection="1">
      <alignment horizontal="center"/>
      <protection locked="0"/>
    </xf>
    <xf numFmtId="0" fontId="99" fillId="0" borderId="0" xfId="0" applyFont="1" applyAlignment="1" applyProtection="1">
      <alignment horizontal="center"/>
      <protection locked="0"/>
    </xf>
    <xf numFmtId="0" fontId="97" fillId="0" borderId="30" xfId="0" applyFont="1" applyBorder="1" applyAlignment="1" applyProtection="1">
      <alignment horizontal="center"/>
      <protection locked="0"/>
    </xf>
    <xf numFmtId="0" fontId="97" fillId="0" borderId="44" xfId="0" applyFont="1" applyBorder="1" applyAlignment="1" applyProtection="1">
      <alignment horizontal="center"/>
      <protection locked="0"/>
    </xf>
    <xf numFmtId="0" fontId="97" fillId="0" borderId="32" xfId="0" applyFont="1" applyBorder="1" applyAlignment="1" applyProtection="1">
      <alignment horizontal="center"/>
      <protection locked="0"/>
    </xf>
    <xf numFmtId="44" fontId="15" fillId="0" borderId="0" xfId="0" applyNumberFormat="1" applyFont="1" applyProtection="1">
      <protection locked="0" hidden="1"/>
    </xf>
    <xf numFmtId="0" fontId="97" fillId="0" borderId="12" xfId="0" applyFont="1" applyBorder="1" applyAlignment="1" applyProtection="1">
      <alignment horizontal="center"/>
      <protection locked="0"/>
    </xf>
    <xf numFmtId="0" fontId="88" fillId="0" borderId="0" xfId="0" applyFont="1" applyProtection="1">
      <protection locked="0"/>
    </xf>
    <xf numFmtId="0" fontId="88" fillId="0" borderId="1" xfId="0" applyFont="1" applyBorder="1" applyProtection="1">
      <protection locked="0"/>
    </xf>
    <xf numFmtId="0" fontId="51" fillId="0" borderId="0" xfId="0" applyFont="1" applyProtection="1">
      <protection locked="0"/>
    </xf>
    <xf numFmtId="0" fontId="88" fillId="0" borderId="12" xfId="0" applyFont="1" applyBorder="1" applyAlignment="1" applyProtection="1">
      <alignment horizontal="center"/>
      <protection locked="0"/>
    </xf>
    <xf numFmtId="0" fontId="97" fillId="0" borderId="49" xfId="0" applyFont="1" applyBorder="1" applyAlignment="1" applyProtection="1">
      <alignment horizontal="center"/>
      <protection locked="0"/>
    </xf>
    <xf numFmtId="0" fontId="88" fillId="0" borderId="31" xfId="0" applyFont="1" applyBorder="1" applyAlignment="1" applyProtection="1">
      <alignment horizontal="center"/>
      <protection locked="0"/>
    </xf>
    <xf numFmtId="0" fontId="16" fillId="0" borderId="0" xfId="0" applyFont="1" applyAlignment="1" applyProtection="1">
      <alignment horizontal="center"/>
      <protection locked="0"/>
    </xf>
    <xf numFmtId="0" fontId="16" fillId="0" borderId="0" xfId="0" applyFont="1" applyAlignment="1" applyProtection="1">
      <alignment horizontal="left"/>
      <protection locked="0"/>
    </xf>
    <xf numFmtId="0" fontId="26" fillId="0" borderId="33" xfId="0" applyFont="1" applyBorder="1" applyAlignment="1" applyProtection="1">
      <alignment horizontal="center"/>
      <protection locked="0"/>
    </xf>
    <xf numFmtId="0" fontId="36" fillId="0" borderId="12" xfId="0" applyFont="1" applyBorder="1" applyProtection="1">
      <protection locked="0"/>
    </xf>
    <xf numFmtId="0" fontId="28" fillId="0" borderId="12" xfId="0" applyFont="1" applyBorder="1" applyAlignment="1" applyProtection="1">
      <alignment horizontal="left"/>
      <protection locked="0"/>
    </xf>
    <xf numFmtId="0" fontId="28" fillId="0" borderId="12" xfId="0" applyFont="1" applyBorder="1" applyAlignment="1" applyProtection="1">
      <alignment horizontal="center"/>
      <protection locked="0"/>
    </xf>
    <xf numFmtId="0" fontId="27" fillId="0" borderId="3" xfId="0" applyFont="1" applyBorder="1" applyAlignment="1" applyProtection="1">
      <alignment horizontal="center" vertical="center"/>
      <protection locked="0"/>
    </xf>
    <xf numFmtId="0" fontId="22" fillId="10" borderId="12" xfId="0" applyFont="1" applyFill="1" applyBorder="1" applyAlignment="1" applyProtection="1">
      <alignment horizontal="center"/>
      <protection locked="0"/>
    </xf>
    <xf numFmtId="0" fontId="22" fillId="0" borderId="12" xfId="0" applyFont="1" applyBorder="1" applyAlignment="1" applyProtection="1">
      <alignment horizontal="center"/>
      <protection locked="0"/>
    </xf>
    <xf numFmtId="0" fontId="22" fillId="0" borderId="3" xfId="0" applyFont="1" applyBorder="1" applyAlignment="1" applyProtection="1">
      <alignment horizontal="center"/>
      <protection locked="0"/>
    </xf>
    <xf numFmtId="0" fontId="23" fillId="0" borderId="3" xfId="0" applyFont="1" applyBorder="1" applyAlignment="1" applyProtection="1">
      <alignment horizontal="center"/>
      <protection locked="0"/>
    </xf>
    <xf numFmtId="0" fontId="27" fillId="0" borderId="12" xfId="0" applyFont="1" applyBorder="1" applyAlignment="1" applyProtection="1">
      <alignment horizontal="center" vertical="center"/>
      <protection locked="0"/>
    </xf>
    <xf numFmtId="0" fontId="28" fillId="0" borderId="50" xfId="0" applyFont="1" applyBorder="1" applyAlignment="1" applyProtection="1">
      <alignment horizontal="left"/>
      <protection locked="0"/>
    </xf>
    <xf numFmtId="0" fontId="22" fillId="0" borderId="50" xfId="0" applyFont="1" applyBorder="1" applyAlignment="1" applyProtection="1">
      <alignment horizontal="center"/>
      <protection locked="0"/>
    </xf>
    <xf numFmtId="0" fontId="22" fillId="0" borderId="51" xfId="0" applyFont="1" applyBorder="1" applyAlignment="1" applyProtection="1">
      <alignment horizontal="center"/>
      <protection locked="0"/>
    </xf>
    <xf numFmtId="0" fontId="23" fillId="0" borderId="51" xfId="0" applyFont="1" applyBorder="1" applyAlignment="1" applyProtection="1">
      <alignment horizontal="center"/>
      <protection locked="0"/>
    </xf>
    <xf numFmtId="0" fontId="28" fillId="0" borderId="3" xfId="0" applyFont="1" applyBorder="1" applyAlignment="1" applyProtection="1">
      <alignment horizontal="left"/>
      <protection locked="0"/>
    </xf>
    <xf numFmtId="0" fontId="22" fillId="8" borderId="3" xfId="0" applyFont="1" applyFill="1" applyBorder="1" applyAlignment="1" applyProtection="1">
      <alignment horizontal="center"/>
      <protection locked="0"/>
    </xf>
    <xf numFmtId="0" fontId="23" fillId="9" borderId="3" xfId="0" applyFont="1" applyFill="1" applyBorder="1" applyAlignment="1" applyProtection="1">
      <alignment horizontal="center"/>
      <protection locked="0"/>
    </xf>
    <xf numFmtId="0" fontId="0" fillId="0" borderId="3" xfId="0" applyBorder="1" applyProtection="1">
      <protection locked="0"/>
    </xf>
    <xf numFmtId="0" fontId="0" fillId="0" borderId="12" xfId="0" applyBorder="1" applyProtection="1">
      <protection locked="0"/>
    </xf>
    <xf numFmtId="0" fontId="28" fillId="0" borderId="3" xfId="0" applyFont="1" applyBorder="1" applyAlignment="1" applyProtection="1">
      <alignment horizontal="center"/>
      <protection locked="0"/>
    </xf>
    <xf numFmtId="0" fontId="0" fillId="0" borderId="29" xfId="0" applyBorder="1" applyProtection="1">
      <protection locked="0"/>
    </xf>
    <xf numFmtId="0" fontId="28" fillId="0" borderId="29" xfId="0" applyFont="1" applyBorder="1" applyAlignment="1" applyProtection="1">
      <alignment horizontal="center"/>
      <protection locked="0"/>
    </xf>
    <xf numFmtId="0" fontId="53" fillId="0" borderId="0" xfId="0" applyFont="1" applyProtection="1">
      <protection locked="0"/>
    </xf>
    <xf numFmtId="0" fontId="4" fillId="0" borderId="0" xfId="0" applyFont="1" applyProtection="1">
      <protection locked="0"/>
    </xf>
    <xf numFmtId="17" fontId="0" fillId="0" borderId="0" xfId="0" applyNumberFormat="1" applyProtection="1">
      <protection locked="0"/>
    </xf>
    <xf numFmtId="3" fontId="63" fillId="12" borderId="0" xfId="0" applyNumberFormat="1" applyFont="1" applyFill="1" applyAlignment="1" applyProtection="1">
      <alignment horizontal="center"/>
      <protection hidden="1"/>
    </xf>
    <xf numFmtId="3" fontId="63" fillId="12" borderId="21" xfId="0" applyNumberFormat="1" applyFont="1" applyFill="1" applyBorder="1" applyAlignment="1" applyProtection="1">
      <alignment horizontal="center"/>
      <protection hidden="1"/>
    </xf>
    <xf numFmtId="14" fontId="0" fillId="0" borderId="0" xfId="0" applyNumberFormat="1" applyProtection="1">
      <protection locked="0"/>
    </xf>
    <xf numFmtId="0" fontId="76" fillId="0" borderId="0" xfId="0" applyFont="1" applyProtection="1">
      <protection locked="0"/>
    </xf>
    <xf numFmtId="0" fontId="100" fillId="0" borderId="0" xfId="0" applyFont="1" applyProtection="1">
      <protection locked="0"/>
    </xf>
    <xf numFmtId="0" fontId="92" fillId="0" borderId="0" xfId="5" applyNumberFormat="1" applyFont="1" applyAlignment="1" applyProtection="1">
      <alignment horizontal="center"/>
      <protection hidden="1"/>
    </xf>
    <xf numFmtId="3" fontId="61" fillId="0" borderId="33" xfId="0" applyNumberFormat="1" applyFont="1" applyBorder="1" applyAlignment="1" applyProtection="1">
      <alignment horizontal="center"/>
      <protection hidden="1"/>
    </xf>
    <xf numFmtId="164" fontId="61" fillId="0" borderId="23" xfId="0" applyNumberFormat="1" applyFont="1" applyBorder="1" applyAlignment="1" applyProtection="1">
      <alignment horizontal="center"/>
      <protection hidden="1"/>
    </xf>
    <xf numFmtId="0" fontId="95" fillId="0" borderId="0" xfId="0" applyFont="1" applyAlignment="1" applyProtection="1">
      <alignment horizontal="center"/>
      <protection hidden="1"/>
    </xf>
    <xf numFmtId="2" fontId="56" fillId="0" borderId="0" xfId="0" applyNumberFormat="1" applyFont="1" applyAlignment="1" applyProtection="1">
      <alignment vertical="center"/>
      <protection hidden="1"/>
    </xf>
    <xf numFmtId="167" fontId="61" fillId="13" borderId="0" xfId="0" applyNumberFormat="1" applyFont="1" applyFill="1" applyAlignment="1" applyProtection="1">
      <alignment horizontal="center"/>
      <protection hidden="1"/>
    </xf>
    <xf numFmtId="0" fontId="101" fillId="0" borderId="0" xfId="0" applyFont="1"/>
    <xf numFmtId="0" fontId="102" fillId="0" borderId="0" xfId="0" applyFont="1"/>
    <xf numFmtId="0" fontId="101" fillId="0" borderId="10" xfId="0" applyFont="1" applyBorder="1"/>
    <xf numFmtId="0" fontId="102" fillId="0" borderId="10" xfId="0" applyFont="1" applyBorder="1"/>
    <xf numFmtId="0" fontId="103" fillId="0" borderId="0" xfId="0" applyFont="1" applyAlignment="1" applyProtection="1">
      <alignment horizontal="center" vertical="center"/>
      <protection locked="0" hidden="1"/>
    </xf>
    <xf numFmtId="0" fontId="77" fillId="0" borderId="0" xfId="0" applyFont="1" applyProtection="1">
      <protection locked="0"/>
    </xf>
    <xf numFmtId="0" fontId="104" fillId="0" borderId="0" xfId="0" applyFont="1" applyProtection="1">
      <protection hidden="1"/>
    </xf>
    <xf numFmtId="0" fontId="104" fillId="18" borderId="0" xfId="0" applyFont="1" applyFill="1" applyProtection="1">
      <protection hidden="1"/>
    </xf>
    <xf numFmtId="0" fontId="105" fillId="18" borderId="0" xfId="0" applyFont="1" applyFill="1" applyProtection="1">
      <protection hidden="1"/>
    </xf>
    <xf numFmtId="1" fontId="63" fillId="12" borderId="1" xfId="0" applyNumberFormat="1" applyFont="1" applyFill="1" applyBorder="1" applyAlignment="1" applyProtection="1">
      <alignment horizontal="center"/>
      <protection hidden="1"/>
    </xf>
    <xf numFmtId="1" fontId="63" fillId="12" borderId="22" xfId="0" applyNumberFormat="1" applyFont="1" applyFill="1" applyBorder="1" applyAlignment="1" applyProtection="1">
      <alignment horizontal="center"/>
      <protection hidden="1"/>
    </xf>
    <xf numFmtId="1" fontId="63" fillId="12" borderId="27" xfId="0" applyNumberFormat="1" applyFont="1" applyFill="1" applyBorder="1" applyAlignment="1" applyProtection="1">
      <alignment horizontal="center"/>
      <protection hidden="1"/>
    </xf>
    <xf numFmtId="1" fontId="63" fillId="12" borderId="3" xfId="0" applyNumberFormat="1" applyFont="1" applyFill="1" applyBorder="1" applyAlignment="1" applyProtection="1">
      <alignment horizontal="center"/>
      <protection hidden="1"/>
    </xf>
    <xf numFmtId="3" fontId="63" fillId="12" borderId="3" xfId="0" applyNumberFormat="1" applyFont="1" applyFill="1" applyBorder="1" applyAlignment="1" applyProtection="1">
      <alignment horizontal="center"/>
      <protection hidden="1"/>
    </xf>
    <xf numFmtId="3" fontId="63" fillId="12" borderId="29" xfId="0" applyNumberFormat="1" applyFont="1" applyFill="1" applyBorder="1" applyAlignment="1" applyProtection="1">
      <alignment horizontal="center"/>
      <protection hidden="1"/>
    </xf>
    <xf numFmtId="0" fontId="95" fillId="0" borderId="0" xfId="0" applyFont="1" applyProtection="1">
      <protection hidden="1"/>
    </xf>
    <xf numFmtId="166" fontId="55" fillId="0" borderId="0" xfId="0" applyNumberFormat="1" applyFont="1" applyProtection="1">
      <protection hidden="1"/>
    </xf>
    <xf numFmtId="166" fontId="61" fillId="0" borderId="30" xfId="0" applyNumberFormat="1" applyFont="1" applyBorder="1" applyAlignment="1" applyProtection="1">
      <alignment horizontal="center" wrapText="1"/>
      <protection hidden="1"/>
    </xf>
    <xf numFmtId="166" fontId="61" fillId="0" borderId="32" xfId="0" applyNumberFormat="1" applyFont="1" applyBorder="1" applyAlignment="1" applyProtection="1">
      <alignment horizontal="center" wrapText="1"/>
      <protection hidden="1"/>
    </xf>
    <xf numFmtId="166" fontId="61" fillId="13" borderId="12" xfId="0" applyNumberFormat="1" applyFont="1" applyFill="1" applyBorder="1" applyAlignment="1" applyProtection="1">
      <alignment horizontal="center" wrapText="1"/>
      <protection hidden="1"/>
    </xf>
    <xf numFmtId="166" fontId="61" fillId="13" borderId="1" xfId="0" applyNumberFormat="1" applyFont="1" applyFill="1" applyBorder="1" applyAlignment="1" applyProtection="1">
      <alignment horizontal="center" wrapText="1"/>
      <protection hidden="1"/>
    </xf>
    <xf numFmtId="166" fontId="61" fillId="0" borderId="12" xfId="0" applyNumberFormat="1" applyFont="1" applyBorder="1" applyAlignment="1" applyProtection="1">
      <alignment horizontal="center" wrapText="1"/>
      <protection hidden="1"/>
    </xf>
    <xf numFmtId="166" fontId="61" fillId="0" borderId="1" xfId="0" applyNumberFormat="1" applyFont="1" applyBorder="1" applyAlignment="1" applyProtection="1">
      <alignment horizontal="center" wrapText="1"/>
      <protection hidden="1"/>
    </xf>
    <xf numFmtId="166" fontId="61" fillId="13" borderId="12" xfId="0" applyNumberFormat="1" applyFont="1" applyFill="1" applyBorder="1" applyAlignment="1" applyProtection="1">
      <alignment horizontal="center" vertical="center" wrapText="1"/>
      <protection hidden="1"/>
    </xf>
    <xf numFmtId="166" fontId="61" fillId="13" borderId="1" xfId="0" applyNumberFormat="1" applyFont="1" applyFill="1" applyBorder="1" applyAlignment="1" applyProtection="1">
      <alignment horizontal="center" vertical="center" wrapText="1"/>
      <protection hidden="1"/>
    </xf>
    <xf numFmtId="166" fontId="61" fillId="0" borderId="31" xfId="0" applyNumberFormat="1" applyFont="1" applyBorder="1" applyAlignment="1" applyProtection="1">
      <alignment horizontal="center" wrapText="1"/>
      <protection hidden="1"/>
    </xf>
    <xf numFmtId="166" fontId="61" fillId="0" borderId="22" xfId="0" applyNumberFormat="1" applyFont="1" applyBorder="1" applyAlignment="1" applyProtection="1">
      <alignment horizontal="center" wrapText="1"/>
      <protection hidden="1"/>
    </xf>
    <xf numFmtId="4" fontId="100" fillId="19" borderId="52" xfId="0" applyNumberFormat="1" applyFont="1" applyFill="1" applyBorder="1" applyAlignment="1" applyProtection="1">
      <alignment horizontal="center"/>
      <protection locked="0"/>
    </xf>
    <xf numFmtId="4" fontId="100" fillId="19" borderId="53" xfId="0" applyNumberFormat="1" applyFont="1" applyFill="1" applyBorder="1" applyAlignment="1" applyProtection="1">
      <alignment horizontal="center"/>
      <protection locked="0"/>
    </xf>
    <xf numFmtId="0" fontId="100" fillId="0" borderId="30" xfId="0" applyFont="1" applyBorder="1" applyProtection="1">
      <protection locked="0"/>
    </xf>
    <xf numFmtId="0" fontId="100" fillId="0" borderId="44" xfId="0" applyFont="1" applyBorder="1" applyProtection="1">
      <protection locked="0"/>
    </xf>
    <xf numFmtId="0" fontId="100" fillId="0" borderId="32" xfId="0" applyFont="1" applyBorder="1" applyProtection="1">
      <protection locked="0"/>
    </xf>
    <xf numFmtId="0" fontId="68" fillId="0" borderId="12" xfId="0" applyFont="1" applyBorder="1" applyAlignment="1" applyProtection="1">
      <alignment horizontal="center"/>
      <protection locked="0"/>
    </xf>
    <xf numFmtId="4" fontId="100" fillId="0" borderId="0" xfId="0" applyNumberFormat="1" applyFont="1" applyAlignment="1" applyProtection="1">
      <alignment horizontal="center"/>
      <protection locked="0"/>
    </xf>
    <xf numFmtId="4" fontId="100" fillId="0" borderId="1" xfId="0" applyNumberFormat="1" applyFont="1" applyBorder="1" applyAlignment="1" applyProtection="1">
      <alignment horizontal="center"/>
      <protection locked="0"/>
    </xf>
    <xf numFmtId="0" fontId="15" fillId="0" borderId="12" xfId="0" applyFont="1" applyBorder="1" applyAlignment="1" applyProtection="1">
      <alignment horizontal="center"/>
      <protection locked="0"/>
    </xf>
    <xf numFmtId="4" fontId="15" fillId="0" borderId="0" xfId="0" applyNumberFormat="1" applyFont="1" applyAlignment="1" applyProtection="1">
      <alignment horizontal="center"/>
      <protection locked="0"/>
    </xf>
    <xf numFmtId="4" fontId="15" fillId="0" borderId="1" xfId="0" applyNumberFormat="1" applyFont="1" applyBorder="1" applyAlignment="1" applyProtection="1">
      <alignment horizontal="center"/>
      <protection locked="0"/>
    </xf>
    <xf numFmtId="0" fontId="100" fillId="0" borderId="12" xfId="0" applyFont="1" applyBorder="1" applyProtection="1">
      <protection locked="0"/>
    </xf>
    <xf numFmtId="0" fontId="100" fillId="0" borderId="1" xfId="0" applyFont="1" applyBorder="1" applyProtection="1">
      <protection locked="0"/>
    </xf>
    <xf numFmtId="0" fontId="68" fillId="0" borderId="12" xfId="0" applyFont="1" applyBorder="1" applyAlignment="1" applyProtection="1">
      <alignment horizontal="left"/>
      <protection locked="0"/>
    </xf>
    <xf numFmtId="0" fontId="69" fillId="0" borderId="0" xfId="0" applyFont="1" applyProtection="1">
      <protection locked="0"/>
    </xf>
    <xf numFmtId="42" fontId="85" fillId="2" borderId="8" xfId="0" applyNumberFormat="1" applyFont="1" applyFill="1" applyBorder="1" applyProtection="1">
      <protection locked="0"/>
    </xf>
    <xf numFmtId="0" fontId="85" fillId="0" borderId="30" xfId="0" applyFont="1" applyBorder="1" applyAlignment="1" applyProtection="1">
      <alignment horizontal="center"/>
      <protection locked="0"/>
    </xf>
    <xf numFmtId="0" fontId="85" fillId="0" borderId="44" xfId="0" applyFont="1" applyBorder="1" applyAlignment="1" applyProtection="1">
      <alignment horizontal="center"/>
      <protection locked="0"/>
    </xf>
    <xf numFmtId="0" fontId="85" fillId="0" borderId="32" xfId="0" applyFont="1" applyBorder="1" applyAlignment="1" applyProtection="1">
      <alignment horizontal="center"/>
      <protection locked="0"/>
    </xf>
    <xf numFmtId="0" fontId="85" fillId="0" borderId="31" xfId="0" applyFont="1" applyBorder="1" applyAlignment="1" applyProtection="1">
      <alignment horizontal="center"/>
      <protection locked="0"/>
    </xf>
    <xf numFmtId="0" fontId="85" fillId="0" borderId="21" xfId="0" applyFont="1" applyBorder="1" applyAlignment="1" applyProtection="1">
      <alignment horizontal="center"/>
      <protection locked="0"/>
    </xf>
    <xf numFmtId="0" fontId="85" fillId="0" borderId="22" xfId="0" applyFont="1" applyBorder="1" applyAlignment="1" applyProtection="1">
      <alignment horizontal="center"/>
      <protection locked="0"/>
    </xf>
    <xf numFmtId="0" fontId="106" fillId="20" borderId="12" xfId="0" applyFont="1" applyFill="1" applyBorder="1" applyProtection="1">
      <protection locked="0"/>
    </xf>
    <xf numFmtId="0" fontId="107" fillId="20" borderId="0" xfId="0" applyFont="1" applyFill="1" applyProtection="1">
      <protection locked="0"/>
    </xf>
    <xf numFmtId="0" fontId="107" fillId="20" borderId="12" xfId="0" applyFont="1" applyFill="1" applyBorder="1" applyAlignment="1" applyProtection="1">
      <alignment horizontal="left"/>
      <protection locked="0"/>
    </xf>
    <xf numFmtId="0" fontId="107" fillId="20" borderId="0" xfId="0" applyFont="1" applyFill="1" applyAlignment="1" applyProtection="1">
      <alignment horizontal="center"/>
      <protection locked="0"/>
    </xf>
    <xf numFmtId="0" fontId="107" fillId="20" borderId="31" xfId="0" applyFont="1" applyFill="1" applyBorder="1" applyAlignment="1" applyProtection="1">
      <alignment horizontal="left"/>
      <protection locked="0"/>
    </xf>
    <xf numFmtId="0" fontId="107" fillId="20" borderId="21" xfId="0" applyFont="1" applyFill="1" applyBorder="1" applyAlignment="1" applyProtection="1">
      <alignment horizontal="center"/>
      <protection locked="0"/>
    </xf>
    <xf numFmtId="0" fontId="85" fillId="21" borderId="33" xfId="0" applyFont="1" applyFill="1" applyBorder="1" applyAlignment="1" applyProtection="1">
      <alignment horizontal="center"/>
      <protection locked="0"/>
    </xf>
    <xf numFmtId="0" fontId="85" fillId="21" borderId="34" xfId="0" applyFont="1" applyFill="1" applyBorder="1" applyAlignment="1" applyProtection="1">
      <alignment horizontal="center"/>
      <protection locked="0"/>
    </xf>
    <xf numFmtId="0" fontId="85" fillId="21" borderId="30" xfId="0" applyFont="1" applyFill="1" applyBorder="1" applyAlignment="1" applyProtection="1">
      <alignment horizontal="left"/>
      <protection locked="0"/>
    </xf>
    <xf numFmtId="0" fontId="108" fillId="21" borderId="44" xfId="0" applyFont="1" applyFill="1" applyBorder="1" applyAlignment="1" applyProtection="1">
      <alignment horizontal="center"/>
      <protection locked="0"/>
    </xf>
    <xf numFmtId="0" fontId="85" fillId="21" borderId="32" xfId="0" applyFont="1" applyFill="1" applyBorder="1" applyAlignment="1" applyProtection="1">
      <alignment horizontal="center"/>
      <protection locked="0"/>
    </xf>
    <xf numFmtId="0" fontId="85" fillId="0" borderId="0" xfId="0" applyFont="1" applyProtection="1">
      <protection locked="0"/>
    </xf>
    <xf numFmtId="0" fontId="107" fillId="20" borderId="30" xfId="0" applyFont="1" applyFill="1" applyBorder="1" applyAlignment="1" applyProtection="1">
      <alignment horizontal="left"/>
      <protection locked="0"/>
    </xf>
    <xf numFmtId="0" fontId="106" fillId="20" borderId="44" xfId="0" applyFont="1" applyFill="1" applyBorder="1" applyAlignment="1" applyProtection="1">
      <alignment horizontal="center"/>
      <protection locked="0"/>
    </xf>
    <xf numFmtId="0" fontId="107" fillId="20" borderId="32" xfId="0" applyFont="1" applyFill="1" applyBorder="1" applyAlignment="1" applyProtection="1">
      <alignment horizontal="center"/>
      <protection locked="0"/>
    </xf>
    <xf numFmtId="0" fontId="107" fillId="20" borderId="12" xfId="0" applyFont="1" applyFill="1" applyBorder="1" applyProtection="1">
      <protection locked="0"/>
    </xf>
    <xf numFmtId="0" fontId="106" fillId="20" borderId="0" xfId="0" applyFont="1" applyFill="1" applyAlignment="1" applyProtection="1">
      <alignment horizontal="center"/>
      <protection locked="0"/>
    </xf>
    <xf numFmtId="3" fontId="107" fillId="20" borderId="1" xfId="0" applyNumberFormat="1" applyFont="1" applyFill="1" applyBorder="1" applyAlignment="1" applyProtection="1">
      <alignment horizontal="center"/>
      <protection locked="0"/>
    </xf>
    <xf numFmtId="0" fontId="107" fillId="20" borderId="31" xfId="0" applyFont="1" applyFill="1" applyBorder="1" applyProtection="1">
      <protection locked="0"/>
    </xf>
    <xf numFmtId="0" fontId="106" fillId="20" borderId="21" xfId="0" applyFont="1" applyFill="1" applyBorder="1" applyAlignment="1" applyProtection="1">
      <alignment horizontal="center"/>
      <protection locked="0"/>
    </xf>
    <xf numFmtId="9" fontId="107" fillId="20" borderId="22" xfId="0" applyNumberFormat="1" applyFont="1" applyFill="1" applyBorder="1" applyAlignment="1" applyProtection="1">
      <alignment horizontal="center"/>
      <protection locked="0"/>
    </xf>
    <xf numFmtId="0" fontId="109" fillId="20" borderId="44" xfId="0" applyFont="1" applyFill="1" applyBorder="1" applyAlignment="1" applyProtection="1">
      <alignment horizontal="center"/>
      <protection locked="0"/>
    </xf>
    <xf numFmtId="0" fontId="107" fillId="20" borderId="35" xfId="0" applyFont="1" applyFill="1" applyBorder="1" applyAlignment="1" applyProtection="1">
      <alignment horizontal="center"/>
      <protection locked="0"/>
    </xf>
    <xf numFmtId="0" fontId="107" fillId="20" borderId="21" xfId="0" applyFont="1" applyFill="1" applyBorder="1" applyProtection="1">
      <protection locked="0"/>
    </xf>
    <xf numFmtId="3" fontId="107" fillId="20" borderId="31" xfId="0" applyNumberFormat="1" applyFont="1" applyFill="1" applyBorder="1" applyProtection="1">
      <protection locked="0"/>
    </xf>
    <xf numFmtId="0" fontId="107" fillId="20" borderId="30" xfId="0" applyFont="1" applyFill="1" applyBorder="1" applyProtection="1">
      <protection locked="0"/>
    </xf>
    <xf numFmtId="0" fontId="107" fillId="20" borderId="1" xfId="0" applyFont="1" applyFill="1" applyBorder="1" applyAlignment="1" applyProtection="1">
      <alignment horizontal="center"/>
      <protection locked="0"/>
    </xf>
    <xf numFmtId="0" fontId="107" fillId="20" borderId="22" xfId="0" applyFont="1" applyFill="1" applyBorder="1" applyAlignment="1" applyProtection="1">
      <alignment horizontal="center"/>
      <protection locked="0"/>
    </xf>
    <xf numFmtId="0" fontId="68" fillId="0" borderId="12" xfId="0" applyFont="1" applyBorder="1" applyProtection="1">
      <protection locked="0"/>
    </xf>
    <xf numFmtId="0" fontId="68" fillId="0" borderId="0" xfId="0" applyFont="1" applyProtection="1">
      <protection locked="0"/>
    </xf>
    <xf numFmtId="168" fontId="28" fillId="0" borderId="0" xfId="0" applyNumberFormat="1" applyFont="1" applyAlignment="1" applyProtection="1">
      <alignment horizontal="center"/>
      <protection locked="0"/>
    </xf>
    <xf numFmtId="4" fontId="28" fillId="0" borderId="0" xfId="0" applyNumberFormat="1" applyFont="1" applyAlignment="1" applyProtection="1">
      <alignment horizontal="center"/>
      <protection locked="0"/>
    </xf>
    <xf numFmtId="172" fontId="28" fillId="0" borderId="0" xfId="0" applyNumberFormat="1" applyFont="1" applyAlignment="1" applyProtection="1">
      <alignment horizontal="center"/>
      <protection locked="0"/>
    </xf>
    <xf numFmtId="165" fontId="28" fillId="0" borderId="0" xfId="0" applyNumberFormat="1" applyFont="1" applyAlignment="1" applyProtection="1">
      <alignment horizontal="center"/>
      <protection locked="0"/>
    </xf>
    <xf numFmtId="0" fontId="100" fillId="0" borderId="1" xfId="0" applyFont="1" applyBorder="1" applyAlignment="1" applyProtection="1">
      <alignment horizontal="center"/>
      <protection locked="0"/>
    </xf>
    <xf numFmtId="0" fontId="28" fillId="0" borderId="0" xfId="0" applyFont="1" applyAlignment="1" applyProtection="1">
      <alignment horizontal="center"/>
      <protection locked="0"/>
    </xf>
    <xf numFmtId="0" fontId="70" fillId="0" borderId="1" xfId="0" applyFont="1" applyBorder="1" applyAlignment="1" applyProtection="1">
      <alignment horizontal="center"/>
      <protection locked="0"/>
    </xf>
    <xf numFmtId="0" fontId="31" fillId="0" borderId="12" xfId="0" applyFont="1" applyBorder="1" applyAlignment="1" applyProtection="1">
      <alignment horizontal="center"/>
      <protection locked="0"/>
    </xf>
    <xf numFmtId="168" fontId="31" fillId="0" borderId="0" xfId="0" applyNumberFormat="1" applyFont="1" applyAlignment="1" applyProtection="1">
      <alignment horizontal="center"/>
      <protection locked="0"/>
    </xf>
    <xf numFmtId="172" fontId="31" fillId="0" borderId="0" xfId="0" applyNumberFormat="1" applyFont="1" applyAlignment="1" applyProtection="1">
      <alignment horizontal="center"/>
      <protection locked="0"/>
    </xf>
    <xf numFmtId="165" fontId="31" fillId="0" borderId="0" xfId="0" applyNumberFormat="1" applyFont="1" applyAlignment="1" applyProtection="1">
      <alignment horizontal="center"/>
      <protection locked="0"/>
    </xf>
    <xf numFmtId="0" fontId="31" fillId="0" borderId="0" xfId="0" applyFont="1" applyAlignment="1" applyProtection="1">
      <alignment horizontal="center"/>
      <protection locked="0"/>
    </xf>
    <xf numFmtId="0" fontId="28" fillId="0" borderId="31" xfId="0" applyFont="1" applyBorder="1" applyAlignment="1" applyProtection="1">
      <alignment horizontal="center"/>
      <protection locked="0"/>
    </xf>
    <xf numFmtId="168" fontId="28" fillId="0" borderId="21" xfId="0" applyNumberFormat="1" applyFont="1" applyBorder="1" applyAlignment="1" applyProtection="1">
      <alignment horizontal="center"/>
      <protection locked="0"/>
    </xf>
    <xf numFmtId="4" fontId="28" fillId="0" borderId="21" xfId="0" applyNumberFormat="1" applyFont="1" applyBorder="1" applyAlignment="1" applyProtection="1">
      <alignment horizontal="center"/>
      <protection locked="0"/>
    </xf>
    <xf numFmtId="172" fontId="28" fillId="0" borderId="21" xfId="0" applyNumberFormat="1" applyFont="1" applyBorder="1" applyAlignment="1" applyProtection="1">
      <alignment horizontal="center"/>
      <protection locked="0"/>
    </xf>
    <xf numFmtId="165" fontId="28" fillId="0" borderId="21" xfId="0" applyNumberFormat="1" applyFont="1" applyBorder="1" applyAlignment="1" applyProtection="1">
      <alignment horizontal="center"/>
      <protection locked="0"/>
    </xf>
    <xf numFmtId="0" fontId="70" fillId="0" borderId="22" xfId="0" applyFont="1" applyBorder="1" applyAlignment="1" applyProtection="1">
      <alignment horizontal="center"/>
      <protection locked="0"/>
    </xf>
    <xf numFmtId="0" fontId="68" fillId="19" borderId="12" xfId="0" applyFont="1" applyFill="1" applyBorder="1" applyAlignment="1" applyProtection="1">
      <alignment horizontal="left" wrapText="1"/>
      <protection locked="0"/>
    </xf>
    <xf numFmtId="4" fontId="100" fillId="19" borderId="0" xfId="0" applyNumberFormat="1" applyFont="1" applyFill="1" applyAlignment="1" applyProtection="1">
      <alignment horizontal="center"/>
      <protection locked="0"/>
    </xf>
    <xf numFmtId="4" fontId="100" fillId="19" borderId="1" xfId="0" applyNumberFormat="1" applyFont="1" applyFill="1" applyBorder="1" applyAlignment="1" applyProtection="1">
      <alignment horizontal="center"/>
      <protection locked="0"/>
    </xf>
    <xf numFmtId="0" fontId="68" fillId="19" borderId="12" xfId="0" applyFont="1" applyFill="1" applyBorder="1" applyAlignment="1" applyProtection="1">
      <alignment horizontal="left"/>
      <protection locked="0"/>
    </xf>
    <xf numFmtId="0" fontId="68" fillId="19" borderId="54" xfId="0" applyFont="1" applyFill="1" applyBorder="1" applyAlignment="1" applyProtection="1">
      <alignment horizontal="left"/>
      <protection locked="0"/>
    </xf>
    <xf numFmtId="0" fontId="29" fillId="19" borderId="12" xfId="0" applyFont="1" applyFill="1" applyBorder="1" applyAlignment="1" applyProtection="1">
      <alignment horizontal="left"/>
      <protection locked="0"/>
    </xf>
    <xf numFmtId="4" fontId="110" fillId="19" borderId="0" xfId="0" applyNumberFormat="1" applyFont="1" applyFill="1" applyAlignment="1" applyProtection="1">
      <alignment horizontal="center"/>
      <protection locked="0"/>
    </xf>
    <xf numFmtId="4" fontId="110" fillId="19" borderId="1" xfId="0" applyNumberFormat="1" applyFont="1" applyFill="1" applyBorder="1" applyAlignment="1" applyProtection="1">
      <alignment horizontal="center"/>
      <protection locked="0"/>
    </xf>
    <xf numFmtId="0" fontId="100" fillId="19" borderId="12" xfId="0" applyFont="1" applyFill="1" applyBorder="1" applyProtection="1">
      <protection locked="0"/>
    </xf>
    <xf numFmtId="0" fontId="100" fillId="19" borderId="31" xfId="0" applyFont="1" applyFill="1" applyBorder="1" applyProtection="1">
      <protection locked="0"/>
    </xf>
    <xf numFmtId="4" fontId="100" fillId="19" borderId="21" xfId="0" applyNumberFormat="1" applyFont="1" applyFill="1" applyBorder="1" applyAlignment="1" applyProtection="1">
      <alignment horizontal="center"/>
      <protection locked="0"/>
    </xf>
    <xf numFmtId="4" fontId="100" fillId="19" borderId="22" xfId="0" applyNumberFormat="1" applyFont="1" applyFill="1" applyBorder="1" applyAlignment="1" applyProtection="1">
      <alignment horizontal="center"/>
      <protection locked="0"/>
    </xf>
    <xf numFmtId="0" fontId="15" fillId="21" borderId="33" xfId="0" applyFont="1" applyFill="1" applyBorder="1" applyAlignment="1" applyProtection="1">
      <alignment horizontal="center"/>
      <protection locked="0"/>
    </xf>
    <xf numFmtId="0" fontId="15" fillId="21" borderId="34" xfId="0" applyFont="1" applyFill="1" applyBorder="1" applyAlignment="1" applyProtection="1">
      <alignment horizontal="center"/>
      <protection locked="0"/>
    </xf>
    <xf numFmtId="0" fontId="15" fillId="21" borderId="35" xfId="0" applyFont="1" applyFill="1" applyBorder="1" applyAlignment="1" applyProtection="1">
      <alignment horizontal="center"/>
      <protection locked="0"/>
    </xf>
    <xf numFmtId="174" fontId="76" fillId="0" borderId="0" xfId="0" applyNumberFormat="1" applyFont="1" applyProtection="1">
      <protection locked="0"/>
    </xf>
    <xf numFmtId="168" fontId="111" fillId="0" borderId="0" xfId="0" applyNumberFormat="1" applyFont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31" fillId="0" borderId="17" xfId="0" applyFont="1" applyBorder="1" applyAlignment="1">
      <alignment horizontal="left" vertical="center"/>
    </xf>
    <xf numFmtId="0" fontId="28" fillId="0" borderId="0" xfId="0" applyFont="1"/>
    <xf numFmtId="0" fontId="31" fillId="0" borderId="0" xfId="0" applyFont="1" applyAlignment="1">
      <alignment horizontal="center"/>
    </xf>
    <xf numFmtId="0" fontId="28" fillId="0" borderId="0" xfId="0" applyFont="1" applyAlignment="1">
      <alignment horizontal="center"/>
    </xf>
    <xf numFmtId="14" fontId="28" fillId="0" borderId="0" xfId="0" applyNumberFormat="1" applyFont="1" applyAlignment="1" applyProtection="1">
      <alignment horizontal="center"/>
      <protection hidden="1"/>
    </xf>
    <xf numFmtId="0" fontId="28" fillId="0" borderId="10" xfId="0" applyFont="1" applyBorder="1"/>
    <xf numFmtId="0" fontId="28" fillId="0" borderId="10" xfId="0" applyFont="1" applyBorder="1" applyAlignment="1">
      <alignment horizontal="center"/>
    </xf>
    <xf numFmtId="0" fontId="28" fillId="0" borderId="0" xfId="0" applyFont="1" applyAlignment="1" applyProtection="1">
      <alignment horizontal="center"/>
      <protection hidden="1"/>
    </xf>
    <xf numFmtId="0" fontId="100" fillId="0" borderId="0" xfId="0" applyFont="1"/>
    <xf numFmtId="165" fontId="28" fillId="0" borderId="0" xfId="4" applyNumberFormat="1" applyFont="1" applyAlignment="1" applyProtection="1">
      <alignment horizontal="center"/>
      <protection hidden="1"/>
    </xf>
    <xf numFmtId="9" fontId="28" fillId="0" borderId="0" xfId="0" applyNumberFormat="1" applyFont="1" applyAlignment="1" applyProtection="1">
      <alignment horizontal="center"/>
      <protection hidden="1"/>
    </xf>
    <xf numFmtId="3" fontId="28" fillId="0" borderId="10" xfId="0" applyNumberFormat="1" applyFont="1" applyBorder="1" applyAlignment="1">
      <alignment horizontal="center"/>
    </xf>
    <xf numFmtId="0" fontId="31" fillId="0" borderId="10" xfId="0" applyFont="1" applyBorder="1"/>
    <xf numFmtId="9" fontId="28" fillId="0" borderId="10" xfId="0" applyNumberFormat="1" applyFont="1" applyBorder="1" applyAlignment="1">
      <alignment horizontal="center"/>
    </xf>
    <xf numFmtId="0" fontId="28" fillId="0" borderId="0" xfId="0" applyFont="1" applyProtection="1">
      <protection hidden="1"/>
    </xf>
    <xf numFmtId="0" fontId="28" fillId="0" borderId="0" xfId="0" applyFont="1" applyAlignment="1" applyProtection="1">
      <alignment horizontal="left" vertical="center"/>
      <protection hidden="1"/>
    </xf>
    <xf numFmtId="0" fontId="28" fillId="0" borderId="10" xfId="0" applyFont="1" applyBorder="1" applyAlignment="1" applyProtection="1">
      <alignment horizontal="left" vertical="center"/>
      <protection hidden="1"/>
    </xf>
    <xf numFmtId="0" fontId="28" fillId="0" borderId="10" xfId="0" applyFont="1" applyBorder="1" applyProtection="1">
      <protection hidden="1"/>
    </xf>
    <xf numFmtId="0" fontId="31" fillId="0" borderId="0" xfId="0" applyFont="1" applyAlignment="1" applyProtection="1">
      <alignment vertical="center"/>
      <protection hidden="1"/>
    </xf>
    <xf numFmtId="0" fontId="31" fillId="0" borderId="0" xfId="0" applyFont="1" applyAlignment="1" applyProtection="1">
      <alignment horizontal="center" vertical="center" wrapText="1"/>
      <protection hidden="1"/>
    </xf>
    <xf numFmtId="0" fontId="31" fillId="0" borderId="0" xfId="0" applyFont="1" applyProtection="1">
      <protection hidden="1"/>
    </xf>
    <xf numFmtId="0" fontId="31" fillId="0" borderId="0" xfId="0" applyFont="1" applyAlignment="1" applyProtection="1">
      <alignment horizontal="center"/>
      <protection hidden="1"/>
    </xf>
    <xf numFmtId="0" fontId="28" fillId="0" borderId="55" xfId="0" applyFont="1" applyBorder="1" applyAlignment="1" applyProtection="1">
      <alignment horizontal="center"/>
      <protection hidden="1"/>
    </xf>
    <xf numFmtId="44" fontId="28" fillId="0" borderId="0" xfId="0" applyNumberFormat="1" applyFont="1" applyProtection="1">
      <protection hidden="1"/>
    </xf>
    <xf numFmtId="44" fontId="28" fillId="0" borderId="0" xfId="0" applyNumberFormat="1" applyFont="1" applyAlignment="1" applyProtection="1">
      <alignment horizontal="right"/>
      <protection hidden="1"/>
    </xf>
    <xf numFmtId="14" fontId="28" fillId="0" borderId="55" xfId="0" applyNumberFormat="1" applyFont="1" applyBorder="1" applyAlignment="1" applyProtection="1">
      <alignment horizontal="center"/>
      <protection hidden="1"/>
    </xf>
    <xf numFmtId="44" fontId="28" fillId="0" borderId="10" xfId="0" applyNumberFormat="1" applyFont="1" applyBorder="1" applyProtection="1">
      <protection hidden="1"/>
    </xf>
    <xf numFmtId="0" fontId="28" fillId="0" borderId="0" xfId="0" applyFont="1" applyAlignment="1" applyProtection="1">
      <alignment horizontal="center"/>
      <protection locked="0" hidden="1"/>
    </xf>
    <xf numFmtId="0" fontId="31" fillId="0" borderId="0" xfId="0" applyFont="1" applyAlignment="1" applyProtection="1">
      <alignment horizontal="left"/>
      <protection hidden="1"/>
    </xf>
    <xf numFmtId="7" fontId="28" fillId="0" borderId="0" xfId="0" applyNumberFormat="1" applyFont="1" applyAlignment="1" applyProtection="1">
      <alignment horizontal="center"/>
      <protection hidden="1"/>
    </xf>
    <xf numFmtId="44" fontId="28" fillId="0" borderId="21" xfId="0" applyNumberFormat="1" applyFont="1" applyBorder="1" applyProtection="1">
      <protection hidden="1"/>
    </xf>
    <xf numFmtId="168" fontId="28" fillId="0" borderId="0" xfId="0" applyNumberFormat="1" applyFont="1" applyAlignment="1" applyProtection="1">
      <alignment horizontal="center"/>
      <protection hidden="1"/>
    </xf>
    <xf numFmtId="44" fontId="31" fillId="0" borderId="0" xfId="0" applyNumberFormat="1" applyFont="1" applyProtection="1">
      <protection hidden="1"/>
    </xf>
    <xf numFmtId="0" fontId="28" fillId="0" borderId="19" xfId="0" applyFont="1" applyBorder="1"/>
    <xf numFmtId="0" fontId="31" fillId="0" borderId="19" xfId="0" applyFont="1" applyBorder="1"/>
    <xf numFmtId="0" fontId="31" fillId="0" borderId="0" xfId="0" applyFont="1" applyAlignment="1">
      <alignment horizontal="center" vertical="top"/>
    </xf>
    <xf numFmtId="0" fontId="15" fillId="0" borderId="0" xfId="0" applyFont="1" applyAlignment="1">
      <alignment horizontal="center" vertical="top"/>
    </xf>
    <xf numFmtId="0" fontId="15" fillId="0" borderId="0" xfId="0" applyFont="1" applyAlignment="1">
      <alignment horizontal="center"/>
    </xf>
    <xf numFmtId="0" fontId="112" fillId="0" borderId="17" xfId="0" applyFont="1" applyBorder="1" applyAlignment="1">
      <alignment horizontal="left" vertical="center"/>
    </xf>
    <xf numFmtId="0" fontId="113" fillId="0" borderId="0" xfId="0" applyFont="1" applyProtection="1">
      <protection hidden="1"/>
    </xf>
    <xf numFmtId="0" fontId="112" fillId="0" borderId="0" xfId="0" applyFont="1" applyProtection="1">
      <protection hidden="1"/>
    </xf>
    <xf numFmtId="0" fontId="114" fillId="0" borderId="0" xfId="0" applyFont="1" applyProtection="1">
      <protection hidden="1"/>
    </xf>
    <xf numFmtId="0" fontId="112" fillId="0" borderId="23" xfId="0" applyFont="1" applyBorder="1" applyAlignment="1" applyProtection="1">
      <alignment horizontal="center"/>
      <protection hidden="1"/>
    </xf>
    <xf numFmtId="0" fontId="112" fillId="0" borderId="3" xfId="0" applyFont="1" applyBorder="1" applyProtection="1">
      <protection hidden="1"/>
    </xf>
    <xf numFmtId="0" fontId="114" fillId="0" borderId="0" xfId="0" applyFont="1"/>
    <xf numFmtId="0" fontId="114" fillId="0" borderId="1" xfId="0" applyFont="1" applyBorder="1" applyProtection="1">
      <protection hidden="1"/>
    </xf>
    <xf numFmtId="0" fontId="115" fillId="0" borderId="0" xfId="0" applyFont="1" applyAlignment="1" applyProtection="1">
      <alignment horizontal="center" vertical="center" wrapText="1"/>
      <protection hidden="1"/>
    </xf>
    <xf numFmtId="0" fontId="112" fillId="0" borderId="0" xfId="0" applyFont="1" applyAlignment="1" applyProtection="1">
      <alignment horizontal="center" vertical="center"/>
      <protection hidden="1"/>
    </xf>
    <xf numFmtId="0" fontId="112" fillId="0" borderId="0" xfId="0" applyFont="1" applyAlignment="1" applyProtection="1">
      <alignment horizontal="left"/>
      <protection hidden="1"/>
    </xf>
    <xf numFmtId="0" fontId="112" fillId="0" borderId="0" xfId="0" applyFont="1" applyAlignment="1" applyProtection="1">
      <alignment horizontal="center"/>
      <protection hidden="1"/>
    </xf>
    <xf numFmtId="0" fontId="116" fillId="0" borderId="0" xfId="0" applyFont="1" applyAlignment="1" applyProtection="1">
      <alignment horizontal="right"/>
      <protection hidden="1"/>
    </xf>
    <xf numFmtId="0" fontId="106" fillId="15" borderId="0" xfId="0" applyFont="1" applyFill="1" applyProtection="1">
      <protection hidden="1"/>
    </xf>
    <xf numFmtId="0" fontId="112" fillId="0" borderId="0" xfId="0" applyFont="1" applyAlignment="1">
      <alignment horizontal="right"/>
    </xf>
    <xf numFmtId="0" fontId="112" fillId="0" borderId="0" xfId="0" applyFont="1" applyAlignment="1">
      <alignment horizontal="center"/>
    </xf>
    <xf numFmtId="0" fontId="114" fillId="0" borderId="0" xfId="0" applyFont="1" applyAlignment="1">
      <alignment horizontal="right"/>
    </xf>
    <xf numFmtId="0" fontId="28" fillId="0" borderId="56" xfId="0" applyFont="1" applyBorder="1" applyProtection="1">
      <protection locked="0" hidden="1"/>
    </xf>
    <xf numFmtId="0" fontId="114" fillId="0" borderId="10" xfId="0" applyFont="1" applyBorder="1"/>
    <xf numFmtId="0" fontId="112" fillId="15" borderId="10" xfId="0" applyFont="1" applyFill="1" applyBorder="1" applyAlignment="1">
      <alignment horizontal="right" vertical="top"/>
    </xf>
    <xf numFmtId="0" fontId="113" fillId="0" borderId="0" xfId="0" applyFont="1" applyAlignment="1">
      <alignment horizontal="center" vertical="top"/>
    </xf>
    <xf numFmtId="0" fontId="117" fillId="0" borderId="0" xfId="0" applyFont="1" applyAlignment="1" applyProtection="1">
      <alignment horizontal="center" vertical="center"/>
      <protection hidden="1"/>
    </xf>
    <xf numFmtId="0" fontId="118" fillId="0" borderId="0" xfId="0" applyFont="1"/>
    <xf numFmtId="0" fontId="119" fillId="0" borderId="0" xfId="0" applyFont="1" applyAlignment="1">
      <alignment horizontal="center" vertical="top"/>
    </xf>
    <xf numFmtId="0" fontId="120" fillId="0" borderId="0" xfId="0" applyFont="1"/>
    <xf numFmtId="0" fontId="112" fillId="0" borderId="0" xfId="0" applyFont="1" applyAlignment="1" applyProtection="1">
      <alignment horizontal="left" vertical="center"/>
      <protection hidden="1"/>
    </xf>
    <xf numFmtId="0" fontId="121" fillId="0" borderId="0" xfId="0" applyFont="1"/>
    <xf numFmtId="16" fontId="28" fillId="0" borderId="57" xfId="0" applyNumberFormat="1" applyFont="1" applyBorder="1" applyAlignment="1" applyProtection="1">
      <alignment horizontal="left"/>
      <protection locked="0" hidden="1"/>
    </xf>
    <xf numFmtId="14" fontId="28" fillId="0" borderId="57" xfId="0" applyNumberFormat="1" applyFont="1" applyBorder="1" applyAlignment="1" applyProtection="1">
      <alignment horizontal="center"/>
      <protection locked="0"/>
    </xf>
    <xf numFmtId="0" fontId="29" fillId="0" borderId="0" xfId="0" applyFont="1" applyAlignment="1">
      <alignment horizontal="center" vertical="top"/>
    </xf>
    <xf numFmtId="1" fontId="28" fillId="0" borderId="57" xfId="0" applyNumberFormat="1" applyFont="1" applyBorder="1" applyAlignment="1" applyProtection="1">
      <alignment horizontal="center"/>
      <protection locked="0"/>
    </xf>
    <xf numFmtId="0" fontId="31" fillId="0" borderId="0" xfId="0" applyFont="1" applyAlignment="1" applyProtection="1">
      <alignment horizontal="center" vertical="center"/>
      <protection hidden="1"/>
    </xf>
    <xf numFmtId="0" fontId="31" fillId="0" borderId="57" xfId="0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/>
    </xf>
    <xf numFmtId="0" fontId="28" fillId="0" borderId="57" xfId="0" applyFont="1" applyBorder="1" applyAlignment="1" applyProtection="1">
      <alignment horizontal="left"/>
      <protection locked="0" hidden="1"/>
    </xf>
    <xf numFmtId="0" fontId="112" fillId="0" borderId="0" xfId="0" applyFont="1" applyAlignment="1">
      <alignment horizontal="left"/>
    </xf>
    <xf numFmtId="0" fontId="112" fillId="0" borderId="10" xfId="0" applyFont="1" applyBorder="1" applyAlignment="1">
      <alignment horizontal="center"/>
    </xf>
    <xf numFmtId="0" fontId="106" fillId="0" borderId="0" xfId="0" applyFont="1" applyProtection="1">
      <protection hidden="1"/>
    </xf>
    <xf numFmtId="9" fontId="106" fillId="0" borderId="0" xfId="5" applyFont="1" applyFill="1" applyBorder="1" applyProtection="1">
      <protection hidden="1"/>
    </xf>
    <xf numFmtId="0" fontId="113" fillId="0" borderId="19" xfId="0" applyFont="1" applyBorder="1" applyAlignment="1">
      <alignment vertical="top"/>
    </xf>
    <xf numFmtId="0" fontId="76" fillId="0" borderId="0" xfId="0" applyFont="1" applyProtection="1">
      <protection hidden="1"/>
    </xf>
    <xf numFmtId="0" fontId="28" fillId="0" borderId="0" xfId="0" applyFont="1" applyProtection="1">
      <protection locked="0"/>
    </xf>
    <xf numFmtId="14" fontId="28" fillId="0" borderId="0" xfId="0" applyNumberFormat="1" applyFont="1" applyProtection="1">
      <protection locked="0"/>
    </xf>
    <xf numFmtId="166" fontId="61" fillId="0" borderId="12" xfId="0" applyNumberFormat="1" applyFont="1" applyBorder="1" applyProtection="1">
      <protection hidden="1"/>
    </xf>
    <xf numFmtId="0" fontId="56" fillId="22" borderId="11" xfId="0" applyFont="1" applyFill="1" applyBorder="1" applyAlignment="1" applyProtection="1">
      <alignment horizontal="center" vertical="center"/>
      <protection hidden="1"/>
    </xf>
    <xf numFmtId="9" fontId="61" fillId="0" borderId="0" xfId="0" applyNumberFormat="1" applyFont="1" applyAlignment="1" applyProtection="1">
      <alignment horizontal="center" vertical="center"/>
      <protection hidden="1"/>
    </xf>
    <xf numFmtId="9" fontId="61" fillId="0" borderId="0" xfId="0" applyNumberFormat="1" applyFont="1" applyProtection="1">
      <protection hidden="1"/>
    </xf>
    <xf numFmtId="49" fontId="55" fillId="0" borderId="0" xfId="0" applyNumberFormat="1" applyFont="1" applyProtection="1">
      <protection hidden="1"/>
    </xf>
    <xf numFmtId="9" fontId="75" fillId="0" borderId="0" xfId="5" applyFont="1" applyBorder="1" applyProtection="1"/>
    <xf numFmtId="9" fontId="56" fillId="0" borderId="8" xfId="0" applyNumberFormat="1" applyFont="1" applyBorder="1" applyAlignment="1" applyProtection="1">
      <alignment horizontal="center"/>
      <protection hidden="1"/>
    </xf>
    <xf numFmtId="1" fontId="55" fillId="0" borderId="27" xfId="0" applyNumberFormat="1" applyFont="1" applyBorder="1" applyAlignment="1" applyProtection="1">
      <alignment horizontal="center"/>
      <protection hidden="1"/>
    </xf>
    <xf numFmtId="1" fontId="55" fillId="0" borderId="3" xfId="0" applyNumberFormat="1" applyFont="1" applyBorder="1" applyAlignment="1" applyProtection="1">
      <alignment horizontal="center"/>
      <protection hidden="1"/>
    </xf>
    <xf numFmtId="0" fontId="55" fillId="0" borderId="3" xfId="0" applyFont="1" applyBorder="1" applyAlignment="1" applyProtection="1">
      <alignment horizontal="center"/>
      <protection hidden="1"/>
    </xf>
    <xf numFmtId="0" fontId="55" fillId="0" borderId="29" xfId="0" applyFont="1" applyBorder="1" applyAlignment="1" applyProtection="1">
      <alignment horizontal="center"/>
      <protection hidden="1"/>
    </xf>
    <xf numFmtId="3" fontId="63" fillId="12" borderId="7" xfId="0" applyNumberFormat="1" applyFont="1" applyFill="1" applyBorder="1" applyProtection="1">
      <protection hidden="1"/>
    </xf>
    <xf numFmtId="3" fontId="63" fillId="12" borderId="58" xfId="0" applyNumberFormat="1" applyFont="1" applyFill="1" applyBorder="1" applyProtection="1">
      <protection hidden="1"/>
    </xf>
    <xf numFmtId="0" fontId="63" fillId="0" borderId="0" xfId="0" applyFont="1" applyAlignment="1" applyProtection="1">
      <alignment horizontal="center"/>
      <protection hidden="1"/>
    </xf>
    <xf numFmtId="0" fontId="93" fillId="11" borderId="30" xfId="0" applyFont="1" applyFill="1" applyBorder="1" applyAlignment="1" applyProtection="1">
      <alignment horizontal="center" vertical="center" wrapText="1"/>
      <protection hidden="1"/>
    </xf>
    <xf numFmtId="0" fontId="93" fillId="11" borderId="44" xfId="0" applyFont="1" applyFill="1" applyBorder="1" applyAlignment="1" applyProtection="1">
      <alignment horizontal="center" vertical="center"/>
      <protection hidden="1"/>
    </xf>
    <xf numFmtId="0" fontId="93" fillId="11" borderId="44" xfId="0" applyFont="1" applyFill="1" applyBorder="1" applyAlignment="1" applyProtection="1">
      <alignment horizontal="center" vertical="center" wrapText="1"/>
      <protection hidden="1"/>
    </xf>
    <xf numFmtId="166" fontId="61" fillId="0" borderId="59" xfId="0" applyNumberFormat="1" applyFont="1" applyBorder="1" applyAlignment="1" applyProtection="1">
      <alignment horizontal="center"/>
      <protection hidden="1"/>
    </xf>
    <xf numFmtId="0" fontId="63" fillId="16" borderId="12" xfId="0" applyFont="1" applyFill="1" applyBorder="1" applyProtection="1">
      <protection hidden="1"/>
    </xf>
    <xf numFmtId="0" fontId="63" fillId="16" borderId="0" xfId="0" applyFont="1" applyFill="1" applyAlignment="1" applyProtection="1">
      <alignment horizontal="center"/>
      <protection hidden="1"/>
    </xf>
    <xf numFmtId="0" fontId="63" fillId="16" borderId="31" xfId="0" applyFont="1" applyFill="1" applyBorder="1" applyProtection="1">
      <protection hidden="1"/>
    </xf>
    <xf numFmtId="0" fontId="63" fillId="16" borderId="21" xfId="0" applyFont="1" applyFill="1" applyBorder="1" applyAlignment="1" applyProtection="1">
      <alignment horizontal="center"/>
      <protection hidden="1"/>
    </xf>
    <xf numFmtId="0" fontId="63" fillId="0" borderId="12" xfId="0" applyFont="1" applyBorder="1" applyAlignment="1" applyProtection="1">
      <alignment horizontal="center"/>
      <protection hidden="1"/>
    </xf>
    <xf numFmtId="0" fontId="63" fillId="16" borderId="12" xfId="0" applyFont="1" applyFill="1" applyBorder="1" applyAlignment="1" applyProtection="1">
      <alignment horizontal="center"/>
      <protection hidden="1"/>
    </xf>
    <xf numFmtId="0" fontId="63" fillId="16" borderId="31" xfId="0" applyFont="1" applyFill="1" applyBorder="1" applyAlignment="1" applyProtection="1">
      <alignment horizontal="center"/>
      <protection hidden="1"/>
    </xf>
    <xf numFmtId="0" fontId="61" fillId="23" borderId="45" xfId="0" applyFont="1" applyFill="1" applyBorder="1" applyAlignment="1" applyProtection="1">
      <alignment horizontal="center"/>
      <protection hidden="1"/>
    </xf>
    <xf numFmtId="0" fontId="61" fillId="23" borderId="59" xfId="0" applyFont="1" applyFill="1" applyBorder="1" applyAlignment="1" applyProtection="1">
      <alignment horizontal="center"/>
      <protection hidden="1"/>
    </xf>
    <xf numFmtId="164" fontId="61" fillId="24" borderId="23" xfId="0" applyNumberFormat="1" applyFont="1" applyFill="1" applyBorder="1" applyAlignment="1" applyProtection="1">
      <alignment horizontal="center"/>
      <protection hidden="1"/>
    </xf>
    <xf numFmtId="0" fontId="56" fillId="24" borderId="23" xfId="0" applyFont="1" applyFill="1" applyBorder="1" applyAlignment="1" applyProtection="1">
      <alignment horizontal="center"/>
      <protection hidden="1"/>
    </xf>
    <xf numFmtId="173" fontId="55" fillId="0" borderId="0" xfId="5" applyNumberFormat="1" applyFont="1" applyProtection="1">
      <protection hidden="1"/>
    </xf>
    <xf numFmtId="0" fontId="104" fillId="25" borderId="0" xfId="0" applyFont="1" applyFill="1" applyProtection="1">
      <protection hidden="1"/>
    </xf>
    <xf numFmtId="0" fontId="104" fillId="25" borderId="60" xfId="0" applyFont="1" applyFill="1" applyBorder="1" applyProtection="1">
      <protection hidden="1"/>
    </xf>
    <xf numFmtId="0" fontId="104" fillId="25" borderId="61" xfId="0" applyFont="1" applyFill="1" applyBorder="1" applyProtection="1">
      <protection hidden="1"/>
    </xf>
    <xf numFmtId="0" fontId="104" fillId="25" borderId="62" xfId="0" applyFont="1" applyFill="1" applyBorder="1" applyProtection="1">
      <protection hidden="1"/>
    </xf>
    <xf numFmtId="0" fontId="105" fillId="25" borderId="56" xfId="0" applyFont="1" applyFill="1" applyBorder="1" applyAlignment="1" applyProtection="1">
      <alignment horizontal="right"/>
      <protection locked="0" hidden="1"/>
    </xf>
    <xf numFmtId="0" fontId="105" fillId="25" borderId="0" xfId="0" applyFont="1" applyFill="1" applyProtection="1">
      <protection hidden="1"/>
    </xf>
    <xf numFmtId="0" fontId="105" fillId="25" borderId="63" xfId="0" applyFont="1" applyFill="1" applyBorder="1" applyProtection="1">
      <protection hidden="1"/>
    </xf>
    <xf numFmtId="0" fontId="105" fillId="25" borderId="56" xfId="0" applyFont="1" applyFill="1" applyBorder="1" applyAlignment="1" applyProtection="1">
      <alignment horizontal="right"/>
      <protection hidden="1"/>
    </xf>
    <xf numFmtId="3" fontId="105" fillId="25" borderId="56" xfId="0" applyNumberFormat="1" applyFont="1" applyFill="1" applyBorder="1" applyAlignment="1" applyProtection="1">
      <alignment horizontal="right"/>
      <protection hidden="1"/>
    </xf>
    <xf numFmtId="165" fontId="105" fillId="25" borderId="56" xfId="0" applyNumberFormat="1" applyFont="1" applyFill="1" applyBorder="1" applyAlignment="1" applyProtection="1">
      <alignment horizontal="right"/>
      <protection locked="0" hidden="1"/>
    </xf>
    <xf numFmtId="9" fontId="105" fillId="25" borderId="56" xfId="0" applyNumberFormat="1" applyFont="1" applyFill="1" applyBorder="1" applyAlignment="1" applyProtection="1">
      <alignment horizontal="right"/>
      <protection locked="0" hidden="1"/>
    </xf>
    <xf numFmtId="0" fontId="104" fillId="25" borderId="64" xfId="0" applyFont="1" applyFill="1" applyBorder="1" applyProtection="1">
      <protection hidden="1"/>
    </xf>
    <xf numFmtId="0" fontId="104" fillId="25" borderId="52" xfId="0" applyFont="1" applyFill="1" applyBorder="1" applyProtection="1">
      <protection hidden="1"/>
    </xf>
    <xf numFmtId="0" fontId="104" fillId="25" borderId="65" xfId="0" applyFont="1" applyFill="1" applyBorder="1" applyProtection="1">
      <protection hidden="1"/>
    </xf>
    <xf numFmtId="0" fontId="104" fillId="25" borderId="63" xfId="0" applyFont="1" applyFill="1" applyBorder="1" applyProtection="1">
      <protection hidden="1"/>
    </xf>
    <xf numFmtId="0" fontId="104" fillId="25" borderId="66" xfId="0" applyFont="1" applyFill="1" applyBorder="1" applyProtection="1">
      <protection hidden="1"/>
    </xf>
    <xf numFmtId="0" fontId="66" fillId="0" borderId="0" xfId="0" applyFont="1" applyProtection="1">
      <protection hidden="1"/>
    </xf>
    <xf numFmtId="0" fontId="104" fillId="0" borderId="0" xfId="0" applyFont="1" applyAlignment="1" applyProtection="1">
      <alignment horizontal="center"/>
      <protection hidden="1"/>
    </xf>
    <xf numFmtId="0" fontId="105" fillId="0" borderId="0" xfId="0" applyFont="1" applyProtection="1">
      <protection hidden="1"/>
    </xf>
    <xf numFmtId="0" fontId="105" fillId="0" borderId="0" xfId="0" applyFont="1" applyAlignment="1" applyProtection="1">
      <alignment horizontal="center"/>
      <protection hidden="1"/>
    </xf>
    <xf numFmtId="0" fontId="104" fillId="0" borderId="11" xfId="0" applyFont="1" applyBorder="1" applyAlignment="1" applyProtection="1">
      <alignment horizontal="center"/>
      <protection hidden="1"/>
    </xf>
    <xf numFmtId="0" fontId="104" fillId="0" borderId="67" xfId="0" applyFont="1" applyBorder="1" applyAlignment="1" applyProtection="1">
      <alignment horizontal="center"/>
      <protection hidden="1"/>
    </xf>
    <xf numFmtId="0" fontId="104" fillId="0" borderId="8" xfId="0" applyFont="1" applyBorder="1" applyAlignment="1" applyProtection="1">
      <alignment horizontal="center"/>
      <protection hidden="1"/>
    </xf>
    <xf numFmtId="3" fontId="104" fillId="0" borderId="8" xfId="0" applyNumberFormat="1" applyFont="1" applyBorder="1" applyAlignment="1" applyProtection="1">
      <alignment horizontal="center"/>
      <protection hidden="1"/>
    </xf>
    <xf numFmtId="3" fontId="104" fillId="0" borderId="0" xfId="0" applyNumberFormat="1" applyFont="1" applyAlignment="1" applyProtection="1">
      <alignment horizontal="center"/>
      <protection hidden="1"/>
    </xf>
    <xf numFmtId="3" fontId="104" fillId="0" borderId="67" xfId="0" applyNumberFormat="1" applyFont="1" applyBorder="1" applyAlignment="1" applyProtection="1">
      <alignment horizontal="center"/>
      <protection hidden="1"/>
    </xf>
    <xf numFmtId="9" fontId="104" fillId="0" borderId="67" xfId="0" applyNumberFormat="1" applyFont="1" applyBorder="1" applyAlignment="1" applyProtection="1">
      <alignment horizontal="center"/>
      <protection hidden="1"/>
    </xf>
    <xf numFmtId="0" fontId="104" fillId="0" borderId="9" xfId="0" applyFont="1" applyBorder="1" applyAlignment="1" applyProtection="1">
      <alignment horizontal="center"/>
      <protection hidden="1"/>
    </xf>
    <xf numFmtId="0" fontId="67" fillId="0" borderId="0" xfId="0" applyFont="1" applyProtection="1">
      <protection locked="0" hidden="1"/>
    </xf>
    <xf numFmtId="9" fontId="104" fillId="0" borderId="9" xfId="0" applyNumberFormat="1" applyFont="1" applyBorder="1" applyAlignment="1" applyProtection="1">
      <alignment horizontal="center"/>
      <protection hidden="1"/>
    </xf>
    <xf numFmtId="176" fontId="104" fillId="0" borderId="0" xfId="1" applyNumberFormat="1" applyFont="1" applyFill="1" applyAlignment="1" applyProtection="1">
      <alignment horizontal="center"/>
      <protection hidden="1"/>
    </xf>
    <xf numFmtId="3" fontId="104" fillId="0" borderId="9" xfId="0" applyNumberFormat="1" applyFont="1" applyBorder="1" applyAlignment="1" applyProtection="1">
      <alignment horizontal="center"/>
      <protection hidden="1"/>
    </xf>
    <xf numFmtId="3" fontId="104" fillId="0" borderId="11" xfId="0" applyNumberFormat="1" applyFont="1" applyBorder="1" applyAlignment="1" applyProtection="1">
      <alignment horizontal="center"/>
      <protection hidden="1"/>
    </xf>
    <xf numFmtId="166" fontId="61" fillId="0" borderId="0" xfId="0" applyNumberFormat="1" applyFont="1" applyAlignment="1" applyProtection="1">
      <alignment horizontal="center"/>
      <protection hidden="1"/>
    </xf>
    <xf numFmtId="0" fontId="93" fillId="11" borderId="79" xfId="0" applyFont="1" applyFill="1" applyBorder="1" applyAlignment="1" applyProtection="1">
      <alignment horizontal="center" vertical="center" wrapText="1"/>
      <protection hidden="1"/>
    </xf>
    <xf numFmtId="166" fontId="61" fillId="0" borderId="16" xfId="0" applyNumberFormat="1" applyFont="1" applyBorder="1" applyAlignment="1" applyProtection="1">
      <alignment horizontal="center"/>
      <protection hidden="1"/>
    </xf>
    <xf numFmtId="166" fontId="61" fillId="0" borderId="14" xfId="0" applyNumberFormat="1" applyFont="1" applyBorder="1" applyAlignment="1" applyProtection="1">
      <alignment horizontal="center"/>
      <protection hidden="1"/>
    </xf>
    <xf numFmtId="166" fontId="61" fillId="0" borderId="24" xfId="0" applyNumberFormat="1" applyFont="1" applyBorder="1" applyAlignment="1" applyProtection="1">
      <alignment horizontal="center"/>
      <protection hidden="1"/>
    </xf>
    <xf numFmtId="166" fontId="61" fillId="0" borderId="80" xfId="0" applyNumberFormat="1" applyFont="1" applyBorder="1" applyAlignment="1" applyProtection="1">
      <alignment horizontal="center"/>
      <protection hidden="1"/>
    </xf>
    <xf numFmtId="171" fontId="63" fillId="0" borderId="0" xfId="0" applyNumberFormat="1" applyFont="1" applyAlignment="1" applyProtection="1">
      <alignment horizontal="center"/>
      <protection hidden="1"/>
    </xf>
    <xf numFmtId="171" fontId="63" fillId="16" borderId="0" xfId="0" applyNumberFormat="1" applyFont="1" applyFill="1" applyAlignment="1" applyProtection="1">
      <alignment horizontal="center"/>
      <protection hidden="1"/>
    </xf>
    <xf numFmtId="171" fontId="63" fillId="16" borderId="21" xfId="0" applyNumberFormat="1" applyFont="1" applyFill="1" applyBorder="1" applyAlignment="1" applyProtection="1">
      <alignment horizontal="center"/>
      <protection hidden="1"/>
    </xf>
    <xf numFmtId="10" fontId="20" fillId="0" borderId="11" xfId="0" applyNumberFormat="1" applyFont="1" applyBorder="1"/>
    <xf numFmtId="0" fontId="61" fillId="0" borderId="0" xfId="0" applyFont="1" applyAlignment="1" applyProtection="1">
      <alignment horizontal="center"/>
      <protection hidden="1"/>
    </xf>
    <xf numFmtId="0" fontId="56" fillId="24" borderId="0" xfId="0" applyFont="1" applyFill="1" applyAlignment="1" applyProtection="1">
      <alignment horizontal="center"/>
      <protection hidden="1"/>
    </xf>
    <xf numFmtId="176" fontId="61" fillId="0" borderId="44" xfId="1" applyNumberFormat="1" applyFont="1" applyFill="1" applyBorder="1" applyAlignment="1" applyProtection="1">
      <alignment horizontal="center"/>
      <protection hidden="1"/>
    </xf>
    <xf numFmtId="176" fontId="61" fillId="0" borderId="0" xfId="1" applyNumberFormat="1" applyFont="1" applyFill="1" applyBorder="1" applyAlignment="1" applyProtection="1">
      <alignment horizontal="center"/>
      <protection hidden="1"/>
    </xf>
    <xf numFmtId="176" fontId="61" fillId="0" borderId="21" xfId="1" applyNumberFormat="1" applyFont="1" applyFill="1" applyBorder="1" applyAlignment="1" applyProtection="1">
      <alignment horizontal="center"/>
      <protection hidden="1"/>
    </xf>
    <xf numFmtId="171" fontId="55" fillId="0" borderId="0" xfId="0" applyNumberFormat="1" applyFont="1" applyAlignment="1" applyProtection="1">
      <alignment horizontal="center"/>
      <protection hidden="1"/>
    </xf>
    <xf numFmtId="171" fontId="61" fillId="13" borderId="23" xfId="0" applyNumberFormat="1" applyFont="1" applyFill="1" applyBorder="1" applyAlignment="1" applyProtection="1">
      <alignment horizontal="center"/>
      <protection hidden="1"/>
    </xf>
    <xf numFmtId="0" fontId="61" fillId="0" borderId="59" xfId="0" applyFont="1" applyBorder="1" applyAlignment="1" applyProtection="1">
      <alignment horizontal="center"/>
      <protection hidden="1"/>
    </xf>
    <xf numFmtId="0" fontId="61" fillId="23" borderId="46" xfId="0" applyFont="1" applyFill="1" applyBorder="1" applyAlignment="1" applyProtection="1">
      <alignment horizontal="center"/>
      <protection hidden="1"/>
    </xf>
    <xf numFmtId="0" fontId="63" fillId="10" borderId="0" xfId="0" applyFont="1" applyFill="1" applyAlignment="1" applyProtection="1">
      <alignment horizontal="center"/>
      <protection hidden="1"/>
    </xf>
    <xf numFmtId="0" fontId="114" fillId="0" borderId="0" xfId="0" applyFont="1" applyProtection="1">
      <protection locked="0"/>
    </xf>
    <xf numFmtId="9" fontId="31" fillId="0" borderId="0" xfId="0" applyNumberFormat="1" applyFont="1" applyAlignment="1" applyProtection="1">
      <alignment horizontal="center"/>
      <protection hidden="1"/>
    </xf>
    <xf numFmtId="7" fontId="28" fillId="0" borderId="0" xfId="0" applyNumberFormat="1" applyFont="1" applyProtection="1">
      <protection hidden="1"/>
    </xf>
    <xf numFmtId="166" fontId="61" fillId="0" borderId="17" xfId="0" applyNumberFormat="1" applyFont="1" applyBorder="1" applyAlignment="1" applyProtection="1">
      <alignment horizontal="center"/>
      <protection hidden="1"/>
    </xf>
    <xf numFmtId="166" fontId="61" fillId="0" borderId="10" xfId="0" applyNumberFormat="1" applyFont="1" applyBorder="1" applyAlignment="1" applyProtection="1">
      <alignment horizontal="center"/>
      <protection hidden="1"/>
    </xf>
    <xf numFmtId="166" fontId="61" fillId="0" borderId="81" xfId="0" applyNumberFormat="1" applyFont="1" applyBorder="1" applyAlignment="1" applyProtection="1">
      <alignment horizontal="center"/>
      <protection hidden="1"/>
    </xf>
    <xf numFmtId="166" fontId="61" fillId="0" borderId="19" xfId="0" applyNumberFormat="1" applyFont="1" applyBorder="1" applyAlignment="1" applyProtection="1">
      <alignment horizontal="center"/>
      <protection hidden="1"/>
    </xf>
    <xf numFmtId="0" fontId="27" fillId="0" borderId="33" xfId="0" applyFont="1" applyBorder="1" applyAlignment="1" applyProtection="1">
      <alignment horizontal="center"/>
      <protection locked="0"/>
    </xf>
    <xf numFmtId="0" fontId="27" fillId="0" borderId="35" xfId="0" applyFont="1" applyBorder="1" applyAlignment="1" applyProtection="1">
      <alignment horizontal="center"/>
      <protection locked="0"/>
    </xf>
    <xf numFmtId="0" fontId="19" fillId="0" borderId="33" xfId="0" applyFont="1" applyBorder="1" applyAlignment="1" applyProtection="1">
      <alignment horizontal="center"/>
      <protection locked="0"/>
    </xf>
    <xf numFmtId="0" fontId="19" fillId="0" borderId="35" xfId="0" applyFont="1" applyBorder="1" applyAlignment="1" applyProtection="1">
      <alignment horizontal="center"/>
      <protection locked="0"/>
    </xf>
    <xf numFmtId="0" fontId="113" fillId="0" borderId="19" xfId="0" applyFont="1" applyBorder="1" applyAlignment="1">
      <alignment horizontal="center" vertical="top"/>
    </xf>
    <xf numFmtId="0" fontId="113" fillId="26" borderId="0" xfId="0" applyFont="1" applyFill="1" applyAlignment="1" applyProtection="1">
      <alignment horizontal="center" vertical="top"/>
      <protection locked="0"/>
    </xf>
    <xf numFmtId="0" fontId="117" fillId="0" borderId="17" xfId="0" applyFont="1" applyBorder="1" applyAlignment="1">
      <alignment horizontal="left" vertical="center"/>
    </xf>
    <xf numFmtId="0" fontId="117" fillId="0" borderId="0" xfId="0" applyFont="1" applyAlignment="1" applyProtection="1">
      <alignment horizontal="center" vertical="center"/>
      <protection hidden="1"/>
    </xf>
    <xf numFmtId="0" fontId="113" fillId="26" borderId="0" xfId="0" applyFont="1" applyFill="1" applyAlignment="1" applyProtection="1">
      <alignment horizontal="center" vertical="top" wrapText="1"/>
      <protection locked="0"/>
    </xf>
    <xf numFmtId="0" fontId="84" fillId="0" borderId="16" xfId="0" applyFont="1" applyBorder="1" applyAlignment="1" applyProtection="1">
      <alignment horizontal="center"/>
      <protection locked="0"/>
    </xf>
    <xf numFmtId="0" fontId="84" fillId="0" borderId="17" xfId="0" applyFont="1" applyBorder="1" applyAlignment="1" applyProtection="1">
      <alignment horizontal="center"/>
      <protection locked="0"/>
    </xf>
    <xf numFmtId="0" fontId="84" fillId="0" borderId="18" xfId="0" applyFont="1" applyBorder="1" applyAlignment="1" applyProtection="1">
      <alignment horizontal="center"/>
      <protection locked="0"/>
    </xf>
    <xf numFmtId="0" fontId="107" fillId="20" borderId="33" xfId="0" applyFont="1" applyFill="1" applyBorder="1" applyAlignment="1" applyProtection="1">
      <alignment horizontal="center"/>
      <protection locked="0"/>
    </xf>
    <xf numFmtId="0" fontId="107" fillId="20" borderId="34" xfId="0" applyFont="1" applyFill="1" applyBorder="1" applyAlignment="1" applyProtection="1">
      <alignment horizontal="center"/>
      <protection locked="0"/>
    </xf>
    <xf numFmtId="0" fontId="122" fillId="0" borderId="0" xfId="0" applyFont="1" applyAlignment="1">
      <alignment horizontal="center"/>
    </xf>
    <xf numFmtId="49" fontId="28" fillId="0" borderId="68" xfId="0" applyNumberFormat="1" applyFont="1" applyBorder="1" applyAlignment="1" applyProtection="1">
      <alignment horizontal="left"/>
      <protection locked="0" hidden="1"/>
    </xf>
    <xf numFmtId="49" fontId="28" fillId="0" borderId="69" xfId="0" applyNumberFormat="1" applyFont="1" applyBorder="1" applyAlignment="1" applyProtection="1">
      <alignment horizontal="left"/>
      <protection locked="0" hidden="1"/>
    </xf>
    <xf numFmtId="49" fontId="28" fillId="0" borderId="70" xfId="0" applyNumberFormat="1" applyFont="1" applyBorder="1" applyAlignment="1" applyProtection="1">
      <alignment horizontal="left"/>
      <protection locked="0" hidden="1"/>
    </xf>
    <xf numFmtId="0" fontId="28" fillId="0" borderId="71" xfId="0" applyFont="1" applyBorder="1" applyAlignment="1" applyProtection="1">
      <alignment horizontal="left"/>
      <protection locked="0" hidden="1"/>
    </xf>
    <xf numFmtId="0" fontId="28" fillId="0" borderId="72" xfId="0" applyFont="1" applyBorder="1" applyAlignment="1" applyProtection="1">
      <alignment horizontal="left"/>
      <protection locked="0" hidden="1"/>
    </xf>
    <xf numFmtId="0" fontId="28" fillId="0" borderId="73" xfId="0" applyFont="1" applyBorder="1" applyAlignment="1" applyProtection="1">
      <alignment horizontal="left"/>
      <protection locked="0" hidden="1"/>
    </xf>
    <xf numFmtId="0" fontId="65" fillId="25" borderId="66" xfId="0" applyFont="1" applyFill="1" applyBorder="1" applyAlignment="1" applyProtection="1">
      <alignment horizontal="right"/>
      <protection hidden="1"/>
    </xf>
    <xf numFmtId="0" fontId="65" fillId="25" borderId="0" xfId="0" applyFont="1" applyFill="1" applyAlignment="1" applyProtection="1">
      <alignment horizontal="right"/>
      <protection hidden="1"/>
    </xf>
    <xf numFmtId="0" fontId="65" fillId="25" borderId="74" xfId="0" applyFont="1" applyFill="1" applyBorder="1" applyAlignment="1" applyProtection="1">
      <alignment horizontal="right"/>
      <protection hidden="1"/>
    </xf>
    <xf numFmtId="0" fontId="123" fillId="25" borderId="21" xfId="0" applyFont="1" applyFill="1" applyBorder="1" applyAlignment="1" applyProtection="1">
      <alignment horizontal="center"/>
      <protection hidden="1"/>
    </xf>
    <xf numFmtId="0" fontId="124" fillId="25" borderId="66" xfId="0" applyFont="1" applyFill="1" applyBorder="1" applyProtection="1">
      <protection hidden="1"/>
    </xf>
    <xf numFmtId="0" fontId="124" fillId="25" borderId="0" xfId="0" applyFont="1" applyFill="1" applyProtection="1">
      <protection hidden="1"/>
    </xf>
    <xf numFmtId="0" fontId="104" fillId="25" borderId="75" xfId="0" applyFont="1" applyFill="1" applyBorder="1" applyProtection="1">
      <protection hidden="1"/>
    </xf>
    <xf numFmtId="0" fontId="104" fillId="25" borderId="0" xfId="0" applyFont="1" applyFill="1" applyProtection="1">
      <protection hidden="1"/>
    </xf>
    <xf numFmtId="0" fontId="104" fillId="25" borderId="63" xfId="0" applyFont="1" applyFill="1" applyBorder="1" applyProtection="1">
      <protection hidden="1"/>
    </xf>
    <xf numFmtId="0" fontId="28" fillId="0" borderId="0" xfId="0" applyFont="1" applyAlignment="1" applyProtection="1">
      <alignment horizontal="justify" wrapText="1"/>
      <protection hidden="1"/>
    </xf>
    <xf numFmtId="0" fontId="28" fillId="0" borderId="0" xfId="0" applyFont="1" applyAlignment="1" applyProtection="1">
      <alignment horizontal="justify"/>
      <protection hidden="1"/>
    </xf>
    <xf numFmtId="0" fontId="28" fillId="0" borderId="76" xfId="0" applyFont="1" applyBorder="1" applyAlignment="1" applyProtection="1">
      <alignment horizontal="left"/>
      <protection hidden="1"/>
    </xf>
    <xf numFmtId="0" fontId="28" fillId="0" borderId="77" xfId="0" applyFont="1" applyBorder="1" applyAlignment="1" applyProtection="1">
      <alignment horizontal="left"/>
      <protection hidden="1"/>
    </xf>
    <xf numFmtId="0" fontId="28" fillId="0" borderId="78" xfId="0" applyFont="1" applyBorder="1" applyAlignment="1" applyProtection="1">
      <alignment horizontal="left"/>
      <protection hidden="1"/>
    </xf>
    <xf numFmtId="0" fontId="31" fillId="0" borderId="16" xfId="0" applyFont="1" applyBorder="1" applyAlignment="1" applyProtection="1">
      <alignment horizontal="center" vertical="center" wrapText="1"/>
      <protection hidden="1"/>
    </xf>
    <xf numFmtId="0" fontId="31" fillId="0" borderId="17" xfId="0" applyFont="1" applyBorder="1" applyAlignment="1" applyProtection="1">
      <alignment horizontal="center" vertical="center" wrapText="1"/>
      <protection hidden="1"/>
    </xf>
    <xf numFmtId="0" fontId="31" fillId="0" borderId="18" xfId="0" applyFont="1" applyBorder="1" applyAlignment="1" applyProtection="1">
      <alignment horizontal="center" vertical="center" wrapText="1"/>
      <protection hidden="1"/>
    </xf>
    <xf numFmtId="0" fontId="28" fillId="0" borderId="0" xfId="0" applyFont="1" applyAlignment="1" applyProtection="1">
      <alignment horizontal="justify" vertical="center" wrapText="1"/>
      <protection hidden="1"/>
    </xf>
    <xf numFmtId="0" fontId="112" fillId="0" borderId="33" xfId="0" applyFont="1" applyBorder="1" applyAlignment="1" applyProtection="1">
      <alignment horizontal="center"/>
      <protection hidden="1"/>
    </xf>
    <xf numFmtId="0" fontId="112" fillId="0" borderId="34" xfId="0" applyFont="1" applyBorder="1" applyAlignment="1" applyProtection="1">
      <alignment horizontal="center"/>
      <protection hidden="1"/>
    </xf>
    <xf numFmtId="0" fontId="112" fillId="0" borderId="35" xfId="0" applyFont="1" applyBorder="1" applyAlignment="1" applyProtection="1">
      <alignment horizontal="center"/>
      <protection hidden="1"/>
    </xf>
    <xf numFmtId="0" fontId="28" fillId="0" borderId="0" xfId="0" applyFont="1" applyAlignment="1" applyProtection="1">
      <alignment horizontal="left"/>
      <protection hidden="1"/>
    </xf>
    <xf numFmtId="0" fontId="126" fillId="0" borderId="0" xfId="0" applyFont="1" applyAlignment="1" applyProtection="1">
      <alignment horizontal="center" vertical="center" wrapText="1"/>
      <protection hidden="1"/>
    </xf>
    <xf numFmtId="0" fontId="28" fillId="0" borderId="10" xfId="0" applyFont="1" applyBorder="1" applyAlignment="1" applyProtection="1">
      <alignment horizontal="justify" vertical="center" wrapText="1"/>
      <protection hidden="1"/>
    </xf>
    <xf numFmtId="0" fontId="125" fillId="0" borderId="0" xfId="0" applyFont="1" applyAlignment="1" applyProtection="1">
      <alignment horizontal="center"/>
      <protection hidden="1"/>
    </xf>
    <xf numFmtId="0" fontId="28" fillId="0" borderId="19" xfId="0" applyFont="1" applyBorder="1" applyAlignment="1" applyProtection="1">
      <alignment horizontal="justify"/>
      <protection hidden="1"/>
    </xf>
    <xf numFmtId="0" fontId="28" fillId="0" borderId="10" xfId="0" applyFont="1" applyBorder="1" applyAlignment="1">
      <alignment horizontal="center" vertical="center" wrapText="1"/>
    </xf>
    <xf numFmtId="0" fontId="28" fillId="0" borderId="0" xfId="0" applyFont="1" applyAlignment="1" applyProtection="1">
      <alignment horizontal="left" vertical="center" wrapText="1"/>
      <protection hidden="1"/>
    </xf>
    <xf numFmtId="0" fontId="112" fillId="0" borderId="33" xfId="0" applyFont="1" applyBorder="1" applyAlignment="1" applyProtection="1">
      <alignment horizontal="center" vertical="center"/>
      <protection hidden="1"/>
    </xf>
    <xf numFmtId="0" fontId="112" fillId="0" borderId="34" xfId="0" applyFont="1" applyBorder="1" applyAlignment="1" applyProtection="1">
      <alignment horizontal="center" vertical="center"/>
      <protection hidden="1"/>
    </xf>
    <xf numFmtId="0" fontId="112" fillId="0" borderId="35" xfId="0" applyFont="1" applyBorder="1" applyAlignment="1" applyProtection="1">
      <alignment horizontal="center" vertical="center"/>
      <protection hidden="1"/>
    </xf>
    <xf numFmtId="0" fontId="28" fillId="0" borderId="10" xfId="0" applyFont="1" applyBorder="1" applyAlignment="1" applyProtection="1">
      <alignment horizontal="left"/>
      <protection hidden="1"/>
    </xf>
    <xf numFmtId="165" fontId="28" fillId="0" borderId="0" xfId="0" applyNumberFormat="1" applyFont="1" applyAlignment="1">
      <alignment horizontal="center"/>
    </xf>
    <xf numFmtId="165" fontId="28" fillId="0" borderId="0" xfId="0" applyNumberFormat="1" applyFont="1" applyAlignment="1" applyProtection="1">
      <alignment horizontal="center"/>
      <protection hidden="1"/>
    </xf>
    <xf numFmtId="165" fontId="28" fillId="0" borderId="0" xfId="4" applyNumberFormat="1" applyFont="1" applyAlignment="1" applyProtection="1">
      <alignment horizontal="center"/>
      <protection hidden="1"/>
    </xf>
    <xf numFmtId="0" fontId="28" fillId="0" borderId="0" xfId="0" applyFont="1" applyAlignment="1" applyProtection="1">
      <alignment horizontal="left" wrapText="1"/>
      <protection hidden="1"/>
    </xf>
    <xf numFmtId="0" fontId="56" fillId="0" borderId="0" xfId="0" applyFont="1" applyAlignment="1" applyProtection="1">
      <alignment horizontal="center" vertical="center" wrapText="1"/>
      <protection hidden="1"/>
    </xf>
    <xf numFmtId="0" fontId="56" fillId="0" borderId="0" xfId="0" applyFont="1" applyAlignment="1" applyProtection="1">
      <alignment horizontal="center"/>
      <protection hidden="1"/>
    </xf>
    <xf numFmtId="0" fontId="93" fillId="11" borderId="23" xfId="0" applyFont="1" applyFill="1" applyBorder="1" applyAlignment="1" applyProtection="1">
      <alignment horizontal="center" vertical="center"/>
      <protection hidden="1"/>
    </xf>
    <xf numFmtId="0" fontId="57" fillId="0" borderId="0" xfId="0" applyFont="1" applyAlignment="1" applyProtection="1">
      <alignment horizontal="center" wrapText="1"/>
      <protection hidden="1"/>
    </xf>
    <xf numFmtId="0" fontId="57" fillId="0" borderId="0" xfId="0" applyFont="1" applyAlignment="1" applyProtection="1">
      <alignment horizontal="center"/>
      <protection hidden="1"/>
    </xf>
    <xf numFmtId="0" fontId="57" fillId="0" borderId="21" xfId="0" applyFont="1" applyBorder="1" applyAlignment="1" applyProtection="1">
      <alignment horizontal="center"/>
      <protection hidden="1"/>
    </xf>
    <xf numFmtId="0" fontId="57" fillId="0" borderId="21" xfId="0" applyFont="1" applyBorder="1" applyAlignment="1" applyProtection="1">
      <alignment horizontal="center" wrapText="1"/>
      <protection hidden="1"/>
    </xf>
    <xf numFmtId="0" fontId="93" fillId="11" borderId="23" xfId="0" applyFont="1" applyFill="1" applyBorder="1" applyAlignment="1" applyProtection="1">
      <alignment horizontal="center" vertical="center" wrapText="1"/>
      <protection hidden="1"/>
    </xf>
    <xf numFmtId="0" fontId="57" fillId="0" borderId="0" xfId="0" applyFont="1" applyAlignment="1" applyProtection="1">
      <alignment horizontal="center" vertical="center"/>
      <protection hidden="1"/>
    </xf>
    <xf numFmtId="0" fontId="92" fillId="0" borderId="0" xfId="0" applyFont="1" applyAlignment="1" applyProtection="1">
      <alignment horizontal="center"/>
      <protection hidden="1"/>
    </xf>
    <xf numFmtId="9" fontId="92" fillId="0" borderId="30" xfId="0" applyNumberFormat="1" applyFont="1" applyBorder="1" applyAlignment="1" applyProtection="1">
      <alignment horizontal="center" vertical="center"/>
      <protection hidden="1"/>
    </xf>
    <xf numFmtId="9" fontId="92" fillId="0" borderId="32" xfId="0" applyNumberFormat="1" applyFont="1" applyBorder="1" applyAlignment="1" applyProtection="1">
      <alignment horizontal="center" vertical="center"/>
      <protection hidden="1"/>
    </xf>
    <xf numFmtId="0" fontId="93" fillId="11" borderId="33" xfId="0" applyFont="1" applyFill="1" applyBorder="1" applyAlignment="1" applyProtection="1">
      <alignment horizontal="center"/>
      <protection hidden="1"/>
    </xf>
    <xf numFmtId="0" fontId="93" fillId="11" borderId="35" xfId="0" applyFont="1" applyFill="1" applyBorder="1" applyAlignment="1" applyProtection="1">
      <alignment horizontal="center"/>
      <protection hidden="1"/>
    </xf>
    <xf numFmtId="0" fontId="95" fillId="11" borderId="12" xfId="0" applyFont="1" applyFill="1" applyBorder="1" applyAlignment="1" applyProtection="1">
      <alignment horizontal="center"/>
      <protection hidden="1"/>
    </xf>
    <xf numFmtId="0" fontId="95" fillId="11" borderId="0" xfId="0" applyFont="1" applyFill="1" applyAlignment="1" applyProtection="1">
      <alignment horizontal="center"/>
      <protection hidden="1"/>
    </xf>
    <xf numFmtId="0" fontId="56" fillId="0" borderId="33" xfId="0" applyFont="1" applyBorder="1" applyAlignment="1" applyProtection="1">
      <alignment horizontal="center"/>
      <protection hidden="1"/>
    </xf>
    <xf numFmtId="0" fontId="56" fillId="0" borderId="35" xfId="0" applyFont="1" applyBorder="1" applyAlignment="1" applyProtection="1">
      <alignment horizontal="center"/>
      <protection hidden="1"/>
    </xf>
  </cellXfs>
  <cellStyles count="6">
    <cellStyle name="Millares" xfId="1" builtinId="3"/>
    <cellStyle name="Millares 2_Suma Aseg y Deducible" xfId="2"/>
    <cellStyle name="Millares 7" xfId="3"/>
    <cellStyle name="Moneda" xfId="4" builtinId="4"/>
    <cellStyle name="Normal" xfId="0" builtinId="0"/>
    <cellStyle name="Porcentaje" xfId="5" builtinId="5"/>
  </cellStyles>
  <dxfs count="7">
    <dxf>
      <font>
        <color theme="0"/>
      </font>
    </dxf>
    <dxf>
      <font>
        <color indexed="9"/>
      </font>
    </dxf>
    <dxf>
      <font>
        <strike/>
        <color theme="0"/>
      </font>
    </dxf>
    <dxf>
      <fill>
        <patternFill patternType="darkGrid">
          <fgColor theme="0" tint="-0.14996795556505021"/>
          <bgColor rgb="FFC4D600"/>
        </patternFill>
      </fill>
    </dxf>
    <dxf>
      <font>
        <strike/>
        <u val="double"/>
        <color theme="0"/>
      </font>
      <numFmt numFmtId="19" formatCode="dd/mm/yyyy"/>
      <fill>
        <patternFill patternType="none">
          <bgColor indexed="65"/>
        </patternFill>
      </fill>
    </dxf>
    <dxf>
      <font>
        <color auto="1"/>
      </font>
      <fill>
        <patternFill patternType="lightTrellis">
          <fgColor theme="0" tint="-0.24994659260841701"/>
          <bgColor rgb="FFC4D600"/>
        </patternFill>
      </fill>
    </dxf>
    <dxf>
      <font>
        <color theme="0"/>
      </font>
    </dxf>
  </dxfs>
  <tableStyles count="1" defaultTableStyle="TableStyleMedium9" defaultPivotStyle="PivotStyleLight16">
    <tableStyle name="MySqlDefault" pivot="0" table="0" count="0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GBox"/>
</file>

<file path=xl/ctrlProps/ctrlProp2.xml><?xml version="1.0" encoding="utf-8"?>
<formControlPr xmlns="http://schemas.microsoft.com/office/spreadsheetml/2009/9/main" objectType="GBox"/>
</file>

<file path=xl/ctrlProps/ctrlProp3.xml><?xml version="1.0" encoding="utf-8"?>
<formControlPr xmlns="http://schemas.microsoft.com/office/spreadsheetml/2009/9/main" objectType="GBox"/>
</file>

<file path=xl/ctrlProps/ctrlProp4.xml><?xml version="1.0" encoding="utf-8"?>
<formControlPr xmlns="http://schemas.microsoft.com/office/spreadsheetml/2009/9/main" objectType="GBox"/>
</file>

<file path=xl/ctrlProps/ctrlProp5.xml><?xml version="1.0" encoding="utf-8"?>
<formControlPr xmlns="http://schemas.microsoft.com/office/spreadsheetml/2009/9/main" objectType="GBox"/>
</file>

<file path=xl/ctrlProps/ctrlProp6.xml><?xml version="1.0" encoding="utf-8"?>
<formControlPr xmlns="http://schemas.microsoft.com/office/spreadsheetml/2009/9/main" objectType="GBox"/>
</file>

<file path=xl/ctrlProps/ctrlProp7.xml><?xml version="1.0" encoding="utf-8"?>
<formControlPr xmlns="http://schemas.microsoft.com/office/spreadsheetml/2009/9/main" objectType="CheckBox" fmlaLink="$P$15" lockText="1" noThreeD="1"/>
</file>

<file path=xl/ctrlProps/ctrlProp8.xml><?xml version="1.0" encoding="utf-8"?>
<formControlPr xmlns="http://schemas.microsoft.com/office/spreadsheetml/2009/9/main" objectType="CheckBox" fmlaLink="$P$17" lockText="1" noThreeD="1"/>
</file>

<file path=xl/ctrlProps/ctrlProp9.xml><?xml version="1.0" encoding="utf-8"?>
<formControlPr xmlns="http://schemas.microsoft.com/office/spreadsheetml/2009/9/main" objectType="CheckBox" fmlaLink="$P$19" lockText="1" noThreeD="1"/>
</file>

<file path=xl/ctrlProps/ctrlProp10.xml><?xml version="1.0" encoding="utf-8"?>
<formControlPr xmlns="http://schemas.microsoft.com/office/spreadsheetml/2009/9/main" objectType="CheckBox" fmlaLink="$P$21" lockText="1" noThreeD="1"/>
</file>

<file path=xl/ctrlProps/ctrlProp11.xml><?xml version="1.0" encoding="utf-8"?>
<formControlPr xmlns="http://schemas.microsoft.com/office/spreadsheetml/2009/9/main" objectType="CheckBox" fmlaLink="$P$23" lockText="1" noThreeD="1"/>
</file>

<file path=xl/ctrlProps/ctrlProp12.xml><?xml version="1.0" encoding="utf-8"?>
<formControlPr xmlns="http://schemas.microsoft.com/office/spreadsheetml/2009/9/main" objectType="CheckBox" fmlaLink="$P$25" lockText="1" noThreeD="1"/>
</file>

<file path=xl/ctrlProps/ctrlProp13.xml><?xml version="1.0" encoding="utf-8"?>
<formControlPr xmlns="http://schemas.microsoft.com/office/spreadsheetml/2009/9/main" objectType="CheckBox" fmlaLink="$L$25" lockText="1" noThreeD="1"/>
</file>

<file path=xl/ctrlProps/ctrlProp14.xml><?xml version="1.0" encoding="utf-8"?>
<formControlPr xmlns="http://schemas.microsoft.com/office/spreadsheetml/2009/9/main" objectType="CheckBox" fmlaLink="$L$26" lockText="1" noThreeD="1"/>
</file>

<file path=xl/ctrlProps/ctrlProp15.xml><?xml version="1.0" encoding="utf-8"?>
<formControlPr xmlns="http://schemas.microsoft.com/office/spreadsheetml/2009/9/main" objectType="CheckBox" fmlaLink="$L$27" lockText="1" noThreeD="1"/>
</file>

<file path=xl/ctrlProps/ctrlProp16.xml><?xml version="1.0" encoding="utf-8"?>
<formControlPr xmlns="http://schemas.microsoft.com/office/spreadsheetml/2009/9/main" objectType="CheckBox" fmlaLink="$L$28" lockText="1" noThreeD="1"/>
</file>

<file path=xl/ctrlProps/ctrlProp17.xml><?xml version="1.0" encoding="utf-8"?>
<formControlPr xmlns="http://schemas.microsoft.com/office/spreadsheetml/2009/9/main" objectType="CheckBox" fmlaLink="$L$29" lockText="1" noThreeD="1"/>
</file>

<file path=xl/ctrlProps/ctrlProp18.xml><?xml version="1.0" encoding="utf-8"?>
<formControlPr xmlns="http://schemas.microsoft.com/office/spreadsheetml/2009/9/main" objectType="CheckBox" fmlaLink="$L$30" lockText="1" noThreeD="1"/>
</file>

<file path=xl/ctrlProps/ctrlProp19.xml><?xml version="1.0" encoding="utf-8"?>
<formControlPr xmlns="http://schemas.microsoft.com/office/spreadsheetml/2009/9/main" objectType="CheckBox" fmlaLink="$L$31" lockText="1" noThreeD="1"/>
</file>

<file path=xl/ctrlProps/ctrlProp20.xml><?xml version="1.0" encoding="utf-8"?>
<formControlPr xmlns="http://schemas.microsoft.com/office/spreadsheetml/2009/9/main" objectType="CheckBox" fmlaLink="$L$32" lockText="1" noThreeD="1"/>
</file>

<file path=xl/ctrlProps/ctrlProp21.xml><?xml version="1.0" encoding="utf-8"?>
<formControlPr xmlns="http://schemas.microsoft.com/office/spreadsheetml/2009/9/main" objectType="CheckBox" fmlaLink="$L$33" lockText="1" noThreeD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GBox"/>
</file>

<file path=xl/ctrlProps/ctrlProp24.xml><?xml version="1.0" encoding="utf-8"?>
<formControlPr xmlns="http://schemas.microsoft.com/office/spreadsheetml/2009/9/main" objectType="GBox"/>
</file>

<file path=xl/ctrlProps/ctrlProp25.xml><?xml version="1.0" encoding="utf-8"?>
<formControlPr xmlns="http://schemas.microsoft.com/office/spreadsheetml/2009/9/main" objectType="GBox"/>
</file>

<file path=xl/ctrlProps/ctrlProp26.xml><?xml version="1.0" encoding="utf-8"?>
<formControlPr xmlns="http://schemas.microsoft.com/office/spreadsheetml/2009/9/main" objectType="GBox"/>
</file>

<file path=xl/ctrlProps/ctrlProp27.xml><?xml version="1.0" encoding="utf-8"?>
<formControlPr xmlns="http://schemas.microsoft.com/office/spreadsheetml/2009/9/main" objectType="GBox"/>
</file>

<file path=xl/ctrlProps/ctrlProp28.xml><?xml version="1.0" encoding="utf-8"?>
<formControlPr xmlns="http://schemas.microsoft.com/office/spreadsheetml/2009/9/main" objectType="GBox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12700</xdr:colOff>
          <xdr:row>12</xdr:row>
          <xdr:rowOff>0</xdr:rowOff>
        </xdr:from>
        <xdr:to>
          <xdr:col>12</xdr:col>
          <xdr:colOff>12700</xdr:colOff>
          <xdr:row>13</xdr:row>
          <xdr:rowOff>76200</xdr:rowOff>
        </xdr:to>
        <xdr:sp macro="" textlink="">
          <xdr:nvSpPr>
            <xdr:cNvPr id="16941" name="Group Box 1581" hidden="1">
              <a:extLst>
                <a:ext uri="{63B3BB69-23CF-44E3-9099-C40C66FF867C}">
                  <a14:compatExt spid="_x0000_s16941"/>
                </a:ext>
                <a:ext uri="{FF2B5EF4-FFF2-40B4-BE49-F238E27FC236}">
                  <a16:creationId xmlns:a16="http://schemas.microsoft.com/office/drawing/2014/main" xmlns="" id="{00000000-0008-0000-0000-00002D4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31750</xdr:colOff>
          <xdr:row>25</xdr:row>
          <xdr:rowOff>0</xdr:rowOff>
        </xdr:from>
        <xdr:to>
          <xdr:col>11</xdr:col>
          <xdr:colOff>660400</xdr:colOff>
          <xdr:row>26</xdr:row>
          <xdr:rowOff>76200</xdr:rowOff>
        </xdr:to>
        <xdr:sp macro="" textlink="">
          <xdr:nvSpPr>
            <xdr:cNvPr id="16942" name="Group Box 1582" hidden="1">
              <a:extLst>
                <a:ext uri="{63B3BB69-23CF-44E3-9099-C40C66FF867C}">
                  <a14:compatExt spid="_x0000_s16942"/>
                </a:ext>
                <a:ext uri="{FF2B5EF4-FFF2-40B4-BE49-F238E27FC236}">
                  <a16:creationId xmlns:a16="http://schemas.microsoft.com/office/drawing/2014/main" xmlns="" id="{00000000-0008-0000-0000-00002E4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31750</xdr:colOff>
          <xdr:row>25</xdr:row>
          <xdr:rowOff>0</xdr:rowOff>
        </xdr:from>
        <xdr:to>
          <xdr:col>11</xdr:col>
          <xdr:colOff>660400</xdr:colOff>
          <xdr:row>26</xdr:row>
          <xdr:rowOff>63500</xdr:rowOff>
        </xdr:to>
        <xdr:sp macro="" textlink="">
          <xdr:nvSpPr>
            <xdr:cNvPr id="16943" name="Group Box 1583" hidden="1">
              <a:extLst>
                <a:ext uri="{63B3BB69-23CF-44E3-9099-C40C66FF867C}">
                  <a14:compatExt spid="_x0000_s16943"/>
                </a:ext>
                <a:ext uri="{FF2B5EF4-FFF2-40B4-BE49-F238E27FC236}">
                  <a16:creationId xmlns:a16="http://schemas.microsoft.com/office/drawing/2014/main" xmlns="" id="{00000000-0008-0000-0000-00002F4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31750</xdr:colOff>
          <xdr:row>25</xdr:row>
          <xdr:rowOff>0</xdr:rowOff>
        </xdr:from>
        <xdr:to>
          <xdr:col>11</xdr:col>
          <xdr:colOff>660400</xdr:colOff>
          <xdr:row>26</xdr:row>
          <xdr:rowOff>76200</xdr:rowOff>
        </xdr:to>
        <xdr:sp macro="" textlink="">
          <xdr:nvSpPr>
            <xdr:cNvPr id="16944" name="Group Box 1584" hidden="1">
              <a:extLst>
                <a:ext uri="{63B3BB69-23CF-44E3-9099-C40C66FF867C}">
                  <a14:compatExt spid="_x0000_s16944"/>
                </a:ext>
                <a:ext uri="{FF2B5EF4-FFF2-40B4-BE49-F238E27FC236}">
                  <a16:creationId xmlns:a16="http://schemas.microsoft.com/office/drawing/2014/main" xmlns="" id="{00000000-0008-0000-0000-0000304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31750</xdr:colOff>
          <xdr:row>25</xdr:row>
          <xdr:rowOff>0</xdr:rowOff>
        </xdr:from>
        <xdr:to>
          <xdr:col>11</xdr:col>
          <xdr:colOff>660400</xdr:colOff>
          <xdr:row>26</xdr:row>
          <xdr:rowOff>31750</xdr:rowOff>
        </xdr:to>
        <xdr:sp macro="" textlink="">
          <xdr:nvSpPr>
            <xdr:cNvPr id="16945" name="Group Box 1585" hidden="1">
              <a:extLst>
                <a:ext uri="{63B3BB69-23CF-44E3-9099-C40C66FF867C}">
                  <a14:compatExt spid="_x0000_s16945"/>
                </a:ext>
                <a:ext uri="{FF2B5EF4-FFF2-40B4-BE49-F238E27FC236}">
                  <a16:creationId xmlns:a16="http://schemas.microsoft.com/office/drawing/2014/main" xmlns="" id="{00000000-0008-0000-0000-0000314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31750</xdr:colOff>
          <xdr:row>25</xdr:row>
          <xdr:rowOff>0</xdr:rowOff>
        </xdr:from>
        <xdr:to>
          <xdr:col>11</xdr:col>
          <xdr:colOff>660400</xdr:colOff>
          <xdr:row>26</xdr:row>
          <xdr:rowOff>88900</xdr:rowOff>
        </xdr:to>
        <xdr:sp macro="" textlink="">
          <xdr:nvSpPr>
            <xdr:cNvPr id="16946" name="Group Box 1586" hidden="1">
              <a:extLst>
                <a:ext uri="{63B3BB69-23CF-44E3-9099-C40C66FF867C}">
                  <a14:compatExt spid="_x0000_s16946"/>
                </a:ext>
                <a:ext uri="{FF2B5EF4-FFF2-40B4-BE49-F238E27FC236}">
                  <a16:creationId xmlns:a16="http://schemas.microsoft.com/office/drawing/2014/main" xmlns="" id="{00000000-0008-0000-0000-0000324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101600</xdr:colOff>
          <xdr:row>13</xdr:row>
          <xdr:rowOff>184150</xdr:rowOff>
        </xdr:from>
        <xdr:to>
          <xdr:col>2</xdr:col>
          <xdr:colOff>889000</xdr:colOff>
          <xdr:row>15</xdr:row>
          <xdr:rowOff>0</xdr:rowOff>
        </xdr:to>
        <xdr:sp macro="" textlink="">
          <xdr:nvSpPr>
            <xdr:cNvPr id="19355" name="Check Box 3995" hidden="1">
              <a:extLst>
                <a:ext uri="{63B3BB69-23CF-44E3-9099-C40C66FF867C}">
                  <a14:compatExt spid="_x0000_s19355"/>
                </a:ext>
                <a:ext uri="{FF2B5EF4-FFF2-40B4-BE49-F238E27FC236}">
                  <a16:creationId xmlns:a16="http://schemas.microsoft.com/office/drawing/2014/main" xmlns="" id="{00000000-0008-0000-0000-00009B4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88900</xdr:colOff>
          <xdr:row>15</xdr:row>
          <xdr:rowOff>184150</xdr:rowOff>
        </xdr:from>
        <xdr:to>
          <xdr:col>2</xdr:col>
          <xdr:colOff>869950</xdr:colOff>
          <xdr:row>17</xdr:row>
          <xdr:rowOff>0</xdr:rowOff>
        </xdr:to>
        <xdr:sp macro="" textlink="">
          <xdr:nvSpPr>
            <xdr:cNvPr id="19360" name="Check Box 4000" hidden="1">
              <a:extLst>
                <a:ext uri="{63B3BB69-23CF-44E3-9099-C40C66FF867C}">
                  <a14:compatExt spid="_x0000_s19360"/>
                </a:ext>
                <a:ext uri="{FF2B5EF4-FFF2-40B4-BE49-F238E27FC236}">
                  <a16:creationId xmlns:a16="http://schemas.microsoft.com/office/drawing/2014/main" xmlns="" id="{00000000-0008-0000-0000-0000A04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101600</xdr:colOff>
          <xdr:row>17</xdr:row>
          <xdr:rowOff>203200</xdr:rowOff>
        </xdr:from>
        <xdr:to>
          <xdr:col>2</xdr:col>
          <xdr:colOff>882650</xdr:colOff>
          <xdr:row>19</xdr:row>
          <xdr:rowOff>12700</xdr:rowOff>
        </xdr:to>
        <xdr:sp macro="" textlink="">
          <xdr:nvSpPr>
            <xdr:cNvPr id="19362" name="Check Box 4002" hidden="1">
              <a:extLst>
                <a:ext uri="{63B3BB69-23CF-44E3-9099-C40C66FF867C}">
                  <a14:compatExt spid="_x0000_s19362"/>
                </a:ext>
                <a:ext uri="{FF2B5EF4-FFF2-40B4-BE49-F238E27FC236}">
                  <a16:creationId xmlns:a16="http://schemas.microsoft.com/office/drawing/2014/main" xmlns="" id="{00000000-0008-0000-0000-0000A24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88900</xdr:colOff>
          <xdr:row>20</xdr:row>
          <xdr:rowOff>12700</xdr:rowOff>
        </xdr:from>
        <xdr:to>
          <xdr:col>2</xdr:col>
          <xdr:colOff>869950</xdr:colOff>
          <xdr:row>21</xdr:row>
          <xdr:rowOff>12700</xdr:rowOff>
        </xdr:to>
        <xdr:sp macro="" textlink="">
          <xdr:nvSpPr>
            <xdr:cNvPr id="19364" name="Check Box 4004" hidden="1">
              <a:extLst>
                <a:ext uri="{63B3BB69-23CF-44E3-9099-C40C66FF867C}">
                  <a14:compatExt spid="_x0000_s19364"/>
                </a:ext>
                <a:ext uri="{FF2B5EF4-FFF2-40B4-BE49-F238E27FC236}">
                  <a16:creationId xmlns:a16="http://schemas.microsoft.com/office/drawing/2014/main" xmlns="" id="{00000000-0008-0000-0000-0000A44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88900</xdr:colOff>
          <xdr:row>22</xdr:row>
          <xdr:rowOff>0</xdr:rowOff>
        </xdr:from>
        <xdr:to>
          <xdr:col>2</xdr:col>
          <xdr:colOff>863600</xdr:colOff>
          <xdr:row>23</xdr:row>
          <xdr:rowOff>12700</xdr:rowOff>
        </xdr:to>
        <xdr:sp macro="" textlink="">
          <xdr:nvSpPr>
            <xdr:cNvPr id="19366" name="Check Box 4006" hidden="1">
              <a:extLst>
                <a:ext uri="{63B3BB69-23CF-44E3-9099-C40C66FF867C}">
                  <a14:compatExt spid="_x0000_s19366"/>
                </a:ext>
                <a:ext uri="{FF2B5EF4-FFF2-40B4-BE49-F238E27FC236}">
                  <a16:creationId xmlns:a16="http://schemas.microsoft.com/office/drawing/2014/main" xmlns="" id="{00000000-0008-0000-0000-0000A64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101600</xdr:colOff>
          <xdr:row>24</xdr:row>
          <xdr:rowOff>0</xdr:rowOff>
        </xdr:from>
        <xdr:to>
          <xdr:col>2</xdr:col>
          <xdr:colOff>882650</xdr:colOff>
          <xdr:row>25</xdr:row>
          <xdr:rowOff>12700</xdr:rowOff>
        </xdr:to>
        <xdr:sp macro="" textlink="">
          <xdr:nvSpPr>
            <xdr:cNvPr id="19368" name="Check Box 4008" hidden="1">
              <a:extLst>
                <a:ext uri="{63B3BB69-23CF-44E3-9099-C40C66FF867C}">
                  <a14:compatExt spid="_x0000_s19368"/>
                </a:ext>
                <a:ext uri="{FF2B5EF4-FFF2-40B4-BE49-F238E27FC236}">
                  <a16:creationId xmlns:a16="http://schemas.microsoft.com/office/drawing/2014/main" xmlns="" id="{00000000-0008-0000-0000-0000A84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2101</xdr:colOff>
      <xdr:row>1</xdr:row>
      <xdr:rowOff>65835</xdr:rowOff>
    </xdr:from>
    <xdr:to>
      <xdr:col>11</xdr:col>
      <xdr:colOff>996313</xdr:colOff>
      <xdr:row>2</xdr:row>
      <xdr:rowOff>151250</xdr:rowOff>
    </xdr:to>
    <xdr:sp macro="" textlink="">
      <xdr:nvSpPr>
        <xdr:cNvPr id="19" name="18 CuadroTexto">
          <a:extLst>
            <a:ext uri="{FF2B5EF4-FFF2-40B4-BE49-F238E27FC236}">
              <a16:creationId xmlns:a16="http://schemas.microsoft.com/office/drawing/2014/main" xmlns="" id="{00000000-0008-0000-0000-000013000000}"/>
            </a:ext>
          </a:extLst>
        </xdr:cNvPr>
        <xdr:cNvSpPr txBox="1"/>
      </xdr:nvSpPr>
      <xdr:spPr>
        <a:xfrm>
          <a:off x="4708572" y="256335"/>
          <a:ext cx="4053417" cy="37676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1800" b="0" i="1" u="none">
              <a:solidFill>
                <a:srgbClr val="3BB0C9"/>
              </a:solidFill>
              <a:latin typeface="Bodoni MT Black" pitchFamily="18" charset="0"/>
            </a:rPr>
            <a:t>Gastos Médicos B×+ / GM Bx+ </a:t>
          </a:r>
        </a:p>
      </xdr:txBody>
    </xdr:sp>
    <xdr:clientData/>
  </xdr:twoCellAnchor>
  <xdr:twoCellAnchor editAs="oneCell">
    <xdr:from>
      <xdr:col>0</xdr:col>
      <xdr:colOff>104775</xdr:colOff>
      <xdr:row>0</xdr:row>
      <xdr:rowOff>133350</xdr:rowOff>
    </xdr:from>
    <xdr:to>
      <xdr:col>4</xdr:col>
      <xdr:colOff>1885950</xdr:colOff>
      <xdr:row>2</xdr:row>
      <xdr:rowOff>266700</xdr:rowOff>
    </xdr:to>
    <xdr:pic>
      <xdr:nvPicPr>
        <xdr:cNvPr id="19373" name="1 Imagen">
          <a:extLst>
            <a:ext uri="{FF2B5EF4-FFF2-40B4-BE49-F238E27FC236}">
              <a16:creationId xmlns:a16="http://schemas.microsoft.com/office/drawing/2014/main" xmlns="" id="{00000000-0008-0000-0000-0000AD4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775" y="133350"/>
          <a:ext cx="3600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63500</xdr:colOff>
          <xdr:row>23</xdr:row>
          <xdr:rowOff>146050</xdr:rowOff>
        </xdr:from>
        <xdr:to>
          <xdr:col>5</xdr:col>
          <xdr:colOff>419100</xdr:colOff>
          <xdr:row>25</xdr:row>
          <xdr:rowOff>31750</xdr:rowOff>
        </xdr:to>
        <xdr:sp macro="" textlink="">
          <xdr:nvSpPr>
            <xdr:cNvPr id="25612" name="Check Box 12" hidden="1">
              <a:extLst>
                <a:ext uri="{63B3BB69-23CF-44E3-9099-C40C66FF867C}">
                  <a14:compatExt spid="_x0000_s25612"/>
                </a:ext>
                <a:ext uri="{FF2B5EF4-FFF2-40B4-BE49-F238E27FC236}">
                  <a16:creationId xmlns:a16="http://schemas.microsoft.com/office/drawing/2014/main" xmlns="" id="{00000000-0008-0000-0100-00000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63500</xdr:colOff>
          <xdr:row>24</xdr:row>
          <xdr:rowOff>146050</xdr:rowOff>
        </xdr:from>
        <xdr:to>
          <xdr:col>5</xdr:col>
          <xdr:colOff>419100</xdr:colOff>
          <xdr:row>26</xdr:row>
          <xdr:rowOff>31750</xdr:rowOff>
        </xdr:to>
        <xdr:sp macro="" textlink="">
          <xdr:nvSpPr>
            <xdr:cNvPr id="25613" name="Check Box 13" hidden="1">
              <a:extLst>
                <a:ext uri="{63B3BB69-23CF-44E3-9099-C40C66FF867C}">
                  <a14:compatExt spid="_x0000_s25613"/>
                </a:ext>
                <a:ext uri="{FF2B5EF4-FFF2-40B4-BE49-F238E27FC236}">
                  <a16:creationId xmlns:a16="http://schemas.microsoft.com/office/drawing/2014/main" xmlns="" id="{00000000-0008-0000-0100-00000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63500</xdr:colOff>
          <xdr:row>25</xdr:row>
          <xdr:rowOff>146050</xdr:rowOff>
        </xdr:from>
        <xdr:to>
          <xdr:col>5</xdr:col>
          <xdr:colOff>419100</xdr:colOff>
          <xdr:row>27</xdr:row>
          <xdr:rowOff>31750</xdr:rowOff>
        </xdr:to>
        <xdr:sp macro="" textlink="">
          <xdr:nvSpPr>
            <xdr:cNvPr id="25614" name="Check Box 14" hidden="1">
              <a:extLst>
                <a:ext uri="{63B3BB69-23CF-44E3-9099-C40C66FF867C}">
                  <a14:compatExt spid="_x0000_s25614"/>
                </a:ext>
                <a:ext uri="{FF2B5EF4-FFF2-40B4-BE49-F238E27FC236}">
                  <a16:creationId xmlns:a16="http://schemas.microsoft.com/office/drawing/2014/main" xmlns="" id="{00000000-0008-0000-0100-00000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63500</xdr:colOff>
          <xdr:row>26</xdr:row>
          <xdr:rowOff>146050</xdr:rowOff>
        </xdr:from>
        <xdr:to>
          <xdr:col>5</xdr:col>
          <xdr:colOff>419100</xdr:colOff>
          <xdr:row>28</xdr:row>
          <xdr:rowOff>31750</xdr:rowOff>
        </xdr:to>
        <xdr:sp macro="" textlink="">
          <xdr:nvSpPr>
            <xdr:cNvPr id="25615" name="Check Box 15" hidden="1">
              <a:extLst>
                <a:ext uri="{63B3BB69-23CF-44E3-9099-C40C66FF867C}">
                  <a14:compatExt spid="_x0000_s25615"/>
                </a:ext>
                <a:ext uri="{FF2B5EF4-FFF2-40B4-BE49-F238E27FC236}">
                  <a16:creationId xmlns:a16="http://schemas.microsoft.com/office/drawing/2014/main" xmlns="" id="{00000000-0008-0000-0100-00000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63500</xdr:colOff>
          <xdr:row>27</xdr:row>
          <xdr:rowOff>146050</xdr:rowOff>
        </xdr:from>
        <xdr:to>
          <xdr:col>5</xdr:col>
          <xdr:colOff>419100</xdr:colOff>
          <xdr:row>29</xdr:row>
          <xdr:rowOff>31750</xdr:rowOff>
        </xdr:to>
        <xdr:sp macro="" textlink="">
          <xdr:nvSpPr>
            <xdr:cNvPr id="25616" name="Check Box 16" hidden="1">
              <a:extLst>
                <a:ext uri="{63B3BB69-23CF-44E3-9099-C40C66FF867C}">
                  <a14:compatExt spid="_x0000_s25616"/>
                </a:ext>
                <a:ext uri="{FF2B5EF4-FFF2-40B4-BE49-F238E27FC236}">
                  <a16:creationId xmlns:a16="http://schemas.microsoft.com/office/drawing/2014/main" xmlns="" id="{00000000-0008-0000-0100-00001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63500</xdr:colOff>
          <xdr:row>28</xdr:row>
          <xdr:rowOff>146050</xdr:rowOff>
        </xdr:from>
        <xdr:to>
          <xdr:col>5</xdr:col>
          <xdr:colOff>419100</xdr:colOff>
          <xdr:row>30</xdr:row>
          <xdr:rowOff>31750</xdr:rowOff>
        </xdr:to>
        <xdr:sp macro="" textlink="">
          <xdr:nvSpPr>
            <xdr:cNvPr id="25617" name="Check Box 17" hidden="1">
              <a:extLst>
                <a:ext uri="{63B3BB69-23CF-44E3-9099-C40C66FF867C}">
                  <a14:compatExt spid="_x0000_s25617"/>
                </a:ext>
                <a:ext uri="{FF2B5EF4-FFF2-40B4-BE49-F238E27FC236}">
                  <a16:creationId xmlns:a16="http://schemas.microsoft.com/office/drawing/2014/main" xmlns="" id="{00000000-0008-0000-0100-00001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63500</xdr:colOff>
          <xdr:row>29</xdr:row>
          <xdr:rowOff>146050</xdr:rowOff>
        </xdr:from>
        <xdr:to>
          <xdr:col>5</xdr:col>
          <xdr:colOff>419100</xdr:colOff>
          <xdr:row>31</xdr:row>
          <xdr:rowOff>31750</xdr:rowOff>
        </xdr:to>
        <xdr:sp macro="" textlink="">
          <xdr:nvSpPr>
            <xdr:cNvPr id="25618" name="Check Box 18" hidden="1">
              <a:extLst>
                <a:ext uri="{63B3BB69-23CF-44E3-9099-C40C66FF867C}">
                  <a14:compatExt spid="_x0000_s25618"/>
                </a:ext>
                <a:ext uri="{FF2B5EF4-FFF2-40B4-BE49-F238E27FC236}">
                  <a16:creationId xmlns:a16="http://schemas.microsoft.com/office/drawing/2014/main" xmlns="" id="{00000000-0008-0000-0100-00001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63500</xdr:colOff>
          <xdr:row>30</xdr:row>
          <xdr:rowOff>146050</xdr:rowOff>
        </xdr:from>
        <xdr:to>
          <xdr:col>5</xdr:col>
          <xdr:colOff>419100</xdr:colOff>
          <xdr:row>32</xdr:row>
          <xdr:rowOff>31750</xdr:rowOff>
        </xdr:to>
        <xdr:sp macro="" textlink="">
          <xdr:nvSpPr>
            <xdr:cNvPr id="25619" name="Check Box 19" hidden="1">
              <a:extLst>
                <a:ext uri="{63B3BB69-23CF-44E3-9099-C40C66FF867C}">
                  <a14:compatExt spid="_x0000_s25619"/>
                </a:ext>
                <a:ext uri="{FF2B5EF4-FFF2-40B4-BE49-F238E27FC236}">
                  <a16:creationId xmlns:a16="http://schemas.microsoft.com/office/drawing/2014/main" xmlns="" id="{00000000-0008-0000-0100-00001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63500</xdr:colOff>
          <xdr:row>31</xdr:row>
          <xdr:rowOff>146050</xdr:rowOff>
        </xdr:from>
        <xdr:to>
          <xdr:col>5</xdr:col>
          <xdr:colOff>419100</xdr:colOff>
          <xdr:row>33</xdr:row>
          <xdr:rowOff>31750</xdr:rowOff>
        </xdr:to>
        <xdr:sp macro="" textlink="">
          <xdr:nvSpPr>
            <xdr:cNvPr id="25620" name="Check Box 20" hidden="1">
              <a:extLst>
                <a:ext uri="{63B3BB69-23CF-44E3-9099-C40C66FF867C}">
                  <a14:compatExt spid="_x0000_s25620"/>
                </a:ext>
                <a:ext uri="{FF2B5EF4-FFF2-40B4-BE49-F238E27FC236}">
                  <a16:creationId xmlns:a16="http://schemas.microsoft.com/office/drawing/2014/main" xmlns="" id="{00000000-0008-0000-0100-00001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280147</xdr:colOff>
      <xdr:row>4</xdr:row>
      <xdr:rowOff>0</xdr:rowOff>
    </xdr:from>
    <xdr:to>
      <xdr:col>8</xdr:col>
      <xdr:colOff>526677</xdr:colOff>
      <xdr:row>10</xdr:row>
      <xdr:rowOff>0</xdr:rowOff>
    </xdr:to>
    <xdr:sp macro="" textlink="">
      <xdr:nvSpPr>
        <xdr:cNvPr id="11" name="CuadroTexto 10">
          <a:extLst>
            <a:ext uri="{FF2B5EF4-FFF2-40B4-BE49-F238E27FC236}">
              <a16:creationId xmlns:a16="http://schemas.microsoft.com/office/drawing/2014/main" xmlns="" id="{00000000-0008-0000-0100-00000B000000}"/>
            </a:ext>
          </a:extLst>
        </xdr:cNvPr>
        <xdr:cNvSpPr txBox="1"/>
      </xdr:nvSpPr>
      <xdr:spPr>
        <a:xfrm>
          <a:off x="3529853" y="806824"/>
          <a:ext cx="3810000" cy="1075764"/>
        </a:xfrm>
        <a:prstGeom prst="rect">
          <a:avLst/>
        </a:prstGeom>
        <a:solidFill>
          <a:srgbClr val="D2D3D4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1400" b="1">
              <a:solidFill>
                <a:sysClr val="windowText" lastClr="000000"/>
              </a:solidFill>
            </a:rPr>
            <a:t>NOTA:</a:t>
          </a:r>
          <a:r>
            <a:rPr lang="es-MX" sz="1400" b="1" baseline="0">
              <a:solidFill>
                <a:sysClr val="windowText" lastClr="000000"/>
              </a:solidFill>
            </a:rPr>
            <a:t> </a:t>
          </a:r>
          <a:r>
            <a:rPr lang="es-MX" sz="1400" b="0" baseline="0">
              <a:solidFill>
                <a:sysClr val="windowText" lastClr="000000"/>
              </a:solidFill>
            </a:rPr>
            <a:t>Todos los parámetros deben ser seleccionados a partir de las listas desplegables, NO se deben escribir ni copiar datos sobre ellos.</a:t>
          </a:r>
          <a:endParaRPr lang="es-MX" sz="1400" b="0">
            <a:solidFill>
              <a:sysClr val="windowText" lastClr="00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1460500</xdr:colOff>
          <xdr:row>29</xdr:row>
          <xdr:rowOff>127000</xdr:rowOff>
        </xdr:from>
        <xdr:to>
          <xdr:col>8</xdr:col>
          <xdr:colOff>641350</xdr:colOff>
          <xdr:row>33</xdr:row>
          <xdr:rowOff>12700</xdr:rowOff>
        </xdr:to>
        <xdr:sp macro="" textlink="">
          <xdr:nvSpPr>
            <xdr:cNvPr id="25622" name="Button 22" hidden="1">
              <a:extLst>
                <a:ext uri="{63B3BB69-23CF-44E3-9099-C40C66FF867C}">
                  <a14:compatExt spid="_x0000_s25622"/>
                </a:ext>
                <a:ext uri="{FF2B5EF4-FFF2-40B4-BE49-F238E27FC236}">
                  <a16:creationId xmlns:a16="http://schemas.microsoft.com/office/drawing/2014/main" xmlns="" id="{00000000-0008-0000-0100-00001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s-MX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255</xdr:col>
      <xdr:colOff>0</xdr:colOff>
      <xdr:row>1</xdr:row>
      <xdr:rowOff>152400</xdr:rowOff>
    </xdr:from>
    <xdr:to>
      <xdr:col>255</xdr:col>
      <xdr:colOff>0</xdr:colOff>
      <xdr:row>4</xdr:row>
      <xdr:rowOff>114300</xdr:rowOff>
    </xdr:to>
    <xdr:pic>
      <xdr:nvPicPr>
        <xdr:cNvPr id="19474" name="Imagen 2">
          <a:extLst>
            <a:ext uri="{FF2B5EF4-FFF2-40B4-BE49-F238E27FC236}">
              <a16:creationId xmlns:a16="http://schemas.microsoft.com/office/drawing/2014/main" xmlns="" id="{00000000-0008-0000-0200-0000124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10725" y="171450"/>
          <a:ext cx="0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255</xdr:col>
      <xdr:colOff>0</xdr:colOff>
      <xdr:row>1</xdr:row>
      <xdr:rowOff>152400</xdr:rowOff>
    </xdr:from>
    <xdr:to>
      <xdr:col>255</xdr:col>
      <xdr:colOff>0</xdr:colOff>
      <xdr:row>4</xdr:row>
      <xdr:rowOff>114300</xdr:rowOff>
    </xdr:to>
    <xdr:pic>
      <xdr:nvPicPr>
        <xdr:cNvPr id="19475" name="Imagen 2">
          <a:extLst>
            <a:ext uri="{FF2B5EF4-FFF2-40B4-BE49-F238E27FC236}">
              <a16:creationId xmlns:a16="http://schemas.microsoft.com/office/drawing/2014/main" xmlns="" id="{00000000-0008-0000-0200-0000134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10725" y="171450"/>
          <a:ext cx="0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255</xdr:col>
      <xdr:colOff>0</xdr:colOff>
      <xdr:row>1</xdr:row>
      <xdr:rowOff>152400</xdr:rowOff>
    </xdr:from>
    <xdr:to>
      <xdr:col>255</xdr:col>
      <xdr:colOff>0</xdr:colOff>
      <xdr:row>4</xdr:row>
      <xdr:rowOff>114300</xdr:rowOff>
    </xdr:to>
    <xdr:pic>
      <xdr:nvPicPr>
        <xdr:cNvPr id="19476" name="Imagen 2">
          <a:extLst>
            <a:ext uri="{FF2B5EF4-FFF2-40B4-BE49-F238E27FC236}">
              <a16:creationId xmlns:a16="http://schemas.microsoft.com/office/drawing/2014/main" xmlns="" id="{00000000-0008-0000-0200-0000144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10725" y="171450"/>
          <a:ext cx="0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255</xdr:col>
      <xdr:colOff>0</xdr:colOff>
      <xdr:row>1</xdr:row>
      <xdr:rowOff>152400</xdr:rowOff>
    </xdr:from>
    <xdr:to>
      <xdr:col>255</xdr:col>
      <xdr:colOff>0</xdr:colOff>
      <xdr:row>2</xdr:row>
      <xdr:rowOff>266700</xdr:rowOff>
    </xdr:to>
    <xdr:pic>
      <xdr:nvPicPr>
        <xdr:cNvPr id="19477" name="Imagen 2">
          <a:extLst>
            <a:ext uri="{FF2B5EF4-FFF2-40B4-BE49-F238E27FC236}">
              <a16:creationId xmlns:a16="http://schemas.microsoft.com/office/drawing/2014/main" xmlns="" id="{00000000-0008-0000-0200-0000154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10725" y="171450"/>
          <a:ext cx="0" cy="409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76200</xdr:colOff>
          <xdr:row>37</xdr:row>
          <xdr:rowOff>127000</xdr:rowOff>
        </xdr:from>
        <xdr:to>
          <xdr:col>13</xdr:col>
          <xdr:colOff>520700</xdr:colOff>
          <xdr:row>38</xdr:row>
          <xdr:rowOff>222250</xdr:rowOff>
        </xdr:to>
        <xdr:sp macro="" textlink="">
          <xdr:nvSpPr>
            <xdr:cNvPr id="19461" name="Group Box 5" hidden="1">
              <a:extLst>
                <a:ext uri="{63B3BB69-23CF-44E3-9099-C40C66FF867C}">
                  <a14:compatExt spid="_x0000_s19461"/>
                </a:ext>
                <a:ext uri="{FF2B5EF4-FFF2-40B4-BE49-F238E27FC236}">
                  <a16:creationId xmlns:a16="http://schemas.microsoft.com/office/drawing/2014/main" xmlns="" id="{00000000-0008-0000-0200-00000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40</xdr:row>
          <xdr:rowOff>165100</xdr:rowOff>
        </xdr:from>
        <xdr:to>
          <xdr:col>13</xdr:col>
          <xdr:colOff>520700</xdr:colOff>
          <xdr:row>43</xdr:row>
          <xdr:rowOff>25400</xdr:rowOff>
        </xdr:to>
        <xdr:sp macro="" textlink="">
          <xdr:nvSpPr>
            <xdr:cNvPr id="19462" name="Group Box 6" hidden="1">
              <a:extLst>
                <a:ext uri="{63B3BB69-23CF-44E3-9099-C40C66FF867C}">
                  <a14:compatExt spid="_x0000_s19462"/>
                </a:ext>
                <a:ext uri="{FF2B5EF4-FFF2-40B4-BE49-F238E27FC236}">
                  <a16:creationId xmlns:a16="http://schemas.microsoft.com/office/drawing/2014/main" xmlns="" id="{00000000-0008-0000-0200-00000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42</xdr:row>
          <xdr:rowOff>152400</xdr:rowOff>
        </xdr:from>
        <xdr:to>
          <xdr:col>13</xdr:col>
          <xdr:colOff>520700</xdr:colOff>
          <xdr:row>45</xdr:row>
          <xdr:rowOff>25400</xdr:rowOff>
        </xdr:to>
        <xdr:sp macro="" textlink="">
          <xdr:nvSpPr>
            <xdr:cNvPr id="19463" name="Group Box 7" hidden="1">
              <a:extLst>
                <a:ext uri="{63B3BB69-23CF-44E3-9099-C40C66FF867C}">
                  <a14:compatExt spid="_x0000_s19463"/>
                </a:ext>
                <a:ext uri="{FF2B5EF4-FFF2-40B4-BE49-F238E27FC236}">
                  <a16:creationId xmlns:a16="http://schemas.microsoft.com/office/drawing/2014/main" xmlns="" id="{00000000-0008-0000-0200-000007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44</xdr:row>
          <xdr:rowOff>152400</xdr:rowOff>
        </xdr:from>
        <xdr:to>
          <xdr:col>13</xdr:col>
          <xdr:colOff>520700</xdr:colOff>
          <xdr:row>47</xdr:row>
          <xdr:rowOff>12700</xdr:rowOff>
        </xdr:to>
        <xdr:sp macro="" textlink="">
          <xdr:nvSpPr>
            <xdr:cNvPr id="19464" name="Group Box 8" hidden="1">
              <a:extLst>
                <a:ext uri="{63B3BB69-23CF-44E3-9099-C40C66FF867C}">
                  <a14:compatExt spid="_x0000_s19464"/>
                </a:ext>
                <a:ext uri="{FF2B5EF4-FFF2-40B4-BE49-F238E27FC236}">
                  <a16:creationId xmlns:a16="http://schemas.microsoft.com/office/drawing/2014/main" xmlns="" id="{00000000-0008-0000-0200-000008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46</xdr:row>
          <xdr:rowOff>146050</xdr:rowOff>
        </xdr:from>
        <xdr:to>
          <xdr:col>13</xdr:col>
          <xdr:colOff>520700</xdr:colOff>
          <xdr:row>49</xdr:row>
          <xdr:rowOff>0</xdr:rowOff>
        </xdr:to>
        <xdr:sp macro="" textlink="">
          <xdr:nvSpPr>
            <xdr:cNvPr id="19465" name="Group Box 9" hidden="1">
              <a:extLst>
                <a:ext uri="{63B3BB69-23CF-44E3-9099-C40C66FF867C}">
                  <a14:compatExt spid="_x0000_s19465"/>
                </a:ext>
                <a:ext uri="{FF2B5EF4-FFF2-40B4-BE49-F238E27FC236}">
                  <a16:creationId xmlns:a16="http://schemas.microsoft.com/office/drawing/2014/main" xmlns="" id="{00000000-0008-0000-0200-000009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48</xdr:row>
          <xdr:rowOff>139700</xdr:rowOff>
        </xdr:from>
        <xdr:to>
          <xdr:col>13</xdr:col>
          <xdr:colOff>520700</xdr:colOff>
          <xdr:row>52</xdr:row>
          <xdr:rowOff>25400</xdr:rowOff>
        </xdr:to>
        <xdr:sp macro="" textlink="">
          <xdr:nvSpPr>
            <xdr:cNvPr id="19466" name="Group Box 10" hidden="1">
              <a:extLst>
                <a:ext uri="{63B3BB69-23CF-44E3-9099-C40C66FF867C}">
                  <a14:compatExt spid="_x0000_s19466"/>
                </a:ext>
                <a:ext uri="{FF2B5EF4-FFF2-40B4-BE49-F238E27FC236}">
                  <a16:creationId xmlns:a16="http://schemas.microsoft.com/office/drawing/2014/main" xmlns="" id="{00000000-0008-0000-0200-00000A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71</xdr:row>
      <xdr:rowOff>11205</xdr:rowOff>
    </xdr:from>
    <xdr:to>
      <xdr:col>14</xdr:col>
      <xdr:colOff>997323</xdr:colOff>
      <xdr:row>76</xdr:row>
      <xdr:rowOff>0</xdr:rowOff>
    </xdr:to>
    <xdr:sp macro="" textlink="">
      <xdr:nvSpPr>
        <xdr:cNvPr id="23" name="194 CuadroTexto">
          <a:extLst>
            <a:ext uri="{FF2B5EF4-FFF2-40B4-BE49-F238E27FC236}">
              <a16:creationId xmlns:a16="http://schemas.microsoft.com/office/drawing/2014/main" xmlns="" id="{00000000-0008-0000-0200-000017000000}"/>
            </a:ext>
          </a:extLst>
        </xdr:cNvPr>
        <xdr:cNvSpPr txBox="1"/>
      </xdr:nvSpPr>
      <xdr:spPr>
        <a:xfrm>
          <a:off x="0" y="12841940"/>
          <a:ext cx="9043147" cy="918884"/>
        </a:xfrm>
        <a:prstGeom prst="rect">
          <a:avLst/>
        </a:prstGeom>
        <a:noFill/>
        <a:ln>
          <a:noFill/>
        </a:ln>
        <a:effectLst/>
      </xdr:spPr>
      <xdr:txBody>
        <a:bodyPr wrap="square" tIns="0" bIns="0" rtlCol="0" anchor="t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200" b="1" i="0" u="none" strike="noStrike" kern="0" cap="none" spc="0" normalizeH="0" baseline="0" noProof="0">
              <a:ln>
                <a:noFill/>
              </a:ln>
              <a:solidFill>
                <a:srgbClr val="3BB0C9"/>
              </a:solidFill>
              <a:effectLst/>
              <a:uLnTx/>
              <a:uFillTx/>
              <a:latin typeface="Arial"/>
              <a:ea typeface="Times New Roman"/>
            </a:rPr>
            <a:t>Seguros Ve por Más, S.A., Grupo Financiero Ve por Más</a:t>
          </a:r>
          <a:endParaRPr kumimoji="0" lang="es-MX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Times New Roman"/>
            <a:ea typeface="Times New Roman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200" b="0" i="0" u="none" strike="noStrike" kern="0" cap="none" spc="0" normalizeH="0" baseline="0" noProof="0">
              <a:ln>
                <a:noFill/>
              </a:ln>
              <a:solidFill>
                <a:srgbClr val="9CA4AE"/>
              </a:solidFill>
              <a:effectLst/>
              <a:uLnTx/>
              <a:uFillTx/>
              <a:latin typeface="Arial"/>
              <a:ea typeface="Times New Roman"/>
            </a:rPr>
            <a:t>Paseo de la Reforma 243 piso 16, Col. Cuauhtémoc C.P. 06500 CDMX.</a:t>
          </a:r>
          <a:endParaRPr kumimoji="0" lang="es-MX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Times New Roman"/>
            <a:ea typeface="Times New Roman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200" b="0" i="0" u="none" strike="noStrike" kern="0" cap="none" spc="0" normalizeH="0" baseline="0" noProof="0">
              <a:ln>
                <a:noFill/>
              </a:ln>
              <a:solidFill>
                <a:srgbClr val="9CA4AE"/>
              </a:solidFill>
              <a:effectLst/>
              <a:uLnTx/>
              <a:uFillTx/>
              <a:latin typeface="Arial"/>
              <a:ea typeface="Times New Roman"/>
            </a:rPr>
            <a:t>En caso de siniestro llama al Tel. 800 830 3676 www.vepormas.com</a:t>
          </a:r>
          <a:endParaRPr kumimoji="0" lang="es-MX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Times New Roman"/>
            <a:ea typeface="Times New Roman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200" b="0" i="0" u="none" strike="noStrike" kern="0" cap="none" spc="0" normalizeH="0" baseline="0" noProof="0">
              <a:ln>
                <a:noFill/>
              </a:ln>
              <a:solidFill>
                <a:srgbClr val="9CA4AE"/>
              </a:solidFill>
              <a:effectLst/>
              <a:uLnTx/>
              <a:uFillTx/>
              <a:latin typeface="Arial"/>
              <a:ea typeface="Times New Roman"/>
            </a:rPr>
            <a:t>Unidad Especializada de Atención a Usuarios (UNE)</a:t>
          </a:r>
          <a:endParaRPr kumimoji="0" lang="es-MX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Times New Roman"/>
            <a:ea typeface="Times New Roman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200" b="0" i="0" u="none" strike="noStrike" kern="0" cap="none" spc="0" normalizeH="0" baseline="0" noProof="0">
              <a:ln>
                <a:noFill/>
              </a:ln>
              <a:solidFill>
                <a:srgbClr val="9CA4AE"/>
              </a:solidFill>
              <a:effectLst/>
              <a:uLnTx/>
              <a:uFillTx/>
              <a:latin typeface="Arial"/>
              <a:ea typeface="Times New Roman"/>
            </a:rPr>
            <a:t>800-8376-762 o aclaraciones.une@segurosvepormas.com</a:t>
          </a:r>
          <a:endParaRPr kumimoji="0" lang="es-MX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Times New Roman"/>
            <a:ea typeface="Times New Roman"/>
          </a:endParaRPr>
        </a:p>
      </xdr:txBody>
    </xdr:sp>
    <xdr:clientData/>
  </xdr:twoCellAnchor>
  <xdr:twoCellAnchor editAs="oneCell">
    <xdr:from>
      <xdr:col>1</xdr:col>
      <xdr:colOff>85725</xdr:colOff>
      <xdr:row>1</xdr:row>
      <xdr:rowOff>19050</xdr:rowOff>
    </xdr:from>
    <xdr:to>
      <xdr:col>4</xdr:col>
      <xdr:colOff>1435100</xdr:colOff>
      <xdr:row>3</xdr:row>
      <xdr:rowOff>44450</xdr:rowOff>
    </xdr:to>
    <xdr:pic>
      <xdr:nvPicPr>
        <xdr:cNvPr id="19479" name="16 Imagen">
          <a:extLst>
            <a:ext uri="{FF2B5EF4-FFF2-40B4-BE49-F238E27FC236}">
              <a16:creationId xmlns:a16="http://schemas.microsoft.com/office/drawing/2014/main" xmlns="" id="{00000000-0008-0000-0200-0000174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38100"/>
          <a:ext cx="3609975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8</xdr:col>
      <xdr:colOff>347378</xdr:colOff>
      <xdr:row>1</xdr:row>
      <xdr:rowOff>123266</xdr:rowOff>
    </xdr:from>
    <xdr:to>
      <xdr:col>14</xdr:col>
      <xdr:colOff>952745</xdr:colOff>
      <xdr:row>2</xdr:row>
      <xdr:rowOff>204759</xdr:rowOff>
    </xdr:to>
    <xdr:sp macro="" textlink="">
      <xdr:nvSpPr>
        <xdr:cNvPr id="20" name="19 CuadroTexto">
          <a:extLst>
            <a:ext uri="{FF2B5EF4-FFF2-40B4-BE49-F238E27FC236}">
              <a16:creationId xmlns:a16="http://schemas.microsoft.com/office/drawing/2014/main" xmlns="" id="{00000000-0008-0000-0200-000014000000}"/>
            </a:ext>
          </a:extLst>
        </xdr:cNvPr>
        <xdr:cNvSpPr txBox="1"/>
      </xdr:nvSpPr>
      <xdr:spPr>
        <a:xfrm>
          <a:off x="4941790" y="145678"/>
          <a:ext cx="4056779" cy="37284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1800" b="0" i="1" u="none">
              <a:solidFill>
                <a:srgbClr val="3BB0C9"/>
              </a:solidFill>
              <a:latin typeface="Bodoni MT Black" pitchFamily="18" charset="0"/>
            </a:rPr>
            <a:t>Gastos Médicos B×+ / GM Bx+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13" Type="http://schemas.openxmlformats.org/officeDocument/2006/relationships/ctrlProp" Target="../ctrlProps/ctrlProp22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6.xml"/><Relationship Id="rId12" Type="http://schemas.openxmlformats.org/officeDocument/2006/relationships/ctrlProp" Target="../ctrlProps/ctrlProp2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5.xml"/><Relationship Id="rId11" Type="http://schemas.openxmlformats.org/officeDocument/2006/relationships/ctrlProp" Target="../ctrlProps/ctrlProp20.xml"/><Relationship Id="rId5" Type="http://schemas.openxmlformats.org/officeDocument/2006/relationships/ctrlProp" Target="../ctrlProps/ctrlProp14.xml"/><Relationship Id="rId10" Type="http://schemas.openxmlformats.org/officeDocument/2006/relationships/ctrlProp" Target="../ctrlProps/ctrlProp19.xml"/><Relationship Id="rId4" Type="http://schemas.openxmlformats.org/officeDocument/2006/relationships/ctrlProp" Target="../ctrlProps/ctrlProp13.xml"/><Relationship Id="rId9" Type="http://schemas.openxmlformats.org/officeDocument/2006/relationships/ctrlProp" Target="../ctrlProps/ctrlProp18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7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5.xml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Relationship Id="rId9" Type="http://schemas.openxmlformats.org/officeDocument/2006/relationships/ctrlProp" Target="../ctrlProps/ctrlProp2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autoPageBreaks="0"/>
  </sheetPr>
  <dimension ref="A1:AN137"/>
  <sheetViews>
    <sheetView showGridLines="0" showRowColHeaders="0" tabSelected="1" zoomScale="90" zoomScaleNormal="90" workbookViewId="0">
      <selection activeCell="K15" sqref="K15"/>
    </sheetView>
  </sheetViews>
  <sheetFormatPr baseColWidth="10" defaultColWidth="0" defaultRowHeight="14.5" zeroHeight="1" x14ac:dyDescent="0.35"/>
  <cols>
    <col min="1" max="1" width="1.81640625" customWidth="1"/>
    <col min="2" max="2" width="4.54296875" customWidth="1"/>
    <col min="3" max="3" width="15.1796875" bestFit="1" customWidth="1"/>
    <col min="4" max="4" width="5.81640625" customWidth="1"/>
    <col min="5" max="5" width="43.453125" customWidth="1"/>
    <col min="6" max="6" width="2" customWidth="1"/>
    <col min="7" max="7" width="15.1796875" customWidth="1"/>
    <col min="8" max="8" width="2.54296875" customWidth="1"/>
    <col min="9" max="9" width="11.453125" customWidth="1"/>
    <col min="10" max="10" width="3.1796875" customWidth="1"/>
    <col min="11" max="11" width="12" customWidth="1"/>
    <col min="12" max="12" width="13" customWidth="1"/>
    <col min="13" max="13" width="2.54296875" customWidth="1"/>
    <col min="14" max="14" width="2" customWidth="1"/>
    <col min="15" max="15" width="6.81640625" hidden="1" customWidth="1"/>
    <col min="16" max="16" width="12.453125" style="63" hidden="1" customWidth="1"/>
    <col min="17" max="17" width="35.453125" style="63" hidden="1" customWidth="1"/>
    <col min="18" max="18" width="65.54296875" style="63" hidden="1" customWidth="1"/>
    <col min="19" max="19" width="11.81640625" style="63" hidden="1" customWidth="1"/>
    <col min="20" max="20" width="16.1796875" style="63" hidden="1" customWidth="1"/>
    <col min="21" max="21" width="38.453125" style="63" hidden="1" customWidth="1"/>
    <col min="22" max="22" width="22.54296875" style="63" hidden="1" customWidth="1"/>
    <col min="23" max="23" width="23.453125" style="63" hidden="1" customWidth="1"/>
    <col min="24" max="25" width="17.81640625" style="63" hidden="1" customWidth="1"/>
    <col min="26" max="26" width="16.453125" style="63" hidden="1" customWidth="1"/>
    <col min="27" max="27" width="12.81640625" style="63" hidden="1" customWidth="1"/>
    <col min="28" max="28" width="10.1796875" style="63" hidden="1" customWidth="1"/>
    <col min="29" max="29" width="18.81640625" style="63" hidden="1" customWidth="1"/>
    <col min="30" max="30" width="11.453125" style="63" hidden="1" customWidth="1"/>
    <col min="31" max="32" width="3.81640625" style="63" hidden="1" customWidth="1"/>
    <col min="33" max="33" width="6" style="63" hidden="1" customWidth="1"/>
    <col min="34" max="34" width="12.81640625" style="63" hidden="1" customWidth="1"/>
    <col min="35" max="40" width="3.81640625" style="63" hidden="1" customWidth="1"/>
    <col min="41" max="16384" width="3.81640625" hidden="1"/>
  </cols>
  <sheetData>
    <row r="1" spans="1:40" x14ac:dyDescent="0.35">
      <c r="A1" s="630">
        <v>1</v>
      </c>
    </row>
    <row r="2" spans="1:40" ht="23.5" x14ac:dyDescent="0.55000000000000004">
      <c r="B2" s="737"/>
      <c r="C2" s="737"/>
      <c r="D2" s="737"/>
      <c r="E2" s="737"/>
      <c r="F2" s="737"/>
      <c r="G2" s="737"/>
      <c r="H2" s="737"/>
      <c r="I2" s="737"/>
      <c r="J2" s="737"/>
      <c r="K2" s="737"/>
      <c r="L2" s="737"/>
      <c r="M2" s="737"/>
      <c r="N2" s="53"/>
      <c r="O2" s="14"/>
    </row>
    <row r="3" spans="1:40" ht="23.5" x14ac:dyDescent="0.55000000000000004">
      <c r="B3" s="737"/>
      <c r="C3" s="737"/>
      <c r="D3" s="737"/>
      <c r="E3" s="737"/>
      <c r="F3" s="737"/>
      <c r="G3" s="737"/>
      <c r="H3" s="737"/>
      <c r="I3" s="737"/>
      <c r="J3" s="737"/>
      <c r="K3" s="737"/>
      <c r="L3" s="737"/>
      <c r="M3" s="737"/>
      <c r="N3" s="53"/>
      <c r="O3" s="14"/>
      <c r="P3" s="429"/>
      <c r="R3" s="342" t="s">
        <v>286</v>
      </c>
      <c r="S3" s="102"/>
      <c r="T3" s="343" t="str">
        <f>IF(TRIM(S3)="VERDADERO","SI","NO")</f>
        <v>NO</v>
      </c>
      <c r="U3" s="110"/>
      <c r="V3" s="110"/>
      <c r="W3" s="110"/>
      <c r="X3" s="110"/>
      <c r="Y3" s="110"/>
      <c r="Z3" s="110"/>
      <c r="AA3" s="110"/>
      <c r="AB3" s="110"/>
      <c r="AC3" s="110"/>
      <c r="AD3" s="110"/>
      <c r="AE3" s="110"/>
    </row>
    <row r="4" spans="1:40" ht="15" thickBot="1" x14ac:dyDescent="0.4">
      <c r="B4" s="71"/>
      <c r="C4" s="71"/>
      <c r="D4" s="71"/>
      <c r="E4" s="71"/>
      <c r="F4" s="71"/>
      <c r="G4" s="71"/>
      <c r="H4" s="71"/>
      <c r="I4" s="71"/>
      <c r="J4" s="71"/>
      <c r="K4" s="71"/>
      <c r="L4" s="71"/>
      <c r="M4" s="71"/>
      <c r="P4" s="429" t="s">
        <v>251</v>
      </c>
      <c r="R4" s="110"/>
      <c r="S4" s="110"/>
      <c r="T4" s="110"/>
      <c r="U4" s="110"/>
      <c r="V4" s="110"/>
      <c r="W4" s="110"/>
      <c r="X4" s="108"/>
      <c r="Y4" s="108"/>
      <c r="Z4" s="110"/>
      <c r="AA4" s="479">
        <v>100000</v>
      </c>
      <c r="AB4" s="110"/>
      <c r="AC4" s="110"/>
      <c r="AD4" s="110"/>
      <c r="AE4" s="110"/>
      <c r="AN4" s="344"/>
    </row>
    <row r="5" spans="1:40" ht="16" thickBot="1" x14ac:dyDescent="0.4">
      <c r="B5" s="729" t="s">
        <v>98</v>
      </c>
      <c r="C5" s="729"/>
      <c r="D5" s="729"/>
      <c r="E5" s="729"/>
      <c r="F5" s="729"/>
      <c r="G5" s="729"/>
      <c r="H5" s="729"/>
      <c r="I5" s="729"/>
      <c r="J5" s="729"/>
      <c r="K5" s="729"/>
      <c r="L5" s="729"/>
      <c r="M5" s="729"/>
      <c r="N5" s="123"/>
      <c r="P5" s="429" t="s">
        <v>252</v>
      </c>
      <c r="R5" s="478" t="s">
        <v>86</v>
      </c>
      <c r="S5" s="346"/>
      <c r="T5" s="347"/>
      <c r="U5" s="348"/>
      <c r="V5" s="348"/>
      <c r="W5" s="480" t="s">
        <v>90</v>
      </c>
      <c r="X5" s="481" t="s">
        <v>36</v>
      </c>
      <c r="Y5" s="481" t="s">
        <v>36</v>
      </c>
      <c r="Z5" s="481" t="s">
        <v>93</v>
      </c>
      <c r="AA5" s="481" t="s">
        <v>96</v>
      </c>
      <c r="AB5" s="481" t="s">
        <v>56</v>
      </c>
      <c r="AC5" s="481" t="s">
        <v>71</v>
      </c>
      <c r="AD5" s="482" t="s">
        <v>90</v>
      </c>
      <c r="AE5" s="110"/>
      <c r="AG5" s="349" t="s">
        <v>0</v>
      </c>
      <c r="AH5" s="350" t="s">
        <v>89</v>
      </c>
    </row>
    <row r="6" spans="1:40" ht="15" customHeight="1" thickBot="1" x14ac:dyDescent="0.4">
      <c r="B6" s="596"/>
      <c r="C6" s="596"/>
      <c r="D6" s="604" t="s">
        <v>116</v>
      </c>
      <c r="E6" s="738"/>
      <c r="F6" s="739"/>
      <c r="G6" s="739"/>
      <c r="H6" s="739"/>
      <c r="I6" s="739"/>
      <c r="J6" s="740"/>
      <c r="K6" s="605"/>
      <c r="L6" s="596"/>
      <c r="M6" s="596"/>
      <c r="N6" s="124"/>
      <c r="P6" s="429" t="s">
        <v>253</v>
      </c>
      <c r="R6" s="492" t="s">
        <v>87</v>
      </c>
      <c r="S6" s="493" t="s">
        <v>131</v>
      </c>
      <c r="T6" s="493" t="s">
        <v>0</v>
      </c>
      <c r="U6" s="493" t="s">
        <v>53</v>
      </c>
      <c r="V6" s="493" t="s">
        <v>70</v>
      </c>
      <c r="W6" s="483" t="s">
        <v>36</v>
      </c>
      <c r="X6" s="484" t="s">
        <v>91</v>
      </c>
      <c r="Y6" s="484" t="s">
        <v>92</v>
      </c>
      <c r="Z6" s="484" t="s">
        <v>94</v>
      </c>
      <c r="AA6" s="484" t="s">
        <v>148</v>
      </c>
      <c r="AB6" s="484" t="s">
        <v>97</v>
      </c>
      <c r="AC6" s="484" t="s">
        <v>142</v>
      </c>
      <c r="AD6" s="485" t="s">
        <v>144</v>
      </c>
      <c r="AE6" s="110"/>
      <c r="AG6" s="351">
        <v>0</v>
      </c>
      <c r="AH6" s="352">
        <v>0</v>
      </c>
    </row>
    <row r="7" spans="1:40" ht="15" customHeight="1" x14ac:dyDescent="0.35">
      <c r="B7" s="596"/>
      <c r="C7" s="596"/>
      <c r="D7" s="604" t="s">
        <v>117</v>
      </c>
      <c r="E7" s="741"/>
      <c r="F7" s="742"/>
      <c r="G7" s="742"/>
      <c r="H7" s="742"/>
      <c r="I7" s="742"/>
      <c r="J7" s="743"/>
      <c r="K7" s="606" t="s">
        <v>172</v>
      </c>
      <c r="L7" s="556">
        <f ca="1">TODAY()</f>
        <v>45520</v>
      </c>
      <c r="M7" s="596"/>
      <c r="N7" s="124"/>
      <c r="O7" s="551"/>
      <c r="P7" s="429" t="s">
        <v>254</v>
      </c>
      <c r="R7" s="486"/>
      <c r="S7" s="487"/>
      <c r="T7" s="487"/>
      <c r="U7" s="487"/>
      <c r="V7" s="487"/>
      <c r="W7" s="514"/>
      <c r="X7" s="515"/>
      <c r="Y7" s="515"/>
      <c r="Z7" s="515"/>
      <c r="AA7" s="515"/>
      <c r="AB7" s="515"/>
      <c r="AC7" s="430"/>
      <c r="AD7" s="476"/>
      <c r="AE7" s="110"/>
      <c r="AG7" s="351">
        <f t="shared" ref="AG7:AG38" si="0">AG6+1</f>
        <v>1</v>
      </c>
      <c r="AH7" s="352">
        <v>1</v>
      </c>
    </row>
    <row r="8" spans="1:40" x14ac:dyDescent="0.35">
      <c r="B8" s="596"/>
      <c r="C8" s="596"/>
      <c r="D8" s="604" t="s">
        <v>171</v>
      </c>
      <c r="E8" s="607"/>
      <c r="F8" s="553"/>
      <c r="G8" s="553"/>
      <c r="H8" s="560"/>
      <c r="I8" s="553"/>
      <c r="J8" s="553"/>
      <c r="K8" s="606" t="s">
        <v>224</v>
      </c>
      <c r="L8" s="716"/>
      <c r="M8" s="596"/>
      <c r="N8" s="124"/>
      <c r="P8" s="429" t="s">
        <v>255</v>
      </c>
      <c r="Q8" s="428"/>
      <c r="R8" s="488" t="s">
        <v>80</v>
      </c>
      <c r="S8" s="489" t="str">
        <f>IF(P15=TRUE,"AMPARADA","")</f>
        <v/>
      </c>
      <c r="T8" s="489" t="str">
        <f ca="1">IF($K$11="","-",IF($G$11="EDAD",IF(I15="","",I15),IF(G15="","",DATEDIF(G15,TODAY(),"y"))))</f>
        <v/>
      </c>
      <c r="U8" s="489">
        <f>K15</f>
        <v>0</v>
      </c>
      <c r="V8" s="489" t="s">
        <v>75</v>
      </c>
      <c r="W8" s="404" t="str">
        <f>IF(U8="HOMBRE",4,IF(U8="MUJER",5,""))</f>
        <v/>
      </c>
      <c r="X8" s="516" t="str">
        <f>IF(S8="AMPARADA",VLOOKUP(VLOOKUP(T8,$AG$6:$AH$105,2,0),Tablas!$E$7:$K$106,Cotizador!W8,0),"")</f>
        <v/>
      </c>
      <c r="Y8" s="516" t="str">
        <f>IF(S8="AMPARADA",VLOOKUP(VLOOKUP(T8,$AG$6:$AH$105,2,0),Tablas!$E$113:$K$164,Cotizador!W8,0),"")</f>
        <v/>
      </c>
      <c r="Z8" s="517" t="str">
        <f>IF(S8="AMPARADA",VLOOKUP(V8,Tablas!$AC$35:$AD$42,2,0),"")</f>
        <v/>
      </c>
      <c r="AA8" s="516" t="str">
        <f>IF(S8="AMPARADA",IF(AND(T8&gt;=18,T8&lt;=64),$AA$4*VLOOKUP(T8,Tablas!$M$38:$O$84,AD8,0)/1000,0),"")</f>
        <v/>
      </c>
      <c r="AB8" s="518" t="str">
        <f>IF(S8="AMPARADA",IF(T8&lt;12,VLOOKUP(12,Tablas!$AR$4:$AS$92,2,0),VLOOKUP(T8,Tablas!$AR$4:$AS$92,2,0)),"")</f>
        <v/>
      </c>
      <c r="AC8" s="519">
        <f>IF(S8="AMPARADA",IF(AND(T8&lt;12,$U$28="NACIONAL"),AA35,IF(AND(T8&gt;=12,$U$28="NACIONAL"),AB35,IF(AND(T8&lt;12,$U$28="INTERNACIONAL"),AB35,IF(AND(T8&gt;=12,$U$28="INTERNACIONAL"),AC35,0)))),0)</f>
        <v>0</v>
      </c>
      <c r="AD8" s="520" t="str">
        <f>IF(U8="HOMBRE",2,IF(U8="MUJER",3,""))</f>
        <v/>
      </c>
      <c r="AE8" s="110"/>
      <c r="AG8" s="351">
        <f t="shared" si="0"/>
        <v>2</v>
      </c>
      <c r="AH8" s="352">
        <v>2</v>
      </c>
    </row>
    <row r="9" spans="1:40" x14ac:dyDescent="0.35">
      <c r="B9" s="608"/>
      <c r="C9" s="608"/>
      <c r="D9" s="608"/>
      <c r="E9" s="608"/>
      <c r="F9" s="608"/>
      <c r="G9" s="608"/>
      <c r="H9" s="608"/>
      <c r="I9" s="608"/>
      <c r="J9" s="608"/>
      <c r="K9" s="609"/>
      <c r="L9" s="608"/>
      <c r="M9" s="608"/>
      <c r="N9" s="124"/>
      <c r="P9" s="430"/>
      <c r="R9" s="486"/>
      <c r="S9" s="489"/>
      <c r="T9" s="489"/>
      <c r="U9" s="489"/>
      <c r="V9" s="489"/>
      <c r="W9" s="404"/>
      <c r="X9" s="516"/>
      <c r="Y9" s="516"/>
      <c r="Z9" s="521"/>
      <c r="AA9" s="516"/>
      <c r="AB9" s="518"/>
      <c r="AC9" s="519"/>
      <c r="AD9" s="520"/>
      <c r="AE9" s="110"/>
      <c r="AG9" s="351">
        <f t="shared" si="0"/>
        <v>3</v>
      </c>
      <c r="AH9" s="352">
        <v>3</v>
      </c>
    </row>
    <row r="10" spans="1:40" x14ac:dyDescent="0.35">
      <c r="B10" s="596"/>
      <c r="C10" s="605"/>
      <c r="D10" s="605"/>
      <c r="E10" s="596"/>
      <c r="F10" s="596"/>
      <c r="G10" s="727" t="s">
        <v>263</v>
      </c>
      <c r="H10" s="727"/>
      <c r="I10" s="727"/>
      <c r="J10" s="596"/>
      <c r="K10" s="727" t="s">
        <v>294</v>
      </c>
      <c r="L10" s="727"/>
      <c r="M10" s="629"/>
      <c r="P10" s="63" t="s">
        <v>298</v>
      </c>
      <c r="Q10" s="425"/>
      <c r="R10" s="488" t="s">
        <v>81</v>
      </c>
      <c r="S10" s="489" t="str">
        <f>IF(P17=TRUE,"AMPARADA","")</f>
        <v/>
      </c>
      <c r="T10" s="489" t="str">
        <f ca="1">IF($K$11="","-",IF($G$11="EDAD",IF(I17="","",I17),IF(G17="","",DATEDIF(G17,TODAY(),"y"))))</f>
        <v/>
      </c>
      <c r="U10" s="489">
        <f>K17</f>
        <v>0</v>
      </c>
      <c r="V10" s="489" t="s">
        <v>75</v>
      </c>
      <c r="W10" s="404" t="str">
        <f>IF(U10="HOMBRE",4,IF(U10="MUJER",5,""))</f>
        <v/>
      </c>
      <c r="X10" s="516" t="str">
        <f>IF(S10="AMPARADA",VLOOKUP(VLOOKUP(T10,$AG$6:$AH$105,2,0),Tablas!$E$7:$K$106,Cotizador!W10,0),"")</f>
        <v/>
      </c>
      <c r="Y10" s="516" t="str">
        <f>IF(S10="AMPARADA",VLOOKUP(VLOOKUP(T10,$AG$6:$AH$105,2,0),Tablas!$E$113:$K$164,Cotizador!W10,0),"")</f>
        <v/>
      </c>
      <c r="Z10" s="517" t="str">
        <f>IF(S10="AMPARADA",VLOOKUP(V10,Tablas!$AC$35:$AD$42,2,0),"")</f>
        <v/>
      </c>
      <c r="AA10" s="516" t="str">
        <f>IF(S10="AMPARADA",IF(AND(T10&gt;=18,T10&lt;=64),$AA$4*VLOOKUP(T10,Tablas!$M$38:$O$84,AD10,0)/1000,0),"")</f>
        <v/>
      </c>
      <c r="AB10" s="518" t="str">
        <f>IF(S10="AMPARADA",IF(T10&lt;12,VLOOKUP(12,Tablas!$AR$4:$AS$92,2,0),VLOOKUP(T10,Tablas!$AR$4:$AS$92,2,0)),"")</f>
        <v/>
      </c>
      <c r="AC10" s="519">
        <f>IF(S10="AMPARADA",IF(AND(T10&lt;12,$U$28="NACIONAL"),AA35,IF(AND(T10&gt;=12,$U$28="NACIONAL"),AB35,IF(AND(T10&lt;12,$U$28="INTERNACIONAL"),AB35,IF(AND(T10&gt;=12,$U$28="INTERNACIONAL"),AC35,0)))),0)</f>
        <v>0</v>
      </c>
      <c r="AD10" s="520" t="str">
        <f>IF(U10="HOMBRE",2,IF(U10="MUJER",3,""))</f>
        <v/>
      </c>
      <c r="AE10" s="110"/>
      <c r="AG10" s="351">
        <f t="shared" si="0"/>
        <v>4</v>
      </c>
      <c r="AH10" s="352">
        <v>4</v>
      </c>
    </row>
    <row r="11" spans="1:40" x14ac:dyDescent="0.35">
      <c r="B11" s="596"/>
      <c r="C11" s="605"/>
      <c r="D11" s="605"/>
      <c r="E11" s="596"/>
      <c r="F11" s="596"/>
      <c r="G11" s="728" t="s">
        <v>0</v>
      </c>
      <c r="H11" s="728"/>
      <c r="I11" s="728"/>
      <c r="J11" s="596"/>
      <c r="K11" s="731" t="s">
        <v>302</v>
      </c>
      <c r="L11" s="731"/>
      <c r="M11" s="429"/>
      <c r="P11" s="430" t="str">
        <f>K11</f>
        <v>SI</v>
      </c>
      <c r="R11" s="486"/>
      <c r="S11" s="489"/>
      <c r="T11" s="489"/>
      <c r="U11" s="489"/>
      <c r="V11" s="489"/>
      <c r="W11" s="404"/>
      <c r="X11" s="516"/>
      <c r="Y11" s="516"/>
      <c r="Z11" s="521"/>
      <c r="AA11" s="516"/>
      <c r="AB11" s="518"/>
      <c r="AC11" s="519"/>
      <c r="AD11" s="520"/>
      <c r="AE11" s="110"/>
      <c r="AG11" s="351">
        <f>AG10+1</f>
        <v>5</v>
      </c>
      <c r="AH11" s="354">
        <v>5</v>
      </c>
    </row>
    <row r="12" spans="1:40" x14ac:dyDescent="0.35">
      <c r="B12" s="596"/>
      <c r="C12" s="605"/>
      <c r="D12" s="605"/>
      <c r="E12" s="596"/>
      <c r="F12" s="596"/>
      <c r="G12" s="610"/>
      <c r="H12" s="610"/>
      <c r="I12" s="610"/>
      <c r="J12" s="596"/>
      <c r="K12" s="596"/>
      <c r="L12" s="596"/>
      <c r="M12" s="596"/>
      <c r="R12" s="488" t="s">
        <v>82</v>
      </c>
      <c r="S12" s="489" t="str">
        <f>IF(P19=TRUE,"AMPARADA","")</f>
        <v/>
      </c>
      <c r="T12" s="489" t="str">
        <f ca="1">IF($K$11="","-",IF($G$11="EDAD",IF(I19="","",I19),IF(G19="","",DATEDIF(G19,TODAY(),"y"))))</f>
        <v/>
      </c>
      <c r="U12" s="489">
        <f>K19</f>
        <v>0</v>
      </c>
      <c r="V12" s="489" t="s">
        <v>75</v>
      </c>
      <c r="W12" s="404" t="str">
        <f>IF(U12="HOMBRE",4,IF(U12="MUJER",5,""))</f>
        <v/>
      </c>
      <c r="X12" s="516" t="str">
        <f>IF(S12="AMPARADA",VLOOKUP(VLOOKUP(T12,$AG$6:$AH$105,2,0),Tablas!$E$7:$K$106,Cotizador!W12,0),"")</f>
        <v/>
      </c>
      <c r="Y12" s="516" t="str">
        <f>IF(S12="AMPARADA",VLOOKUP(VLOOKUP(T12,$AG$6:$AH$105,2,0),Tablas!$E$113:$K$164,Cotizador!W12,0),"")</f>
        <v/>
      </c>
      <c r="Z12" s="517" t="str">
        <f>IF(S12="AMPARADA",VLOOKUP(V12,Tablas!$AC$35:$AD$42,2,0),"")</f>
        <v/>
      </c>
      <c r="AA12" s="516" t="str">
        <f>IF(S12="AMPARADA",IF(AND(T12&gt;=18,T12&lt;=64),$AA$4*VLOOKUP(T12,Tablas!$M$38:$O$84,AD12,0)/1000,0),"")</f>
        <v/>
      </c>
      <c r="AB12" s="518" t="str">
        <f>IF(S12="AMPARADA",IF(T12&lt;12,VLOOKUP(12,Tablas!$AR$4:$AS$92,2,0),VLOOKUP(T12,Tablas!$AR$4:$AS$92,2,0)),"")</f>
        <v/>
      </c>
      <c r="AC12" s="519">
        <f>IF(S12="AMPARADA",IF(AND(T12&lt;12,$U$28="NACIONAL"),AA35,IF(AND(T12&gt;=12,$U$28="NACIONAL"),AB35,IF(AND(T12&lt;12,$U$28="INTERNACIONAL"),AB35,IF(AND(T12&gt;=12,$U$28="INTERNACIONAL"),AC35,0)))),0)</f>
        <v>0</v>
      </c>
      <c r="AD12" s="520" t="str">
        <f>IF(U12="HOMBRE",2,IF(U12="MUJER",3,""))</f>
        <v/>
      </c>
      <c r="AE12" s="110"/>
      <c r="AG12" s="351">
        <f t="shared" si="0"/>
        <v>6</v>
      </c>
      <c r="AH12" s="354">
        <v>6</v>
      </c>
    </row>
    <row r="13" spans="1:40" x14ac:dyDescent="0.35">
      <c r="B13" s="730" t="s">
        <v>87</v>
      </c>
      <c r="C13" s="730"/>
      <c r="D13" s="730"/>
      <c r="E13" s="611" t="s">
        <v>99</v>
      </c>
      <c r="F13" s="612"/>
      <c r="G13" s="613" t="s">
        <v>262</v>
      </c>
      <c r="H13" s="613" t="s">
        <v>250</v>
      </c>
      <c r="I13" s="613" t="s">
        <v>0</v>
      </c>
      <c r="J13" s="614"/>
      <c r="K13" s="611" t="s">
        <v>53</v>
      </c>
      <c r="L13" s="596"/>
      <c r="M13" s="596"/>
      <c r="R13" s="486"/>
      <c r="S13" s="489"/>
      <c r="T13" s="489"/>
      <c r="U13" s="489"/>
      <c r="V13" s="489"/>
      <c r="W13" s="404"/>
      <c r="X13" s="516"/>
      <c r="Y13" s="516"/>
      <c r="Z13" s="521"/>
      <c r="AA13" s="516"/>
      <c r="AB13" s="518"/>
      <c r="AC13" s="519"/>
      <c r="AD13" s="520"/>
      <c r="AE13" s="110"/>
      <c r="AG13" s="351">
        <f t="shared" si="0"/>
        <v>7</v>
      </c>
      <c r="AH13" s="354">
        <v>7</v>
      </c>
    </row>
    <row r="14" spans="1:40" x14ac:dyDescent="0.35">
      <c r="B14" s="596"/>
      <c r="C14" s="599"/>
      <c r="D14" s="599"/>
      <c r="E14" s="599"/>
      <c r="F14" s="596"/>
      <c r="G14" s="610"/>
      <c r="H14" s="610"/>
      <c r="I14" s="610"/>
      <c r="J14" s="599"/>
      <c r="K14" s="599"/>
      <c r="L14" s="596"/>
      <c r="M14" s="596"/>
      <c r="R14" s="488" t="s">
        <v>83</v>
      </c>
      <c r="S14" s="489" t="str">
        <f>IF(P21=TRUE,"AMPARADA","")</f>
        <v/>
      </c>
      <c r="T14" s="489" t="str">
        <f ca="1">IF($K$11="","-",IF($G$11="EDAD",IF(I21="","",I21),IF(G21="","",DATEDIF(G21,TODAY(),"y"))))</f>
        <v/>
      </c>
      <c r="U14" s="489">
        <f>K21</f>
        <v>0</v>
      </c>
      <c r="V14" s="489" t="s">
        <v>75</v>
      </c>
      <c r="W14" s="404" t="str">
        <f>IF(U14="HOMBRE",4,IF(U14="MUJER",5,""))</f>
        <v/>
      </c>
      <c r="X14" s="516" t="str">
        <f>IF(S14="AMPARADA",VLOOKUP(VLOOKUP(T14,$AG$6:$AH$105,2,0),Tablas!$E$7:$K$106,Cotizador!W14,0),"")</f>
        <v/>
      </c>
      <c r="Y14" s="516" t="str">
        <f>IF(S14="AMPARADA",VLOOKUP(VLOOKUP(T14,$AG$6:$AH$105,2,0),Tablas!$E$113:$K$164,Cotizador!W14,0),"")</f>
        <v/>
      </c>
      <c r="Z14" s="517" t="str">
        <f>IF(S14="AMPARADA",VLOOKUP(V14,Tablas!$AC$35:$AD$42,2,0),"")</f>
        <v/>
      </c>
      <c r="AA14" s="516" t="str">
        <f>IF(S14="AMPARADA",IF(AND(T14&gt;=18,T14&lt;=64),$AA$4*VLOOKUP(T14,Tablas!$M$38:$O$84,AD14,0)/1000,0),"")</f>
        <v/>
      </c>
      <c r="AB14" s="518" t="str">
        <f>IF(S14="AMPARADA",IF(T14&lt;12,VLOOKUP(12,Tablas!$AR$4:$AS$92,2,0),VLOOKUP(T14,Tablas!$AR$4:$AS$92,2,0)),"")</f>
        <v/>
      </c>
      <c r="AC14" s="519">
        <f>IF(S14="AMPARADA",IF(AND(T14&lt;12,$U$28="NACIONAL"),AA35,IF(AND(T14&gt;=12,$U$28="NACIONAL"),AB35,IF(AND(T14&lt;12,$U$28="INTERNACIONAL"),AB35,IF(AND(T14&gt;=12,$U$28="INTERNACIONAL"),AC35,0)))),0)</f>
        <v>0</v>
      </c>
      <c r="AD14" s="522" t="str">
        <f>IF(U14="HOMBRE",2,IF(U14="MUJER",3,""))</f>
        <v/>
      </c>
      <c r="AE14" s="104"/>
      <c r="AG14" s="351">
        <f t="shared" si="0"/>
        <v>8</v>
      </c>
      <c r="AH14" s="354">
        <v>8</v>
      </c>
    </row>
    <row r="15" spans="1:40" ht="15" thickBot="1" x14ac:dyDescent="0.4">
      <c r="B15" s="596"/>
      <c r="C15" s="615" t="s">
        <v>80</v>
      </c>
      <c r="D15" s="616"/>
      <c r="E15" s="617"/>
      <c r="F15" s="553"/>
      <c r="G15" s="618"/>
      <c r="H15" s="619"/>
      <c r="I15" s="620"/>
      <c r="J15" s="621"/>
      <c r="K15" s="622"/>
      <c r="L15" s="596"/>
      <c r="M15" s="596"/>
      <c r="P15" s="441" t="b">
        <v>0</v>
      </c>
      <c r="R15" s="486"/>
      <c r="S15" s="489"/>
      <c r="T15" s="489"/>
      <c r="U15" s="489"/>
      <c r="V15" s="489"/>
      <c r="W15" s="523"/>
      <c r="X15" s="524"/>
      <c r="Y15" s="524"/>
      <c r="Z15" s="517"/>
      <c r="AA15" s="524"/>
      <c r="AB15" s="525"/>
      <c r="AC15" s="526"/>
      <c r="AD15" s="522"/>
      <c r="AE15" s="355"/>
      <c r="AG15" s="351">
        <f t="shared" si="0"/>
        <v>9</v>
      </c>
      <c r="AH15" s="354">
        <v>9</v>
      </c>
    </row>
    <row r="16" spans="1:40" x14ac:dyDescent="0.35">
      <c r="B16" s="596"/>
      <c r="C16" s="615"/>
      <c r="D16" s="599"/>
      <c r="E16" s="623"/>
      <c r="F16" s="553"/>
      <c r="G16" s="632"/>
      <c r="H16" s="619"/>
      <c r="I16" s="631"/>
      <c r="J16" s="621"/>
      <c r="K16" s="553"/>
      <c r="L16" s="596"/>
      <c r="M16" s="596"/>
      <c r="P16" s="442"/>
      <c r="R16" s="488" t="s">
        <v>84</v>
      </c>
      <c r="S16" s="489" t="str">
        <f>IF(P23=TRUE,"AMPARADA","")</f>
        <v/>
      </c>
      <c r="T16" s="489" t="str">
        <f ca="1">IF($K$11="","-",IF($G$11="EDAD",IF(I23="","",I23),IF(G23="","",DATEDIF(G23,TODAY(),"y"))))</f>
        <v/>
      </c>
      <c r="U16" s="489">
        <f>K23</f>
        <v>0</v>
      </c>
      <c r="V16" s="489" t="s">
        <v>75</v>
      </c>
      <c r="W16" s="404" t="str">
        <f>IF(U16="HOMBRE",4,IF(U16="MUJER",5,""))</f>
        <v/>
      </c>
      <c r="X16" s="516" t="str">
        <f>IF(S16="AMPARADA",VLOOKUP(VLOOKUP(T16,$AG$6:$AH$105,2,0),Tablas!$E$7:$K$106,Cotizador!W16,0),"")</f>
        <v/>
      </c>
      <c r="Y16" s="516" t="str">
        <f>IF(S16="AMPARADA",VLOOKUP(VLOOKUP(T16,$AG$6:$AH$105,2,0),Tablas!$E$113:$K$164,Cotizador!W16,0),"")</f>
        <v/>
      </c>
      <c r="Z16" s="517" t="str">
        <f>IF(S16="AMPARADA",VLOOKUP(V16,Tablas!$AC$35:$AD$42,2,0),"")</f>
        <v/>
      </c>
      <c r="AA16" s="516" t="str">
        <f>IF(S16="AMPARADA",IF(AND(T16&gt;=18,T16&lt;=64),$AA$4*VLOOKUP(T16,Tablas!$M$38:$O$84,AD16,0)/1000,0),"")</f>
        <v/>
      </c>
      <c r="AB16" s="518" t="str">
        <f>IF(S16="AMPARADA",IF(T16&lt;12,VLOOKUP(12,Tablas!$AR$4:$AS$92,2,0),VLOOKUP(T16,Tablas!$AR$4:$AS$92,2,0)),"")</f>
        <v/>
      </c>
      <c r="AC16" s="519">
        <f>IF(S16="AMPARADA",IF(AND(T16&lt;12,$U$28="NACIONAL"),AA35,IF(AND(T16&gt;=12,$U$28="NACIONAL"),AB35,IF(AND(T16&lt;12,$U$28="INTERNACIONAL"),AB35,IF(AND(T16&gt;=12,$U$28="INTERNACIONAL"),AC35,0)))),0)</f>
        <v>0</v>
      </c>
      <c r="AD16" s="522" t="str">
        <f>IF(U16="HOMBRE",2,IF(U16="MUJER",3,""))</f>
        <v/>
      </c>
      <c r="AE16" s="104"/>
      <c r="AG16" s="351">
        <f t="shared" si="0"/>
        <v>10</v>
      </c>
      <c r="AH16" s="354">
        <v>10</v>
      </c>
    </row>
    <row r="17" spans="2:34" ht="15" thickBot="1" x14ac:dyDescent="0.4">
      <c r="B17" s="596"/>
      <c r="C17" s="615" t="s">
        <v>81</v>
      </c>
      <c r="D17" s="616"/>
      <c r="E17" s="624"/>
      <c r="F17" s="553"/>
      <c r="G17" s="618"/>
      <c r="H17" s="619"/>
      <c r="I17" s="620"/>
      <c r="J17" s="621"/>
      <c r="K17" s="622"/>
      <c r="L17" s="596"/>
      <c r="M17" s="596"/>
      <c r="P17" s="441" t="b">
        <v>0</v>
      </c>
      <c r="R17" s="486"/>
      <c r="S17" s="489"/>
      <c r="T17" s="489"/>
      <c r="U17" s="489"/>
      <c r="V17" s="489"/>
      <c r="W17" s="523"/>
      <c r="X17" s="524"/>
      <c r="Y17" s="524"/>
      <c r="Z17" s="527"/>
      <c r="AA17" s="524"/>
      <c r="AB17" s="525"/>
      <c r="AC17" s="526"/>
      <c r="AD17" s="522"/>
      <c r="AE17" s="104"/>
      <c r="AF17" s="356"/>
      <c r="AG17" s="351">
        <f t="shared" si="0"/>
        <v>11</v>
      </c>
      <c r="AH17" s="354">
        <v>11</v>
      </c>
    </row>
    <row r="18" spans="2:34" ht="15" thickBot="1" x14ac:dyDescent="0.4">
      <c r="B18" s="596"/>
      <c r="C18" s="625" t="s">
        <v>292</v>
      </c>
      <c r="D18" s="605"/>
      <c r="E18" s="553"/>
      <c r="F18" s="553"/>
      <c r="G18" s="631"/>
      <c r="H18" s="619"/>
      <c r="I18" s="527"/>
      <c r="J18" s="553"/>
      <c r="K18" s="554"/>
      <c r="L18" s="596"/>
      <c r="M18" s="596"/>
      <c r="P18" s="442"/>
      <c r="R18" s="490" t="s">
        <v>85</v>
      </c>
      <c r="S18" s="491" t="str">
        <f>IF(P25=TRUE,"AMPARADA","")</f>
        <v/>
      </c>
      <c r="T18" s="491" t="str">
        <f ca="1">IF($K$11="","-",IF($G$11="EDAD",IF(I25="","",I25),IF(G25="","",DATEDIF(G25,TODAY(),"y"))))</f>
        <v/>
      </c>
      <c r="U18" s="491">
        <f>K25</f>
        <v>0</v>
      </c>
      <c r="V18" s="491" t="s">
        <v>75</v>
      </c>
      <c r="W18" s="528" t="str">
        <f>IF(U18="HOMBRE",4,IF(U18="MUJER",5,""))</f>
        <v/>
      </c>
      <c r="X18" s="529" t="str">
        <f>IF(S18="AMPARADA",VLOOKUP(VLOOKUP(T18,$AG$6:$AH$105,2,0),Tablas!$E$7:$K$106,Cotizador!W18,0),"")</f>
        <v/>
      </c>
      <c r="Y18" s="529" t="str">
        <f>IF(S18="AMPARADA",VLOOKUP(VLOOKUP(T18,$AG$6:$AH$105,2,0),Tablas!$E$113:$K$164,Cotizador!W18,0),"")</f>
        <v/>
      </c>
      <c r="Z18" s="530" t="str">
        <f>IF(S18="AMPARADA",VLOOKUP(V18,Tablas!$AC$35:$AD$42,2,0),"")</f>
        <v/>
      </c>
      <c r="AA18" s="529" t="str">
        <f>IF(S18="AMPARADA",IF(AND(T18&gt;=18,T18&lt;=64),$AA$4*VLOOKUP(T18,Tablas!$M$38:$O$84,AD18,0)/1000,0),"")</f>
        <v/>
      </c>
      <c r="AB18" s="531" t="str">
        <f>IF(S18="AMPARADA",IF(T18&lt;12,VLOOKUP(12,Tablas!$AR$4:$AS$92,2,0),VLOOKUP(T18,Tablas!$AR$4:$AS$92,2,0)),"")</f>
        <v/>
      </c>
      <c r="AC18" s="532">
        <f>IF(S18="AMPARADA",IF(AND(T18&lt;12,$U$28="NACIONAL"),AA35,IF(AND(T18&gt;=12,$U$28="NACIONAL"),AB35,IF(AND(T18&lt;12,$U$28="INTERNACIONAL"),AB35,IF(AND(T18&gt;=12,$U$28="INTERNACIONAL"),AC35,0)))),0)</f>
        <v>0</v>
      </c>
      <c r="AD18" s="533" t="str">
        <f>IF(U18="HOMBRE",2,IF(U18="MUJER",3,""))</f>
        <v/>
      </c>
      <c r="AE18" s="104"/>
      <c r="AG18" s="351">
        <f t="shared" si="0"/>
        <v>12</v>
      </c>
      <c r="AH18" s="354">
        <v>12</v>
      </c>
    </row>
    <row r="19" spans="2:34" ht="15" thickBot="1" x14ac:dyDescent="0.4">
      <c r="B19" s="596"/>
      <c r="C19" s="625" t="s">
        <v>82</v>
      </c>
      <c r="D19" s="616"/>
      <c r="E19" s="624"/>
      <c r="F19" s="553"/>
      <c r="G19" s="618"/>
      <c r="H19" s="619"/>
      <c r="I19" s="620"/>
      <c r="J19" s="553"/>
      <c r="K19" s="622"/>
      <c r="L19" s="596"/>
      <c r="M19" s="596"/>
      <c r="P19" s="441" t="b">
        <v>0</v>
      </c>
      <c r="R19" s="110"/>
      <c r="S19" s="110"/>
      <c r="T19" s="110"/>
      <c r="U19" s="110"/>
      <c r="V19" s="110"/>
      <c r="W19" s="104"/>
      <c r="X19" s="104"/>
      <c r="Y19" s="104"/>
      <c r="Z19" s="104"/>
      <c r="AA19" s="104"/>
      <c r="AB19" s="104"/>
      <c r="AC19" s="104"/>
      <c r="AD19" s="104"/>
      <c r="AE19" s="104"/>
      <c r="AG19" s="351">
        <f t="shared" si="0"/>
        <v>13</v>
      </c>
      <c r="AH19" s="354">
        <v>13</v>
      </c>
    </row>
    <row r="20" spans="2:34" x14ac:dyDescent="0.35">
      <c r="B20" s="596"/>
      <c r="C20" s="625"/>
      <c r="D20" s="605"/>
      <c r="E20" s="553"/>
      <c r="F20" s="553"/>
      <c r="G20" s="631"/>
      <c r="H20" s="619"/>
      <c r="I20" s="631"/>
      <c r="J20" s="553"/>
      <c r="K20" s="553"/>
      <c r="L20" s="596"/>
      <c r="M20" s="596"/>
      <c r="P20" s="442"/>
      <c r="R20" s="110"/>
      <c r="S20" s="110"/>
      <c r="T20" s="110"/>
      <c r="U20" s="110"/>
      <c r="V20" s="110"/>
      <c r="W20" s="104"/>
      <c r="X20" s="104"/>
      <c r="Y20" s="104"/>
      <c r="Z20" s="104"/>
      <c r="AA20" s="104"/>
      <c r="AB20" s="104"/>
      <c r="AC20" s="104"/>
      <c r="AD20" s="104"/>
      <c r="AE20" s="104"/>
      <c r="AG20" s="351">
        <f t="shared" si="0"/>
        <v>14</v>
      </c>
      <c r="AH20" s="354">
        <v>14</v>
      </c>
    </row>
    <row r="21" spans="2:34" ht="16" thickBot="1" x14ac:dyDescent="0.4">
      <c r="B21" s="596"/>
      <c r="C21" s="625" t="s">
        <v>83</v>
      </c>
      <c r="D21" s="616"/>
      <c r="E21" s="624"/>
      <c r="F21" s="553"/>
      <c r="G21" s="618"/>
      <c r="H21" s="619"/>
      <c r="I21" s="620"/>
      <c r="J21" s="553"/>
      <c r="K21" s="622"/>
      <c r="L21" s="596"/>
      <c r="M21" s="596"/>
      <c r="P21" s="441" t="b">
        <v>0</v>
      </c>
      <c r="R21" s="478" t="s">
        <v>79</v>
      </c>
      <c r="S21" s="110"/>
      <c r="T21" s="110"/>
      <c r="U21" s="110"/>
      <c r="V21" s="110"/>
      <c r="W21" s="104"/>
      <c r="X21" s="104"/>
      <c r="Y21" s="104"/>
      <c r="Z21" s="104"/>
      <c r="AA21" s="104"/>
      <c r="AB21" s="104"/>
      <c r="AC21" s="104"/>
      <c r="AD21" s="104"/>
      <c r="AE21" s="104"/>
      <c r="AG21" s="351">
        <f t="shared" si="0"/>
        <v>15</v>
      </c>
      <c r="AH21" s="354">
        <v>15</v>
      </c>
    </row>
    <row r="22" spans="2:34" ht="15" thickBot="1" x14ac:dyDescent="0.4">
      <c r="B22" s="596"/>
      <c r="C22" s="625"/>
      <c r="D22" s="605"/>
      <c r="E22" s="553"/>
      <c r="F22" s="553"/>
      <c r="G22" s="631"/>
      <c r="H22" s="619"/>
      <c r="I22" s="631"/>
      <c r="J22" s="553"/>
      <c r="K22" s="553"/>
      <c r="L22" s="596"/>
      <c r="M22" s="596"/>
      <c r="P22" s="442"/>
      <c r="R22" s="494" t="s">
        <v>49</v>
      </c>
      <c r="S22" s="495"/>
      <c r="T22" s="496">
        <f>E8</f>
        <v>0</v>
      </c>
      <c r="U22" s="497"/>
      <c r="V22" s="110"/>
      <c r="W22" s="104"/>
      <c r="X22" s="104"/>
      <c r="Y22" s="104"/>
      <c r="Z22" s="104"/>
      <c r="AA22" s="104"/>
      <c r="AB22" s="550" t="e">
        <f>FGFTITULAR*AC8</f>
        <v>#VALUE!</v>
      </c>
      <c r="AC22" s="104"/>
      <c r="AD22" s="104"/>
      <c r="AE22" s="104"/>
      <c r="AG22" s="351">
        <f t="shared" si="0"/>
        <v>16</v>
      </c>
      <c r="AH22" s="354">
        <v>16</v>
      </c>
    </row>
    <row r="23" spans="2:34" ht="15" thickBot="1" x14ac:dyDescent="0.4">
      <c r="B23" s="596"/>
      <c r="C23" s="625" t="s">
        <v>84</v>
      </c>
      <c r="D23" s="616"/>
      <c r="E23" s="624"/>
      <c r="F23" s="553"/>
      <c r="G23" s="618"/>
      <c r="H23" s="619"/>
      <c r="I23" s="620"/>
      <c r="J23" s="553"/>
      <c r="K23" s="622"/>
      <c r="L23" s="596"/>
      <c r="M23" s="596"/>
      <c r="P23" s="441" t="b">
        <v>0</v>
      </c>
      <c r="R23" s="498" t="s">
        <v>38</v>
      </c>
      <c r="S23" s="499"/>
      <c r="T23" s="500" t="str">
        <f>Parametros!E6</f>
        <v/>
      </c>
      <c r="U23" s="110"/>
      <c r="V23" s="110"/>
      <c r="W23" s="104"/>
      <c r="X23" s="104"/>
      <c r="Y23" s="104"/>
      <c r="Z23" s="104"/>
      <c r="AA23" s="104"/>
      <c r="AB23" s="104"/>
      <c r="AC23" s="104"/>
      <c r="AD23" s="104"/>
      <c r="AE23" s="104"/>
      <c r="AG23" s="351">
        <f t="shared" si="0"/>
        <v>17</v>
      </c>
      <c r="AH23" s="354">
        <v>17</v>
      </c>
    </row>
    <row r="24" spans="2:34" x14ac:dyDescent="0.35">
      <c r="B24" s="596"/>
      <c r="C24" s="625"/>
      <c r="D24" s="605"/>
      <c r="E24" s="553"/>
      <c r="F24" s="553"/>
      <c r="G24" s="631"/>
      <c r="H24" s="619"/>
      <c r="I24" s="631"/>
      <c r="J24" s="553"/>
      <c r="K24" s="553"/>
      <c r="L24" s="596"/>
      <c r="M24" s="596"/>
      <c r="P24" s="442"/>
      <c r="R24" s="501" t="s">
        <v>71</v>
      </c>
      <c r="S24" s="502"/>
      <c r="T24" s="503">
        <f>Parametros!E8</f>
        <v>0</v>
      </c>
      <c r="U24" s="110"/>
      <c r="V24" s="110"/>
      <c r="W24" s="104"/>
      <c r="X24" s="104"/>
      <c r="Y24" s="104"/>
      <c r="Z24" s="104"/>
      <c r="AA24" s="104"/>
      <c r="AB24" s="104"/>
      <c r="AC24" s="104"/>
      <c r="AD24" s="104"/>
      <c r="AE24" s="104"/>
      <c r="AG24" s="351">
        <f t="shared" si="0"/>
        <v>18</v>
      </c>
      <c r="AH24" s="354">
        <v>18</v>
      </c>
    </row>
    <row r="25" spans="2:34" ht="15" thickBot="1" x14ac:dyDescent="0.4">
      <c r="B25" s="596"/>
      <c r="C25" s="625" t="s">
        <v>85</v>
      </c>
      <c r="D25" s="616"/>
      <c r="E25" s="624"/>
      <c r="F25" s="553"/>
      <c r="G25" s="618"/>
      <c r="H25" s="619"/>
      <c r="I25" s="620"/>
      <c r="J25" s="553"/>
      <c r="K25" s="622"/>
      <c r="L25" s="596"/>
      <c r="M25" s="596"/>
      <c r="P25" s="441" t="b">
        <v>0</v>
      </c>
      <c r="Q25" s="358"/>
      <c r="R25" s="501" t="s">
        <v>72</v>
      </c>
      <c r="S25" s="502"/>
      <c r="T25" s="503">
        <f>Parametros!E9</f>
        <v>0</v>
      </c>
      <c r="U25" s="110"/>
      <c r="V25" s="110"/>
      <c r="W25" s="104"/>
      <c r="X25" s="104"/>
      <c r="Y25" s="104"/>
      <c r="Z25" s="104"/>
      <c r="AA25" s="104"/>
      <c r="AB25" s="104"/>
      <c r="AC25" s="104"/>
      <c r="AD25" s="104"/>
      <c r="AE25" s="104"/>
      <c r="AG25" s="351">
        <f t="shared" si="0"/>
        <v>19</v>
      </c>
      <c r="AH25" s="354">
        <v>19</v>
      </c>
    </row>
    <row r="26" spans="2:34" ht="15" thickBot="1" x14ac:dyDescent="0.4">
      <c r="B26" s="608"/>
      <c r="C26" s="626"/>
      <c r="D26" s="626"/>
      <c r="E26" s="608"/>
      <c r="F26" s="608"/>
      <c r="G26" s="608"/>
      <c r="H26" s="608"/>
      <c r="I26" s="608"/>
      <c r="J26" s="608"/>
      <c r="K26" s="608"/>
      <c r="L26" s="608"/>
      <c r="M26" s="608"/>
      <c r="R26" s="504" t="s">
        <v>73</v>
      </c>
      <c r="S26" s="505"/>
      <c r="T26" s="506">
        <f>Parametros!E10</f>
        <v>0</v>
      </c>
      <c r="U26" s="509" t="s">
        <v>149</v>
      </c>
      <c r="V26" s="504"/>
      <c r="W26" s="510"/>
      <c r="X26" s="357"/>
      <c r="Y26" s="104"/>
      <c r="Z26" s="104"/>
      <c r="AA26" s="104"/>
      <c r="AB26" s="104"/>
      <c r="AC26" s="104"/>
      <c r="AD26" s="104"/>
      <c r="AE26" s="104"/>
      <c r="AG26" s="351">
        <f t="shared" si="0"/>
        <v>20</v>
      </c>
      <c r="AH26" s="354">
        <v>20</v>
      </c>
    </row>
    <row r="27" spans="2:34" ht="15" thickBot="1" x14ac:dyDescent="0.4">
      <c r="B27" s="729" t="s">
        <v>324</v>
      </c>
      <c r="C27" s="729"/>
      <c r="D27" s="729"/>
      <c r="E27" s="729"/>
      <c r="F27" s="729"/>
      <c r="G27" s="729"/>
      <c r="H27" s="729"/>
      <c r="I27" s="729"/>
      <c r="J27" s="729"/>
      <c r="K27" s="729"/>
      <c r="L27" s="729"/>
      <c r="M27" s="729"/>
      <c r="Q27" s="358"/>
      <c r="R27" s="504" t="s">
        <v>228</v>
      </c>
      <c r="S27" s="507"/>
      <c r="T27" s="503" t="str">
        <f>Parametros!E7</f>
        <v/>
      </c>
      <c r="U27" s="110"/>
      <c r="V27" s="110"/>
      <c r="W27" s="110"/>
      <c r="X27" s="110"/>
      <c r="Y27" s="110"/>
      <c r="Z27" s="110"/>
      <c r="AA27" s="110"/>
      <c r="AB27" s="110"/>
      <c r="AC27" s="110"/>
      <c r="AD27" s="110"/>
      <c r="AE27" s="110"/>
      <c r="AG27" s="351">
        <f t="shared" si="0"/>
        <v>21</v>
      </c>
      <c r="AH27" s="354">
        <f>+AH26+1</f>
        <v>21</v>
      </c>
    </row>
    <row r="28" spans="2:34" ht="15.75" hidden="1" customHeight="1" thickBot="1" x14ac:dyDescent="0.4">
      <c r="C28" s="71"/>
      <c r="F28" s="3"/>
      <c r="R28" s="735" t="s">
        <v>95</v>
      </c>
      <c r="S28" s="736"/>
      <c r="T28" s="508" t="s">
        <v>187</v>
      </c>
      <c r="U28" s="508" t="s">
        <v>140</v>
      </c>
      <c r="V28" s="110"/>
      <c r="W28" s="110"/>
      <c r="X28" s="110"/>
      <c r="Y28" s="110"/>
      <c r="Z28" s="110"/>
      <c r="AA28" s="110"/>
      <c r="AB28" s="110"/>
      <c r="AC28" s="110"/>
      <c r="AD28" s="110"/>
      <c r="AE28" s="110"/>
      <c r="AG28" s="351">
        <f t="shared" si="0"/>
        <v>22</v>
      </c>
      <c r="AH28" s="354">
        <f>+AH27+1</f>
        <v>22</v>
      </c>
    </row>
    <row r="29" spans="2:34" hidden="1" x14ac:dyDescent="0.35">
      <c r="R29" s="108"/>
      <c r="S29" s="108"/>
      <c r="T29" s="104"/>
      <c r="U29" s="110"/>
      <c r="V29" s="110"/>
      <c r="W29" s="110"/>
      <c r="X29" s="110"/>
      <c r="Y29" s="110"/>
      <c r="Z29" s="110"/>
      <c r="AA29" s="110"/>
      <c r="AB29" s="110"/>
      <c r="AC29" s="110"/>
      <c r="AD29" s="110"/>
      <c r="AE29" s="110"/>
      <c r="AG29" s="351">
        <f t="shared" si="0"/>
        <v>23</v>
      </c>
      <c r="AH29" s="354">
        <f>+AH28+1</f>
        <v>23</v>
      </c>
    </row>
    <row r="30" spans="2:34" ht="16" hidden="1" thickBot="1" x14ac:dyDescent="0.4">
      <c r="C30" s="4"/>
      <c r="G30" s="4"/>
      <c r="R30" s="478" t="s">
        <v>150</v>
      </c>
      <c r="S30" s="105"/>
      <c r="T30" s="106"/>
      <c r="U30" s="108"/>
      <c r="V30" s="110"/>
      <c r="W30" s="110"/>
      <c r="X30" s="110"/>
      <c r="Y30" s="110"/>
      <c r="Z30" s="110"/>
      <c r="AA30" s="110"/>
      <c r="AB30" s="110"/>
      <c r="AC30" s="110"/>
      <c r="AD30" s="110"/>
      <c r="AE30" s="110"/>
      <c r="AG30" s="351">
        <f t="shared" si="0"/>
        <v>24</v>
      </c>
      <c r="AH30" s="354">
        <f t="shared" ref="AH30:AH93" si="1">+AH29+1</f>
        <v>24</v>
      </c>
    </row>
    <row r="31" spans="2:34" ht="15" hidden="1" customHeight="1" x14ac:dyDescent="0.35">
      <c r="C31" s="4"/>
      <c r="G31" s="4"/>
      <c r="R31" s="511" t="s">
        <v>119</v>
      </c>
      <c r="S31" s="499"/>
      <c r="T31" s="500" t="str">
        <f>IF(Parametros!L25=TRUE,"AMPARADA","")</f>
        <v/>
      </c>
      <c r="U31" s="103"/>
      <c r="V31" s="110"/>
      <c r="W31" s="359" t="s">
        <v>185</v>
      </c>
      <c r="X31" s="110"/>
      <c r="Y31" s="110"/>
      <c r="Z31" s="110"/>
      <c r="AA31" s="732" t="s">
        <v>186</v>
      </c>
      <c r="AB31" s="733"/>
      <c r="AC31" s="734"/>
      <c r="AD31" s="110"/>
      <c r="AE31" s="110"/>
      <c r="AG31" s="351">
        <f t="shared" si="0"/>
        <v>25</v>
      </c>
      <c r="AH31" s="354">
        <f t="shared" si="1"/>
        <v>25</v>
      </c>
    </row>
    <row r="32" spans="2:34" hidden="1" x14ac:dyDescent="0.35">
      <c r="C32" s="4"/>
      <c r="D32" s="6"/>
      <c r="G32" s="4"/>
      <c r="R32" s="501" t="s">
        <v>118</v>
      </c>
      <c r="S32" s="502"/>
      <c r="T32" s="512" t="str">
        <f>IF(Parametros!L26=TRUE,"AMPARADA","")</f>
        <v/>
      </c>
      <c r="U32" s="110"/>
      <c r="V32" s="110"/>
      <c r="W32" s="360" t="s">
        <v>136</v>
      </c>
      <c r="X32" s="361" t="s">
        <v>137</v>
      </c>
      <c r="Y32" s="362" t="s">
        <v>138</v>
      </c>
      <c r="Z32" s="110"/>
      <c r="AA32" s="363">
        <v>30</v>
      </c>
      <c r="AB32" s="102">
        <v>60</v>
      </c>
      <c r="AC32" s="343">
        <v>100</v>
      </c>
      <c r="AD32" s="110"/>
      <c r="AE32" s="110"/>
      <c r="AG32" s="351">
        <f t="shared" si="0"/>
        <v>26</v>
      </c>
      <c r="AH32" s="354">
        <f t="shared" si="1"/>
        <v>26</v>
      </c>
    </row>
    <row r="33" spans="3:34" hidden="1" x14ac:dyDescent="0.35">
      <c r="D33" s="6"/>
      <c r="H33" s="2"/>
      <c r="K33" s="2"/>
      <c r="R33" s="501" t="s">
        <v>147</v>
      </c>
      <c r="S33" s="502"/>
      <c r="T33" s="512" t="str">
        <f>IF(Parametros!L27=TRUE,"AMPARADA","")</f>
        <v/>
      </c>
      <c r="U33" s="110"/>
      <c r="V33" s="364" t="s">
        <v>183</v>
      </c>
      <c r="W33" s="365">
        <v>60.25</v>
      </c>
      <c r="X33" s="366">
        <v>58.55</v>
      </c>
      <c r="Y33" s="367">
        <v>57.11</v>
      </c>
      <c r="Z33" s="110"/>
      <c r="AA33" s="368"/>
      <c r="AB33" s="110"/>
      <c r="AC33" s="353"/>
      <c r="AD33" s="110"/>
      <c r="AE33" s="110"/>
      <c r="AG33" s="351">
        <f t="shared" si="0"/>
        <v>27</v>
      </c>
      <c r="AH33" s="354">
        <f t="shared" si="1"/>
        <v>27</v>
      </c>
    </row>
    <row r="34" spans="3:34" hidden="1" x14ac:dyDescent="0.35">
      <c r="C34" s="4"/>
      <c r="G34" s="4"/>
      <c r="R34" s="501" t="s">
        <v>195</v>
      </c>
      <c r="S34" s="502"/>
      <c r="T34" s="512" t="str">
        <f>IF(Parametros!L28=TRUE,"AMPARADA","")</f>
        <v/>
      </c>
      <c r="U34" s="110"/>
      <c r="V34" s="364" t="s">
        <v>184</v>
      </c>
      <c r="W34" s="369">
        <v>1832.58</v>
      </c>
      <c r="X34" s="370">
        <v>1780.75</v>
      </c>
      <c r="Y34" s="371">
        <v>1737.17</v>
      </c>
      <c r="Z34" s="110"/>
      <c r="AA34" s="372">
        <f>$W$34*AA32</f>
        <v>54977.399999999994</v>
      </c>
      <c r="AB34" s="373">
        <f>$W$34*AB32</f>
        <v>109954.79999999999</v>
      </c>
      <c r="AC34" s="374">
        <f>$W$34*AC32</f>
        <v>183258</v>
      </c>
      <c r="AD34" s="110"/>
      <c r="AE34" s="110"/>
      <c r="AG34" s="351">
        <f t="shared" si="0"/>
        <v>28</v>
      </c>
      <c r="AH34" s="354">
        <f t="shared" si="1"/>
        <v>28</v>
      </c>
    </row>
    <row r="35" spans="3:34" hidden="1" x14ac:dyDescent="0.35">
      <c r="C35" s="2"/>
      <c r="F35" s="2"/>
      <c r="J35" s="2"/>
      <c r="R35" s="501" t="s">
        <v>189</v>
      </c>
      <c r="S35" s="502"/>
      <c r="T35" s="512" t="str">
        <f>IF(Parametros!L29=TRUE,"AMPARADA","")</f>
        <v/>
      </c>
      <c r="U35" s="110"/>
      <c r="V35" s="364" t="s">
        <v>155</v>
      </c>
      <c r="W35" s="369">
        <v>21990.01</v>
      </c>
      <c r="X35" s="370">
        <v>21368.35</v>
      </c>
      <c r="Y35" s="371">
        <v>20845.39</v>
      </c>
      <c r="Z35" s="110"/>
      <c r="AA35" s="375">
        <v>100000</v>
      </c>
      <c r="AB35" s="376">
        <v>100000</v>
      </c>
      <c r="AC35" s="377">
        <v>100000</v>
      </c>
      <c r="AD35" s="110"/>
      <c r="AE35" s="110"/>
      <c r="AG35" s="351">
        <f t="shared" si="0"/>
        <v>29</v>
      </c>
      <c r="AH35" s="354">
        <f t="shared" si="1"/>
        <v>29</v>
      </c>
    </row>
    <row r="36" spans="3:34" hidden="1" x14ac:dyDescent="0.35">
      <c r="C36" s="2"/>
      <c r="F36" s="2"/>
      <c r="J36" s="2"/>
      <c r="R36" s="501" t="s">
        <v>216</v>
      </c>
      <c r="S36" s="502"/>
      <c r="T36" s="512" t="str">
        <f>IF(Parametros!L30=TRUE,"AMPARADA","")</f>
        <v/>
      </c>
      <c r="U36" s="110"/>
      <c r="V36" s="110"/>
      <c r="W36" s="110"/>
      <c r="X36" s="110"/>
      <c r="Y36" s="110"/>
      <c r="Z36" s="110"/>
      <c r="AA36" s="110"/>
      <c r="AB36" s="110"/>
      <c r="AC36" s="110"/>
      <c r="AD36" s="110"/>
      <c r="AE36" s="110"/>
      <c r="AG36" s="351">
        <f t="shared" si="0"/>
        <v>30</v>
      </c>
      <c r="AH36" s="354">
        <f t="shared" si="1"/>
        <v>30</v>
      </c>
    </row>
    <row r="37" spans="3:34" hidden="1" x14ac:dyDescent="0.35">
      <c r="C37" s="2"/>
      <c r="F37" s="2"/>
      <c r="J37" s="2"/>
      <c r="R37" s="501" t="s">
        <v>199</v>
      </c>
      <c r="S37" s="502"/>
      <c r="T37" s="512" t="str">
        <f>IF(Parametros!L31=TRUE,"AMPARADA","")</f>
        <v/>
      </c>
      <c r="U37" s="110"/>
      <c r="V37" s="110"/>
      <c r="W37" s="110"/>
      <c r="X37" s="110"/>
      <c r="Y37" s="110"/>
      <c r="Z37" s="110"/>
      <c r="AA37" s="110"/>
      <c r="AB37" s="110"/>
      <c r="AC37" s="110"/>
      <c r="AD37" s="110"/>
      <c r="AE37" s="110"/>
      <c r="AG37" s="351">
        <f t="shared" si="0"/>
        <v>31</v>
      </c>
      <c r="AH37" s="354">
        <f t="shared" si="1"/>
        <v>31</v>
      </c>
    </row>
    <row r="38" spans="3:34" hidden="1" x14ac:dyDescent="0.35">
      <c r="J38" s="5"/>
      <c r="L38" s="3"/>
      <c r="R38" s="501" t="s">
        <v>211</v>
      </c>
      <c r="S38" s="502"/>
      <c r="T38" s="512" t="str">
        <f>IF(Parametros!L32=TRUE,"AMPARADA","")</f>
        <v/>
      </c>
      <c r="U38" s="110"/>
      <c r="V38" s="110"/>
      <c r="W38" s="110"/>
      <c r="X38" s="110"/>
      <c r="Y38" s="110"/>
      <c r="Z38" s="110"/>
      <c r="AA38" s="110"/>
      <c r="AB38" s="110"/>
      <c r="AC38" s="110"/>
      <c r="AD38" s="110"/>
      <c r="AE38" s="110"/>
      <c r="AG38" s="351">
        <f t="shared" si="0"/>
        <v>32</v>
      </c>
      <c r="AH38" s="354">
        <f t="shared" si="1"/>
        <v>32</v>
      </c>
    </row>
    <row r="39" spans="3:34" hidden="1" x14ac:dyDescent="0.35">
      <c r="D39" s="16"/>
      <c r="R39" s="501" t="s">
        <v>261</v>
      </c>
      <c r="S39" s="502"/>
      <c r="T39" s="512" t="str">
        <f>IF(Parametros!L33=TRUE,"AMPARADA","")</f>
        <v/>
      </c>
      <c r="U39" s="110"/>
      <c r="V39" s="110"/>
      <c r="W39" s="110"/>
      <c r="X39" s="110"/>
      <c r="Y39" s="110"/>
      <c r="Z39" s="110"/>
      <c r="AA39" s="110"/>
      <c r="AB39" s="110"/>
      <c r="AC39" s="110"/>
      <c r="AD39" s="110"/>
      <c r="AE39" s="110"/>
      <c r="AG39" s="351">
        <f t="shared" ref="AG39:AG71" si="2">AG38+1</f>
        <v>33</v>
      </c>
      <c r="AH39" s="354">
        <f t="shared" si="1"/>
        <v>33</v>
      </c>
    </row>
    <row r="40" spans="3:34" ht="15" hidden="1" thickBot="1" x14ac:dyDescent="0.4">
      <c r="R40" s="504" t="s">
        <v>249</v>
      </c>
      <c r="S40" s="505"/>
      <c r="T40" s="513" t="str">
        <f>IF(T27=90000,"AMPARADA","")</f>
        <v/>
      </c>
      <c r="U40" s="110"/>
      <c r="V40" s="110"/>
      <c r="W40" s="110"/>
      <c r="X40" s="110"/>
      <c r="Y40" s="110"/>
      <c r="Z40" s="110"/>
      <c r="AA40" s="110"/>
      <c r="AB40" s="110"/>
      <c r="AC40" s="110"/>
      <c r="AD40" s="110"/>
      <c r="AE40" s="110"/>
      <c r="AG40" s="351">
        <f t="shared" si="2"/>
        <v>34</v>
      </c>
      <c r="AH40" s="354">
        <f t="shared" si="1"/>
        <v>34</v>
      </c>
    </row>
    <row r="41" spans="3:34" hidden="1" x14ac:dyDescent="0.35">
      <c r="P41" s="378"/>
      <c r="R41" s="110"/>
      <c r="S41" s="110"/>
      <c r="T41" s="110"/>
      <c r="U41" s="110"/>
      <c r="V41" s="110"/>
      <c r="W41" s="110"/>
      <c r="X41" s="110"/>
      <c r="Y41" s="110"/>
      <c r="Z41" s="110"/>
      <c r="AA41" s="110"/>
      <c r="AB41" s="110"/>
      <c r="AC41" s="110"/>
      <c r="AD41" s="110"/>
      <c r="AE41" s="110"/>
      <c r="AG41" s="351">
        <f t="shared" si="2"/>
        <v>35</v>
      </c>
      <c r="AH41" s="354">
        <f t="shared" si="1"/>
        <v>35</v>
      </c>
    </row>
    <row r="42" spans="3:34" ht="16" hidden="1" thickBot="1" x14ac:dyDescent="0.4">
      <c r="D42" s="31"/>
      <c r="E42" s="24"/>
      <c r="F42" s="24"/>
      <c r="I42" s="37"/>
      <c r="K42" s="37"/>
      <c r="L42" s="24"/>
      <c r="R42" s="478" t="s">
        <v>108</v>
      </c>
      <c r="S42" s="110"/>
      <c r="T42" s="110"/>
      <c r="U42" s="110"/>
      <c r="V42" s="110"/>
      <c r="W42" s="110"/>
      <c r="X42" s="110"/>
      <c r="Y42" s="110"/>
      <c r="Z42" s="110"/>
      <c r="AA42" s="110"/>
      <c r="AB42" s="110"/>
      <c r="AC42" s="110"/>
      <c r="AD42" s="110"/>
      <c r="AE42" s="110"/>
      <c r="AG42" s="351">
        <f t="shared" si="2"/>
        <v>36</v>
      </c>
      <c r="AH42" s="354">
        <f t="shared" si="1"/>
        <v>36</v>
      </c>
    </row>
    <row r="43" spans="3:34" ht="15" hidden="1" thickBot="1" x14ac:dyDescent="0.4">
      <c r="R43" s="546" t="s">
        <v>88</v>
      </c>
      <c r="S43" s="547" t="s">
        <v>80</v>
      </c>
      <c r="T43" s="547" t="s">
        <v>81</v>
      </c>
      <c r="U43" s="547" t="s">
        <v>82</v>
      </c>
      <c r="V43" s="547" t="s">
        <v>83</v>
      </c>
      <c r="W43" s="547" t="s">
        <v>84</v>
      </c>
      <c r="X43" s="548" t="s">
        <v>85</v>
      </c>
      <c r="Y43" s="110"/>
      <c r="Z43" s="110"/>
      <c r="AA43" s="110"/>
      <c r="AB43" s="110"/>
      <c r="AC43" s="110"/>
      <c r="AD43" s="110"/>
      <c r="AE43" s="110"/>
      <c r="AG43" s="351">
        <f t="shared" si="2"/>
        <v>37</v>
      </c>
      <c r="AH43" s="354">
        <f t="shared" si="1"/>
        <v>37</v>
      </c>
    </row>
    <row r="44" spans="3:34" hidden="1" x14ac:dyDescent="0.35">
      <c r="D44" s="42"/>
      <c r="E44" s="24"/>
      <c r="F44" s="24"/>
      <c r="H44" s="39"/>
      <c r="I44" s="44"/>
      <c r="K44" s="44"/>
      <c r="L44" s="26"/>
      <c r="M44" s="24"/>
      <c r="R44" s="466"/>
      <c r="S44" s="467"/>
      <c r="T44" s="467"/>
      <c r="U44" s="467"/>
      <c r="V44" s="467"/>
      <c r="W44" s="467"/>
      <c r="X44" s="468"/>
      <c r="Y44" s="110"/>
      <c r="Z44" s="110"/>
      <c r="AA44" s="110"/>
      <c r="AB44" s="110"/>
      <c r="AC44" s="110"/>
      <c r="AD44" s="110"/>
      <c r="AE44" s="110"/>
      <c r="AG44" s="351">
        <f t="shared" si="2"/>
        <v>38</v>
      </c>
      <c r="AH44" s="354">
        <f t="shared" si="1"/>
        <v>38</v>
      </c>
    </row>
    <row r="45" spans="3:34" hidden="1" x14ac:dyDescent="0.35">
      <c r="D45" s="24"/>
      <c r="E45" s="24"/>
      <c r="F45" s="24"/>
      <c r="G45" s="24"/>
      <c r="H45" s="24"/>
      <c r="I45" s="27"/>
      <c r="J45" s="24"/>
      <c r="K45" s="24"/>
      <c r="L45" s="27"/>
      <c r="M45" s="24"/>
      <c r="P45" s="379"/>
      <c r="R45" s="534" t="s">
        <v>190</v>
      </c>
      <c r="S45" s="535">
        <f>IF(S8="AMPARADA",(IF($T$28="PB",$X8,IF($T$28="PBSHQ",$Y8,0))),0)</f>
        <v>0</v>
      </c>
      <c r="T45" s="535">
        <f>IF(S10="AMPARADA",(IF($T$28="PB",$X10,IF($T$28="PBSHQ",$Y10,0))),0)</f>
        <v>0</v>
      </c>
      <c r="U45" s="535">
        <f>IF(S12="AMPARADA",(IF($T$28="PB",$X12,IF($T$28="PBSHQ",$Y12,0))),0)</f>
        <v>0</v>
      </c>
      <c r="V45" s="535">
        <f>IF(S14="AMPARADA",(IF($T$28="PB",$X14,IF($T$28="PBSHQ",$Y14,0))),0)</f>
        <v>0</v>
      </c>
      <c r="W45" s="535">
        <f>IF(S16="AMPARADA",(IF($T$28="PB",$X16,IF($T$28="PBSHQ",$Y16,0))),0)</f>
        <v>0</v>
      </c>
      <c r="X45" s="536">
        <f>IF(S18="AMPARADA",(IF($T$28="PB",$X18,IF($T$28="PBSHQ",$Y18,0))),0)</f>
        <v>0</v>
      </c>
      <c r="Y45" s="110"/>
      <c r="Z45" s="110"/>
      <c r="AA45" s="110"/>
      <c r="AB45" s="110"/>
      <c r="AC45" s="110"/>
      <c r="AD45" s="110"/>
      <c r="AE45" s="110"/>
      <c r="AG45" s="351">
        <f t="shared" si="2"/>
        <v>39</v>
      </c>
      <c r="AH45" s="354">
        <f t="shared" si="1"/>
        <v>39</v>
      </c>
    </row>
    <row r="46" spans="3:34" hidden="1" x14ac:dyDescent="0.35">
      <c r="D46" s="42"/>
      <c r="E46" s="24"/>
      <c r="F46" s="24"/>
      <c r="G46" s="24"/>
      <c r="H46" s="28"/>
      <c r="I46" s="28"/>
      <c r="J46" s="24"/>
      <c r="K46" s="24"/>
      <c r="L46" s="26"/>
      <c r="M46" s="24"/>
      <c r="P46" s="379"/>
      <c r="R46" s="469"/>
      <c r="S46" s="470"/>
      <c r="T46" s="470"/>
      <c r="U46" s="470"/>
      <c r="V46" s="470"/>
      <c r="W46" s="470"/>
      <c r="X46" s="471"/>
      <c r="Y46" s="108"/>
      <c r="Z46" s="110"/>
      <c r="AA46" s="110"/>
      <c r="AB46" s="110"/>
      <c r="AC46" s="110"/>
      <c r="AD46" s="110"/>
      <c r="AE46" s="110"/>
      <c r="AG46" s="351">
        <f t="shared" si="2"/>
        <v>40</v>
      </c>
      <c r="AH46" s="354">
        <f t="shared" si="1"/>
        <v>40</v>
      </c>
    </row>
    <row r="47" spans="3:34" hidden="1" x14ac:dyDescent="0.35">
      <c r="C47" s="12"/>
      <c r="D47" s="24"/>
      <c r="E47" s="24"/>
      <c r="F47" s="24"/>
      <c r="G47" s="24"/>
      <c r="H47" s="24"/>
      <c r="I47" s="24"/>
      <c r="J47" s="24"/>
      <c r="K47" s="24"/>
      <c r="L47" s="27"/>
      <c r="M47" s="24"/>
      <c r="P47" s="379"/>
      <c r="Q47" s="380"/>
      <c r="R47" s="534" t="s">
        <v>191</v>
      </c>
      <c r="S47" s="535">
        <f>IF(S8="AMPARADA",S45*FR*FNH*FSA*FDED*FCS*FTABHM,0)</f>
        <v>0</v>
      </c>
      <c r="T47" s="535">
        <f>IF(S10="AMPARADA",T45*FR*FNH*FSA*FDED*FCS*FTABHM,0)</f>
        <v>0</v>
      </c>
      <c r="U47" s="535">
        <f>IF(S12="AMPARADA",U45*FR*FNH*FSA*FDED*FCS*FTABHM,0)</f>
        <v>0</v>
      </c>
      <c r="V47" s="535">
        <f>IF(S14="AMPARADA",V45*FR*FNH*FSA*FDED*FCS*FTABHM,0)</f>
        <v>0</v>
      </c>
      <c r="W47" s="535">
        <f>IF(S16="AMPARADA",W45*FR*FNH*FSA*FDED*FCS*FTABHM,0)</f>
        <v>0</v>
      </c>
      <c r="X47" s="536">
        <f>IF(S18="AMPARADA",X45*FR*FNH*FSA*FDED*FCS*FTABHM,0)</f>
        <v>0</v>
      </c>
      <c r="Y47" s="110"/>
      <c r="Z47" s="110"/>
      <c r="AA47" s="110"/>
      <c r="AB47" s="110"/>
      <c r="AC47" s="110"/>
      <c r="AD47" s="110"/>
      <c r="AE47" s="110"/>
      <c r="AG47" s="351">
        <f t="shared" si="2"/>
        <v>41</v>
      </c>
      <c r="AH47" s="354">
        <f t="shared" si="1"/>
        <v>41</v>
      </c>
    </row>
    <row r="48" spans="3:34" hidden="1" x14ac:dyDescent="0.35">
      <c r="D48" s="42"/>
      <c r="E48" s="24"/>
      <c r="F48" s="24"/>
      <c r="G48" s="24"/>
      <c r="H48" s="28"/>
      <c r="I48" s="28"/>
      <c r="J48" s="24"/>
      <c r="K48" s="24"/>
      <c r="L48" s="26"/>
      <c r="M48" s="24"/>
      <c r="P48" s="379"/>
      <c r="R48" s="469"/>
      <c r="S48" s="470"/>
      <c r="T48" s="470"/>
      <c r="U48" s="470"/>
      <c r="V48" s="470"/>
      <c r="W48" s="470"/>
      <c r="X48" s="471"/>
      <c r="Y48" s="107"/>
      <c r="Z48" s="110"/>
      <c r="AA48" s="110"/>
      <c r="AB48" s="110"/>
      <c r="AC48" s="110"/>
      <c r="AD48" s="110"/>
      <c r="AE48" s="110"/>
      <c r="AG48" s="351">
        <f t="shared" si="2"/>
        <v>42</v>
      </c>
      <c r="AH48" s="354">
        <f t="shared" si="1"/>
        <v>42</v>
      </c>
    </row>
    <row r="49" spans="3:34" hidden="1" x14ac:dyDescent="0.35">
      <c r="C49" s="12"/>
      <c r="D49" s="24"/>
      <c r="E49" s="24"/>
      <c r="F49" s="24"/>
      <c r="G49" s="24"/>
      <c r="H49" s="24"/>
      <c r="I49" s="24"/>
      <c r="J49" s="24"/>
      <c r="K49" s="24"/>
      <c r="L49" s="27"/>
      <c r="M49" s="24"/>
      <c r="P49" s="379"/>
      <c r="Q49" s="381"/>
      <c r="R49" s="537" t="s">
        <v>104</v>
      </c>
      <c r="S49" s="535">
        <f>IF(S8="AMPARADA",ROUND(S47*(FEME-1),2),0)</f>
        <v>0</v>
      </c>
      <c r="T49" s="535">
        <f>IF(S10="AMPARADA",ROUND(T47*(FEME-1),2),0)</f>
        <v>0</v>
      </c>
      <c r="U49" s="535">
        <f>IF(S12="AMPARADA",ROUND(U47*(FEME-1),2),0)</f>
        <v>0</v>
      </c>
      <c r="V49" s="535">
        <f>IF(S14="AMPARADA",ROUND(V47*(FEME-1),2),0)</f>
        <v>0</v>
      </c>
      <c r="W49" s="535">
        <f>IF(S16="AMPARADA",ROUND(W47*(FEME-1),2),0)</f>
        <v>0</v>
      </c>
      <c r="X49" s="536">
        <f>IF(S18="AMPARADA",ROUND(X47*(FEME-1),2),0)</f>
        <v>0</v>
      </c>
      <c r="Y49" s="108"/>
      <c r="Z49" s="110"/>
      <c r="AA49" s="110"/>
      <c r="AB49" s="110"/>
      <c r="AC49" s="110"/>
      <c r="AD49" s="110"/>
      <c r="AE49" s="110"/>
      <c r="AG49" s="351">
        <f t="shared" si="2"/>
        <v>43</v>
      </c>
      <c r="AH49" s="354">
        <f t="shared" si="1"/>
        <v>43</v>
      </c>
    </row>
    <row r="50" spans="3:34" hidden="1" x14ac:dyDescent="0.35">
      <c r="D50" s="42"/>
      <c r="E50" s="24"/>
      <c r="F50" s="24"/>
      <c r="G50" s="24"/>
      <c r="H50" s="28"/>
      <c r="I50" s="28"/>
      <c r="J50" s="24"/>
      <c r="K50" s="24"/>
      <c r="L50" s="26"/>
      <c r="M50" s="24"/>
      <c r="P50" s="379"/>
      <c r="Q50" s="382"/>
      <c r="R50" s="469"/>
      <c r="S50" s="470"/>
      <c r="T50" s="470"/>
      <c r="U50" s="470"/>
      <c r="V50" s="470"/>
      <c r="W50" s="470"/>
      <c r="X50" s="471"/>
      <c r="Y50" s="107"/>
      <c r="Z50" s="110"/>
      <c r="AA50" s="110"/>
      <c r="AB50" s="110"/>
      <c r="AC50" s="110"/>
      <c r="AD50" s="110"/>
      <c r="AE50" s="110"/>
      <c r="AG50" s="351">
        <f t="shared" si="2"/>
        <v>44</v>
      </c>
      <c r="AH50" s="354">
        <f t="shared" si="1"/>
        <v>44</v>
      </c>
    </row>
    <row r="51" spans="3:34" hidden="1" x14ac:dyDescent="0.35">
      <c r="C51" s="12"/>
      <c r="D51" s="24"/>
      <c r="E51" s="24"/>
      <c r="F51" s="24"/>
      <c r="G51" s="24"/>
      <c r="H51" s="24"/>
      <c r="I51" s="24"/>
      <c r="J51" s="24"/>
      <c r="K51" s="24"/>
      <c r="L51" s="27"/>
      <c r="M51" s="24"/>
      <c r="R51" s="538" t="s">
        <v>106</v>
      </c>
      <c r="S51" s="464">
        <f>IF(S8="AMPARADA",ROUND(17.67,2),0)</f>
        <v>0</v>
      </c>
      <c r="T51" s="464">
        <f>IF(S10="AMPARADA",ROUND(17.67,2),0)</f>
        <v>0</v>
      </c>
      <c r="U51" s="464">
        <f>IF(S12="AMPARADA",ROUND(17.67,2),0)</f>
        <v>0</v>
      </c>
      <c r="V51" s="464">
        <f>IF(S14="AMPARADA",ROUND(17.67,2),0)</f>
        <v>0</v>
      </c>
      <c r="W51" s="464">
        <f>IF(S16="AMPARADA",ROUND(17.67,2),0)</f>
        <v>0</v>
      </c>
      <c r="X51" s="465">
        <f>IF(S18="AMPARADA",ROUND(17.67,2),0)</f>
        <v>0</v>
      </c>
      <c r="Y51" s="108"/>
      <c r="Z51" s="110"/>
      <c r="AA51" s="110"/>
      <c r="AB51" s="110"/>
      <c r="AC51" s="110"/>
      <c r="AD51" s="110"/>
      <c r="AE51" s="110"/>
      <c r="AG51" s="351">
        <f t="shared" si="2"/>
        <v>45</v>
      </c>
      <c r="AH51" s="354">
        <f t="shared" si="1"/>
        <v>45</v>
      </c>
    </row>
    <row r="52" spans="3:34" hidden="1" x14ac:dyDescent="0.35">
      <c r="C52" s="12"/>
      <c r="D52" s="43"/>
      <c r="E52" s="24"/>
      <c r="F52" s="24"/>
      <c r="G52" s="25"/>
      <c r="H52" s="24"/>
      <c r="I52" s="24"/>
      <c r="J52" s="24"/>
      <c r="K52" s="24"/>
      <c r="L52" s="26"/>
      <c r="M52" s="24"/>
      <c r="R52" s="469"/>
      <c r="S52" s="470"/>
      <c r="T52" s="470"/>
      <c r="U52" s="470"/>
      <c r="V52" s="470"/>
      <c r="W52" s="470"/>
      <c r="X52" s="471"/>
      <c r="Y52" s="107"/>
      <c r="Z52" s="383"/>
      <c r="AA52" s="110"/>
      <c r="AB52" s="110"/>
      <c r="AC52" s="110"/>
      <c r="AD52" s="110"/>
      <c r="AE52" s="110"/>
      <c r="AG52" s="351">
        <f t="shared" si="2"/>
        <v>46</v>
      </c>
      <c r="AH52" s="354">
        <f t="shared" si="1"/>
        <v>46</v>
      </c>
    </row>
    <row r="53" spans="3:34" hidden="1" x14ac:dyDescent="0.35">
      <c r="D53" s="38"/>
      <c r="E53" s="24"/>
      <c r="F53" s="24"/>
      <c r="G53" s="29"/>
      <c r="H53" s="28"/>
      <c r="I53" s="28"/>
      <c r="J53" s="24"/>
      <c r="K53" s="30"/>
      <c r="L53" s="15"/>
      <c r="M53" s="24"/>
      <c r="R53" s="539" t="s">
        <v>197</v>
      </c>
      <c r="S53" s="540">
        <f t="shared" ref="S53:X53" si="3">+S47+S49+S51</f>
        <v>0</v>
      </c>
      <c r="T53" s="540">
        <f t="shared" si="3"/>
        <v>0</v>
      </c>
      <c r="U53" s="540">
        <f t="shared" si="3"/>
        <v>0</v>
      </c>
      <c r="V53" s="540">
        <f t="shared" si="3"/>
        <v>0</v>
      </c>
      <c r="W53" s="540">
        <f t="shared" si="3"/>
        <v>0</v>
      </c>
      <c r="X53" s="541">
        <f t="shared" si="3"/>
        <v>0</v>
      </c>
      <c r="Y53" s="108"/>
      <c r="Z53" s="110"/>
      <c r="AA53" s="110"/>
      <c r="AB53" s="110"/>
      <c r="AC53" s="110"/>
      <c r="AD53" s="110"/>
      <c r="AE53" s="110"/>
      <c r="AG53" s="351">
        <f t="shared" si="2"/>
        <v>47</v>
      </c>
      <c r="AH53" s="354">
        <f t="shared" si="1"/>
        <v>47</v>
      </c>
    </row>
    <row r="54" spans="3:34" hidden="1" x14ac:dyDescent="0.35">
      <c r="C54" s="12"/>
      <c r="D54" s="38"/>
      <c r="E54" s="24"/>
      <c r="F54" s="24"/>
      <c r="G54" s="24"/>
      <c r="H54" s="24"/>
      <c r="I54" s="24"/>
      <c r="J54" s="55"/>
      <c r="K54" s="24"/>
      <c r="L54" s="26"/>
      <c r="M54" s="24"/>
      <c r="P54" s="384"/>
      <c r="R54" s="469"/>
      <c r="S54" s="470"/>
      <c r="T54" s="470"/>
      <c r="U54" s="470"/>
      <c r="V54" s="470"/>
      <c r="W54" s="470"/>
      <c r="X54" s="471"/>
      <c r="Y54" s="107"/>
      <c r="Z54" s="110"/>
      <c r="AA54" s="110"/>
      <c r="AB54" s="110"/>
      <c r="AC54" s="110"/>
      <c r="AD54" s="110"/>
      <c r="AE54" s="110"/>
      <c r="AG54" s="351">
        <f t="shared" si="2"/>
        <v>48</v>
      </c>
      <c r="AH54" s="354">
        <f t="shared" si="1"/>
        <v>48</v>
      </c>
    </row>
    <row r="55" spans="3:34" hidden="1" x14ac:dyDescent="0.35">
      <c r="D55" s="38"/>
      <c r="E55" s="24"/>
      <c r="F55" s="24"/>
      <c r="G55" s="29"/>
      <c r="H55" s="28"/>
      <c r="I55" s="28"/>
      <c r="J55" s="24"/>
      <c r="K55" s="30"/>
      <c r="L55" s="15"/>
      <c r="M55" s="24"/>
      <c r="R55" s="537" t="s">
        <v>211</v>
      </c>
      <c r="S55" s="535">
        <f>IF(AND(S8="AMPARADA",T38="AMPARADA"),ROUND((963.48)/(1-GASADMON-GASADQUI-UTILIDAD-MARGENDESVIACION),2),0)</f>
        <v>0</v>
      </c>
      <c r="T55" s="535">
        <f>IF(AND(S10="AMPARADA",T38="AMPARADA"),ROUND((963.48)/(1-GASADMON-GASADQUI-UTILIDAD-MARGENDESVIACION),2),0)</f>
        <v>0</v>
      </c>
      <c r="U55" s="535">
        <f>IF(AND(S12="AMPARADA",T38="AMPARADA"),ROUND((963.48)/(1-GASADMON-GASADQUI-UTILIDAD-MARGENDESVIACION),2),0)</f>
        <v>0</v>
      </c>
      <c r="V55" s="535">
        <f>IF(AND(S14="AMPARADA",T38="AMPARADA"),ROUND((963.48)/(1-GASADMON-GASADQUI-UTILIDAD-MARGENDESVIACION),2),0)</f>
        <v>0</v>
      </c>
      <c r="W55" s="535">
        <f>IF(AND(S16="AMPARADA",T38="AMPARADA"),ROUND((963.48)/(1-GASADMON-GASADQUI-UTILIDAD-MARGENDESVIACION),2),0)</f>
        <v>0</v>
      </c>
      <c r="X55" s="536">
        <f>IF(AND(S18="AMPARADA",T38="AMPARADA"),ROUND((963.48)/(1-GASADMON-GASADQUI-UTILIDAD-MARGENDESVIACION),2),0)</f>
        <v>0</v>
      </c>
      <c r="Y55" s="108"/>
      <c r="Z55" s="110"/>
      <c r="AA55" s="110"/>
      <c r="AB55" s="110"/>
      <c r="AC55" s="110"/>
      <c r="AD55" s="110"/>
      <c r="AE55" s="110"/>
      <c r="AG55" s="351">
        <f t="shared" si="2"/>
        <v>49</v>
      </c>
      <c r="AH55" s="354">
        <f t="shared" si="1"/>
        <v>49</v>
      </c>
    </row>
    <row r="56" spans="3:34" hidden="1" x14ac:dyDescent="0.35">
      <c r="C56" s="12"/>
      <c r="D56" s="38"/>
      <c r="E56" s="24"/>
      <c r="F56" s="24"/>
      <c r="G56" s="24"/>
      <c r="H56" s="24"/>
      <c r="I56" s="24"/>
      <c r="J56" s="24"/>
      <c r="K56" s="24"/>
      <c r="L56" s="26"/>
      <c r="M56" s="24"/>
      <c r="R56" s="469"/>
      <c r="S56" s="470"/>
      <c r="T56" s="470"/>
      <c r="U56" s="470"/>
      <c r="V56" s="470"/>
      <c r="W56" s="470"/>
      <c r="X56" s="471"/>
      <c r="Y56" s="107"/>
      <c r="Z56" s="110"/>
      <c r="AA56" s="110"/>
      <c r="AB56" s="110"/>
      <c r="AC56" s="110"/>
      <c r="AD56" s="110"/>
      <c r="AE56" s="110"/>
      <c r="AG56" s="351">
        <f t="shared" si="2"/>
        <v>50</v>
      </c>
      <c r="AH56" s="354">
        <f t="shared" si="1"/>
        <v>50</v>
      </c>
    </row>
    <row r="57" spans="3:34" hidden="1" x14ac:dyDescent="0.35">
      <c r="D57" s="38"/>
      <c r="E57" s="24"/>
      <c r="F57" s="24"/>
      <c r="G57" s="29"/>
      <c r="H57" s="28"/>
      <c r="I57" s="28"/>
      <c r="J57" s="24"/>
      <c r="K57" s="24"/>
      <c r="L57" s="15"/>
      <c r="M57" s="24"/>
      <c r="R57" s="537" t="s">
        <v>107</v>
      </c>
      <c r="S57" s="535">
        <f>IF(AND(S8="AMPARADA",T31="AMPARADA"),ROUND((AC8*FGFTITULAR)/(1-GASADMON-GASADQUI-UTILIDAD-MARGENDESVIACION),2),0)</f>
        <v>0</v>
      </c>
      <c r="T57" s="535">
        <f>IF(AND(S10="AMPARADA",T31="AMPARADA"),ROUND((AC10*FGFD1)/(1-GASADMON-GASADQUI-UTILIDAD-MARGENDESVIACION),2),0)</f>
        <v>0</v>
      </c>
      <c r="U57" s="535">
        <f>IF(AND(S12="AMPARADA",T31="AMPARADA"),ROUND((AC12*FGFD2)/(1-GASADMON-GASADQUI-UTILIDAD-MARGENDESVIACION),2),0)</f>
        <v>0</v>
      </c>
      <c r="V57" s="535">
        <f>IF(AND(S14="AMPARADA",T31="AMPARADA"),ROUND((AC14*FGFD3)/(1-GASADMON-GASADQUI-UTILIDAD-MARGENDESVIACION),2),0)</f>
        <v>0</v>
      </c>
      <c r="W57" s="535">
        <f>IF(AND(S16="AMPARADA",T31="AMPARADA"),ROUND((AC16*FGFD4)/(1-GASADMON-GASADQUI-UTILIDAD-MARGENDESVIACION),2),0)</f>
        <v>0</v>
      </c>
      <c r="X57" s="536">
        <f>IF(AND(S18="AMPARADA",T31="AMPARADA"),ROUND((AC18*FGFD5)/(1-GASADMON-GASADQUI-UTILIDAD-MARGENDESVIACION),2),0)</f>
        <v>0</v>
      </c>
      <c r="Y57" s="108"/>
      <c r="Z57" s="110"/>
      <c r="AA57" s="110"/>
      <c r="AB57" s="110"/>
      <c r="AC57" s="110"/>
      <c r="AD57" s="110"/>
      <c r="AE57" s="110"/>
      <c r="AG57" s="351">
        <f t="shared" si="2"/>
        <v>51</v>
      </c>
      <c r="AH57" s="354">
        <f t="shared" si="1"/>
        <v>51</v>
      </c>
    </row>
    <row r="58" spans="3:34" hidden="1" x14ac:dyDescent="0.35">
      <c r="C58" s="13"/>
      <c r="D58" s="38"/>
      <c r="E58" s="24"/>
      <c r="F58" s="24"/>
      <c r="G58" s="24"/>
      <c r="H58" s="24"/>
      <c r="I58" s="24"/>
      <c r="J58" s="24"/>
      <c r="K58" s="24"/>
      <c r="L58" s="26"/>
      <c r="M58" s="24"/>
      <c r="R58" s="469"/>
      <c r="S58" s="470"/>
      <c r="T58" s="470"/>
      <c r="U58" s="470"/>
      <c r="V58" s="470"/>
      <c r="W58" s="470"/>
      <c r="X58" s="471"/>
      <c r="Y58" s="107"/>
      <c r="Z58" s="110"/>
      <c r="AA58" s="110"/>
      <c r="AB58" s="110"/>
      <c r="AC58" s="110"/>
      <c r="AD58" s="110"/>
      <c r="AE58" s="110"/>
      <c r="AG58" s="351">
        <f t="shared" si="2"/>
        <v>52</v>
      </c>
      <c r="AH58" s="354">
        <f t="shared" si="1"/>
        <v>52</v>
      </c>
    </row>
    <row r="59" spans="3:34" hidden="1" x14ac:dyDescent="0.35">
      <c r="H59" s="10"/>
      <c r="I59" s="10"/>
      <c r="K59" s="1"/>
      <c r="L59" s="15"/>
      <c r="Q59"/>
      <c r="R59" s="537" t="s">
        <v>111</v>
      </c>
      <c r="S59" s="535">
        <v>0</v>
      </c>
      <c r="T59" s="535">
        <f>IF(AND(S8="AMPARADA",T32="AMPARADA"),ROUND(T47*IFERROR(VLOOKUP($T$8,Tablas!$AU$6:$AV$73,2,),0),2),0)</f>
        <v>0</v>
      </c>
      <c r="U59" s="535">
        <f>IF(AND(S8="AMPARADA",T32="AMPARADA"),ROUND(U47*IFERROR(VLOOKUP($T$8,Tablas!$AU$6:$AV$73,2,),0),2),0)</f>
        <v>0</v>
      </c>
      <c r="V59" s="535">
        <f>IF(AND(S8="AMPARADA",T32="AMPARADA"),ROUND(V47*IFERROR(VLOOKUP($T$8,Tablas!$AU$6:$AV$73,2,),0),2),0)</f>
        <v>0</v>
      </c>
      <c r="W59" s="535">
        <f>IF(AND(S8="AMPARADA",T32="AMPARADA"),ROUND(W47*IFERROR(VLOOKUP($T$8,Tablas!$AU$6:$AV$73,2,),0),2),0)</f>
        <v>0</v>
      </c>
      <c r="X59" s="536">
        <f>IF(AND(S8="AMPARADA",T32="AMPARADA"),ROUND(X47*IFERROR(VLOOKUP($T$8,Tablas!$AU$6:$AV$73,2,),0),2),0)</f>
        <v>0</v>
      </c>
      <c r="Y59" s="108"/>
      <c r="Z59" s="549" t="e">
        <f>S67/S47</f>
        <v>#DIV/0!</v>
      </c>
      <c r="AA59" s="110"/>
      <c r="AB59" s="110"/>
      <c r="AC59" s="110"/>
      <c r="AD59" s="110"/>
      <c r="AE59" s="110"/>
      <c r="AG59" s="351">
        <f t="shared" si="2"/>
        <v>53</v>
      </c>
      <c r="AH59" s="354">
        <f t="shared" si="1"/>
        <v>53</v>
      </c>
    </row>
    <row r="60" spans="3:34" hidden="1" x14ac:dyDescent="0.35">
      <c r="C60" s="12"/>
      <c r="K60" s="11"/>
      <c r="R60" s="469"/>
      <c r="S60" s="470"/>
      <c r="T60" s="470"/>
      <c r="U60" s="470"/>
      <c r="V60" s="470"/>
      <c r="W60" s="470"/>
      <c r="X60" s="471"/>
      <c r="Y60" s="107"/>
      <c r="Z60" s="429"/>
      <c r="AA60" s="110"/>
      <c r="AB60" s="110"/>
      <c r="AC60" s="110"/>
      <c r="AD60" s="110"/>
      <c r="AE60" s="110"/>
      <c r="AG60" s="351">
        <f t="shared" si="2"/>
        <v>54</v>
      </c>
      <c r="AH60" s="354">
        <f t="shared" si="1"/>
        <v>54</v>
      </c>
    </row>
    <row r="61" spans="3:34" ht="16.5" hidden="1" x14ac:dyDescent="0.35">
      <c r="C61" s="45"/>
      <c r="E61" s="32"/>
      <c r="F61" s="32"/>
      <c r="G61" s="32"/>
      <c r="H61" s="32"/>
      <c r="I61" s="33"/>
      <c r="J61" s="47"/>
      <c r="K61" s="8"/>
      <c r="R61" s="537" t="s">
        <v>146</v>
      </c>
      <c r="S61" s="535">
        <f>IF(AND(S8="AMPARADA",T33="AMPARADA"),ROUND((PCATTITULAR)/(1-GASADMON-GASADQUI-UTILIDAD-MARGENDESVIACION),2),0)</f>
        <v>0</v>
      </c>
      <c r="T61" s="535">
        <f>IF(AND(S10="AMPARADA",T33="AMPARADA"),ROUND((PCATD1)/(1-GASADMON-GASADQUI-UTILIDAD-MARGENDESVIACION),2),0)</f>
        <v>0</v>
      </c>
      <c r="U61" s="535">
        <f>IF(AND(S12="AMPARADA",T33="AMPARADA"),ROUND((PCATD2)/(1-GASADMON-GASADQUI-UTILIDAD-MARGENDESVIACION),2),0)</f>
        <v>0</v>
      </c>
      <c r="V61" s="535">
        <f>IF(AND(S14="AMPARADA",T33="AMPARADA"),ROUND((PCATD3)/(1-GASADMON-GASADQUI-UTILIDAD-MARGENDESVIACION),2),0)</f>
        <v>0</v>
      </c>
      <c r="W61" s="535">
        <f>IF(AND(S16="AMPARADA",T33="AMPARADA"),ROUND((PCATD4)/(1-GASADMON-GASADQUI-UTILIDAD-MARGENDESVIACION),2),0)</f>
        <v>0</v>
      </c>
      <c r="X61" s="536">
        <f>IF(AND(S18="AMPARADA",T33="AMPARADA"),ROUND((PCATD5)/(1-GASADMON-GASADQUI-UTILIDAD-MARGENDESVIACION),2),0)</f>
        <v>0</v>
      </c>
      <c r="Y61" s="108"/>
      <c r="Z61" s="429">
        <f>S47*0.18</f>
        <v>0</v>
      </c>
      <c r="AA61" s="110"/>
      <c r="AB61" s="110"/>
      <c r="AC61" s="110"/>
      <c r="AD61" s="110"/>
      <c r="AE61" s="110"/>
      <c r="AG61" s="351">
        <f t="shared" si="2"/>
        <v>55</v>
      </c>
      <c r="AH61" s="354">
        <f t="shared" si="1"/>
        <v>55</v>
      </c>
    </row>
    <row r="62" spans="3:34" hidden="1" x14ac:dyDescent="0.35">
      <c r="D62" s="24"/>
      <c r="E62" s="24"/>
      <c r="F62" s="24"/>
      <c r="G62" s="24"/>
      <c r="H62" s="24"/>
      <c r="I62" s="34"/>
      <c r="J62" s="24"/>
      <c r="K62" s="8"/>
      <c r="R62" s="472"/>
      <c r="S62" s="473"/>
      <c r="T62" s="473"/>
      <c r="U62" s="473"/>
      <c r="V62" s="473"/>
      <c r="W62" s="473"/>
      <c r="X62" s="474"/>
      <c r="Y62" s="107"/>
      <c r="Z62" s="429"/>
      <c r="AA62" s="110"/>
      <c r="AB62" s="110"/>
      <c r="AC62" s="110"/>
      <c r="AD62" s="110"/>
      <c r="AE62" s="110"/>
      <c r="AG62" s="351">
        <f t="shared" si="2"/>
        <v>56</v>
      </c>
      <c r="AH62" s="354">
        <f t="shared" si="1"/>
        <v>56</v>
      </c>
    </row>
    <row r="63" spans="3:34" hidden="1" x14ac:dyDescent="0.35">
      <c r="C63" s="42"/>
      <c r="E63" s="46"/>
      <c r="F63" s="35"/>
      <c r="G63" s="36"/>
      <c r="H63" s="35"/>
      <c r="I63" s="34"/>
      <c r="J63" s="48"/>
      <c r="K63" s="8"/>
      <c r="R63" s="542" t="s">
        <v>214</v>
      </c>
      <c r="S63" s="535">
        <f>IF(AND(S8="AMPARADA",$T$34="AMPARADA"),ROUND((S47*(FELIMINADEDYCS-1))/(1-GASADMON-GASADQUI-UTILIDAD-MARGENDESVIACION),2),0)</f>
        <v>0</v>
      </c>
      <c r="T63" s="535">
        <f>IF(AND(S10="AMPARADA",$T$34="AMPARADA"),ROUND((T47*(FELIMINADEDYCS-1))/(1-GASADMON-GASADQUI-UTILIDAD-MARGENDESVIACION),2),0)</f>
        <v>0</v>
      </c>
      <c r="U63" s="535">
        <f>IF(AND(S12="AMPARADA",$T$34="AMPARADA"),ROUND((U47*(FELIMINADEDYCS-1))/(1-GASADMON-GASADQUI-UTILIDAD-MARGENDESVIACION),2),0)</f>
        <v>0</v>
      </c>
      <c r="V63" s="535">
        <f>IF(AND(S14="AMPARADA",$T$34="AMPARADA"),ROUND((V47*(FELIMINADEDYCS-1))/(1-GASADMON-GASADQUI-UTILIDAD-MARGENDESVIACION),2),0)</f>
        <v>0</v>
      </c>
      <c r="W63" s="535">
        <f>IF(AND(S16="AMPARADA",$T$34="AMPARADA"),ROUND((W47*(FELIMINADEDYCS-1))/(1-GASADMON-GASADQUI-UTILIDAD-MARGENDESVIACION),2),0)</f>
        <v>0</v>
      </c>
      <c r="X63" s="536">
        <f>IF(AND(S18="AMPARADA",$T$34="AMPARADA"),ROUND((X47*(FELIMINADEDYCS-1))/(1-GASADMON-GASADQUI-UTILIDAD-MARGENDESVIACION),2),0)</f>
        <v>0</v>
      </c>
      <c r="Y63" s="108"/>
      <c r="Z63" s="429"/>
      <c r="AA63" s="110"/>
      <c r="AB63" s="110"/>
      <c r="AC63" s="110"/>
      <c r="AD63" s="110"/>
      <c r="AE63" s="110"/>
      <c r="AG63" s="351">
        <f t="shared" si="2"/>
        <v>57</v>
      </c>
      <c r="AH63" s="354">
        <f t="shared" si="1"/>
        <v>57</v>
      </c>
    </row>
    <row r="64" spans="3:34" hidden="1" x14ac:dyDescent="0.35">
      <c r="D64" s="35"/>
      <c r="E64" s="35"/>
      <c r="F64" s="35"/>
      <c r="G64" s="35"/>
      <c r="H64" s="35"/>
      <c r="I64" s="35"/>
      <c r="J64" s="35"/>
      <c r="R64" s="475"/>
      <c r="S64" s="430"/>
      <c r="T64" s="430"/>
      <c r="U64" s="430"/>
      <c r="V64" s="430"/>
      <c r="W64" s="430"/>
      <c r="X64" s="476"/>
      <c r="Y64" s="111"/>
      <c r="Z64" s="429">
        <f>S47*(FAYUDADIARIA-1)</f>
        <v>0</v>
      </c>
      <c r="AA64" s="110"/>
      <c r="AB64" s="110"/>
      <c r="AC64" s="110"/>
      <c r="AD64" s="110"/>
      <c r="AE64" s="110"/>
      <c r="AG64" s="351">
        <f t="shared" si="2"/>
        <v>58</v>
      </c>
      <c r="AH64" s="354">
        <f t="shared" si="1"/>
        <v>58</v>
      </c>
    </row>
    <row r="65" spans="3:34" hidden="1" x14ac:dyDescent="0.35">
      <c r="C65" s="42"/>
      <c r="E65" s="46"/>
      <c r="F65" s="35"/>
      <c r="G65" s="35"/>
      <c r="H65" s="35"/>
      <c r="I65" s="34"/>
      <c r="J65" s="48"/>
      <c r="K65" s="9"/>
      <c r="R65" s="537" t="s">
        <v>177</v>
      </c>
      <c r="S65" s="535">
        <f>IF(AND($S$8="AMPARADA",$T$35="AMPARADA"),ROUND($S$47*(FCOBEXT),2),0)</f>
        <v>0</v>
      </c>
      <c r="T65" s="535">
        <f>IF(AND($S$8="AMPARADA",$T$35="AMPARADA"),ROUND($T$47*(FCOBEXT),2),0)</f>
        <v>0</v>
      </c>
      <c r="U65" s="535">
        <f>IF(AND($S$12="AMPARADA",$T$35="AMPARADA"),ROUND($U$47*(FCOBEXT),2),0)</f>
        <v>0</v>
      </c>
      <c r="V65" s="535">
        <f>IF(AND($S$14="AMPARADA",$T$35="AMPARADA"),ROUND($V$47*(FCOBEXT),2),0)</f>
        <v>0</v>
      </c>
      <c r="W65" s="535">
        <f>IF(AND($S$16="AMPARADA",$T$35="AMPARADA"),ROUND($W$47*(FCOBEXT),2),0)</f>
        <v>0</v>
      </c>
      <c r="X65" s="536">
        <f>IF(AND($S$18="AMPARADA",$T$35="AMPARADA"),ROUND($X$47*(FCOBEXT),2),0)</f>
        <v>0</v>
      </c>
      <c r="Y65" s="107"/>
      <c r="Z65" s="429">
        <f>S53*(FAYUDADIARIA-1)</f>
        <v>0</v>
      </c>
      <c r="AA65" s="110"/>
      <c r="AB65" s="110"/>
      <c r="AC65" s="110"/>
      <c r="AD65" s="110"/>
      <c r="AE65" s="110"/>
      <c r="AG65" s="351">
        <f t="shared" si="2"/>
        <v>59</v>
      </c>
      <c r="AH65" s="354">
        <f t="shared" si="1"/>
        <v>59</v>
      </c>
    </row>
    <row r="66" spans="3:34" hidden="1" x14ac:dyDescent="0.35">
      <c r="D66" s="35"/>
      <c r="E66" s="35"/>
      <c r="F66" s="35"/>
      <c r="G66" s="35"/>
      <c r="H66" s="35"/>
      <c r="I66" s="35"/>
      <c r="J66" s="35"/>
      <c r="R66" s="475"/>
      <c r="S66" s="430"/>
      <c r="T66" s="430"/>
      <c r="U66" s="430"/>
      <c r="V66" s="430"/>
      <c r="W66" s="430"/>
      <c r="X66" s="476"/>
      <c r="Y66" s="107"/>
      <c r="Z66" s="110"/>
      <c r="AA66" s="110"/>
      <c r="AB66" s="110"/>
      <c r="AC66" s="110"/>
      <c r="AD66" s="110"/>
      <c r="AE66" s="110"/>
      <c r="AG66" s="351">
        <f t="shared" si="2"/>
        <v>60</v>
      </c>
      <c r="AH66" s="354">
        <f t="shared" si="1"/>
        <v>60</v>
      </c>
    </row>
    <row r="67" spans="3:34" hidden="1" x14ac:dyDescent="0.35">
      <c r="C67" s="42"/>
      <c r="E67" s="46"/>
      <c r="F67" s="35"/>
      <c r="G67" s="35"/>
      <c r="H67" s="35"/>
      <c r="I67" s="35"/>
      <c r="J67" s="48"/>
      <c r="Q67" s="385"/>
      <c r="R67" s="537" t="s">
        <v>213</v>
      </c>
      <c r="S67" s="535">
        <f>IF(AND(S8="AMPARADA",T36="AMPARADA"),ROUND((S47*(FAYUDADIARIA-1))/(1-GASADMON-GASADQUI-UTILIDAD-MARGENDESVIACION),2),0)</f>
        <v>0</v>
      </c>
      <c r="T67" s="535">
        <f>IF(AND(S10="AMPARADA",T36="AMPARADA"),ROUND((T47*(FAYUDADIARIA-1))/(1-GASADMON-GASADQUI-UTILIDAD-MARGENDESVIACION),2),0)</f>
        <v>0</v>
      </c>
      <c r="U67" s="535">
        <f>IF(AND(S12="AMPARADA",T36="AMPARADA"),ROUND((U47*(FAYUDADIARIA-1))/(1-GASADMON-GASADQUI-UTILIDAD-MARGENDESVIACION),2),0)</f>
        <v>0</v>
      </c>
      <c r="V67" s="535">
        <f>IF(AND(S14="AMPARADA",T36="AMPARADA"),ROUND((V47*(FAYUDADIARIA-1))/(1-GASADMON-GASADQUI-UTILIDAD-MARGENDESVIACION),2),0)</f>
        <v>0</v>
      </c>
      <c r="W67" s="535">
        <f>IF(AND(S16="AMPARADA",T36="AMPARADA"),ROUND((W47*(FAYUDADIARIA-1))/(1-GASADMON-GASADQUI-UTILIDAD-MARGENDESVIACION),2),0)</f>
        <v>0</v>
      </c>
      <c r="X67" s="536">
        <f>IF(AND(S18="AMPARADA",T36="AMPARADA"),ROUND((X47*(FAYUDADIARIA-1))/(1-GASADMON-GASADQUI-UTILIDAD-MARGENDESVIACION),2),0)</f>
        <v>0</v>
      </c>
      <c r="Y67" s="107"/>
      <c r="Z67" s="110"/>
      <c r="AA67" s="110"/>
      <c r="AB67" s="110"/>
      <c r="AC67" s="110"/>
      <c r="AD67" s="110"/>
      <c r="AE67" s="110"/>
      <c r="AG67" s="351">
        <f t="shared" si="2"/>
        <v>61</v>
      </c>
      <c r="AH67" s="354">
        <f t="shared" si="1"/>
        <v>61</v>
      </c>
    </row>
    <row r="68" spans="3:34" hidden="1" x14ac:dyDescent="0.35">
      <c r="C68" s="42"/>
      <c r="E68" s="46"/>
      <c r="F68" s="35"/>
      <c r="G68" s="35"/>
      <c r="H68" s="35"/>
      <c r="I68" s="35"/>
      <c r="J68" s="48"/>
      <c r="Q68" s="385"/>
      <c r="R68" s="477">
        <v>1024.81</v>
      </c>
      <c r="S68" s="470"/>
      <c r="T68" s="470"/>
      <c r="U68" s="470"/>
      <c r="V68" s="470"/>
      <c r="W68" s="470"/>
      <c r="X68" s="471"/>
      <c r="Y68" s="107"/>
      <c r="Z68" s="110"/>
      <c r="AA68" s="110"/>
      <c r="AB68" s="110"/>
      <c r="AC68" s="110"/>
      <c r="AD68" s="110"/>
      <c r="AE68" s="110"/>
      <c r="AG68" s="351">
        <f>AG67+1</f>
        <v>62</v>
      </c>
      <c r="AH68" s="354">
        <f>+AH67+1</f>
        <v>62</v>
      </c>
    </row>
    <row r="69" spans="3:34" hidden="1" x14ac:dyDescent="0.35">
      <c r="C69" s="42"/>
      <c r="E69" s="46"/>
      <c r="F69" s="35"/>
      <c r="G69" s="35"/>
      <c r="H69" s="35"/>
      <c r="I69" s="35"/>
      <c r="J69" s="48"/>
      <c r="Q69" s="385"/>
      <c r="R69" s="537" t="s">
        <v>260</v>
      </c>
      <c r="S69" s="535">
        <f>IF(AND(S8="AMPARADA",T39="AMPARADA"),ROUND((S47*(FENFGVESEXT-1))/(1-GASADMON-GASADQUI-UTILIDAD-MARGENDESVIACION),2),0)</f>
        <v>0</v>
      </c>
      <c r="T69" s="535">
        <f>IF(AND(S10="AMPARADA",T39="AMPARADA"),ROUND((T47*(FENFGVESEXT-1))/(1-GASADMON-GASADQUI-UTILIDAD-MARGENDESVIACION),2),0)</f>
        <v>0</v>
      </c>
      <c r="U69" s="535">
        <f>IF(AND(S12="AMPARADA",T39="AMPARADA"),ROUND((U47*(FENFGVESEXT-1))/(1-GASADMON-GASADQUI-UTILIDAD-MARGENDESVIACION),2),0)</f>
        <v>0</v>
      </c>
      <c r="V69" s="535">
        <f>IF(AND(S14="AMPARADA",T39="AMPARADA"),ROUND((V47*(FENFGVESEXT-1))/(1-GASADMON-GASADQUI-UTILIDAD-MARGENDESVIACION),2),0)</f>
        <v>0</v>
      </c>
      <c r="W69" s="535">
        <f>IF(AND(S16="AMPARADA",T39="AMPARADA"),ROUND((W47*(FENFGVESEXT-1))/(1-GASADMON-GASADQUI-UTILIDAD-MARGENDESVIACION),2),0)</f>
        <v>0</v>
      </c>
      <c r="X69" s="536">
        <f>IF(AND(S18="AMPARADA",T39="AMPARADA"),ROUND((X47*(FENFGVESEXT-1))/(1-GASADMON-GASADQUI-UTILIDAD-MARGENDESVIACION),2),0)</f>
        <v>0</v>
      </c>
      <c r="Y69" s="107"/>
      <c r="Z69" s="110"/>
      <c r="AA69" s="110"/>
      <c r="AB69" s="110"/>
      <c r="AC69" s="110"/>
      <c r="AD69" s="110"/>
      <c r="AE69" s="110"/>
      <c r="AG69" s="351">
        <f t="shared" si="2"/>
        <v>63</v>
      </c>
      <c r="AH69" s="354">
        <f t="shared" si="1"/>
        <v>63</v>
      </c>
    </row>
    <row r="70" spans="3:34" hidden="1" x14ac:dyDescent="0.35">
      <c r="C70" s="42"/>
      <c r="E70" s="46"/>
      <c r="F70" s="35"/>
      <c r="G70" s="35"/>
      <c r="H70" s="35"/>
      <c r="I70" s="35"/>
      <c r="J70" s="48"/>
      <c r="R70" s="475"/>
      <c r="S70" s="430"/>
      <c r="T70" s="430"/>
      <c r="U70" s="430"/>
      <c r="V70" s="430"/>
      <c r="W70" s="430"/>
      <c r="X70" s="476"/>
      <c r="Y70" s="107"/>
      <c r="Z70" s="110"/>
      <c r="AA70" s="110"/>
      <c r="AB70" s="110"/>
      <c r="AC70" s="110"/>
      <c r="AD70" s="110"/>
      <c r="AE70" s="110"/>
      <c r="AG70" s="351">
        <f t="shared" si="2"/>
        <v>64</v>
      </c>
      <c r="AH70" s="354">
        <f t="shared" si="1"/>
        <v>64</v>
      </c>
    </row>
    <row r="71" spans="3:34" ht="15" hidden="1" thickBot="1" x14ac:dyDescent="0.4">
      <c r="C71" s="42"/>
      <c r="E71" s="46"/>
      <c r="F71" s="35"/>
      <c r="G71" s="35"/>
      <c r="H71" s="35"/>
      <c r="I71" s="35"/>
      <c r="J71" s="48"/>
      <c r="Q71"/>
      <c r="R71" s="543" t="s">
        <v>199</v>
      </c>
      <c r="S71" s="544">
        <f>IF(AND(S8="AMPARADA",T37="AMPARADA"),ROUND((S47*(Mr-1))/(1-GASADMON-GASADQUI-UTILIDAD-MARGENDESVIACION),2),0)</f>
        <v>0</v>
      </c>
      <c r="T71" s="544">
        <f>IF(AND(S10="AMPARADA",T37="AMPARADA"),ROUND((T47*(Mr-1))/(1-GASADMON-GASADQUI-UTILIDAD-MARGENDESVIACION),2),0)</f>
        <v>0</v>
      </c>
      <c r="U71" s="544">
        <f>IF(AND(S12="AMPARADA",T37="AMPARADA"),ROUND((U47*(Mr-1))/(1-GASADMON-GASADQUI-UTILIDAD-MARGENDESVIACION),2),0)</f>
        <v>0</v>
      </c>
      <c r="V71" s="544">
        <f>IF(AND(S14="AMPARADA",T37="AMPARADA"),ROUND((V47*(Mr-1))/(1-GASADMON-GASADQUI-UTILIDAD-MARGENDESVIACION),2),0)</f>
        <v>0</v>
      </c>
      <c r="W71" s="544">
        <f>IF(AND(S16="AMPARADA",T37="AMPARADA"),ROUND((W47*(Mr-1))/(1-GASADMON-GASADQUI-UTILIDAD-MARGENDESVIACION),2),0)</f>
        <v>0</v>
      </c>
      <c r="X71" s="545">
        <f>IF(AND(S18="AMPARADA",T37="AMPARADA"),ROUND((X47*(Mr-1))/(1-GASADMON-GASADQUI-UTILIDAD-MARGENDESVIACION),2),0)</f>
        <v>0</v>
      </c>
      <c r="Y71" s="107"/>
      <c r="Z71" s="110"/>
      <c r="AA71" s="110"/>
      <c r="AB71" s="110"/>
      <c r="AC71" s="110"/>
      <c r="AD71" s="110"/>
      <c r="AE71" s="110"/>
      <c r="AG71" s="351">
        <f t="shared" si="2"/>
        <v>65</v>
      </c>
      <c r="AH71" s="354">
        <f t="shared" si="1"/>
        <v>65</v>
      </c>
    </row>
    <row r="72" spans="3:34" hidden="1" x14ac:dyDescent="0.35">
      <c r="C72" s="42"/>
      <c r="E72" s="46"/>
      <c r="F72" s="35"/>
      <c r="G72" s="35"/>
      <c r="H72" s="35"/>
      <c r="I72" s="35"/>
      <c r="J72" s="48"/>
      <c r="Q72" s="110"/>
      <c r="R72" s="110"/>
      <c r="S72" s="109"/>
      <c r="T72" s="109"/>
      <c r="U72" s="109"/>
      <c r="V72" s="109"/>
      <c r="W72" s="109"/>
      <c r="X72" s="109"/>
      <c r="Y72" s="107"/>
      <c r="Z72" s="110"/>
      <c r="AA72" s="110"/>
      <c r="AB72" s="110"/>
      <c r="AC72" s="110"/>
      <c r="AD72" s="110"/>
      <c r="AE72" s="110"/>
      <c r="AG72" s="351">
        <f t="shared" ref="AG72:AG105" si="4">AG71+1</f>
        <v>66</v>
      </c>
      <c r="AH72" s="354">
        <f t="shared" si="1"/>
        <v>66</v>
      </c>
    </row>
    <row r="73" spans="3:34" hidden="1" x14ac:dyDescent="0.35">
      <c r="C73" s="42"/>
      <c r="E73" s="46"/>
      <c r="F73" s="35"/>
      <c r="G73" s="35"/>
      <c r="H73" s="35"/>
      <c r="I73" s="35"/>
      <c r="J73" s="48"/>
      <c r="Q73" s="110"/>
      <c r="R73" s="110"/>
      <c r="S73" s="109"/>
      <c r="T73" s="109"/>
      <c r="U73" s="109"/>
      <c r="V73" s="109"/>
      <c r="W73" s="109"/>
      <c r="X73" s="109"/>
      <c r="Y73" s="107"/>
      <c r="Z73" s="110"/>
      <c r="AA73" s="110"/>
      <c r="AB73" s="110"/>
      <c r="AC73" s="110"/>
      <c r="AD73" s="110"/>
      <c r="AE73" s="110"/>
      <c r="AG73" s="351">
        <f t="shared" si="4"/>
        <v>67</v>
      </c>
      <c r="AH73" s="354">
        <f t="shared" si="1"/>
        <v>67</v>
      </c>
    </row>
    <row r="74" spans="3:34" hidden="1" x14ac:dyDescent="0.35">
      <c r="C74" s="42"/>
      <c r="E74" s="46"/>
      <c r="F74" s="35"/>
      <c r="G74" s="35"/>
      <c r="H74" s="35"/>
      <c r="I74" s="35"/>
      <c r="J74" s="48"/>
      <c r="R74" s="110"/>
      <c r="S74" s="110"/>
      <c r="T74" s="110"/>
      <c r="U74" s="110"/>
      <c r="V74" s="110"/>
      <c r="W74" s="110"/>
      <c r="X74" s="110"/>
      <c r="Y74" s="107"/>
      <c r="Z74" s="110"/>
      <c r="AA74" s="110"/>
      <c r="AB74" s="110"/>
      <c r="AC74" s="110"/>
      <c r="AD74" s="110"/>
      <c r="AE74" s="110"/>
      <c r="AG74" s="351">
        <f t="shared" si="4"/>
        <v>68</v>
      </c>
      <c r="AH74" s="354">
        <f t="shared" si="1"/>
        <v>68</v>
      </c>
    </row>
    <row r="75" spans="3:34" ht="15.5" hidden="1" x14ac:dyDescent="0.35">
      <c r="D75" s="35"/>
      <c r="E75" s="35"/>
      <c r="F75" s="35"/>
      <c r="G75" s="35"/>
      <c r="H75" s="35"/>
      <c r="I75" s="35"/>
      <c r="J75" s="35"/>
      <c r="R75" s="345" t="s">
        <v>132</v>
      </c>
      <c r="S75" s="110"/>
      <c r="T75" s="110"/>
      <c r="U75" s="110"/>
      <c r="V75" s="110"/>
      <c r="W75" s="110"/>
      <c r="X75" s="110"/>
      <c r="Y75" s="107"/>
      <c r="Z75" s="110"/>
      <c r="AA75" s="110"/>
      <c r="AB75" s="110"/>
      <c r="AC75" s="110"/>
      <c r="AD75" s="110"/>
      <c r="AE75" s="110"/>
      <c r="AG75" s="351">
        <f t="shared" si="4"/>
        <v>69</v>
      </c>
      <c r="AH75" s="354">
        <f t="shared" si="1"/>
        <v>69</v>
      </c>
    </row>
    <row r="76" spans="3:34" ht="15" hidden="1" thickBot="1" x14ac:dyDescent="0.4">
      <c r="C76" s="42"/>
      <c r="E76" s="46"/>
      <c r="F76" s="35"/>
      <c r="G76" s="35"/>
      <c r="H76" s="35"/>
      <c r="I76" s="35"/>
      <c r="J76" s="48"/>
      <c r="Q76" s="386">
        <v>1</v>
      </c>
      <c r="R76" s="387">
        <v>2</v>
      </c>
      <c r="S76" s="387">
        <v>3</v>
      </c>
      <c r="T76" s="387">
        <v>4</v>
      </c>
      <c r="U76" s="387">
        <v>5</v>
      </c>
      <c r="V76" s="387">
        <v>6</v>
      </c>
      <c r="W76" s="387">
        <v>7</v>
      </c>
      <c r="X76" s="387">
        <v>8</v>
      </c>
      <c r="Y76" s="107"/>
      <c r="Z76" s="110"/>
      <c r="AA76" s="110"/>
      <c r="AB76" s="110"/>
      <c r="AC76" s="110"/>
      <c r="AD76" s="110"/>
      <c r="AE76" s="110"/>
      <c r="AG76" s="351">
        <f t="shared" si="4"/>
        <v>70</v>
      </c>
      <c r="AH76" s="354">
        <f t="shared" si="1"/>
        <v>70</v>
      </c>
    </row>
    <row r="77" spans="3:34" hidden="1" x14ac:dyDescent="0.35">
      <c r="D77" s="35"/>
      <c r="E77" s="35"/>
      <c r="F77" s="35"/>
      <c r="G77" s="35"/>
      <c r="H77" s="35"/>
      <c r="I77" s="35"/>
      <c r="J77" s="35"/>
      <c r="R77" s="388" t="s">
        <v>112</v>
      </c>
      <c r="S77" s="389" t="s">
        <v>80</v>
      </c>
      <c r="T77" s="389" t="s">
        <v>81</v>
      </c>
      <c r="U77" s="389" t="s">
        <v>82</v>
      </c>
      <c r="V77" s="389" t="s">
        <v>83</v>
      </c>
      <c r="W77" s="389" t="s">
        <v>84</v>
      </c>
      <c r="X77" s="390" t="s">
        <v>85</v>
      </c>
      <c r="Y77" s="110"/>
      <c r="Z77" s="110"/>
      <c r="AA77" s="110"/>
      <c r="AB77" s="110"/>
      <c r="AC77" s="110"/>
      <c r="AD77" s="110"/>
      <c r="AE77" s="110"/>
      <c r="AG77" s="351">
        <f t="shared" si="4"/>
        <v>71</v>
      </c>
      <c r="AH77" s="354">
        <f t="shared" si="1"/>
        <v>71</v>
      </c>
    </row>
    <row r="78" spans="3:34" hidden="1" x14ac:dyDescent="0.35">
      <c r="C78" s="42"/>
      <c r="E78" s="46"/>
      <c r="F78" s="35"/>
      <c r="G78" s="35"/>
      <c r="H78" s="35"/>
      <c r="I78" s="35"/>
      <c r="J78" s="48"/>
      <c r="P78" s="391"/>
      <c r="Q78" s="63" t="s">
        <v>129</v>
      </c>
      <c r="R78" s="392" t="s">
        <v>168</v>
      </c>
      <c r="S78" s="393"/>
      <c r="T78" s="393"/>
      <c r="U78" s="393"/>
      <c r="V78" s="393"/>
      <c r="W78" s="393"/>
      <c r="X78" s="394"/>
      <c r="Y78" s="110"/>
      <c r="Z78" s="110"/>
      <c r="AA78" s="110"/>
      <c r="AB78" s="110"/>
      <c r="AC78" s="110"/>
      <c r="AD78" s="110"/>
      <c r="AE78" s="110"/>
      <c r="AG78" s="351">
        <f t="shared" si="4"/>
        <v>72</v>
      </c>
      <c r="AH78" s="354">
        <f t="shared" si="1"/>
        <v>72</v>
      </c>
    </row>
    <row r="79" spans="3:34" hidden="1" x14ac:dyDescent="0.35">
      <c r="D79" s="35"/>
      <c r="E79" s="35"/>
      <c r="F79" s="35"/>
      <c r="G79" s="35"/>
      <c r="H79" s="35"/>
      <c r="I79" s="35"/>
      <c r="J79" s="35"/>
      <c r="Q79" s="395" t="str">
        <f>$R$78&amp;"_"&amp;R79</f>
        <v>Con Honorarios Quirurgicos_NACIONAL</v>
      </c>
      <c r="R79" s="396" t="s">
        <v>140</v>
      </c>
      <c r="S79" s="112">
        <f t="shared" ref="S79:X79" si="5">IF(AND($T$28="PB",$U$28="NACIONAL"),S47+S49+S51,"")</f>
        <v>0</v>
      </c>
      <c r="T79" s="112">
        <f t="shared" si="5"/>
        <v>0</v>
      </c>
      <c r="U79" s="112">
        <f t="shared" si="5"/>
        <v>0</v>
      </c>
      <c r="V79" s="112">
        <f t="shared" si="5"/>
        <v>0</v>
      </c>
      <c r="W79" s="112">
        <f t="shared" si="5"/>
        <v>0</v>
      </c>
      <c r="X79" s="113">
        <f t="shared" si="5"/>
        <v>0</v>
      </c>
      <c r="Y79" s="110"/>
      <c r="Z79" s="110"/>
      <c r="AA79" s="110"/>
      <c r="AB79" s="110"/>
      <c r="AC79" s="110"/>
      <c r="AD79" s="110"/>
      <c r="AE79" s="110"/>
      <c r="AG79" s="351">
        <f t="shared" si="4"/>
        <v>73</v>
      </c>
      <c r="AH79" s="354">
        <f t="shared" si="1"/>
        <v>73</v>
      </c>
    </row>
    <row r="80" spans="3:34" hidden="1" x14ac:dyDescent="0.35">
      <c r="C80" s="42"/>
      <c r="E80" s="46"/>
      <c r="F80" s="35"/>
      <c r="G80" s="35"/>
      <c r="H80" s="35"/>
      <c r="I80" s="35"/>
      <c r="J80" s="48"/>
      <c r="Q80" s="395" t="str">
        <f>$R$78&amp;"_"&amp;R80</f>
        <v>Con Honorarios Quirurgicos_INTERNACIONAL</v>
      </c>
      <c r="R80" s="396" t="s">
        <v>141</v>
      </c>
      <c r="S80" s="112" t="str">
        <f t="shared" ref="S80:X80" si="6">IF(AND($T$28="PB",$U$28="INTERNACIONAL"),S47+S51+S53+S55,"")</f>
        <v/>
      </c>
      <c r="T80" s="112" t="str">
        <f t="shared" si="6"/>
        <v/>
      </c>
      <c r="U80" s="112" t="str">
        <f t="shared" si="6"/>
        <v/>
      </c>
      <c r="V80" s="112" t="str">
        <f t="shared" si="6"/>
        <v/>
      </c>
      <c r="W80" s="112" t="str">
        <f t="shared" si="6"/>
        <v/>
      </c>
      <c r="X80" s="113" t="str">
        <f t="shared" si="6"/>
        <v/>
      </c>
      <c r="Y80" s="110"/>
      <c r="Z80" s="110"/>
      <c r="AA80" s="110"/>
      <c r="AB80" s="110"/>
      <c r="AC80" s="110"/>
      <c r="AD80" s="110"/>
      <c r="AE80" s="110"/>
      <c r="AG80" s="351">
        <f t="shared" si="4"/>
        <v>74</v>
      </c>
      <c r="AH80" s="354">
        <f t="shared" si="1"/>
        <v>74</v>
      </c>
    </row>
    <row r="81" spans="3:34" hidden="1" x14ac:dyDescent="0.35">
      <c r="D81" s="20"/>
      <c r="E81" s="20"/>
      <c r="F81" s="20"/>
      <c r="G81" s="20"/>
      <c r="H81" s="20"/>
      <c r="I81" s="20"/>
      <c r="J81" s="20"/>
      <c r="Q81" s="395" t="s">
        <v>130</v>
      </c>
      <c r="R81" s="397" t="s">
        <v>169</v>
      </c>
      <c r="S81" s="114"/>
      <c r="T81" s="114"/>
      <c r="U81" s="114"/>
      <c r="V81" s="114"/>
      <c r="W81" s="114"/>
      <c r="X81" s="115"/>
      <c r="Y81" s="110"/>
      <c r="Z81" s="110"/>
      <c r="AA81" s="110"/>
      <c r="AB81" s="110"/>
      <c r="AC81" s="110"/>
      <c r="AD81" s="110"/>
      <c r="AE81" s="110"/>
      <c r="AG81" s="351">
        <f t="shared" si="4"/>
        <v>75</v>
      </c>
      <c r="AH81" s="354">
        <f t="shared" si="1"/>
        <v>75</v>
      </c>
    </row>
    <row r="82" spans="3:34" ht="15.5" hidden="1" x14ac:dyDescent="0.35">
      <c r="F82" s="40"/>
      <c r="H82" s="41"/>
      <c r="I82" s="41"/>
      <c r="J82" s="49"/>
      <c r="Q82" s="395" t="str">
        <f>$R$81&amp;"_"&amp;R82</f>
        <v>Sin Honorarios Quirurgicos_NACIONAL</v>
      </c>
      <c r="R82" s="396" t="s">
        <v>140</v>
      </c>
      <c r="S82" s="112" t="str">
        <f t="shared" ref="S82:X82" si="7">IF(AND($T$28="PBSHQ",$U$28="NACIONAL"),S47+S49+S53+S55,"")</f>
        <v/>
      </c>
      <c r="T82" s="112" t="str">
        <f t="shared" si="7"/>
        <v/>
      </c>
      <c r="U82" s="112" t="str">
        <f t="shared" si="7"/>
        <v/>
      </c>
      <c r="V82" s="112" t="str">
        <f t="shared" si="7"/>
        <v/>
      </c>
      <c r="W82" s="112" t="str">
        <f t="shared" si="7"/>
        <v/>
      </c>
      <c r="X82" s="113" t="str">
        <f t="shared" si="7"/>
        <v/>
      </c>
      <c r="Y82" s="110"/>
      <c r="Z82" s="110"/>
      <c r="AA82" s="110"/>
      <c r="AB82" s="110"/>
      <c r="AC82" s="110"/>
      <c r="AD82" s="110"/>
      <c r="AE82" s="110"/>
      <c r="AG82" s="351">
        <f t="shared" si="4"/>
        <v>76</v>
      </c>
      <c r="AH82" s="354">
        <f t="shared" si="1"/>
        <v>76</v>
      </c>
    </row>
    <row r="83" spans="3:34" ht="16" hidden="1" thickBot="1" x14ac:dyDescent="0.4">
      <c r="F83" s="40"/>
      <c r="H83" s="41"/>
      <c r="I83" s="41"/>
      <c r="J83" s="49"/>
      <c r="Q83" s="395" t="str">
        <f>$R$81&amp;"_"&amp;R83</f>
        <v>Sin Honorarios Quirurgicos_INTERNACIONAL</v>
      </c>
      <c r="R83" s="398" t="s">
        <v>141</v>
      </c>
      <c r="S83" s="116" t="str">
        <f t="shared" ref="S83:X83" si="8">IF(AND($T$28="PBSHQ",$U$28="INTERNACIONAL"),S47+S51+S53+S55,"")</f>
        <v/>
      </c>
      <c r="T83" s="116" t="str">
        <f t="shared" si="8"/>
        <v/>
      </c>
      <c r="U83" s="116" t="str">
        <f t="shared" si="8"/>
        <v/>
      </c>
      <c r="V83" s="116" t="str">
        <f t="shared" si="8"/>
        <v/>
      </c>
      <c r="W83" s="116" t="str">
        <f t="shared" si="8"/>
        <v/>
      </c>
      <c r="X83" s="117" t="str">
        <f t="shared" si="8"/>
        <v/>
      </c>
      <c r="Y83" s="110"/>
      <c r="Z83" s="110"/>
      <c r="AA83" s="110"/>
      <c r="AB83" s="110"/>
      <c r="AC83" s="110"/>
      <c r="AD83" s="110"/>
      <c r="AE83" s="110"/>
      <c r="AG83" s="351">
        <f t="shared" si="4"/>
        <v>77</v>
      </c>
      <c r="AH83" s="354">
        <f t="shared" si="1"/>
        <v>77</v>
      </c>
    </row>
    <row r="84" spans="3:34" ht="15.5" hidden="1" x14ac:dyDescent="0.35">
      <c r="C84" s="23"/>
      <c r="F84" s="41"/>
      <c r="H84" s="41"/>
      <c r="I84" s="41"/>
      <c r="J84" s="50"/>
      <c r="R84" s="110"/>
      <c r="S84" s="109"/>
      <c r="T84" s="109"/>
      <c r="U84" s="109"/>
      <c r="V84" s="109"/>
      <c r="W84" s="109"/>
      <c r="X84" s="109"/>
      <c r="Y84" s="110"/>
      <c r="Z84" s="110"/>
      <c r="AA84" s="110"/>
      <c r="AB84" s="110"/>
      <c r="AC84" s="110"/>
      <c r="AD84" s="110"/>
      <c r="AE84" s="110"/>
      <c r="AG84" s="351">
        <f t="shared" si="4"/>
        <v>78</v>
      </c>
      <c r="AH84" s="354">
        <f t="shared" si="1"/>
        <v>78</v>
      </c>
    </row>
    <row r="85" spans="3:34" ht="15.5" hidden="1" x14ac:dyDescent="0.35">
      <c r="F85" s="40"/>
      <c r="H85" s="41"/>
      <c r="I85" s="41"/>
      <c r="J85" s="49"/>
      <c r="R85" s="110"/>
      <c r="S85" s="109"/>
      <c r="T85" s="109"/>
      <c r="U85" s="109"/>
      <c r="V85" s="109"/>
      <c r="W85" s="109"/>
      <c r="X85" s="109"/>
      <c r="Y85" s="110"/>
      <c r="Z85" s="110"/>
      <c r="AA85" s="110"/>
      <c r="AB85" s="110"/>
      <c r="AC85" s="110"/>
      <c r="AD85" s="110"/>
      <c r="AE85" s="110"/>
      <c r="AG85" s="351">
        <f t="shared" si="4"/>
        <v>79</v>
      </c>
      <c r="AH85" s="354">
        <f t="shared" si="1"/>
        <v>79</v>
      </c>
    </row>
    <row r="86" spans="3:34" hidden="1" x14ac:dyDescent="0.35">
      <c r="R86" s="110"/>
      <c r="S86" s="109"/>
      <c r="T86" s="109"/>
      <c r="U86" s="109"/>
      <c r="V86" s="109"/>
      <c r="W86" s="109"/>
      <c r="X86" s="109"/>
      <c r="Y86" s="110"/>
      <c r="Z86" s="110"/>
      <c r="AA86" s="110"/>
      <c r="AB86" s="110"/>
      <c r="AC86" s="110"/>
      <c r="AD86" s="110"/>
      <c r="AE86" s="110"/>
      <c r="AG86" s="351">
        <f t="shared" si="4"/>
        <v>80</v>
      </c>
      <c r="AH86" s="354">
        <f t="shared" si="1"/>
        <v>80</v>
      </c>
    </row>
    <row r="87" spans="3:34" ht="15.5" hidden="1" x14ac:dyDescent="0.35">
      <c r="R87" s="345" t="s">
        <v>128</v>
      </c>
      <c r="S87" s="110"/>
      <c r="T87" s="110"/>
      <c r="U87" s="110"/>
      <c r="V87" s="110"/>
      <c r="W87" s="110"/>
      <c r="X87" s="110"/>
      <c r="Y87" s="110"/>
      <c r="Z87" s="110"/>
      <c r="AA87" s="110"/>
      <c r="AB87" s="110"/>
      <c r="AC87" s="110"/>
      <c r="AD87" s="110"/>
      <c r="AE87" s="110"/>
      <c r="AG87" s="351">
        <f t="shared" si="4"/>
        <v>81</v>
      </c>
      <c r="AH87" s="354">
        <f t="shared" si="1"/>
        <v>81</v>
      </c>
    </row>
    <row r="88" spans="3:34" ht="15" hidden="1" thickBot="1" x14ac:dyDescent="0.4">
      <c r="Q88" s="386">
        <v>1</v>
      </c>
      <c r="R88" s="387">
        <v>2</v>
      </c>
      <c r="S88" s="387">
        <v>3</v>
      </c>
      <c r="T88" s="387">
        <v>4</v>
      </c>
      <c r="U88" s="387">
        <v>5</v>
      </c>
      <c r="V88" s="387">
        <v>6</v>
      </c>
      <c r="W88" s="387">
        <v>7</v>
      </c>
      <c r="X88" s="387">
        <v>8</v>
      </c>
      <c r="Y88" s="110"/>
      <c r="Z88" s="110"/>
      <c r="AA88" s="110"/>
      <c r="AB88" s="110"/>
      <c r="AC88" s="110"/>
      <c r="AD88" s="110"/>
      <c r="AE88" s="110"/>
      <c r="AG88" s="351">
        <f t="shared" si="4"/>
        <v>82</v>
      </c>
      <c r="AH88" s="354">
        <f t="shared" si="1"/>
        <v>82</v>
      </c>
    </row>
    <row r="89" spans="3:34" hidden="1" x14ac:dyDescent="0.35">
      <c r="R89" s="388" t="s">
        <v>112</v>
      </c>
      <c r="S89" s="389" t="s">
        <v>80</v>
      </c>
      <c r="T89" s="389" t="s">
        <v>81</v>
      </c>
      <c r="U89" s="389" t="s">
        <v>82</v>
      </c>
      <c r="V89" s="389" t="s">
        <v>83</v>
      </c>
      <c r="W89" s="389" t="s">
        <v>84</v>
      </c>
      <c r="X89" s="390" t="s">
        <v>85</v>
      </c>
      <c r="Y89" s="110"/>
      <c r="Z89" s="110"/>
      <c r="AA89" s="110"/>
      <c r="AB89" s="110"/>
      <c r="AC89" s="110"/>
      <c r="AD89" s="110"/>
      <c r="AE89" s="110"/>
      <c r="AG89" s="351">
        <f t="shared" si="4"/>
        <v>83</v>
      </c>
      <c r="AH89" s="354">
        <f t="shared" si="1"/>
        <v>83</v>
      </c>
    </row>
    <row r="90" spans="3:34" hidden="1" x14ac:dyDescent="0.35">
      <c r="Q90" s="63" t="s">
        <v>129</v>
      </c>
      <c r="R90" s="392" t="s">
        <v>168</v>
      </c>
      <c r="S90" s="393"/>
      <c r="T90" s="393"/>
      <c r="U90" s="393"/>
      <c r="V90" s="393"/>
      <c r="W90" s="393"/>
      <c r="X90" s="394"/>
      <c r="Y90" s="110"/>
      <c r="Z90" s="110"/>
      <c r="AA90" s="110"/>
      <c r="AB90" s="110"/>
      <c r="AC90" s="110"/>
      <c r="AD90" s="110"/>
      <c r="AE90" s="110"/>
      <c r="AG90" s="351">
        <f t="shared" si="4"/>
        <v>84</v>
      </c>
      <c r="AH90" s="354">
        <f t="shared" si="1"/>
        <v>84</v>
      </c>
    </row>
    <row r="91" spans="3:34" hidden="1" x14ac:dyDescent="0.35">
      <c r="Q91" s="395" t="str">
        <f>$R$78&amp;"_"&amp;R91</f>
        <v>Con Honorarios Quirurgicos_NACIONAL</v>
      </c>
      <c r="R91" s="396" t="s">
        <v>140</v>
      </c>
      <c r="S91" s="112">
        <f t="shared" ref="S91:X91" si="9">IF(AND($T$28="PB",$U$28="NACIONAL"),SUM(S55:S71),0)</f>
        <v>0</v>
      </c>
      <c r="T91" s="112">
        <f t="shared" si="9"/>
        <v>0</v>
      </c>
      <c r="U91" s="112">
        <f t="shared" si="9"/>
        <v>0</v>
      </c>
      <c r="V91" s="112">
        <f t="shared" si="9"/>
        <v>0</v>
      </c>
      <c r="W91" s="112">
        <f t="shared" si="9"/>
        <v>0</v>
      </c>
      <c r="X91" s="112">
        <f t="shared" si="9"/>
        <v>0</v>
      </c>
      <c r="Y91" s="110"/>
      <c r="Z91" s="110"/>
      <c r="AA91" s="110"/>
      <c r="AB91" s="110"/>
      <c r="AC91" s="110"/>
      <c r="AD91" s="110"/>
      <c r="AE91" s="110"/>
      <c r="AG91" s="351">
        <f t="shared" si="4"/>
        <v>85</v>
      </c>
      <c r="AH91" s="354">
        <f t="shared" si="1"/>
        <v>85</v>
      </c>
    </row>
    <row r="92" spans="3:34" hidden="1" x14ac:dyDescent="0.35">
      <c r="Q92" s="395" t="str">
        <f>$R$78&amp;"_"&amp;R92</f>
        <v>Con Honorarios Quirurgicos_INTERNACIONAL</v>
      </c>
      <c r="R92" s="396" t="s">
        <v>141</v>
      </c>
      <c r="S92" s="112">
        <f t="shared" ref="S92:X92" si="10">IF(AND($T$28="PB",$U$28="INTERNACIONAL"),SUM(S57:S67),0)</f>
        <v>0</v>
      </c>
      <c r="T92" s="112">
        <f t="shared" si="10"/>
        <v>0</v>
      </c>
      <c r="U92" s="112">
        <f t="shared" si="10"/>
        <v>0</v>
      </c>
      <c r="V92" s="112">
        <f t="shared" si="10"/>
        <v>0</v>
      </c>
      <c r="W92" s="112">
        <f t="shared" si="10"/>
        <v>0</v>
      </c>
      <c r="X92" s="113">
        <f t="shared" si="10"/>
        <v>0</v>
      </c>
      <c r="Y92" s="110"/>
      <c r="Z92" s="110"/>
      <c r="AA92" s="110"/>
      <c r="AB92" s="110"/>
      <c r="AC92" s="110"/>
      <c r="AD92" s="110"/>
      <c r="AE92" s="110"/>
      <c r="AG92" s="351">
        <f t="shared" si="4"/>
        <v>86</v>
      </c>
      <c r="AH92" s="354">
        <f t="shared" si="1"/>
        <v>86</v>
      </c>
    </row>
    <row r="93" spans="3:34" hidden="1" x14ac:dyDescent="0.35">
      <c r="F93" s="7"/>
      <c r="Q93" s="395" t="s">
        <v>130</v>
      </c>
      <c r="R93" s="397" t="s">
        <v>169</v>
      </c>
      <c r="S93" s="114"/>
      <c r="T93" s="114"/>
      <c r="U93" s="114"/>
      <c r="V93" s="114"/>
      <c r="W93" s="114"/>
      <c r="X93" s="115"/>
      <c r="Y93" s="110"/>
      <c r="Z93" s="110"/>
      <c r="AA93" s="110"/>
      <c r="AB93" s="110"/>
      <c r="AC93" s="110"/>
      <c r="AD93" s="110"/>
      <c r="AE93" s="110"/>
      <c r="AG93" s="351">
        <f t="shared" si="4"/>
        <v>87</v>
      </c>
      <c r="AH93" s="354">
        <f t="shared" si="1"/>
        <v>87</v>
      </c>
    </row>
    <row r="94" spans="3:34" hidden="1" x14ac:dyDescent="0.35">
      <c r="Q94" s="395" t="str">
        <f>$R$81&amp;"_"&amp;R94</f>
        <v>Sin Honorarios Quirurgicos_NACIONAL</v>
      </c>
      <c r="R94" s="396" t="s">
        <v>140</v>
      </c>
      <c r="S94" s="112">
        <f t="shared" ref="S94:X94" si="11">IF(AND($T$28="PBSHQ",$U$28="NACIONAL"),SUM(S57:S67),0)</f>
        <v>0</v>
      </c>
      <c r="T94" s="112">
        <f t="shared" si="11"/>
        <v>0</v>
      </c>
      <c r="U94" s="112">
        <f t="shared" si="11"/>
        <v>0</v>
      </c>
      <c r="V94" s="112">
        <f t="shared" si="11"/>
        <v>0</v>
      </c>
      <c r="W94" s="112">
        <f t="shared" si="11"/>
        <v>0</v>
      </c>
      <c r="X94" s="113">
        <f t="shared" si="11"/>
        <v>0</v>
      </c>
      <c r="Y94" s="110"/>
      <c r="Z94" s="110"/>
      <c r="AA94" s="110"/>
      <c r="AB94" s="110"/>
      <c r="AC94" s="110"/>
      <c r="AD94" s="110"/>
      <c r="AE94" s="110"/>
      <c r="AG94" s="351">
        <f t="shared" si="4"/>
        <v>88</v>
      </c>
      <c r="AH94" s="354">
        <f t="shared" ref="AH94:AH105" si="12">+AH93+1</f>
        <v>88</v>
      </c>
    </row>
    <row r="95" spans="3:34" ht="15" hidden="1" thickBot="1" x14ac:dyDescent="0.4">
      <c r="Q95" s="395" t="str">
        <f>$R$81&amp;"_"&amp;R95</f>
        <v>Sin Honorarios Quirurgicos_INTERNACIONAL</v>
      </c>
      <c r="R95" s="398" t="s">
        <v>141</v>
      </c>
      <c r="S95" s="116">
        <f t="shared" ref="S95:X95" si="13">IF(AND($T$28="PBSHQ",$U$28="INTERNACIONAL"),SUM(S57:S67),0)</f>
        <v>0</v>
      </c>
      <c r="T95" s="116">
        <f t="shared" si="13"/>
        <v>0</v>
      </c>
      <c r="U95" s="116">
        <f t="shared" si="13"/>
        <v>0</v>
      </c>
      <c r="V95" s="116">
        <f t="shared" si="13"/>
        <v>0</v>
      </c>
      <c r="W95" s="116">
        <f t="shared" si="13"/>
        <v>0</v>
      </c>
      <c r="X95" s="117">
        <f t="shared" si="13"/>
        <v>0</v>
      </c>
      <c r="Y95" s="110"/>
      <c r="Z95" s="110"/>
      <c r="AA95" s="110"/>
      <c r="AB95" s="110"/>
      <c r="AC95" s="110"/>
      <c r="AD95" s="110"/>
      <c r="AE95" s="110"/>
      <c r="AG95" s="351">
        <f t="shared" si="4"/>
        <v>89</v>
      </c>
      <c r="AH95" s="354">
        <f t="shared" si="12"/>
        <v>89</v>
      </c>
    </row>
    <row r="96" spans="3:34" hidden="1" x14ac:dyDescent="0.35">
      <c r="R96" s="110"/>
      <c r="S96" s="109"/>
      <c r="T96" s="109"/>
      <c r="U96" s="109"/>
      <c r="V96" s="109"/>
      <c r="W96" s="109"/>
      <c r="X96" s="109"/>
      <c r="Y96" s="110"/>
      <c r="Z96" s="110"/>
      <c r="AA96" s="110"/>
      <c r="AB96" s="110"/>
      <c r="AC96" s="110"/>
      <c r="AD96" s="110"/>
      <c r="AE96" s="110"/>
      <c r="AG96" s="351">
        <f t="shared" si="4"/>
        <v>90</v>
      </c>
      <c r="AH96" s="354">
        <f t="shared" si="12"/>
        <v>90</v>
      </c>
    </row>
    <row r="97" spans="18:34" hidden="1" x14ac:dyDescent="0.35">
      <c r="R97" s="110"/>
      <c r="S97" s="109"/>
      <c r="T97" s="109"/>
      <c r="U97" s="109"/>
      <c r="V97" s="109"/>
      <c r="W97" s="109"/>
      <c r="X97" s="109"/>
      <c r="Y97" s="110"/>
      <c r="Z97" s="110"/>
      <c r="AA97" s="110"/>
      <c r="AB97" s="110"/>
      <c r="AC97" s="110"/>
      <c r="AD97" s="110"/>
      <c r="AE97" s="110"/>
      <c r="AG97" s="351">
        <f t="shared" si="4"/>
        <v>91</v>
      </c>
      <c r="AH97" s="354">
        <f t="shared" si="12"/>
        <v>91</v>
      </c>
    </row>
    <row r="98" spans="18:34" hidden="1" x14ac:dyDescent="0.35">
      <c r="R98" s="110"/>
      <c r="S98" s="109"/>
      <c r="T98" s="109"/>
      <c r="U98" s="109"/>
      <c r="V98" s="109"/>
      <c r="W98" s="109"/>
      <c r="X98" s="109"/>
      <c r="AG98" s="351">
        <f t="shared" si="4"/>
        <v>92</v>
      </c>
      <c r="AH98" s="354">
        <f t="shared" si="12"/>
        <v>92</v>
      </c>
    </row>
    <row r="99" spans="18:34" hidden="1" x14ac:dyDescent="0.35">
      <c r="R99" s="399"/>
      <c r="S99" s="18"/>
      <c r="T99" s="18"/>
      <c r="U99" s="18"/>
      <c r="V99" s="18"/>
      <c r="W99" s="18"/>
      <c r="X99" s="18"/>
      <c r="AG99" s="351">
        <f t="shared" si="4"/>
        <v>93</v>
      </c>
      <c r="AH99" s="354">
        <f t="shared" si="12"/>
        <v>93</v>
      </c>
    </row>
    <row r="100" spans="18:34" ht="15" hidden="1" thickBot="1" x14ac:dyDescent="0.4">
      <c r="R100" s="400"/>
      <c r="S100" s="18"/>
      <c r="T100" s="18"/>
      <c r="U100" s="18"/>
      <c r="V100" s="18"/>
      <c r="W100" s="18"/>
      <c r="X100" s="18"/>
      <c r="AG100" s="351">
        <f t="shared" si="4"/>
        <v>94</v>
      </c>
      <c r="AH100" s="354">
        <f t="shared" si="12"/>
        <v>94</v>
      </c>
    </row>
    <row r="101" spans="18:34" ht="16.5" hidden="1" customHeight="1" thickBot="1" x14ac:dyDescent="0.4">
      <c r="R101" s="401" t="s">
        <v>88</v>
      </c>
      <c r="S101" s="723" t="s">
        <v>168</v>
      </c>
      <c r="T101" s="724"/>
      <c r="U101" s="725" t="s">
        <v>169</v>
      </c>
      <c r="V101" s="726"/>
      <c r="W101" s="18"/>
      <c r="X101" s="18"/>
      <c r="AG101" s="351">
        <f t="shared" si="4"/>
        <v>95</v>
      </c>
      <c r="AH101" s="354">
        <f t="shared" si="12"/>
        <v>95</v>
      </c>
    </row>
    <row r="102" spans="18:34" hidden="1" x14ac:dyDescent="0.35">
      <c r="R102" s="402"/>
      <c r="S102" s="64" t="s">
        <v>140</v>
      </c>
      <c r="T102" s="65" t="s">
        <v>141</v>
      </c>
      <c r="U102" s="66" t="s">
        <v>140</v>
      </c>
      <c r="V102" s="66" t="s">
        <v>141</v>
      </c>
      <c r="W102" s="18"/>
      <c r="X102" s="18"/>
      <c r="AG102" s="351">
        <f t="shared" si="4"/>
        <v>96</v>
      </c>
      <c r="AH102" s="354">
        <f t="shared" si="12"/>
        <v>96</v>
      </c>
    </row>
    <row r="103" spans="18:34" hidden="1" x14ac:dyDescent="0.35">
      <c r="R103" s="402"/>
      <c r="S103" s="22"/>
      <c r="T103" s="21"/>
      <c r="U103" s="51"/>
      <c r="V103" s="51"/>
      <c r="W103" s="18"/>
      <c r="X103" s="18"/>
      <c r="AG103" s="351">
        <f t="shared" si="4"/>
        <v>97</v>
      </c>
      <c r="AH103" s="354">
        <f t="shared" si="12"/>
        <v>97</v>
      </c>
    </row>
    <row r="104" spans="18:34" ht="16.5" hidden="1" x14ac:dyDescent="0.35">
      <c r="R104" s="403" t="s">
        <v>103</v>
      </c>
      <c r="S104" s="79" t="s">
        <v>113</v>
      </c>
      <c r="T104" s="80" t="s">
        <v>113</v>
      </c>
      <c r="U104" s="52" t="s">
        <v>113</v>
      </c>
      <c r="V104" s="52" t="s">
        <v>113</v>
      </c>
      <c r="W104" s="18"/>
      <c r="X104" s="18"/>
      <c r="AG104" s="351">
        <f t="shared" si="4"/>
        <v>98</v>
      </c>
      <c r="AH104" s="354">
        <f t="shared" si="12"/>
        <v>98</v>
      </c>
    </row>
    <row r="105" spans="18:34" hidden="1" x14ac:dyDescent="0.35">
      <c r="R105" s="404"/>
      <c r="S105" s="81"/>
      <c r="T105" s="82"/>
      <c r="U105" s="83"/>
      <c r="V105" s="83"/>
      <c r="W105" s="18"/>
      <c r="X105" s="18"/>
      <c r="AG105" s="351">
        <f t="shared" si="4"/>
        <v>99</v>
      </c>
      <c r="AH105" s="354">
        <f t="shared" si="12"/>
        <v>99</v>
      </c>
    </row>
    <row r="106" spans="18:34" ht="16.5" hidden="1" x14ac:dyDescent="0.35">
      <c r="R106" s="403" t="s">
        <v>165</v>
      </c>
      <c r="S106" s="79" t="s">
        <v>113</v>
      </c>
      <c r="T106" s="80" t="s">
        <v>113</v>
      </c>
      <c r="U106" s="52" t="s">
        <v>113</v>
      </c>
      <c r="V106" s="52" t="s">
        <v>113</v>
      </c>
      <c r="W106" s="18"/>
      <c r="X106" s="18"/>
    </row>
    <row r="107" spans="18:34" hidden="1" x14ac:dyDescent="0.35">
      <c r="R107" s="404"/>
      <c r="S107" s="81"/>
      <c r="T107" s="82"/>
      <c r="U107" s="83"/>
      <c r="V107" s="83"/>
      <c r="W107" s="18"/>
      <c r="X107" s="18"/>
    </row>
    <row r="108" spans="18:34" ht="16.5" hidden="1" x14ac:dyDescent="0.35">
      <c r="R108" s="403" t="s">
        <v>104</v>
      </c>
      <c r="S108" s="79" t="s">
        <v>113</v>
      </c>
      <c r="T108" s="405" t="s">
        <v>127</v>
      </c>
      <c r="U108" s="52" t="s">
        <v>113</v>
      </c>
      <c r="V108" s="62" t="s">
        <v>127</v>
      </c>
      <c r="W108" s="18"/>
      <c r="X108" s="18"/>
    </row>
    <row r="109" spans="18:34" hidden="1" x14ac:dyDescent="0.35">
      <c r="R109" s="404"/>
      <c r="S109" s="81"/>
      <c r="T109" s="82"/>
      <c r="U109" s="83"/>
      <c r="V109" s="83"/>
      <c r="W109" s="19"/>
      <c r="X109" s="19"/>
    </row>
    <row r="110" spans="18:34" ht="15.5" hidden="1" x14ac:dyDescent="0.35">
      <c r="R110" s="403" t="s">
        <v>105</v>
      </c>
      <c r="S110" s="406" t="s">
        <v>114</v>
      </c>
      <c r="T110" s="405" t="s">
        <v>127</v>
      </c>
      <c r="U110" s="62" t="s">
        <v>127</v>
      </c>
      <c r="V110" s="62" t="s">
        <v>127</v>
      </c>
    </row>
    <row r="111" spans="18:34" hidden="1" x14ac:dyDescent="0.35">
      <c r="R111" s="404"/>
      <c r="S111" s="407"/>
      <c r="T111" s="408"/>
      <c r="U111" s="409"/>
      <c r="V111" s="409"/>
    </row>
    <row r="112" spans="18:34" ht="16.5" hidden="1" x14ac:dyDescent="0.35">
      <c r="R112" s="403" t="s">
        <v>177</v>
      </c>
      <c r="S112" s="410" t="s">
        <v>127</v>
      </c>
      <c r="T112" s="80" t="s">
        <v>113</v>
      </c>
      <c r="U112" s="62" t="s">
        <v>127</v>
      </c>
      <c r="V112" s="52" t="s">
        <v>113</v>
      </c>
    </row>
    <row r="113" spans="18:22" ht="16.5" hidden="1" x14ac:dyDescent="0.35">
      <c r="R113" s="404"/>
      <c r="S113" s="407"/>
      <c r="T113" s="408"/>
      <c r="U113" s="409"/>
      <c r="V113" s="52"/>
    </row>
    <row r="114" spans="18:22" ht="16.5" hidden="1" x14ac:dyDescent="0.35">
      <c r="R114" s="403" t="s">
        <v>102</v>
      </c>
      <c r="S114" s="95" t="s">
        <v>113</v>
      </c>
      <c r="T114" s="80" t="s">
        <v>113</v>
      </c>
      <c r="U114" s="52" t="s">
        <v>113</v>
      </c>
      <c r="V114" s="52" t="s">
        <v>113</v>
      </c>
    </row>
    <row r="115" spans="18:22" hidden="1" x14ac:dyDescent="0.35">
      <c r="R115" s="404"/>
      <c r="S115" s="407"/>
      <c r="T115" s="408"/>
      <c r="U115" s="409"/>
      <c r="V115" s="409"/>
    </row>
    <row r="116" spans="18:22" ht="16.5" hidden="1" x14ac:dyDescent="0.35">
      <c r="R116" s="403" t="s">
        <v>106</v>
      </c>
      <c r="S116" s="79" t="s">
        <v>113</v>
      </c>
      <c r="T116" s="80" t="s">
        <v>113</v>
      </c>
      <c r="U116" s="52" t="s">
        <v>113</v>
      </c>
      <c r="V116" s="52" t="s">
        <v>113</v>
      </c>
    </row>
    <row r="117" spans="18:22" hidden="1" x14ac:dyDescent="0.35">
      <c r="R117" s="404"/>
      <c r="S117" s="407"/>
      <c r="T117" s="408"/>
      <c r="U117" s="409"/>
      <c r="V117" s="409"/>
    </row>
    <row r="118" spans="18:22" hidden="1" x14ac:dyDescent="0.35">
      <c r="R118" s="411" t="s">
        <v>107</v>
      </c>
      <c r="S118" s="412" t="s">
        <v>114</v>
      </c>
      <c r="T118" s="413" t="s">
        <v>114</v>
      </c>
      <c r="U118" s="414" t="s">
        <v>114</v>
      </c>
      <c r="V118" s="414" t="s">
        <v>114</v>
      </c>
    </row>
    <row r="119" spans="18:22" hidden="1" x14ac:dyDescent="0.35">
      <c r="R119" s="404"/>
      <c r="S119" s="407"/>
      <c r="T119" s="408"/>
      <c r="U119" s="409"/>
      <c r="V119" s="409"/>
    </row>
    <row r="120" spans="18:22" hidden="1" x14ac:dyDescent="0.35">
      <c r="R120" s="403" t="s">
        <v>111</v>
      </c>
      <c r="S120" s="407" t="s">
        <v>114</v>
      </c>
      <c r="T120" s="408" t="s">
        <v>114</v>
      </c>
      <c r="U120" s="409" t="s">
        <v>114</v>
      </c>
      <c r="V120" s="409" t="s">
        <v>114</v>
      </c>
    </row>
    <row r="121" spans="18:22" hidden="1" x14ac:dyDescent="0.35">
      <c r="R121" s="404"/>
      <c r="S121" s="407"/>
      <c r="T121" s="408"/>
      <c r="U121" s="409"/>
      <c r="V121" s="409"/>
    </row>
    <row r="122" spans="18:22" hidden="1" x14ac:dyDescent="0.35">
      <c r="R122" s="415" t="s">
        <v>146</v>
      </c>
      <c r="S122" s="407" t="s">
        <v>114</v>
      </c>
      <c r="T122" s="416" t="s">
        <v>114</v>
      </c>
      <c r="U122" s="409" t="s">
        <v>114</v>
      </c>
      <c r="V122" s="417" t="s">
        <v>114</v>
      </c>
    </row>
    <row r="123" spans="18:22" hidden="1" x14ac:dyDescent="0.35">
      <c r="R123" s="415"/>
      <c r="S123" s="407"/>
      <c r="T123" s="416"/>
      <c r="U123" s="409"/>
      <c r="V123" s="417"/>
    </row>
    <row r="124" spans="18:22" hidden="1" x14ac:dyDescent="0.35">
      <c r="R124" s="415" t="s">
        <v>260</v>
      </c>
      <c r="S124" s="407" t="s">
        <v>114</v>
      </c>
      <c r="T124" s="416" t="s">
        <v>114</v>
      </c>
      <c r="U124" s="409" t="s">
        <v>114</v>
      </c>
      <c r="V124" s="417" t="s">
        <v>114</v>
      </c>
    </row>
    <row r="125" spans="18:22" hidden="1" x14ac:dyDescent="0.35">
      <c r="R125" s="418"/>
      <c r="S125" s="419"/>
      <c r="T125" s="418"/>
      <c r="U125" s="418"/>
      <c r="V125" s="418"/>
    </row>
    <row r="126" spans="18:22" hidden="1" x14ac:dyDescent="0.35">
      <c r="R126" s="418" t="s">
        <v>139</v>
      </c>
      <c r="S126" s="420" t="s">
        <v>114</v>
      </c>
      <c r="T126" s="420" t="s">
        <v>114</v>
      </c>
      <c r="U126" s="420" t="s">
        <v>114</v>
      </c>
      <c r="V126" s="420" t="s">
        <v>114</v>
      </c>
    </row>
    <row r="127" spans="18:22" hidden="1" x14ac:dyDescent="0.35">
      <c r="R127" s="418"/>
      <c r="S127" s="418"/>
      <c r="T127" s="418"/>
      <c r="U127" s="418"/>
      <c r="V127" s="418"/>
    </row>
    <row r="128" spans="18:22" ht="15" hidden="1" thickBot="1" x14ac:dyDescent="0.4">
      <c r="R128" s="421" t="s">
        <v>178</v>
      </c>
      <c r="S128" s="422" t="s">
        <v>114</v>
      </c>
      <c r="T128" s="422" t="s">
        <v>114</v>
      </c>
      <c r="U128" s="422" t="s">
        <v>114</v>
      </c>
      <c r="V128" s="422" t="s">
        <v>114</v>
      </c>
    </row>
    <row r="135" spans="18:18" hidden="1" x14ac:dyDescent="0.35">
      <c r="R135" s="423"/>
    </row>
    <row r="136" spans="18:18" hidden="1" x14ac:dyDescent="0.35">
      <c r="R136" s="424"/>
    </row>
    <row r="137" spans="18:18" hidden="1" x14ac:dyDescent="0.35">
      <c r="R137" s="424"/>
    </row>
  </sheetData>
  <sheetProtection algorithmName="SHA-512" hashValue="x8m1ZoR0zKMS7lYXcFA9WM3Anq9KTu5G2YTeAsNusc9ijG97O2qRG0nTMPCHGaeIQmenkRdMtZ+bzxUXP60Byw==" saltValue="iVtla2tkYk5rA+OEnzsGSg==" spinCount="100000" sheet="1" objects="1" scenarios="1"/>
  <mergeCells count="15">
    <mergeCell ref="AA31:AC31"/>
    <mergeCell ref="R28:S28"/>
    <mergeCell ref="B2:M2"/>
    <mergeCell ref="B5:M5"/>
    <mergeCell ref="E6:J6"/>
    <mergeCell ref="E7:J7"/>
    <mergeCell ref="B3:M3"/>
    <mergeCell ref="S101:T101"/>
    <mergeCell ref="U101:V101"/>
    <mergeCell ref="G10:I10"/>
    <mergeCell ref="G11:I11"/>
    <mergeCell ref="B27:M27"/>
    <mergeCell ref="B13:D13"/>
    <mergeCell ref="K10:L10"/>
    <mergeCell ref="K11:L11"/>
  </mergeCells>
  <phoneticPr fontId="6" type="noConversion"/>
  <conditionalFormatting sqref="J63 J65 J67:J74 J76 J78 J80 L50 L48 L46 L44 K59:K60 L58 K53 K55 L56 L54 L52 P78">
    <cfRule type="cellIs" dxfId="6" priority="32" stopIfTrue="1" operator="equal">
      <formula>0</formula>
    </cfRule>
  </conditionalFormatting>
  <conditionalFormatting sqref="I15 I19 I21 I23 I25 I17">
    <cfRule type="expression" dxfId="5" priority="5">
      <formula>$G$11="EDAD"</formula>
    </cfRule>
  </conditionalFormatting>
  <conditionalFormatting sqref="G15 G17 G19 G21 G23 G25">
    <cfRule type="expression" dxfId="4" priority="2">
      <formula>$G$11="EDAD"</formula>
    </cfRule>
    <cfRule type="expression" dxfId="3" priority="4">
      <formula>$G$11="FECHA DE NACIMIENTO"</formula>
    </cfRule>
  </conditionalFormatting>
  <conditionalFormatting sqref="I15 I17 I19 I21 I23 I25">
    <cfRule type="expression" dxfId="2" priority="1">
      <formula>$G$11="FECHA DE NACIMIENTO"</formula>
    </cfRule>
  </conditionalFormatting>
  <dataValidations xWindow="522" yWindow="656" count="18">
    <dataValidation allowBlank="1" showErrorMessage="1" promptTitle="SUMA ASEGURADA" prompt="Ingrese el monto que desea contratar como Suma Asegurada para esta cobertura" sqref="J54"/>
    <dataValidation allowBlank="1" showInputMessage="1" showErrorMessage="1" sqref="H48:I48 H59:I59 H57:I57 H55:I55 H53:I53 H50:I50"/>
    <dataValidation type="custom" operator="greaterThan" allowBlank="1" showInputMessage="1" showErrorMessage="1" errorTitle="Edad de aceptación" error="La edad mínima es de 18 años y la edad máxima es de 69 años._x000a_Renovaciónes edad máxima 90 años." prompt="dd/mm/aaaa" sqref="G15">
      <formula1>IF(K11="NO",(AND(DATEDIF(G15,TODAY(),"y")&gt;=18,DATEDIF(G15,TODAY(),"y")&lt;=69)), (AND(DATEDIF(G15,TODAY(),"y")&gt;=18,DATEDIF(G15,TODAY(),"y")&lt;=90)))</formula1>
    </dataValidation>
    <dataValidation type="custom" allowBlank="1" showInputMessage="1" showErrorMessage="1" errorTitle="Edad de aceptación" error="La edad máxima de aceptación de los dependientes es 24 años._x000a_Renovaciones 40 años." prompt="dd/mm/aaaa" sqref="G25">
      <formula1>IF(K11="NO",DATEDIF(G25,TODAY(),"y")&lt;=24,DATEDIF(G25,TODAY(),"y")&lt;=40)</formula1>
    </dataValidation>
    <dataValidation type="list" allowBlank="1" showInputMessage="1" showErrorMessage="1" sqref="E8">
      <formula1>ESTADO</formula1>
    </dataValidation>
    <dataValidation type="list" allowBlank="1" showInputMessage="1" showErrorMessage="1" sqref="G11:I11">
      <formula1>"FECHA DE NACIMIENTO,EDAD"</formula1>
    </dataValidation>
    <dataValidation type="list" allowBlank="1" showInputMessage="1" showErrorMessage="1" sqref="K15 K23 K17 K19 K21 K25">
      <formula1>"Hombre,Mujer"</formula1>
    </dataValidation>
    <dataValidation type="custom" allowBlank="1" showInputMessage="1" showErrorMessage="1" errorTitle="Edad de aceptación" error="La edad máxima de aceptación de los dependientes es 24 años._x000a_Renovaciones 40 años." sqref="I19">
      <formula1>IF(K11="NO",I19&lt;=24,I19&lt;=40)</formula1>
    </dataValidation>
    <dataValidation type="custom" allowBlank="1" showInputMessage="1" showErrorMessage="1" errorTitle="Edad de aceptación" error="La edad máxima de aceptación de los dependientes es 24 años._x000a_Renovaciones 40 años." prompt="dd/mm/aaaa" sqref="G23">
      <formula1>IF(K11="NO",DATEDIF(G23,TODAY(),"y")&lt;=24,DATEDIF(G23,TODAY(),"y")&lt;=40)</formula1>
    </dataValidation>
    <dataValidation type="custom" allowBlank="1" showInputMessage="1" showErrorMessage="1" errorTitle="Edad de aceptación" error="La edad mínima es de 18 años y la edad máxima es de 69 años._x000a_Renovaciónes edad máxima 90 años." prompt="dd/mm/aaaa" sqref="G17">
      <formula1>IF(K11="NO",(AND(DATEDIF(G17,TODAY(),"y")&gt;=18,DATEDIF(G17,TODAY(),"y")&lt;=69)), (AND(DATEDIF(G17,TODAY(),"y")&gt;=18,DATEDIF(G17,TODAY(),"y")&lt;=90)))</formula1>
    </dataValidation>
    <dataValidation type="custom" allowBlank="1" showInputMessage="1" showErrorMessage="1" errorTitle="Edad de aceptación. " error="La edad mínima es de 18 años y la edad máxima es de 69 años._x000a_Renovaciónes edad máxima 90 años." sqref="I15">
      <formula1>IF(K11="NO",AND(I15&gt;=18,I15&lt;=69),AND(I15&gt;=18,I15&lt;=90))</formula1>
    </dataValidation>
    <dataValidation type="custom" allowBlank="1" showInputMessage="1" showErrorMessage="1" errorTitle="Edad de aceptación." error="La edad mínima es de 18 años y la edad máxima es de 69 años._x000a_Renovaciónes edad máxima 90 años." sqref="I17">
      <formula1>IF(K11="NO",AND(I17&gt;=18,I17&lt;=69),AND(I17&gt;=18,I17&lt;=90))</formula1>
    </dataValidation>
    <dataValidation type="custom" allowBlank="1" showInputMessage="1" showErrorMessage="1" errorTitle="Edad de aceptación." error="La edad máxima de aceptación de los dependientes es 24 años._x000a_Renovaciones 40 años." sqref="I25">
      <formula1>IF(K11="NO",I25&lt;=24,I25&lt;=40)</formula1>
    </dataValidation>
    <dataValidation type="custom" allowBlank="1" showInputMessage="1" showErrorMessage="1" errorTitle="Edad de aceptación" error="La edad máxima de aceptación de los dependientes es 24 años._x000a_Renovaciones 40 años." prompt="dd/mm/aaaa" sqref="G21">
      <formula1>IF(K11="NO",DATEDIF(G21,TODAY(),"y")&lt;=24,DATEDIF(G21,TODAY(),"y")&lt;=40)</formula1>
    </dataValidation>
    <dataValidation type="list" allowBlank="1" showInputMessage="1" showErrorMessage="1" sqref="K11">
      <formula1>"SI,NO"</formula1>
    </dataValidation>
    <dataValidation type="custom" allowBlank="1" showInputMessage="1" showErrorMessage="1" errorTitle="Edad de aceptación." error="La edad máxima de aceptación de los dependientes es 24 años._x000a_Renovaciones 40 años." sqref="I21">
      <formula1>IF(K11="NO",I21&lt;=24,I21&lt;=40)</formula1>
    </dataValidation>
    <dataValidation type="custom" allowBlank="1" showInputMessage="1" showErrorMessage="1" errorTitle="Edad de aceptación." error="La edad máxima de aceptación de los dependientes es 24 años._x000a_Renovaciones 40 años." sqref="I23">
      <formula1>IF(K11="NO",I23&lt;=24,I23&lt;=40)</formula1>
    </dataValidation>
    <dataValidation type="custom" allowBlank="1" showInputMessage="1" showErrorMessage="1" errorTitle="Edad de aceptación" error="La edad máxima de aceptación de los dependientes es 24 años._x000a_Renovaciones 40 años." prompt="dd/mm/aaaa" sqref="G19">
      <formula1>IF(K11="NO",DATEDIF(G19,TODAY(),"y")&lt;=24,DATEDIF(G19,TODAY(),"y")&lt;=40)</formula1>
    </dataValidation>
  </dataValidations>
  <printOptions horizontalCentered="1" verticalCentered="1"/>
  <pageMargins left="0" right="0" top="0" bottom="0" header="0" footer="0"/>
  <pageSetup scale="60" orientation="portrait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941" r:id="rId4" name="Group Box 1581">
              <controlPr defaultSize="0" autoFill="0" autoPict="0">
                <anchor moveWithCells="1">
                  <from>
                    <xdr:col>10</xdr:col>
                    <xdr:colOff>12700</xdr:colOff>
                    <xdr:row>12</xdr:row>
                    <xdr:rowOff>0</xdr:rowOff>
                  </from>
                  <to>
                    <xdr:col>12</xdr:col>
                    <xdr:colOff>12700</xdr:colOff>
                    <xdr:row>13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2" r:id="rId5" name="Group Box 1582">
              <controlPr defaultSize="0" autoFill="0" autoPict="0">
                <anchor moveWithCells="1">
                  <from>
                    <xdr:col>9</xdr:col>
                    <xdr:colOff>31750</xdr:colOff>
                    <xdr:row>25</xdr:row>
                    <xdr:rowOff>0</xdr:rowOff>
                  </from>
                  <to>
                    <xdr:col>11</xdr:col>
                    <xdr:colOff>660400</xdr:colOff>
                    <xdr:row>26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3" r:id="rId6" name="Group Box 1583">
              <controlPr defaultSize="0" autoFill="0" autoPict="0">
                <anchor moveWithCells="1">
                  <from>
                    <xdr:col>9</xdr:col>
                    <xdr:colOff>31750</xdr:colOff>
                    <xdr:row>25</xdr:row>
                    <xdr:rowOff>0</xdr:rowOff>
                  </from>
                  <to>
                    <xdr:col>11</xdr:col>
                    <xdr:colOff>660400</xdr:colOff>
                    <xdr:row>26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4" r:id="rId7" name="Group Box 1584">
              <controlPr defaultSize="0" autoFill="0" autoPict="0">
                <anchor moveWithCells="1">
                  <from>
                    <xdr:col>9</xdr:col>
                    <xdr:colOff>31750</xdr:colOff>
                    <xdr:row>25</xdr:row>
                    <xdr:rowOff>0</xdr:rowOff>
                  </from>
                  <to>
                    <xdr:col>11</xdr:col>
                    <xdr:colOff>660400</xdr:colOff>
                    <xdr:row>26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5" r:id="rId8" name="Group Box 1585">
              <controlPr defaultSize="0" autoFill="0" autoPict="0">
                <anchor moveWithCells="1">
                  <from>
                    <xdr:col>9</xdr:col>
                    <xdr:colOff>31750</xdr:colOff>
                    <xdr:row>25</xdr:row>
                    <xdr:rowOff>0</xdr:rowOff>
                  </from>
                  <to>
                    <xdr:col>11</xdr:col>
                    <xdr:colOff>660400</xdr:colOff>
                    <xdr:row>26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6" r:id="rId9" name="Group Box 1586">
              <controlPr defaultSize="0" autoFill="0" autoPict="0">
                <anchor moveWithCells="1">
                  <from>
                    <xdr:col>9</xdr:col>
                    <xdr:colOff>31750</xdr:colOff>
                    <xdr:row>25</xdr:row>
                    <xdr:rowOff>0</xdr:rowOff>
                  </from>
                  <to>
                    <xdr:col>11</xdr:col>
                    <xdr:colOff>660400</xdr:colOff>
                    <xdr:row>26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55" r:id="rId10" name="Check Box 3995">
              <controlPr defaultSize="0" autoFill="0" autoLine="0" autoPict="0">
                <anchor moveWithCells="1">
                  <from>
                    <xdr:col>1</xdr:col>
                    <xdr:colOff>101600</xdr:colOff>
                    <xdr:row>13</xdr:row>
                    <xdr:rowOff>184150</xdr:rowOff>
                  </from>
                  <to>
                    <xdr:col>2</xdr:col>
                    <xdr:colOff>889000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0" r:id="rId11" name="Check Box 4000">
              <controlPr defaultSize="0" autoFill="0" autoLine="0" autoPict="0">
                <anchor moveWithCells="1">
                  <from>
                    <xdr:col>1</xdr:col>
                    <xdr:colOff>88900</xdr:colOff>
                    <xdr:row>15</xdr:row>
                    <xdr:rowOff>184150</xdr:rowOff>
                  </from>
                  <to>
                    <xdr:col>2</xdr:col>
                    <xdr:colOff>869950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2" r:id="rId12" name="Check Box 4002">
              <controlPr defaultSize="0" autoFill="0" autoLine="0" autoPict="0">
                <anchor moveWithCells="1">
                  <from>
                    <xdr:col>1</xdr:col>
                    <xdr:colOff>101600</xdr:colOff>
                    <xdr:row>17</xdr:row>
                    <xdr:rowOff>203200</xdr:rowOff>
                  </from>
                  <to>
                    <xdr:col>2</xdr:col>
                    <xdr:colOff>882650</xdr:colOff>
                    <xdr:row>19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4" r:id="rId13" name="Check Box 4004">
              <controlPr defaultSize="0" autoFill="0" autoLine="0" autoPict="0">
                <anchor moveWithCells="1">
                  <from>
                    <xdr:col>1</xdr:col>
                    <xdr:colOff>88900</xdr:colOff>
                    <xdr:row>20</xdr:row>
                    <xdr:rowOff>12700</xdr:rowOff>
                  </from>
                  <to>
                    <xdr:col>2</xdr:col>
                    <xdr:colOff>869950</xdr:colOff>
                    <xdr:row>21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6" r:id="rId14" name="Check Box 4006">
              <controlPr defaultSize="0" autoFill="0" autoLine="0" autoPict="0">
                <anchor moveWithCells="1">
                  <from>
                    <xdr:col>1</xdr:col>
                    <xdr:colOff>88900</xdr:colOff>
                    <xdr:row>22</xdr:row>
                    <xdr:rowOff>0</xdr:rowOff>
                  </from>
                  <to>
                    <xdr:col>2</xdr:col>
                    <xdr:colOff>863600</xdr:colOff>
                    <xdr:row>23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8" r:id="rId15" name="Check Box 4008">
              <controlPr defaultSize="0" autoFill="0" autoLine="0" autoPict="0">
                <anchor moveWithCells="1">
                  <from>
                    <xdr:col>1</xdr:col>
                    <xdr:colOff>101600</xdr:colOff>
                    <xdr:row>24</xdr:row>
                    <xdr:rowOff>0</xdr:rowOff>
                  </from>
                  <to>
                    <xdr:col>2</xdr:col>
                    <xdr:colOff>882650</xdr:colOff>
                    <xdr:row>25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A1:XFC63"/>
  <sheetViews>
    <sheetView showGridLines="0" showRowColHeaders="0" topLeftCell="B8" zoomScale="90" zoomScaleNormal="85" workbookViewId="0">
      <selection activeCell="E10" sqref="E10"/>
    </sheetView>
  </sheetViews>
  <sheetFormatPr baseColWidth="10" defaultColWidth="0" defaultRowHeight="12.5" zeroHeight="1" x14ac:dyDescent="0.25"/>
  <cols>
    <col min="1" max="1" width="2.81640625" style="443" hidden="1" customWidth="1"/>
    <col min="2" max="2" width="4.1796875" style="443" customWidth="1"/>
    <col min="3" max="4" width="11.453125" style="443" customWidth="1"/>
    <col min="5" max="5" width="21.453125" style="443" bestFit="1" customWidth="1"/>
    <col min="6" max="6" width="17.1796875" style="443" bestFit="1" customWidth="1"/>
    <col min="7" max="7" width="24.54296875" style="443" bestFit="1" customWidth="1"/>
    <col min="8" max="8" width="11.54296875" style="443" customWidth="1"/>
    <col min="9" max="9" width="11.453125" style="443" customWidth="1"/>
    <col min="10" max="10" width="12.81640625" style="443" customWidth="1"/>
    <col min="11" max="11" width="11.453125" style="443" hidden="1"/>
    <col min="12" max="12" width="12.453125" style="679" hidden="1"/>
    <col min="13" max="14" width="11.453125" style="443" hidden="1"/>
    <col min="15" max="15" width="2.1796875" style="680" hidden="1"/>
    <col min="16" max="16" width="15" style="680" hidden="1"/>
    <col min="17" max="17" width="2.1796875" style="680" hidden="1"/>
    <col min="18" max="18" width="11.81640625" style="680" hidden="1"/>
    <col min="19" max="19" width="2.1796875" style="680" hidden="1"/>
    <col min="20" max="20" width="18.54296875" style="680" hidden="1"/>
    <col min="21" max="21" width="2.1796875" style="680" hidden="1"/>
    <col min="22" max="22" width="15" style="680" hidden="1"/>
    <col min="23" max="23" width="2.1796875" style="680" hidden="1"/>
    <col min="24" max="24" width="9.54296875" style="680" hidden="1"/>
    <col min="25" max="25" width="2.1796875" style="680" hidden="1"/>
    <col min="26" max="26" width="9.81640625" style="680" hidden="1"/>
    <col min="27" max="27" width="2.1796875" style="680" hidden="1"/>
    <col min="28" max="16383" width="0.1796875" style="443" hidden="1"/>
    <col min="16384" max="16384" width="7.81640625" style="443" hidden="1"/>
  </cols>
  <sheetData>
    <row r="1" spans="1:27" x14ac:dyDescent="0.25">
      <c r="A1" s="444"/>
      <c r="B1" s="663"/>
      <c r="C1" s="663"/>
      <c r="D1" s="663"/>
      <c r="E1" s="663"/>
      <c r="F1" s="663"/>
      <c r="G1" s="663"/>
      <c r="H1" s="663"/>
      <c r="I1" s="663"/>
      <c r="J1" s="663"/>
    </row>
    <row r="2" spans="1:27" ht="25" thickBot="1" x14ac:dyDescent="0.5">
      <c r="A2" s="444"/>
      <c r="B2" s="747" t="s">
        <v>275</v>
      </c>
      <c r="C2" s="747"/>
      <c r="D2" s="747"/>
      <c r="E2" s="747"/>
      <c r="F2" s="747"/>
      <c r="G2" s="747"/>
      <c r="H2" s="747"/>
      <c r="I2" s="747"/>
      <c r="J2" s="663"/>
    </row>
    <row r="3" spans="1:27" x14ac:dyDescent="0.25">
      <c r="A3" s="444"/>
      <c r="B3" s="663"/>
      <c r="C3" s="750"/>
      <c r="D3" s="750"/>
      <c r="E3" s="663"/>
      <c r="F3" s="663"/>
      <c r="G3" s="663"/>
      <c r="H3" s="663"/>
      <c r="I3" s="663"/>
      <c r="J3" s="663"/>
    </row>
    <row r="4" spans="1:27" x14ac:dyDescent="0.25">
      <c r="A4" s="444"/>
      <c r="B4" s="664"/>
      <c r="C4" s="665"/>
      <c r="D4" s="665"/>
      <c r="E4" s="665"/>
      <c r="F4" s="665"/>
      <c r="G4" s="665"/>
      <c r="H4" s="665"/>
      <c r="I4" s="666"/>
      <c r="J4" s="663"/>
    </row>
    <row r="5" spans="1:27" s="681" customFormat="1" ht="14" x14ac:dyDescent="0.3">
      <c r="A5" s="445"/>
      <c r="B5" s="744" t="s">
        <v>277</v>
      </c>
      <c r="C5" s="745"/>
      <c r="D5" s="746"/>
      <c r="E5" s="667"/>
      <c r="F5" s="668"/>
      <c r="G5" s="668"/>
      <c r="H5" s="668"/>
      <c r="I5" s="669"/>
      <c r="J5" s="668"/>
      <c r="O5" s="682"/>
      <c r="P5" s="682"/>
      <c r="Q5" s="682"/>
      <c r="R5" s="682"/>
      <c r="S5" s="682"/>
      <c r="T5" s="682"/>
      <c r="U5" s="682"/>
      <c r="V5" s="682"/>
      <c r="W5" s="682"/>
      <c r="X5" s="682"/>
      <c r="Y5" s="682"/>
      <c r="Z5" s="682"/>
      <c r="AA5" s="682"/>
    </row>
    <row r="6" spans="1:27" s="681" customFormat="1" ht="14.25" customHeight="1" x14ac:dyDescent="0.3">
      <c r="A6" s="445"/>
      <c r="B6" s="744" t="s">
        <v>278</v>
      </c>
      <c r="C6" s="745"/>
      <c r="D6" s="746"/>
      <c r="E6" s="670" t="str">
        <f>IF(LEFT(E5,1)="A",LEFT(E5,4),IF(LEFT(E5,1)="M",LEFT(E5,5),IF(LEFT(E5,1)="E",LEFT(E5,8),"")))</f>
        <v/>
      </c>
      <c r="F6" s="668"/>
      <c r="G6" s="668"/>
      <c r="H6" s="668"/>
      <c r="I6" s="669"/>
      <c r="J6" s="668"/>
      <c r="O6" s="682"/>
      <c r="P6" s="682"/>
      <c r="Q6" s="682"/>
      <c r="R6" s="682"/>
      <c r="S6" s="682"/>
      <c r="T6" s="682"/>
      <c r="U6" s="682"/>
      <c r="V6" s="682"/>
      <c r="W6" s="682"/>
      <c r="X6" s="682"/>
      <c r="Y6" s="682"/>
      <c r="Z6" s="682"/>
      <c r="AA6" s="682"/>
    </row>
    <row r="7" spans="1:27" s="681" customFormat="1" ht="14.25" customHeight="1" x14ac:dyDescent="0.3">
      <c r="A7" s="445"/>
      <c r="B7" s="744" t="s">
        <v>279</v>
      </c>
      <c r="C7" s="745"/>
      <c r="D7" s="746"/>
      <c r="E7" s="671" t="str">
        <f>IFERROR(MID(E5,SEARCH("-",E5)+3,7)*1,"")</f>
        <v/>
      </c>
      <c r="F7" s="668"/>
      <c r="G7" s="668"/>
      <c r="H7" s="668"/>
      <c r="I7" s="669"/>
      <c r="J7" s="668"/>
      <c r="O7" s="682"/>
      <c r="P7" s="682"/>
      <c r="Q7" s="682"/>
      <c r="R7" s="682"/>
      <c r="S7" s="682"/>
      <c r="T7" s="682"/>
      <c r="U7" s="682"/>
      <c r="V7" s="682"/>
      <c r="W7" s="682"/>
      <c r="X7" s="682"/>
      <c r="Y7" s="682"/>
      <c r="Z7" s="682"/>
      <c r="AA7" s="682"/>
    </row>
    <row r="8" spans="1:27" s="681" customFormat="1" ht="14" x14ac:dyDescent="0.3">
      <c r="A8" s="445"/>
      <c r="B8" s="744" t="s">
        <v>280</v>
      </c>
      <c r="C8" s="745"/>
      <c r="D8" s="746"/>
      <c r="E8" s="672"/>
      <c r="F8" s="668"/>
      <c r="G8" s="668"/>
      <c r="H8" s="668"/>
      <c r="I8" s="669"/>
      <c r="J8" s="668"/>
      <c r="O8" s="682"/>
      <c r="P8" s="682"/>
      <c r="Q8" s="682"/>
      <c r="R8" s="682"/>
      <c r="S8" s="682"/>
      <c r="T8" s="682"/>
      <c r="U8" s="682"/>
      <c r="V8" s="682"/>
      <c r="W8" s="682"/>
      <c r="X8" s="682"/>
      <c r="Y8" s="682"/>
      <c r="Z8" s="682"/>
      <c r="AA8" s="682"/>
    </row>
    <row r="9" spans="1:27" s="681" customFormat="1" ht="14" x14ac:dyDescent="0.3">
      <c r="A9" s="445"/>
      <c r="B9" s="744" t="s">
        <v>282</v>
      </c>
      <c r="C9" s="745"/>
      <c r="D9" s="746"/>
      <c r="E9" s="672"/>
      <c r="F9" s="668"/>
      <c r="G9" s="668"/>
      <c r="H9" s="668"/>
      <c r="I9" s="669"/>
      <c r="J9" s="668"/>
      <c r="O9" s="682"/>
      <c r="P9" s="682"/>
      <c r="Q9" s="682"/>
      <c r="R9" s="682"/>
      <c r="S9" s="682"/>
      <c r="T9" s="682"/>
      <c r="U9" s="682"/>
      <c r="V9" s="682"/>
      <c r="W9" s="682"/>
      <c r="X9" s="682"/>
      <c r="Y9" s="682"/>
      <c r="Z9" s="682"/>
      <c r="AA9" s="682"/>
    </row>
    <row r="10" spans="1:27" s="681" customFormat="1" ht="14" x14ac:dyDescent="0.3">
      <c r="A10" s="445"/>
      <c r="B10" s="744" t="s">
        <v>281</v>
      </c>
      <c r="C10" s="745"/>
      <c r="D10" s="746"/>
      <c r="E10" s="673"/>
      <c r="F10" s="668"/>
      <c r="G10" s="668"/>
      <c r="H10" s="668"/>
      <c r="I10" s="669"/>
      <c r="J10" s="668"/>
      <c r="O10" s="682"/>
      <c r="P10" s="682"/>
      <c r="Q10" s="682"/>
      <c r="R10" s="682"/>
      <c r="S10" s="682"/>
      <c r="T10" s="682"/>
      <c r="U10" s="682"/>
      <c r="V10" s="682"/>
      <c r="W10" s="682"/>
      <c r="X10" s="682"/>
      <c r="Y10" s="682"/>
      <c r="Z10" s="682"/>
      <c r="AA10" s="682"/>
    </row>
    <row r="11" spans="1:27" x14ac:dyDescent="0.25">
      <c r="A11" s="444"/>
      <c r="B11" s="674"/>
      <c r="C11" s="675"/>
      <c r="D11" s="675"/>
      <c r="E11" s="675"/>
      <c r="F11" s="675"/>
      <c r="G11" s="675"/>
      <c r="H11" s="675"/>
      <c r="I11" s="676"/>
      <c r="J11" s="663"/>
    </row>
    <row r="12" spans="1:27" x14ac:dyDescent="0.25">
      <c r="A12" s="444"/>
      <c r="B12" s="663"/>
      <c r="C12" s="663"/>
      <c r="D12" s="663"/>
      <c r="E12" s="663"/>
      <c r="F12" s="663"/>
      <c r="G12" s="663"/>
      <c r="H12" s="663"/>
      <c r="I12" s="663"/>
      <c r="J12" s="663"/>
    </row>
    <row r="13" spans="1:27" ht="25" thickBot="1" x14ac:dyDescent="0.5">
      <c r="A13" s="444"/>
      <c r="B13" s="747" t="s">
        <v>276</v>
      </c>
      <c r="C13" s="747"/>
      <c r="D13" s="747"/>
      <c r="E13" s="747"/>
      <c r="F13" s="747"/>
      <c r="G13" s="747"/>
      <c r="H13" s="747"/>
      <c r="I13" s="747"/>
      <c r="J13" s="663"/>
    </row>
    <row r="14" spans="1:27" x14ac:dyDescent="0.25">
      <c r="A14" s="444"/>
      <c r="B14" s="663"/>
      <c r="C14" s="663"/>
      <c r="D14" s="663"/>
      <c r="E14" s="663"/>
      <c r="F14" s="663"/>
      <c r="G14" s="663"/>
      <c r="H14" s="663"/>
      <c r="I14" s="663"/>
      <c r="J14" s="663"/>
    </row>
    <row r="15" spans="1:27" x14ac:dyDescent="0.25">
      <c r="A15" s="444"/>
      <c r="B15" s="664"/>
      <c r="C15" s="665"/>
      <c r="D15" s="665"/>
      <c r="E15" s="665"/>
      <c r="F15" s="665"/>
      <c r="G15" s="665"/>
      <c r="H15" s="665"/>
      <c r="I15" s="666"/>
      <c r="J15" s="663"/>
    </row>
    <row r="16" spans="1:27" ht="15" x14ac:dyDescent="0.3">
      <c r="A16" s="444"/>
      <c r="B16" s="748" t="s">
        <v>164</v>
      </c>
      <c r="C16" s="749"/>
      <c r="D16" s="749"/>
      <c r="E16" s="749"/>
      <c r="F16" s="663"/>
      <c r="G16" s="663"/>
      <c r="H16" s="663"/>
      <c r="I16" s="677"/>
      <c r="J16" s="663"/>
    </row>
    <row r="17" spans="1:26" x14ac:dyDescent="0.25">
      <c r="A17" s="444"/>
      <c r="B17" s="678"/>
      <c r="C17" s="663"/>
      <c r="D17" s="663"/>
      <c r="E17" s="663"/>
      <c r="F17" s="663"/>
      <c r="G17" s="663"/>
      <c r="H17" s="663"/>
      <c r="I17" s="677"/>
      <c r="J17" s="663"/>
    </row>
    <row r="18" spans="1:26" x14ac:dyDescent="0.25">
      <c r="A18" s="444"/>
      <c r="B18" s="678"/>
      <c r="C18" s="751" t="s">
        <v>272</v>
      </c>
      <c r="D18" s="751"/>
      <c r="E18" s="751"/>
      <c r="F18" s="751"/>
      <c r="G18" s="751" t="s">
        <v>274</v>
      </c>
      <c r="H18" s="751"/>
      <c r="I18" s="752"/>
      <c r="J18" s="663"/>
    </row>
    <row r="19" spans="1:26" x14ac:dyDescent="0.25">
      <c r="A19" s="444"/>
      <c r="B19" s="678"/>
      <c r="C19" s="663"/>
      <c r="D19" s="663"/>
      <c r="E19" s="663"/>
      <c r="F19" s="663"/>
      <c r="G19" s="663"/>
      <c r="H19" s="663"/>
      <c r="I19" s="677"/>
      <c r="J19" s="663"/>
    </row>
    <row r="20" spans="1:26" ht="13" x14ac:dyDescent="0.3">
      <c r="A20" s="444"/>
      <c r="B20" s="678"/>
      <c r="C20" s="751" t="s">
        <v>273</v>
      </c>
      <c r="D20" s="751"/>
      <c r="E20" s="751"/>
      <c r="F20" s="751"/>
      <c r="G20" s="751" t="s">
        <v>295</v>
      </c>
      <c r="H20" s="751"/>
      <c r="I20" s="752"/>
      <c r="J20" s="663"/>
      <c r="P20" s="683" t="s">
        <v>264</v>
      </c>
      <c r="R20" s="683" t="s">
        <v>268</v>
      </c>
      <c r="T20" s="683" t="s">
        <v>269</v>
      </c>
      <c r="V20" s="683" t="s">
        <v>265</v>
      </c>
      <c r="X20" s="683" t="s">
        <v>266</v>
      </c>
      <c r="Z20" s="683" t="s">
        <v>267</v>
      </c>
    </row>
    <row r="21" spans="1:26" x14ac:dyDescent="0.25">
      <c r="A21" s="444"/>
      <c r="B21" s="678"/>
      <c r="C21" s="663"/>
      <c r="D21" s="663"/>
      <c r="E21" s="663"/>
      <c r="F21" s="663"/>
      <c r="G21" s="663"/>
      <c r="H21" s="663"/>
      <c r="I21" s="677"/>
      <c r="J21" s="663"/>
      <c r="P21" s="684"/>
      <c r="R21" s="684"/>
      <c r="T21" s="685"/>
      <c r="V21" s="684"/>
      <c r="X21" s="684"/>
      <c r="Z21" s="684"/>
    </row>
    <row r="22" spans="1:26" x14ac:dyDescent="0.25">
      <c r="A22" s="444"/>
      <c r="B22" s="678"/>
      <c r="C22" s="663" t="s">
        <v>290</v>
      </c>
      <c r="D22" s="663"/>
      <c r="E22" s="663"/>
      <c r="F22" s="663"/>
      <c r="G22" s="663"/>
      <c r="H22" s="663"/>
      <c r="I22" s="677"/>
      <c r="J22" s="663"/>
      <c r="P22" s="684" t="s">
        <v>194</v>
      </c>
      <c r="R22" s="686">
        <v>30000</v>
      </c>
      <c r="S22" s="687"/>
      <c r="T22" s="684" t="str">
        <f>CONCATENATE($P$22," - ",TEXT(R22,"$###,##0"))</f>
        <v>ESTANDAR - $30,000</v>
      </c>
      <c r="V22" s="688">
        <v>500000</v>
      </c>
      <c r="W22" s="687"/>
      <c r="X22" s="688">
        <v>5000</v>
      </c>
      <c r="Y22" s="687"/>
      <c r="Z22" s="689">
        <v>0.1</v>
      </c>
    </row>
    <row r="23" spans="1:26" ht="15" x14ac:dyDescent="0.3">
      <c r="A23" s="444"/>
      <c r="B23" s="748" t="s">
        <v>271</v>
      </c>
      <c r="C23" s="749"/>
      <c r="D23" s="749"/>
      <c r="E23" s="749"/>
      <c r="F23" s="663"/>
      <c r="G23" s="663"/>
      <c r="H23" s="663"/>
      <c r="I23" s="677"/>
      <c r="J23" s="663"/>
      <c r="P23" s="684" t="s">
        <v>193</v>
      </c>
      <c r="R23" s="688">
        <v>35000</v>
      </c>
      <c r="S23" s="687"/>
      <c r="T23" s="684" t="str">
        <f>CONCATENATE($P$22," - ",TEXT(R23,"$###,##0"))</f>
        <v>ESTANDAR - $35,000</v>
      </c>
      <c r="V23" s="688">
        <v>1000000</v>
      </c>
      <c r="W23" s="687"/>
      <c r="X23" s="688">
        <v>6000</v>
      </c>
      <c r="Y23" s="687"/>
      <c r="Z23" s="689">
        <v>0.15</v>
      </c>
    </row>
    <row r="24" spans="1:26" x14ac:dyDescent="0.25">
      <c r="A24" s="444"/>
      <c r="B24" s="678"/>
      <c r="C24" s="663"/>
      <c r="D24" s="663"/>
      <c r="E24" s="663"/>
      <c r="F24" s="663"/>
      <c r="G24" s="663"/>
      <c r="H24" s="663"/>
      <c r="I24" s="677"/>
      <c r="J24" s="663"/>
      <c r="P24" s="690" t="s">
        <v>192</v>
      </c>
      <c r="R24" s="688">
        <v>40000</v>
      </c>
      <c r="S24" s="687"/>
      <c r="T24" s="685" t="str">
        <f>CONCATENATE($P$22," - ",TEXT(R24,"$###,##0"))</f>
        <v>ESTANDAR - $40,000</v>
      </c>
      <c r="V24" s="688">
        <v>2000000</v>
      </c>
      <c r="W24" s="687"/>
      <c r="X24" s="688">
        <v>8000</v>
      </c>
      <c r="Y24" s="687"/>
      <c r="Z24" s="689">
        <v>0.2</v>
      </c>
    </row>
    <row r="25" spans="1:26" x14ac:dyDescent="0.25">
      <c r="A25" s="444"/>
      <c r="B25" s="678"/>
      <c r="C25" s="751" t="s">
        <v>119</v>
      </c>
      <c r="D25" s="751"/>
      <c r="E25" s="751"/>
      <c r="F25" s="751"/>
      <c r="G25" s="663"/>
      <c r="H25" s="663"/>
      <c r="I25" s="677"/>
      <c r="J25" s="663"/>
      <c r="L25" s="691" t="b">
        <v>0</v>
      </c>
      <c r="R25" s="688">
        <v>45000</v>
      </c>
      <c r="S25" s="687"/>
      <c r="T25" s="684" t="str">
        <f>CONCATENATE($P$22," - ",TEXT(R26,"$###,##0"))</f>
        <v>ESTANDAR - $50,000</v>
      </c>
      <c r="V25" s="688">
        <v>3000000</v>
      </c>
      <c r="W25" s="687"/>
      <c r="X25" s="688">
        <v>10000</v>
      </c>
      <c r="Y25" s="687"/>
      <c r="Z25" s="692">
        <v>0.25</v>
      </c>
    </row>
    <row r="26" spans="1:26" x14ac:dyDescent="0.25">
      <c r="A26" s="444"/>
      <c r="B26" s="678"/>
      <c r="C26" s="751" t="s">
        <v>287</v>
      </c>
      <c r="D26" s="751"/>
      <c r="E26" s="751"/>
      <c r="F26" s="751"/>
      <c r="G26" s="751"/>
      <c r="H26" s="663"/>
      <c r="I26" s="677"/>
      <c r="J26" s="663"/>
      <c r="L26" s="691" t="b">
        <v>0</v>
      </c>
      <c r="R26" s="688">
        <v>50000</v>
      </c>
      <c r="S26" s="687"/>
      <c r="T26" s="684" t="str">
        <f>CONCATENATE($P$22," - ",TEXT(R27,"$###,##0"))</f>
        <v>ESTANDAR - $60,000</v>
      </c>
      <c r="V26" s="688">
        <v>5000000</v>
      </c>
      <c r="W26" s="687"/>
      <c r="X26" s="688">
        <v>15000</v>
      </c>
      <c r="Y26" s="687"/>
    </row>
    <row r="27" spans="1:26" x14ac:dyDescent="0.25">
      <c r="A27" s="444"/>
      <c r="B27" s="678"/>
      <c r="C27" s="751" t="s">
        <v>147</v>
      </c>
      <c r="D27" s="751"/>
      <c r="E27" s="751"/>
      <c r="F27" s="751"/>
      <c r="G27" s="663"/>
      <c r="H27" s="663"/>
      <c r="I27" s="677"/>
      <c r="J27" s="663"/>
      <c r="L27" s="691" t="b">
        <v>0</v>
      </c>
      <c r="R27" s="688">
        <v>60000</v>
      </c>
      <c r="S27" s="687"/>
      <c r="T27" s="684" t="str">
        <f>CONCATENATE($P$23," - ",TEXT(R23,"$###,##0"))</f>
        <v>MEDIO - $35,000</v>
      </c>
      <c r="V27" s="688">
        <v>10000000</v>
      </c>
      <c r="W27" s="687"/>
      <c r="X27" s="688">
        <v>20000</v>
      </c>
      <c r="Y27" s="687"/>
    </row>
    <row r="28" spans="1:26" x14ac:dyDescent="0.25">
      <c r="A28" s="444"/>
      <c r="B28" s="678"/>
      <c r="C28" s="751" t="s">
        <v>195</v>
      </c>
      <c r="D28" s="751"/>
      <c r="E28" s="751"/>
      <c r="F28" s="751"/>
      <c r="G28" s="663"/>
      <c r="H28" s="663"/>
      <c r="I28" s="677"/>
      <c r="J28" s="663"/>
      <c r="L28" s="691" t="b">
        <v>0</v>
      </c>
      <c r="R28" s="688">
        <v>70000</v>
      </c>
      <c r="S28" s="687"/>
      <c r="T28" s="684" t="str">
        <f>CONCATENATE($P$23," - ",TEXT(R24,"$###,##0"))</f>
        <v>MEDIO - $40,000</v>
      </c>
      <c r="V28" s="688">
        <v>20000000</v>
      </c>
      <c r="W28" s="687"/>
      <c r="X28" s="688">
        <v>22000</v>
      </c>
      <c r="Y28" s="687"/>
    </row>
    <row r="29" spans="1:26" x14ac:dyDescent="0.25">
      <c r="A29" s="444"/>
      <c r="B29" s="678"/>
      <c r="C29" s="751" t="s">
        <v>189</v>
      </c>
      <c r="D29" s="751"/>
      <c r="E29" s="751"/>
      <c r="F29" s="751"/>
      <c r="G29" s="663"/>
      <c r="H29" s="663"/>
      <c r="I29" s="677"/>
      <c r="J29" s="663"/>
      <c r="L29" s="691" t="b">
        <v>0</v>
      </c>
      <c r="R29" s="688">
        <v>80000</v>
      </c>
      <c r="T29" s="684" t="str">
        <f>CONCATENATE($P$23," - ",TEXT(R26,"$###,##0"))</f>
        <v>MEDIO - $50,000</v>
      </c>
      <c r="V29" s="688">
        <v>30000000</v>
      </c>
      <c r="W29" s="687"/>
      <c r="X29" s="688">
        <v>25000</v>
      </c>
      <c r="Y29" s="687"/>
    </row>
    <row r="30" spans="1:26" x14ac:dyDescent="0.25">
      <c r="A30" s="444"/>
      <c r="B30" s="678"/>
      <c r="C30" s="751" t="s">
        <v>216</v>
      </c>
      <c r="D30" s="751"/>
      <c r="E30" s="751"/>
      <c r="F30" s="751"/>
      <c r="G30" s="663"/>
      <c r="H30" s="663"/>
      <c r="I30" s="677"/>
      <c r="J30" s="663"/>
      <c r="L30" s="691" t="b">
        <v>0</v>
      </c>
      <c r="R30" s="684">
        <v>90000</v>
      </c>
      <c r="T30" s="684" t="str">
        <f>CONCATENATE($P$23," - ",TEXT(R27,"$###,##0"))</f>
        <v>MEDIO - $60,000</v>
      </c>
      <c r="V30" s="688">
        <v>35000000</v>
      </c>
      <c r="W30" s="687"/>
      <c r="X30" s="688">
        <v>30000</v>
      </c>
      <c r="Y30" s="687"/>
    </row>
    <row r="31" spans="1:26" x14ac:dyDescent="0.25">
      <c r="A31" s="444"/>
      <c r="B31" s="678"/>
      <c r="C31" s="751" t="s">
        <v>244</v>
      </c>
      <c r="D31" s="751"/>
      <c r="E31" s="751"/>
      <c r="F31" s="751"/>
      <c r="G31" s="663"/>
      <c r="H31" s="663"/>
      <c r="I31" s="677"/>
      <c r="J31" s="663"/>
      <c r="L31" s="691" t="b">
        <v>0</v>
      </c>
      <c r="R31" s="684">
        <v>100000</v>
      </c>
      <c r="T31" s="684" t="str">
        <f>CONCATENATE($P$23," - ",TEXT(R28,"$###,##0"))</f>
        <v>MEDIO - $70,000</v>
      </c>
      <c r="V31" s="688">
        <v>45000000</v>
      </c>
      <c r="W31" s="687"/>
      <c r="X31" s="688">
        <v>35000</v>
      </c>
      <c r="Y31" s="687"/>
    </row>
    <row r="32" spans="1:26" x14ac:dyDescent="0.25">
      <c r="A32" s="444"/>
      <c r="B32" s="678"/>
      <c r="C32" s="751" t="s">
        <v>270</v>
      </c>
      <c r="D32" s="751"/>
      <c r="E32" s="751"/>
      <c r="F32" s="751"/>
      <c r="G32" s="663"/>
      <c r="H32" s="663"/>
      <c r="I32" s="677"/>
      <c r="J32" s="663"/>
      <c r="L32" s="691" t="b">
        <v>0</v>
      </c>
      <c r="R32" s="683">
        <v>110000</v>
      </c>
      <c r="T32" s="684" t="str">
        <f>CONCATENATE($P$23," - ",TEXT(R29,"$###,##0"))</f>
        <v>MEDIO - $80,000</v>
      </c>
      <c r="V32" s="688">
        <v>50000000</v>
      </c>
      <c r="W32" s="687"/>
      <c r="X32" s="688">
        <v>40000</v>
      </c>
      <c r="Y32" s="687"/>
    </row>
    <row r="33" spans="1:25" x14ac:dyDescent="0.25">
      <c r="A33" s="444"/>
      <c r="B33" s="678"/>
      <c r="C33" s="751" t="s">
        <v>261</v>
      </c>
      <c r="D33" s="751"/>
      <c r="E33" s="751"/>
      <c r="F33" s="751"/>
      <c r="G33" s="663"/>
      <c r="H33" s="663"/>
      <c r="I33" s="677"/>
      <c r="J33" s="663"/>
      <c r="L33" s="691" t="b">
        <v>0</v>
      </c>
      <c r="P33" s="693"/>
      <c r="T33" s="684" t="str">
        <f>CONCATENATE($P$24," - ",TEXT(R26,"$###,##0"))</f>
        <v>ALTO - $50,000</v>
      </c>
      <c r="V33" s="694">
        <v>75000000</v>
      </c>
      <c r="W33" s="687"/>
      <c r="X33" s="688">
        <v>45000</v>
      </c>
      <c r="Y33" s="687"/>
    </row>
    <row r="34" spans="1:25" x14ac:dyDescent="0.25">
      <c r="A34" s="444"/>
      <c r="B34" s="674"/>
      <c r="C34" s="675"/>
      <c r="D34" s="675"/>
      <c r="E34" s="675"/>
      <c r="F34" s="675"/>
      <c r="G34" s="675"/>
      <c r="H34" s="675"/>
      <c r="I34" s="676"/>
      <c r="J34" s="663"/>
      <c r="P34" s="693"/>
      <c r="T34" s="684" t="str">
        <f>CONCATENATE($P$24," - ",TEXT(R24,"$###,##0"))</f>
        <v>ALTO - $40,000</v>
      </c>
      <c r="V34" s="695">
        <v>100000000</v>
      </c>
      <c r="W34" s="687"/>
      <c r="X34" s="688">
        <v>50000</v>
      </c>
      <c r="Y34" s="687"/>
    </row>
    <row r="35" spans="1:25" x14ac:dyDescent="0.25">
      <c r="A35" s="444"/>
      <c r="B35" s="663"/>
      <c r="C35" s="663"/>
      <c r="D35" s="663"/>
      <c r="E35" s="663"/>
      <c r="F35" s="663"/>
      <c r="G35" s="663"/>
      <c r="H35" s="663"/>
      <c r="I35" s="663"/>
      <c r="J35" s="663"/>
      <c r="P35" s="693"/>
      <c r="T35" s="684" t="str">
        <f>CONCATENATE($P$24," - ",TEXT(R25,"$###,##0"))</f>
        <v>ALTO - $45,000</v>
      </c>
      <c r="V35" s="687"/>
      <c r="W35" s="687"/>
      <c r="X35" s="688">
        <v>100000</v>
      </c>
      <c r="Y35" s="687"/>
    </row>
    <row r="36" spans="1:25" hidden="1" x14ac:dyDescent="0.25">
      <c r="P36" s="693"/>
      <c r="T36" s="684" t="str">
        <f>CONCATENATE($P$24," - ",TEXT(R27,"$###,##0"))</f>
        <v>ALTO - $60,000</v>
      </c>
      <c r="V36" s="687"/>
      <c r="W36" s="687"/>
      <c r="X36" s="688">
        <v>250000</v>
      </c>
      <c r="Y36" s="687"/>
    </row>
    <row r="37" spans="1:25" hidden="1" x14ac:dyDescent="0.25">
      <c r="P37" s="693"/>
      <c r="T37" s="684" t="str">
        <f>CONCATENATE($P$24," - ",TEXT(R28,"$###,##0"))</f>
        <v>ALTO - $70,000</v>
      </c>
      <c r="V37" s="687"/>
      <c r="W37" s="687"/>
      <c r="X37" s="688">
        <v>500000</v>
      </c>
      <c r="Y37" s="687"/>
    </row>
    <row r="38" spans="1:25" hidden="1" x14ac:dyDescent="0.25">
      <c r="P38" s="693"/>
      <c r="T38" s="684" t="str">
        <f>CONCATENATE($P$24," - ",TEXT(R30,"$###,##0"))</f>
        <v>ALTO - $90,000</v>
      </c>
      <c r="V38" s="687"/>
      <c r="W38" s="687"/>
      <c r="X38" s="688">
        <v>1000000</v>
      </c>
      <c r="Y38" s="687"/>
    </row>
    <row r="39" spans="1:25" hidden="1" x14ac:dyDescent="0.25">
      <c r="P39" s="693"/>
      <c r="T39" s="684" t="str">
        <f>CONCATENATE($P$24," - ",TEXT(R31,"$###,##0"))</f>
        <v>ALTO - $100,000</v>
      </c>
      <c r="V39" s="687"/>
      <c r="W39" s="687"/>
      <c r="X39" s="694">
        <v>1500000</v>
      </c>
      <c r="Y39" s="687"/>
    </row>
    <row r="40" spans="1:25" hidden="1" x14ac:dyDescent="0.25">
      <c r="P40" s="693"/>
      <c r="T40" s="690" t="str">
        <f>CONCATENATE($P$24," - ",TEXT(R32,"$###,##0"))</f>
        <v>ALTO - $110,000</v>
      </c>
      <c r="V40" s="687"/>
      <c r="W40" s="687"/>
      <c r="X40" s="694">
        <v>5000000</v>
      </c>
      <c r="Y40" s="687"/>
    </row>
    <row r="41" spans="1:25" hidden="1" x14ac:dyDescent="0.25">
      <c r="L41" s="679" t="str">
        <f>CONCATENATE($P$22," - ",TEXT(R27,"$###,##0"))</f>
        <v>ESTANDAR - $60,000</v>
      </c>
      <c r="V41" s="687"/>
      <c r="W41" s="687"/>
      <c r="X41" s="687"/>
      <c r="Y41" s="687"/>
    </row>
    <row r="42" spans="1:25" hidden="1" x14ac:dyDescent="0.25">
      <c r="L42" s="679" t="str">
        <f>CONCATENATE($P$24," - ",TEXT(R27,"$###,##0"))</f>
        <v>ALTO - $60,000</v>
      </c>
      <c r="V42" s="687"/>
      <c r="W42" s="687"/>
      <c r="X42" s="687"/>
      <c r="Y42" s="687"/>
    </row>
    <row r="43" spans="1:25" hidden="1" x14ac:dyDescent="0.25">
      <c r="R43" s="680" t="s">
        <v>297</v>
      </c>
      <c r="V43" s="687"/>
      <c r="W43" s="687"/>
      <c r="X43" s="687"/>
      <c r="Y43" s="687"/>
    </row>
    <row r="44" spans="1:25" hidden="1" x14ac:dyDescent="0.25">
      <c r="R44" s="680" t="str">
        <f>T25</f>
        <v>ESTANDAR - $50,000</v>
      </c>
      <c r="V44" s="687"/>
      <c r="W44" s="687"/>
      <c r="X44" s="687"/>
      <c r="Y44" s="687"/>
    </row>
    <row r="45" spans="1:25" hidden="1" x14ac:dyDescent="0.25">
      <c r="R45" s="680" t="str">
        <f>L41</f>
        <v>ESTANDAR - $60,000</v>
      </c>
      <c r="V45" s="687"/>
      <c r="W45" s="687"/>
      <c r="X45" s="687"/>
      <c r="Y45" s="687"/>
    </row>
    <row r="46" spans="1:25" hidden="1" x14ac:dyDescent="0.25">
      <c r="R46" s="680" t="str">
        <f>T29</f>
        <v>MEDIO - $50,000</v>
      </c>
      <c r="V46" s="687"/>
      <c r="W46" s="687"/>
      <c r="X46" s="687"/>
      <c r="Y46" s="687"/>
    </row>
    <row r="47" spans="1:25" hidden="1" x14ac:dyDescent="0.25">
      <c r="R47" s="680" t="str">
        <f>T30</f>
        <v>MEDIO - $60,000</v>
      </c>
      <c r="V47" s="687"/>
      <c r="W47" s="687"/>
      <c r="X47" s="687"/>
      <c r="Y47" s="687"/>
    </row>
    <row r="48" spans="1:25" hidden="1" x14ac:dyDescent="0.25">
      <c r="R48" s="680" t="str">
        <f>T31</f>
        <v>MEDIO - $70,000</v>
      </c>
      <c r="V48" s="687"/>
      <c r="W48" s="687"/>
      <c r="X48" s="687"/>
      <c r="Y48" s="687"/>
    </row>
    <row r="49" spans="18:25" hidden="1" x14ac:dyDescent="0.25">
      <c r="R49" s="680" t="str">
        <f>T32</f>
        <v>MEDIO - $80,000</v>
      </c>
      <c r="V49" s="687"/>
      <c r="W49" s="687"/>
      <c r="X49" s="687"/>
      <c r="Y49" s="687"/>
    </row>
    <row r="50" spans="18:25" hidden="1" x14ac:dyDescent="0.25">
      <c r="R50" s="680" t="str">
        <f>L42</f>
        <v>ALTO - $60,000</v>
      </c>
      <c r="V50" s="687"/>
      <c r="W50" s="687"/>
      <c r="X50" s="687"/>
      <c r="Y50" s="687"/>
    </row>
    <row r="51" spans="18:25" hidden="1" x14ac:dyDescent="0.25">
      <c r="R51" s="680" t="str">
        <f>T37</f>
        <v>ALTO - $70,000</v>
      </c>
      <c r="V51" s="687"/>
      <c r="W51" s="687"/>
      <c r="X51" s="687"/>
      <c r="Y51" s="687"/>
    </row>
    <row r="52" spans="18:25" hidden="1" x14ac:dyDescent="0.25">
      <c r="R52" s="680" t="str">
        <f>T38</f>
        <v>ALTO - $90,000</v>
      </c>
      <c r="V52" s="687"/>
      <c r="W52" s="687"/>
      <c r="X52" s="687"/>
      <c r="Y52" s="687"/>
    </row>
    <row r="53" spans="18:25" hidden="1" x14ac:dyDescent="0.25">
      <c r="R53" s="680" t="str">
        <f>T39</f>
        <v>ALTO - $100,000</v>
      </c>
      <c r="V53" s="687"/>
      <c r="W53" s="687"/>
      <c r="X53" s="687"/>
      <c r="Y53" s="687"/>
    </row>
    <row r="54" spans="18:25" hidden="1" x14ac:dyDescent="0.25">
      <c r="R54" s="680" t="str">
        <f>T40</f>
        <v>ALTO - $110,000</v>
      </c>
      <c r="V54" s="687"/>
      <c r="W54" s="687"/>
      <c r="X54" s="687"/>
      <c r="Y54" s="687"/>
    </row>
    <row r="55" spans="18:25" hidden="1" x14ac:dyDescent="0.25">
      <c r="V55" s="687"/>
      <c r="W55" s="687"/>
      <c r="X55" s="687"/>
      <c r="Y55" s="687"/>
    </row>
    <row r="56" spans="18:25" hidden="1" x14ac:dyDescent="0.25">
      <c r="V56" s="687"/>
      <c r="W56" s="687"/>
      <c r="X56" s="687"/>
      <c r="Y56" s="687"/>
    </row>
    <row r="57" spans="18:25" hidden="1" x14ac:dyDescent="0.25">
      <c r="V57" s="687"/>
      <c r="W57" s="687"/>
      <c r="X57" s="687"/>
      <c r="Y57" s="687"/>
    </row>
    <row r="58" spans="18:25" hidden="1" x14ac:dyDescent="0.25">
      <c r="V58" s="687"/>
      <c r="W58" s="687"/>
      <c r="X58" s="687"/>
      <c r="Y58" s="687"/>
    </row>
    <row r="59" spans="18:25" hidden="1" x14ac:dyDescent="0.25">
      <c r="V59" s="687"/>
      <c r="W59" s="687"/>
      <c r="X59" s="687"/>
      <c r="Y59" s="687"/>
    </row>
    <row r="60" spans="18:25" hidden="1" x14ac:dyDescent="0.25">
      <c r="V60" s="687"/>
      <c r="W60" s="687"/>
      <c r="X60" s="687"/>
      <c r="Y60" s="687"/>
    </row>
    <row r="61" spans="18:25" hidden="1" x14ac:dyDescent="0.25">
      <c r="V61" s="687"/>
      <c r="W61" s="687"/>
      <c r="X61" s="687"/>
      <c r="Y61" s="687"/>
    </row>
    <row r="62" spans="18:25" hidden="1" x14ac:dyDescent="0.25">
      <c r="V62" s="687"/>
      <c r="W62" s="687"/>
      <c r="X62" s="687"/>
      <c r="Y62" s="687"/>
    </row>
    <row r="63" spans="18:25" hidden="1" x14ac:dyDescent="0.25">
      <c r="V63" s="687"/>
      <c r="W63" s="687"/>
      <c r="X63" s="687"/>
      <c r="Y63" s="687"/>
    </row>
  </sheetData>
  <sheetProtection algorithmName="SHA-512" hashValue="6zWIghiFwcj/xtftUfibEmdlwgbG44Z2LopvSs5s1dYejybF34iMSDJfUYtggphLuNtBIjNcXAQIQJK8/sqrrQ==" saltValue="VogxJHWnk1AJ8siiipKxfQ==" spinCount="100000" sheet="1" selectLockedCells="1"/>
  <mergeCells count="24">
    <mergeCell ref="C33:F33"/>
    <mergeCell ref="C20:F20"/>
    <mergeCell ref="G20:I20"/>
    <mergeCell ref="G18:I18"/>
    <mergeCell ref="C25:F25"/>
    <mergeCell ref="B23:E23"/>
    <mergeCell ref="C32:F32"/>
    <mergeCell ref="C26:G26"/>
    <mergeCell ref="C18:F18"/>
    <mergeCell ref="C27:F27"/>
    <mergeCell ref="C28:F28"/>
    <mergeCell ref="C29:F29"/>
    <mergeCell ref="C30:F30"/>
    <mergeCell ref="C31:F31"/>
    <mergeCell ref="C3:D3"/>
    <mergeCell ref="B2:I2"/>
    <mergeCell ref="B5:D5"/>
    <mergeCell ref="B6:D6"/>
    <mergeCell ref="B7:D7"/>
    <mergeCell ref="B8:D8"/>
    <mergeCell ref="B9:D9"/>
    <mergeCell ref="B10:D10"/>
    <mergeCell ref="B13:I13"/>
    <mergeCell ref="B16:E16"/>
  </mergeCells>
  <dataValidations count="3">
    <dataValidation type="list" allowBlank="1" showInputMessage="1" showErrorMessage="1" sqref="E8">
      <formula1>$V$22:$V$34</formula1>
    </dataValidation>
    <dataValidation type="list" allowBlank="1" showInputMessage="1" showErrorMessage="1" sqref="E10">
      <formula1>$Z$22:$Z$25</formula1>
    </dataValidation>
    <dataValidation type="list" allowBlank="1" showInputMessage="1" showErrorMessage="1" sqref="E9">
      <formula1>$X$22:$X$40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12" r:id="rId4" name="Check Box 12">
              <controlPr defaultSize="0" autoFill="0" autoLine="0" autoPict="0">
                <anchor moveWithCells="1">
                  <from>
                    <xdr:col>1</xdr:col>
                    <xdr:colOff>63500</xdr:colOff>
                    <xdr:row>23</xdr:row>
                    <xdr:rowOff>146050</xdr:rowOff>
                  </from>
                  <to>
                    <xdr:col>5</xdr:col>
                    <xdr:colOff>419100</xdr:colOff>
                    <xdr:row>25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3" r:id="rId5" name="Check Box 13">
              <controlPr defaultSize="0" autoFill="0" autoLine="0" autoPict="0">
                <anchor moveWithCells="1">
                  <from>
                    <xdr:col>1</xdr:col>
                    <xdr:colOff>63500</xdr:colOff>
                    <xdr:row>24</xdr:row>
                    <xdr:rowOff>146050</xdr:rowOff>
                  </from>
                  <to>
                    <xdr:col>5</xdr:col>
                    <xdr:colOff>419100</xdr:colOff>
                    <xdr:row>26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4" r:id="rId6" name="Check Box 14">
              <controlPr defaultSize="0" autoFill="0" autoLine="0" autoPict="0">
                <anchor moveWithCells="1">
                  <from>
                    <xdr:col>1</xdr:col>
                    <xdr:colOff>63500</xdr:colOff>
                    <xdr:row>25</xdr:row>
                    <xdr:rowOff>146050</xdr:rowOff>
                  </from>
                  <to>
                    <xdr:col>5</xdr:col>
                    <xdr:colOff>419100</xdr:colOff>
                    <xdr:row>27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5" r:id="rId7" name="Check Box 15">
              <controlPr defaultSize="0" autoFill="0" autoLine="0" autoPict="0">
                <anchor moveWithCells="1">
                  <from>
                    <xdr:col>1</xdr:col>
                    <xdr:colOff>63500</xdr:colOff>
                    <xdr:row>26</xdr:row>
                    <xdr:rowOff>146050</xdr:rowOff>
                  </from>
                  <to>
                    <xdr:col>5</xdr:col>
                    <xdr:colOff>419100</xdr:colOff>
                    <xdr:row>28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6" r:id="rId8" name="Check Box 16">
              <controlPr defaultSize="0" autoFill="0" autoLine="0" autoPict="0" macro="[0]!Macro1">
                <anchor moveWithCells="1">
                  <from>
                    <xdr:col>1</xdr:col>
                    <xdr:colOff>63500</xdr:colOff>
                    <xdr:row>27</xdr:row>
                    <xdr:rowOff>146050</xdr:rowOff>
                  </from>
                  <to>
                    <xdr:col>5</xdr:col>
                    <xdr:colOff>419100</xdr:colOff>
                    <xdr:row>29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7" r:id="rId9" name="Check Box 17">
              <controlPr defaultSize="0" autoFill="0" autoLine="0" autoPict="0">
                <anchor moveWithCells="1">
                  <from>
                    <xdr:col>1</xdr:col>
                    <xdr:colOff>63500</xdr:colOff>
                    <xdr:row>28</xdr:row>
                    <xdr:rowOff>146050</xdr:rowOff>
                  </from>
                  <to>
                    <xdr:col>5</xdr:col>
                    <xdr:colOff>419100</xdr:colOff>
                    <xdr:row>30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8" r:id="rId10" name="Check Box 18">
              <controlPr defaultSize="0" autoFill="0" autoLine="0" autoPict="0" macro="[0]!Macro2">
                <anchor moveWithCells="1">
                  <from>
                    <xdr:col>1</xdr:col>
                    <xdr:colOff>63500</xdr:colOff>
                    <xdr:row>29</xdr:row>
                    <xdr:rowOff>146050</xdr:rowOff>
                  </from>
                  <to>
                    <xdr:col>5</xdr:col>
                    <xdr:colOff>419100</xdr:colOff>
                    <xdr:row>31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9" r:id="rId11" name="Check Box 19">
              <controlPr defaultSize="0" autoFill="0" autoLine="0" autoPict="0">
                <anchor moveWithCells="1">
                  <from>
                    <xdr:col>1</xdr:col>
                    <xdr:colOff>63500</xdr:colOff>
                    <xdr:row>30</xdr:row>
                    <xdr:rowOff>146050</xdr:rowOff>
                  </from>
                  <to>
                    <xdr:col>5</xdr:col>
                    <xdr:colOff>419100</xdr:colOff>
                    <xdr:row>32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0" r:id="rId12" name="Check Box 20">
              <controlPr defaultSize="0" autoFill="0" autoLine="0" autoPict="0">
                <anchor moveWithCells="1">
                  <from>
                    <xdr:col>1</xdr:col>
                    <xdr:colOff>63500</xdr:colOff>
                    <xdr:row>31</xdr:row>
                    <xdr:rowOff>146050</xdr:rowOff>
                  </from>
                  <to>
                    <xdr:col>5</xdr:col>
                    <xdr:colOff>419100</xdr:colOff>
                    <xdr:row>33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2" r:id="rId13" name="Button 22">
              <controlPr defaultSize="0" print="0" autoFill="0" autoPict="0" macro="[0]!Hoja4.Validador">
                <anchor moveWithCells="1" sizeWithCells="1">
                  <from>
                    <xdr:col>6</xdr:col>
                    <xdr:colOff>1460500</xdr:colOff>
                    <xdr:row>29</xdr:row>
                    <xdr:rowOff>127000</xdr:rowOff>
                  </from>
                  <to>
                    <xdr:col>8</xdr:col>
                    <xdr:colOff>641350</xdr:colOff>
                    <xdr:row>33</xdr:row>
                    <xdr:rowOff>12700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IF(Cotizador!$K$11="NO",$R$44:$R$54,$T$22:$T$40)</xm:f>
          </x14:formula1>
          <xm:sqref>E5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pageSetUpPr autoPageBreaks="0"/>
  </sheetPr>
  <dimension ref="A1:IU117"/>
  <sheetViews>
    <sheetView showGridLines="0" showRowColHeaders="0" topLeftCell="A32" zoomScale="85" zoomScaleNormal="85" zoomScaleSheetLayoutView="70" zoomScalePageLayoutView="80" workbookViewId="0">
      <selection activeCell="E54" sqref="E54"/>
    </sheetView>
  </sheetViews>
  <sheetFormatPr baseColWidth="10" defaultColWidth="0" defaultRowHeight="14.5" zeroHeight="1" x14ac:dyDescent="0.35"/>
  <cols>
    <col min="1" max="1" width="1.81640625" customWidth="1"/>
    <col min="2" max="2" width="5.54296875" customWidth="1"/>
    <col min="3" max="3" width="10.54296875" customWidth="1"/>
    <col min="4" max="4" width="17.81640625" customWidth="1"/>
    <col min="5" max="5" width="24" customWidth="1"/>
    <col min="6" max="6" width="1.54296875" customWidth="1"/>
    <col min="7" max="7" width="7" customWidth="1"/>
    <col min="8" max="8" width="0.81640625" customWidth="1"/>
    <col min="9" max="9" width="10.1796875" customWidth="1"/>
    <col min="10" max="10" width="1.1796875" customWidth="1"/>
    <col min="11" max="11" width="9.1796875" customWidth="1"/>
    <col min="12" max="12" width="1.1796875" customWidth="1"/>
    <col min="13" max="13" width="17.1796875" customWidth="1"/>
    <col min="14" max="14" width="13.08984375" customWidth="1"/>
    <col min="15" max="15" width="20.453125" customWidth="1"/>
    <col min="16" max="16" width="3" customWidth="1"/>
    <col min="17" max="17" width="14" hidden="1" customWidth="1"/>
    <col min="18" max="18" width="10" hidden="1" customWidth="1"/>
    <col min="19" max="21" width="13.54296875" hidden="1" customWidth="1"/>
    <col min="22" max="22" width="3.1796875" hidden="1" customWidth="1"/>
    <col min="23" max="25" width="15.1796875" hidden="1" customWidth="1"/>
    <col min="26" max="255" width="11.453125" hidden="1" customWidth="1"/>
    <col min="256" max="16384" width="11.81640625" hidden="1"/>
  </cols>
  <sheetData>
    <row r="1" spans="1:25" ht="1.5" customHeight="1" x14ac:dyDescent="0.35">
      <c r="A1" t="s">
        <v>198</v>
      </c>
      <c r="B1" t="s">
        <v>217</v>
      </c>
    </row>
    <row r="2" spans="1:25" ht="23.5" x14ac:dyDescent="0.55000000000000004">
      <c r="B2" s="737"/>
      <c r="C2" s="737"/>
      <c r="D2" s="737"/>
      <c r="E2" s="737"/>
      <c r="F2" s="737"/>
      <c r="G2" s="737"/>
      <c r="H2" s="737"/>
      <c r="I2" s="737"/>
      <c r="J2" s="737"/>
      <c r="K2" s="737"/>
      <c r="L2" s="737"/>
      <c r="M2" s="737"/>
      <c r="N2" s="737"/>
      <c r="O2" s="737"/>
      <c r="P2" s="53"/>
      <c r="Q2" s="53"/>
    </row>
    <row r="3" spans="1:25" ht="23.5" x14ac:dyDescent="0.55000000000000004">
      <c r="B3" s="737"/>
      <c r="C3" s="737"/>
      <c r="D3" s="737"/>
      <c r="E3" s="737"/>
      <c r="F3" s="737"/>
      <c r="G3" s="737"/>
      <c r="H3" s="737"/>
      <c r="I3" s="737"/>
      <c r="J3" s="737"/>
      <c r="K3" s="737"/>
      <c r="L3" s="737"/>
      <c r="M3" s="737"/>
      <c r="N3" s="737"/>
      <c r="O3" s="737"/>
      <c r="P3" s="53"/>
      <c r="Q3" s="53"/>
    </row>
    <row r="4" spans="1:25" ht="4.5" customHeight="1" x14ac:dyDescent="0.35">
      <c r="B4" s="71"/>
      <c r="C4" s="71"/>
      <c r="D4" s="71"/>
      <c r="E4" s="71"/>
      <c r="F4" s="71"/>
      <c r="G4" s="71"/>
      <c r="H4" s="71"/>
      <c r="I4" s="71"/>
      <c r="J4" s="71"/>
      <c r="K4" s="71"/>
      <c r="L4" s="71"/>
      <c r="M4" s="71"/>
      <c r="N4" s="71"/>
      <c r="O4" s="71"/>
    </row>
    <row r="5" spans="1:25" ht="13.5" customHeight="1" x14ac:dyDescent="0.35">
      <c r="B5" s="590" t="s">
        <v>98</v>
      </c>
      <c r="C5" s="552"/>
      <c r="D5" s="552"/>
      <c r="E5" s="552"/>
      <c r="F5" s="552"/>
      <c r="G5" s="552"/>
      <c r="H5" s="552"/>
      <c r="I5" s="552"/>
      <c r="J5" s="552"/>
      <c r="K5" s="552"/>
      <c r="L5" s="552"/>
      <c r="M5" s="552"/>
      <c r="N5" s="552"/>
      <c r="O5" s="552"/>
      <c r="P5" s="125"/>
      <c r="Q5" s="54"/>
      <c r="W5" s="75" t="s">
        <v>154</v>
      </c>
      <c r="X5" s="76"/>
      <c r="Y5" s="76"/>
    </row>
    <row r="6" spans="1:25" ht="13.5" customHeight="1" x14ac:dyDescent="0.35">
      <c r="B6" s="553"/>
      <c r="C6" s="553" t="s">
        <v>116</v>
      </c>
      <c r="D6" s="765" t="str">
        <f>IF(Cotizador!E6="","",Cotizador!E6)</f>
        <v/>
      </c>
      <c r="E6" s="765"/>
      <c r="F6" s="765"/>
      <c r="G6" s="765"/>
      <c r="H6" s="765"/>
      <c r="I6" s="765"/>
      <c r="J6" s="765"/>
      <c r="K6" s="765"/>
      <c r="L6" s="765"/>
      <c r="M6" s="765"/>
      <c r="N6" s="554"/>
      <c r="O6" s="553"/>
      <c r="W6" s="77" t="s">
        <v>158</v>
      </c>
      <c r="X6" s="77" t="s">
        <v>159</v>
      </c>
      <c r="Y6" s="77" t="s">
        <v>160</v>
      </c>
    </row>
    <row r="7" spans="1:25" ht="13.5" customHeight="1" x14ac:dyDescent="0.35">
      <c r="B7" s="553"/>
      <c r="C7" s="553" t="s">
        <v>117</v>
      </c>
      <c r="D7" s="765" t="str">
        <f>IF(Cotizador!E7="","",Cotizador!E7)</f>
        <v/>
      </c>
      <c r="E7" s="765"/>
      <c r="F7" s="765"/>
      <c r="G7" s="765"/>
      <c r="H7" s="765"/>
      <c r="I7" s="765"/>
      <c r="J7" s="765"/>
      <c r="K7" s="765"/>
      <c r="L7" s="765"/>
      <c r="M7" s="765"/>
      <c r="N7" s="555" t="s">
        <v>100</v>
      </c>
      <c r="O7" s="556">
        <f ca="1">TODAY()</f>
        <v>45520</v>
      </c>
      <c r="W7" s="77" t="s">
        <v>155</v>
      </c>
      <c r="X7" s="78">
        <v>0</v>
      </c>
      <c r="Y7" s="77">
        <v>1</v>
      </c>
    </row>
    <row r="8" spans="1:25" ht="13.5" customHeight="1" x14ac:dyDescent="0.35">
      <c r="B8" s="557"/>
      <c r="C8" s="557" t="s">
        <v>122</v>
      </c>
      <c r="D8" s="775">
        <f>IF(Cotizador!T22="","",Cotizador!T22)</f>
        <v>0</v>
      </c>
      <c r="E8" s="775"/>
      <c r="F8" s="775"/>
      <c r="G8" s="775"/>
      <c r="H8" s="775"/>
      <c r="I8" s="775"/>
      <c r="J8" s="557"/>
      <c r="K8" s="557"/>
      <c r="L8" s="557"/>
      <c r="M8" s="557"/>
      <c r="N8" s="558" t="str">
        <f>+Cotizador!K8</f>
        <v>Folio:</v>
      </c>
      <c r="O8" s="557" t="str">
        <f>IF(Cotizador!L8="","",Cotizador!L8)</f>
        <v/>
      </c>
      <c r="P8" s="118"/>
      <c r="W8" s="77" t="s">
        <v>156</v>
      </c>
      <c r="X8" s="705">
        <v>4.4999999999999998E-2</v>
      </c>
      <c r="Y8" s="77">
        <v>2</v>
      </c>
    </row>
    <row r="9" spans="1:25" ht="3.75" customHeight="1" x14ac:dyDescent="0.35">
      <c r="B9" s="553"/>
      <c r="C9" s="553"/>
      <c r="D9" s="553"/>
      <c r="E9" s="553"/>
      <c r="F9" s="553"/>
      <c r="G9" s="553"/>
      <c r="H9" s="553"/>
      <c r="I9" s="553"/>
      <c r="J9" s="553"/>
      <c r="K9" s="553"/>
      <c r="L9" s="553"/>
      <c r="M9" s="553"/>
      <c r="N9" s="553"/>
      <c r="O9" s="553"/>
      <c r="W9" s="77" t="s">
        <v>157</v>
      </c>
      <c r="X9" s="705">
        <v>5.5E-2</v>
      </c>
      <c r="Y9" s="77">
        <v>4</v>
      </c>
    </row>
    <row r="10" spans="1:25" ht="13.5" customHeight="1" x14ac:dyDescent="0.35">
      <c r="B10" s="553"/>
      <c r="C10" s="553" t="s">
        <v>38</v>
      </c>
      <c r="D10" s="553"/>
      <c r="E10" s="559" t="str">
        <f>IF(Cotizador!T23="","",Cotizador!T23)</f>
        <v/>
      </c>
      <c r="F10" s="553"/>
      <c r="G10" s="553" t="s">
        <v>173</v>
      </c>
      <c r="H10" s="560"/>
      <c r="I10" s="560"/>
      <c r="J10" s="553"/>
      <c r="K10" s="777">
        <f>IF(Cotizador!T24="","",Cotizador!T24)</f>
        <v>0</v>
      </c>
      <c r="L10" s="777"/>
      <c r="M10" s="777"/>
      <c r="N10" s="553" t="s">
        <v>121</v>
      </c>
      <c r="O10" s="559" t="str">
        <f>IF(Cotizador!U28="","",Cotizador!U28)</f>
        <v>NACIONAL</v>
      </c>
      <c r="W10" s="77" t="s">
        <v>310</v>
      </c>
      <c r="X10" s="705">
        <v>6.5000000000000002E-2</v>
      </c>
      <c r="Y10" s="77">
        <v>6</v>
      </c>
    </row>
    <row r="11" spans="1:25" ht="3.75" customHeight="1" x14ac:dyDescent="0.35">
      <c r="B11" s="553"/>
      <c r="C11" s="553"/>
      <c r="D11" s="553"/>
      <c r="E11" s="553"/>
      <c r="F11" s="553"/>
      <c r="G11" s="553"/>
      <c r="H11" s="553"/>
      <c r="I11" s="553"/>
      <c r="J11" s="553"/>
      <c r="K11" s="553"/>
      <c r="L11" s="553"/>
      <c r="M11" s="555"/>
      <c r="N11" s="553"/>
      <c r="O11" s="553"/>
      <c r="W11" s="77" t="s">
        <v>196</v>
      </c>
      <c r="X11" s="705">
        <v>7.4999999999999997E-2</v>
      </c>
      <c r="Y11" s="77">
        <v>12</v>
      </c>
    </row>
    <row r="12" spans="1:25" ht="13.5" customHeight="1" x14ac:dyDescent="0.35">
      <c r="B12" s="553"/>
      <c r="C12" s="553" t="s">
        <v>72</v>
      </c>
      <c r="D12" s="553"/>
      <c r="E12" s="561">
        <f>IF(Cotizador!T25="","",Cotizador!T25)</f>
        <v>0</v>
      </c>
      <c r="F12" s="553"/>
      <c r="G12" s="553" t="s">
        <v>170</v>
      </c>
      <c r="H12" s="560"/>
      <c r="I12" s="553"/>
      <c r="J12" s="553"/>
      <c r="K12" s="776" t="str">
        <f>Cotizador!T27</f>
        <v/>
      </c>
      <c r="L12" s="776"/>
      <c r="M12" s="776"/>
    </row>
    <row r="13" spans="1:25" ht="3.75" customHeight="1" x14ac:dyDescent="0.35">
      <c r="B13" s="553"/>
      <c r="C13" s="553"/>
      <c r="D13" s="553"/>
      <c r="E13" s="553"/>
      <c r="F13" s="553"/>
      <c r="G13" s="553"/>
      <c r="H13" s="553"/>
      <c r="I13" s="553"/>
      <c r="J13" s="553"/>
      <c r="K13" s="553"/>
      <c r="L13" s="553"/>
      <c r="M13" s="555"/>
      <c r="N13" s="553"/>
      <c r="O13" s="553"/>
    </row>
    <row r="14" spans="1:25" ht="13.5" customHeight="1" x14ac:dyDescent="0.35">
      <c r="B14" s="553"/>
      <c r="C14" s="553" t="s">
        <v>73</v>
      </c>
      <c r="D14" s="560"/>
      <c r="E14" s="562">
        <f>IF(Cotizador!T26="","",Cotizador!T26)</f>
        <v>0</v>
      </c>
      <c r="F14" s="553"/>
      <c r="G14" s="553" t="s">
        <v>221</v>
      </c>
      <c r="H14" s="553"/>
      <c r="I14" s="553"/>
      <c r="J14" s="560"/>
      <c r="K14" s="778" t="e">
        <f>VLOOKUP(Cotizador!T26,Tablas!$AO$32:$AP$36,2,)</f>
        <v>#N/A</v>
      </c>
      <c r="L14" s="778"/>
      <c r="M14" s="778"/>
      <c r="N14" s="560"/>
      <c r="O14" s="560"/>
    </row>
    <row r="15" spans="1:25" ht="3.75" customHeight="1" x14ac:dyDescent="0.35">
      <c r="B15" s="557"/>
      <c r="C15" s="557"/>
      <c r="D15" s="557"/>
      <c r="E15" s="563"/>
      <c r="F15" s="557"/>
      <c r="G15" s="557"/>
      <c r="H15" s="557"/>
      <c r="I15" s="557"/>
      <c r="J15" s="557"/>
      <c r="K15" s="557"/>
      <c r="L15" s="564"/>
      <c r="M15" s="557"/>
      <c r="N15" s="565"/>
      <c r="O15" s="557"/>
      <c r="P15" s="118"/>
    </row>
    <row r="16" spans="1:25" ht="1.5" customHeight="1" x14ac:dyDescent="0.35">
      <c r="B16" s="553"/>
      <c r="C16" s="553" t="s">
        <v>120</v>
      </c>
      <c r="D16" s="553"/>
      <c r="E16" s="559" t="s">
        <v>168</v>
      </c>
      <c r="F16" s="553"/>
      <c r="G16" s="553"/>
      <c r="H16" s="553"/>
      <c r="I16" s="553"/>
      <c r="J16" s="553"/>
      <c r="K16" s="553"/>
      <c r="L16" s="553"/>
      <c r="M16" s="553"/>
      <c r="N16" s="553"/>
      <c r="O16" s="553"/>
    </row>
    <row r="17" spans="2:32" ht="13.5" customHeight="1" x14ac:dyDescent="0.35">
      <c r="B17" s="553"/>
      <c r="C17" s="591" t="s">
        <v>164</v>
      </c>
      <c r="D17" s="566"/>
      <c r="E17" s="566"/>
      <c r="F17" s="592" t="s">
        <v>135</v>
      </c>
      <c r="G17" s="560"/>
      <c r="H17" s="566"/>
      <c r="I17" s="566"/>
      <c r="J17" s="566"/>
      <c r="K17" s="566"/>
      <c r="L17" s="566"/>
      <c r="M17" s="566"/>
      <c r="N17" s="566"/>
      <c r="O17" s="566"/>
    </row>
    <row r="18" spans="2:32" ht="3.75" customHeight="1" x14ac:dyDescent="0.35">
      <c r="B18" s="553"/>
      <c r="C18" s="566"/>
      <c r="D18" s="566"/>
      <c r="E18" s="566"/>
      <c r="F18" s="566"/>
      <c r="G18" s="566"/>
      <c r="H18" s="566"/>
      <c r="I18" s="566"/>
      <c r="J18" s="566"/>
      <c r="K18" s="566"/>
      <c r="L18" s="566"/>
      <c r="M18" s="566"/>
      <c r="N18" s="566"/>
      <c r="O18" s="566"/>
    </row>
    <row r="19" spans="2:32" ht="24.75" customHeight="1" x14ac:dyDescent="0.35">
      <c r="B19" s="553"/>
      <c r="C19" s="566" t="str">
        <f>Cotizador!R104</f>
        <v>Básica</v>
      </c>
      <c r="D19" s="566"/>
      <c r="E19" s="566"/>
      <c r="F19" s="779" t="str">
        <f xml:space="preserve"> "La Suma Asegurada para la cobertura de Maternidad será hasta : " &amp; IF(E10="Alto","$ 50,000 pesos",IF(E10="Medio","$ 40,000 pesos",IF(E10="Estandar","$ 30,000 pesos","")))&amp;" y aplica únicamente si el Deducible contratado es menor o igual a 20,000 pesos."</f>
        <v>La Suma Asegurada para la cobertura de Maternidad será hasta :  y aplica únicamente si el Deducible contratado es menor o igual a 20,000 pesos.</v>
      </c>
      <c r="G19" s="779"/>
      <c r="H19" s="779"/>
      <c r="I19" s="779"/>
      <c r="J19" s="779"/>
      <c r="K19" s="779"/>
      <c r="L19" s="779"/>
      <c r="M19" s="779"/>
      <c r="N19" s="779"/>
      <c r="O19" s="779"/>
    </row>
    <row r="20" spans="2:32" ht="16.5" customHeight="1" x14ac:dyDescent="0.35">
      <c r="B20" s="553"/>
      <c r="C20" s="566" t="str">
        <f>IF(O10="INTERNACIONAL","",Cotizador!R108)</f>
        <v>Emergencia Médica en el Extranjero</v>
      </c>
      <c r="D20" s="566"/>
      <c r="E20" s="566"/>
      <c r="F20" s="765" t="str">
        <f>IF(C20="","","Suma Asegurada: dls 100,000, Deducible: dls 100 y Coaseguro 0%")</f>
        <v>Suma Asegurada: dls 100,000, Deducible: dls 100 y Coaseguro 0%</v>
      </c>
      <c r="G20" s="765"/>
      <c r="H20" s="765"/>
      <c r="I20" s="765"/>
      <c r="J20" s="765"/>
      <c r="K20" s="765"/>
      <c r="L20" s="765"/>
      <c r="M20" s="765"/>
      <c r="N20" s="765"/>
      <c r="O20" s="765"/>
    </row>
    <row r="21" spans="2:32" ht="18" customHeight="1" x14ac:dyDescent="0.35">
      <c r="B21" s="553"/>
      <c r="C21" s="553" t="s">
        <v>289</v>
      </c>
      <c r="D21" s="566"/>
      <c r="E21" s="566"/>
      <c r="F21" s="553" t="s">
        <v>218</v>
      </c>
      <c r="G21" s="560"/>
      <c r="H21" s="560"/>
      <c r="I21" s="560"/>
      <c r="J21" s="560"/>
      <c r="K21" s="560"/>
      <c r="L21" s="560"/>
      <c r="M21" s="560"/>
      <c r="N21" s="560"/>
      <c r="O21" s="560"/>
    </row>
    <row r="22" spans="2:32" ht="18" customHeight="1" x14ac:dyDescent="0.35">
      <c r="B22" s="553"/>
      <c r="C22" s="553" t="s">
        <v>296</v>
      </c>
      <c r="D22" s="566"/>
      <c r="E22" s="566"/>
      <c r="F22" s="553" t="s">
        <v>218</v>
      </c>
      <c r="G22" s="560"/>
      <c r="H22" s="560"/>
      <c r="I22" s="560"/>
      <c r="J22" s="560"/>
      <c r="K22" s="560"/>
      <c r="L22" s="560"/>
      <c r="M22" s="560"/>
      <c r="N22" s="560"/>
      <c r="O22" s="560"/>
    </row>
    <row r="23" spans="2:32" ht="18" customHeight="1" x14ac:dyDescent="0.35">
      <c r="B23" s="553"/>
      <c r="C23" s="553" t="s">
        <v>232</v>
      </c>
      <c r="D23" s="566"/>
      <c r="E23" s="566"/>
      <c r="F23" s="553" t="s">
        <v>256</v>
      </c>
      <c r="G23" s="560"/>
      <c r="H23" s="560"/>
      <c r="I23" s="560"/>
      <c r="J23" s="560"/>
      <c r="K23" s="560"/>
      <c r="L23" s="560"/>
      <c r="M23" s="560"/>
      <c r="N23" s="560"/>
      <c r="O23" s="560"/>
    </row>
    <row r="24" spans="2:32" ht="3.75" customHeight="1" x14ac:dyDescent="0.35">
      <c r="B24" s="553"/>
      <c r="C24" s="553"/>
      <c r="D24" s="566"/>
      <c r="E24" s="566"/>
      <c r="F24" s="553"/>
      <c r="G24" s="560"/>
      <c r="H24" s="560"/>
      <c r="I24" s="560"/>
      <c r="J24" s="560"/>
      <c r="K24" s="560"/>
      <c r="L24" s="560"/>
      <c r="M24" s="560"/>
      <c r="N24" s="560"/>
      <c r="O24" s="560"/>
    </row>
    <row r="25" spans="2:32" ht="13.5" customHeight="1" x14ac:dyDescent="0.35">
      <c r="B25" s="553"/>
      <c r="C25" s="591" t="s">
        <v>212</v>
      </c>
      <c r="D25" s="566"/>
      <c r="E25" s="566"/>
      <c r="F25" s="771"/>
      <c r="G25" s="771"/>
      <c r="H25" s="771"/>
      <c r="I25" s="771"/>
      <c r="J25" s="771"/>
      <c r="K25" s="771"/>
      <c r="L25" s="771"/>
      <c r="M25" s="771"/>
      <c r="N25" s="771"/>
      <c r="O25" s="771"/>
    </row>
    <row r="26" spans="2:32" ht="3.75" customHeight="1" x14ac:dyDescent="0.35">
      <c r="B26" s="553"/>
      <c r="C26" s="560"/>
      <c r="D26" s="566"/>
      <c r="E26" s="566"/>
      <c r="F26" s="560"/>
      <c r="G26" s="560"/>
      <c r="H26" s="560"/>
      <c r="I26" s="560"/>
      <c r="J26" s="560"/>
      <c r="K26" s="560"/>
      <c r="L26" s="560"/>
      <c r="M26" s="560"/>
      <c r="N26" s="560"/>
      <c r="O26" s="560"/>
    </row>
    <row r="27" spans="2:32" s="437" customFormat="1" ht="37.5" customHeight="1" x14ac:dyDescent="0.3">
      <c r="B27" s="553"/>
      <c r="C27" s="567" t="str">
        <f>IF(Cotizador!T31="AMPARADA",Cotizador!R57,"")</f>
        <v/>
      </c>
      <c r="D27" s="566"/>
      <c r="E27" s="566"/>
      <c r="F27" s="761" t="str">
        <f>IF(C27="","","La Suma Asegurada para esta cobertura es de $ 100,000 pesos por asegurado, siendo indemnizatorio y adicional a la cobertura básica, Las edad maxima de aceptación es de 79 años cancelandose a la edad de 80 años del asegurado.")</f>
        <v/>
      </c>
      <c r="G27" s="761"/>
      <c r="H27" s="761"/>
      <c r="I27" s="761"/>
      <c r="J27" s="761"/>
      <c r="K27" s="761"/>
      <c r="L27" s="761"/>
      <c r="M27" s="761"/>
      <c r="N27" s="761"/>
      <c r="O27" s="761"/>
    </row>
    <row r="28" spans="2:32" s="437" customFormat="1" ht="53.25" customHeight="1" x14ac:dyDescent="0.3">
      <c r="B28" s="553"/>
      <c r="C28" s="567" t="str">
        <f ca="1">IF(OR(Cotizador!T8&lt;18,AND(Cotizador!T8&gt;64,Cotizador!K11="NO"),AND(Cotizador!T8&gt;79,Cotizador!K11="SI"),AND(Cotizador!S10="",Cotizador!S12="",Cotizador!S14="",Cotizador!S16="",Cotizador!S18="")),"",IF(AND(Cotizador!T32="AMPARADA",OR(Cotizador!S10="AMPARADA",Cotizador!S12="AMPARADA",Cotizador!S14="AMPARADA",Cotizador!S16="AMPARADA",Cotizador!S18="AMPARADA")),Cotizador!R59,""))</f>
        <v/>
      </c>
      <c r="D28" s="566"/>
      <c r="E28" s="566"/>
      <c r="F28" s="761" t="str">
        <f ca="1">IF(C28="","","En caso de fallecimiento del Asegurado Titular los Asegurados quedarán exentos del pago de prima durante un periodo continuo de 5 años. "&amp;T30)</f>
        <v/>
      </c>
      <c r="G28" s="761"/>
      <c r="H28" s="761"/>
      <c r="I28" s="761"/>
      <c r="J28" s="761"/>
      <c r="K28" s="761"/>
      <c r="L28" s="761"/>
      <c r="M28" s="761"/>
      <c r="N28" s="761"/>
      <c r="O28" s="761"/>
    </row>
    <row r="29" spans="2:32" s="437" customFormat="1" ht="37.5" customHeight="1" x14ac:dyDescent="0.3">
      <c r="B29" s="553"/>
      <c r="C29" s="567" t="str">
        <f>IF(Cotizador!T33="AMPARADA",IF(AND(OR(Cotizador!T8&lt;18,Cotizador!T8&gt;64),OR(Cotizador!T10&lt;18,Cotizador!T10&gt;64),OR(Cotizador!T12&lt;18,Cotizador!T12&gt;64),OR(Cotizador!T14&lt;18,Cotizador!T14&gt;64),OR(Cotizador!T16&lt;18,Cotizador!T16&gt;64),OR(Cotizador!T18&lt;18,Cotizador!T18&gt;64)),"",Cotizador!R61),"")</f>
        <v/>
      </c>
      <c r="D29" s="566"/>
      <c r="E29" s="566"/>
      <c r="F29" s="761" t="str">
        <f>IF(C29="","","La Suma Asegurada de esta cobertura es de $100,000 pesos  por asegurado, siendo indemnizatorio y adicional a la Cobertura Básica. No ampara a personas menores de 18 años ni mayores a 64 años.")</f>
        <v/>
      </c>
      <c r="G29" s="761"/>
      <c r="H29" s="761"/>
      <c r="I29" s="761"/>
      <c r="J29" s="761"/>
      <c r="K29" s="761"/>
      <c r="L29" s="761"/>
      <c r="M29" s="761"/>
      <c r="N29" s="761"/>
      <c r="O29" s="761"/>
    </row>
    <row r="30" spans="2:32" s="437" customFormat="1" ht="37.5" customHeight="1" x14ac:dyDescent="0.3">
      <c r="B30" s="553"/>
      <c r="C30" s="567" t="str">
        <f>IF(Cotizador!T34="AMPARADA",Cotizador!R63,"")</f>
        <v/>
      </c>
      <c r="D30" s="566"/>
      <c r="E30" s="566"/>
      <c r="F30" s="761" t="str">
        <f>+IF(C30="","","Se elimina el deducible y coaseguro contratados en caso de un accidente cubierto, siempre y cuando se atiendan en un hospital del mismo nivel o menor al contratado"&amp;" " &amp;T31)</f>
        <v/>
      </c>
      <c r="G30" s="761"/>
      <c r="H30" s="761"/>
      <c r="I30" s="761"/>
      <c r="J30" s="761"/>
      <c r="K30" s="761"/>
      <c r="L30" s="761"/>
      <c r="M30" s="761"/>
      <c r="N30" s="761"/>
      <c r="O30" s="761"/>
      <c r="T30" s="438" t="s">
        <v>303</v>
      </c>
      <c r="U30" s="438"/>
      <c r="V30" s="438"/>
      <c r="W30" s="438"/>
      <c r="X30" s="438"/>
      <c r="Y30" s="438"/>
      <c r="Z30" s="438"/>
      <c r="AA30" s="438"/>
      <c r="AB30" s="438"/>
      <c r="AC30" s="438"/>
      <c r="AD30" s="438"/>
      <c r="AE30" s="438"/>
      <c r="AF30" s="438"/>
    </row>
    <row r="31" spans="2:32" s="437" customFormat="1" ht="37.5" customHeight="1" x14ac:dyDescent="0.3">
      <c r="B31" s="553"/>
      <c r="C31" s="567" t="str">
        <f>IF(Cotizador!T35="AMPARADA",Cotizador!R65,"")</f>
        <v/>
      </c>
      <c r="D31" s="566"/>
      <c r="E31" s="566"/>
      <c r="F31" s="761" t="str">
        <f>IF(C31=Cotizador!R65,T32&amp;" "&amp;T34,"")</f>
        <v/>
      </c>
      <c r="G31" s="761"/>
      <c r="H31" s="761"/>
      <c r="I31" s="761"/>
      <c r="J31" s="761"/>
      <c r="K31" s="761"/>
      <c r="L31" s="761"/>
      <c r="M31" s="761"/>
      <c r="N31" s="761"/>
      <c r="O31" s="761"/>
      <c r="T31" s="438" t="s">
        <v>215</v>
      </c>
      <c r="U31" s="438"/>
      <c r="V31" s="438"/>
      <c r="W31" s="438"/>
      <c r="X31" s="438"/>
      <c r="Y31" s="438"/>
      <c r="Z31" s="438"/>
      <c r="AA31" s="438"/>
      <c r="AB31" s="438"/>
      <c r="AC31" s="438"/>
      <c r="AD31" s="438"/>
      <c r="AE31" s="438"/>
      <c r="AF31" s="438"/>
    </row>
    <row r="32" spans="2:32" s="437" customFormat="1" ht="26.25" customHeight="1" x14ac:dyDescent="0.3">
      <c r="B32" s="553"/>
      <c r="C32" s="567" t="str">
        <f>IF(Cotizador!T36="AMPARADA",Cotizador!R67,"")</f>
        <v/>
      </c>
      <c r="D32" s="566"/>
      <c r="E32" s="566"/>
      <c r="F32" s="761" t="str">
        <f>IF(C32=Cotizador!R36,"Ayuda por $1,500 pesos diarios hasta 30 días en caso de hospitalización mayor a 3 días. No aplica si la hospitalización es por parto y/o cesárea y/o complicaciones del embarazo.","")</f>
        <v/>
      </c>
      <c r="G32" s="761"/>
      <c r="H32" s="761"/>
      <c r="I32" s="761"/>
      <c r="J32" s="761"/>
      <c r="K32" s="761"/>
      <c r="L32" s="761"/>
      <c r="M32" s="761"/>
      <c r="N32" s="761"/>
      <c r="O32" s="761"/>
      <c r="T32" s="438" t="s">
        <v>285</v>
      </c>
      <c r="U32" s="438"/>
      <c r="V32" s="438"/>
      <c r="W32" s="438"/>
      <c r="X32" s="438"/>
      <c r="Y32" s="438"/>
      <c r="Z32" s="438"/>
      <c r="AA32" s="438"/>
      <c r="AB32" s="438"/>
      <c r="AC32" s="438"/>
      <c r="AD32" s="438"/>
      <c r="AE32" s="438"/>
      <c r="AF32" s="438"/>
    </row>
    <row r="33" spans="2:32" s="437" customFormat="1" ht="63" customHeight="1" x14ac:dyDescent="0.3">
      <c r="B33" s="553"/>
      <c r="C33" s="567" t="str">
        <f>IF(Cotizador!T39="AMPARADA",Cotizador!R69,"")</f>
        <v/>
      </c>
      <c r="D33" s="566"/>
      <c r="E33" s="566"/>
      <c r="F33" s="761" t="str">
        <f>IF(C33=Cotizador!R39,"El monto máximo para esta cobertura estará determinado por el monto mínimo entre la Suma Asegurada contratada para el plan básico y 1,000,000 USD, pero no es una suma asegurada adicional,"&amp;" es decir la suma de los gastos totales tanto en territorio nacional como en el extranjero no deberán rebasar la Suma Asegurada contratada para el plan básico."&amp;" Aplica deducible y coaseguro contratado, eliminando el tope de coaseguro.","")</f>
        <v/>
      </c>
      <c r="G33" s="761"/>
      <c r="H33" s="761"/>
      <c r="I33" s="761"/>
      <c r="J33" s="761"/>
      <c r="K33" s="761"/>
      <c r="L33" s="761"/>
      <c r="M33" s="761"/>
      <c r="N33" s="761"/>
      <c r="O33" s="761"/>
      <c r="T33" s="438"/>
      <c r="U33" s="438"/>
      <c r="V33" s="438"/>
      <c r="W33" s="438"/>
      <c r="X33" s="438"/>
      <c r="Y33" s="438"/>
      <c r="Z33" s="438"/>
      <c r="AA33" s="438"/>
      <c r="AB33" s="438"/>
      <c r="AC33" s="438"/>
      <c r="AD33" s="438"/>
      <c r="AE33" s="438"/>
      <c r="AF33" s="438"/>
    </row>
    <row r="34" spans="2:32" s="437" customFormat="1" ht="13.5" customHeight="1" x14ac:dyDescent="0.3">
      <c r="B34" s="553"/>
      <c r="C34" s="567" t="str">
        <f>IF(Cotizador!T37="AMPARADA",Cotizador!R37,"")</f>
        <v/>
      </c>
      <c r="D34" s="566"/>
      <c r="E34" s="566"/>
      <c r="F34" s="761" t="str">
        <f>IF(C34=Cotizador!R37,"Disminuye la penalización de coaseguro al atenderse en una región distinta a la contratada.","")</f>
        <v/>
      </c>
      <c r="G34" s="761"/>
      <c r="H34" s="761"/>
      <c r="I34" s="761"/>
      <c r="J34" s="761"/>
      <c r="K34" s="761"/>
      <c r="L34" s="761"/>
      <c r="M34" s="761"/>
      <c r="N34" s="761"/>
      <c r="O34" s="761"/>
      <c r="T34" s="438" t="s">
        <v>284</v>
      </c>
      <c r="U34" s="438"/>
      <c r="V34" s="438"/>
      <c r="W34" s="438"/>
      <c r="X34" s="438"/>
      <c r="Y34" s="438"/>
      <c r="Z34" s="438"/>
      <c r="AA34" s="438"/>
      <c r="AB34" s="438"/>
      <c r="AC34" s="438"/>
      <c r="AD34" s="438"/>
      <c r="AE34" s="438"/>
      <c r="AF34" s="438"/>
    </row>
    <row r="35" spans="2:32" s="437" customFormat="1" ht="26" customHeight="1" x14ac:dyDescent="0.3">
      <c r="B35" s="553"/>
      <c r="C35" s="567" t="str">
        <f>IF(Cotizador!T38="AMPARADA",Cotizador!R55,"")</f>
        <v/>
      </c>
      <c r="D35" s="566"/>
      <c r="E35" s="566"/>
      <c r="F35" s="761" t="str">
        <f>IF(C35=Cotizador!R55,"Se disminuye el coaseguro contratado en cinco puntos porcentuales. Aplica solo en enfermedades cubiertas por esta póliza.","")</f>
        <v/>
      </c>
      <c r="G35" s="761"/>
      <c r="H35" s="761"/>
      <c r="I35" s="761"/>
      <c r="J35" s="761"/>
      <c r="K35" s="761"/>
      <c r="L35" s="761"/>
      <c r="M35" s="761"/>
      <c r="N35" s="761"/>
      <c r="O35" s="761"/>
      <c r="T35" s="438"/>
      <c r="U35" s="438"/>
      <c r="V35" s="438"/>
      <c r="W35" s="438"/>
      <c r="X35" s="438"/>
      <c r="Y35" s="438"/>
      <c r="Z35" s="438"/>
      <c r="AA35" s="438"/>
      <c r="AB35" s="438"/>
      <c r="AC35" s="438"/>
      <c r="AD35" s="438"/>
      <c r="AE35" s="438"/>
      <c r="AF35" s="438"/>
    </row>
    <row r="36" spans="2:32" s="439" customFormat="1" ht="11" customHeight="1" x14ac:dyDescent="0.3">
      <c r="B36" s="557"/>
      <c r="C36" s="568" t="str">
        <f>IF(Cotizador!T40="AMPARADA",Cotizador!R40,"")</f>
        <v/>
      </c>
      <c r="D36" s="569"/>
      <c r="E36" s="569"/>
      <c r="F36" s="767" t="str">
        <f>IF(C36=Cotizador!R40,"Para esta cobertura se tiene un tabulador especial de $90,000 pesos.","")</f>
        <v/>
      </c>
      <c r="G36" s="767"/>
      <c r="H36" s="767"/>
      <c r="I36" s="767"/>
      <c r="J36" s="767"/>
      <c r="K36" s="767"/>
      <c r="L36" s="767"/>
      <c r="M36" s="767"/>
      <c r="N36" s="767"/>
      <c r="O36" s="767"/>
      <c r="T36" s="440"/>
      <c r="U36" s="440"/>
      <c r="V36" s="440"/>
      <c r="W36" s="440"/>
      <c r="X36" s="440"/>
      <c r="Y36" s="440"/>
      <c r="Z36" s="440"/>
      <c r="AA36" s="440"/>
      <c r="AB36" s="440"/>
      <c r="AC36" s="440"/>
      <c r="AD36" s="440"/>
      <c r="AE36" s="440"/>
      <c r="AF36" s="440"/>
    </row>
    <row r="37" spans="2:32" ht="3.75" customHeight="1" thickBot="1" x14ac:dyDescent="0.4">
      <c r="B37" s="553"/>
      <c r="C37" s="566"/>
      <c r="D37" s="566"/>
      <c r="E37" s="566"/>
      <c r="F37" s="566"/>
      <c r="G37" s="566"/>
      <c r="H37" s="566"/>
      <c r="I37" s="566"/>
      <c r="J37" s="566"/>
      <c r="K37" s="566"/>
      <c r="L37" s="566"/>
      <c r="M37" s="566"/>
      <c r="N37" s="566"/>
      <c r="O37" s="566"/>
    </row>
    <row r="38" spans="2:32" ht="13.5" customHeight="1" thickBot="1" x14ac:dyDescent="0.4">
      <c r="B38" s="553"/>
      <c r="C38" s="772" t="s">
        <v>87</v>
      </c>
      <c r="D38" s="773"/>
      <c r="E38" s="774"/>
      <c r="F38" s="593"/>
      <c r="G38" s="594" t="s">
        <v>0</v>
      </c>
      <c r="H38" s="595"/>
      <c r="I38" s="594" t="s">
        <v>53</v>
      </c>
      <c r="J38" s="596"/>
      <c r="K38" s="594" t="s">
        <v>134</v>
      </c>
      <c r="L38" s="597"/>
      <c r="M38" s="762" t="s">
        <v>163</v>
      </c>
      <c r="N38" s="763"/>
      <c r="O38" s="764"/>
      <c r="P38" s="96"/>
      <c r="W38" s="758" t="s">
        <v>179</v>
      </c>
      <c r="X38" s="759"/>
      <c r="Y38" s="760"/>
    </row>
    <row r="39" spans="2:32" ht="22.5" customHeight="1" x14ac:dyDescent="0.35">
      <c r="B39" s="553"/>
      <c r="C39" s="570"/>
      <c r="D39" s="570"/>
      <c r="E39" s="570"/>
      <c r="F39" s="566"/>
      <c r="G39" s="566"/>
      <c r="H39" s="566"/>
      <c r="I39" s="571"/>
      <c r="J39" s="572"/>
      <c r="K39" s="572"/>
      <c r="L39" s="571"/>
      <c r="M39" s="598" t="s">
        <v>132</v>
      </c>
      <c r="N39" s="598" t="s">
        <v>128</v>
      </c>
      <c r="O39" s="599" t="s">
        <v>133</v>
      </c>
      <c r="P39" s="96"/>
      <c r="Q39" s="56"/>
      <c r="R39" s="67"/>
      <c r="S39" s="91" t="s">
        <v>132</v>
      </c>
      <c r="T39" s="92" t="s">
        <v>128</v>
      </c>
      <c r="U39" s="93" t="s">
        <v>133</v>
      </c>
      <c r="W39" s="91" t="s">
        <v>132</v>
      </c>
      <c r="X39" s="92" t="s">
        <v>128</v>
      </c>
      <c r="Y39" s="93" t="s">
        <v>133</v>
      </c>
    </row>
    <row r="40" spans="2:32" ht="4.5" customHeight="1" x14ac:dyDescent="0.35">
      <c r="B40" s="553"/>
      <c r="C40" s="573"/>
      <c r="D40" s="573"/>
      <c r="E40" s="566"/>
      <c r="F40" s="566"/>
      <c r="G40" s="566"/>
      <c r="H40" s="566"/>
      <c r="I40" s="566"/>
      <c r="J40" s="566"/>
      <c r="K40" s="566"/>
      <c r="L40" s="566"/>
      <c r="M40" s="566"/>
      <c r="N40" s="566"/>
      <c r="O40" s="566"/>
      <c r="P40" s="96"/>
      <c r="R40" s="67"/>
      <c r="S40" s="84"/>
      <c r="U40" s="67"/>
      <c r="W40" s="84"/>
      <c r="Y40" s="67"/>
    </row>
    <row r="41" spans="2:32" ht="13.5" customHeight="1" thickBot="1" x14ac:dyDescent="0.4">
      <c r="B41" s="553"/>
      <c r="C41" s="755" t="str">
        <f>IF(Cotizador!S8&lt;&gt;"AMPARADA","",Cotizador!E15)</f>
        <v/>
      </c>
      <c r="D41" s="756"/>
      <c r="E41" s="757"/>
      <c r="F41" s="572"/>
      <c r="G41" s="574" t="str">
        <f>IF(Cotizador!$K$11="","",IF(Cotizador!S8&lt;&gt;"AMPARADA","",Cotizador!T8))</f>
        <v/>
      </c>
      <c r="H41" s="559"/>
      <c r="I41" s="574" t="str">
        <f>IF(Cotizador!S8&lt;&gt;"AMPARADA","",IF(Cotizador!U8="HOMBRE","H",IF(Cotizador!U8="MUJER","M","")))</f>
        <v/>
      </c>
      <c r="J41" s="566"/>
      <c r="K41" s="574" t="str">
        <f>IF(Cotizador!S8&lt;&gt;"AMPARADA","",Cotizador!V8)</f>
        <v/>
      </c>
      <c r="L41" s="566"/>
      <c r="M41" s="575">
        <f>IF(Cotizador!$T$3="SI",S41-W41,S41)*IF($I$54="",1,1+$I$54)</f>
        <v>0</v>
      </c>
      <c r="N41" s="575">
        <f>IF(Cotizador!$T$3="SI",T41-X41,T41)*IF($I$54="",1,1+$I$54)</f>
        <v>0</v>
      </c>
      <c r="O41" s="575">
        <f>+M41+N41</f>
        <v>0</v>
      </c>
      <c r="P41" s="96"/>
      <c r="R41" s="67"/>
      <c r="S41" s="85">
        <f>IF(ISERROR(VLOOKUP($E$16&amp;"_"&amp;$O$10,Cotizador!$Q$77:$X$83,3,0)),0,VLOOKUP($E$16&amp;"_"&amp;$O$10,Cotizador!$Q$77:$X$83,3,0))</f>
        <v>0</v>
      </c>
      <c r="T41" s="73">
        <f>IF(ISERROR(VLOOKUP($E$16&amp;"_"&amp;$O$10,Cotizador!$Q$89:$X$95,3,0)),0,VLOOKUP($E$16&amp;"_"&amp;$O$10,Cotizador!$Q$89:$X$95,3,0))</f>
        <v>0</v>
      </c>
      <c r="U41" s="86">
        <f>+S41-T41</f>
        <v>0</v>
      </c>
      <c r="W41" s="85">
        <f>S41*Tablas!$AP$39</f>
        <v>0</v>
      </c>
      <c r="X41" s="73">
        <f>T41*Tablas!$AP$39</f>
        <v>0</v>
      </c>
      <c r="Y41" s="86">
        <f>+W41+X41</f>
        <v>0</v>
      </c>
    </row>
    <row r="42" spans="2:32" ht="3.75" customHeight="1" x14ac:dyDescent="0.35">
      <c r="B42" s="553"/>
      <c r="C42" s="573"/>
      <c r="D42" s="573"/>
      <c r="E42" s="566"/>
      <c r="F42" s="566"/>
      <c r="G42" s="559"/>
      <c r="H42" s="559"/>
      <c r="I42" s="559"/>
      <c r="J42" s="566"/>
      <c r="K42" s="566"/>
      <c r="L42" s="566"/>
      <c r="M42" s="566"/>
      <c r="N42" s="576"/>
      <c r="O42" s="576"/>
      <c r="P42" s="96"/>
      <c r="R42" s="67"/>
      <c r="S42" s="94"/>
      <c r="T42" s="74"/>
      <c r="U42" s="88"/>
      <c r="W42" s="87"/>
      <c r="X42" s="74"/>
      <c r="Y42" s="88"/>
    </row>
    <row r="43" spans="2:32" ht="13.5" customHeight="1" thickBot="1" x14ac:dyDescent="0.4">
      <c r="B43" s="553"/>
      <c r="C43" s="755" t="str">
        <f>IF(Cotizador!S10&lt;&gt;"AMPARADA","",Cotizador!E17)</f>
        <v/>
      </c>
      <c r="D43" s="756"/>
      <c r="E43" s="757"/>
      <c r="F43" s="572"/>
      <c r="G43" s="574" t="str">
        <f>IF(Cotizador!$K$11="","",IF(Cotizador!S10&lt;&gt;"AMPARADA","",Cotizador!T10))</f>
        <v/>
      </c>
      <c r="H43" s="559"/>
      <c r="I43" s="577" t="str">
        <f>IF(Cotizador!S10&lt;&gt;"AMPARADA","",IF(Cotizador!U10="HOMBRE","H",IF(Cotizador!U10="MUJER","M","")))</f>
        <v/>
      </c>
      <c r="J43" s="566"/>
      <c r="K43" s="574" t="str">
        <f>IF(Cotizador!S10&lt;&gt;"AMPARADA","",Cotizador!V10)</f>
        <v/>
      </c>
      <c r="L43" s="566"/>
      <c r="M43" s="575">
        <f>IF(Cotizador!$T$3="SI",S43-W43,S43)</f>
        <v>0</v>
      </c>
      <c r="N43" s="575">
        <f>IF(Cotizador!$T$3="SI",T43-X43,T43)</f>
        <v>0</v>
      </c>
      <c r="O43" s="575">
        <f>+M43+N43</f>
        <v>0</v>
      </c>
      <c r="P43" s="96"/>
      <c r="R43" s="67"/>
      <c r="S43" s="85">
        <f>IF(ISERROR(VLOOKUP($E$16&amp;"_"&amp;$O$10,Cotizador!$Q$77:$X$83,4,0)),0,VLOOKUP($E$16&amp;"_"&amp;$O$10,Cotizador!$Q$77:$X$83,4,0))</f>
        <v>0</v>
      </c>
      <c r="T43" s="73">
        <f>IF(ISERROR(VLOOKUP($E$16&amp;"_"&amp;$O$10,Cotizador!$Q$89:$X$95,4,0)),0,VLOOKUP($E$16&amp;"_"&amp;$O$10,Cotizador!$Q$89:$X$95,4,0))</f>
        <v>0</v>
      </c>
      <c r="U43" s="86">
        <f>+S43-T43</f>
        <v>0</v>
      </c>
      <c r="W43" s="85">
        <f>S43*Tablas!$AP$39</f>
        <v>0</v>
      </c>
      <c r="X43" s="73">
        <f>T43*Tablas!$AP$39</f>
        <v>0</v>
      </c>
      <c r="Y43" s="86">
        <f t="shared" ref="Y43:Y51" si="0">+W43+X43</f>
        <v>0</v>
      </c>
    </row>
    <row r="44" spans="2:32" ht="3.75" customHeight="1" x14ac:dyDescent="0.35">
      <c r="B44" s="553"/>
      <c r="C44" s="566"/>
      <c r="D44" s="573"/>
      <c r="E44" s="566"/>
      <c r="F44" s="566"/>
      <c r="G44" s="559"/>
      <c r="H44" s="559"/>
      <c r="I44" s="559"/>
      <c r="J44" s="566"/>
      <c r="K44" s="566"/>
      <c r="L44" s="573"/>
      <c r="M44" s="566"/>
      <c r="N44" s="576"/>
      <c r="O44" s="576"/>
      <c r="P44" s="96"/>
      <c r="R44" s="67"/>
      <c r="S44" s="94"/>
      <c r="T44" s="74"/>
      <c r="U44" s="88"/>
      <c r="W44" s="87"/>
      <c r="X44" s="74"/>
      <c r="Y44" s="88"/>
    </row>
    <row r="45" spans="2:32" ht="13.5" customHeight="1" thickBot="1" x14ac:dyDescent="0.4">
      <c r="B45" s="553"/>
      <c r="C45" s="755" t="str">
        <f>IF(Cotizador!S12&lt;&gt;"AMPARADA","",Cotizador!E19)</f>
        <v/>
      </c>
      <c r="D45" s="756"/>
      <c r="E45" s="757"/>
      <c r="F45" s="572"/>
      <c r="G45" s="574" t="str">
        <f>IF(Cotizador!$K$11="","",IF(Cotizador!S12&lt;&gt;"AMPARADA","",Cotizador!T12))</f>
        <v/>
      </c>
      <c r="H45" s="559"/>
      <c r="I45" s="577" t="str">
        <f>IF(Cotizador!S12&lt;&gt;"AMPARADA","",IF(Cotizador!U12="HOMBRE","H",IF(Cotizador!U12="MUJER","M","")))</f>
        <v/>
      </c>
      <c r="J45" s="566"/>
      <c r="K45" s="574" t="str">
        <f>IF(Cotizador!S12&lt;&gt;"AMPARADA","",Cotizador!V12)</f>
        <v/>
      </c>
      <c r="L45" s="566"/>
      <c r="M45" s="575">
        <f>IF(Cotizador!$T$3="SI",S45-W45,S45)</f>
        <v>0</v>
      </c>
      <c r="N45" s="575">
        <f>IF(Cotizador!$T$3="SI",T45-X45,T45)</f>
        <v>0</v>
      </c>
      <c r="O45" s="575">
        <f>+M45+N45</f>
        <v>0</v>
      </c>
      <c r="P45" s="96"/>
      <c r="R45" s="67"/>
      <c r="S45" s="85">
        <f>IF(ISERROR(VLOOKUP($E$16&amp;"_"&amp;$O$10,Cotizador!$Q$77:$X$83,5,0)),0,VLOOKUP($E$16&amp;"_"&amp;$O$10,Cotizador!$Q$77:$X$83,5,0))</f>
        <v>0</v>
      </c>
      <c r="T45" s="73">
        <f>IF(ISERROR(VLOOKUP($E$16&amp;"_"&amp;$O$10,Cotizador!$Q$89:$X$95,5,0)),0,VLOOKUP($E$16&amp;"_"&amp;$O$10,Cotizador!$Q$89:$X$95,5,0))</f>
        <v>0</v>
      </c>
      <c r="U45" s="86">
        <f>+S45-T45</f>
        <v>0</v>
      </c>
      <c r="W45" s="85">
        <f>S45*Tablas!$AP$39</f>
        <v>0</v>
      </c>
      <c r="X45" s="73">
        <f>T45*Tablas!$AP$39</f>
        <v>0</v>
      </c>
      <c r="Y45" s="86">
        <f t="shared" si="0"/>
        <v>0</v>
      </c>
    </row>
    <row r="46" spans="2:32" ht="3.75" customHeight="1" x14ac:dyDescent="0.35">
      <c r="B46" s="553"/>
      <c r="C46" s="566"/>
      <c r="D46" s="573"/>
      <c r="E46" s="566"/>
      <c r="F46" s="566"/>
      <c r="G46" s="559"/>
      <c r="H46" s="559"/>
      <c r="I46" s="559"/>
      <c r="J46" s="566"/>
      <c r="K46" s="566"/>
      <c r="L46" s="566"/>
      <c r="M46" s="566"/>
      <c r="N46" s="576"/>
      <c r="O46" s="576"/>
      <c r="P46" s="96"/>
      <c r="R46" s="67"/>
      <c r="S46" s="94"/>
      <c r="T46" s="74"/>
      <c r="U46" s="88"/>
      <c r="W46" s="87"/>
      <c r="X46" s="74"/>
      <c r="Y46" s="88"/>
    </row>
    <row r="47" spans="2:32" ht="13.5" customHeight="1" thickBot="1" x14ac:dyDescent="0.4">
      <c r="B47" s="553"/>
      <c r="C47" s="755" t="str">
        <f>IF(Cotizador!S14&lt;&gt;"AMPARADA","",Cotizador!E21)</f>
        <v/>
      </c>
      <c r="D47" s="756"/>
      <c r="E47" s="757"/>
      <c r="F47" s="572"/>
      <c r="G47" s="574" t="str">
        <f>IF(Cotizador!$K$11="","",IF(Cotizador!S14&lt;&gt;"AMPARADA","",Cotizador!T14))</f>
        <v/>
      </c>
      <c r="H47" s="559"/>
      <c r="I47" s="577" t="str">
        <f>IF(Cotizador!S14&lt;&gt;"AMPARADA","",IF(Cotizador!U14="HOMBRE","H",IF(Cotizador!U14="MUJER","M","")))</f>
        <v/>
      </c>
      <c r="J47" s="566"/>
      <c r="K47" s="574" t="str">
        <f>IF(Cotizador!S14&lt;&gt;"AMPARADA","",Cotizador!V14)</f>
        <v/>
      </c>
      <c r="L47" s="566"/>
      <c r="M47" s="575">
        <f>IF(Cotizador!$T$3="SI",S47-W47,S47)</f>
        <v>0</v>
      </c>
      <c r="N47" s="575">
        <f>IF(Cotizador!$T$3="SI",T47-X47,T47)</f>
        <v>0</v>
      </c>
      <c r="O47" s="575">
        <f>+M47+N47</f>
        <v>0</v>
      </c>
      <c r="P47" s="96"/>
      <c r="R47" s="121"/>
      <c r="S47" s="85">
        <f>IF(ISERROR(VLOOKUP($E$16&amp;"_"&amp;$O$10,Cotizador!$Q$77:$X$83,6,0)),0,VLOOKUP($E$16&amp;"_"&amp;$O$10,Cotizador!$Q$77:$X$83,6,0))</f>
        <v>0</v>
      </c>
      <c r="T47" s="73">
        <f>IF(ISERROR(VLOOKUP($E$16&amp;"_"&amp;$O$10,Cotizador!$Q$89:$X$95,6,0)),0,VLOOKUP($E$16&amp;"_"&amp;$O$10,Cotizador!$Q$89:$X$95,6,0))</f>
        <v>0</v>
      </c>
      <c r="U47" s="86">
        <f>+S47-T47</f>
        <v>0</v>
      </c>
      <c r="W47" s="85">
        <f>S47*Tablas!$AP$39</f>
        <v>0</v>
      </c>
      <c r="X47" s="73">
        <f>T47*Tablas!$AP$39</f>
        <v>0</v>
      </c>
      <c r="Y47" s="86">
        <f t="shared" si="0"/>
        <v>0</v>
      </c>
    </row>
    <row r="48" spans="2:32" ht="3.75" customHeight="1" x14ac:dyDescent="0.35">
      <c r="B48" s="553"/>
      <c r="C48" s="566"/>
      <c r="D48" s="573"/>
      <c r="E48" s="566"/>
      <c r="F48" s="566"/>
      <c r="G48" s="559"/>
      <c r="H48" s="559"/>
      <c r="I48" s="559"/>
      <c r="J48" s="566"/>
      <c r="K48" s="566"/>
      <c r="L48" s="566"/>
      <c r="M48" s="566"/>
      <c r="N48" s="576"/>
      <c r="O48" s="576"/>
      <c r="P48" s="96"/>
      <c r="R48" s="67"/>
      <c r="S48" s="94"/>
      <c r="T48" s="74"/>
      <c r="U48" s="88"/>
      <c r="W48" s="87"/>
      <c r="X48" s="74"/>
      <c r="Y48" s="88"/>
    </row>
    <row r="49" spans="2:25" ht="13.5" customHeight="1" thickBot="1" x14ac:dyDescent="0.4">
      <c r="B49" s="553"/>
      <c r="C49" s="755" t="str">
        <f>IF(Cotizador!S16&lt;&gt;"AMPARADA","",Cotizador!E23)</f>
        <v/>
      </c>
      <c r="D49" s="756"/>
      <c r="E49" s="757"/>
      <c r="F49" s="572"/>
      <c r="G49" s="574" t="str">
        <f>IF(Cotizador!$K$11="","",IF(Cotizador!S16&lt;&gt;"AMPARADA","",Cotizador!T16))</f>
        <v/>
      </c>
      <c r="H49" s="559"/>
      <c r="I49" s="577" t="str">
        <f>IF(Cotizador!S16&lt;&gt;"AMPARADA","",IF(Cotizador!U16="HOMBRE","H",IF(Cotizador!U16="MUJER","M","")))</f>
        <v/>
      </c>
      <c r="J49" s="566"/>
      <c r="K49" s="574" t="str">
        <f>IF(Cotizador!S16&lt;&gt;"AMPARADA","",Cotizador!V16)</f>
        <v/>
      </c>
      <c r="L49" s="566"/>
      <c r="M49" s="575">
        <f>IF(Cotizador!$T$3="SI",S49-W49,S49)</f>
        <v>0</v>
      </c>
      <c r="N49" s="575">
        <f>IF(Cotizador!$T$3="SI",T49-X49,T49)</f>
        <v>0</v>
      </c>
      <c r="O49" s="575">
        <f>+M49+N49</f>
        <v>0</v>
      </c>
      <c r="P49" s="96"/>
      <c r="R49" s="67"/>
      <c r="S49" s="85">
        <f>IF(ISERROR(VLOOKUP($E$16&amp;"_"&amp;$O$10,Cotizador!$Q$77:$X$83,7,0)),0,VLOOKUP($E$16&amp;"_"&amp;$O$10,Cotizador!$Q$77:$X$83,7,0))</f>
        <v>0</v>
      </c>
      <c r="T49" s="73">
        <f>IF(ISERROR(VLOOKUP($E$16&amp;"_"&amp;$O$10,Cotizador!$Q$89:$X$95,7,0)),0,VLOOKUP($E$16&amp;"_"&amp;$O$10,Cotizador!$Q$89:$X$95,7,0))</f>
        <v>0</v>
      </c>
      <c r="U49" s="86">
        <f>+S49-T49</f>
        <v>0</v>
      </c>
      <c r="W49" s="85">
        <f>S49*Tablas!$AP$39</f>
        <v>0</v>
      </c>
      <c r="X49" s="73">
        <f>T49*Tablas!$AP$39</f>
        <v>0</v>
      </c>
      <c r="Y49" s="86">
        <f t="shared" si="0"/>
        <v>0</v>
      </c>
    </row>
    <row r="50" spans="2:25" ht="3.75" customHeight="1" x14ac:dyDescent="0.35">
      <c r="B50" s="553"/>
      <c r="C50" s="566"/>
      <c r="D50" s="573"/>
      <c r="E50" s="566"/>
      <c r="F50" s="566"/>
      <c r="G50" s="559"/>
      <c r="H50" s="559"/>
      <c r="I50" s="559"/>
      <c r="J50" s="566"/>
      <c r="K50" s="566"/>
      <c r="L50" s="566"/>
      <c r="M50" s="566"/>
      <c r="N50" s="576"/>
      <c r="O50" s="576"/>
      <c r="P50" s="96"/>
      <c r="R50" s="67"/>
      <c r="S50" s="94"/>
      <c r="T50" s="74"/>
      <c r="U50" s="88"/>
      <c r="W50" s="87"/>
      <c r="X50" s="74"/>
      <c r="Y50" s="88"/>
    </row>
    <row r="51" spans="2:25" ht="13.5" customHeight="1" thickBot="1" x14ac:dyDescent="0.4">
      <c r="B51" s="553"/>
      <c r="C51" s="755" t="str">
        <f>IF(Cotizador!S18&lt;&gt;"AMPARADA","",Cotizador!E25)</f>
        <v/>
      </c>
      <c r="D51" s="756"/>
      <c r="E51" s="757"/>
      <c r="F51" s="572"/>
      <c r="G51" s="574" t="str">
        <f>IF(Cotizador!$K$11="","",IF(Cotizador!S18&lt;&gt;"AMPARADA","",Cotizador!T18))</f>
        <v/>
      </c>
      <c r="H51" s="559"/>
      <c r="I51" s="577" t="str">
        <f>IF(Cotizador!S18&lt;&gt;"AMPARADA","",IF(Cotizador!U18="HOMBRE","H",IF(Cotizador!U18="MUJER","M","")))</f>
        <v/>
      </c>
      <c r="J51" s="566"/>
      <c r="K51" s="574" t="str">
        <f>IF(Cotizador!S18&lt;&gt;"AMPARADA","",Cotizador!V18)</f>
        <v/>
      </c>
      <c r="L51" s="566"/>
      <c r="M51" s="575">
        <f>IF(Cotizador!$T$3="SI",S51-W51,S51)</f>
        <v>0</v>
      </c>
      <c r="N51" s="575">
        <f>IF(Cotizador!$T$3="SI",T51-X51,T51)</f>
        <v>0</v>
      </c>
      <c r="O51" s="575">
        <f>+M51+N51</f>
        <v>0</v>
      </c>
      <c r="P51" s="96"/>
      <c r="R51" s="67"/>
      <c r="S51" s="89">
        <f>IF(ISERROR(VLOOKUP($E$16&amp;"_"&amp;$O$10,Cotizador!$Q$77:$X$83,8,0)),0,VLOOKUP($E$16&amp;"_"&amp;$O$10,Cotizador!$Q$77:$X$83,8,0))</f>
        <v>0</v>
      </c>
      <c r="T51" s="72">
        <f>IF(ISERROR(VLOOKUP($E$16&amp;"_"&amp;$O$10,Cotizador!$Q$89:$X$95,8,0)),0,VLOOKUP($E$16&amp;"_"&amp;$O$10,Cotizador!$Q$89:$X$95,8,0))</f>
        <v>0</v>
      </c>
      <c r="U51" s="90">
        <f>+S51-T51</f>
        <v>0</v>
      </c>
      <c r="W51" s="89">
        <f>S51*Tablas!$AP$39</f>
        <v>0</v>
      </c>
      <c r="X51" s="72">
        <f>T51*Tablas!$AP$39</f>
        <v>0</v>
      </c>
      <c r="Y51" s="90">
        <f t="shared" si="0"/>
        <v>0</v>
      </c>
    </row>
    <row r="52" spans="2:25" ht="0.75" customHeight="1" thickBot="1" x14ac:dyDescent="0.4">
      <c r="B52" s="557"/>
      <c r="C52" s="755"/>
      <c r="D52" s="756"/>
      <c r="E52" s="757"/>
      <c r="F52" s="572"/>
      <c r="G52" s="574"/>
      <c r="H52" s="559"/>
      <c r="I52" s="577"/>
      <c r="J52" s="566"/>
      <c r="K52" s="574"/>
      <c r="L52" s="566"/>
      <c r="M52" s="569"/>
      <c r="N52" s="578"/>
      <c r="O52" s="578"/>
      <c r="P52" s="96"/>
    </row>
    <row r="53" spans="2:25" ht="13.5" customHeight="1" x14ac:dyDescent="0.35">
      <c r="B53" s="553"/>
      <c r="C53" s="553"/>
      <c r="D53" s="573"/>
      <c r="E53" s="553"/>
      <c r="F53" s="566"/>
      <c r="G53" s="566"/>
      <c r="H53" s="566"/>
      <c r="I53" s="566"/>
      <c r="J53" s="566"/>
      <c r="K53" s="566"/>
      <c r="L53" s="566"/>
      <c r="M53" s="592" t="s">
        <v>151</v>
      </c>
      <c r="N53" s="575"/>
      <c r="O53" s="575">
        <f>ROUND(SUM(O41:O51),2)</f>
        <v>0</v>
      </c>
      <c r="P53" s="96"/>
      <c r="S53" s="122"/>
    </row>
    <row r="54" spans="2:25" ht="13.5" customHeight="1" x14ac:dyDescent="0.35">
      <c r="B54" s="553"/>
      <c r="C54" s="600" t="s">
        <v>153</v>
      </c>
      <c r="D54" s="596"/>
      <c r="E54" s="579" t="s">
        <v>155</v>
      </c>
      <c r="F54" s="603"/>
      <c r="G54" s="627" t="s">
        <v>291</v>
      </c>
      <c r="H54" s="627"/>
      <c r="I54" s="628">
        <v>0</v>
      </c>
      <c r="J54" s="566"/>
      <c r="K54" s="566"/>
      <c r="L54" s="566"/>
      <c r="M54" s="592" t="s">
        <v>152</v>
      </c>
      <c r="N54" s="575"/>
      <c r="O54" s="575">
        <f>ROUND(O53*VLOOKUP(E54,$W$7:$Y$11,2,0),2)</f>
        <v>0</v>
      </c>
      <c r="P54" s="96"/>
      <c r="S54" s="119"/>
    </row>
    <row r="55" spans="2:25" ht="13.5" customHeight="1" x14ac:dyDescent="0.35">
      <c r="B55" s="553"/>
      <c r="C55" s="600"/>
      <c r="D55" s="596"/>
      <c r="E55" s="566"/>
      <c r="F55" s="566"/>
      <c r="G55" s="566"/>
      <c r="H55" s="566"/>
      <c r="I55" s="566"/>
      <c r="J55" s="566"/>
      <c r="K55" s="566"/>
      <c r="L55" s="566"/>
      <c r="M55" s="592" t="s">
        <v>124</v>
      </c>
      <c r="N55" s="566"/>
      <c r="O55" s="575">
        <v>700</v>
      </c>
      <c r="P55" s="96"/>
      <c r="Q55" s="638"/>
    </row>
    <row r="56" spans="2:25" ht="12.75" customHeight="1" x14ac:dyDescent="0.35">
      <c r="B56" s="553"/>
      <c r="C56" s="600" t="s">
        <v>166</v>
      </c>
      <c r="D56" s="596"/>
      <c r="E56" s="559">
        <f>VLOOKUP(E54,$W$7:$Y$11,3,0)</f>
        <v>1</v>
      </c>
      <c r="F56" s="566"/>
      <c r="G56" s="566"/>
      <c r="H56" s="566"/>
      <c r="I56" s="580"/>
      <c r="J56" s="566"/>
      <c r="K56" s="566"/>
      <c r="L56" s="566"/>
      <c r="M56" s="600" t="s">
        <v>123</v>
      </c>
      <c r="N56" s="566"/>
      <c r="O56" s="575">
        <f>SUM(O53:O55)</f>
        <v>700</v>
      </c>
      <c r="P56" s="96"/>
      <c r="S56" s="68" t="s">
        <v>125</v>
      </c>
    </row>
    <row r="57" spans="2:25" ht="13.5" customHeight="1" thickBot="1" x14ac:dyDescent="0.4">
      <c r="B57" s="553"/>
      <c r="C57" s="592" t="s">
        <v>167</v>
      </c>
      <c r="D57" s="601"/>
      <c r="E57" s="581">
        <f>IF(E56=1,O58,ROUND(((O56-O55)/E56+O55)*(1.16),2))</f>
        <v>812</v>
      </c>
      <c r="F57" s="566"/>
      <c r="G57" s="566"/>
      <c r="H57" s="566"/>
      <c r="I57" s="718"/>
      <c r="J57" s="572"/>
      <c r="K57" s="560"/>
      <c r="L57" s="566"/>
      <c r="M57" s="592" t="s">
        <v>125</v>
      </c>
      <c r="N57" s="717"/>
      <c r="O57" s="582">
        <f>ROUND(O56*Tablas!$M$1,2)</f>
        <v>112</v>
      </c>
      <c r="P57" s="96"/>
      <c r="S57" s="69">
        <v>0.11</v>
      </c>
    </row>
    <row r="58" spans="2:25" ht="12.75" customHeight="1" x14ac:dyDescent="0.35">
      <c r="B58" s="553"/>
      <c r="C58" s="592" t="str">
        <f>"Recibos subsecuentes" &amp; " " &amp; IF(E56=1,"","("&amp;E56-1&amp;")")</f>
        <v xml:space="preserve">Recibos subsecuentes </v>
      </c>
      <c r="D58" s="593"/>
      <c r="E58" s="583">
        <f>IF(E56=4,(O58-E57)/3,IF(E56=12,(O58-E57)/11,IF(E56=6,(O58-E57)/5,ROUND(+O58-E57,2))))</f>
        <v>0</v>
      </c>
      <c r="F58" s="572"/>
      <c r="G58" s="572"/>
      <c r="H58" s="572"/>
      <c r="I58" s="566"/>
      <c r="J58" s="566"/>
      <c r="K58" s="566"/>
      <c r="L58" s="566"/>
      <c r="M58" s="592" t="s">
        <v>126</v>
      </c>
      <c r="N58" s="566"/>
      <c r="O58" s="584">
        <f>SUM(O56:O57)</f>
        <v>812</v>
      </c>
      <c r="P58" s="96"/>
      <c r="S58" s="70">
        <v>0.16</v>
      </c>
    </row>
    <row r="59" spans="2:25" ht="3" customHeight="1" x14ac:dyDescent="0.35">
      <c r="B59" s="557"/>
      <c r="C59" s="564"/>
      <c r="D59" s="557"/>
      <c r="E59" s="557"/>
      <c r="F59" s="564"/>
      <c r="G59" s="564"/>
      <c r="H59" s="564"/>
      <c r="I59" s="557"/>
      <c r="J59" s="557"/>
      <c r="K59" s="557"/>
      <c r="L59" s="557"/>
      <c r="M59" s="564"/>
      <c r="N59" s="557"/>
      <c r="O59" s="557"/>
      <c r="P59" s="96"/>
    </row>
    <row r="60" spans="2:25" ht="3.75" hidden="1" customHeight="1" x14ac:dyDescent="0.35">
      <c r="B60" s="585"/>
      <c r="C60" s="560"/>
      <c r="D60" s="585"/>
      <c r="E60" s="585"/>
      <c r="F60" s="586"/>
      <c r="G60" s="586"/>
      <c r="H60" s="586"/>
      <c r="I60" s="585"/>
      <c r="J60" s="585"/>
      <c r="K60" s="585"/>
      <c r="L60" s="585"/>
      <c r="M60" s="586"/>
      <c r="N60" s="585"/>
      <c r="O60" s="585"/>
      <c r="P60" s="96"/>
    </row>
    <row r="61" spans="2:25" ht="3.75" customHeight="1" x14ac:dyDescent="0.35">
      <c r="B61" s="553"/>
      <c r="C61" s="560"/>
      <c r="D61" s="553"/>
      <c r="E61" s="553"/>
      <c r="F61" s="553"/>
      <c r="G61" s="553"/>
      <c r="H61" s="553"/>
      <c r="I61" s="553"/>
      <c r="J61" s="553"/>
      <c r="K61" s="553"/>
      <c r="L61" s="553"/>
      <c r="M61" s="587"/>
      <c r="N61" s="553"/>
      <c r="O61" s="554"/>
      <c r="P61" s="96"/>
    </row>
    <row r="62" spans="2:25" ht="12" customHeight="1" x14ac:dyDescent="0.35">
      <c r="B62" s="768" t="s">
        <v>174</v>
      </c>
      <c r="C62" s="768"/>
      <c r="D62" s="768"/>
      <c r="E62" s="768"/>
      <c r="F62" s="768"/>
      <c r="G62" s="768"/>
      <c r="H62" s="768"/>
      <c r="I62" s="768"/>
      <c r="J62" s="768"/>
      <c r="K62" s="768"/>
      <c r="L62" s="768"/>
      <c r="M62" s="768"/>
      <c r="N62" s="768"/>
      <c r="O62" s="768"/>
      <c r="P62" s="96"/>
      <c r="Q62" s="120"/>
    </row>
    <row r="63" spans="2:25" ht="2.25" hidden="1" customHeight="1" x14ac:dyDescent="0.35">
      <c r="B63" s="560"/>
      <c r="C63" s="566"/>
      <c r="D63" s="560"/>
      <c r="E63" s="560"/>
      <c r="F63" s="560"/>
      <c r="G63" s="560"/>
      <c r="H63" s="560"/>
      <c r="I63" s="560"/>
      <c r="J63" s="560"/>
      <c r="K63" s="560"/>
      <c r="L63" s="560"/>
      <c r="M63" s="588"/>
      <c r="N63" s="560"/>
      <c r="O63" s="589"/>
      <c r="P63" s="96"/>
      <c r="R63" s="120"/>
    </row>
    <row r="64" spans="2:25" ht="13.5" customHeight="1" x14ac:dyDescent="0.35">
      <c r="B64" s="769" t="s">
        <v>175</v>
      </c>
      <c r="C64" s="769"/>
      <c r="D64" s="769"/>
      <c r="E64" s="769"/>
      <c r="F64" s="769"/>
      <c r="G64" s="769"/>
      <c r="H64" s="769"/>
      <c r="I64" s="769"/>
      <c r="J64" s="769"/>
      <c r="K64" s="769"/>
      <c r="L64" s="769"/>
      <c r="M64" s="769"/>
      <c r="N64" s="769"/>
      <c r="O64" s="769"/>
      <c r="P64" s="96"/>
    </row>
    <row r="65" spans="2:16" ht="13.5" customHeight="1" x14ac:dyDescent="0.35">
      <c r="B65" s="754" t="s">
        <v>223</v>
      </c>
      <c r="C65" s="754"/>
      <c r="D65" s="754"/>
      <c r="E65" s="754"/>
      <c r="F65" s="754"/>
      <c r="G65" s="754"/>
      <c r="H65" s="754"/>
      <c r="I65" s="754"/>
      <c r="J65" s="754"/>
      <c r="K65" s="754"/>
      <c r="L65" s="754"/>
      <c r="M65" s="754"/>
      <c r="N65" s="754"/>
      <c r="O65" s="754"/>
      <c r="P65" s="96"/>
    </row>
    <row r="66" spans="2:16" ht="14.25" customHeight="1" x14ac:dyDescent="0.35">
      <c r="B66" s="753" t="s">
        <v>293</v>
      </c>
      <c r="C66" s="753"/>
      <c r="D66" s="753"/>
      <c r="E66" s="753"/>
      <c r="F66" s="753"/>
      <c r="G66" s="753"/>
      <c r="H66" s="753"/>
      <c r="I66" s="753"/>
      <c r="J66" s="753"/>
      <c r="K66" s="753"/>
      <c r="L66" s="753"/>
      <c r="M66" s="753"/>
      <c r="N66" s="753"/>
      <c r="O66" s="753"/>
      <c r="P66" s="96"/>
    </row>
    <row r="67" spans="2:16" ht="13.5" customHeight="1" x14ac:dyDescent="0.35">
      <c r="B67" s="753" t="s">
        <v>258</v>
      </c>
      <c r="C67" s="753"/>
      <c r="D67" s="753"/>
      <c r="E67" s="753"/>
      <c r="F67" s="753"/>
      <c r="G67" s="753"/>
      <c r="H67" s="753"/>
      <c r="I67" s="753"/>
      <c r="J67" s="753"/>
      <c r="K67" s="753"/>
      <c r="L67" s="753"/>
      <c r="M67" s="753"/>
      <c r="N67" s="753"/>
      <c r="O67" s="753"/>
      <c r="P67" s="96"/>
    </row>
    <row r="68" spans="2:16" ht="13.5" customHeight="1" x14ac:dyDescent="0.35">
      <c r="B68" s="753" t="s">
        <v>257</v>
      </c>
      <c r="C68" s="753"/>
      <c r="D68" s="753"/>
      <c r="E68" s="753"/>
      <c r="F68" s="753"/>
      <c r="G68" s="753"/>
      <c r="H68" s="753"/>
      <c r="I68" s="753"/>
      <c r="J68" s="753"/>
      <c r="K68" s="753"/>
      <c r="L68" s="753"/>
      <c r="M68" s="753"/>
      <c r="N68" s="753"/>
      <c r="O68" s="753"/>
      <c r="P68" s="96"/>
    </row>
    <row r="69" spans="2:16" ht="53.25" customHeight="1" x14ac:dyDescent="0.35">
      <c r="B69" s="753" t="s">
        <v>176</v>
      </c>
      <c r="C69" s="753"/>
      <c r="D69" s="753"/>
      <c r="E69" s="753"/>
      <c r="F69" s="753"/>
      <c r="G69" s="753"/>
      <c r="H69" s="753"/>
      <c r="I69" s="753"/>
      <c r="J69" s="753"/>
      <c r="K69" s="753"/>
      <c r="L69" s="753"/>
      <c r="M69" s="753"/>
      <c r="N69" s="753"/>
      <c r="O69" s="753"/>
      <c r="P69" s="97"/>
    </row>
    <row r="70" spans="2:16" ht="42.75" customHeight="1" x14ac:dyDescent="0.35">
      <c r="B70" s="766" t="str">
        <f>IF(Cotizador!$K$11="NO","","Cotización de carácter informativo para pólizas de renovación.
Tarifa vigente a partir del 01 de septiembre del 2023")</f>
        <v>Cotización de carácter informativo para pólizas de renovación.
Tarifa vigente a partir del 01 de septiembre del 2023</v>
      </c>
      <c r="C70" s="766"/>
      <c r="D70" s="766"/>
      <c r="E70" s="766"/>
      <c r="F70" s="766"/>
      <c r="G70" s="766"/>
      <c r="H70" s="766"/>
      <c r="I70" s="766"/>
      <c r="J70" s="766"/>
      <c r="K70" s="766"/>
      <c r="L70" s="766"/>
      <c r="M70" s="766"/>
      <c r="N70" s="766"/>
      <c r="O70" s="766"/>
      <c r="P70" s="97"/>
    </row>
    <row r="71" spans="2:16" ht="20.25" customHeight="1" x14ac:dyDescent="0.35">
      <c r="B71" s="770" t="str">
        <f>IF(Cotizador!$K$11="NO","","Los nuevos Montos de Tabulador son aplicables únicamente para pólizas nuevas; las pólizas de renovación conservarán su Monto de Tabular contratado.")</f>
        <v>Los nuevos Montos de Tabulador son aplicables únicamente para pólizas nuevas; las pólizas de renovación conservarán su Monto de Tabular contratado.</v>
      </c>
      <c r="C71" s="770"/>
      <c r="D71" s="770"/>
      <c r="E71" s="770"/>
      <c r="F71" s="770"/>
      <c r="G71" s="770"/>
      <c r="H71" s="770"/>
      <c r="I71" s="770"/>
      <c r="J71" s="770"/>
      <c r="K71" s="770"/>
      <c r="L71" s="770"/>
      <c r="M71" s="770"/>
      <c r="N71" s="770"/>
      <c r="O71" s="770"/>
      <c r="P71" s="97"/>
    </row>
    <row r="72" spans="2:16" ht="13.5" customHeight="1" x14ac:dyDescent="0.35">
      <c r="B72" s="96"/>
      <c r="C72" s="99"/>
      <c r="D72" s="97"/>
      <c r="E72" s="97"/>
      <c r="F72" s="97"/>
      <c r="G72" s="97"/>
      <c r="H72" s="97"/>
      <c r="I72" s="97"/>
      <c r="J72" s="97"/>
      <c r="K72" s="97"/>
      <c r="L72" s="97"/>
      <c r="M72" s="97"/>
      <c r="N72" s="97"/>
      <c r="O72" s="100"/>
      <c r="P72" s="97"/>
    </row>
    <row r="73" spans="2:16" x14ac:dyDescent="0.35">
      <c r="B73" s="96"/>
      <c r="C73" s="96"/>
      <c r="D73" s="98"/>
      <c r="E73" s="97"/>
      <c r="F73" s="97"/>
      <c r="G73" s="97"/>
      <c r="H73" s="97"/>
      <c r="I73" s="97"/>
      <c r="J73" s="126"/>
      <c r="K73" s="126"/>
      <c r="L73" s="126"/>
      <c r="M73" s="97"/>
      <c r="N73" s="97"/>
      <c r="O73" s="101"/>
      <c r="P73" s="97"/>
    </row>
    <row r="74" spans="2:16" x14ac:dyDescent="0.35">
      <c r="B74" s="96"/>
      <c r="C74" s="96"/>
      <c r="D74" s="98"/>
      <c r="E74" s="97"/>
      <c r="F74" s="97"/>
      <c r="G74" s="97"/>
      <c r="H74" s="97"/>
      <c r="I74" s="97"/>
      <c r="J74" s="126"/>
      <c r="K74" s="126"/>
      <c r="L74" s="126"/>
      <c r="M74" s="97"/>
      <c r="N74" s="97"/>
      <c r="O74" s="101"/>
      <c r="P74" s="97"/>
    </row>
    <row r="75" spans="2:16" x14ac:dyDescent="0.35">
      <c r="B75" s="96"/>
      <c r="C75" s="96"/>
      <c r="D75" s="98"/>
      <c r="E75" s="97"/>
      <c r="F75" s="97"/>
      <c r="G75" s="97"/>
      <c r="H75" s="97"/>
      <c r="I75" s="97"/>
      <c r="J75" s="126"/>
      <c r="K75" s="126"/>
      <c r="L75" s="126"/>
      <c r="M75" s="97"/>
      <c r="N75" s="97"/>
      <c r="O75" s="602" t="str">
        <f>Cotizador!B27</f>
        <v>GM Bx+ 2024. Versión: 1_05.08.31</v>
      </c>
      <c r="P75" s="97"/>
    </row>
    <row r="76" spans="2:16" x14ac:dyDescent="0.35">
      <c r="D76" s="42"/>
      <c r="E76" s="17"/>
      <c r="F76" s="17"/>
      <c r="G76" s="17"/>
      <c r="H76" s="17"/>
      <c r="I76" s="17"/>
      <c r="J76" s="39"/>
      <c r="K76" s="39"/>
      <c r="L76" s="39"/>
      <c r="M76" s="17"/>
      <c r="N76" s="17"/>
      <c r="O76" s="26"/>
      <c r="P76" s="17"/>
    </row>
    <row r="77" spans="2:16" ht="20.25" hidden="1" customHeight="1" x14ac:dyDescent="0.35">
      <c r="C77" s="12"/>
      <c r="D77" s="17"/>
      <c r="E77" s="17"/>
      <c r="F77" s="17"/>
      <c r="G77" s="17"/>
      <c r="H77" s="17"/>
      <c r="I77" s="17"/>
      <c r="J77" s="17"/>
      <c r="K77" s="17"/>
      <c r="L77" s="17"/>
      <c r="M77" s="17"/>
      <c r="N77" s="17"/>
      <c r="O77" s="57"/>
      <c r="P77" s="17"/>
    </row>
    <row r="78" spans="2:16" hidden="1" x14ac:dyDescent="0.35">
      <c r="C78" s="12"/>
      <c r="D78" s="43"/>
      <c r="E78" s="17"/>
      <c r="F78" s="17"/>
      <c r="G78" s="17"/>
      <c r="H78" s="17"/>
      <c r="I78" s="25"/>
      <c r="J78" s="17"/>
      <c r="K78" s="17"/>
      <c r="L78" s="17"/>
      <c r="M78" s="17"/>
      <c r="N78" s="17"/>
      <c r="O78" s="26"/>
      <c r="P78" s="17"/>
    </row>
    <row r="79" spans="2:16" ht="14.25" hidden="1" customHeight="1" x14ac:dyDescent="0.35">
      <c r="D79" s="38"/>
      <c r="E79" s="17"/>
      <c r="F79" s="17"/>
      <c r="G79" s="17"/>
      <c r="H79" s="17"/>
      <c r="I79" s="29"/>
      <c r="J79" s="39"/>
      <c r="K79" s="39"/>
      <c r="L79" s="39"/>
      <c r="M79" s="17"/>
      <c r="N79" s="30"/>
      <c r="O79" s="15"/>
      <c r="P79" s="17"/>
    </row>
    <row r="80" spans="2:16" ht="15.75" hidden="1" customHeight="1" x14ac:dyDescent="0.35">
      <c r="C80" s="12"/>
      <c r="D80" s="38"/>
      <c r="E80" s="17"/>
      <c r="F80" s="17"/>
      <c r="G80" s="17"/>
      <c r="H80" s="17"/>
      <c r="I80" s="17"/>
      <c r="J80" s="17"/>
      <c r="K80" s="17"/>
      <c r="L80" s="17"/>
      <c r="M80" s="127"/>
      <c r="N80" s="17"/>
      <c r="O80" s="26"/>
      <c r="P80" s="17"/>
    </row>
    <row r="81" spans="3:16" hidden="1" x14ac:dyDescent="0.35">
      <c r="D81" s="38"/>
      <c r="E81" s="17"/>
      <c r="F81" s="17"/>
      <c r="G81" s="17"/>
      <c r="H81" s="17"/>
      <c r="I81" s="29"/>
      <c r="J81" s="39"/>
      <c r="K81" s="39"/>
      <c r="L81" s="39"/>
      <c r="M81" s="17"/>
      <c r="N81" s="30"/>
      <c r="O81" s="15"/>
      <c r="P81" s="17"/>
    </row>
    <row r="82" spans="3:16" hidden="1" x14ac:dyDescent="0.35">
      <c r="C82" s="12"/>
      <c r="D82" s="38"/>
      <c r="E82" s="17"/>
      <c r="F82" s="17"/>
      <c r="G82" s="17"/>
      <c r="H82" s="17"/>
      <c r="I82" s="17"/>
      <c r="J82" s="17"/>
      <c r="K82" s="17"/>
      <c r="L82" s="17"/>
      <c r="M82" s="17"/>
      <c r="N82" s="17"/>
      <c r="O82" s="26"/>
      <c r="P82" s="17"/>
    </row>
    <row r="83" spans="3:16" hidden="1" x14ac:dyDescent="0.35">
      <c r="D83" s="38"/>
      <c r="E83" s="17"/>
      <c r="F83" s="17"/>
      <c r="G83" s="17"/>
      <c r="H83" s="17"/>
      <c r="I83" s="29"/>
      <c r="J83" s="39"/>
      <c r="K83" s="39"/>
      <c r="L83" s="39"/>
      <c r="M83" s="17"/>
      <c r="N83" s="17"/>
      <c r="O83" s="15"/>
      <c r="P83" s="17"/>
    </row>
    <row r="84" spans="3:16" ht="11.25" hidden="1" customHeight="1" x14ac:dyDescent="0.35">
      <c r="C84" s="12"/>
      <c r="D84" s="38"/>
      <c r="E84" s="17"/>
      <c r="F84" s="17"/>
      <c r="G84" s="17"/>
      <c r="H84" s="17"/>
      <c r="I84" s="17"/>
      <c r="J84" s="17"/>
      <c r="K84" s="17"/>
      <c r="L84" s="17"/>
      <c r="M84" s="17"/>
      <c r="N84" s="17"/>
      <c r="O84" s="26"/>
      <c r="P84" s="17"/>
    </row>
    <row r="85" spans="3:16" hidden="1" x14ac:dyDescent="0.35">
      <c r="J85" s="12"/>
      <c r="K85" s="12"/>
      <c r="L85" s="12"/>
      <c r="N85" s="58"/>
      <c r="O85" s="15"/>
    </row>
    <row r="86" spans="3:16" hidden="1" x14ac:dyDescent="0.35">
      <c r="C86" s="12"/>
      <c r="N86" s="59"/>
    </row>
    <row r="87" spans="3:16" ht="16.5" hidden="1" x14ac:dyDescent="0.35">
      <c r="C87" s="45"/>
      <c r="E87" s="32"/>
      <c r="F87" s="32"/>
      <c r="G87" s="32"/>
      <c r="H87" s="32"/>
      <c r="I87" s="32"/>
      <c r="J87" s="32"/>
      <c r="K87" s="32"/>
      <c r="L87" s="33"/>
      <c r="M87" s="47"/>
      <c r="N87" s="59"/>
    </row>
    <row r="88" spans="3:16" hidden="1" x14ac:dyDescent="0.35">
      <c r="D88" s="17"/>
      <c r="E88" s="17"/>
      <c r="F88" s="17"/>
      <c r="G88" s="17"/>
      <c r="H88" s="17"/>
      <c r="I88" s="17"/>
      <c r="J88" s="17"/>
      <c r="K88" s="17"/>
      <c r="L88" s="34"/>
      <c r="M88" s="17"/>
      <c r="N88" s="59"/>
    </row>
    <row r="89" spans="3:16" hidden="1" x14ac:dyDescent="0.35">
      <c r="C89" s="42"/>
      <c r="E89" s="46"/>
      <c r="F89" s="34"/>
      <c r="G89" s="34"/>
      <c r="H89" s="34"/>
      <c r="I89" s="36"/>
      <c r="J89" s="34"/>
      <c r="K89" s="34"/>
      <c r="L89" s="34"/>
      <c r="M89" s="48"/>
      <c r="N89" s="59"/>
    </row>
    <row r="90" spans="3:16" hidden="1" x14ac:dyDescent="0.35">
      <c r="D90" s="34"/>
      <c r="E90" s="34"/>
      <c r="F90" s="34"/>
      <c r="G90" s="34"/>
      <c r="H90" s="34"/>
      <c r="I90" s="34"/>
      <c r="J90" s="34"/>
      <c r="K90" s="34"/>
      <c r="L90" s="34"/>
      <c r="M90" s="34"/>
    </row>
    <row r="91" spans="3:16" hidden="1" x14ac:dyDescent="0.35">
      <c r="C91" s="42"/>
      <c r="E91" s="46"/>
      <c r="F91" s="34"/>
      <c r="G91" s="34"/>
      <c r="H91" s="34"/>
      <c r="I91" s="34"/>
      <c r="J91" s="34"/>
      <c r="K91" s="34"/>
      <c r="L91" s="34"/>
      <c r="M91" s="48"/>
      <c r="N91" s="9"/>
    </row>
    <row r="92" spans="3:16" hidden="1" x14ac:dyDescent="0.35">
      <c r="D92" s="34"/>
      <c r="E92" s="34"/>
      <c r="F92" s="34"/>
      <c r="G92" s="34"/>
      <c r="H92" s="34"/>
      <c r="I92" s="34"/>
      <c r="J92" s="34"/>
      <c r="K92" s="34"/>
      <c r="L92" s="34"/>
      <c r="M92" s="34"/>
    </row>
    <row r="93" spans="3:16" hidden="1" x14ac:dyDescent="0.35">
      <c r="C93" s="42"/>
      <c r="E93" s="46"/>
      <c r="F93" s="34"/>
      <c r="G93" s="34"/>
      <c r="H93" s="34"/>
      <c r="I93" s="34"/>
      <c r="J93" s="34"/>
      <c r="K93" s="34"/>
      <c r="L93" s="34"/>
      <c r="M93" s="48"/>
    </row>
    <row r="94" spans="3:16" hidden="1" x14ac:dyDescent="0.35">
      <c r="C94" s="42"/>
      <c r="E94" s="46"/>
      <c r="F94" s="34"/>
      <c r="G94" s="34"/>
      <c r="H94" s="34"/>
      <c r="I94" s="34"/>
      <c r="J94" s="34"/>
      <c r="K94" s="34"/>
      <c r="L94" s="34"/>
      <c r="M94" s="48"/>
    </row>
    <row r="95" spans="3:16" hidden="1" x14ac:dyDescent="0.35">
      <c r="C95" s="42"/>
      <c r="E95" s="46"/>
      <c r="F95" s="34"/>
      <c r="G95" s="34"/>
      <c r="H95" s="34"/>
      <c r="I95" s="34"/>
      <c r="J95" s="34"/>
      <c r="K95" s="34"/>
      <c r="L95" s="34"/>
      <c r="M95" s="48"/>
    </row>
    <row r="96" spans="3:16" hidden="1" x14ac:dyDescent="0.35">
      <c r="C96" s="42"/>
      <c r="E96" s="46"/>
      <c r="F96" s="34"/>
      <c r="G96" s="34"/>
      <c r="H96" s="34"/>
      <c r="I96" s="34"/>
      <c r="J96" s="34"/>
      <c r="K96" s="34"/>
      <c r="L96" s="34"/>
      <c r="M96" s="48"/>
    </row>
    <row r="97" spans="3:13" hidden="1" x14ac:dyDescent="0.35">
      <c r="C97" s="42"/>
      <c r="E97" s="46"/>
      <c r="F97" s="34"/>
      <c r="G97" s="34"/>
      <c r="H97" s="34"/>
      <c r="I97" s="34"/>
      <c r="J97" s="34"/>
      <c r="K97" s="34"/>
      <c r="L97" s="34"/>
      <c r="M97" s="48"/>
    </row>
    <row r="98" spans="3:13" hidden="1" x14ac:dyDescent="0.35">
      <c r="C98" s="42"/>
      <c r="E98" s="46"/>
      <c r="F98" s="34"/>
      <c r="G98" s="34"/>
      <c r="H98" s="34"/>
      <c r="I98" s="34"/>
      <c r="J98" s="34"/>
      <c r="K98" s="34"/>
      <c r="L98" s="34"/>
      <c r="M98" s="48"/>
    </row>
    <row r="99" spans="3:13" hidden="1" x14ac:dyDescent="0.35">
      <c r="D99" s="34"/>
      <c r="E99" s="34"/>
      <c r="F99" s="34"/>
      <c r="G99" s="34"/>
      <c r="H99" s="34"/>
      <c r="I99" s="34"/>
      <c r="J99" s="34"/>
      <c r="K99" s="34"/>
      <c r="L99" s="34"/>
      <c r="M99" s="34"/>
    </row>
    <row r="100" spans="3:13" hidden="1" x14ac:dyDescent="0.35">
      <c r="C100" s="42"/>
      <c r="E100" s="46"/>
      <c r="F100" s="34"/>
      <c r="G100" s="34"/>
      <c r="H100" s="34"/>
      <c r="I100" s="34"/>
      <c r="J100" s="34"/>
      <c r="K100" s="34"/>
      <c r="L100" s="34"/>
      <c r="M100" s="48"/>
    </row>
    <row r="101" spans="3:13" hidden="1" x14ac:dyDescent="0.35">
      <c r="D101" s="34"/>
      <c r="E101" s="34"/>
      <c r="F101" s="34"/>
      <c r="G101" s="34"/>
      <c r="H101" s="34"/>
      <c r="I101" s="34"/>
      <c r="J101" s="34"/>
      <c r="K101" s="34"/>
      <c r="L101" s="34"/>
      <c r="M101" s="34"/>
    </row>
    <row r="102" spans="3:13" hidden="1" x14ac:dyDescent="0.35">
      <c r="C102" s="42"/>
      <c r="E102" s="46"/>
      <c r="F102" s="34"/>
      <c r="G102" s="34"/>
      <c r="H102" s="34"/>
      <c r="I102" s="34"/>
      <c r="J102" s="34"/>
      <c r="K102" s="34"/>
      <c r="L102" s="34"/>
      <c r="M102" s="48"/>
    </row>
    <row r="103" spans="3:13" hidden="1" x14ac:dyDescent="0.35">
      <c r="D103" s="34"/>
      <c r="E103" s="34"/>
      <c r="F103" s="34"/>
      <c r="G103" s="34"/>
      <c r="H103" s="34"/>
      <c r="I103" s="34"/>
      <c r="J103" s="34"/>
      <c r="K103" s="34"/>
      <c r="L103" s="34"/>
      <c r="M103" s="34"/>
    </row>
    <row r="104" spans="3:13" hidden="1" x14ac:dyDescent="0.35">
      <c r="C104" s="42"/>
      <c r="E104" s="46"/>
      <c r="F104" s="34"/>
      <c r="G104" s="34"/>
      <c r="H104" s="34"/>
      <c r="I104" s="34"/>
      <c r="J104" s="34"/>
      <c r="K104" s="34"/>
      <c r="L104" s="34"/>
      <c r="M104" s="48"/>
    </row>
    <row r="105" spans="3:13" hidden="1" x14ac:dyDescent="0.35">
      <c r="D105" s="2"/>
      <c r="E105" s="2"/>
      <c r="F105" s="2"/>
      <c r="G105" s="2"/>
      <c r="H105" s="2"/>
      <c r="I105" s="2"/>
      <c r="J105" s="2"/>
      <c r="K105" s="2"/>
      <c r="L105" s="2"/>
      <c r="M105" s="2"/>
    </row>
    <row r="106" spans="3:13" ht="15.5" hidden="1" x14ac:dyDescent="0.35">
      <c r="F106" s="40"/>
      <c r="G106" s="40"/>
      <c r="H106" s="40"/>
      <c r="J106" s="41"/>
      <c r="K106" s="41"/>
      <c r="L106" s="41"/>
      <c r="M106" s="60"/>
    </row>
    <row r="107" spans="3:13" ht="15.5" hidden="1" x14ac:dyDescent="0.35">
      <c r="F107" s="40"/>
      <c r="G107" s="40"/>
      <c r="H107" s="40"/>
      <c r="J107" s="41"/>
      <c r="K107" s="41"/>
      <c r="L107" s="41"/>
      <c r="M107" s="60"/>
    </row>
    <row r="108" spans="3:13" ht="15.5" hidden="1" x14ac:dyDescent="0.35">
      <c r="C108" s="23"/>
      <c r="F108" s="41"/>
      <c r="G108" s="41"/>
      <c r="H108" s="41"/>
      <c r="J108" s="41"/>
      <c r="K108" s="41"/>
      <c r="L108" s="41"/>
      <c r="M108" s="61"/>
    </row>
    <row r="109" spans="3:13" ht="15.5" hidden="1" x14ac:dyDescent="0.35">
      <c r="F109" s="40"/>
      <c r="G109" s="40"/>
      <c r="H109" s="40"/>
      <c r="J109" s="41"/>
      <c r="K109" s="41"/>
      <c r="L109" s="41"/>
      <c r="M109" s="60"/>
    </row>
    <row r="117" spans="6:8" hidden="1" x14ac:dyDescent="0.35">
      <c r="F117" s="7"/>
      <c r="G117" s="7"/>
      <c r="H117" s="7"/>
    </row>
  </sheetData>
  <sheetProtection algorithmName="SHA-512" hashValue="lZPVxjIjNsquUNHztPgE8D3G/T7iRUY/xZ4Bt9xNd61UV8oPac5oJOcKbETzYzi6wMmb3rIwkCTjHdnTgngUOQ==" saltValue="8OPNSzUnwfQAHN+TihF+ow==" spinCount="100000" sheet="1" objects="1" scenarios="1" selectLockedCells="1"/>
  <mergeCells count="40">
    <mergeCell ref="F27:O27"/>
    <mergeCell ref="F31:O31"/>
    <mergeCell ref="F29:O29"/>
    <mergeCell ref="B71:O71"/>
    <mergeCell ref="B2:O2"/>
    <mergeCell ref="B3:O3"/>
    <mergeCell ref="F25:O25"/>
    <mergeCell ref="F30:O30"/>
    <mergeCell ref="C38:E38"/>
    <mergeCell ref="D6:M6"/>
    <mergeCell ref="D7:M7"/>
    <mergeCell ref="D8:I8"/>
    <mergeCell ref="K12:M12"/>
    <mergeCell ref="K10:M10"/>
    <mergeCell ref="K14:M14"/>
    <mergeCell ref="F19:O19"/>
    <mergeCell ref="F20:O20"/>
    <mergeCell ref="F33:O33"/>
    <mergeCell ref="B70:O70"/>
    <mergeCell ref="F28:O28"/>
    <mergeCell ref="F36:O36"/>
    <mergeCell ref="C47:E47"/>
    <mergeCell ref="C45:E45"/>
    <mergeCell ref="C51:E51"/>
    <mergeCell ref="C49:E49"/>
    <mergeCell ref="F32:O32"/>
    <mergeCell ref="B69:O69"/>
    <mergeCell ref="C43:E43"/>
    <mergeCell ref="B68:O68"/>
    <mergeCell ref="B62:O62"/>
    <mergeCell ref="B64:O64"/>
    <mergeCell ref="B66:O66"/>
    <mergeCell ref="B67:O67"/>
    <mergeCell ref="B65:O65"/>
    <mergeCell ref="C52:E52"/>
    <mergeCell ref="W38:Y38"/>
    <mergeCell ref="F34:O34"/>
    <mergeCell ref="F35:O35"/>
    <mergeCell ref="M38:O38"/>
    <mergeCell ref="C41:E41"/>
  </mergeCells>
  <phoneticPr fontId="6" type="noConversion"/>
  <conditionalFormatting sqref="M89 M91 M93:M98 M100 M102 M104 O73:O74 O80 O78 N85:N86 O84 N79 N81 O82 O76">
    <cfRule type="cellIs" dxfId="1" priority="2" stopIfTrue="1" operator="equal">
      <formula>0</formula>
    </cfRule>
  </conditionalFormatting>
  <conditionalFormatting sqref="E58">
    <cfRule type="cellIs" dxfId="0" priority="1" stopIfTrue="1" operator="equal">
      <formula>0</formula>
    </cfRule>
  </conditionalFormatting>
  <dataValidations xWindow="457" yWindow="549" count="3">
    <dataValidation allowBlank="1" showErrorMessage="1" promptTitle="SUMA ASEGURADA" prompt="Ingrese el monto que desea contratar como Suma Asegurada para esta cobertura" sqref="M80"/>
    <dataValidation allowBlank="1" showInputMessage="1" showErrorMessage="1" sqref="J85:L85 J83:L83 J81:L81 J79:L79 J73:L76"/>
    <dataValidation type="list" allowBlank="1" showInputMessage="1" showErrorMessage="1" sqref="E54">
      <formula1>$W$7:$W$11</formula1>
    </dataValidation>
  </dataValidations>
  <printOptions horizontalCentered="1" verticalCentered="1"/>
  <pageMargins left="0" right="0" top="0.54500000000000004" bottom="0" header="0" footer="0"/>
  <pageSetup paperSize="9" scale="68" orientation="portrait" r:id="rId1"/>
  <colBreaks count="1" manualBreakCount="1">
    <brk id="16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61" r:id="rId4" name="Group Box 5">
              <controlPr defaultSize="0" autoFill="0" autoPict="0">
                <anchor moveWithCells="1">
                  <from>
                    <xdr:col>11</xdr:col>
                    <xdr:colOff>76200</xdr:colOff>
                    <xdr:row>37</xdr:row>
                    <xdr:rowOff>127000</xdr:rowOff>
                  </from>
                  <to>
                    <xdr:col>13</xdr:col>
                    <xdr:colOff>520700</xdr:colOff>
                    <xdr:row>38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2" r:id="rId5" name="Group Box 6">
              <controlPr defaultSize="0" autoFill="0" autoPict="0">
                <anchor moveWithCells="1">
                  <from>
                    <xdr:col>12</xdr:col>
                    <xdr:colOff>0</xdr:colOff>
                    <xdr:row>40</xdr:row>
                    <xdr:rowOff>165100</xdr:rowOff>
                  </from>
                  <to>
                    <xdr:col>13</xdr:col>
                    <xdr:colOff>520700</xdr:colOff>
                    <xdr:row>43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3" r:id="rId6" name="Group Box 7">
              <controlPr defaultSize="0" autoFill="0" autoPict="0">
                <anchor moveWithCells="1">
                  <from>
                    <xdr:col>12</xdr:col>
                    <xdr:colOff>0</xdr:colOff>
                    <xdr:row>42</xdr:row>
                    <xdr:rowOff>152400</xdr:rowOff>
                  </from>
                  <to>
                    <xdr:col>13</xdr:col>
                    <xdr:colOff>520700</xdr:colOff>
                    <xdr:row>45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4" r:id="rId7" name="Group Box 8">
              <controlPr defaultSize="0" autoFill="0" autoPict="0">
                <anchor moveWithCells="1">
                  <from>
                    <xdr:col>12</xdr:col>
                    <xdr:colOff>0</xdr:colOff>
                    <xdr:row>44</xdr:row>
                    <xdr:rowOff>152400</xdr:rowOff>
                  </from>
                  <to>
                    <xdr:col>13</xdr:col>
                    <xdr:colOff>520700</xdr:colOff>
                    <xdr:row>47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5" r:id="rId8" name="Group Box 9">
              <controlPr defaultSize="0" autoFill="0" autoPict="0">
                <anchor moveWithCells="1">
                  <from>
                    <xdr:col>12</xdr:col>
                    <xdr:colOff>0</xdr:colOff>
                    <xdr:row>46</xdr:row>
                    <xdr:rowOff>146050</xdr:rowOff>
                  </from>
                  <to>
                    <xdr:col>13</xdr:col>
                    <xdr:colOff>520700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6" r:id="rId9" name="Group Box 10">
              <controlPr defaultSize="0" autoFill="0" autoPict="0">
                <anchor moveWithCells="1">
                  <from>
                    <xdr:col>12</xdr:col>
                    <xdr:colOff>0</xdr:colOff>
                    <xdr:row>48</xdr:row>
                    <xdr:rowOff>139700</xdr:rowOff>
                  </from>
                  <to>
                    <xdr:col>13</xdr:col>
                    <xdr:colOff>520700</xdr:colOff>
                    <xdr:row>52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1:AV168"/>
  <sheetViews>
    <sheetView zoomScale="90" zoomScaleNormal="90" workbookViewId="0"/>
  </sheetViews>
  <sheetFormatPr baseColWidth="10" defaultColWidth="14.54296875" defaultRowHeight="10.5" x14ac:dyDescent="0.25"/>
  <cols>
    <col min="1" max="2" width="14.54296875" style="128"/>
    <col min="3" max="3" width="10.54296875" style="128" bestFit="1" customWidth="1"/>
    <col min="4" max="4" width="10" style="128" customWidth="1"/>
    <col min="5" max="12" width="14.54296875" style="128" customWidth="1"/>
    <col min="13" max="13" width="17.81640625" style="128" customWidth="1"/>
    <col min="14" max="16" width="14.54296875" style="128" customWidth="1"/>
    <col min="17" max="17" width="23.1796875" style="128" customWidth="1"/>
    <col min="18" max="19" width="14.54296875" style="128" customWidth="1"/>
    <col min="20" max="28" width="14.54296875" style="128" hidden="1" customWidth="1"/>
    <col min="29" max="29" width="18.81640625" style="128" customWidth="1"/>
    <col min="30" max="39" width="21.54296875" style="128" customWidth="1"/>
    <col min="40" max="40" width="21" style="128" customWidth="1"/>
    <col min="41" max="43" width="14.54296875" style="128" customWidth="1"/>
    <col min="44" max="44" width="16" style="128" customWidth="1"/>
    <col min="45" max="45" width="16.54296875" style="128" customWidth="1"/>
    <col min="46" max="46" width="14.54296875" style="128" customWidth="1"/>
    <col min="47" max="47" width="18.81640625" style="128" customWidth="1"/>
    <col min="48" max="16384" width="14.54296875" style="128"/>
  </cols>
  <sheetData>
    <row r="1" spans="1:48" ht="38.25" customHeight="1" thickBot="1" x14ac:dyDescent="0.4">
      <c r="C1" s="452"/>
      <c r="D1" s="336" t="s">
        <v>259</v>
      </c>
      <c r="J1" s="171" t="s">
        <v>229</v>
      </c>
      <c r="K1" s="174">
        <v>0.15</v>
      </c>
      <c r="L1" s="171" t="s">
        <v>125</v>
      </c>
      <c r="M1" s="174">
        <v>0.16</v>
      </c>
      <c r="AF1"/>
      <c r="AG1"/>
      <c r="AH1"/>
      <c r="AN1" s="129"/>
      <c r="AO1" s="784" t="s">
        <v>51</v>
      </c>
      <c r="AP1" s="784"/>
      <c r="AR1" s="785" t="s">
        <v>78</v>
      </c>
      <c r="AS1" s="785"/>
      <c r="AU1" s="789" t="s">
        <v>240</v>
      </c>
      <c r="AV1" s="789"/>
    </row>
    <row r="2" spans="1:48" ht="15.75" customHeight="1" thickBot="1" x14ac:dyDescent="0.4">
      <c r="E2" s="139"/>
      <c r="F2" s="187"/>
      <c r="G2" s="131"/>
      <c r="H2" s="131"/>
      <c r="I2" s="131"/>
      <c r="J2" s="172" t="s">
        <v>230</v>
      </c>
      <c r="K2" s="175">
        <v>0.25</v>
      </c>
      <c r="R2" s="155"/>
      <c r="S2" s="155"/>
      <c r="T2" s="155"/>
      <c r="U2" s="155"/>
      <c r="V2" s="155"/>
      <c r="W2" s="155"/>
      <c r="X2" s="155"/>
      <c r="Y2" s="155"/>
      <c r="Z2" s="155"/>
      <c r="AA2" s="155"/>
      <c r="AC2" s="155" t="s">
        <v>245</v>
      </c>
      <c r="AD2" s="184" t="s">
        <v>68</v>
      </c>
      <c r="AE2" s="712" t="e">
        <f>VLOOKUP(VLOOKUP(Cotizador!T22,Tablas!$Q$5:$R$36,2,0),$AC$5:$AE$14,2,0)</f>
        <v>#N/A</v>
      </c>
      <c r="AF2"/>
      <c r="AG2"/>
      <c r="AH2"/>
      <c r="AI2"/>
      <c r="AJ2"/>
      <c r="AK2"/>
      <c r="AL2"/>
      <c r="AM2"/>
      <c r="AO2" s="227" t="s">
        <v>67</v>
      </c>
      <c r="AP2" s="266" t="e">
        <f>VLOOKUP(Cotizador!T25,Tablas!$AO$4:$AP$22,2,0)</f>
        <v>#N/A</v>
      </c>
      <c r="AR2" s="792" t="s">
        <v>77</v>
      </c>
      <c r="AS2" s="793"/>
      <c r="AU2" s="227" t="s">
        <v>200</v>
      </c>
      <c r="AV2" s="266">
        <v>1.08</v>
      </c>
    </row>
    <row r="3" spans="1:48" ht="19.5" customHeight="1" thickBot="1" x14ac:dyDescent="0.4">
      <c r="D3" s="128" t="s">
        <v>283</v>
      </c>
      <c r="E3" s="139"/>
      <c r="F3" s="187"/>
      <c r="G3" s="131"/>
      <c r="H3" s="131"/>
      <c r="I3" s="131"/>
      <c r="J3" s="173" t="s">
        <v>231</v>
      </c>
      <c r="K3" s="176">
        <v>0.05</v>
      </c>
      <c r="Q3" s="784" t="s">
        <v>161</v>
      </c>
      <c r="R3" s="784"/>
      <c r="S3" s="131"/>
      <c r="T3" s="131"/>
      <c r="U3" s="131"/>
      <c r="V3" s="131"/>
      <c r="W3" s="131"/>
      <c r="X3" s="131"/>
      <c r="Y3" s="131"/>
      <c r="Z3" s="131"/>
      <c r="AA3" s="131"/>
      <c r="AB3" s="132"/>
      <c r="AC3" s="325" t="s">
        <v>244</v>
      </c>
      <c r="AD3" s="184" t="s">
        <v>246</v>
      </c>
      <c r="AE3" s="712" t="e">
        <f>VLOOKUP(VLOOKUP(Cotizador!T22,Tablas!$Q$5:$R$36,2,0),$AC$5:$AE$14,3,0)</f>
        <v>#N/A</v>
      </c>
      <c r="AF3"/>
      <c r="AG3"/>
      <c r="AH3"/>
      <c r="AI3"/>
      <c r="AJ3"/>
      <c r="AK3"/>
      <c r="AL3"/>
      <c r="AM3"/>
      <c r="AO3" s="180" t="s">
        <v>72</v>
      </c>
      <c r="AP3" s="180" t="s">
        <v>242</v>
      </c>
      <c r="AR3" s="265" t="s">
        <v>0</v>
      </c>
      <c r="AS3" s="265" t="s">
        <v>76</v>
      </c>
    </row>
    <row r="4" spans="1:48" ht="21.5" thickBot="1" x14ac:dyDescent="0.4">
      <c r="A4" s="634" t="s">
        <v>325</v>
      </c>
      <c r="C4" s="788" t="s">
        <v>234</v>
      </c>
      <c r="D4" s="788"/>
      <c r="E4" s="788"/>
      <c r="F4" s="788"/>
      <c r="G4" s="788"/>
      <c r="H4" s="788"/>
      <c r="I4" s="788"/>
      <c r="J4" s="788"/>
      <c r="K4" s="788"/>
      <c r="P4" s="647" t="s">
        <v>300</v>
      </c>
      <c r="Q4" s="647" t="s">
        <v>35</v>
      </c>
      <c r="R4" s="648" t="s">
        <v>326</v>
      </c>
      <c r="S4"/>
      <c r="T4"/>
      <c r="U4"/>
      <c r="V4"/>
      <c r="W4"/>
      <c r="X4"/>
      <c r="Y4"/>
      <c r="Z4"/>
      <c r="AA4"/>
      <c r="AC4" s="251" t="s">
        <v>37</v>
      </c>
      <c r="AD4" s="258" t="s">
        <v>327</v>
      </c>
      <c r="AE4" s="258" t="s">
        <v>329</v>
      </c>
      <c r="AF4"/>
      <c r="AG4"/>
      <c r="AH4"/>
      <c r="AI4"/>
      <c r="AJ4"/>
      <c r="AK4"/>
      <c r="AL4"/>
      <c r="AM4"/>
      <c r="AO4" s="302">
        <v>5000</v>
      </c>
      <c r="AP4" s="303">
        <v>1.0780000000000001</v>
      </c>
      <c r="AR4" s="311">
        <v>12</v>
      </c>
      <c r="AS4" s="312">
        <v>1.1720000000000001E-3</v>
      </c>
      <c r="AU4" s="790" t="s">
        <v>188</v>
      </c>
      <c r="AV4" s="791"/>
    </row>
    <row r="5" spans="1:48" ht="15" thickBot="1" x14ac:dyDescent="0.4">
      <c r="A5" s="639">
        <v>0.15</v>
      </c>
      <c r="C5" s="129" t="s">
        <v>233</v>
      </c>
      <c r="D5" s="431">
        <v>1.1000000000000001</v>
      </c>
      <c r="E5" s="787" t="s">
        <v>0</v>
      </c>
      <c r="F5" s="782" t="s">
        <v>36</v>
      </c>
      <c r="G5" s="782"/>
      <c r="H5" s="133"/>
      <c r="I5" s="133"/>
      <c r="J5" s="782" t="s">
        <v>241</v>
      </c>
      <c r="K5" s="782"/>
      <c r="L5" s="134"/>
      <c r="M5" s="155" t="s">
        <v>247</v>
      </c>
      <c r="P5" s="655">
        <v>4</v>
      </c>
      <c r="Q5" s="210" t="s">
        <v>33</v>
      </c>
      <c r="R5" s="646">
        <v>4</v>
      </c>
      <c r="S5"/>
      <c r="T5"/>
      <c r="U5"/>
      <c r="V5"/>
      <c r="W5"/>
      <c r="X5"/>
      <c r="Y5"/>
      <c r="Z5"/>
      <c r="AA5"/>
      <c r="AB5" s="435"/>
      <c r="AC5" s="658">
        <v>10</v>
      </c>
      <c r="AD5" s="326">
        <v>0.872</v>
      </c>
      <c r="AE5" s="326">
        <v>1.1599999999999999</v>
      </c>
      <c r="AF5"/>
      <c r="AG5"/>
      <c r="AH5"/>
      <c r="AI5"/>
      <c r="AJ5"/>
      <c r="AK5"/>
      <c r="AL5"/>
      <c r="AM5"/>
      <c r="AO5" s="299">
        <v>6000</v>
      </c>
      <c r="AP5" s="300">
        <v>1</v>
      </c>
      <c r="AQ5" s="134"/>
      <c r="AR5" s="225">
        <f t="shared" ref="AR5:AR68" si="0">AR4+1</f>
        <v>13</v>
      </c>
      <c r="AS5" s="315">
        <v>1.276E-3</v>
      </c>
      <c r="AU5" s="316" t="s">
        <v>0</v>
      </c>
      <c r="AV5" s="317" t="s">
        <v>56</v>
      </c>
    </row>
    <row r="6" spans="1:48" ht="15" thickBot="1" x14ac:dyDescent="0.4">
      <c r="A6" s="796" t="s">
        <v>299</v>
      </c>
      <c r="B6" s="797"/>
      <c r="C6" s="133" t="s">
        <v>1</v>
      </c>
      <c r="D6" s="133" t="s">
        <v>2</v>
      </c>
      <c r="E6" s="787"/>
      <c r="F6" s="133" t="s">
        <v>1</v>
      </c>
      <c r="G6" s="133" t="s">
        <v>2</v>
      </c>
      <c r="H6" s="133"/>
      <c r="I6" s="133"/>
      <c r="J6" s="205" t="s">
        <v>1</v>
      </c>
      <c r="K6" s="205" t="s">
        <v>2</v>
      </c>
      <c r="L6" s="137"/>
      <c r="M6" s="198" t="s">
        <v>69</v>
      </c>
      <c r="N6" s="216">
        <f>N7</f>
        <v>1.0066999999999999</v>
      </c>
      <c r="P6" s="656">
        <v>4</v>
      </c>
      <c r="Q6" s="651" t="s">
        <v>3</v>
      </c>
      <c r="R6" s="652">
        <v>4</v>
      </c>
      <c r="S6"/>
      <c r="T6"/>
      <c r="U6"/>
      <c r="V6"/>
      <c r="W6"/>
      <c r="X6"/>
      <c r="Y6"/>
      <c r="Z6"/>
      <c r="AA6"/>
      <c r="AB6" s="435"/>
      <c r="AC6" s="659">
        <v>9</v>
      </c>
      <c r="AD6" s="650">
        <v>1.123</v>
      </c>
      <c r="AE6" s="650">
        <v>1.1100000000000001</v>
      </c>
      <c r="AF6"/>
      <c r="AG6"/>
      <c r="AH6"/>
      <c r="AI6"/>
      <c r="AJ6"/>
      <c r="AK6"/>
      <c r="AL6"/>
      <c r="AM6"/>
      <c r="AO6" s="299">
        <v>8000</v>
      </c>
      <c r="AP6" s="300">
        <v>0.88900000000000001</v>
      </c>
      <c r="AQ6" s="134"/>
      <c r="AR6" s="207">
        <f t="shared" si="0"/>
        <v>14</v>
      </c>
      <c r="AS6" s="312">
        <v>1.3619999999999999E-3</v>
      </c>
      <c r="AU6" s="207">
        <v>12</v>
      </c>
      <c r="AV6" s="318">
        <v>7.1529999999999996E-3</v>
      </c>
    </row>
    <row r="7" spans="1:48" ht="15" thickBot="1" x14ac:dyDescent="0.4">
      <c r="A7" s="640">
        <v>6497.0400000000018</v>
      </c>
      <c r="B7" s="640">
        <v>6497.0400000000018</v>
      </c>
      <c r="C7" s="446"/>
      <c r="D7" s="446">
        <v>8174.0612744999999</v>
      </c>
      <c r="E7" s="167">
        <v>0</v>
      </c>
      <c r="F7" s="159">
        <f>A7*(1+$A$5)</f>
        <v>7471.5960000000014</v>
      </c>
      <c r="G7" s="160">
        <f>B7*(1+$A$5)</f>
        <v>7471.5960000000014</v>
      </c>
      <c r="H7" s="448">
        <f t="shared" ref="H7:H70" si="1">ROUND(F7/(1-$K$1-$K$2-$K$3),0)</f>
        <v>13585</v>
      </c>
      <c r="I7" s="446">
        <f t="shared" ref="I7:I70" si="2">ROUND(G7/(1-$K$1-$K$2-$K$3),0)</f>
        <v>13585</v>
      </c>
      <c r="J7" s="161">
        <f t="shared" ref="J7:K10" si="3">ROUND(H7,0)</f>
        <v>13585</v>
      </c>
      <c r="K7" s="162">
        <f t="shared" si="3"/>
        <v>13585</v>
      </c>
      <c r="L7" s="138"/>
      <c r="M7" s="183" t="s">
        <v>115</v>
      </c>
      <c r="N7" s="217">
        <v>1.0066999999999999</v>
      </c>
      <c r="P7" s="655">
        <v>5</v>
      </c>
      <c r="Q7" s="210" t="s">
        <v>4</v>
      </c>
      <c r="R7" s="646">
        <v>5</v>
      </c>
      <c r="S7"/>
      <c r="T7"/>
      <c r="U7"/>
      <c r="V7"/>
      <c r="W7"/>
      <c r="X7"/>
      <c r="Y7"/>
      <c r="Z7"/>
      <c r="AA7"/>
      <c r="AB7" s="435"/>
      <c r="AC7" s="659">
        <v>8</v>
      </c>
      <c r="AD7" s="650">
        <v>1.2889999999999999</v>
      </c>
      <c r="AE7" s="650">
        <v>1.08</v>
      </c>
      <c r="AF7"/>
      <c r="AG7"/>
      <c r="AH7"/>
      <c r="AI7"/>
      <c r="AJ7"/>
      <c r="AK7"/>
      <c r="AL7"/>
      <c r="AM7"/>
      <c r="AO7" s="299">
        <v>10000</v>
      </c>
      <c r="AP7" s="300">
        <v>0.81100000000000005</v>
      </c>
      <c r="AQ7" s="134"/>
      <c r="AR7" s="225">
        <f t="shared" si="0"/>
        <v>15</v>
      </c>
      <c r="AS7" s="315">
        <v>1.4660000000000001E-3</v>
      </c>
      <c r="AU7" s="225">
        <v>13</v>
      </c>
      <c r="AV7" s="319">
        <v>7.7099999999999998E-3</v>
      </c>
    </row>
    <row r="8" spans="1:48" ht="15" thickBot="1" x14ac:dyDescent="0.4">
      <c r="A8" s="641">
        <v>5414.7885000000006</v>
      </c>
      <c r="B8" s="641">
        <v>5414.7885000000006</v>
      </c>
      <c r="C8" s="446"/>
      <c r="D8" s="446">
        <v>5462.4765034399998</v>
      </c>
      <c r="E8" s="166">
        <v>1</v>
      </c>
      <c r="F8" s="159">
        <f t="shared" ref="F8:F71" si="4">A8*(1+$A$5)</f>
        <v>6227.0067749999998</v>
      </c>
      <c r="G8" s="160">
        <f t="shared" ref="G8:G71" si="5">B8*(1+$A$5)</f>
        <v>6227.0067749999998</v>
      </c>
      <c r="H8" s="449">
        <f t="shared" si="1"/>
        <v>11322</v>
      </c>
      <c r="I8" s="446">
        <f t="shared" si="2"/>
        <v>11322</v>
      </c>
      <c r="J8" s="164">
        <f t="shared" si="3"/>
        <v>11322</v>
      </c>
      <c r="K8" s="165">
        <f t="shared" si="3"/>
        <v>11322</v>
      </c>
      <c r="L8" s="136"/>
      <c r="P8" s="656">
        <v>2</v>
      </c>
      <c r="Q8" s="651" t="s">
        <v>5</v>
      </c>
      <c r="R8" s="652">
        <v>2</v>
      </c>
      <c r="S8"/>
      <c r="T8"/>
      <c r="U8"/>
      <c r="V8"/>
      <c r="W8"/>
      <c r="X8"/>
      <c r="Y8"/>
      <c r="Z8"/>
      <c r="AA8"/>
      <c r="AB8" s="435"/>
      <c r="AC8" s="714">
        <v>7</v>
      </c>
      <c r="AD8" s="328">
        <v>1.57</v>
      </c>
      <c r="AE8" s="328">
        <v>1</v>
      </c>
      <c r="AF8"/>
      <c r="AG8"/>
      <c r="AH8"/>
      <c r="AI8"/>
      <c r="AJ8"/>
      <c r="AK8"/>
      <c r="AL8"/>
      <c r="AM8"/>
      <c r="AO8" s="299">
        <v>15000</v>
      </c>
      <c r="AP8" s="300">
        <v>0.68700000000000006</v>
      </c>
      <c r="AQ8" s="134"/>
      <c r="AR8" s="207">
        <f t="shared" si="0"/>
        <v>16</v>
      </c>
      <c r="AS8" s="312">
        <v>1.586E-3</v>
      </c>
      <c r="AU8" s="207">
        <v>14</v>
      </c>
      <c r="AV8" s="318">
        <v>8.3009999999999994E-3</v>
      </c>
    </row>
    <row r="9" spans="1:48" ht="14.5" x14ac:dyDescent="0.35">
      <c r="A9" s="641">
        <v>5414.7885000000006</v>
      </c>
      <c r="B9" s="641">
        <v>5414.7885000000006</v>
      </c>
      <c r="C9" s="446"/>
      <c r="D9" s="446">
        <v>3650.1873625799999</v>
      </c>
      <c r="E9" s="167">
        <v>2</v>
      </c>
      <c r="F9" s="159">
        <f t="shared" si="4"/>
        <v>6227.0067749999998</v>
      </c>
      <c r="G9" s="160">
        <f t="shared" si="5"/>
        <v>6227.0067749999998</v>
      </c>
      <c r="H9" s="449">
        <f t="shared" si="1"/>
        <v>11322</v>
      </c>
      <c r="I9" s="446">
        <f t="shared" si="2"/>
        <v>11322</v>
      </c>
      <c r="J9" s="161">
        <f t="shared" si="3"/>
        <v>11322</v>
      </c>
      <c r="K9" s="162">
        <f t="shared" si="3"/>
        <v>11322</v>
      </c>
      <c r="L9" s="136"/>
      <c r="M9" s="784" t="s">
        <v>63</v>
      </c>
      <c r="N9" s="784"/>
      <c r="P9" s="655">
        <v>4</v>
      </c>
      <c r="Q9" s="210" t="s">
        <v>6</v>
      </c>
      <c r="R9" s="646">
        <v>4</v>
      </c>
      <c r="S9"/>
      <c r="T9"/>
      <c r="U9"/>
      <c r="V9"/>
      <c r="W9"/>
      <c r="X9"/>
      <c r="Y9"/>
      <c r="Z9"/>
      <c r="AA9"/>
      <c r="AB9" s="435"/>
      <c r="AC9" s="713">
        <v>6</v>
      </c>
      <c r="AD9" s="650">
        <v>1.5427</v>
      </c>
      <c r="AE9" s="650">
        <v>1</v>
      </c>
      <c r="AF9"/>
      <c r="AG9"/>
      <c r="AH9"/>
      <c r="AI9"/>
      <c r="AJ9"/>
      <c r="AK9"/>
      <c r="AL9"/>
      <c r="AM9"/>
      <c r="AO9" s="299">
        <v>20000</v>
      </c>
      <c r="AP9" s="300">
        <v>0.61</v>
      </c>
      <c r="AQ9" s="141"/>
      <c r="AR9" s="225">
        <f t="shared" si="0"/>
        <v>17</v>
      </c>
      <c r="AS9" s="315">
        <v>1.707E-3</v>
      </c>
      <c r="AU9" s="225">
        <v>15</v>
      </c>
      <c r="AV9" s="319">
        <v>8.9350000000000002E-3</v>
      </c>
    </row>
    <row r="10" spans="1:48" ht="15" thickBot="1" x14ac:dyDescent="0.4">
      <c r="A10" s="641">
        <v>4331.3600000000006</v>
      </c>
      <c r="B10" s="641">
        <v>4331.3600000000006</v>
      </c>
      <c r="C10" s="446"/>
      <c r="D10" s="446">
        <v>2754.4650925000001</v>
      </c>
      <c r="E10" s="166">
        <v>3</v>
      </c>
      <c r="F10" s="159">
        <f t="shared" si="4"/>
        <v>4981.0640000000003</v>
      </c>
      <c r="G10" s="160">
        <f t="shared" si="5"/>
        <v>4981.0640000000003</v>
      </c>
      <c r="H10" s="449">
        <f t="shared" si="1"/>
        <v>9056</v>
      </c>
      <c r="I10" s="446">
        <f t="shared" si="2"/>
        <v>9056</v>
      </c>
      <c r="J10" s="164">
        <f t="shared" si="3"/>
        <v>9056</v>
      </c>
      <c r="K10" s="165">
        <f t="shared" si="3"/>
        <v>9056</v>
      </c>
      <c r="L10" s="136"/>
      <c r="M10" s="188" t="s">
        <v>65</v>
      </c>
      <c r="N10" s="215" t="e">
        <f>VLOOKUP(VLOOKUP(Cotizador!T22,Tablas!$Q$41:$R$74,2,0),$M$11:$N$15,2,0)</f>
        <v>#N/A</v>
      </c>
      <c r="P10" s="656">
        <v>1</v>
      </c>
      <c r="Q10" s="651" t="s">
        <v>7</v>
      </c>
      <c r="R10" s="652">
        <v>1</v>
      </c>
      <c r="S10"/>
      <c r="T10"/>
      <c r="U10"/>
      <c r="V10"/>
      <c r="W10"/>
      <c r="X10"/>
      <c r="Y10"/>
      <c r="Z10"/>
      <c r="AA10"/>
      <c r="AB10" s="435"/>
      <c r="AC10" s="323">
        <v>5</v>
      </c>
      <c r="AD10" s="326">
        <v>1.407</v>
      </c>
      <c r="AE10" s="326">
        <v>1.04</v>
      </c>
      <c r="AF10"/>
      <c r="AG10"/>
      <c r="AH10"/>
      <c r="AI10"/>
      <c r="AJ10"/>
      <c r="AK10"/>
      <c r="AL10"/>
      <c r="AM10"/>
      <c r="AO10" s="299">
        <v>22000</v>
      </c>
      <c r="AP10" s="300">
        <v>0.58699999999999997</v>
      </c>
      <c r="AQ10" s="134"/>
      <c r="AR10" s="207">
        <f t="shared" si="0"/>
        <v>18</v>
      </c>
      <c r="AS10" s="312">
        <v>1.8450000000000001E-3</v>
      </c>
      <c r="AT10" s="141"/>
      <c r="AU10" s="207">
        <v>16</v>
      </c>
      <c r="AV10" s="318">
        <v>9.6299999999999997E-3</v>
      </c>
    </row>
    <row r="11" spans="1:48" ht="15.75" customHeight="1" thickBot="1" x14ac:dyDescent="0.4">
      <c r="A11" s="641">
        <v>4331.3600000000006</v>
      </c>
      <c r="B11" s="641">
        <v>4331.3600000000006</v>
      </c>
      <c r="C11" s="644"/>
      <c r="D11" s="446">
        <v>2684.1890101399999</v>
      </c>
      <c r="E11" s="163">
        <v>4</v>
      </c>
      <c r="F11" s="159">
        <f t="shared" si="4"/>
        <v>4981.0640000000003</v>
      </c>
      <c r="G11" s="160">
        <f t="shared" si="5"/>
        <v>4981.0640000000003</v>
      </c>
      <c r="H11" s="450">
        <f t="shared" si="1"/>
        <v>9056</v>
      </c>
      <c r="I11" s="426">
        <f t="shared" si="2"/>
        <v>9056</v>
      </c>
      <c r="J11" s="161">
        <f>ROUND(H11,0)</f>
        <v>9056</v>
      </c>
      <c r="K11" s="162">
        <f t="shared" ref="K11:K74" si="6">ROUND(I11,0)</f>
        <v>9056</v>
      </c>
      <c r="L11" s="136"/>
      <c r="M11" s="185" t="s">
        <v>54</v>
      </c>
      <c r="N11" s="186" t="s">
        <v>56</v>
      </c>
      <c r="P11" s="655">
        <v>2</v>
      </c>
      <c r="Q11" s="210" t="s">
        <v>8</v>
      </c>
      <c r="R11" s="646">
        <v>2</v>
      </c>
      <c r="S11"/>
      <c r="T11"/>
      <c r="U11"/>
      <c r="V11"/>
      <c r="W11"/>
      <c r="X11"/>
      <c r="Y11"/>
      <c r="Z11"/>
      <c r="AA11"/>
      <c r="AB11" s="435"/>
      <c r="AC11" s="323">
        <v>4</v>
      </c>
      <c r="AD11" s="327">
        <v>1.254</v>
      </c>
      <c r="AE11" s="327">
        <v>1.08</v>
      </c>
      <c r="AF11"/>
      <c r="AG11"/>
      <c r="AH11"/>
      <c r="AI11"/>
      <c r="AJ11"/>
      <c r="AK11"/>
      <c r="AL11"/>
      <c r="AM11"/>
      <c r="AO11" s="299">
        <v>25000</v>
      </c>
      <c r="AP11" s="300">
        <v>0.55700000000000005</v>
      </c>
      <c r="AR11" s="225">
        <f t="shared" si="0"/>
        <v>19</v>
      </c>
      <c r="AS11" s="315">
        <v>1.983E-3</v>
      </c>
      <c r="AU11" s="225">
        <v>17</v>
      </c>
      <c r="AV11" s="319">
        <v>1.0377000000000001E-2</v>
      </c>
    </row>
    <row r="12" spans="1:48" ht="14.5" x14ac:dyDescent="0.35">
      <c r="A12" s="641">
        <v>4423.7545000000009</v>
      </c>
      <c r="B12" s="641">
        <v>4423.7545000000009</v>
      </c>
      <c r="C12" s="644"/>
      <c r="D12" s="446">
        <v>2871.7593934999995</v>
      </c>
      <c r="E12" s="166">
        <v>5</v>
      </c>
      <c r="F12" s="159">
        <f t="shared" si="4"/>
        <v>5087.3176750000002</v>
      </c>
      <c r="G12" s="160">
        <f t="shared" si="5"/>
        <v>5087.3176750000002</v>
      </c>
      <c r="H12" s="450">
        <f t="shared" si="1"/>
        <v>9250</v>
      </c>
      <c r="I12" s="426">
        <f t="shared" si="2"/>
        <v>9250</v>
      </c>
      <c r="J12" s="164">
        <f t="shared" ref="J12:J75" si="7">ROUND(H12,0)</f>
        <v>9250</v>
      </c>
      <c r="K12" s="165">
        <f t="shared" si="6"/>
        <v>9250</v>
      </c>
      <c r="L12" s="136"/>
      <c r="M12" s="218">
        <v>1</v>
      </c>
      <c r="N12" s="219">
        <v>2.62</v>
      </c>
      <c r="P12" s="656">
        <v>5</v>
      </c>
      <c r="Q12" s="651" t="s">
        <v>9</v>
      </c>
      <c r="R12" s="652">
        <v>5</v>
      </c>
      <c r="S12"/>
      <c r="T12"/>
      <c r="U12"/>
      <c r="V12"/>
      <c r="W12"/>
      <c r="X12"/>
      <c r="Y12"/>
      <c r="Z12"/>
      <c r="AA12"/>
      <c r="AB12" s="435"/>
      <c r="AC12" s="323">
        <v>3</v>
      </c>
      <c r="AD12" s="327">
        <v>1.0720000000000001</v>
      </c>
      <c r="AE12" s="327">
        <v>1.1100000000000001</v>
      </c>
      <c r="AF12"/>
      <c r="AG12"/>
      <c r="AH12"/>
      <c r="AI12"/>
      <c r="AJ12"/>
      <c r="AK12"/>
      <c r="AL12"/>
      <c r="AM12"/>
      <c r="AO12" s="299">
        <v>30000</v>
      </c>
      <c r="AP12" s="300">
        <v>0.51700000000000002</v>
      </c>
      <c r="AR12" s="207">
        <f t="shared" si="0"/>
        <v>20</v>
      </c>
      <c r="AS12" s="312">
        <v>2.1380000000000001E-3</v>
      </c>
      <c r="AU12" s="207">
        <v>18</v>
      </c>
      <c r="AV12" s="318">
        <v>1.0742E-2</v>
      </c>
    </row>
    <row r="13" spans="1:48" ht="14.5" x14ac:dyDescent="0.35">
      <c r="A13" s="641">
        <v>4470.2460000000001</v>
      </c>
      <c r="B13" s="641">
        <v>4445.5290000000014</v>
      </c>
      <c r="C13" s="644"/>
      <c r="D13" s="446">
        <v>2918.605002378571</v>
      </c>
      <c r="E13" s="163">
        <v>6</v>
      </c>
      <c r="F13" s="159">
        <f t="shared" si="4"/>
        <v>5140.7829000000002</v>
      </c>
      <c r="G13" s="160">
        <f t="shared" si="5"/>
        <v>5112.3583500000013</v>
      </c>
      <c r="H13" s="450">
        <f t="shared" si="1"/>
        <v>9347</v>
      </c>
      <c r="I13" s="426">
        <f t="shared" si="2"/>
        <v>9295</v>
      </c>
      <c r="J13" s="161">
        <f t="shared" si="7"/>
        <v>9347</v>
      </c>
      <c r="K13" s="162">
        <f t="shared" si="6"/>
        <v>9295</v>
      </c>
      <c r="L13" s="136"/>
      <c r="M13" s="220">
        <v>2</v>
      </c>
      <c r="N13" s="221">
        <v>2.04</v>
      </c>
      <c r="P13" s="655">
        <v>6</v>
      </c>
      <c r="Q13" s="210" t="s">
        <v>288</v>
      </c>
      <c r="R13" s="646">
        <v>6</v>
      </c>
      <c r="S13"/>
      <c r="T13"/>
      <c r="U13"/>
      <c r="V13"/>
      <c r="W13"/>
      <c r="X13"/>
      <c r="Y13"/>
      <c r="Z13"/>
      <c r="AA13"/>
      <c r="AB13" s="435"/>
      <c r="AC13" s="323">
        <v>2</v>
      </c>
      <c r="AD13" s="327">
        <v>0.82499999999999996</v>
      </c>
      <c r="AE13" s="327">
        <v>1.1599999999999999</v>
      </c>
      <c r="AF13"/>
      <c r="AG13"/>
      <c r="AH13"/>
      <c r="AI13"/>
      <c r="AJ13"/>
      <c r="AK13"/>
      <c r="AL13"/>
      <c r="AM13"/>
      <c r="AO13" s="299">
        <v>35000</v>
      </c>
      <c r="AP13" s="300">
        <v>0.48499999999999999</v>
      </c>
      <c r="AR13" s="225">
        <f t="shared" si="0"/>
        <v>21</v>
      </c>
      <c r="AS13" s="315">
        <v>2.2929999999999999E-3</v>
      </c>
      <c r="AU13" s="225">
        <v>19</v>
      </c>
      <c r="AV13" s="319">
        <v>1.1601999999999999E-2</v>
      </c>
    </row>
    <row r="14" spans="1:48" ht="15" thickBot="1" x14ac:dyDescent="0.4">
      <c r="A14" s="641">
        <v>4516.7375000000002</v>
      </c>
      <c r="B14" s="641">
        <v>4466.7150000000001</v>
      </c>
      <c r="C14" s="644"/>
      <c r="D14" s="446">
        <v>2965.4506112571426</v>
      </c>
      <c r="E14" s="166">
        <v>7</v>
      </c>
      <c r="F14" s="159">
        <f t="shared" si="4"/>
        <v>5194.2481250000001</v>
      </c>
      <c r="G14" s="160">
        <f t="shared" si="5"/>
        <v>5136.7222499999998</v>
      </c>
      <c r="H14" s="450">
        <f t="shared" si="1"/>
        <v>9444</v>
      </c>
      <c r="I14" s="426">
        <f t="shared" si="2"/>
        <v>9339</v>
      </c>
      <c r="J14" s="164">
        <f t="shared" si="7"/>
        <v>9444</v>
      </c>
      <c r="K14" s="165">
        <f t="shared" si="6"/>
        <v>9339</v>
      </c>
      <c r="L14" s="136"/>
      <c r="M14" s="220">
        <v>3</v>
      </c>
      <c r="N14" s="221">
        <v>1.46</v>
      </c>
      <c r="P14" s="656">
        <v>1</v>
      </c>
      <c r="Q14" s="651" t="s">
        <v>34</v>
      </c>
      <c r="R14" s="652">
        <v>1</v>
      </c>
      <c r="S14"/>
      <c r="T14"/>
      <c r="U14"/>
      <c r="V14"/>
      <c r="W14"/>
      <c r="X14"/>
      <c r="Y14"/>
      <c r="Z14"/>
      <c r="AA14"/>
      <c r="AB14" s="435"/>
      <c r="AC14" s="324">
        <v>1</v>
      </c>
      <c r="AD14" s="328">
        <v>1.0660000000000001</v>
      </c>
      <c r="AE14" s="328">
        <v>1.1200000000000001</v>
      </c>
      <c r="AF14"/>
      <c r="AG14"/>
      <c r="AH14"/>
      <c r="AI14"/>
      <c r="AJ14"/>
      <c r="AK14"/>
      <c r="AL14"/>
      <c r="AM14"/>
      <c r="AO14" s="299">
        <v>40000</v>
      </c>
      <c r="AP14" s="300">
        <v>0.45900000000000002</v>
      </c>
      <c r="AR14" s="207">
        <f t="shared" si="0"/>
        <v>22</v>
      </c>
      <c r="AS14" s="312">
        <v>2.483E-3</v>
      </c>
      <c r="AU14" s="207">
        <v>20</v>
      </c>
      <c r="AV14" s="318">
        <v>1.2958000000000001E-2</v>
      </c>
    </row>
    <row r="15" spans="1:48" ht="15" thickBot="1" x14ac:dyDescent="0.4">
      <c r="A15" s="641">
        <v>4562.6405000000004</v>
      </c>
      <c r="B15" s="641">
        <v>4487.9010000000007</v>
      </c>
      <c r="C15" s="644"/>
      <c r="D15" s="446">
        <v>3012.2962201357141</v>
      </c>
      <c r="E15" s="163">
        <v>8</v>
      </c>
      <c r="F15" s="159">
        <f t="shared" si="4"/>
        <v>5247.0365750000001</v>
      </c>
      <c r="G15" s="160">
        <f t="shared" si="5"/>
        <v>5161.0861500000001</v>
      </c>
      <c r="H15" s="450">
        <f t="shared" si="1"/>
        <v>9540</v>
      </c>
      <c r="I15" s="426">
        <f t="shared" si="2"/>
        <v>9384</v>
      </c>
      <c r="J15" s="161">
        <f t="shared" si="7"/>
        <v>9540</v>
      </c>
      <c r="K15" s="162">
        <f t="shared" si="6"/>
        <v>9384</v>
      </c>
      <c r="L15" s="136"/>
      <c r="M15" s="222">
        <v>4</v>
      </c>
      <c r="N15" s="223">
        <v>1.31</v>
      </c>
      <c r="P15" s="655">
        <v>3</v>
      </c>
      <c r="Q15" s="210" t="s">
        <v>10</v>
      </c>
      <c r="R15" s="646">
        <v>3</v>
      </c>
      <c r="S15"/>
      <c r="T15"/>
      <c r="U15"/>
      <c r="V15"/>
      <c r="W15"/>
      <c r="X15"/>
      <c r="Y15"/>
      <c r="Z15"/>
      <c r="AA15"/>
      <c r="AB15" s="435"/>
      <c r="AD15" s="307"/>
      <c r="AO15" s="299">
        <v>45000</v>
      </c>
      <c r="AP15" s="300">
        <v>0.438</v>
      </c>
      <c r="AR15" s="225">
        <f t="shared" si="0"/>
        <v>23</v>
      </c>
      <c r="AS15" s="315">
        <v>2.6719999999999999E-3</v>
      </c>
      <c r="AT15" s="141"/>
      <c r="AU15" s="225">
        <v>21</v>
      </c>
      <c r="AV15" s="319">
        <v>1.3957000000000001E-2</v>
      </c>
    </row>
    <row r="16" spans="1:48" ht="14.5" x14ac:dyDescent="0.35">
      <c r="A16" s="641">
        <v>4609.1320000000005</v>
      </c>
      <c r="B16" s="641">
        <v>4509.0870000000004</v>
      </c>
      <c r="C16" s="644"/>
      <c r="D16" s="446">
        <v>3059.1418290142856</v>
      </c>
      <c r="E16" s="166">
        <v>9</v>
      </c>
      <c r="F16" s="159">
        <f t="shared" si="4"/>
        <v>5300.5018</v>
      </c>
      <c r="G16" s="160">
        <f t="shared" si="5"/>
        <v>5185.4500500000004</v>
      </c>
      <c r="H16" s="450">
        <f t="shared" si="1"/>
        <v>9637</v>
      </c>
      <c r="I16" s="426">
        <f t="shared" si="2"/>
        <v>9428</v>
      </c>
      <c r="J16" s="164">
        <f t="shared" si="7"/>
        <v>9637</v>
      </c>
      <c r="K16" s="165">
        <f t="shared" si="6"/>
        <v>9428</v>
      </c>
      <c r="L16" s="136"/>
      <c r="P16" s="656">
        <v>5</v>
      </c>
      <c r="Q16" s="651" t="s">
        <v>11</v>
      </c>
      <c r="R16" s="652">
        <v>5</v>
      </c>
      <c r="S16"/>
      <c r="T16"/>
      <c r="U16"/>
      <c r="V16"/>
      <c r="W16"/>
      <c r="X16"/>
      <c r="Y16"/>
      <c r="Z16"/>
      <c r="AA16"/>
      <c r="AB16" s="435"/>
      <c r="AO16" s="299">
        <v>50000</v>
      </c>
      <c r="AP16" s="300">
        <v>0.41899999999999998</v>
      </c>
      <c r="AR16" s="207">
        <f t="shared" si="0"/>
        <v>24</v>
      </c>
      <c r="AS16" s="312">
        <v>2.879E-3</v>
      </c>
      <c r="AU16" s="207">
        <v>22</v>
      </c>
      <c r="AV16" s="318">
        <v>1.5034E-2</v>
      </c>
    </row>
    <row r="17" spans="1:48" ht="15" thickBot="1" x14ac:dyDescent="0.4">
      <c r="A17" s="641">
        <v>4655.6235000000006</v>
      </c>
      <c r="B17" s="641">
        <v>4530.8615000000009</v>
      </c>
      <c r="C17" s="644"/>
      <c r="D17" s="446">
        <v>3105.9874378928571</v>
      </c>
      <c r="E17" s="163">
        <v>10</v>
      </c>
      <c r="F17" s="159">
        <f t="shared" si="4"/>
        <v>5353.9670249999999</v>
      </c>
      <c r="G17" s="160">
        <f t="shared" si="5"/>
        <v>5210.4907250000006</v>
      </c>
      <c r="H17" s="450">
        <f t="shared" si="1"/>
        <v>9734</v>
      </c>
      <c r="I17" s="426">
        <f t="shared" si="2"/>
        <v>9474</v>
      </c>
      <c r="J17" s="161">
        <f t="shared" si="7"/>
        <v>9734</v>
      </c>
      <c r="K17" s="162">
        <f t="shared" si="6"/>
        <v>9474</v>
      </c>
      <c r="L17" s="136"/>
      <c r="P17" s="655">
        <v>1</v>
      </c>
      <c r="Q17" s="210" t="s">
        <v>12</v>
      </c>
      <c r="R17" s="646">
        <v>1</v>
      </c>
      <c r="S17"/>
      <c r="T17"/>
      <c r="U17"/>
      <c r="V17"/>
      <c r="W17"/>
      <c r="X17"/>
      <c r="Y17"/>
      <c r="Z17"/>
      <c r="AA17"/>
      <c r="AB17" s="435"/>
      <c r="AO17" s="301">
        <v>100000</v>
      </c>
      <c r="AP17" s="300">
        <v>0.316</v>
      </c>
      <c r="AR17" s="225">
        <f t="shared" si="0"/>
        <v>25</v>
      </c>
      <c r="AS17" s="315">
        <v>3.0860000000000002E-3</v>
      </c>
      <c r="AT17" s="141"/>
      <c r="AU17" s="225">
        <v>23</v>
      </c>
      <c r="AV17" s="319">
        <v>1.6189100000000001E-2</v>
      </c>
    </row>
    <row r="18" spans="1:48" ht="14.5" x14ac:dyDescent="0.35">
      <c r="A18" s="641">
        <v>4702.1150000000007</v>
      </c>
      <c r="B18" s="641">
        <v>4552.6360000000004</v>
      </c>
      <c r="C18" s="644"/>
      <c r="D18" s="446">
        <v>3152.8330467714286</v>
      </c>
      <c r="E18" s="166">
        <v>11</v>
      </c>
      <c r="F18" s="159">
        <f t="shared" si="4"/>
        <v>5407.4322500000007</v>
      </c>
      <c r="G18" s="160">
        <f t="shared" si="5"/>
        <v>5235.5313999999998</v>
      </c>
      <c r="H18" s="450">
        <f t="shared" si="1"/>
        <v>9832</v>
      </c>
      <c r="I18" s="426">
        <f t="shared" si="2"/>
        <v>9519</v>
      </c>
      <c r="J18" s="164">
        <f t="shared" si="7"/>
        <v>9832</v>
      </c>
      <c r="K18" s="165">
        <f t="shared" si="6"/>
        <v>9519</v>
      </c>
      <c r="L18" s="136"/>
      <c r="M18" s="783" t="s">
        <v>235</v>
      </c>
      <c r="N18" s="783"/>
      <c r="P18" s="656">
        <v>4</v>
      </c>
      <c r="Q18" s="651" t="s">
        <v>13</v>
      </c>
      <c r="R18" s="652">
        <v>8</v>
      </c>
      <c r="S18"/>
      <c r="T18"/>
      <c r="U18"/>
      <c r="V18"/>
      <c r="W18"/>
      <c r="X18"/>
      <c r="Y18"/>
      <c r="Z18"/>
      <c r="AA18"/>
      <c r="AB18" s="435"/>
      <c r="AO18" s="304">
        <v>250000</v>
      </c>
      <c r="AP18" s="300">
        <v>0.217</v>
      </c>
      <c r="AR18" s="207">
        <f t="shared" si="0"/>
        <v>26</v>
      </c>
      <c r="AS18" s="312">
        <v>3.3279999999999998E-3</v>
      </c>
      <c r="AU18" s="207">
        <v>24</v>
      </c>
      <c r="AV18" s="318">
        <v>1.7440000000000001E-2</v>
      </c>
    </row>
    <row r="19" spans="1:48" ht="15" thickBot="1" x14ac:dyDescent="0.4">
      <c r="A19" s="641">
        <v>4748.6065000000008</v>
      </c>
      <c r="B19" s="641">
        <v>4573.2335000000003</v>
      </c>
      <c r="C19" s="644"/>
      <c r="D19" s="446">
        <v>3199.6786556500001</v>
      </c>
      <c r="E19" s="163">
        <v>12</v>
      </c>
      <c r="F19" s="159">
        <f t="shared" si="4"/>
        <v>5460.8974750000007</v>
      </c>
      <c r="G19" s="160">
        <f t="shared" si="5"/>
        <v>5259.2185250000002</v>
      </c>
      <c r="H19" s="450">
        <f t="shared" si="1"/>
        <v>9929</v>
      </c>
      <c r="I19" s="426">
        <f t="shared" si="2"/>
        <v>9562</v>
      </c>
      <c r="J19" s="161">
        <f t="shared" si="7"/>
        <v>9929</v>
      </c>
      <c r="K19" s="162">
        <f t="shared" si="6"/>
        <v>9562</v>
      </c>
      <c r="L19" s="136"/>
      <c r="M19" s="783"/>
      <c r="N19" s="783"/>
      <c r="P19" s="655">
        <v>6</v>
      </c>
      <c r="Q19" s="210" t="s">
        <v>14</v>
      </c>
      <c r="R19" s="646">
        <v>6</v>
      </c>
      <c r="S19"/>
      <c r="T19"/>
      <c r="U19"/>
      <c r="V19"/>
      <c r="W19"/>
      <c r="X19"/>
      <c r="Y19"/>
      <c r="Z19"/>
      <c r="AA19"/>
      <c r="AB19" s="435"/>
      <c r="AO19" s="304">
        <v>500000</v>
      </c>
      <c r="AP19" s="300">
        <v>0.16300000000000001</v>
      </c>
      <c r="AR19" s="225">
        <f t="shared" si="0"/>
        <v>27</v>
      </c>
      <c r="AS19" s="315">
        <v>3.5860000000000002E-3</v>
      </c>
      <c r="AU19" s="225">
        <v>25</v>
      </c>
      <c r="AV19" s="319">
        <v>1.8787000000000002E-2</v>
      </c>
    </row>
    <row r="20" spans="1:48" ht="15" thickBot="1" x14ac:dyDescent="0.4">
      <c r="A20" s="641">
        <v>4794.509500000001</v>
      </c>
      <c r="B20" s="641">
        <v>4595.0080000000007</v>
      </c>
      <c r="C20" s="644"/>
      <c r="D20" s="446">
        <v>3246.5242645285716</v>
      </c>
      <c r="E20" s="166">
        <v>13</v>
      </c>
      <c r="F20" s="159">
        <f t="shared" si="4"/>
        <v>5513.6859250000007</v>
      </c>
      <c r="G20" s="160">
        <f t="shared" si="5"/>
        <v>5284.2592000000004</v>
      </c>
      <c r="H20" s="450">
        <f t="shared" si="1"/>
        <v>10025</v>
      </c>
      <c r="I20" s="426">
        <f t="shared" si="2"/>
        <v>9608</v>
      </c>
      <c r="J20" s="164">
        <f t="shared" si="7"/>
        <v>10025</v>
      </c>
      <c r="K20" s="165">
        <f t="shared" si="6"/>
        <v>9608</v>
      </c>
      <c r="L20" s="136"/>
      <c r="M20" s="195" t="s">
        <v>101</v>
      </c>
      <c r="N20" s="214">
        <v>1.03224</v>
      </c>
      <c r="P20" s="656">
        <v>4</v>
      </c>
      <c r="Q20" s="651" t="s">
        <v>15</v>
      </c>
      <c r="R20" s="652">
        <v>4</v>
      </c>
      <c r="S20"/>
      <c r="T20"/>
      <c r="U20"/>
      <c r="V20"/>
      <c r="W20"/>
      <c r="X20"/>
      <c r="Y20"/>
      <c r="Z20"/>
      <c r="AA20"/>
      <c r="AB20" s="435"/>
      <c r="AN20" s="142"/>
      <c r="AO20" s="304">
        <v>1000000</v>
      </c>
      <c r="AP20" s="300">
        <v>0.123</v>
      </c>
      <c r="AR20" s="207">
        <f t="shared" si="0"/>
        <v>28</v>
      </c>
      <c r="AS20" s="312">
        <v>3.862E-3</v>
      </c>
      <c r="AU20" s="207">
        <v>26</v>
      </c>
      <c r="AV20" s="318">
        <v>2.0227999999999999E-2</v>
      </c>
    </row>
    <row r="21" spans="1:48" ht="15" thickBot="1" x14ac:dyDescent="0.4">
      <c r="A21" s="641">
        <v>4841.589500000001</v>
      </c>
      <c r="B21" s="641">
        <v>4616.1940000000013</v>
      </c>
      <c r="C21" s="644"/>
      <c r="D21" s="446">
        <v>3293.3698734071431</v>
      </c>
      <c r="E21" s="163">
        <v>14</v>
      </c>
      <c r="F21" s="159">
        <f t="shared" si="4"/>
        <v>5567.8279250000005</v>
      </c>
      <c r="G21" s="160">
        <f t="shared" si="5"/>
        <v>5308.6231000000007</v>
      </c>
      <c r="H21" s="450">
        <f t="shared" si="1"/>
        <v>10123</v>
      </c>
      <c r="I21" s="426">
        <f t="shared" si="2"/>
        <v>9652</v>
      </c>
      <c r="J21" s="161">
        <f t="shared" si="7"/>
        <v>10123</v>
      </c>
      <c r="K21" s="162">
        <f t="shared" si="6"/>
        <v>9652</v>
      </c>
      <c r="L21" s="136"/>
      <c r="P21" s="655">
        <v>5</v>
      </c>
      <c r="Q21" s="210" t="s">
        <v>16</v>
      </c>
      <c r="R21" s="646">
        <v>5</v>
      </c>
      <c r="S21"/>
      <c r="T21"/>
      <c r="U21"/>
      <c r="V21"/>
      <c r="W21"/>
      <c r="X21"/>
      <c r="Y21"/>
      <c r="Z21"/>
      <c r="AA21"/>
      <c r="AB21" s="435"/>
      <c r="AO21" s="305">
        <v>1500000</v>
      </c>
      <c r="AP21" s="306">
        <v>0.104</v>
      </c>
      <c r="AR21" s="225">
        <f t="shared" si="0"/>
        <v>29</v>
      </c>
      <c r="AS21" s="315">
        <v>4.1549999999999998E-3</v>
      </c>
      <c r="AU21" s="225">
        <v>27</v>
      </c>
      <c r="AV21" s="319">
        <v>2.1783E-2</v>
      </c>
    </row>
    <row r="22" spans="1:48" ht="14.5" x14ac:dyDescent="0.35">
      <c r="A22" s="641">
        <v>5055.2150000000001</v>
      </c>
      <c r="B22" s="641">
        <v>4818.049500000001</v>
      </c>
      <c r="C22" s="644"/>
      <c r="D22" s="446">
        <v>3340.2154822857146</v>
      </c>
      <c r="E22" s="166">
        <v>15</v>
      </c>
      <c r="F22" s="159">
        <f t="shared" si="4"/>
        <v>5813.4972499999994</v>
      </c>
      <c r="G22" s="160">
        <f t="shared" si="5"/>
        <v>5540.7569250000006</v>
      </c>
      <c r="H22" s="450">
        <f t="shared" si="1"/>
        <v>10570</v>
      </c>
      <c r="I22" s="426">
        <f t="shared" si="2"/>
        <v>10074</v>
      </c>
      <c r="J22" s="164">
        <f t="shared" si="7"/>
        <v>10570</v>
      </c>
      <c r="K22" s="165">
        <f t="shared" si="6"/>
        <v>10074</v>
      </c>
      <c r="L22" s="136"/>
      <c r="P22" s="656">
        <v>1</v>
      </c>
      <c r="Q22" s="651" t="s">
        <v>17</v>
      </c>
      <c r="R22" s="652">
        <v>1</v>
      </c>
      <c r="S22"/>
      <c r="T22"/>
      <c r="U22"/>
      <c r="V22"/>
      <c r="W22"/>
      <c r="X22"/>
      <c r="Y22"/>
      <c r="Z22"/>
      <c r="AA22"/>
      <c r="AB22" s="435"/>
      <c r="AC22" s="139"/>
      <c r="AD22" s="189"/>
      <c r="AN22" s="453"/>
      <c r="AO22" s="304">
        <v>5000000</v>
      </c>
      <c r="AP22" s="633">
        <v>6.3454775345765907E-2</v>
      </c>
      <c r="AR22" s="207">
        <f t="shared" si="0"/>
        <v>30</v>
      </c>
      <c r="AS22" s="312">
        <v>4.483E-3</v>
      </c>
      <c r="AU22" s="207">
        <v>28</v>
      </c>
      <c r="AV22" s="318">
        <v>2.3459000000000001E-2</v>
      </c>
    </row>
    <row r="23" spans="1:48" ht="14.5" x14ac:dyDescent="0.35">
      <c r="A23" s="641">
        <v>5269.429000000001</v>
      </c>
      <c r="B23" s="641">
        <v>5019.3165000000008</v>
      </c>
      <c r="C23" s="644"/>
      <c r="D23" s="446">
        <v>3387.0610911642862</v>
      </c>
      <c r="E23" s="163">
        <v>16</v>
      </c>
      <c r="F23" s="159">
        <f t="shared" si="4"/>
        <v>6059.843350000001</v>
      </c>
      <c r="G23" s="160">
        <f t="shared" si="5"/>
        <v>5772.2139750000006</v>
      </c>
      <c r="H23" s="450">
        <f t="shared" si="1"/>
        <v>11018</v>
      </c>
      <c r="I23" s="426">
        <f t="shared" si="2"/>
        <v>10495</v>
      </c>
      <c r="J23" s="161">
        <f t="shared" si="7"/>
        <v>11018</v>
      </c>
      <c r="K23" s="162">
        <f t="shared" si="6"/>
        <v>10495</v>
      </c>
      <c r="L23" s="136"/>
      <c r="M23" s="783" t="s">
        <v>236</v>
      </c>
      <c r="N23" s="783"/>
      <c r="P23" s="655">
        <v>5</v>
      </c>
      <c r="Q23" s="210" t="s">
        <v>18</v>
      </c>
      <c r="R23" s="646">
        <v>7</v>
      </c>
      <c r="S23"/>
      <c r="T23"/>
      <c r="U23"/>
      <c r="V23"/>
      <c r="W23"/>
      <c r="X23"/>
      <c r="Y23"/>
      <c r="Z23"/>
      <c r="AA23"/>
      <c r="AB23" s="435"/>
      <c r="AN23" s="136"/>
      <c r="AO23" s="295"/>
      <c r="AP23" s="296"/>
      <c r="AR23" s="225">
        <f t="shared" si="0"/>
        <v>31</v>
      </c>
      <c r="AS23" s="315">
        <v>4.8279999999999998E-3</v>
      </c>
      <c r="AU23" s="225">
        <v>29</v>
      </c>
      <c r="AV23" s="319">
        <v>2.5264999999999999E-2</v>
      </c>
    </row>
    <row r="24" spans="1:48" ht="14.5" x14ac:dyDescent="0.35">
      <c r="A24" s="641">
        <v>5484.8200000000006</v>
      </c>
      <c r="B24" s="641">
        <v>5221.7605000000012</v>
      </c>
      <c r="C24" s="644"/>
      <c r="D24" s="446">
        <v>3433.9067000428577</v>
      </c>
      <c r="E24" s="166">
        <v>17</v>
      </c>
      <c r="F24" s="159">
        <f t="shared" si="4"/>
        <v>6307.5430000000006</v>
      </c>
      <c r="G24" s="160">
        <f t="shared" si="5"/>
        <v>6005.0245750000013</v>
      </c>
      <c r="H24" s="450">
        <f t="shared" si="1"/>
        <v>11468</v>
      </c>
      <c r="I24" s="426">
        <f t="shared" si="2"/>
        <v>10918</v>
      </c>
      <c r="J24" s="164">
        <f t="shared" si="7"/>
        <v>11468</v>
      </c>
      <c r="K24" s="165">
        <f t="shared" si="6"/>
        <v>10918</v>
      </c>
      <c r="L24" s="136"/>
      <c r="M24" s="783"/>
      <c r="N24" s="783"/>
      <c r="P24" s="656">
        <v>1</v>
      </c>
      <c r="Q24" s="651" t="s">
        <v>19</v>
      </c>
      <c r="R24" s="652">
        <v>1</v>
      </c>
      <c r="S24"/>
      <c r="T24"/>
      <c r="U24"/>
      <c r="V24"/>
      <c r="W24"/>
      <c r="X24"/>
      <c r="Y24"/>
      <c r="Z24"/>
      <c r="AA24"/>
      <c r="AB24" s="435"/>
      <c r="AN24" s="136"/>
      <c r="AO24" s="784" t="s">
        <v>52</v>
      </c>
      <c r="AP24" s="784"/>
      <c r="AR24" s="207">
        <f t="shared" si="0"/>
        <v>32</v>
      </c>
      <c r="AS24" s="312">
        <v>5.2069999999999998E-3</v>
      </c>
      <c r="AU24" s="207">
        <v>30</v>
      </c>
      <c r="AV24" s="318">
        <v>2.7210000000000002E-2</v>
      </c>
    </row>
    <row r="25" spans="1:48" ht="15" thickBot="1" x14ac:dyDescent="0.4">
      <c r="A25" s="641">
        <v>5699.0340000000015</v>
      </c>
      <c r="B25" s="641">
        <v>5423.0275000000001</v>
      </c>
      <c r="C25" s="644"/>
      <c r="D25" s="446">
        <v>3480.7523089214292</v>
      </c>
      <c r="E25" s="163">
        <v>18</v>
      </c>
      <c r="F25" s="159">
        <f t="shared" si="4"/>
        <v>6553.8891000000012</v>
      </c>
      <c r="G25" s="160">
        <f t="shared" si="5"/>
        <v>6236.4816249999994</v>
      </c>
      <c r="H25" s="450">
        <f t="shared" si="1"/>
        <v>11916</v>
      </c>
      <c r="I25" s="426">
        <f t="shared" si="2"/>
        <v>11339</v>
      </c>
      <c r="J25" s="161">
        <f t="shared" si="7"/>
        <v>11916</v>
      </c>
      <c r="K25" s="162">
        <f t="shared" si="6"/>
        <v>11339</v>
      </c>
      <c r="L25" s="136"/>
      <c r="M25" s="197" t="s">
        <v>56</v>
      </c>
      <c r="N25" s="213">
        <v>1.0321</v>
      </c>
      <c r="P25" s="655">
        <v>2</v>
      </c>
      <c r="Q25" s="210" t="s">
        <v>20</v>
      </c>
      <c r="R25" s="646">
        <v>10</v>
      </c>
      <c r="S25"/>
      <c r="T25"/>
      <c r="U25"/>
      <c r="V25"/>
      <c r="W25"/>
      <c r="X25"/>
      <c r="Y25"/>
      <c r="Z25"/>
      <c r="AA25"/>
      <c r="AB25" s="435"/>
      <c r="AN25" s="136"/>
      <c r="AO25" s="227" t="s">
        <v>66</v>
      </c>
      <c r="AP25" s="229" t="e">
        <f>VLOOKUP(Cotizador!T26,Tablas!$AO$27:$AP$30,2,0)</f>
        <v>#N/A</v>
      </c>
      <c r="AR25" s="225">
        <f t="shared" si="0"/>
        <v>33</v>
      </c>
      <c r="AS25" s="315">
        <v>5.6030000000000003E-3</v>
      </c>
      <c r="AU25" s="225">
        <v>31</v>
      </c>
      <c r="AV25" s="319">
        <v>2.9302000000000002E-2</v>
      </c>
    </row>
    <row r="26" spans="1:48" ht="15" thickBot="1" x14ac:dyDescent="0.4">
      <c r="A26" s="641">
        <v>5913.2480000000005</v>
      </c>
      <c r="B26" s="641">
        <v>5625.4715000000015</v>
      </c>
      <c r="C26" s="644"/>
      <c r="D26" s="446">
        <v>3527.5979178000002</v>
      </c>
      <c r="E26" s="166">
        <v>19</v>
      </c>
      <c r="F26" s="159">
        <f t="shared" si="4"/>
        <v>6800.2352000000001</v>
      </c>
      <c r="G26" s="160">
        <f t="shared" si="5"/>
        <v>6469.2922250000011</v>
      </c>
      <c r="H26" s="450">
        <f t="shared" si="1"/>
        <v>12364</v>
      </c>
      <c r="I26" s="426">
        <f t="shared" si="2"/>
        <v>11762</v>
      </c>
      <c r="J26" s="164">
        <f t="shared" si="7"/>
        <v>12364</v>
      </c>
      <c r="K26" s="165">
        <f t="shared" si="6"/>
        <v>11762</v>
      </c>
      <c r="L26" s="136"/>
      <c r="M26" s="196" t="s">
        <v>36</v>
      </c>
      <c r="N26" s="191"/>
      <c r="P26" s="656">
        <v>3</v>
      </c>
      <c r="Q26" s="651" t="s">
        <v>21</v>
      </c>
      <c r="R26" s="652">
        <v>9</v>
      </c>
      <c r="S26"/>
      <c r="T26"/>
      <c r="U26"/>
      <c r="V26"/>
      <c r="W26"/>
      <c r="X26"/>
      <c r="Y26"/>
      <c r="Z26"/>
      <c r="AA26"/>
      <c r="AB26" s="435"/>
      <c r="AC26" s="784" t="s">
        <v>62</v>
      </c>
      <c r="AD26" s="784"/>
      <c r="AN26" s="136"/>
      <c r="AO26" s="297" t="s">
        <v>73</v>
      </c>
      <c r="AP26" s="298" t="s">
        <v>56</v>
      </c>
      <c r="AR26" s="207">
        <f t="shared" si="0"/>
        <v>34</v>
      </c>
      <c r="AS26" s="312">
        <v>6.0340000000000003E-3</v>
      </c>
      <c r="AU26" s="207">
        <v>32</v>
      </c>
      <c r="AV26" s="318">
        <v>3.1558999999999997E-2</v>
      </c>
    </row>
    <row r="27" spans="1:48" ht="15" thickBot="1" x14ac:dyDescent="0.4">
      <c r="A27" s="641">
        <v>6657.112000000001</v>
      </c>
      <c r="B27" s="641">
        <v>8083.6360000000004</v>
      </c>
      <c r="C27" s="644"/>
      <c r="D27" s="446">
        <v>3738.5916860266666</v>
      </c>
      <c r="E27" s="163">
        <v>20</v>
      </c>
      <c r="F27" s="159">
        <f t="shared" si="4"/>
        <v>7655.6788000000006</v>
      </c>
      <c r="G27" s="160">
        <f t="shared" si="5"/>
        <v>9296.1813999999995</v>
      </c>
      <c r="H27" s="450">
        <f t="shared" si="1"/>
        <v>13919</v>
      </c>
      <c r="I27" s="426">
        <f t="shared" si="2"/>
        <v>16902</v>
      </c>
      <c r="J27" s="161">
        <f t="shared" si="7"/>
        <v>13919</v>
      </c>
      <c r="K27" s="162">
        <f t="shared" si="6"/>
        <v>16902</v>
      </c>
      <c r="L27" s="136"/>
      <c r="P27" s="655">
        <v>2</v>
      </c>
      <c r="Q27" s="210" t="s">
        <v>22</v>
      </c>
      <c r="R27" s="646">
        <v>2</v>
      </c>
      <c r="S27"/>
      <c r="T27"/>
      <c r="U27"/>
      <c r="V27"/>
      <c r="W27"/>
      <c r="X27"/>
      <c r="Y27"/>
      <c r="Z27"/>
      <c r="AA27"/>
      <c r="AB27" s="435"/>
      <c r="AC27" s="188" t="s">
        <v>64</v>
      </c>
      <c r="AD27" s="229" t="e">
        <f>VLOOKUP(Cotizador!T23,Tablas!$AC$29:$AD$31,2,0)</f>
        <v>#N/A</v>
      </c>
      <c r="AN27" s="136"/>
      <c r="AO27" s="308">
        <v>0.1</v>
      </c>
      <c r="AP27" s="269">
        <v>1</v>
      </c>
      <c r="AR27" s="225">
        <f t="shared" si="0"/>
        <v>35</v>
      </c>
      <c r="AS27" s="315">
        <v>6.4999999999999997E-3</v>
      </c>
      <c r="AU27" s="225">
        <v>33</v>
      </c>
      <c r="AV27" s="319">
        <v>3.3988999999999998E-2</v>
      </c>
    </row>
    <row r="28" spans="1:48" ht="15" thickBot="1" x14ac:dyDescent="0.4">
      <c r="A28" s="641">
        <v>6940.1805000000013</v>
      </c>
      <c r="B28" s="641">
        <v>8709.8000000000011</v>
      </c>
      <c r="C28" s="644"/>
      <c r="D28" s="446">
        <v>3991.6103938213337</v>
      </c>
      <c r="E28" s="166">
        <f>+E27+1</f>
        <v>21</v>
      </c>
      <c r="F28" s="159">
        <f t="shared" si="4"/>
        <v>7981.2075750000013</v>
      </c>
      <c r="G28" s="160">
        <f t="shared" si="5"/>
        <v>10016.27</v>
      </c>
      <c r="H28" s="450">
        <f t="shared" si="1"/>
        <v>14511</v>
      </c>
      <c r="I28" s="426">
        <f t="shared" si="2"/>
        <v>18211</v>
      </c>
      <c r="J28" s="164">
        <f t="shared" si="7"/>
        <v>14511</v>
      </c>
      <c r="K28" s="165">
        <f t="shared" si="6"/>
        <v>18211</v>
      </c>
      <c r="L28" s="136"/>
      <c r="M28" s="783" t="s">
        <v>237</v>
      </c>
      <c r="N28" s="783"/>
      <c r="P28" s="656">
        <v>3</v>
      </c>
      <c r="Q28" s="651" t="s">
        <v>23</v>
      </c>
      <c r="R28" s="652">
        <v>3</v>
      </c>
      <c r="S28"/>
      <c r="T28"/>
      <c r="U28"/>
      <c r="V28"/>
      <c r="W28"/>
      <c r="X28"/>
      <c r="Y28"/>
      <c r="Z28"/>
      <c r="AA28"/>
      <c r="AB28" s="435"/>
      <c r="AC28" s="263" t="s">
        <v>238</v>
      </c>
      <c r="AD28" s="264" t="s">
        <v>56</v>
      </c>
      <c r="AN28" s="136"/>
      <c r="AO28" s="309">
        <v>0.15</v>
      </c>
      <c r="AP28" s="243">
        <v>0.94</v>
      </c>
      <c r="AR28" s="207">
        <f t="shared" si="0"/>
        <v>36</v>
      </c>
      <c r="AS28" s="312">
        <v>7.0000000000000001E-3</v>
      </c>
      <c r="AU28" s="207">
        <v>34</v>
      </c>
      <c r="AV28" s="318">
        <v>3.6609999999999997E-2</v>
      </c>
    </row>
    <row r="29" spans="1:48" ht="15" thickBot="1" x14ac:dyDescent="0.4">
      <c r="A29" s="641">
        <v>7223.2490000000016</v>
      </c>
      <c r="B29" s="641">
        <v>9335.3755000000019</v>
      </c>
      <c r="C29" s="644"/>
      <c r="D29" s="446">
        <v>4244.6291016160012</v>
      </c>
      <c r="E29" s="163">
        <f t="shared" ref="E29:E86" si="8">+E28+1</f>
        <v>22</v>
      </c>
      <c r="F29" s="159">
        <f t="shared" si="4"/>
        <v>8306.736350000001</v>
      </c>
      <c r="G29" s="160">
        <f t="shared" si="5"/>
        <v>10735.681825000001</v>
      </c>
      <c r="H29" s="450">
        <f t="shared" si="1"/>
        <v>15103</v>
      </c>
      <c r="I29" s="426">
        <f t="shared" si="2"/>
        <v>19519</v>
      </c>
      <c r="J29" s="161">
        <f t="shared" si="7"/>
        <v>15103</v>
      </c>
      <c r="K29" s="162">
        <f t="shared" si="6"/>
        <v>19519</v>
      </c>
      <c r="L29" s="136"/>
      <c r="M29" s="783"/>
      <c r="N29" s="783"/>
      <c r="P29" s="655">
        <v>5</v>
      </c>
      <c r="Q29" s="210" t="s">
        <v>24</v>
      </c>
      <c r="R29" s="646">
        <v>5</v>
      </c>
      <c r="S29"/>
      <c r="T29"/>
      <c r="U29"/>
      <c r="V29"/>
      <c r="W29"/>
      <c r="X29"/>
      <c r="Y29"/>
      <c r="Z29"/>
      <c r="AA29"/>
      <c r="AB29" s="435"/>
      <c r="AC29" s="252" t="s">
        <v>192</v>
      </c>
      <c r="AD29" s="253">
        <v>1</v>
      </c>
      <c r="AE29" s="142"/>
      <c r="AF29" s="142"/>
      <c r="AG29" s="142"/>
      <c r="AH29" s="142"/>
      <c r="AI29" s="142"/>
      <c r="AN29" s="136"/>
      <c r="AO29" s="309">
        <v>0.2</v>
      </c>
      <c r="AP29" s="243">
        <v>0.89</v>
      </c>
      <c r="AR29" s="225">
        <f t="shared" si="0"/>
        <v>37</v>
      </c>
      <c r="AS29" s="315">
        <v>7.5339999999999999E-3</v>
      </c>
      <c r="AT29" s="148"/>
      <c r="AU29" s="225">
        <v>35</v>
      </c>
      <c r="AV29" s="319">
        <v>3.943E-2</v>
      </c>
    </row>
    <row r="30" spans="1:48" ht="15" thickBot="1" x14ac:dyDescent="0.4">
      <c r="A30" s="641">
        <v>7506.9060000000009</v>
      </c>
      <c r="B30" s="641">
        <v>9960.9510000000009</v>
      </c>
      <c r="C30" s="644"/>
      <c r="D30" s="446">
        <v>4497.6478094106678</v>
      </c>
      <c r="E30" s="166">
        <f t="shared" si="8"/>
        <v>23</v>
      </c>
      <c r="F30" s="159">
        <f t="shared" si="4"/>
        <v>8632.9418999999998</v>
      </c>
      <c r="G30" s="160">
        <f t="shared" si="5"/>
        <v>11455.093650000001</v>
      </c>
      <c r="H30" s="450">
        <f t="shared" si="1"/>
        <v>15696</v>
      </c>
      <c r="I30" s="426">
        <f t="shared" si="2"/>
        <v>20827</v>
      </c>
      <c r="J30" s="164">
        <f t="shared" si="7"/>
        <v>15696</v>
      </c>
      <c r="K30" s="165">
        <f t="shared" si="6"/>
        <v>20827</v>
      </c>
      <c r="L30" s="136"/>
      <c r="M30" s="195" t="s">
        <v>56</v>
      </c>
      <c r="N30" s="211">
        <v>1.0142</v>
      </c>
      <c r="P30" s="656">
        <v>1</v>
      </c>
      <c r="Q30" s="651" t="s">
        <v>25</v>
      </c>
      <c r="R30" s="652">
        <v>1</v>
      </c>
      <c r="S30"/>
      <c r="T30"/>
      <c r="U30"/>
      <c r="V30"/>
      <c r="W30"/>
      <c r="X30"/>
      <c r="Y30"/>
      <c r="Z30"/>
      <c r="AA30"/>
      <c r="AB30" s="435"/>
      <c r="AC30" s="254" t="s">
        <v>193</v>
      </c>
      <c r="AD30" s="255">
        <v>0.76</v>
      </c>
      <c r="AE30" s="142"/>
      <c r="AF30" s="142"/>
      <c r="AG30" s="142"/>
      <c r="AH30" s="142"/>
      <c r="AI30" s="142"/>
      <c r="AJ30" s="635"/>
      <c r="AK30" s="635"/>
      <c r="AL30" s="635"/>
      <c r="AM30" s="635"/>
      <c r="AO30" s="310">
        <v>0.25</v>
      </c>
      <c r="AP30" s="249">
        <v>0.83</v>
      </c>
      <c r="AR30" s="207">
        <f t="shared" si="0"/>
        <v>38</v>
      </c>
      <c r="AS30" s="312">
        <v>8.1209999999999997E-3</v>
      </c>
      <c r="AT30" s="148"/>
      <c r="AU30" s="207">
        <v>36</v>
      </c>
      <c r="AV30" s="318">
        <v>4.2458000000000003E-2</v>
      </c>
    </row>
    <row r="31" spans="1:48" ht="15" thickBot="1" x14ac:dyDescent="0.4">
      <c r="A31" s="641">
        <v>7789.9745000000012</v>
      </c>
      <c r="B31" s="641">
        <v>10269.325000000001</v>
      </c>
      <c r="C31" s="644"/>
      <c r="D31" s="446">
        <v>4608.1465216891747</v>
      </c>
      <c r="E31" s="163">
        <f t="shared" si="8"/>
        <v>24</v>
      </c>
      <c r="F31" s="159">
        <f t="shared" si="4"/>
        <v>8958.4706750000005</v>
      </c>
      <c r="G31" s="160">
        <f t="shared" si="5"/>
        <v>11809.723749999999</v>
      </c>
      <c r="H31" s="450">
        <f t="shared" si="1"/>
        <v>16288</v>
      </c>
      <c r="I31" s="426">
        <f t="shared" si="2"/>
        <v>21472</v>
      </c>
      <c r="J31" s="161">
        <f t="shared" si="7"/>
        <v>16288</v>
      </c>
      <c r="K31" s="162">
        <f t="shared" si="6"/>
        <v>21472</v>
      </c>
      <c r="L31" s="136"/>
      <c r="M31" s="195" t="s">
        <v>36</v>
      </c>
      <c r="N31" s="212">
        <v>85.54</v>
      </c>
      <c r="P31" s="655">
        <v>2</v>
      </c>
      <c r="Q31" s="210" t="s">
        <v>26</v>
      </c>
      <c r="R31" s="646">
        <v>2</v>
      </c>
      <c r="S31"/>
      <c r="T31"/>
      <c r="U31"/>
      <c r="V31"/>
      <c r="W31"/>
      <c r="X31"/>
      <c r="Y31"/>
      <c r="Z31"/>
      <c r="AA31"/>
      <c r="AB31" s="435"/>
      <c r="AC31" s="256" t="s">
        <v>194</v>
      </c>
      <c r="AD31" s="257">
        <v>0.62</v>
      </c>
      <c r="AE31" s="142"/>
      <c r="AF31" s="142"/>
      <c r="AG31" s="142"/>
      <c r="AH31" s="142"/>
      <c r="AI31" s="142"/>
      <c r="AJ31" s="135"/>
      <c r="AK31" s="135"/>
      <c r="AL31" s="135"/>
      <c r="AM31" s="135"/>
      <c r="AR31" s="225">
        <f t="shared" si="0"/>
        <v>39</v>
      </c>
      <c r="AS31" s="315">
        <v>8.7410000000000005E-3</v>
      </c>
      <c r="AT31" s="148"/>
      <c r="AU31" s="225">
        <v>37</v>
      </c>
      <c r="AV31" s="319">
        <v>4.5719999999999997E-2</v>
      </c>
    </row>
    <row r="32" spans="1:48" ht="15" thickBot="1" x14ac:dyDescent="0.4">
      <c r="A32" s="641">
        <v>8073.0430000000015</v>
      </c>
      <c r="B32" s="641">
        <v>11212.690500000002</v>
      </c>
      <c r="C32" s="644"/>
      <c r="D32" s="446">
        <v>5003.685225000002</v>
      </c>
      <c r="E32" s="166">
        <f t="shared" si="8"/>
        <v>25</v>
      </c>
      <c r="F32" s="159">
        <f t="shared" si="4"/>
        <v>9283.9994500000012</v>
      </c>
      <c r="G32" s="160">
        <f t="shared" si="5"/>
        <v>12894.594075000003</v>
      </c>
      <c r="H32" s="450">
        <f t="shared" si="1"/>
        <v>16880</v>
      </c>
      <c r="I32" s="426">
        <f t="shared" si="2"/>
        <v>23445</v>
      </c>
      <c r="J32" s="164">
        <f t="shared" si="7"/>
        <v>16880</v>
      </c>
      <c r="K32" s="165">
        <f t="shared" si="6"/>
        <v>23445</v>
      </c>
      <c r="L32" s="136"/>
      <c r="P32" s="656">
        <v>5</v>
      </c>
      <c r="Q32" s="651" t="s">
        <v>27</v>
      </c>
      <c r="R32" s="652">
        <v>5</v>
      </c>
      <c r="S32"/>
      <c r="T32"/>
      <c r="U32"/>
      <c r="V32"/>
      <c r="W32"/>
      <c r="X32"/>
      <c r="Y32"/>
      <c r="Z32"/>
      <c r="AA32"/>
      <c r="AB32" s="435"/>
      <c r="AE32" s="142"/>
      <c r="AF32" s="142"/>
      <c r="AG32" s="142"/>
      <c r="AH32" s="142"/>
      <c r="AI32" s="142"/>
      <c r="AJ32" s="636"/>
      <c r="AK32" s="636"/>
      <c r="AL32" s="636"/>
      <c r="AM32" s="636"/>
      <c r="AO32" s="329" t="s">
        <v>73</v>
      </c>
      <c r="AP32" s="329" t="s">
        <v>222</v>
      </c>
      <c r="AR32" s="207">
        <f t="shared" si="0"/>
        <v>40</v>
      </c>
      <c r="AS32" s="312">
        <v>9.4140000000000005E-3</v>
      </c>
      <c r="AT32" s="148"/>
      <c r="AU32" s="207">
        <v>38</v>
      </c>
      <c r="AV32" s="318">
        <v>4.9232999999999999E-2</v>
      </c>
    </row>
    <row r="33" spans="1:48" ht="15" thickBot="1" x14ac:dyDescent="0.4">
      <c r="A33" s="641">
        <v>8283.7260000000006</v>
      </c>
      <c r="B33" s="641">
        <v>11459.272000000001</v>
      </c>
      <c r="C33" s="644"/>
      <c r="D33" s="446">
        <v>5342.4142301220008</v>
      </c>
      <c r="E33" s="163">
        <f t="shared" si="8"/>
        <v>26</v>
      </c>
      <c r="F33" s="159">
        <f t="shared" si="4"/>
        <v>9526.2849000000006</v>
      </c>
      <c r="G33" s="160">
        <f t="shared" si="5"/>
        <v>13178.1628</v>
      </c>
      <c r="H33" s="450">
        <f t="shared" si="1"/>
        <v>17321</v>
      </c>
      <c r="I33" s="426">
        <f t="shared" si="2"/>
        <v>23960</v>
      </c>
      <c r="J33" s="161">
        <f t="shared" si="7"/>
        <v>17321</v>
      </c>
      <c r="K33" s="162">
        <f t="shared" si="6"/>
        <v>23960</v>
      </c>
      <c r="L33" s="136"/>
      <c r="P33" s="655">
        <v>2</v>
      </c>
      <c r="Q33" s="210" t="s">
        <v>28</v>
      </c>
      <c r="R33" s="646">
        <v>2</v>
      </c>
      <c r="S33"/>
      <c r="T33"/>
      <c r="U33"/>
      <c r="V33"/>
      <c r="W33"/>
      <c r="X33"/>
      <c r="Y33"/>
      <c r="Z33"/>
      <c r="AA33"/>
      <c r="AB33" s="435"/>
      <c r="AC33" s="785" t="s">
        <v>60</v>
      </c>
      <c r="AD33" s="785"/>
      <c r="AE33" s="142"/>
      <c r="AF33" s="142"/>
      <c r="AG33" s="142"/>
      <c r="AH33" s="142"/>
      <c r="AI33" s="142"/>
      <c r="AJ33" s="135"/>
      <c r="AK33" s="135"/>
      <c r="AL33" s="135"/>
      <c r="AM33" s="135"/>
      <c r="AO33" s="270">
        <v>0.1</v>
      </c>
      <c r="AP33" s="271">
        <v>40000</v>
      </c>
      <c r="AR33" s="225">
        <f t="shared" si="0"/>
        <v>41</v>
      </c>
      <c r="AS33" s="315">
        <v>1.0137999999999999E-2</v>
      </c>
      <c r="AT33" s="148"/>
      <c r="AU33" s="225">
        <v>39</v>
      </c>
      <c r="AV33" s="319">
        <v>5.3013999999999999E-2</v>
      </c>
    </row>
    <row r="34" spans="1:48" ht="15" thickBot="1" x14ac:dyDescent="0.4">
      <c r="A34" s="641">
        <v>8494.4090000000015</v>
      </c>
      <c r="B34" s="641">
        <v>11705.853500000001</v>
      </c>
      <c r="C34" s="644"/>
      <c r="D34" s="446">
        <v>5681.1432352439997</v>
      </c>
      <c r="E34" s="166">
        <f t="shared" si="8"/>
        <v>27</v>
      </c>
      <c r="F34" s="159">
        <f t="shared" si="4"/>
        <v>9768.5703500000018</v>
      </c>
      <c r="G34" s="160">
        <f t="shared" si="5"/>
        <v>13461.731525000001</v>
      </c>
      <c r="H34" s="450">
        <f t="shared" si="1"/>
        <v>17761</v>
      </c>
      <c r="I34" s="426">
        <f t="shared" si="2"/>
        <v>24476</v>
      </c>
      <c r="J34" s="164">
        <f t="shared" si="7"/>
        <v>17761</v>
      </c>
      <c r="K34" s="165">
        <f t="shared" si="6"/>
        <v>24476</v>
      </c>
      <c r="L34" s="136"/>
      <c r="P34" s="656">
        <v>2</v>
      </c>
      <c r="Q34" s="651" t="s">
        <v>29</v>
      </c>
      <c r="R34" s="652">
        <v>2</v>
      </c>
      <c r="S34"/>
      <c r="T34"/>
      <c r="U34"/>
      <c r="V34"/>
      <c r="W34"/>
      <c r="X34"/>
      <c r="Y34"/>
      <c r="Z34"/>
      <c r="AA34"/>
      <c r="AB34" s="435"/>
      <c r="AC34" s="265" t="s">
        <v>70</v>
      </c>
      <c r="AD34" s="265" t="s">
        <v>40</v>
      </c>
      <c r="AE34" s="142"/>
      <c r="AF34" s="142"/>
      <c r="AG34" s="142"/>
      <c r="AH34" s="142"/>
      <c r="AI34" s="142"/>
      <c r="AN34" s="250"/>
      <c r="AO34" s="272">
        <v>0.15</v>
      </c>
      <c r="AP34" s="273">
        <v>40000</v>
      </c>
      <c r="AR34" s="207">
        <f t="shared" si="0"/>
        <v>42</v>
      </c>
      <c r="AS34" s="312">
        <v>1.0914E-2</v>
      </c>
      <c r="AT34" s="148"/>
      <c r="AU34" s="207">
        <v>40</v>
      </c>
      <c r="AV34" s="318">
        <v>5.7089000000000001E-2</v>
      </c>
    </row>
    <row r="35" spans="1:48" ht="14.5" x14ac:dyDescent="0.35">
      <c r="A35" s="641">
        <v>8705.0920000000006</v>
      </c>
      <c r="B35" s="641">
        <v>11952.435000000001</v>
      </c>
      <c r="C35" s="644"/>
      <c r="D35" s="446">
        <v>6019.8722403659986</v>
      </c>
      <c r="E35" s="163">
        <f t="shared" si="8"/>
        <v>28</v>
      </c>
      <c r="F35" s="159">
        <f t="shared" si="4"/>
        <v>10010.855799999999</v>
      </c>
      <c r="G35" s="160">
        <f t="shared" si="5"/>
        <v>13745.30025</v>
      </c>
      <c r="H35" s="450">
        <f t="shared" si="1"/>
        <v>18202</v>
      </c>
      <c r="I35" s="426">
        <f t="shared" si="2"/>
        <v>24991</v>
      </c>
      <c r="J35" s="161">
        <f t="shared" si="7"/>
        <v>18202</v>
      </c>
      <c r="K35" s="162">
        <f t="shared" si="6"/>
        <v>24991</v>
      </c>
      <c r="L35" s="136"/>
      <c r="M35" s="784" t="s">
        <v>147</v>
      </c>
      <c r="N35" s="784"/>
      <c r="O35" s="784"/>
      <c r="P35" s="655">
        <v>2</v>
      </c>
      <c r="Q35" s="210" t="s">
        <v>30</v>
      </c>
      <c r="R35" s="646">
        <v>10</v>
      </c>
      <c r="S35"/>
      <c r="T35"/>
      <c r="U35"/>
      <c r="V35"/>
      <c r="W35"/>
      <c r="X35"/>
      <c r="Y35"/>
      <c r="Z35"/>
      <c r="AA35"/>
      <c r="AB35" s="435"/>
      <c r="AC35" s="236" t="s">
        <v>75</v>
      </c>
      <c r="AD35" s="237">
        <v>1</v>
      </c>
      <c r="AE35" s="142"/>
      <c r="AF35" s="142"/>
      <c r="AG35" s="142"/>
      <c r="AH35" s="142"/>
      <c r="AI35" s="142"/>
      <c r="AJ35" s="142"/>
      <c r="AK35" s="142"/>
      <c r="AL35" s="142"/>
      <c r="AM35" s="142"/>
      <c r="AN35" s="244"/>
      <c r="AO35" s="272">
        <v>0.2</v>
      </c>
      <c r="AP35" s="273">
        <v>45000</v>
      </c>
      <c r="AR35" s="225">
        <f t="shared" si="0"/>
        <v>43</v>
      </c>
      <c r="AS35" s="315">
        <v>1.1759E-2</v>
      </c>
      <c r="AT35" s="148"/>
      <c r="AU35" s="225">
        <v>41</v>
      </c>
      <c r="AV35" s="319">
        <v>6.1475000000000002E-2</v>
      </c>
    </row>
    <row r="36" spans="1:48" ht="15" thickBot="1" x14ac:dyDescent="0.4">
      <c r="A36" s="641">
        <v>8915.7749999999996</v>
      </c>
      <c r="B36" s="641">
        <v>12198.428000000002</v>
      </c>
      <c r="C36" s="644"/>
      <c r="D36" s="446">
        <v>6358.6012454879983</v>
      </c>
      <c r="E36" s="166">
        <f t="shared" si="8"/>
        <v>29</v>
      </c>
      <c r="F36" s="159">
        <f t="shared" si="4"/>
        <v>10253.141249999999</v>
      </c>
      <c r="G36" s="160">
        <f t="shared" si="5"/>
        <v>14028.192200000001</v>
      </c>
      <c r="H36" s="450">
        <f t="shared" si="1"/>
        <v>18642</v>
      </c>
      <c r="I36" s="426">
        <f t="shared" si="2"/>
        <v>25506</v>
      </c>
      <c r="J36" s="164">
        <f t="shared" si="7"/>
        <v>18642</v>
      </c>
      <c r="K36" s="165">
        <f t="shared" si="6"/>
        <v>25506</v>
      </c>
      <c r="L36" s="136"/>
      <c r="M36" s="785" t="s">
        <v>143</v>
      </c>
      <c r="N36" s="785"/>
      <c r="O36" s="785"/>
      <c r="P36" s="657">
        <v>5</v>
      </c>
      <c r="Q36" s="653" t="s">
        <v>31</v>
      </c>
      <c r="R36" s="654">
        <v>5</v>
      </c>
      <c r="S36"/>
      <c r="T36"/>
      <c r="U36"/>
      <c r="V36"/>
      <c r="W36"/>
      <c r="X36"/>
      <c r="Y36"/>
      <c r="Z36"/>
      <c r="AA36"/>
      <c r="AB36" s="435"/>
      <c r="AC36" s="238" t="s">
        <v>41</v>
      </c>
      <c r="AD36" s="239">
        <v>1</v>
      </c>
      <c r="AE36" s="142"/>
      <c r="AF36" s="142"/>
      <c r="AG36" s="142"/>
      <c r="AH36" s="142"/>
      <c r="AI36" s="142"/>
      <c r="AN36" s="250"/>
      <c r="AO36" s="274">
        <v>0.25</v>
      </c>
      <c r="AP36" s="275">
        <v>50000</v>
      </c>
      <c r="AR36" s="207">
        <f t="shared" si="0"/>
        <v>44</v>
      </c>
      <c r="AS36" s="312">
        <v>1.2655E-2</v>
      </c>
      <c r="AT36" s="148"/>
      <c r="AU36" s="207">
        <v>42</v>
      </c>
      <c r="AV36" s="318">
        <v>6.6188999999999998E-2</v>
      </c>
    </row>
    <row r="37" spans="1:48" ht="11" thickBot="1" x14ac:dyDescent="0.3">
      <c r="A37" s="641">
        <v>9126.4580000000024</v>
      </c>
      <c r="B37" s="641">
        <v>12445.598000000002</v>
      </c>
      <c r="C37" s="644"/>
      <c r="D37" s="446">
        <v>6697.3302506099972</v>
      </c>
      <c r="E37" s="163">
        <f t="shared" si="8"/>
        <v>30</v>
      </c>
      <c r="F37" s="159">
        <f t="shared" si="4"/>
        <v>10495.426700000002</v>
      </c>
      <c r="G37" s="160">
        <f t="shared" si="5"/>
        <v>14312.4377</v>
      </c>
      <c r="H37" s="450">
        <f t="shared" si="1"/>
        <v>19083</v>
      </c>
      <c r="I37" s="426">
        <f t="shared" si="2"/>
        <v>26023</v>
      </c>
      <c r="J37" s="161">
        <f t="shared" si="7"/>
        <v>19083</v>
      </c>
      <c r="K37" s="162">
        <f t="shared" si="6"/>
        <v>26023</v>
      </c>
      <c r="L37" s="136"/>
      <c r="M37" s="180" t="s">
        <v>0</v>
      </c>
      <c r="N37" s="181" t="s">
        <v>1</v>
      </c>
      <c r="O37" s="181" t="s">
        <v>2</v>
      </c>
      <c r="P37" s="151"/>
      <c r="Q37" s="209" t="s">
        <v>32</v>
      </c>
      <c r="R37" s="209"/>
      <c r="S37" s="209"/>
      <c r="T37" s="209"/>
      <c r="U37" s="209"/>
      <c r="V37" s="209"/>
      <c r="W37" s="209"/>
      <c r="X37" s="209"/>
      <c r="AB37" s="435"/>
      <c r="AC37" s="238" t="s">
        <v>42</v>
      </c>
      <c r="AD37" s="239">
        <v>1</v>
      </c>
      <c r="AE37" s="142"/>
      <c r="AF37" s="142"/>
      <c r="AG37" s="142"/>
      <c r="AH37" s="142"/>
      <c r="AI37" s="142"/>
      <c r="AJ37" s="143"/>
      <c r="AK37" s="143"/>
      <c r="AL37" s="143"/>
      <c r="AM37" s="143"/>
      <c r="AN37" s="244"/>
      <c r="AR37" s="225">
        <f t="shared" si="0"/>
        <v>45</v>
      </c>
      <c r="AS37" s="315">
        <v>1.3638000000000001E-2</v>
      </c>
      <c r="AT37" s="148"/>
      <c r="AU37" s="225">
        <v>43</v>
      </c>
      <c r="AV37" s="319">
        <v>7.1266999999999997E-2</v>
      </c>
    </row>
    <row r="38" spans="1:48" x14ac:dyDescent="0.25">
      <c r="A38" s="641">
        <v>9440.7170000000006</v>
      </c>
      <c r="B38" s="641">
        <v>12753.972000000002</v>
      </c>
      <c r="C38" s="644"/>
      <c r="D38" s="446">
        <v>7150.2389273999979</v>
      </c>
      <c r="E38" s="166">
        <f t="shared" si="8"/>
        <v>31</v>
      </c>
      <c r="F38" s="159">
        <f t="shared" si="4"/>
        <v>10856.824549999999</v>
      </c>
      <c r="G38" s="160">
        <f t="shared" si="5"/>
        <v>14667.067800000001</v>
      </c>
      <c r="H38" s="450">
        <f t="shared" si="1"/>
        <v>19740</v>
      </c>
      <c r="I38" s="426">
        <f t="shared" si="2"/>
        <v>26667</v>
      </c>
      <c r="J38" s="164">
        <f t="shared" si="7"/>
        <v>19740</v>
      </c>
      <c r="K38" s="165">
        <f t="shared" si="6"/>
        <v>26667</v>
      </c>
      <c r="L38" s="136"/>
      <c r="M38" s="177">
        <v>18</v>
      </c>
      <c r="N38" s="454">
        <v>0.9726999999999999</v>
      </c>
      <c r="O38" s="455">
        <v>1.0636000000000001</v>
      </c>
      <c r="P38" s="152"/>
      <c r="Q38" s="152"/>
      <c r="AB38" s="435"/>
      <c r="AC38" s="238" t="s">
        <v>43</v>
      </c>
      <c r="AD38" s="239">
        <v>1</v>
      </c>
      <c r="AE38" s="142"/>
      <c r="AF38" s="142"/>
      <c r="AG38" s="142"/>
      <c r="AH38" s="142"/>
      <c r="AI38" s="142"/>
      <c r="AJ38" s="637"/>
      <c r="AK38" s="637"/>
      <c r="AL38" s="637"/>
      <c r="AM38" s="637"/>
      <c r="AN38" s="244"/>
      <c r="AR38" s="207">
        <f t="shared" si="0"/>
        <v>46</v>
      </c>
      <c r="AS38" s="312">
        <v>1.4671999999999999E-2</v>
      </c>
      <c r="AT38" s="148"/>
      <c r="AU38" s="207">
        <v>44</v>
      </c>
      <c r="AV38" s="318">
        <v>7.6732999999999996E-2</v>
      </c>
    </row>
    <row r="39" spans="1:48" x14ac:dyDescent="0.25">
      <c r="A39" s="641">
        <v>9754.3875000000007</v>
      </c>
      <c r="B39" s="641">
        <v>13061.169000000002</v>
      </c>
      <c r="C39" s="644"/>
      <c r="D39" s="446">
        <v>7603.1476041899987</v>
      </c>
      <c r="E39" s="163">
        <f t="shared" si="8"/>
        <v>32</v>
      </c>
      <c r="F39" s="159">
        <f t="shared" si="4"/>
        <v>11217.545625000001</v>
      </c>
      <c r="G39" s="160">
        <f t="shared" si="5"/>
        <v>15020.344350000001</v>
      </c>
      <c r="H39" s="450">
        <f t="shared" si="1"/>
        <v>20396</v>
      </c>
      <c r="I39" s="426">
        <f t="shared" si="2"/>
        <v>27310</v>
      </c>
      <c r="J39" s="161">
        <f t="shared" si="7"/>
        <v>20396</v>
      </c>
      <c r="K39" s="162">
        <f t="shared" si="6"/>
        <v>27310</v>
      </c>
      <c r="L39" s="136"/>
      <c r="M39" s="179">
        <v>19</v>
      </c>
      <c r="N39" s="456">
        <v>0.9726999999999999</v>
      </c>
      <c r="O39" s="457">
        <v>1.0636000000000001</v>
      </c>
      <c r="P39" s="151"/>
      <c r="Q39" s="152"/>
      <c r="AB39" s="435"/>
      <c r="AC39" s="238" t="s">
        <v>44</v>
      </c>
      <c r="AD39" s="239">
        <v>1</v>
      </c>
      <c r="AE39" s="142"/>
      <c r="AF39" s="142"/>
      <c r="AG39" s="142"/>
      <c r="AH39" s="142"/>
      <c r="AI39" s="142"/>
      <c r="AN39" s="244"/>
      <c r="AO39" s="144" t="s">
        <v>180</v>
      </c>
      <c r="AP39" s="145">
        <v>0.18</v>
      </c>
      <c r="AR39" s="225">
        <f t="shared" si="0"/>
        <v>47</v>
      </c>
      <c r="AS39" s="315">
        <v>1.5810000000000001E-2</v>
      </c>
      <c r="AT39" s="148"/>
      <c r="AU39" s="225">
        <v>45</v>
      </c>
      <c r="AV39" s="319">
        <v>8.2621E-2</v>
      </c>
    </row>
    <row r="40" spans="1:48" ht="11" thickBot="1" x14ac:dyDescent="0.3">
      <c r="A40" s="641">
        <v>10067.469500000001</v>
      </c>
      <c r="B40" s="641">
        <v>13370.131500000001</v>
      </c>
      <c r="C40" s="644"/>
      <c r="D40" s="446">
        <v>8056.0562809799994</v>
      </c>
      <c r="E40" s="166">
        <f t="shared" si="8"/>
        <v>33</v>
      </c>
      <c r="F40" s="159">
        <f t="shared" si="4"/>
        <v>11577.589925</v>
      </c>
      <c r="G40" s="160">
        <f t="shared" si="5"/>
        <v>15375.651225</v>
      </c>
      <c r="H40" s="450">
        <f t="shared" si="1"/>
        <v>21050</v>
      </c>
      <c r="I40" s="426">
        <f t="shared" si="2"/>
        <v>27956</v>
      </c>
      <c r="J40" s="164">
        <f t="shared" si="7"/>
        <v>21050</v>
      </c>
      <c r="K40" s="165">
        <f t="shared" si="6"/>
        <v>27956</v>
      </c>
      <c r="L40" s="136"/>
      <c r="M40" s="177">
        <v>20</v>
      </c>
      <c r="N40" s="458">
        <v>0.9726999999999999</v>
      </c>
      <c r="O40" s="459">
        <v>1.0636000000000001</v>
      </c>
      <c r="P40" s="151"/>
      <c r="Q40" s="785" t="s">
        <v>162</v>
      </c>
      <c r="R40" s="785"/>
      <c r="S40" s="131"/>
      <c r="T40" s="131"/>
      <c r="U40" s="131"/>
      <c r="V40" s="131"/>
      <c r="W40" s="131"/>
      <c r="X40" s="131"/>
      <c r="AB40" s="435"/>
      <c r="AC40" s="238" t="s">
        <v>45</v>
      </c>
      <c r="AD40" s="239">
        <v>1</v>
      </c>
      <c r="AE40" s="142"/>
      <c r="AF40" s="142"/>
      <c r="AG40" s="142"/>
      <c r="AH40" s="142"/>
      <c r="AI40" s="142"/>
      <c r="AJ40" s="637"/>
      <c r="AK40" s="637"/>
      <c r="AL40" s="637"/>
      <c r="AM40" s="637"/>
      <c r="AN40" s="209"/>
      <c r="AO40" s="146" t="s">
        <v>181</v>
      </c>
      <c r="AP40" s="147">
        <v>0.04</v>
      </c>
      <c r="AR40" s="207">
        <f t="shared" si="0"/>
        <v>48</v>
      </c>
      <c r="AS40" s="312">
        <v>1.7017000000000001E-2</v>
      </c>
      <c r="AT40" s="148"/>
      <c r="AU40" s="207">
        <v>46</v>
      </c>
      <c r="AV40" s="318">
        <v>8.8957999999999995E-2</v>
      </c>
    </row>
    <row r="41" spans="1:48" x14ac:dyDescent="0.25">
      <c r="A41" s="641">
        <v>10381.728500000001</v>
      </c>
      <c r="B41" s="641">
        <v>13677.917000000001</v>
      </c>
      <c r="C41" s="644"/>
      <c r="D41" s="446">
        <v>8508.9649577700002</v>
      </c>
      <c r="E41" s="163">
        <f t="shared" si="8"/>
        <v>34</v>
      </c>
      <c r="F41" s="159">
        <f t="shared" si="4"/>
        <v>11938.987775</v>
      </c>
      <c r="G41" s="160">
        <f t="shared" si="5"/>
        <v>15729.60455</v>
      </c>
      <c r="H41" s="450">
        <f t="shared" si="1"/>
        <v>21707</v>
      </c>
      <c r="I41" s="426">
        <f t="shared" si="2"/>
        <v>28599</v>
      </c>
      <c r="J41" s="161">
        <f t="shared" si="7"/>
        <v>21707</v>
      </c>
      <c r="K41" s="162">
        <f t="shared" si="6"/>
        <v>28599</v>
      </c>
      <c r="L41" s="136"/>
      <c r="M41" s="179">
        <v>21</v>
      </c>
      <c r="N41" s="456">
        <v>1.0108999999999999</v>
      </c>
      <c r="O41" s="457">
        <v>1.2091000000000003</v>
      </c>
      <c r="P41" s="151"/>
      <c r="Q41" s="226" t="s">
        <v>35</v>
      </c>
      <c r="R41" s="205" t="s">
        <v>54</v>
      </c>
      <c r="S41" s="435"/>
      <c r="T41" s="435"/>
      <c r="U41" s="435"/>
      <c r="V41" s="435"/>
      <c r="W41" s="435"/>
      <c r="X41" s="435"/>
      <c r="AB41" s="435"/>
      <c r="AC41" s="238" t="s">
        <v>46</v>
      </c>
      <c r="AD41" s="239">
        <v>1</v>
      </c>
      <c r="AE41" s="142"/>
      <c r="AF41" s="142"/>
      <c r="AG41" s="142"/>
      <c r="AH41" s="142"/>
      <c r="AI41" s="142"/>
      <c r="AO41" s="149" t="s">
        <v>182</v>
      </c>
      <c r="AP41" s="150">
        <v>0.06</v>
      </c>
      <c r="AR41" s="225">
        <f t="shared" si="0"/>
        <v>49</v>
      </c>
      <c r="AS41" s="315">
        <v>1.8328000000000001E-2</v>
      </c>
      <c r="AT41" s="148"/>
      <c r="AU41" s="225">
        <v>47</v>
      </c>
      <c r="AV41" s="319">
        <v>9.5769999999999994E-2</v>
      </c>
    </row>
    <row r="42" spans="1:48" ht="11" thickBot="1" x14ac:dyDescent="0.3">
      <c r="A42" s="641">
        <v>10695.987500000001</v>
      </c>
      <c r="B42" s="641">
        <v>13986.291000000001</v>
      </c>
      <c r="C42" s="644"/>
      <c r="D42" s="446">
        <v>8961.8736345600009</v>
      </c>
      <c r="E42" s="166">
        <f t="shared" si="8"/>
        <v>35</v>
      </c>
      <c r="F42" s="159">
        <f t="shared" si="4"/>
        <v>12300.385625000001</v>
      </c>
      <c r="G42" s="160">
        <f t="shared" si="5"/>
        <v>16084.23465</v>
      </c>
      <c r="H42" s="450">
        <f t="shared" si="1"/>
        <v>22364</v>
      </c>
      <c r="I42" s="426">
        <f t="shared" si="2"/>
        <v>29244</v>
      </c>
      <c r="J42" s="164">
        <f t="shared" si="7"/>
        <v>22364</v>
      </c>
      <c r="K42" s="165">
        <f t="shared" si="6"/>
        <v>29244</v>
      </c>
      <c r="L42" s="136"/>
      <c r="M42" s="177">
        <v>22</v>
      </c>
      <c r="N42" s="458">
        <v>1.0491000000000001</v>
      </c>
      <c r="O42" s="459">
        <v>1.3528000000000002</v>
      </c>
      <c r="P42" s="151"/>
      <c r="Q42" s="206" t="s">
        <v>33</v>
      </c>
      <c r="R42" s="207">
        <v>4</v>
      </c>
      <c r="S42" s="435"/>
      <c r="T42" s="435"/>
      <c r="U42" s="435"/>
      <c r="V42" s="435"/>
      <c r="W42" s="435"/>
      <c r="X42" s="435"/>
      <c r="AB42" s="435"/>
      <c r="AC42" s="240" t="s">
        <v>47</v>
      </c>
      <c r="AD42" s="241">
        <v>1</v>
      </c>
      <c r="AE42" s="142"/>
      <c r="AF42" s="142"/>
      <c r="AG42" s="142"/>
      <c r="AH42" s="142"/>
      <c r="AI42" s="142"/>
      <c r="AR42" s="207">
        <f t="shared" si="0"/>
        <v>50</v>
      </c>
      <c r="AS42" s="312">
        <v>1.9723999999999998E-2</v>
      </c>
      <c r="AT42" s="148"/>
      <c r="AU42" s="207">
        <v>48</v>
      </c>
      <c r="AV42" s="318">
        <v>0.10309699999999999</v>
      </c>
    </row>
    <row r="43" spans="1:48" ht="11" thickBot="1" x14ac:dyDescent="0.3">
      <c r="A43" s="641">
        <v>11064.388500000001</v>
      </c>
      <c r="B43" s="641">
        <v>14254.058500000003</v>
      </c>
      <c r="C43" s="644"/>
      <c r="D43" s="446">
        <v>9467.686395671999</v>
      </c>
      <c r="E43" s="163">
        <f t="shared" si="8"/>
        <v>36</v>
      </c>
      <c r="F43" s="159">
        <f t="shared" si="4"/>
        <v>12724.046775000001</v>
      </c>
      <c r="G43" s="160">
        <f t="shared" si="5"/>
        <v>16392.167275000003</v>
      </c>
      <c r="H43" s="450">
        <f t="shared" si="1"/>
        <v>23135</v>
      </c>
      <c r="I43" s="426">
        <f t="shared" si="2"/>
        <v>29804</v>
      </c>
      <c r="J43" s="161">
        <f t="shared" si="7"/>
        <v>23135</v>
      </c>
      <c r="K43" s="162">
        <f t="shared" si="6"/>
        <v>29804</v>
      </c>
      <c r="L43" s="136"/>
      <c r="M43" s="179">
        <v>23</v>
      </c>
      <c r="N43" s="456">
        <v>1.0819000000000001</v>
      </c>
      <c r="O43" s="457">
        <v>1.4818</v>
      </c>
      <c r="P43" s="151"/>
      <c r="Q43" s="224" t="s">
        <v>3</v>
      </c>
      <c r="R43" s="225">
        <v>2</v>
      </c>
      <c r="S43" s="435"/>
      <c r="T43" s="435"/>
      <c r="U43" s="435"/>
      <c r="V43" s="435"/>
      <c r="W43" s="435"/>
      <c r="X43" s="435"/>
      <c r="AB43" s="435"/>
      <c r="AC43" s="784" t="s">
        <v>50</v>
      </c>
      <c r="AD43" s="784"/>
      <c r="AE43" s="142"/>
      <c r="AF43" s="142"/>
      <c r="AG43" s="142"/>
      <c r="AH43" s="142"/>
      <c r="AI43" s="142"/>
      <c r="AR43" s="225">
        <f t="shared" si="0"/>
        <v>51</v>
      </c>
      <c r="AS43" s="315">
        <v>2.1240999999999999E-2</v>
      </c>
      <c r="AT43" s="148"/>
      <c r="AU43" s="225">
        <v>49</v>
      </c>
      <c r="AV43" s="319">
        <v>0.110985</v>
      </c>
    </row>
    <row r="44" spans="1:48" ht="11" thickBot="1" x14ac:dyDescent="0.3">
      <c r="A44" s="641">
        <v>11432.201000000001</v>
      </c>
      <c r="B44" s="641">
        <v>14521.237500000003</v>
      </c>
      <c r="C44" s="644"/>
      <c r="D44" s="446">
        <v>9973.499156783997</v>
      </c>
      <c r="E44" s="166">
        <f t="shared" si="8"/>
        <v>37</v>
      </c>
      <c r="F44" s="159">
        <f t="shared" si="4"/>
        <v>13147.031150000001</v>
      </c>
      <c r="G44" s="160">
        <f t="shared" si="5"/>
        <v>16699.423125000001</v>
      </c>
      <c r="H44" s="450">
        <f t="shared" si="1"/>
        <v>23904</v>
      </c>
      <c r="I44" s="426">
        <f t="shared" si="2"/>
        <v>30363</v>
      </c>
      <c r="J44" s="164">
        <f t="shared" si="7"/>
        <v>23904</v>
      </c>
      <c r="K44" s="165">
        <f t="shared" si="6"/>
        <v>30363</v>
      </c>
      <c r="L44" s="136"/>
      <c r="M44" s="177">
        <v>24</v>
      </c>
      <c r="N44" s="458">
        <v>1.1200000000000001</v>
      </c>
      <c r="O44" s="459">
        <v>1.6091</v>
      </c>
      <c r="P44" s="151"/>
      <c r="Q44" s="206" t="s">
        <v>4</v>
      </c>
      <c r="R44" s="207">
        <v>2</v>
      </c>
      <c r="S44" s="435"/>
      <c r="T44" s="435"/>
      <c r="U44" s="435"/>
      <c r="V44" s="435"/>
      <c r="W44" s="435"/>
      <c r="X44" s="435"/>
      <c r="AB44" s="435"/>
      <c r="AC44" s="133" t="s">
        <v>48</v>
      </c>
      <c r="AD44" s="267" t="s">
        <v>39</v>
      </c>
      <c r="AE44" s="142"/>
      <c r="AF44" s="142"/>
      <c r="AG44" s="142"/>
      <c r="AH44" s="142"/>
      <c r="AI44" s="142"/>
      <c r="AO44" s="785" t="s">
        <v>233</v>
      </c>
      <c r="AP44" s="785"/>
      <c r="AR44" s="207">
        <f t="shared" si="0"/>
        <v>52</v>
      </c>
      <c r="AS44" s="312">
        <v>2.2862E-2</v>
      </c>
      <c r="AT44" s="148"/>
      <c r="AU44" s="207">
        <v>50</v>
      </c>
      <c r="AV44" s="318">
        <v>0.119465</v>
      </c>
    </row>
    <row r="45" spans="1:48" ht="11" thickBot="1" x14ac:dyDescent="0.3">
      <c r="A45" s="641">
        <v>11801.190500000002</v>
      </c>
      <c r="B45" s="641">
        <v>14790.182000000001</v>
      </c>
      <c r="C45" s="644"/>
      <c r="D45" s="446">
        <v>10479.311917895995</v>
      </c>
      <c r="E45" s="163">
        <f t="shared" si="8"/>
        <v>38</v>
      </c>
      <c r="F45" s="159">
        <f t="shared" si="4"/>
        <v>13571.369075000002</v>
      </c>
      <c r="G45" s="160">
        <f t="shared" si="5"/>
        <v>17008.709299999999</v>
      </c>
      <c r="H45" s="450">
        <f t="shared" si="1"/>
        <v>24675</v>
      </c>
      <c r="I45" s="426">
        <f t="shared" si="2"/>
        <v>30925</v>
      </c>
      <c r="J45" s="161">
        <f t="shared" si="7"/>
        <v>24675</v>
      </c>
      <c r="K45" s="162">
        <f t="shared" si="6"/>
        <v>30925</v>
      </c>
      <c r="L45" s="136"/>
      <c r="M45" s="179">
        <v>25</v>
      </c>
      <c r="N45" s="456">
        <v>1.1581999999999999</v>
      </c>
      <c r="O45" s="457">
        <v>1.7363999999999999</v>
      </c>
      <c r="P45" s="151"/>
      <c r="Q45" s="224" t="s">
        <v>5</v>
      </c>
      <c r="R45" s="225">
        <v>3</v>
      </c>
      <c r="S45" s="435"/>
      <c r="T45" s="435"/>
      <c r="U45" s="435"/>
      <c r="V45" s="435"/>
      <c r="W45" s="435"/>
      <c r="X45" s="435"/>
      <c r="AB45" s="435"/>
      <c r="AC45" s="227" t="s">
        <v>55</v>
      </c>
      <c r="AD45" s="266" t="e">
        <f>VLOOKUP(Cotizador!T24,$AC$46:$AD$59,2,0)</f>
        <v>#N/A</v>
      </c>
      <c r="AE45" s="142"/>
      <c r="AF45" s="142"/>
      <c r="AG45" s="142"/>
      <c r="AH45" s="142"/>
      <c r="AI45" s="142"/>
      <c r="AO45" s="330">
        <v>2008</v>
      </c>
      <c r="AP45" s="331">
        <v>0.1148</v>
      </c>
      <c r="AR45" s="225">
        <f t="shared" si="0"/>
        <v>53</v>
      </c>
      <c r="AS45" s="315">
        <v>2.4621000000000001E-2</v>
      </c>
      <c r="AT45" s="148"/>
      <c r="AU45" s="225">
        <v>51</v>
      </c>
      <c r="AV45" s="319">
        <v>0.12859000000000001</v>
      </c>
    </row>
    <row r="46" spans="1:48" ht="11" thickBot="1" x14ac:dyDescent="0.3">
      <c r="A46" s="641">
        <v>12169.591500000002</v>
      </c>
      <c r="B46" s="641">
        <v>15057.361000000003</v>
      </c>
      <c r="C46" s="644"/>
      <c r="D46" s="446">
        <v>10985.124679007993</v>
      </c>
      <c r="E46" s="166">
        <f t="shared" si="8"/>
        <v>39</v>
      </c>
      <c r="F46" s="159">
        <f t="shared" si="4"/>
        <v>13995.030225000002</v>
      </c>
      <c r="G46" s="160">
        <f t="shared" si="5"/>
        <v>17315.96515</v>
      </c>
      <c r="H46" s="450">
        <f t="shared" si="1"/>
        <v>25446</v>
      </c>
      <c r="I46" s="426">
        <f t="shared" si="2"/>
        <v>31484</v>
      </c>
      <c r="J46" s="164">
        <f t="shared" si="7"/>
        <v>25446</v>
      </c>
      <c r="K46" s="165">
        <f t="shared" si="6"/>
        <v>31484</v>
      </c>
      <c r="L46" s="136"/>
      <c r="M46" s="177">
        <v>26</v>
      </c>
      <c r="N46" s="458">
        <v>1.1946000000000001</v>
      </c>
      <c r="O46" s="459">
        <v>1.8654999999999999</v>
      </c>
      <c r="P46" s="151"/>
      <c r="Q46" s="206" t="s">
        <v>6</v>
      </c>
      <c r="R46" s="207">
        <v>2</v>
      </c>
      <c r="S46" s="435"/>
      <c r="T46" s="435"/>
      <c r="U46" s="435"/>
      <c r="V46" s="435"/>
      <c r="W46" s="435"/>
      <c r="X46" s="435"/>
      <c r="AB46" s="435"/>
      <c r="AC46" s="268">
        <v>500000</v>
      </c>
      <c r="AD46" s="269">
        <v>0.80700000000000005</v>
      </c>
      <c r="AE46" s="142"/>
      <c r="AF46" s="142"/>
      <c r="AG46" s="142"/>
      <c r="AH46" s="142"/>
      <c r="AI46" s="142"/>
      <c r="AO46" s="332">
        <v>2009</v>
      </c>
      <c r="AP46" s="333">
        <v>9.7099999999999964E-2</v>
      </c>
      <c r="AR46" s="207">
        <f>AR45+1</f>
        <v>54</v>
      </c>
      <c r="AS46" s="312">
        <v>2.6499999999999999E-2</v>
      </c>
      <c r="AT46" s="148"/>
      <c r="AU46" s="207">
        <v>52</v>
      </c>
      <c r="AV46" s="318">
        <v>0.13841100000000001</v>
      </c>
    </row>
    <row r="47" spans="1:48" x14ac:dyDescent="0.25">
      <c r="A47" s="641">
        <v>12537.992500000002</v>
      </c>
      <c r="B47" s="641">
        <v>15325.128500000003</v>
      </c>
      <c r="C47" s="644"/>
      <c r="D47" s="446">
        <v>11490.937440119993</v>
      </c>
      <c r="E47" s="163">
        <f t="shared" si="8"/>
        <v>40</v>
      </c>
      <c r="F47" s="159">
        <f t="shared" si="4"/>
        <v>14418.691375000002</v>
      </c>
      <c r="G47" s="160">
        <f t="shared" si="5"/>
        <v>17623.897775000001</v>
      </c>
      <c r="H47" s="450">
        <f t="shared" si="1"/>
        <v>26216</v>
      </c>
      <c r="I47" s="426">
        <f t="shared" si="2"/>
        <v>32043</v>
      </c>
      <c r="J47" s="161">
        <f t="shared" si="7"/>
        <v>26216</v>
      </c>
      <c r="K47" s="162">
        <f t="shared" si="6"/>
        <v>32043</v>
      </c>
      <c r="L47" s="136"/>
      <c r="M47" s="179">
        <v>27</v>
      </c>
      <c r="N47" s="456">
        <v>1.2126999999999997</v>
      </c>
      <c r="O47" s="457">
        <v>1.9709000000000001</v>
      </c>
      <c r="P47" s="151"/>
      <c r="Q47" s="224" t="s">
        <v>7</v>
      </c>
      <c r="R47" s="225">
        <v>4</v>
      </c>
      <c r="S47" s="435"/>
      <c r="T47" s="435"/>
      <c r="U47" s="435"/>
      <c r="V47" s="435"/>
      <c r="W47" s="435"/>
      <c r="X47" s="435"/>
      <c r="AB47" s="435"/>
      <c r="AC47" s="268">
        <v>1000000</v>
      </c>
      <c r="AD47" s="269">
        <v>0.88100000000000001</v>
      </c>
      <c r="AE47" s="142"/>
      <c r="AF47" s="142"/>
      <c r="AG47" s="142"/>
      <c r="AH47" s="142"/>
      <c r="AI47" s="142"/>
      <c r="AO47" s="332">
        <v>2010</v>
      </c>
      <c r="AP47" s="333">
        <v>0.1039000000000001</v>
      </c>
      <c r="AR47" s="225">
        <f t="shared" si="0"/>
        <v>55</v>
      </c>
      <c r="AS47" s="315">
        <v>2.8534E-2</v>
      </c>
      <c r="AT47" s="148"/>
      <c r="AU47" s="225">
        <v>53</v>
      </c>
      <c r="AV47" s="319">
        <v>0.14896000000000001</v>
      </c>
    </row>
    <row r="48" spans="1:48" ht="11" thickBot="1" x14ac:dyDescent="0.3">
      <c r="A48" s="641">
        <v>13320.697500000002</v>
      </c>
      <c r="B48" s="641">
        <v>16296.742000000002</v>
      </c>
      <c r="C48" s="644"/>
      <c r="D48" s="446">
        <v>12056.654970575986</v>
      </c>
      <c r="E48" s="166">
        <f t="shared" si="8"/>
        <v>41</v>
      </c>
      <c r="F48" s="159">
        <f t="shared" si="4"/>
        <v>15318.802125000002</v>
      </c>
      <c r="G48" s="160">
        <f t="shared" si="5"/>
        <v>18741.2533</v>
      </c>
      <c r="H48" s="450">
        <f t="shared" si="1"/>
        <v>27852</v>
      </c>
      <c r="I48" s="426">
        <f t="shared" si="2"/>
        <v>34075</v>
      </c>
      <c r="J48" s="164">
        <f t="shared" si="7"/>
        <v>27852</v>
      </c>
      <c r="K48" s="165">
        <f t="shared" si="6"/>
        <v>34075</v>
      </c>
      <c r="L48" s="136"/>
      <c r="M48" s="177">
        <v>28</v>
      </c>
      <c r="N48" s="458">
        <v>1.2491000000000001</v>
      </c>
      <c r="O48" s="459">
        <v>2.1</v>
      </c>
      <c r="P48" s="151"/>
      <c r="Q48" s="206" t="s">
        <v>8</v>
      </c>
      <c r="R48" s="207">
        <v>3</v>
      </c>
      <c r="S48" s="435"/>
      <c r="T48" s="435"/>
      <c r="U48" s="435"/>
      <c r="V48" s="435"/>
      <c r="W48" s="435"/>
      <c r="X48" s="435"/>
      <c r="AB48" s="435"/>
      <c r="AC48" s="242">
        <v>1500000</v>
      </c>
      <c r="AD48" s="243">
        <v>0.92500000000000004</v>
      </c>
      <c r="AE48" s="142"/>
      <c r="AF48" s="142"/>
      <c r="AG48" s="142"/>
      <c r="AH48" s="142"/>
      <c r="AI48" s="142"/>
      <c r="AJ48" s="209"/>
      <c r="AK48" s="209"/>
      <c r="AL48" s="209"/>
      <c r="AM48" s="209"/>
      <c r="AO48" s="334">
        <v>2011</v>
      </c>
      <c r="AP48" s="335">
        <v>0.11759999999999993</v>
      </c>
      <c r="AR48" s="207">
        <f t="shared" si="0"/>
        <v>56</v>
      </c>
      <c r="AS48" s="312">
        <v>3.0707000000000002E-2</v>
      </c>
      <c r="AT48" s="148"/>
      <c r="AU48" s="207">
        <v>54</v>
      </c>
      <c r="AV48" s="318">
        <v>0.160306</v>
      </c>
    </row>
    <row r="49" spans="1:48" x14ac:dyDescent="0.25">
      <c r="A49" s="641">
        <v>14102.814000000002</v>
      </c>
      <c r="B49" s="641">
        <v>17269.532500000001</v>
      </c>
      <c r="C49" s="644"/>
      <c r="D49" s="446">
        <v>12622.372501031979</v>
      </c>
      <c r="E49" s="163">
        <f t="shared" si="8"/>
        <v>42</v>
      </c>
      <c r="F49" s="159">
        <f t="shared" si="4"/>
        <v>16218.236100000002</v>
      </c>
      <c r="G49" s="160">
        <f t="shared" si="5"/>
        <v>19859.962374999999</v>
      </c>
      <c r="H49" s="450">
        <f t="shared" si="1"/>
        <v>29488</v>
      </c>
      <c r="I49" s="426">
        <f t="shared" si="2"/>
        <v>36109</v>
      </c>
      <c r="J49" s="161">
        <f t="shared" si="7"/>
        <v>29488</v>
      </c>
      <c r="K49" s="162">
        <f t="shared" si="6"/>
        <v>36109</v>
      </c>
      <c r="L49" s="136"/>
      <c r="M49" s="182">
        <v>29</v>
      </c>
      <c r="N49" s="460">
        <v>1.2873000000000001</v>
      </c>
      <c r="O49" s="461">
        <v>2.2090999999999998</v>
      </c>
      <c r="P49" s="151"/>
      <c r="Q49" s="224" t="s">
        <v>9</v>
      </c>
      <c r="R49" s="225">
        <v>2</v>
      </c>
      <c r="S49" s="435"/>
      <c r="T49" s="435"/>
      <c r="U49" s="435"/>
      <c r="V49" s="435"/>
      <c r="W49" s="435"/>
      <c r="X49" s="435"/>
      <c r="AB49" s="435"/>
      <c r="AC49" s="242">
        <v>2000000</v>
      </c>
      <c r="AD49" s="243">
        <v>0.95599999999999996</v>
      </c>
      <c r="AE49" s="142"/>
      <c r="AF49" s="142"/>
      <c r="AG49" s="142"/>
      <c r="AH49" s="142"/>
      <c r="AI49" s="142"/>
      <c r="AO49" s="209"/>
      <c r="AP49" s="209"/>
      <c r="AR49" s="225">
        <f t="shared" si="0"/>
        <v>57</v>
      </c>
      <c r="AS49" s="315">
        <v>3.3051999999999998E-2</v>
      </c>
      <c r="AT49" s="148"/>
      <c r="AU49" s="225">
        <v>55</v>
      </c>
      <c r="AV49" s="319">
        <v>0.17250799999999999</v>
      </c>
    </row>
    <row r="50" spans="1:48" x14ac:dyDescent="0.25">
      <c r="A50" s="641">
        <v>14884.342000000001</v>
      </c>
      <c r="B50" s="641">
        <v>18242.323000000004</v>
      </c>
      <c r="C50" s="644"/>
      <c r="D50" s="446">
        <v>13188.090031487975</v>
      </c>
      <c r="E50" s="166">
        <f t="shared" si="8"/>
        <v>43</v>
      </c>
      <c r="F50" s="159">
        <f t="shared" si="4"/>
        <v>17116.993299999998</v>
      </c>
      <c r="G50" s="160">
        <f t="shared" si="5"/>
        <v>20978.671450000002</v>
      </c>
      <c r="H50" s="450">
        <f t="shared" si="1"/>
        <v>31122</v>
      </c>
      <c r="I50" s="426">
        <f t="shared" si="2"/>
        <v>38143</v>
      </c>
      <c r="J50" s="164">
        <f t="shared" si="7"/>
        <v>31122</v>
      </c>
      <c r="K50" s="165">
        <f t="shared" si="6"/>
        <v>38143</v>
      </c>
      <c r="L50" s="136"/>
      <c r="M50" s="177">
        <v>30</v>
      </c>
      <c r="N50" s="458">
        <v>1.4673000000000003</v>
      </c>
      <c r="O50" s="459">
        <v>2.4272</v>
      </c>
      <c r="P50" s="151"/>
      <c r="Q50" s="206" t="s">
        <v>288</v>
      </c>
      <c r="R50" s="207">
        <v>3</v>
      </c>
      <c r="S50" s="435"/>
      <c r="T50" s="435"/>
      <c r="U50" s="435"/>
      <c r="V50" s="435"/>
      <c r="W50" s="435"/>
      <c r="X50" s="435"/>
      <c r="AB50" s="435"/>
      <c r="AC50" s="242">
        <v>3000000</v>
      </c>
      <c r="AD50" s="243">
        <v>1</v>
      </c>
      <c r="AO50" s="153"/>
      <c r="AP50" s="154"/>
      <c r="AR50" s="207">
        <f t="shared" si="0"/>
        <v>58</v>
      </c>
      <c r="AS50" s="312">
        <v>3.5569000000000003E-2</v>
      </c>
      <c r="AT50" s="148"/>
      <c r="AU50" s="207">
        <v>56</v>
      </c>
      <c r="AV50" s="318">
        <v>0.18562400000000001</v>
      </c>
    </row>
    <row r="51" spans="1:48" x14ac:dyDescent="0.25">
      <c r="A51" s="641">
        <v>15666.458500000002</v>
      </c>
      <c r="B51" s="641">
        <v>19215.113500000003</v>
      </c>
      <c r="C51" s="644"/>
      <c r="D51" s="446">
        <v>13753.80756194397</v>
      </c>
      <c r="E51" s="163">
        <f t="shared" si="8"/>
        <v>44</v>
      </c>
      <c r="F51" s="159">
        <f t="shared" si="4"/>
        <v>18016.427275000002</v>
      </c>
      <c r="G51" s="160">
        <f t="shared" si="5"/>
        <v>22097.380525</v>
      </c>
      <c r="H51" s="450">
        <f t="shared" si="1"/>
        <v>32757</v>
      </c>
      <c r="I51" s="426">
        <f t="shared" si="2"/>
        <v>40177</v>
      </c>
      <c r="J51" s="161">
        <f t="shared" si="7"/>
        <v>32757</v>
      </c>
      <c r="K51" s="162">
        <f t="shared" si="6"/>
        <v>40177</v>
      </c>
      <c r="L51" s="136"/>
      <c r="M51" s="179">
        <v>31</v>
      </c>
      <c r="N51" s="456">
        <v>1.7036000000000002</v>
      </c>
      <c r="O51" s="457">
        <v>2.6781999999999999</v>
      </c>
      <c r="P51" s="151"/>
      <c r="Q51" s="224" t="s">
        <v>34</v>
      </c>
      <c r="R51" s="225">
        <v>4</v>
      </c>
      <c r="S51" s="435"/>
      <c r="T51" s="435"/>
      <c r="U51" s="435"/>
      <c r="V51" s="435"/>
      <c r="W51" s="435"/>
      <c r="X51" s="435"/>
      <c r="AB51" s="435"/>
      <c r="AC51" s="242">
        <v>5000000</v>
      </c>
      <c r="AD51" s="243">
        <v>1.0549999999999999</v>
      </c>
      <c r="AO51" s="336" t="s">
        <v>243</v>
      </c>
      <c r="AP51" s="337"/>
      <c r="AR51" s="225">
        <f t="shared" si="0"/>
        <v>59</v>
      </c>
      <c r="AS51" s="315">
        <v>3.8293000000000001E-2</v>
      </c>
      <c r="AT51" s="148"/>
      <c r="AU51" s="225">
        <v>57</v>
      </c>
      <c r="AV51" s="319">
        <v>0.19972200000000001</v>
      </c>
    </row>
    <row r="52" spans="1:48" x14ac:dyDescent="0.25">
      <c r="A52" s="641">
        <v>16449.163500000002</v>
      </c>
      <c r="B52" s="641">
        <v>20186.727000000003</v>
      </c>
      <c r="C52" s="644"/>
      <c r="D52" s="446">
        <v>14319.525092399963</v>
      </c>
      <c r="E52" s="166">
        <f t="shared" si="8"/>
        <v>45</v>
      </c>
      <c r="F52" s="159">
        <f t="shared" si="4"/>
        <v>18916.538025000002</v>
      </c>
      <c r="G52" s="160">
        <f t="shared" si="5"/>
        <v>23214.73605</v>
      </c>
      <c r="H52" s="450">
        <f t="shared" si="1"/>
        <v>34394</v>
      </c>
      <c r="I52" s="426">
        <f t="shared" si="2"/>
        <v>42209</v>
      </c>
      <c r="J52" s="164">
        <f t="shared" si="7"/>
        <v>34394</v>
      </c>
      <c r="K52" s="165">
        <f t="shared" si="6"/>
        <v>42209</v>
      </c>
      <c r="L52" s="136"/>
      <c r="M52" s="177">
        <v>32</v>
      </c>
      <c r="N52" s="458">
        <v>1.9744999999999999</v>
      </c>
      <c r="O52" s="459">
        <v>2.9872999999999994</v>
      </c>
      <c r="P52" s="151"/>
      <c r="Q52" s="206" t="s">
        <v>10</v>
      </c>
      <c r="R52" s="207">
        <v>4</v>
      </c>
      <c r="S52" s="435"/>
      <c r="T52" s="435"/>
      <c r="U52" s="435"/>
      <c r="V52" s="435"/>
      <c r="W52" s="435"/>
      <c r="X52" s="435"/>
      <c r="AB52" s="435"/>
      <c r="AC52" s="242">
        <v>10000000</v>
      </c>
      <c r="AD52" s="243">
        <v>1.1299999999999999</v>
      </c>
      <c r="AO52" s="336" t="s">
        <v>61</v>
      </c>
      <c r="AP52" s="338">
        <v>0</v>
      </c>
      <c r="AR52" s="207">
        <f t="shared" si="0"/>
        <v>60</v>
      </c>
      <c r="AS52" s="312">
        <v>4.1207000000000001E-2</v>
      </c>
      <c r="AT52" s="148"/>
      <c r="AU52" s="207">
        <v>58</v>
      </c>
      <c r="AV52" s="318">
        <v>0.214869</v>
      </c>
    </row>
    <row r="53" spans="1:48" x14ac:dyDescent="0.25">
      <c r="A53" s="641">
        <v>17161.248500000002</v>
      </c>
      <c r="B53" s="641">
        <v>21152.455500000004</v>
      </c>
      <c r="C53" s="644"/>
      <c r="D53" s="446">
        <v>15024.62262373997</v>
      </c>
      <c r="E53" s="163">
        <f t="shared" si="8"/>
        <v>46</v>
      </c>
      <c r="F53" s="159">
        <f t="shared" si="4"/>
        <v>19735.435775000002</v>
      </c>
      <c r="G53" s="160">
        <f t="shared" si="5"/>
        <v>24325.323825000003</v>
      </c>
      <c r="H53" s="450">
        <f t="shared" si="1"/>
        <v>35883</v>
      </c>
      <c r="I53" s="426">
        <f t="shared" si="2"/>
        <v>44228</v>
      </c>
      <c r="J53" s="161">
        <f t="shared" si="7"/>
        <v>35883</v>
      </c>
      <c r="K53" s="162">
        <f t="shared" si="6"/>
        <v>44228</v>
      </c>
      <c r="L53" s="136"/>
      <c r="M53" s="179">
        <v>33</v>
      </c>
      <c r="N53" s="456">
        <v>2.1726999999999999</v>
      </c>
      <c r="O53" s="457">
        <v>3.3491</v>
      </c>
      <c r="P53" s="151"/>
      <c r="Q53" s="224" t="s">
        <v>11</v>
      </c>
      <c r="R53" s="225">
        <v>4</v>
      </c>
      <c r="S53" s="435"/>
      <c r="T53" s="435"/>
      <c r="U53" s="435"/>
      <c r="V53" s="435"/>
      <c r="W53" s="435"/>
      <c r="X53" s="435"/>
      <c r="AB53" s="435"/>
      <c r="AC53" s="242">
        <v>20000000</v>
      </c>
      <c r="AD53" s="243">
        <v>1.2050000000000001</v>
      </c>
      <c r="AO53" s="336" t="s">
        <v>59</v>
      </c>
      <c r="AP53" s="339">
        <v>0</v>
      </c>
      <c r="AR53" s="225">
        <f t="shared" si="0"/>
        <v>61</v>
      </c>
      <c r="AS53" s="315">
        <v>4.4345000000000002E-2</v>
      </c>
      <c r="AT53" s="148"/>
      <c r="AU53" s="225">
        <v>59</v>
      </c>
      <c r="AV53" s="319">
        <v>0.23114699999999999</v>
      </c>
    </row>
    <row r="54" spans="1:48" x14ac:dyDescent="0.25">
      <c r="A54" s="641">
        <v>17874.510500000004</v>
      </c>
      <c r="B54" s="641">
        <v>22117.595500000003</v>
      </c>
      <c r="C54" s="644"/>
      <c r="D54" s="446">
        <v>15729.720155079976</v>
      </c>
      <c r="E54" s="166">
        <f t="shared" si="8"/>
        <v>47</v>
      </c>
      <c r="F54" s="159">
        <f t="shared" si="4"/>
        <v>20555.687075000002</v>
      </c>
      <c r="G54" s="160">
        <f t="shared" si="5"/>
        <v>25435.234825000003</v>
      </c>
      <c r="H54" s="450">
        <f t="shared" si="1"/>
        <v>37374</v>
      </c>
      <c r="I54" s="426">
        <f t="shared" si="2"/>
        <v>46246</v>
      </c>
      <c r="J54" s="164">
        <f t="shared" si="7"/>
        <v>37374</v>
      </c>
      <c r="K54" s="165">
        <f t="shared" si="6"/>
        <v>46246</v>
      </c>
      <c r="L54" s="136"/>
      <c r="M54" s="177">
        <v>34</v>
      </c>
      <c r="N54" s="458">
        <v>2.4272</v>
      </c>
      <c r="O54" s="459">
        <v>3.5691000000000002</v>
      </c>
      <c r="P54" s="151"/>
      <c r="Q54" s="206" t="s">
        <v>12</v>
      </c>
      <c r="R54" s="207">
        <v>4</v>
      </c>
      <c r="S54" s="435"/>
      <c r="T54" s="435"/>
      <c r="U54" s="435"/>
      <c r="V54" s="435"/>
      <c r="W54" s="435"/>
      <c r="X54" s="435"/>
      <c r="AB54" s="435"/>
      <c r="AC54" s="242">
        <v>30000000</v>
      </c>
      <c r="AD54" s="243">
        <v>1.248</v>
      </c>
      <c r="AO54" s="336" t="s">
        <v>58</v>
      </c>
      <c r="AP54" s="339">
        <v>0</v>
      </c>
      <c r="AR54" s="207">
        <f t="shared" si="0"/>
        <v>62</v>
      </c>
      <c r="AS54" s="312">
        <v>4.7706999999999999E-2</v>
      </c>
      <c r="AT54" s="148"/>
      <c r="AU54" s="207">
        <v>60</v>
      </c>
      <c r="AV54" s="318">
        <v>0.24863299999999999</v>
      </c>
    </row>
    <row r="55" spans="1:48" ht="11" thickBot="1" x14ac:dyDescent="0.3">
      <c r="A55" s="641">
        <v>18586.595500000003</v>
      </c>
      <c r="B55" s="641">
        <v>23083.912500000002</v>
      </c>
      <c r="C55" s="644"/>
      <c r="D55" s="446">
        <v>16434.817686419985</v>
      </c>
      <c r="E55" s="163">
        <f t="shared" si="8"/>
        <v>48</v>
      </c>
      <c r="F55" s="159">
        <f t="shared" si="4"/>
        <v>21374.584825000002</v>
      </c>
      <c r="G55" s="160">
        <f t="shared" si="5"/>
        <v>26546.499374999999</v>
      </c>
      <c r="H55" s="450">
        <f t="shared" si="1"/>
        <v>38863</v>
      </c>
      <c r="I55" s="426">
        <f t="shared" si="2"/>
        <v>48266</v>
      </c>
      <c r="J55" s="161">
        <f t="shared" si="7"/>
        <v>38863</v>
      </c>
      <c r="K55" s="162">
        <f t="shared" si="6"/>
        <v>48266</v>
      </c>
      <c r="L55" s="136"/>
      <c r="M55" s="179">
        <v>35</v>
      </c>
      <c r="N55" s="456">
        <v>2.7526999999999995</v>
      </c>
      <c r="O55" s="457">
        <v>3.8036000000000003</v>
      </c>
      <c r="P55" s="151"/>
      <c r="Q55" s="224" t="s">
        <v>13</v>
      </c>
      <c r="R55" s="225">
        <v>4</v>
      </c>
      <c r="S55" s="435"/>
      <c r="T55" s="435"/>
      <c r="U55" s="435"/>
      <c r="V55" s="435"/>
      <c r="W55" s="435"/>
      <c r="X55" s="435"/>
      <c r="AB55" s="435"/>
      <c r="AC55" s="245">
        <v>35000000</v>
      </c>
      <c r="AD55" s="249">
        <v>1.2649999999999999</v>
      </c>
      <c r="AO55" s="336" t="s">
        <v>57</v>
      </c>
      <c r="AP55" s="339">
        <v>0</v>
      </c>
      <c r="AR55" s="225">
        <f t="shared" si="0"/>
        <v>63</v>
      </c>
      <c r="AS55" s="315">
        <v>5.1327999999999999E-2</v>
      </c>
      <c r="AT55" s="148"/>
      <c r="AU55" s="225">
        <v>61</v>
      </c>
      <c r="AV55" s="319">
        <v>0.25790099999999999</v>
      </c>
    </row>
    <row r="56" spans="1:48" ht="11" thickBot="1" x14ac:dyDescent="0.3">
      <c r="A56" s="641">
        <v>19299.857500000002</v>
      </c>
      <c r="B56" s="641">
        <v>24050.229500000005</v>
      </c>
      <c r="C56" s="644"/>
      <c r="D56" s="446">
        <v>17139.91521775999</v>
      </c>
      <c r="E56" s="166">
        <f t="shared" si="8"/>
        <v>49</v>
      </c>
      <c r="F56" s="159">
        <f t="shared" si="4"/>
        <v>22194.836125000002</v>
      </c>
      <c r="G56" s="160">
        <f t="shared" si="5"/>
        <v>27657.763925000003</v>
      </c>
      <c r="H56" s="450">
        <f t="shared" si="1"/>
        <v>40354</v>
      </c>
      <c r="I56" s="426">
        <f t="shared" si="2"/>
        <v>50287</v>
      </c>
      <c r="J56" s="164">
        <f t="shared" si="7"/>
        <v>40354</v>
      </c>
      <c r="K56" s="165">
        <f t="shared" si="6"/>
        <v>50287</v>
      </c>
      <c r="L56" s="136"/>
      <c r="M56" s="177">
        <v>36</v>
      </c>
      <c r="N56" s="458">
        <v>3.1126999999999998</v>
      </c>
      <c r="O56" s="459">
        <v>4.0217999999999998</v>
      </c>
      <c r="P56" s="151"/>
      <c r="Q56" s="206" t="s">
        <v>14</v>
      </c>
      <c r="R56" s="207">
        <v>3</v>
      </c>
      <c r="S56" s="435"/>
      <c r="T56" s="435"/>
      <c r="U56" s="435"/>
      <c r="V56" s="435"/>
      <c r="W56" s="435"/>
      <c r="X56" s="435"/>
      <c r="AB56" s="435"/>
      <c r="AC56" s="245">
        <v>45000000</v>
      </c>
      <c r="AD56" s="249">
        <v>1.292</v>
      </c>
      <c r="AR56" s="207">
        <f t="shared" si="0"/>
        <v>64</v>
      </c>
      <c r="AS56" s="312">
        <v>5.5206999999999999E-2</v>
      </c>
      <c r="AT56" s="148"/>
      <c r="AU56" s="207">
        <v>62</v>
      </c>
      <c r="AV56" s="318">
        <v>0.25730500000000001</v>
      </c>
    </row>
    <row r="57" spans="1:48" ht="11" thickBot="1" x14ac:dyDescent="0.3">
      <c r="A57" s="641">
        <v>20011.942500000001</v>
      </c>
      <c r="B57" s="641">
        <v>25015.369500000004</v>
      </c>
      <c r="C57" s="644"/>
      <c r="D57" s="446">
        <v>17845.012749099998</v>
      </c>
      <c r="E57" s="163">
        <f t="shared" si="8"/>
        <v>50</v>
      </c>
      <c r="F57" s="159">
        <f t="shared" si="4"/>
        <v>23013.733874999998</v>
      </c>
      <c r="G57" s="160">
        <f t="shared" si="5"/>
        <v>28767.674925000003</v>
      </c>
      <c r="H57" s="450">
        <f t="shared" si="1"/>
        <v>41843</v>
      </c>
      <c r="I57" s="426">
        <f t="shared" si="2"/>
        <v>52305</v>
      </c>
      <c r="J57" s="161">
        <f t="shared" si="7"/>
        <v>41843</v>
      </c>
      <c r="K57" s="162">
        <f t="shared" si="6"/>
        <v>52305</v>
      </c>
      <c r="L57" s="136"/>
      <c r="M57" s="179">
        <v>37</v>
      </c>
      <c r="N57" s="456">
        <v>3.3854000000000002</v>
      </c>
      <c r="O57" s="457">
        <v>4.22</v>
      </c>
      <c r="P57" s="151"/>
      <c r="Q57" s="224" t="s">
        <v>15</v>
      </c>
      <c r="R57" s="225">
        <v>4</v>
      </c>
      <c r="S57" s="435"/>
      <c r="T57" s="435"/>
      <c r="U57" s="435"/>
      <c r="V57" s="435"/>
      <c r="W57" s="435"/>
      <c r="X57" s="435"/>
      <c r="AB57" s="435"/>
      <c r="AC57" s="432">
        <v>50000000</v>
      </c>
      <c r="AD57" s="433">
        <v>1.304</v>
      </c>
      <c r="AE57" s="129"/>
      <c r="AF57" s="129"/>
      <c r="AG57" s="129"/>
      <c r="AH57" s="129"/>
      <c r="AI57" s="129"/>
      <c r="AJ57" s="129"/>
      <c r="AK57" s="129"/>
      <c r="AL57" s="129"/>
      <c r="AM57" s="129"/>
      <c r="AR57" s="225">
        <f>AR56+1</f>
        <v>65</v>
      </c>
      <c r="AS57" s="315">
        <v>5.9396999999999998E-2</v>
      </c>
      <c r="AT57" s="148"/>
      <c r="AU57" s="225">
        <v>63</v>
      </c>
      <c r="AV57" s="319">
        <v>0.25601699999999999</v>
      </c>
    </row>
    <row r="58" spans="1:48" ht="11" thickBot="1" x14ac:dyDescent="0.3">
      <c r="A58" s="641">
        <v>21705.645500000002</v>
      </c>
      <c r="B58" s="641">
        <v>26340.671500000004</v>
      </c>
      <c r="C58" s="644"/>
      <c r="D58" s="446">
        <v>18557.205326672</v>
      </c>
      <c r="E58" s="166">
        <f t="shared" si="8"/>
        <v>51</v>
      </c>
      <c r="F58" s="159">
        <f t="shared" si="4"/>
        <v>24961.492324999999</v>
      </c>
      <c r="G58" s="160">
        <f t="shared" si="5"/>
        <v>30291.772225000001</v>
      </c>
      <c r="H58" s="450">
        <f t="shared" si="1"/>
        <v>45385</v>
      </c>
      <c r="I58" s="426">
        <f t="shared" si="2"/>
        <v>55076</v>
      </c>
      <c r="J58" s="164">
        <f t="shared" si="7"/>
        <v>45385</v>
      </c>
      <c r="K58" s="165">
        <f t="shared" si="6"/>
        <v>55076</v>
      </c>
      <c r="L58" s="136"/>
      <c r="M58" s="177">
        <v>38</v>
      </c>
      <c r="N58" s="458">
        <v>3.6562999999999999</v>
      </c>
      <c r="O58" s="459">
        <v>4.4181999999999997</v>
      </c>
      <c r="P58" s="151"/>
      <c r="Q58" s="206" t="s">
        <v>16</v>
      </c>
      <c r="R58" s="207">
        <v>4</v>
      </c>
      <c r="S58" s="435"/>
      <c r="T58" s="435"/>
      <c r="U58" s="435"/>
      <c r="V58" s="435"/>
      <c r="W58" s="435"/>
      <c r="X58" s="435"/>
      <c r="AB58" s="435"/>
      <c r="AC58" s="432">
        <v>75000000</v>
      </c>
      <c r="AD58" s="433">
        <v>1.347</v>
      </c>
      <c r="AE58" s="236" t="s">
        <v>301</v>
      </c>
      <c r="AF58" s="706"/>
      <c r="AG58" s="706"/>
      <c r="AH58" s="706"/>
      <c r="AI58" s="209"/>
      <c r="AJ58" s="209"/>
      <c r="AK58" s="209"/>
      <c r="AL58" s="209"/>
      <c r="AM58" s="209"/>
      <c r="AR58" s="207">
        <f t="shared" si="0"/>
        <v>66</v>
      </c>
      <c r="AS58" s="312">
        <v>6.3879000000000005E-2</v>
      </c>
      <c r="AT58" s="148"/>
      <c r="AU58" s="320">
        <v>64</v>
      </c>
      <c r="AV58" s="321">
        <v>0.25398100000000001</v>
      </c>
    </row>
    <row r="59" spans="1:48" ht="11" thickBot="1" x14ac:dyDescent="0.3">
      <c r="A59" s="641">
        <v>23398.760000000002</v>
      </c>
      <c r="B59" s="641">
        <v>27665.973500000004</v>
      </c>
      <c r="C59" s="644"/>
      <c r="D59" s="446">
        <v>19269.397904244001</v>
      </c>
      <c r="E59" s="163">
        <f t="shared" si="8"/>
        <v>52</v>
      </c>
      <c r="F59" s="159">
        <f t="shared" si="4"/>
        <v>26908.574000000001</v>
      </c>
      <c r="G59" s="160">
        <f t="shared" si="5"/>
        <v>31815.869525000002</v>
      </c>
      <c r="H59" s="450">
        <f t="shared" si="1"/>
        <v>48925</v>
      </c>
      <c r="I59" s="426">
        <f t="shared" si="2"/>
        <v>57847</v>
      </c>
      <c r="J59" s="161">
        <f t="shared" si="7"/>
        <v>48925</v>
      </c>
      <c r="K59" s="162">
        <f t="shared" si="6"/>
        <v>57847</v>
      </c>
      <c r="L59" s="136"/>
      <c r="M59" s="179">
        <v>39</v>
      </c>
      <c r="N59" s="456">
        <v>3.9272</v>
      </c>
      <c r="O59" s="457">
        <v>4.6546000000000003</v>
      </c>
      <c r="P59" s="151"/>
      <c r="Q59" s="224" t="s">
        <v>17</v>
      </c>
      <c r="R59" s="225">
        <v>4</v>
      </c>
      <c r="S59" s="435"/>
      <c r="T59" s="435"/>
      <c r="U59" s="435"/>
      <c r="V59" s="435"/>
      <c r="W59" s="435"/>
      <c r="X59" s="435"/>
      <c r="AB59" s="435"/>
      <c r="AC59" s="432">
        <v>100000000</v>
      </c>
      <c r="AD59" s="660">
        <v>1.37</v>
      </c>
      <c r="AE59" s="661">
        <v>1.4377</v>
      </c>
      <c r="AF59" s="707"/>
      <c r="AG59" s="707"/>
      <c r="AH59" s="707"/>
      <c r="AR59" s="225">
        <f t="shared" si="0"/>
        <v>67</v>
      </c>
      <c r="AS59" s="315">
        <v>6.8707000000000004E-2</v>
      </c>
      <c r="AT59" s="148"/>
      <c r="AU59" s="225">
        <v>65</v>
      </c>
      <c r="AV59" s="319">
        <f>AV58</f>
        <v>0.25398100000000001</v>
      </c>
    </row>
    <row r="60" spans="1:48" x14ac:dyDescent="0.25">
      <c r="A60" s="641">
        <v>25091.286000000004</v>
      </c>
      <c r="B60" s="641">
        <v>28991.275500000003</v>
      </c>
      <c r="C60" s="644"/>
      <c r="D60" s="446">
        <v>19981.590481816002</v>
      </c>
      <c r="E60" s="166">
        <f t="shared" si="8"/>
        <v>53</v>
      </c>
      <c r="F60" s="159">
        <f t="shared" si="4"/>
        <v>28854.978900000002</v>
      </c>
      <c r="G60" s="160">
        <f t="shared" si="5"/>
        <v>33339.966825000003</v>
      </c>
      <c r="H60" s="450">
        <f t="shared" si="1"/>
        <v>52464</v>
      </c>
      <c r="I60" s="426">
        <f t="shared" si="2"/>
        <v>60618</v>
      </c>
      <c r="J60" s="164">
        <f t="shared" si="7"/>
        <v>52464</v>
      </c>
      <c r="K60" s="165">
        <f t="shared" si="6"/>
        <v>60618</v>
      </c>
      <c r="L60" s="136"/>
      <c r="M60" s="177">
        <v>40</v>
      </c>
      <c r="N60" s="458">
        <v>4.6673</v>
      </c>
      <c r="O60" s="459">
        <v>5.0164</v>
      </c>
      <c r="P60" s="151"/>
      <c r="Q60" s="206" t="s">
        <v>18</v>
      </c>
      <c r="R60" s="207">
        <v>2</v>
      </c>
      <c r="S60" s="435"/>
      <c r="T60" s="435"/>
      <c r="U60" s="435"/>
      <c r="V60" s="435"/>
      <c r="W60" s="435"/>
      <c r="X60" s="435"/>
      <c r="AB60" s="435"/>
      <c r="AC60" s="789" t="s">
        <v>239</v>
      </c>
      <c r="AD60" s="789"/>
      <c r="AR60" s="207">
        <f t="shared" si="0"/>
        <v>68</v>
      </c>
      <c r="AS60" s="312">
        <v>7.3879E-2</v>
      </c>
      <c r="AT60" s="148"/>
      <c r="AU60" s="207">
        <v>66</v>
      </c>
      <c r="AV60" s="318">
        <f t="shared" ref="AV60:AV73" si="9">AV59</f>
        <v>0.25398100000000001</v>
      </c>
    </row>
    <row r="61" spans="1:48" x14ac:dyDescent="0.25">
      <c r="A61" s="641">
        <v>26784.400500000003</v>
      </c>
      <c r="B61" s="641">
        <v>30316.577500000007</v>
      </c>
      <c r="C61" s="644"/>
      <c r="D61" s="446">
        <v>20693.783059388006</v>
      </c>
      <c r="E61" s="163">
        <f t="shared" si="8"/>
        <v>54</v>
      </c>
      <c r="F61" s="159">
        <f t="shared" si="4"/>
        <v>30802.060575000003</v>
      </c>
      <c r="G61" s="160">
        <f t="shared" si="5"/>
        <v>34864.064125000004</v>
      </c>
      <c r="H61" s="450">
        <f t="shared" si="1"/>
        <v>56004</v>
      </c>
      <c r="I61" s="426">
        <f t="shared" si="2"/>
        <v>63389</v>
      </c>
      <c r="J61" s="161">
        <f t="shared" si="7"/>
        <v>56004</v>
      </c>
      <c r="K61" s="162">
        <f t="shared" si="6"/>
        <v>63389</v>
      </c>
      <c r="L61" s="136"/>
      <c r="M61" s="179">
        <v>41</v>
      </c>
      <c r="N61" s="456">
        <v>5.5162999999999993</v>
      </c>
      <c r="O61" s="457">
        <v>5.7945000000000002</v>
      </c>
      <c r="P61" s="151"/>
      <c r="Q61" s="224" t="s">
        <v>19</v>
      </c>
      <c r="R61" s="225">
        <v>4</v>
      </c>
      <c r="S61" s="435"/>
      <c r="T61" s="435"/>
      <c r="U61" s="435"/>
      <c r="V61" s="435"/>
      <c r="W61" s="435"/>
      <c r="X61" s="435"/>
      <c r="AB61" s="435"/>
      <c r="AC61" s="227" t="s">
        <v>145</v>
      </c>
      <c r="AD61" s="436" t="e">
        <f>AD62</f>
        <v>#N/A</v>
      </c>
      <c r="AR61" s="225">
        <f t="shared" si="0"/>
        <v>69</v>
      </c>
      <c r="AS61" s="315">
        <v>7.9431000000000002E-2</v>
      </c>
      <c r="AT61" s="148"/>
      <c r="AU61" s="225">
        <v>67</v>
      </c>
      <c r="AV61" s="319">
        <f t="shared" si="9"/>
        <v>0.25398100000000001</v>
      </c>
    </row>
    <row r="62" spans="1:48" x14ac:dyDescent="0.25">
      <c r="A62" s="641">
        <v>28477.515000000007</v>
      </c>
      <c r="B62" s="641">
        <v>31641.879500000003</v>
      </c>
      <c r="C62" s="644"/>
      <c r="D62" s="446">
        <v>21405.975636960007</v>
      </c>
      <c r="E62" s="166">
        <f t="shared" si="8"/>
        <v>55</v>
      </c>
      <c r="F62" s="159">
        <f t="shared" si="4"/>
        <v>32749.142250000004</v>
      </c>
      <c r="G62" s="160">
        <f t="shared" si="5"/>
        <v>36388.161424999998</v>
      </c>
      <c r="H62" s="450">
        <f t="shared" si="1"/>
        <v>59544</v>
      </c>
      <c r="I62" s="426">
        <f t="shared" si="2"/>
        <v>66160</v>
      </c>
      <c r="J62" s="164">
        <f t="shared" si="7"/>
        <v>59544</v>
      </c>
      <c r="K62" s="165">
        <f t="shared" si="6"/>
        <v>66160</v>
      </c>
      <c r="L62" s="136"/>
      <c r="M62" s="177">
        <v>42</v>
      </c>
      <c r="N62" s="458">
        <v>6.3636999999999997</v>
      </c>
      <c r="O62" s="459">
        <v>6.5728</v>
      </c>
      <c r="P62" s="151"/>
      <c r="Q62" s="206" t="s">
        <v>20</v>
      </c>
      <c r="R62" s="207">
        <v>4</v>
      </c>
      <c r="S62" s="435"/>
      <c r="T62" s="435"/>
      <c r="U62" s="435"/>
      <c r="V62" s="435"/>
      <c r="W62" s="435"/>
      <c r="X62" s="435"/>
      <c r="AB62" s="435"/>
      <c r="AC62" s="246" t="str">
        <f>Cotizador!T27</f>
        <v/>
      </c>
      <c r="AD62" s="209" t="e">
        <f>VLOOKUP(AC62,$AC$64:$AD$74,2,0)</f>
        <v>#N/A</v>
      </c>
      <c r="AR62" s="207">
        <f t="shared" si="0"/>
        <v>70</v>
      </c>
      <c r="AS62" s="312">
        <v>8.5378999999999997E-2</v>
      </c>
      <c r="AT62" s="148"/>
      <c r="AU62" s="207">
        <v>68</v>
      </c>
      <c r="AV62" s="318">
        <f t="shared" si="9"/>
        <v>0.25398100000000001</v>
      </c>
    </row>
    <row r="63" spans="1:48" ht="11" thickBot="1" x14ac:dyDescent="0.3">
      <c r="A63" s="641">
        <v>30032.332000000006</v>
      </c>
      <c r="B63" s="641">
        <v>33251.427000000003</v>
      </c>
      <c r="C63" s="644"/>
      <c r="D63" s="446">
        <v>22345.76023198801</v>
      </c>
      <c r="E63" s="163">
        <f t="shared" si="8"/>
        <v>56</v>
      </c>
      <c r="F63" s="159">
        <f t="shared" si="4"/>
        <v>34537.181800000006</v>
      </c>
      <c r="G63" s="160">
        <f t="shared" si="5"/>
        <v>38239.141049999998</v>
      </c>
      <c r="H63" s="450">
        <f t="shared" si="1"/>
        <v>62795</v>
      </c>
      <c r="I63" s="426">
        <f t="shared" si="2"/>
        <v>69526</v>
      </c>
      <c r="J63" s="161">
        <f t="shared" si="7"/>
        <v>62795</v>
      </c>
      <c r="K63" s="162">
        <f t="shared" si="6"/>
        <v>69526</v>
      </c>
      <c r="L63" s="136"/>
      <c r="M63" s="179">
        <v>43</v>
      </c>
      <c r="N63" s="456">
        <v>7.2073</v>
      </c>
      <c r="O63" s="457">
        <v>7.1528</v>
      </c>
      <c r="P63" s="151"/>
      <c r="Q63" s="224" t="s">
        <v>21</v>
      </c>
      <c r="R63" s="225">
        <v>4</v>
      </c>
      <c r="S63" s="435"/>
      <c r="T63" s="435"/>
      <c r="U63" s="435"/>
      <c r="V63" s="435"/>
      <c r="W63" s="435"/>
      <c r="X63" s="435"/>
      <c r="AB63" s="435"/>
      <c r="AC63" s="228" t="s">
        <v>170</v>
      </c>
      <c r="AD63" s="228" t="s">
        <v>56</v>
      </c>
      <c r="AR63" s="225">
        <f>AR62+1</f>
        <v>71</v>
      </c>
      <c r="AS63" s="315">
        <v>9.1775999999999996E-2</v>
      </c>
      <c r="AT63" s="148"/>
      <c r="AU63" s="225">
        <v>69</v>
      </c>
      <c r="AV63" s="319">
        <f t="shared" si="9"/>
        <v>0.25398100000000001</v>
      </c>
    </row>
    <row r="64" spans="1:48" x14ac:dyDescent="0.25">
      <c r="A64" s="641">
        <v>31587.737500000007</v>
      </c>
      <c r="B64" s="641">
        <v>34862.740000000005</v>
      </c>
      <c r="C64" s="644"/>
      <c r="D64" s="446">
        <v>23285.544827016012</v>
      </c>
      <c r="E64" s="166">
        <f t="shared" si="8"/>
        <v>57</v>
      </c>
      <c r="F64" s="159">
        <f t="shared" si="4"/>
        <v>36325.898125000007</v>
      </c>
      <c r="G64" s="160">
        <f t="shared" si="5"/>
        <v>40092.151000000005</v>
      </c>
      <c r="H64" s="450">
        <f t="shared" si="1"/>
        <v>66047</v>
      </c>
      <c r="I64" s="426">
        <f t="shared" si="2"/>
        <v>72895</v>
      </c>
      <c r="J64" s="164">
        <f t="shared" si="7"/>
        <v>66047</v>
      </c>
      <c r="K64" s="165">
        <f t="shared" si="6"/>
        <v>72895</v>
      </c>
      <c r="L64" s="136"/>
      <c r="M64" s="177">
        <v>44</v>
      </c>
      <c r="N64" s="458">
        <v>8.0526999999999997</v>
      </c>
      <c r="O64" s="459">
        <v>7.7327999999999992</v>
      </c>
      <c r="P64" s="151"/>
      <c r="Q64" s="206" t="s">
        <v>22</v>
      </c>
      <c r="R64" s="207">
        <v>1</v>
      </c>
      <c r="S64" s="435"/>
      <c r="T64" s="435"/>
      <c r="U64" s="435"/>
      <c r="V64" s="435"/>
      <c r="W64" s="435"/>
      <c r="X64" s="435"/>
      <c r="AB64" s="435"/>
      <c r="AC64" s="292">
        <v>30000</v>
      </c>
      <c r="AD64" s="261">
        <v>0.93200000000000005</v>
      </c>
      <c r="AE64" s="434"/>
      <c r="AF64" s="434"/>
      <c r="AG64" s="434"/>
      <c r="AH64" s="434"/>
      <c r="AI64" s="434"/>
      <c r="AJ64" s="434"/>
      <c r="AK64" s="434"/>
      <c r="AL64" s="434"/>
      <c r="AM64" s="434"/>
      <c r="AR64" s="207">
        <f t="shared" si="0"/>
        <v>72</v>
      </c>
      <c r="AS64" s="312">
        <v>9.8638000000000003E-2</v>
      </c>
      <c r="AT64" s="148"/>
      <c r="AU64" s="207">
        <v>70</v>
      </c>
      <c r="AV64" s="318">
        <f t="shared" si="9"/>
        <v>0.25398100000000001</v>
      </c>
    </row>
    <row r="65" spans="1:48" x14ac:dyDescent="0.25">
      <c r="A65" s="641">
        <v>33142.554500000006</v>
      </c>
      <c r="B65" s="641">
        <v>36472.287499999999</v>
      </c>
      <c r="C65" s="644"/>
      <c r="D65" s="446">
        <v>24225.329422044015</v>
      </c>
      <c r="E65" s="163">
        <f t="shared" si="8"/>
        <v>58</v>
      </c>
      <c r="F65" s="159">
        <f t="shared" si="4"/>
        <v>38113.937675000001</v>
      </c>
      <c r="G65" s="160">
        <f t="shared" si="5"/>
        <v>41943.130624999998</v>
      </c>
      <c r="H65" s="450">
        <f t="shared" si="1"/>
        <v>69298</v>
      </c>
      <c r="I65" s="426">
        <f t="shared" si="2"/>
        <v>76260</v>
      </c>
      <c r="J65" s="161">
        <f t="shared" si="7"/>
        <v>69298</v>
      </c>
      <c r="K65" s="162">
        <f t="shared" si="6"/>
        <v>76260</v>
      </c>
      <c r="L65" s="136"/>
      <c r="M65" s="179">
        <v>45</v>
      </c>
      <c r="N65" s="456">
        <v>8.9</v>
      </c>
      <c r="O65" s="457">
        <v>8.26</v>
      </c>
      <c r="P65" s="151"/>
      <c r="Q65" s="224" t="s">
        <v>23</v>
      </c>
      <c r="R65" s="225">
        <v>4</v>
      </c>
      <c r="S65" s="435"/>
      <c r="T65" s="435"/>
      <c r="U65" s="435"/>
      <c r="V65" s="435"/>
      <c r="W65" s="435"/>
      <c r="X65" s="435"/>
      <c r="AB65" s="435"/>
      <c r="AC65" s="293">
        <v>35000</v>
      </c>
      <c r="AD65" s="232">
        <v>0.95499999999999996</v>
      </c>
      <c r="AR65" s="225">
        <f t="shared" si="0"/>
        <v>73</v>
      </c>
      <c r="AS65" s="315">
        <v>0.10598299999999999</v>
      </c>
      <c r="AT65" s="148"/>
      <c r="AU65" s="225">
        <v>71</v>
      </c>
      <c r="AV65" s="319">
        <f t="shared" si="9"/>
        <v>0.25398100000000001</v>
      </c>
    </row>
    <row r="66" spans="1:48" x14ac:dyDescent="0.25">
      <c r="A66" s="641">
        <v>34697.960000000006</v>
      </c>
      <c r="B66" s="641">
        <v>38082.423500000004</v>
      </c>
      <c r="C66" s="644"/>
      <c r="D66" s="446">
        <v>25165.114017072017</v>
      </c>
      <c r="E66" s="166">
        <f t="shared" si="8"/>
        <v>59</v>
      </c>
      <c r="F66" s="159">
        <f t="shared" si="4"/>
        <v>39902.654000000002</v>
      </c>
      <c r="G66" s="160">
        <f t="shared" si="5"/>
        <v>43794.787025000005</v>
      </c>
      <c r="H66" s="450">
        <f t="shared" si="1"/>
        <v>72550</v>
      </c>
      <c r="I66" s="426">
        <f t="shared" si="2"/>
        <v>79627</v>
      </c>
      <c r="J66" s="164">
        <f t="shared" si="7"/>
        <v>72550</v>
      </c>
      <c r="K66" s="165">
        <f t="shared" si="6"/>
        <v>79627</v>
      </c>
      <c r="L66" s="136"/>
      <c r="M66" s="177">
        <v>46</v>
      </c>
      <c r="N66" s="458">
        <v>9.7454999999999998</v>
      </c>
      <c r="O66" s="459">
        <v>8.7853999999999992</v>
      </c>
      <c r="P66" s="151"/>
      <c r="Q66" s="206" t="s">
        <v>24</v>
      </c>
      <c r="R66" s="207">
        <v>4</v>
      </c>
      <c r="S66" s="435"/>
      <c r="T66" s="435"/>
      <c r="U66" s="435"/>
      <c r="V66" s="435"/>
      <c r="W66" s="435"/>
      <c r="X66" s="435"/>
      <c r="AB66" s="435"/>
      <c r="AC66" s="293">
        <v>40000</v>
      </c>
      <c r="AD66" s="232">
        <v>0.97699999999999998</v>
      </c>
      <c r="AR66" s="207">
        <f t="shared" si="0"/>
        <v>74</v>
      </c>
      <c r="AS66" s="312">
        <v>0.113845</v>
      </c>
      <c r="AT66" s="148"/>
      <c r="AU66" s="207">
        <v>72</v>
      </c>
      <c r="AV66" s="318">
        <f t="shared" si="9"/>
        <v>0.25398100000000001</v>
      </c>
    </row>
    <row r="67" spans="1:48" x14ac:dyDescent="0.25">
      <c r="A67" s="641">
        <v>39528.956500000008</v>
      </c>
      <c r="B67" s="641">
        <v>43280.055500000002</v>
      </c>
      <c r="C67" s="644"/>
      <c r="D67" s="446">
        <v>26104.89861210002</v>
      </c>
      <c r="E67" s="163">
        <f t="shared" si="8"/>
        <v>60</v>
      </c>
      <c r="F67" s="159">
        <f t="shared" si="4"/>
        <v>45458.299975000002</v>
      </c>
      <c r="G67" s="160">
        <f t="shared" si="5"/>
        <v>49772.063824999997</v>
      </c>
      <c r="H67" s="450">
        <f t="shared" si="1"/>
        <v>82651</v>
      </c>
      <c r="I67" s="426">
        <f t="shared" si="2"/>
        <v>90495</v>
      </c>
      <c r="J67" s="161">
        <f t="shared" si="7"/>
        <v>82651</v>
      </c>
      <c r="K67" s="162">
        <f t="shared" si="6"/>
        <v>90495</v>
      </c>
      <c r="L67" s="136"/>
      <c r="M67" s="179">
        <v>47</v>
      </c>
      <c r="N67" s="456">
        <v>10.5891</v>
      </c>
      <c r="O67" s="457">
        <v>9.2764000000000006</v>
      </c>
      <c r="P67" s="151"/>
      <c r="Q67" s="224" t="s">
        <v>25</v>
      </c>
      <c r="R67" s="225">
        <v>2</v>
      </c>
      <c r="S67" s="435"/>
      <c r="T67" s="435"/>
      <c r="U67" s="435"/>
      <c r="V67" s="435"/>
      <c r="W67" s="435"/>
      <c r="X67" s="435"/>
      <c r="AB67" s="435"/>
      <c r="AC67" s="293">
        <v>45000</v>
      </c>
      <c r="AD67" s="232">
        <v>1</v>
      </c>
      <c r="AR67" s="225">
        <f t="shared" si="0"/>
        <v>75</v>
      </c>
      <c r="AS67" s="315">
        <v>0.122276</v>
      </c>
      <c r="AT67" s="148"/>
      <c r="AU67" s="225">
        <v>73</v>
      </c>
      <c r="AV67" s="319">
        <f t="shared" si="9"/>
        <v>0.25398100000000001</v>
      </c>
    </row>
    <row r="68" spans="1:48" x14ac:dyDescent="0.25">
      <c r="A68" s="641">
        <v>42307.264999999999</v>
      </c>
      <c r="B68" s="641">
        <v>45689.374500000005</v>
      </c>
      <c r="C68" s="644"/>
      <c r="D68" s="446">
        <v>28104.765974874023</v>
      </c>
      <c r="E68" s="166">
        <f t="shared" si="8"/>
        <v>61</v>
      </c>
      <c r="F68" s="159">
        <f t="shared" si="4"/>
        <v>48653.354749999999</v>
      </c>
      <c r="G68" s="160">
        <f t="shared" si="5"/>
        <v>52542.780675000002</v>
      </c>
      <c r="H68" s="450">
        <f t="shared" si="1"/>
        <v>88461</v>
      </c>
      <c r="I68" s="426">
        <f t="shared" si="2"/>
        <v>95532</v>
      </c>
      <c r="J68" s="164">
        <f t="shared" si="7"/>
        <v>88461</v>
      </c>
      <c r="K68" s="165">
        <f t="shared" si="6"/>
        <v>95532</v>
      </c>
      <c r="L68" s="136"/>
      <c r="M68" s="177">
        <v>48</v>
      </c>
      <c r="N68" s="458">
        <v>11.441800000000001</v>
      </c>
      <c r="O68" s="459">
        <v>9.7472999999999992</v>
      </c>
      <c r="P68" s="151"/>
      <c r="Q68" s="206" t="s">
        <v>26</v>
      </c>
      <c r="R68" s="207">
        <v>3</v>
      </c>
      <c r="S68" s="435"/>
      <c r="T68" s="435"/>
      <c r="U68" s="435"/>
      <c r="V68" s="435"/>
      <c r="W68" s="435"/>
      <c r="X68" s="435"/>
      <c r="AB68" s="435"/>
      <c r="AC68" s="293">
        <v>50000</v>
      </c>
      <c r="AD68" s="232">
        <v>1.0229999999999999</v>
      </c>
      <c r="AR68" s="207">
        <f t="shared" si="0"/>
        <v>76</v>
      </c>
      <c r="AS68" s="312">
        <v>0.13131000000000001</v>
      </c>
      <c r="AT68" s="148"/>
      <c r="AU68" s="207">
        <v>74</v>
      </c>
      <c r="AV68" s="318">
        <f t="shared" si="9"/>
        <v>0.25398100000000001</v>
      </c>
    </row>
    <row r="69" spans="1:48" ht="11" thickBot="1" x14ac:dyDescent="0.3">
      <c r="A69" s="641">
        <v>45084.39650000001</v>
      </c>
      <c r="B69" s="641">
        <v>48098.105000000003</v>
      </c>
      <c r="C69" s="644"/>
      <c r="D69" s="446">
        <v>30104.633337648025</v>
      </c>
      <c r="E69" s="163">
        <f t="shared" si="8"/>
        <v>62</v>
      </c>
      <c r="F69" s="159">
        <f t="shared" si="4"/>
        <v>51847.05597500001</v>
      </c>
      <c r="G69" s="160">
        <f t="shared" si="5"/>
        <v>55312.820749999999</v>
      </c>
      <c r="H69" s="450">
        <f t="shared" si="1"/>
        <v>94267</v>
      </c>
      <c r="I69" s="426">
        <f t="shared" si="2"/>
        <v>100569</v>
      </c>
      <c r="J69" s="161">
        <f t="shared" si="7"/>
        <v>94267</v>
      </c>
      <c r="K69" s="162">
        <f t="shared" si="6"/>
        <v>100569</v>
      </c>
      <c r="L69" s="136"/>
      <c r="M69" s="179">
        <v>49</v>
      </c>
      <c r="N69" s="456">
        <v>12.290900000000002</v>
      </c>
      <c r="O69" s="457">
        <v>10.183599999999998</v>
      </c>
      <c r="P69" s="151"/>
      <c r="Q69" s="224" t="s">
        <v>27</v>
      </c>
      <c r="R69" s="225">
        <v>2</v>
      </c>
      <c r="S69" s="435"/>
      <c r="T69" s="435"/>
      <c r="U69" s="435"/>
      <c r="V69" s="435"/>
      <c r="W69" s="435"/>
      <c r="X69" s="435"/>
      <c r="AB69" s="435"/>
      <c r="AC69" s="294">
        <v>60000</v>
      </c>
      <c r="AD69" s="235">
        <v>1.0680000000000001</v>
      </c>
      <c r="AR69" s="225">
        <f t="shared" ref="AR69:AR92" si="10">AR68+1</f>
        <v>77</v>
      </c>
      <c r="AS69" s="315">
        <v>0.140983</v>
      </c>
      <c r="AT69" s="148"/>
      <c r="AU69" s="225">
        <v>75</v>
      </c>
      <c r="AV69" s="319">
        <f t="shared" si="9"/>
        <v>0.25398100000000001</v>
      </c>
    </row>
    <row r="70" spans="1:48" ht="11" thickBot="1" x14ac:dyDescent="0.3">
      <c r="A70" s="641">
        <v>47862.705000000002</v>
      </c>
      <c r="B70" s="641">
        <v>50507.424000000006</v>
      </c>
      <c r="C70" s="644"/>
      <c r="D70" s="446">
        <v>32104.500700422028</v>
      </c>
      <c r="E70" s="166">
        <f t="shared" si="8"/>
        <v>63</v>
      </c>
      <c r="F70" s="159">
        <f t="shared" si="4"/>
        <v>55042.11075</v>
      </c>
      <c r="G70" s="160">
        <f t="shared" si="5"/>
        <v>58083.537600000003</v>
      </c>
      <c r="H70" s="450">
        <f t="shared" si="1"/>
        <v>100077</v>
      </c>
      <c r="I70" s="426">
        <f t="shared" si="2"/>
        <v>105606</v>
      </c>
      <c r="J70" s="164">
        <f t="shared" si="7"/>
        <v>100077</v>
      </c>
      <c r="K70" s="165">
        <f t="shared" si="6"/>
        <v>105606</v>
      </c>
      <c r="L70" s="136"/>
      <c r="M70" s="177">
        <v>50</v>
      </c>
      <c r="N70" s="458">
        <v>13.14</v>
      </c>
      <c r="O70" s="459">
        <v>10.601800000000001</v>
      </c>
      <c r="P70" s="151"/>
      <c r="Q70" s="206" t="s">
        <v>28</v>
      </c>
      <c r="R70" s="207">
        <v>2</v>
      </c>
      <c r="S70" s="435"/>
      <c r="T70" s="435"/>
      <c r="U70" s="435"/>
      <c r="V70" s="435"/>
      <c r="W70" s="435"/>
      <c r="X70" s="435"/>
      <c r="AB70" s="435"/>
      <c r="AC70" s="294">
        <v>70000</v>
      </c>
      <c r="AD70" s="235">
        <v>1.113</v>
      </c>
      <c r="AR70" s="207">
        <f t="shared" si="10"/>
        <v>78</v>
      </c>
      <c r="AS70" s="312">
        <v>0.15131</v>
      </c>
      <c r="AT70" s="148"/>
      <c r="AU70" s="207">
        <v>76</v>
      </c>
      <c r="AV70" s="318">
        <f t="shared" si="9"/>
        <v>0.25398100000000001</v>
      </c>
    </row>
    <row r="71" spans="1:48" ht="11" thickBot="1" x14ac:dyDescent="0.3">
      <c r="A71" s="641">
        <v>50641.013500000008</v>
      </c>
      <c r="B71" s="641">
        <v>52916.743000000002</v>
      </c>
      <c r="C71" s="644"/>
      <c r="D71" s="446">
        <v>34104.368063196031</v>
      </c>
      <c r="E71" s="163">
        <f t="shared" si="8"/>
        <v>64</v>
      </c>
      <c r="F71" s="159">
        <f t="shared" si="4"/>
        <v>58237.165525000004</v>
      </c>
      <c r="G71" s="160">
        <f t="shared" si="5"/>
        <v>60854.25445</v>
      </c>
      <c r="H71" s="450">
        <f t="shared" ref="H71:H101" si="11">ROUND(F71/(1-$K$1-$K$2-$K$3),0)</f>
        <v>105886</v>
      </c>
      <c r="I71" s="426">
        <f t="shared" ref="I71:I101" si="12">ROUND(G71/(1-$K$1-$K$2-$K$3),0)</f>
        <v>110644</v>
      </c>
      <c r="J71" s="161">
        <f t="shared" si="7"/>
        <v>105886</v>
      </c>
      <c r="K71" s="162">
        <f t="shared" si="6"/>
        <v>110644</v>
      </c>
      <c r="L71" s="136"/>
      <c r="M71" s="179">
        <v>51</v>
      </c>
      <c r="N71" s="456">
        <v>14.616300000000003</v>
      </c>
      <c r="O71" s="457">
        <v>11.396399999999998</v>
      </c>
      <c r="P71" s="151"/>
      <c r="Q71" s="224" t="s">
        <v>29</v>
      </c>
      <c r="R71" s="225">
        <v>2</v>
      </c>
      <c r="S71" s="435"/>
      <c r="T71" s="435"/>
      <c r="U71" s="435"/>
      <c r="V71" s="435"/>
      <c r="W71" s="435"/>
      <c r="X71" s="435"/>
      <c r="AB71" s="435"/>
      <c r="AC71" s="294">
        <v>80000</v>
      </c>
      <c r="AD71" s="235">
        <v>1.1579999999999999</v>
      </c>
      <c r="AR71" s="225">
        <f t="shared" si="10"/>
        <v>79</v>
      </c>
      <c r="AS71" s="315">
        <v>0.16236200000000001</v>
      </c>
      <c r="AT71" s="148"/>
      <c r="AU71" s="225">
        <v>77</v>
      </c>
      <c r="AV71" s="319">
        <f t="shared" si="9"/>
        <v>0.25398100000000001</v>
      </c>
    </row>
    <row r="72" spans="1:48" ht="11" thickBot="1" x14ac:dyDescent="0.3">
      <c r="A72" s="641">
        <v>53418.145000000011</v>
      </c>
      <c r="B72" s="641">
        <v>55325.473500000007</v>
      </c>
      <c r="C72" s="644"/>
      <c r="D72" s="446">
        <v>36104.235425970037</v>
      </c>
      <c r="E72" s="166">
        <f t="shared" si="8"/>
        <v>65</v>
      </c>
      <c r="F72" s="159">
        <f t="shared" ref="F72:F107" si="13">A72*(1+$A$5)</f>
        <v>61430.866750000008</v>
      </c>
      <c r="G72" s="160">
        <f t="shared" ref="G72:G107" si="14">B72*(1+$A$5)</f>
        <v>63624.294525000005</v>
      </c>
      <c r="H72" s="450">
        <f t="shared" si="11"/>
        <v>111692</v>
      </c>
      <c r="I72" s="426">
        <f t="shared" si="12"/>
        <v>115681</v>
      </c>
      <c r="J72" s="164">
        <f t="shared" si="7"/>
        <v>111692</v>
      </c>
      <c r="K72" s="165">
        <f t="shared" si="6"/>
        <v>115681</v>
      </c>
      <c r="L72" s="136"/>
      <c r="M72" s="177">
        <v>52</v>
      </c>
      <c r="N72" s="458">
        <v>16.505400000000002</v>
      </c>
      <c r="O72" s="459">
        <v>12.14</v>
      </c>
      <c r="P72" s="151"/>
      <c r="Q72" s="206" t="s">
        <v>30</v>
      </c>
      <c r="R72" s="207">
        <v>1</v>
      </c>
      <c r="S72" s="435"/>
      <c r="T72" s="435"/>
      <c r="U72" s="435"/>
      <c r="V72" s="435"/>
      <c r="W72" s="435"/>
      <c r="X72" s="435"/>
      <c r="AB72" s="435"/>
      <c r="AC72" s="294">
        <v>90000</v>
      </c>
      <c r="AD72" s="235">
        <v>1.2030000000000001</v>
      </c>
      <c r="AR72" s="207">
        <f t="shared" si="10"/>
        <v>80</v>
      </c>
      <c r="AS72" s="312">
        <v>0.17417199999999999</v>
      </c>
      <c r="AT72" s="148"/>
      <c r="AU72" s="207">
        <v>78</v>
      </c>
      <c r="AV72" s="318">
        <f t="shared" si="9"/>
        <v>0.25398100000000001</v>
      </c>
    </row>
    <row r="73" spans="1:48" ht="11" thickBot="1" x14ac:dyDescent="0.3">
      <c r="A73" s="641">
        <v>54142.000000000015</v>
      </c>
      <c r="B73" s="641">
        <v>55972.235000000008</v>
      </c>
      <c r="C73" s="644"/>
      <c r="D73" s="446">
        <v>36996.03629458083</v>
      </c>
      <c r="E73" s="163">
        <f t="shared" si="8"/>
        <v>66</v>
      </c>
      <c r="F73" s="159">
        <f t="shared" si="13"/>
        <v>62263.30000000001</v>
      </c>
      <c r="G73" s="160">
        <f t="shared" si="14"/>
        <v>64368.070250000004</v>
      </c>
      <c r="H73" s="450">
        <f t="shared" si="11"/>
        <v>113206</v>
      </c>
      <c r="I73" s="426">
        <f t="shared" si="12"/>
        <v>117033</v>
      </c>
      <c r="J73" s="161">
        <f t="shared" si="7"/>
        <v>113206</v>
      </c>
      <c r="K73" s="162">
        <f t="shared" si="6"/>
        <v>117033</v>
      </c>
      <c r="L73" s="136"/>
      <c r="M73" s="179">
        <v>53</v>
      </c>
      <c r="N73" s="456">
        <v>18.203700000000001</v>
      </c>
      <c r="O73" s="457">
        <v>12.8454</v>
      </c>
      <c r="P73" s="156"/>
      <c r="Q73" s="224" t="s">
        <v>31</v>
      </c>
      <c r="R73" s="225">
        <v>4</v>
      </c>
      <c r="S73" s="435"/>
      <c r="T73" s="435"/>
      <c r="U73" s="435"/>
      <c r="V73" s="435"/>
      <c r="W73" s="435"/>
      <c r="X73" s="435"/>
      <c r="AB73" s="435"/>
      <c r="AC73" s="340">
        <v>100000</v>
      </c>
      <c r="AD73" s="341">
        <v>1.248</v>
      </c>
      <c r="AE73" s="794" t="s">
        <v>248</v>
      </c>
      <c r="AF73" s="795"/>
      <c r="AG73" s="795"/>
      <c r="AH73" s="795"/>
      <c r="AI73" s="795"/>
      <c r="AR73" s="225">
        <f t="shared" si="10"/>
        <v>81</v>
      </c>
      <c r="AS73" s="315">
        <v>0.186776</v>
      </c>
      <c r="AT73" s="148"/>
      <c r="AU73" s="225">
        <v>79</v>
      </c>
      <c r="AV73" s="319">
        <f t="shared" si="9"/>
        <v>0.25398100000000001</v>
      </c>
    </row>
    <row r="74" spans="1:48" ht="11" thickBot="1" x14ac:dyDescent="0.3">
      <c r="A74" s="641">
        <v>54865.85500000001</v>
      </c>
      <c r="B74" s="641">
        <v>56619.585000000014</v>
      </c>
      <c r="C74" s="644"/>
      <c r="D74" s="446">
        <v>37887.837163191623</v>
      </c>
      <c r="E74" s="166">
        <f t="shared" si="8"/>
        <v>67</v>
      </c>
      <c r="F74" s="159">
        <f t="shared" si="13"/>
        <v>63095.733250000005</v>
      </c>
      <c r="G74" s="160">
        <f t="shared" si="14"/>
        <v>65112.522750000011</v>
      </c>
      <c r="H74" s="450">
        <f t="shared" si="11"/>
        <v>114720</v>
      </c>
      <c r="I74" s="426">
        <f t="shared" si="12"/>
        <v>118386</v>
      </c>
      <c r="J74" s="164">
        <f t="shared" si="7"/>
        <v>114720</v>
      </c>
      <c r="K74" s="165">
        <f t="shared" si="6"/>
        <v>118386</v>
      </c>
      <c r="L74" s="136"/>
      <c r="M74" s="177">
        <v>54</v>
      </c>
      <c r="N74" s="458">
        <v>19.881799999999998</v>
      </c>
      <c r="O74" s="459">
        <v>13.498200000000002</v>
      </c>
      <c r="P74" s="151"/>
      <c r="Q74" s="208" t="s">
        <v>32</v>
      </c>
      <c r="R74" s="208"/>
      <c r="S74" s="435"/>
      <c r="T74" s="435"/>
      <c r="U74" s="435"/>
      <c r="V74" s="435"/>
      <c r="W74" s="435"/>
      <c r="X74" s="435"/>
      <c r="AB74" s="322"/>
      <c r="AC74" s="340">
        <v>110000</v>
      </c>
      <c r="AD74" s="341">
        <v>1.2929999999999999</v>
      </c>
      <c r="AR74" s="207">
        <f t="shared" si="10"/>
        <v>82</v>
      </c>
      <c r="AS74" s="312">
        <v>0.200241</v>
      </c>
      <c r="AT74" s="148"/>
    </row>
    <row r="75" spans="1:48" ht="11" thickBot="1" x14ac:dyDescent="0.3">
      <c r="A75" s="641">
        <v>55590.298500000004</v>
      </c>
      <c r="B75" s="641">
        <v>57265.758000000002</v>
      </c>
      <c r="C75" s="644"/>
      <c r="D75" s="446">
        <v>38779.638031802424</v>
      </c>
      <c r="E75" s="163">
        <f t="shared" si="8"/>
        <v>68</v>
      </c>
      <c r="F75" s="159">
        <f t="shared" si="13"/>
        <v>63928.843274999999</v>
      </c>
      <c r="G75" s="160">
        <f t="shared" si="14"/>
        <v>65855.621700000003</v>
      </c>
      <c r="H75" s="450">
        <f t="shared" si="11"/>
        <v>116234</v>
      </c>
      <c r="I75" s="426">
        <f t="shared" si="12"/>
        <v>119737</v>
      </c>
      <c r="J75" s="161">
        <f t="shared" si="7"/>
        <v>116234</v>
      </c>
      <c r="K75" s="162">
        <f t="shared" ref="K75:K106" si="15">ROUND(I75,0)</f>
        <v>119737</v>
      </c>
      <c r="L75" s="136"/>
      <c r="M75" s="179">
        <v>55</v>
      </c>
      <c r="N75" s="456">
        <v>21.587299999999999</v>
      </c>
      <c r="O75" s="457">
        <v>14.1364</v>
      </c>
      <c r="P75" s="151"/>
      <c r="S75" s="435"/>
      <c r="T75" s="435"/>
      <c r="U75" s="435"/>
      <c r="V75" s="435"/>
      <c r="W75" s="435"/>
      <c r="X75" s="435"/>
      <c r="AR75" s="225">
        <f t="shared" si="10"/>
        <v>83</v>
      </c>
      <c r="AS75" s="315">
        <v>0.214586</v>
      </c>
      <c r="AT75" s="148"/>
    </row>
    <row r="76" spans="1:48" ht="11" thickBot="1" x14ac:dyDescent="0.3">
      <c r="A76" s="641">
        <v>56313.56500000001</v>
      </c>
      <c r="B76" s="641">
        <v>57912.519500000009</v>
      </c>
      <c r="C76" s="644"/>
      <c r="D76" s="446">
        <v>39671.438900413224</v>
      </c>
      <c r="E76" s="166">
        <f t="shared" si="8"/>
        <v>69</v>
      </c>
      <c r="F76" s="159">
        <f t="shared" si="13"/>
        <v>64760.599750000008</v>
      </c>
      <c r="G76" s="160">
        <f t="shared" si="14"/>
        <v>66599.397425000003</v>
      </c>
      <c r="H76" s="450">
        <f t="shared" si="11"/>
        <v>117747</v>
      </c>
      <c r="I76" s="426">
        <f t="shared" si="12"/>
        <v>121090</v>
      </c>
      <c r="J76" s="164">
        <f t="shared" ref="J76:J106" si="16">ROUND(H76,0)</f>
        <v>117747</v>
      </c>
      <c r="K76" s="165">
        <f t="shared" si="15"/>
        <v>121090</v>
      </c>
      <c r="L76" s="136"/>
      <c r="M76" s="177">
        <v>56</v>
      </c>
      <c r="N76" s="458">
        <v>23.307200000000002</v>
      </c>
      <c r="O76" s="459">
        <v>14.7218</v>
      </c>
      <c r="P76" s="151"/>
      <c r="Q76" s="152"/>
      <c r="AC76" s="251" t="s">
        <v>37</v>
      </c>
      <c r="AD76" s="251" t="s">
        <v>109</v>
      </c>
      <c r="AE76" s="276" t="s">
        <v>210</v>
      </c>
      <c r="AF76" s="276"/>
      <c r="AG76" s="276"/>
      <c r="AH76" s="276"/>
      <c r="AI76" s="276" t="s">
        <v>110</v>
      </c>
      <c r="AR76" s="207">
        <f t="shared" si="10"/>
        <v>84</v>
      </c>
      <c r="AS76" s="312">
        <v>0.229879</v>
      </c>
      <c r="AT76" s="148"/>
    </row>
    <row r="77" spans="1:48" x14ac:dyDescent="0.25">
      <c r="A77" s="641">
        <v>57038.008500000004</v>
      </c>
      <c r="B77" s="641">
        <v>58558.692500000012</v>
      </c>
      <c r="C77" s="644"/>
      <c r="D77" s="446">
        <v>40563.239769024018</v>
      </c>
      <c r="E77" s="163">
        <f t="shared" si="8"/>
        <v>70</v>
      </c>
      <c r="F77" s="159">
        <f t="shared" si="13"/>
        <v>65593.709774999996</v>
      </c>
      <c r="G77" s="160">
        <f t="shared" si="14"/>
        <v>67342.496375000002</v>
      </c>
      <c r="H77" s="450">
        <f t="shared" si="11"/>
        <v>119261</v>
      </c>
      <c r="I77" s="426">
        <f t="shared" si="12"/>
        <v>122441</v>
      </c>
      <c r="J77" s="161">
        <f t="shared" si="16"/>
        <v>119261</v>
      </c>
      <c r="K77" s="162">
        <f t="shared" si="15"/>
        <v>122441</v>
      </c>
      <c r="L77" s="136"/>
      <c r="M77" s="179">
        <v>57</v>
      </c>
      <c r="N77" s="456">
        <v>25.010899999999999</v>
      </c>
      <c r="O77" s="457">
        <v>15.2746</v>
      </c>
      <c r="P77" s="151"/>
      <c r="Q77" s="152"/>
      <c r="AC77" s="259">
        <v>6</v>
      </c>
      <c r="AD77" s="260" t="s">
        <v>201</v>
      </c>
      <c r="AE77" s="277">
        <v>110000</v>
      </c>
      <c r="AF77" s="708"/>
      <c r="AG77" s="708"/>
      <c r="AH77" s="708"/>
      <c r="AI77" s="199">
        <f t="shared" ref="AI77:AI85" si="17">VLOOKUP(AE77,$AC$64:$AD$74,2,0)</f>
        <v>1.2929999999999999</v>
      </c>
      <c r="AR77" s="225">
        <f t="shared" si="10"/>
        <v>85</v>
      </c>
      <c r="AS77" s="315">
        <v>0.246172</v>
      </c>
      <c r="AT77" s="148"/>
    </row>
    <row r="78" spans="1:48" x14ac:dyDescent="0.25">
      <c r="A78" s="641">
        <v>62405.717000000011</v>
      </c>
      <c r="B78" s="641">
        <v>63156.054500000013</v>
      </c>
      <c r="C78" s="644"/>
      <c r="D78" s="446">
        <v>42972.944090524819</v>
      </c>
      <c r="E78" s="166">
        <f t="shared" si="8"/>
        <v>71</v>
      </c>
      <c r="F78" s="159">
        <f t="shared" si="13"/>
        <v>71766.574550000005</v>
      </c>
      <c r="G78" s="160">
        <f t="shared" si="14"/>
        <v>72629.462675000002</v>
      </c>
      <c r="H78" s="450">
        <f t="shared" si="11"/>
        <v>130485</v>
      </c>
      <c r="I78" s="426">
        <f t="shared" si="12"/>
        <v>132054</v>
      </c>
      <c r="J78" s="164">
        <f t="shared" si="16"/>
        <v>130485</v>
      </c>
      <c r="K78" s="165">
        <f t="shared" si="15"/>
        <v>132054</v>
      </c>
      <c r="L78" s="136"/>
      <c r="M78" s="177">
        <v>58</v>
      </c>
      <c r="N78" s="458">
        <v>26.738199999999996</v>
      </c>
      <c r="O78" s="459">
        <v>15.790900000000001</v>
      </c>
      <c r="P78" s="151"/>
      <c r="Q78" s="152"/>
      <c r="AC78" s="230">
        <v>6</v>
      </c>
      <c r="AD78" s="231" t="s">
        <v>202</v>
      </c>
      <c r="AE78" s="247">
        <v>80000</v>
      </c>
      <c r="AF78" s="709"/>
      <c r="AG78" s="709"/>
      <c r="AH78" s="709"/>
      <c r="AI78" s="248">
        <f t="shared" si="17"/>
        <v>1.1579999999999999</v>
      </c>
      <c r="AR78" s="207">
        <f t="shared" si="10"/>
        <v>86</v>
      </c>
      <c r="AS78" s="312">
        <v>0.263517</v>
      </c>
      <c r="AT78" s="148"/>
    </row>
    <row r="79" spans="1:48" x14ac:dyDescent="0.25">
      <c r="A79" s="641">
        <v>67771.660000000018</v>
      </c>
      <c r="B79" s="641">
        <v>67753.416500000007</v>
      </c>
      <c r="C79" s="644"/>
      <c r="D79" s="446">
        <v>45382.648412025621</v>
      </c>
      <c r="E79" s="163">
        <f t="shared" si="8"/>
        <v>72</v>
      </c>
      <c r="F79" s="159">
        <f t="shared" si="13"/>
        <v>77937.409000000014</v>
      </c>
      <c r="G79" s="160">
        <f t="shared" si="14"/>
        <v>77916.428975000003</v>
      </c>
      <c r="H79" s="450">
        <f t="shared" si="11"/>
        <v>141704</v>
      </c>
      <c r="I79" s="426">
        <f t="shared" si="12"/>
        <v>141666</v>
      </c>
      <c r="J79" s="161">
        <f t="shared" si="16"/>
        <v>141704</v>
      </c>
      <c r="K79" s="162">
        <f t="shared" si="15"/>
        <v>141666</v>
      </c>
      <c r="L79" s="136"/>
      <c r="M79" s="179">
        <v>59</v>
      </c>
      <c r="N79" s="456">
        <v>28.447300000000002</v>
      </c>
      <c r="O79" s="457">
        <v>16.252800000000001</v>
      </c>
      <c r="P79" s="151"/>
      <c r="Q79" s="152"/>
      <c r="AC79" s="230">
        <v>6</v>
      </c>
      <c r="AD79" s="233" t="s">
        <v>203</v>
      </c>
      <c r="AE79" s="247">
        <v>50000</v>
      </c>
      <c r="AF79" s="709"/>
      <c r="AG79" s="709"/>
      <c r="AH79" s="709"/>
      <c r="AI79" s="248">
        <f t="shared" si="17"/>
        <v>1.0229999999999999</v>
      </c>
      <c r="AR79" s="225">
        <f t="shared" si="10"/>
        <v>87</v>
      </c>
      <c r="AS79" s="315">
        <v>0.28194799999999998</v>
      </c>
      <c r="AT79" s="148"/>
    </row>
    <row r="80" spans="1:48" x14ac:dyDescent="0.25">
      <c r="A80" s="641">
        <v>73139.368500000011</v>
      </c>
      <c r="B80" s="641">
        <v>72350.19</v>
      </c>
      <c r="C80" s="644"/>
      <c r="D80" s="446">
        <v>47792.352733526423</v>
      </c>
      <c r="E80" s="166">
        <f t="shared" si="8"/>
        <v>73</v>
      </c>
      <c r="F80" s="159">
        <f t="shared" si="13"/>
        <v>84110.273775000009</v>
      </c>
      <c r="G80" s="160">
        <f t="shared" si="14"/>
        <v>83202.718500000003</v>
      </c>
      <c r="H80" s="450">
        <f t="shared" si="11"/>
        <v>152928</v>
      </c>
      <c r="I80" s="426">
        <f t="shared" si="12"/>
        <v>151278</v>
      </c>
      <c r="J80" s="164">
        <f t="shared" si="16"/>
        <v>152928</v>
      </c>
      <c r="K80" s="165">
        <f t="shared" si="15"/>
        <v>151278</v>
      </c>
      <c r="L80" s="136"/>
      <c r="M80" s="177">
        <v>60</v>
      </c>
      <c r="N80" s="458">
        <v>30.1709</v>
      </c>
      <c r="O80" s="459">
        <v>16.676400000000001</v>
      </c>
      <c r="P80" s="151"/>
      <c r="Q80" s="152"/>
      <c r="R80" s="453"/>
      <c r="S80" s="453"/>
      <c r="T80" s="453"/>
      <c r="U80" s="453"/>
      <c r="V80" s="453"/>
      <c r="W80" s="453"/>
      <c r="X80" s="453"/>
      <c r="AB80" s="453"/>
      <c r="AC80" s="231" t="s">
        <v>219</v>
      </c>
      <c r="AD80" s="231" t="s">
        <v>204</v>
      </c>
      <c r="AE80" s="247">
        <v>100000</v>
      </c>
      <c r="AF80" s="709"/>
      <c r="AG80" s="709"/>
      <c r="AH80" s="709"/>
      <c r="AI80" s="248">
        <f t="shared" si="17"/>
        <v>1.248</v>
      </c>
      <c r="AJ80" s="696"/>
      <c r="AK80" s="696"/>
      <c r="AL80" s="696"/>
      <c r="AM80" s="696"/>
      <c r="AR80" s="207">
        <f t="shared" si="10"/>
        <v>88</v>
      </c>
      <c r="AS80" s="312">
        <v>0.30151699999999998</v>
      </c>
      <c r="AT80" s="148"/>
    </row>
    <row r="81" spans="1:46" x14ac:dyDescent="0.25">
      <c r="A81" s="641">
        <v>78507.077000000005</v>
      </c>
      <c r="B81" s="641">
        <v>76947.552000000011</v>
      </c>
      <c r="C81" s="644"/>
      <c r="D81" s="446">
        <v>50202.057055027224</v>
      </c>
      <c r="E81" s="163">
        <f t="shared" si="8"/>
        <v>74</v>
      </c>
      <c r="F81" s="159">
        <f t="shared" si="13"/>
        <v>90283.138550000003</v>
      </c>
      <c r="G81" s="160">
        <f t="shared" si="14"/>
        <v>88489.684800000003</v>
      </c>
      <c r="H81" s="450">
        <f t="shared" si="11"/>
        <v>164151</v>
      </c>
      <c r="I81" s="426">
        <f t="shared" si="12"/>
        <v>160890</v>
      </c>
      <c r="J81" s="161">
        <f t="shared" si="16"/>
        <v>164151</v>
      </c>
      <c r="K81" s="162">
        <f t="shared" si="15"/>
        <v>160890</v>
      </c>
      <c r="L81" s="136"/>
      <c r="M81" s="179">
        <v>61</v>
      </c>
      <c r="N81" s="456">
        <v>32.438099999999999</v>
      </c>
      <c r="O81" s="457">
        <v>17.9709</v>
      </c>
      <c r="P81" s="151"/>
      <c r="Q81" s="152"/>
      <c r="R81" s="453"/>
      <c r="S81" s="453"/>
      <c r="T81" s="453"/>
      <c r="U81" s="453"/>
      <c r="V81" s="453"/>
      <c r="W81" s="453"/>
      <c r="X81" s="453"/>
      <c r="AB81" s="453"/>
      <c r="AC81" s="231" t="s">
        <v>219</v>
      </c>
      <c r="AD81" s="231" t="s">
        <v>205</v>
      </c>
      <c r="AE81" s="247">
        <v>70000</v>
      </c>
      <c r="AF81" s="709"/>
      <c r="AG81" s="709"/>
      <c r="AH81" s="709"/>
      <c r="AI81" s="248">
        <f t="shared" si="17"/>
        <v>1.113</v>
      </c>
      <c r="AJ81" s="696"/>
      <c r="AK81" s="696"/>
      <c r="AL81" s="696"/>
      <c r="AM81" s="696"/>
      <c r="AR81" s="225">
        <f t="shared" si="10"/>
        <v>89</v>
      </c>
      <c r="AS81" s="315">
        <v>0.322293</v>
      </c>
      <c r="AT81" s="148"/>
    </row>
    <row r="82" spans="1:46" x14ac:dyDescent="0.25">
      <c r="A82" s="641">
        <v>83874.785500000013</v>
      </c>
      <c r="B82" s="641">
        <v>81545.502500000002</v>
      </c>
      <c r="C82" s="644"/>
      <c r="D82" s="446">
        <v>52611.761376528018</v>
      </c>
      <c r="E82" s="166">
        <f t="shared" si="8"/>
        <v>75</v>
      </c>
      <c r="F82" s="159">
        <f t="shared" si="13"/>
        <v>96456.003325000012</v>
      </c>
      <c r="G82" s="160">
        <f t="shared" si="14"/>
        <v>93777.327875000003</v>
      </c>
      <c r="H82" s="450">
        <f t="shared" si="11"/>
        <v>175375</v>
      </c>
      <c r="I82" s="426">
        <f t="shared" si="12"/>
        <v>170504</v>
      </c>
      <c r="J82" s="164">
        <f t="shared" si="16"/>
        <v>175375</v>
      </c>
      <c r="K82" s="165">
        <f t="shared" si="15"/>
        <v>170504</v>
      </c>
      <c r="L82" s="136"/>
      <c r="M82" s="177">
        <v>62</v>
      </c>
      <c r="N82" s="458">
        <v>34.723699999999994</v>
      </c>
      <c r="O82" s="459">
        <v>19.2636</v>
      </c>
      <c r="P82" s="151"/>
      <c r="R82" s="152"/>
      <c r="S82" s="152"/>
      <c r="T82" s="152"/>
      <c r="U82" s="152"/>
      <c r="V82" s="152"/>
      <c r="W82" s="453"/>
      <c r="X82" s="453"/>
      <c r="AB82" s="453"/>
      <c r="AC82" s="231" t="s">
        <v>219</v>
      </c>
      <c r="AD82" s="233" t="s">
        <v>206</v>
      </c>
      <c r="AE82" s="247">
        <v>40000</v>
      </c>
      <c r="AF82" s="709"/>
      <c r="AG82" s="709"/>
      <c r="AH82" s="709"/>
      <c r="AI82" s="248">
        <f t="shared" si="17"/>
        <v>0.97699999999999998</v>
      </c>
      <c r="AJ82" s="696"/>
      <c r="AK82" s="696"/>
      <c r="AL82" s="696"/>
      <c r="AM82" s="696"/>
      <c r="AR82" s="207">
        <f t="shared" si="10"/>
        <v>90</v>
      </c>
      <c r="AS82" s="312">
        <v>0.34432800000000002</v>
      </c>
      <c r="AT82" s="148"/>
    </row>
    <row r="83" spans="1:46" x14ac:dyDescent="0.25">
      <c r="A83" s="641">
        <v>90477.167000000016</v>
      </c>
      <c r="B83" s="641">
        <v>87926.019500000009</v>
      </c>
      <c r="C83" s="644"/>
      <c r="D83" s="446">
        <v>56526.141440288819</v>
      </c>
      <c r="E83" s="163">
        <f t="shared" si="8"/>
        <v>76</v>
      </c>
      <c r="F83" s="159">
        <f t="shared" si="13"/>
        <v>104048.74205000002</v>
      </c>
      <c r="G83" s="160">
        <f t="shared" si="14"/>
        <v>101114.922425</v>
      </c>
      <c r="H83" s="450">
        <f t="shared" si="11"/>
        <v>189180</v>
      </c>
      <c r="I83" s="426">
        <f t="shared" si="12"/>
        <v>183845</v>
      </c>
      <c r="J83" s="161">
        <f t="shared" si="16"/>
        <v>189180</v>
      </c>
      <c r="K83" s="162">
        <f t="shared" si="15"/>
        <v>183845</v>
      </c>
      <c r="L83" s="136"/>
      <c r="M83" s="179">
        <v>63</v>
      </c>
      <c r="N83" s="456">
        <v>36.989099999999993</v>
      </c>
      <c r="O83" s="457">
        <v>20.554600000000001</v>
      </c>
      <c r="P83" s="151"/>
      <c r="R83" s="453"/>
      <c r="S83" s="453"/>
      <c r="T83" s="453"/>
      <c r="U83" s="453"/>
      <c r="V83" s="453"/>
      <c r="W83" s="453"/>
      <c r="X83" s="453"/>
      <c r="AB83" s="453"/>
      <c r="AC83" s="230" t="s">
        <v>220</v>
      </c>
      <c r="AD83" s="231" t="s">
        <v>207</v>
      </c>
      <c r="AE83" s="247">
        <v>90000</v>
      </c>
      <c r="AF83" s="709"/>
      <c r="AG83" s="709"/>
      <c r="AH83" s="709"/>
      <c r="AI83" s="248">
        <f t="shared" si="17"/>
        <v>1.2030000000000001</v>
      </c>
      <c r="AJ83" s="696"/>
      <c r="AK83" s="696"/>
      <c r="AL83" s="696"/>
      <c r="AM83" s="696"/>
      <c r="AR83" s="225">
        <f t="shared" si="10"/>
        <v>91</v>
      </c>
      <c r="AS83" s="315">
        <v>0.36763800000000002</v>
      </c>
      <c r="AT83" s="148"/>
    </row>
    <row r="84" spans="1:46" ht="11" thickBot="1" x14ac:dyDescent="0.3">
      <c r="A84" s="641">
        <v>97078.960000000021</v>
      </c>
      <c r="B84" s="641">
        <v>94305.948000000019</v>
      </c>
      <c r="C84" s="644"/>
      <c r="D84" s="446">
        <v>60440.521504049619</v>
      </c>
      <c r="E84" s="166">
        <f t="shared" si="8"/>
        <v>77</v>
      </c>
      <c r="F84" s="159">
        <f t="shared" si="13"/>
        <v>111640.80400000002</v>
      </c>
      <c r="G84" s="160">
        <f t="shared" si="14"/>
        <v>108451.84020000001</v>
      </c>
      <c r="H84" s="450">
        <f t="shared" si="11"/>
        <v>202983</v>
      </c>
      <c r="I84" s="426">
        <f t="shared" si="12"/>
        <v>197185</v>
      </c>
      <c r="J84" s="164">
        <f t="shared" si="16"/>
        <v>202983</v>
      </c>
      <c r="K84" s="165">
        <f t="shared" si="15"/>
        <v>197185</v>
      </c>
      <c r="L84" s="136"/>
      <c r="M84" s="178">
        <v>64</v>
      </c>
      <c r="N84" s="462">
        <v>39.256399999999999</v>
      </c>
      <c r="O84" s="463">
        <v>21.8309</v>
      </c>
      <c r="Q84" s="152"/>
      <c r="R84" s="453"/>
      <c r="S84" s="662"/>
      <c r="T84" s="662"/>
      <c r="U84" s="662"/>
      <c r="V84" s="662"/>
      <c r="W84" s="453"/>
      <c r="X84" s="453"/>
      <c r="AB84" s="453"/>
      <c r="AC84" s="230" t="s">
        <v>220</v>
      </c>
      <c r="AD84" s="231" t="s">
        <v>208</v>
      </c>
      <c r="AE84" s="247">
        <v>60000</v>
      </c>
      <c r="AF84" s="709"/>
      <c r="AG84" s="709"/>
      <c r="AH84" s="709"/>
      <c r="AI84" s="248">
        <f t="shared" si="17"/>
        <v>1.0680000000000001</v>
      </c>
      <c r="AJ84" s="696"/>
      <c r="AK84" s="696"/>
      <c r="AL84" s="696"/>
      <c r="AM84" s="696"/>
      <c r="AR84" s="207">
        <f t="shared" si="10"/>
        <v>92</v>
      </c>
      <c r="AS84" s="312">
        <v>0.392293</v>
      </c>
      <c r="AT84" s="148"/>
    </row>
    <row r="85" spans="1:46" ht="11" thickBot="1" x14ac:dyDescent="0.3">
      <c r="A85" s="641">
        <v>103681.93000000002</v>
      </c>
      <c r="B85" s="641">
        <v>100687.05350000001</v>
      </c>
      <c r="C85" s="644"/>
      <c r="D85" s="446">
        <v>64354.901567810419</v>
      </c>
      <c r="E85" s="163">
        <f t="shared" si="8"/>
        <v>78</v>
      </c>
      <c r="F85" s="159">
        <f t="shared" si="13"/>
        <v>119234.21950000002</v>
      </c>
      <c r="G85" s="160">
        <f t="shared" si="14"/>
        <v>115790.111525</v>
      </c>
      <c r="H85" s="450">
        <f t="shared" si="11"/>
        <v>216789</v>
      </c>
      <c r="I85" s="426">
        <f t="shared" si="12"/>
        <v>210527</v>
      </c>
      <c r="J85" s="161">
        <f t="shared" si="16"/>
        <v>216789</v>
      </c>
      <c r="K85" s="162">
        <f t="shared" si="15"/>
        <v>210527</v>
      </c>
      <c r="L85" s="136"/>
      <c r="M85" s="140"/>
      <c r="N85" s="140"/>
      <c r="R85" s="453"/>
      <c r="S85" s="453"/>
      <c r="T85" s="453"/>
      <c r="U85" s="453"/>
      <c r="V85" s="453"/>
      <c r="W85" s="453"/>
      <c r="X85" s="453"/>
      <c r="AB85" s="453"/>
      <c r="AC85" s="262" t="s">
        <v>220</v>
      </c>
      <c r="AD85" s="234" t="s">
        <v>209</v>
      </c>
      <c r="AE85" s="278">
        <v>30000</v>
      </c>
      <c r="AF85" s="710"/>
      <c r="AG85" s="710"/>
      <c r="AH85" s="710"/>
      <c r="AI85" s="200">
        <f t="shared" si="17"/>
        <v>0.93200000000000005</v>
      </c>
      <c r="AJ85" s="696"/>
      <c r="AK85" s="696"/>
      <c r="AL85" s="696"/>
      <c r="AM85" s="696"/>
      <c r="AR85" s="225">
        <f t="shared" si="10"/>
        <v>93</v>
      </c>
      <c r="AS85" s="315">
        <v>0.41836200000000001</v>
      </c>
      <c r="AT85" s="148"/>
    </row>
    <row r="86" spans="1:46" ht="11" thickBot="1" x14ac:dyDescent="0.3">
      <c r="A86" s="641">
        <v>110284.31150000003</v>
      </c>
      <c r="B86" s="641">
        <v>107067.57050000002</v>
      </c>
      <c r="C86" s="644"/>
      <c r="D86" s="446">
        <v>68269.281631571212</v>
      </c>
      <c r="E86" s="166">
        <f t="shared" si="8"/>
        <v>79</v>
      </c>
      <c r="F86" s="159">
        <f t="shared" si="13"/>
        <v>126826.95822500002</v>
      </c>
      <c r="G86" s="160">
        <f t="shared" si="14"/>
        <v>123127.70607500001</v>
      </c>
      <c r="H86" s="450">
        <f t="shared" si="11"/>
        <v>230594</v>
      </c>
      <c r="I86" s="426">
        <f t="shared" si="12"/>
        <v>223869</v>
      </c>
      <c r="J86" s="164">
        <f t="shared" si="16"/>
        <v>230594</v>
      </c>
      <c r="K86" s="165">
        <f t="shared" si="15"/>
        <v>223869</v>
      </c>
      <c r="L86" s="136"/>
      <c r="M86" s="192" t="s">
        <v>74</v>
      </c>
      <c r="N86" s="140"/>
      <c r="R86" s="453"/>
      <c r="S86" s="453"/>
      <c r="T86" s="453"/>
      <c r="U86" s="453"/>
      <c r="V86" s="453"/>
      <c r="W86" s="453"/>
      <c r="X86" s="453"/>
      <c r="AB86" s="453"/>
      <c r="AR86" s="207">
        <f t="shared" si="10"/>
        <v>94</v>
      </c>
      <c r="AS86" s="312">
        <v>0.44584499999999999</v>
      </c>
      <c r="AT86" s="148"/>
    </row>
    <row r="87" spans="1:46" ht="11" thickBot="1" x14ac:dyDescent="0.3">
      <c r="A87" s="641">
        <v>116886.69300000001</v>
      </c>
      <c r="B87" s="641">
        <v>113448.67600000001</v>
      </c>
      <c r="C87" s="644"/>
      <c r="D87" s="446">
        <v>72183.661695332019</v>
      </c>
      <c r="E87" s="163">
        <v>80</v>
      </c>
      <c r="F87" s="159">
        <f t="shared" si="13"/>
        <v>134419.69695000001</v>
      </c>
      <c r="G87" s="160">
        <f t="shared" si="14"/>
        <v>130465.9774</v>
      </c>
      <c r="H87" s="450">
        <f t="shared" si="11"/>
        <v>244399</v>
      </c>
      <c r="I87" s="426">
        <f t="shared" si="12"/>
        <v>237211</v>
      </c>
      <c r="J87" s="161">
        <f t="shared" si="16"/>
        <v>244399</v>
      </c>
      <c r="K87" s="162">
        <f t="shared" si="15"/>
        <v>237211</v>
      </c>
      <c r="L87" s="136"/>
      <c r="M87" s="193" t="s">
        <v>56</v>
      </c>
      <c r="N87" s="203">
        <v>1.0262</v>
      </c>
      <c r="R87" s="453"/>
      <c r="S87" s="453"/>
      <c r="T87" s="453"/>
      <c r="U87" s="453"/>
      <c r="V87" s="453"/>
      <c r="W87" s="453"/>
      <c r="X87" s="453"/>
      <c r="AB87" s="453"/>
      <c r="AR87" s="225">
        <f t="shared" si="10"/>
        <v>95</v>
      </c>
      <c r="AS87" s="315">
        <v>0.47479300000000002</v>
      </c>
      <c r="AT87" s="148"/>
    </row>
    <row r="88" spans="1:46" ht="11" thickBot="1" x14ac:dyDescent="0.3">
      <c r="A88" s="641">
        <v>120069.30100000001</v>
      </c>
      <c r="B88" s="641">
        <v>116482.98200000002</v>
      </c>
      <c r="C88" s="644"/>
      <c r="D88" s="446">
        <v>73924.723101805284</v>
      </c>
      <c r="E88" s="166">
        <v>81</v>
      </c>
      <c r="F88" s="159">
        <f t="shared" si="13"/>
        <v>138079.69615</v>
      </c>
      <c r="G88" s="160">
        <f t="shared" si="14"/>
        <v>133955.42930000002</v>
      </c>
      <c r="H88" s="450">
        <f t="shared" si="11"/>
        <v>251054</v>
      </c>
      <c r="I88" s="426">
        <f t="shared" si="12"/>
        <v>243555</v>
      </c>
      <c r="J88" s="164">
        <f t="shared" si="16"/>
        <v>251054</v>
      </c>
      <c r="K88" s="165">
        <f t="shared" si="15"/>
        <v>243555</v>
      </c>
      <c r="L88" s="136"/>
      <c r="M88" s="193" t="s">
        <v>36</v>
      </c>
      <c r="N88" s="204">
        <v>157.78</v>
      </c>
      <c r="R88" s="453"/>
      <c r="S88" s="453"/>
      <c r="T88" s="453"/>
      <c r="U88" s="453"/>
      <c r="V88" s="453"/>
      <c r="W88" s="453"/>
      <c r="X88" s="453"/>
      <c r="AB88" s="453"/>
      <c r="AC88" s="286" t="s">
        <v>225</v>
      </c>
      <c r="AD88" s="287" t="s">
        <v>226</v>
      </c>
      <c r="AE88" s="288" t="s">
        <v>227</v>
      </c>
      <c r="AF88" s="711"/>
      <c r="AG88" s="711"/>
      <c r="AH88" s="711"/>
      <c r="AR88" s="207">
        <f t="shared" si="10"/>
        <v>96</v>
      </c>
      <c r="AS88" s="312">
        <v>0.50525900000000001</v>
      </c>
      <c r="AT88" s="148"/>
    </row>
    <row r="89" spans="1:46" x14ac:dyDescent="0.25">
      <c r="A89" s="641">
        <v>123251.90900000001</v>
      </c>
      <c r="B89" s="641">
        <v>119517.28800000002</v>
      </c>
      <c r="C89" s="644"/>
      <c r="D89" s="446">
        <v>75665.78450827855</v>
      </c>
      <c r="E89" s="163">
        <v>82</v>
      </c>
      <c r="F89" s="159">
        <f t="shared" si="13"/>
        <v>141739.69534999999</v>
      </c>
      <c r="G89" s="160">
        <f t="shared" si="14"/>
        <v>137444.8812</v>
      </c>
      <c r="H89" s="450">
        <f t="shared" si="11"/>
        <v>257709</v>
      </c>
      <c r="I89" s="426">
        <f t="shared" si="12"/>
        <v>249900</v>
      </c>
      <c r="J89" s="161">
        <f t="shared" si="16"/>
        <v>257709</v>
      </c>
      <c r="K89" s="162">
        <f t="shared" si="15"/>
        <v>249900</v>
      </c>
      <c r="L89" s="136"/>
      <c r="M89" s="158"/>
      <c r="R89" s="453"/>
      <c r="S89" s="453"/>
      <c r="T89" s="453"/>
      <c r="U89" s="453"/>
      <c r="V89" s="453"/>
      <c r="W89" s="453"/>
      <c r="X89" s="453"/>
      <c r="AB89" s="453"/>
      <c r="AC89" s="279">
        <f>AE77</f>
        <v>110000</v>
      </c>
      <c r="AD89" s="280">
        <f>AE78</f>
        <v>80000</v>
      </c>
      <c r="AE89" s="281">
        <f>AE79</f>
        <v>50000</v>
      </c>
      <c r="AF89" s="280"/>
      <c r="AG89" s="280"/>
      <c r="AH89" s="280"/>
      <c r="AR89" s="225">
        <f t="shared" si="10"/>
        <v>97</v>
      </c>
      <c r="AS89" s="315">
        <v>0.53724099999999997</v>
      </c>
      <c r="AT89" s="148"/>
    </row>
    <row r="90" spans="1:46" ht="12.75" customHeight="1" x14ac:dyDescent="0.25">
      <c r="A90" s="641">
        <v>126434.51700000001</v>
      </c>
      <c r="B90" s="641">
        <v>122551.00550000001</v>
      </c>
      <c r="C90" s="644"/>
      <c r="D90" s="446">
        <v>77406.845914751815</v>
      </c>
      <c r="E90" s="166">
        <v>83</v>
      </c>
      <c r="F90" s="159">
        <f t="shared" si="13"/>
        <v>145399.69454999999</v>
      </c>
      <c r="G90" s="160">
        <f t="shared" si="14"/>
        <v>140933.65632500002</v>
      </c>
      <c r="H90" s="450">
        <f t="shared" si="11"/>
        <v>264363</v>
      </c>
      <c r="I90" s="426">
        <f t="shared" si="12"/>
        <v>256243</v>
      </c>
      <c r="J90" s="164">
        <f t="shared" si="16"/>
        <v>264363</v>
      </c>
      <c r="K90" s="165">
        <f t="shared" si="15"/>
        <v>256243</v>
      </c>
      <c r="L90" s="136"/>
      <c r="M90" s="783" t="s">
        <v>261</v>
      </c>
      <c r="N90" s="783"/>
      <c r="R90" s="453"/>
      <c r="S90" s="453"/>
      <c r="T90" s="453"/>
      <c r="U90" s="453"/>
      <c r="V90" s="453"/>
      <c r="W90" s="453"/>
      <c r="X90" s="453"/>
      <c r="AB90" s="453"/>
      <c r="AC90" s="279">
        <f>AE80</f>
        <v>100000</v>
      </c>
      <c r="AD90" s="282">
        <f>AE81</f>
        <v>70000</v>
      </c>
      <c r="AE90" s="281">
        <f>AE82</f>
        <v>40000</v>
      </c>
      <c r="AF90" s="280"/>
      <c r="AG90" s="280"/>
      <c r="AH90" s="280"/>
      <c r="AR90" s="207">
        <f t="shared" si="10"/>
        <v>98</v>
      </c>
      <c r="AS90" s="312">
        <v>0.57079299999999999</v>
      </c>
      <c r="AT90" s="148"/>
    </row>
    <row r="91" spans="1:46" ht="11" thickBot="1" x14ac:dyDescent="0.3">
      <c r="A91" s="641">
        <v>129617.12500000003</v>
      </c>
      <c r="B91" s="641">
        <v>125585.31150000003</v>
      </c>
      <c r="C91" s="644"/>
      <c r="D91" s="446">
        <v>79147.907321225081</v>
      </c>
      <c r="E91" s="163">
        <v>84</v>
      </c>
      <c r="F91" s="159">
        <f t="shared" si="13"/>
        <v>149059.69375000003</v>
      </c>
      <c r="G91" s="160">
        <f t="shared" si="14"/>
        <v>144423.108225</v>
      </c>
      <c r="H91" s="450">
        <f t="shared" si="11"/>
        <v>271018</v>
      </c>
      <c r="I91" s="426">
        <f t="shared" si="12"/>
        <v>262587</v>
      </c>
      <c r="J91" s="161">
        <f t="shared" si="16"/>
        <v>271018</v>
      </c>
      <c r="K91" s="162">
        <f t="shared" si="15"/>
        <v>262587</v>
      </c>
      <c r="L91" s="136"/>
      <c r="M91" s="786"/>
      <c r="N91" s="786"/>
      <c r="R91" s="453"/>
      <c r="S91" s="453"/>
      <c r="T91" s="453"/>
      <c r="U91" s="453"/>
      <c r="V91" s="453"/>
      <c r="W91" s="453"/>
      <c r="X91" s="453"/>
      <c r="AB91" s="453"/>
      <c r="AC91" s="283">
        <f>AE83</f>
        <v>90000</v>
      </c>
      <c r="AD91" s="284">
        <f>AE84</f>
        <v>60000</v>
      </c>
      <c r="AE91" s="285">
        <f>AE85</f>
        <v>30000</v>
      </c>
      <c r="AF91" s="280"/>
      <c r="AG91" s="280"/>
      <c r="AH91" s="280"/>
      <c r="AR91" s="225">
        <f t="shared" si="10"/>
        <v>99</v>
      </c>
      <c r="AS91" s="315">
        <v>0.605931</v>
      </c>
      <c r="AT91" s="148"/>
    </row>
    <row r="92" spans="1:46" ht="11" thickBot="1" x14ac:dyDescent="0.3">
      <c r="A92" s="641">
        <v>132800.32150000002</v>
      </c>
      <c r="B92" s="641">
        <v>128619.61750000002</v>
      </c>
      <c r="C92" s="644"/>
      <c r="D92" s="446">
        <v>80888.968727698346</v>
      </c>
      <c r="E92" s="166">
        <v>85</v>
      </c>
      <c r="F92" s="159">
        <f t="shared" si="13"/>
        <v>152720.369725</v>
      </c>
      <c r="G92" s="160">
        <f t="shared" si="14"/>
        <v>147912.56012500002</v>
      </c>
      <c r="H92" s="450">
        <f t="shared" si="11"/>
        <v>277673</v>
      </c>
      <c r="I92" s="426">
        <f t="shared" si="12"/>
        <v>268932</v>
      </c>
      <c r="J92" s="164">
        <f t="shared" si="16"/>
        <v>277673</v>
      </c>
      <c r="K92" s="165">
        <f t="shared" si="15"/>
        <v>268932</v>
      </c>
      <c r="L92" s="136"/>
      <c r="M92" s="184" t="s">
        <v>56</v>
      </c>
      <c r="N92" s="211">
        <v>1.2316</v>
      </c>
      <c r="O92" s="141"/>
      <c r="R92" s="453"/>
      <c r="S92" s="453"/>
      <c r="T92" s="453"/>
      <c r="U92" s="453"/>
      <c r="V92" s="453"/>
      <c r="W92" s="453"/>
      <c r="X92" s="453"/>
      <c r="AB92" s="453"/>
      <c r="AR92" s="313">
        <f t="shared" si="10"/>
        <v>100</v>
      </c>
      <c r="AS92" s="314">
        <v>1.7241379999999999</v>
      </c>
      <c r="AT92" s="148"/>
    </row>
    <row r="93" spans="1:46" x14ac:dyDescent="0.25">
      <c r="A93" s="641">
        <v>135981.75250000003</v>
      </c>
      <c r="B93" s="641">
        <v>131653.9235</v>
      </c>
      <c r="C93" s="644"/>
      <c r="D93" s="446">
        <v>82630.030134171611</v>
      </c>
      <c r="E93" s="163">
        <v>86</v>
      </c>
      <c r="F93" s="159">
        <f t="shared" si="13"/>
        <v>156379.01537500002</v>
      </c>
      <c r="G93" s="160">
        <f t="shared" si="14"/>
        <v>151402.012025</v>
      </c>
      <c r="H93" s="450">
        <f t="shared" si="11"/>
        <v>284325</v>
      </c>
      <c r="I93" s="426">
        <f t="shared" si="12"/>
        <v>275276</v>
      </c>
      <c r="J93" s="161">
        <f t="shared" si="16"/>
        <v>284325</v>
      </c>
      <c r="K93" s="162">
        <f t="shared" si="15"/>
        <v>275276</v>
      </c>
      <c r="L93" s="136"/>
      <c r="M93" s="201"/>
      <c r="N93" s="202"/>
      <c r="R93" s="453"/>
      <c r="S93" s="453"/>
      <c r="T93" s="453"/>
      <c r="U93" s="453"/>
      <c r="V93" s="453"/>
      <c r="W93" s="453"/>
      <c r="X93" s="453"/>
      <c r="AB93" s="453"/>
      <c r="AT93" s="148"/>
    </row>
    <row r="94" spans="1:46" x14ac:dyDescent="0.25">
      <c r="A94" s="641">
        <v>139164.94900000002</v>
      </c>
      <c r="B94" s="641">
        <v>134687.05250000002</v>
      </c>
      <c r="C94" s="644"/>
      <c r="D94" s="446">
        <v>84371.091540644877</v>
      </c>
      <c r="E94" s="166">
        <v>87</v>
      </c>
      <c r="F94" s="159">
        <f t="shared" si="13"/>
        <v>160039.69135000001</v>
      </c>
      <c r="G94" s="160">
        <f t="shared" si="14"/>
        <v>154890.11037500002</v>
      </c>
      <c r="H94" s="450">
        <f t="shared" si="11"/>
        <v>290981</v>
      </c>
      <c r="I94" s="426">
        <f t="shared" si="12"/>
        <v>281618</v>
      </c>
      <c r="J94" s="164">
        <f t="shared" si="16"/>
        <v>290981</v>
      </c>
      <c r="K94" s="165">
        <f t="shared" si="15"/>
        <v>281618</v>
      </c>
      <c r="L94" s="136"/>
      <c r="N94" s="140"/>
      <c r="R94" s="453"/>
      <c r="S94" s="453"/>
      <c r="T94" s="453"/>
      <c r="U94" s="453"/>
      <c r="V94" s="453"/>
      <c r="W94" s="453"/>
      <c r="X94" s="453"/>
      <c r="AB94" s="453"/>
      <c r="AT94" s="148"/>
    </row>
    <row r="95" spans="1:46" x14ac:dyDescent="0.25">
      <c r="A95" s="641">
        <v>142346.96850000002</v>
      </c>
      <c r="B95" s="641">
        <v>137721.35850000003</v>
      </c>
      <c r="C95" s="644"/>
      <c r="D95" s="446">
        <v>86112.152947118142</v>
      </c>
      <c r="E95" s="163">
        <v>88</v>
      </c>
      <c r="F95" s="159">
        <f t="shared" si="13"/>
        <v>163699.013775</v>
      </c>
      <c r="G95" s="160">
        <f t="shared" si="14"/>
        <v>158379.56227500003</v>
      </c>
      <c r="H95" s="450">
        <f t="shared" si="11"/>
        <v>297635</v>
      </c>
      <c r="I95" s="426">
        <f t="shared" si="12"/>
        <v>287963</v>
      </c>
      <c r="J95" s="161">
        <f t="shared" si="16"/>
        <v>297635</v>
      </c>
      <c r="K95" s="162">
        <f t="shared" si="15"/>
        <v>287963</v>
      </c>
      <c r="L95" s="136"/>
      <c r="M95" s="140"/>
      <c r="N95" s="152"/>
      <c r="R95" s="453"/>
      <c r="S95" s="453"/>
      <c r="T95" s="453"/>
      <c r="U95" s="453"/>
      <c r="V95" s="453"/>
      <c r="W95" s="453"/>
      <c r="X95" s="453"/>
      <c r="Y95" s="453"/>
      <c r="Z95" s="453"/>
      <c r="AA95" s="453"/>
      <c r="AB95" s="453"/>
      <c r="AT95" s="148"/>
    </row>
    <row r="96" spans="1:46" x14ac:dyDescent="0.25">
      <c r="A96" s="641">
        <v>145530.16500000001</v>
      </c>
      <c r="B96" s="641">
        <v>140755.07600000003</v>
      </c>
      <c r="C96" s="644"/>
      <c r="D96" s="446">
        <v>87853.214353591407</v>
      </c>
      <c r="E96" s="166">
        <v>89</v>
      </c>
      <c r="F96" s="159">
        <f t="shared" si="13"/>
        <v>167359.68974999999</v>
      </c>
      <c r="G96" s="160">
        <f t="shared" si="14"/>
        <v>161868.33740000002</v>
      </c>
      <c r="H96" s="450">
        <f t="shared" si="11"/>
        <v>304290</v>
      </c>
      <c r="I96" s="426">
        <f t="shared" si="12"/>
        <v>294306</v>
      </c>
      <c r="J96" s="164">
        <f t="shared" si="16"/>
        <v>304290</v>
      </c>
      <c r="K96" s="165">
        <f t="shared" si="15"/>
        <v>294306</v>
      </c>
      <c r="L96" s="136"/>
      <c r="M96" s="140"/>
      <c r="N96" s="140"/>
      <c r="R96" s="453"/>
      <c r="S96" s="453"/>
      <c r="T96" s="453"/>
      <c r="U96" s="453"/>
      <c r="V96" s="453"/>
      <c r="W96" s="453"/>
      <c r="X96" s="453"/>
      <c r="Y96" s="453"/>
      <c r="Z96" s="453"/>
      <c r="AA96" s="453"/>
      <c r="AB96" s="453"/>
      <c r="AT96" s="148"/>
    </row>
    <row r="97" spans="1:46" x14ac:dyDescent="0.25">
      <c r="A97" s="641">
        <v>148712.77300000004</v>
      </c>
      <c r="B97" s="641">
        <v>143789.38200000001</v>
      </c>
      <c r="C97" s="644"/>
      <c r="D97" s="446">
        <v>89594.275760064658</v>
      </c>
      <c r="E97" s="163">
        <v>90</v>
      </c>
      <c r="F97" s="159">
        <f t="shared" si="13"/>
        <v>171019.68895000004</v>
      </c>
      <c r="G97" s="160">
        <f t="shared" si="14"/>
        <v>165357.7893</v>
      </c>
      <c r="H97" s="450">
        <f t="shared" si="11"/>
        <v>310945</v>
      </c>
      <c r="I97" s="426">
        <f t="shared" si="12"/>
        <v>300651</v>
      </c>
      <c r="J97" s="161">
        <f t="shared" si="16"/>
        <v>310945</v>
      </c>
      <c r="K97" s="162">
        <f t="shared" si="15"/>
        <v>300651</v>
      </c>
      <c r="L97" s="136"/>
      <c r="M97" s="140"/>
      <c r="N97" s="140"/>
      <c r="R97" s="453"/>
      <c r="S97" s="453"/>
      <c r="T97" s="453"/>
      <c r="U97" s="453"/>
      <c r="V97" s="453"/>
      <c r="W97" s="453"/>
      <c r="X97" s="453"/>
      <c r="Y97" s="453"/>
      <c r="Z97" s="453"/>
      <c r="AA97" s="453"/>
      <c r="AB97" s="453"/>
      <c r="AT97" s="148"/>
    </row>
    <row r="98" spans="1:46" x14ac:dyDescent="0.25">
      <c r="A98" s="641">
        <v>151895.38100000002</v>
      </c>
      <c r="B98" s="641">
        <v>146823.68800000002</v>
      </c>
      <c r="C98" s="644"/>
      <c r="D98" s="446">
        <v>91335.337166537924</v>
      </c>
      <c r="E98" s="166">
        <v>91</v>
      </c>
      <c r="F98" s="159">
        <f t="shared" si="13"/>
        <v>174679.68815</v>
      </c>
      <c r="G98" s="160">
        <f t="shared" si="14"/>
        <v>168847.24120000002</v>
      </c>
      <c r="H98" s="450">
        <f t="shared" si="11"/>
        <v>317599</v>
      </c>
      <c r="I98" s="426">
        <f t="shared" si="12"/>
        <v>306995</v>
      </c>
      <c r="J98" s="164">
        <f t="shared" si="16"/>
        <v>317599</v>
      </c>
      <c r="K98" s="165">
        <f t="shared" si="15"/>
        <v>306995</v>
      </c>
      <c r="L98" s="136"/>
      <c r="M98" s="140"/>
      <c r="N98" s="152"/>
      <c r="R98" s="453"/>
      <c r="S98" s="453"/>
      <c r="T98" s="453"/>
      <c r="U98" s="453"/>
      <c r="V98" s="453"/>
      <c r="W98" s="453"/>
      <c r="X98" s="453"/>
      <c r="Y98" s="453"/>
      <c r="Z98" s="453"/>
      <c r="AA98" s="453"/>
      <c r="AB98" s="453"/>
      <c r="AT98" s="148"/>
    </row>
    <row r="99" spans="1:46" x14ac:dyDescent="0.25">
      <c r="A99" s="641">
        <v>155077.98900000003</v>
      </c>
      <c r="B99" s="641">
        <v>149857.99400000004</v>
      </c>
      <c r="C99" s="644"/>
      <c r="D99" s="446">
        <v>93076.398573011189</v>
      </c>
      <c r="E99" s="163">
        <v>92</v>
      </c>
      <c r="F99" s="159">
        <f t="shared" si="13"/>
        <v>178339.68735000002</v>
      </c>
      <c r="G99" s="160">
        <f t="shared" si="14"/>
        <v>172336.69310000003</v>
      </c>
      <c r="H99" s="450">
        <f t="shared" si="11"/>
        <v>324254</v>
      </c>
      <c r="I99" s="426">
        <f t="shared" si="12"/>
        <v>313339</v>
      </c>
      <c r="J99" s="161">
        <f t="shared" si="16"/>
        <v>324254</v>
      </c>
      <c r="K99" s="162">
        <f t="shared" si="15"/>
        <v>313339</v>
      </c>
      <c r="L99" s="136"/>
      <c r="M99" s="140"/>
      <c r="N99" s="140"/>
      <c r="R99" s="453"/>
      <c r="S99" s="453"/>
      <c r="T99" s="453"/>
      <c r="U99" s="453"/>
      <c r="V99" s="453"/>
      <c r="W99" s="453"/>
      <c r="X99" s="453"/>
      <c r="Y99" s="453"/>
      <c r="Z99" s="453"/>
      <c r="AA99" s="453"/>
      <c r="AB99" s="453"/>
      <c r="AT99" s="148"/>
    </row>
    <row r="100" spans="1:46" x14ac:dyDescent="0.25">
      <c r="A100" s="641">
        <v>158260.59700000001</v>
      </c>
      <c r="B100" s="641">
        <v>152892.30000000002</v>
      </c>
      <c r="C100" s="644"/>
      <c r="D100" s="446">
        <v>94817.45997948444</v>
      </c>
      <c r="E100" s="166">
        <v>93</v>
      </c>
      <c r="F100" s="159">
        <f t="shared" si="13"/>
        <v>181999.68654999998</v>
      </c>
      <c r="G100" s="160">
        <f t="shared" si="14"/>
        <v>175826.14500000002</v>
      </c>
      <c r="H100" s="450">
        <f t="shared" si="11"/>
        <v>330909</v>
      </c>
      <c r="I100" s="426">
        <f t="shared" si="12"/>
        <v>319684</v>
      </c>
      <c r="J100" s="164">
        <f t="shared" si="16"/>
        <v>330909</v>
      </c>
      <c r="K100" s="165">
        <f t="shared" si="15"/>
        <v>319684</v>
      </c>
      <c r="L100" s="136"/>
      <c r="M100" s="140"/>
      <c r="N100" s="140"/>
      <c r="R100" s="453"/>
      <c r="S100" s="453"/>
      <c r="T100" s="453"/>
      <c r="U100" s="453"/>
      <c r="V100" s="453"/>
      <c r="W100" s="453"/>
      <c r="X100" s="453"/>
      <c r="Y100" s="453"/>
      <c r="Z100" s="453"/>
      <c r="AA100" s="453"/>
      <c r="AB100" s="453"/>
      <c r="AT100" s="148"/>
    </row>
    <row r="101" spans="1:46" x14ac:dyDescent="0.25">
      <c r="A101" s="641">
        <v>161443.20500000002</v>
      </c>
      <c r="B101" s="641">
        <v>155926.60600000003</v>
      </c>
      <c r="C101" s="644"/>
      <c r="D101" s="446">
        <v>96558.521385957691</v>
      </c>
      <c r="E101" s="163">
        <v>94</v>
      </c>
      <c r="F101" s="159">
        <f t="shared" si="13"/>
        <v>185659.68575</v>
      </c>
      <c r="G101" s="160">
        <f t="shared" si="14"/>
        <v>179315.59690000003</v>
      </c>
      <c r="H101" s="450">
        <f t="shared" si="11"/>
        <v>337563</v>
      </c>
      <c r="I101" s="426">
        <f t="shared" si="12"/>
        <v>326028</v>
      </c>
      <c r="J101" s="161">
        <f t="shared" si="16"/>
        <v>337563</v>
      </c>
      <c r="K101" s="162">
        <f t="shared" si="15"/>
        <v>326028</v>
      </c>
      <c r="L101" s="136"/>
      <c r="M101" s="140"/>
      <c r="N101" s="140"/>
      <c r="R101" s="453"/>
      <c r="S101" s="453"/>
      <c r="T101" s="453"/>
      <c r="U101" s="453"/>
      <c r="V101" s="453"/>
      <c r="W101" s="453"/>
      <c r="X101" s="453"/>
      <c r="Y101" s="453"/>
      <c r="Z101" s="453"/>
      <c r="AA101" s="453"/>
      <c r="AB101" s="453"/>
      <c r="AT101" s="148"/>
    </row>
    <row r="102" spans="1:46" x14ac:dyDescent="0.25">
      <c r="A102" s="641">
        <v>164626.40150000004</v>
      </c>
      <c r="B102" s="641">
        <v>158960.32350000003</v>
      </c>
      <c r="C102" s="644"/>
      <c r="D102" s="446">
        <v>98299.582792430956</v>
      </c>
      <c r="E102" s="166">
        <v>95</v>
      </c>
      <c r="F102" s="159">
        <f t="shared" si="13"/>
        <v>189320.36172500002</v>
      </c>
      <c r="G102" s="160">
        <f t="shared" si="14"/>
        <v>182804.37202500002</v>
      </c>
      <c r="H102" s="450">
        <f t="shared" ref="H102:I106" si="18">ROUND(F102/(1-$K$1-$K$2-$K$3),0)</f>
        <v>344219</v>
      </c>
      <c r="I102" s="426">
        <f t="shared" si="18"/>
        <v>332372</v>
      </c>
      <c r="J102" s="164">
        <f t="shared" si="16"/>
        <v>344219</v>
      </c>
      <c r="K102" s="165">
        <f t="shared" si="15"/>
        <v>332372</v>
      </c>
      <c r="L102" s="136"/>
      <c r="M102" s="140"/>
      <c r="N102" s="140"/>
      <c r="R102" s="453"/>
      <c r="S102" s="453"/>
      <c r="T102" s="453"/>
      <c r="U102" s="453"/>
      <c r="V102" s="453"/>
      <c r="W102" s="453"/>
      <c r="X102" s="453"/>
      <c r="Y102" s="453"/>
      <c r="Z102" s="453"/>
      <c r="AA102" s="453"/>
      <c r="AB102" s="453"/>
      <c r="AE102" s="157"/>
      <c r="AF102" s="157"/>
      <c r="AG102" s="157"/>
      <c r="AH102" s="157"/>
      <c r="AI102" s="157"/>
      <c r="AJ102" s="157"/>
      <c r="AK102" s="157"/>
      <c r="AL102" s="157"/>
      <c r="AM102" s="157"/>
      <c r="AT102" s="148"/>
    </row>
    <row r="103" spans="1:46" x14ac:dyDescent="0.25">
      <c r="A103" s="642">
        <v>167808.42100000003</v>
      </c>
      <c r="B103" s="642">
        <v>161994.62950000001</v>
      </c>
      <c r="C103" s="644"/>
      <c r="D103" s="446">
        <v>100040.64419890422</v>
      </c>
      <c r="E103" s="163">
        <v>96</v>
      </c>
      <c r="F103" s="159">
        <f t="shared" si="13"/>
        <v>192979.68415000002</v>
      </c>
      <c r="G103" s="160">
        <f t="shared" si="14"/>
        <v>186293.823925</v>
      </c>
      <c r="H103" s="450">
        <f t="shared" si="18"/>
        <v>350872</v>
      </c>
      <c r="I103" s="426">
        <f t="shared" si="18"/>
        <v>338716</v>
      </c>
      <c r="J103" s="161">
        <f t="shared" si="16"/>
        <v>350872</v>
      </c>
      <c r="K103" s="162">
        <f t="shared" si="15"/>
        <v>338716</v>
      </c>
      <c r="M103" s="140"/>
      <c r="N103" s="140"/>
      <c r="R103" s="453"/>
      <c r="S103" s="453"/>
      <c r="T103" s="453"/>
      <c r="U103" s="453"/>
      <c r="V103" s="453"/>
      <c r="W103" s="453"/>
      <c r="X103" s="453"/>
      <c r="Y103" s="453"/>
      <c r="Z103" s="453"/>
      <c r="AA103" s="453"/>
      <c r="AB103" s="453"/>
      <c r="AT103" s="148"/>
    </row>
    <row r="104" spans="1:46" x14ac:dyDescent="0.25">
      <c r="A104" s="642">
        <v>170991.61750000002</v>
      </c>
      <c r="B104" s="642">
        <v>165028.93550000002</v>
      </c>
      <c r="C104" s="644"/>
      <c r="D104" s="446">
        <v>101781.70560537747</v>
      </c>
      <c r="E104" s="166">
        <v>97</v>
      </c>
      <c r="F104" s="159">
        <f t="shared" si="13"/>
        <v>196640.36012500001</v>
      </c>
      <c r="G104" s="160">
        <f t="shared" si="14"/>
        <v>189783.27582500002</v>
      </c>
      <c r="H104" s="450">
        <f t="shared" si="18"/>
        <v>357528</v>
      </c>
      <c r="I104" s="426">
        <f t="shared" si="18"/>
        <v>345061</v>
      </c>
      <c r="J104" s="164">
        <f t="shared" si="16"/>
        <v>357528</v>
      </c>
      <c r="K104" s="165">
        <f t="shared" si="15"/>
        <v>345061</v>
      </c>
      <c r="M104" s="140"/>
      <c r="N104" s="140"/>
      <c r="R104" s="453"/>
      <c r="S104" s="453"/>
      <c r="T104" s="453"/>
      <c r="U104" s="453"/>
      <c r="V104" s="453"/>
      <c r="W104" s="453"/>
      <c r="X104" s="453"/>
      <c r="Y104" s="453"/>
      <c r="Z104" s="453"/>
      <c r="AA104" s="453"/>
      <c r="AB104" s="453"/>
      <c r="AT104" s="148"/>
    </row>
    <row r="105" spans="1:46" x14ac:dyDescent="0.25">
      <c r="A105" s="642">
        <v>174173.63700000002</v>
      </c>
      <c r="B105" s="642">
        <v>168062.06450000001</v>
      </c>
      <c r="C105" s="644"/>
      <c r="D105" s="446">
        <v>103522.76701185072</v>
      </c>
      <c r="E105" s="163">
        <v>98</v>
      </c>
      <c r="F105" s="159">
        <f t="shared" si="13"/>
        <v>200299.68255</v>
      </c>
      <c r="G105" s="160">
        <f t="shared" si="14"/>
        <v>193271.374175</v>
      </c>
      <c r="H105" s="450">
        <f t="shared" si="18"/>
        <v>364181</v>
      </c>
      <c r="I105" s="426">
        <f t="shared" si="18"/>
        <v>351402</v>
      </c>
      <c r="J105" s="161">
        <f t="shared" si="16"/>
        <v>364181</v>
      </c>
      <c r="K105" s="162">
        <f t="shared" si="15"/>
        <v>351402</v>
      </c>
      <c r="M105" s="140"/>
      <c r="N105" s="140"/>
      <c r="R105" s="453"/>
      <c r="S105" s="453"/>
      <c r="T105" s="453"/>
      <c r="U105" s="453"/>
      <c r="V105" s="453"/>
      <c r="W105" s="453"/>
      <c r="X105" s="453"/>
      <c r="Y105" s="453"/>
      <c r="Z105" s="453"/>
      <c r="AA105" s="453"/>
      <c r="AB105" s="453"/>
      <c r="AT105" s="148"/>
    </row>
    <row r="106" spans="1:46" ht="11" thickBot="1" x14ac:dyDescent="0.3">
      <c r="A106" s="643">
        <v>177356.83350000004</v>
      </c>
      <c r="B106" s="643">
        <v>171096.37050000005</v>
      </c>
      <c r="C106" s="645"/>
      <c r="D106" s="447">
        <v>105263.82841832399</v>
      </c>
      <c r="E106" s="170">
        <v>99</v>
      </c>
      <c r="F106" s="159">
        <f t="shared" si="13"/>
        <v>203960.35852500002</v>
      </c>
      <c r="G106" s="160">
        <f t="shared" si="14"/>
        <v>196760.82607500005</v>
      </c>
      <c r="H106" s="451">
        <f t="shared" si="18"/>
        <v>370837</v>
      </c>
      <c r="I106" s="427">
        <f t="shared" si="18"/>
        <v>357747</v>
      </c>
      <c r="J106" s="168">
        <f t="shared" si="16"/>
        <v>370837</v>
      </c>
      <c r="K106" s="169">
        <f t="shared" si="15"/>
        <v>357747</v>
      </c>
      <c r="M106" s="140"/>
      <c r="N106" s="140"/>
      <c r="R106" s="453"/>
      <c r="S106" s="453"/>
      <c r="T106" s="453"/>
      <c r="U106" s="453"/>
      <c r="V106" s="453"/>
      <c r="W106" s="453"/>
      <c r="X106" s="453"/>
      <c r="Y106" s="453"/>
      <c r="Z106" s="453"/>
      <c r="AA106" s="453"/>
      <c r="AB106" s="453"/>
      <c r="AT106" s="148"/>
    </row>
    <row r="107" spans="1:46" x14ac:dyDescent="0.25">
      <c r="A107" s="128">
        <v>0</v>
      </c>
      <c r="B107" s="128">
        <v>0</v>
      </c>
      <c r="D107" s="132"/>
      <c r="E107" s="128">
        <v>100</v>
      </c>
      <c r="F107" s="159">
        <f t="shared" si="13"/>
        <v>0</v>
      </c>
      <c r="G107" s="160">
        <f t="shared" si="14"/>
        <v>0</v>
      </c>
      <c r="M107" s="140"/>
      <c r="N107" s="140"/>
      <c r="R107" s="453"/>
      <c r="S107" s="453"/>
      <c r="T107" s="453"/>
      <c r="U107" s="453"/>
      <c r="V107" s="453"/>
      <c r="W107" s="453"/>
      <c r="X107" s="453"/>
      <c r="Y107" s="453"/>
      <c r="Z107" s="453"/>
      <c r="AA107" s="453"/>
      <c r="AB107" s="453"/>
      <c r="AT107" s="148"/>
    </row>
    <row r="108" spans="1:46" x14ac:dyDescent="0.25">
      <c r="D108" s="132"/>
      <c r="M108" s="140"/>
      <c r="N108" s="140"/>
      <c r="R108" s="453"/>
      <c r="S108" s="453"/>
      <c r="T108" s="453"/>
      <c r="U108" s="453"/>
      <c r="V108" s="453"/>
      <c r="W108" s="453"/>
      <c r="X108" s="453"/>
      <c r="Y108" s="453"/>
      <c r="Z108" s="453"/>
      <c r="AA108" s="453"/>
      <c r="AB108" s="453"/>
      <c r="AT108" s="148"/>
    </row>
    <row r="109" spans="1:46" x14ac:dyDescent="0.25">
      <c r="D109" s="132"/>
      <c r="E109" s="139"/>
      <c r="F109" s="187"/>
      <c r="G109" s="131"/>
      <c r="H109" s="131"/>
      <c r="I109" s="131"/>
      <c r="J109" s="131"/>
      <c r="K109" s="131"/>
      <c r="M109" s="140"/>
      <c r="N109" s="140"/>
      <c r="R109" s="453"/>
      <c r="S109" s="453"/>
      <c r="T109" s="453"/>
      <c r="U109" s="453"/>
      <c r="V109" s="453"/>
      <c r="W109" s="453"/>
      <c r="X109" s="453"/>
      <c r="Y109" s="453"/>
      <c r="Z109" s="453"/>
      <c r="AA109" s="453"/>
      <c r="AB109" s="453"/>
      <c r="AT109" s="148"/>
    </row>
    <row r="110" spans="1:46" x14ac:dyDescent="0.25">
      <c r="D110" s="132"/>
      <c r="E110" s="155"/>
      <c r="M110" s="140"/>
      <c r="N110" s="140"/>
      <c r="R110" s="453"/>
      <c r="S110" s="453"/>
      <c r="T110" s="453"/>
      <c r="U110" s="453"/>
      <c r="V110" s="453"/>
      <c r="W110" s="453"/>
      <c r="X110" s="453"/>
      <c r="Y110" s="453"/>
      <c r="Z110" s="453"/>
      <c r="AA110" s="453"/>
      <c r="AB110" s="453"/>
      <c r="AT110" s="148"/>
    </row>
    <row r="111" spans="1:46" x14ac:dyDescent="0.25">
      <c r="D111" s="132"/>
      <c r="E111" s="780"/>
      <c r="F111" s="781"/>
      <c r="G111" s="781"/>
      <c r="H111" s="190"/>
      <c r="I111" s="190"/>
      <c r="J111" s="781"/>
      <c r="K111" s="781"/>
      <c r="M111" s="140"/>
      <c r="N111" s="140"/>
      <c r="R111" s="453"/>
      <c r="S111" s="453"/>
      <c r="T111" s="453"/>
      <c r="U111" s="453"/>
      <c r="V111" s="453"/>
      <c r="W111" s="453"/>
      <c r="X111" s="453"/>
      <c r="Y111" s="453"/>
      <c r="Z111" s="453"/>
      <c r="AA111" s="453"/>
      <c r="AB111" s="453"/>
      <c r="AT111" s="148"/>
    </row>
    <row r="112" spans="1:46" x14ac:dyDescent="0.25">
      <c r="D112" s="132"/>
      <c r="E112" s="780"/>
      <c r="F112" s="190"/>
      <c r="G112" s="190"/>
      <c r="H112" s="190"/>
      <c r="I112" s="190"/>
      <c r="J112" s="190"/>
      <c r="K112" s="190"/>
      <c r="M112" s="140"/>
      <c r="N112" s="140"/>
      <c r="R112" s="453"/>
      <c r="S112" s="453"/>
      <c r="T112" s="453"/>
      <c r="U112" s="453"/>
      <c r="V112" s="453"/>
      <c r="W112" s="453"/>
      <c r="X112" s="453"/>
      <c r="Y112" s="453"/>
      <c r="Z112" s="453"/>
      <c r="AA112" s="453"/>
      <c r="AB112" s="453"/>
      <c r="AT112" s="148"/>
    </row>
    <row r="113" spans="4:48" x14ac:dyDescent="0.25">
      <c r="D113" s="132"/>
      <c r="E113" s="289"/>
      <c r="F113" s="140"/>
      <c r="G113" s="140"/>
      <c r="H113" s="140"/>
      <c r="I113" s="140"/>
      <c r="J113" s="140"/>
      <c r="K113" s="140"/>
      <c r="M113" s="140"/>
      <c r="N113" s="140"/>
      <c r="R113" s="453"/>
      <c r="S113" s="453"/>
      <c r="T113" s="453"/>
      <c r="U113" s="453"/>
      <c r="V113" s="453"/>
      <c r="W113" s="453"/>
      <c r="X113" s="453"/>
      <c r="Y113" s="453"/>
      <c r="Z113" s="453"/>
      <c r="AA113" s="453"/>
      <c r="AB113" s="453"/>
      <c r="AT113" s="148"/>
    </row>
    <row r="114" spans="4:48" x14ac:dyDescent="0.25">
      <c r="D114" s="132"/>
      <c r="E114" s="290"/>
      <c r="F114" s="140"/>
      <c r="G114" s="140"/>
      <c r="H114" s="140"/>
      <c r="I114" s="140"/>
      <c r="J114" s="140"/>
      <c r="K114" s="140"/>
      <c r="M114" s="140"/>
      <c r="N114" s="140"/>
      <c r="R114" s="453"/>
      <c r="S114" s="453"/>
      <c r="T114" s="453"/>
      <c r="U114" s="453"/>
      <c r="V114" s="453"/>
      <c r="W114" s="453"/>
      <c r="X114" s="453"/>
      <c r="Y114" s="453"/>
      <c r="Z114" s="453"/>
      <c r="AA114" s="453"/>
      <c r="AB114" s="453"/>
      <c r="AT114" s="148"/>
    </row>
    <row r="115" spans="4:48" x14ac:dyDescent="0.25">
      <c r="D115" s="132"/>
      <c r="E115" s="291"/>
      <c r="F115" s="140"/>
      <c r="G115" s="140"/>
      <c r="H115" s="140"/>
      <c r="I115" s="140"/>
      <c r="J115" s="140"/>
      <c r="K115" s="140"/>
      <c r="M115" s="140"/>
      <c r="N115" s="140"/>
      <c r="R115" s="453"/>
      <c r="S115" s="453"/>
      <c r="T115" s="453"/>
      <c r="U115" s="453"/>
      <c r="V115" s="453"/>
      <c r="W115" s="453"/>
      <c r="X115" s="453"/>
      <c r="Y115" s="453"/>
      <c r="Z115" s="453"/>
      <c r="AA115" s="453"/>
      <c r="AB115" s="453"/>
      <c r="AT115" s="148"/>
    </row>
    <row r="116" spans="4:48" x14ac:dyDescent="0.25">
      <c r="D116" s="132"/>
      <c r="E116" s="289"/>
      <c r="F116" s="140"/>
      <c r="G116" s="140"/>
      <c r="H116" s="140"/>
      <c r="I116" s="140"/>
      <c r="J116" s="140"/>
      <c r="K116" s="140"/>
      <c r="M116" s="140"/>
      <c r="N116" s="140"/>
      <c r="R116" s="453"/>
      <c r="S116" s="453"/>
      <c r="T116" s="453"/>
      <c r="U116" s="453"/>
      <c r="V116" s="453"/>
      <c r="W116" s="453"/>
      <c r="X116" s="453"/>
      <c r="Y116" s="453"/>
      <c r="Z116" s="453"/>
      <c r="AA116" s="453"/>
      <c r="AB116" s="453"/>
      <c r="AT116" s="148"/>
    </row>
    <row r="117" spans="4:48" x14ac:dyDescent="0.25">
      <c r="D117" s="132"/>
      <c r="E117" s="289"/>
      <c r="F117" s="140"/>
      <c r="G117" s="140"/>
      <c r="H117" s="140"/>
      <c r="I117" s="140"/>
      <c r="J117" s="140"/>
      <c r="K117" s="140"/>
      <c r="R117" s="453"/>
      <c r="S117" s="453"/>
      <c r="T117" s="453"/>
      <c r="U117" s="453"/>
      <c r="V117" s="453"/>
      <c r="W117" s="453"/>
      <c r="X117" s="453"/>
      <c r="Y117" s="453"/>
      <c r="Z117" s="453"/>
      <c r="AA117" s="453"/>
      <c r="AB117" s="453"/>
      <c r="AT117" s="148"/>
    </row>
    <row r="118" spans="4:48" x14ac:dyDescent="0.25">
      <c r="D118" s="132"/>
      <c r="E118" s="289"/>
      <c r="F118" s="140"/>
      <c r="G118" s="140"/>
      <c r="H118" s="140"/>
      <c r="I118" s="140"/>
      <c r="J118" s="140"/>
      <c r="K118" s="140"/>
      <c r="R118" s="453"/>
      <c r="S118" s="453"/>
      <c r="T118" s="453"/>
      <c r="U118" s="453"/>
      <c r="V118" s="453"/>
      <c r="W118" s="453"/>
      <c r="X118" s="453"/>
      <c r="Y118" s="453"/>
      <c r="Z118" s="453"/>
      <c r="AA118" s="453"/>
      <c r="AB118" s="453"/>
      <c r="AR118" s="190"/>
      <c r="AS118" s="194"/>
      <c r="AV118" s="155"/>
    </row>
    <row r="119" spans="4:48" ht="8.15" customHeight="1" x14ac:dyDescent="0.25">
      <c r="D119" s="132"/>
      <c r="E119" s="289"/>
      <c r="F119" s="140"/>
      <c r="G119" s="140"/>
      <c r="H119" s="140"/>
      <c r="I119" s="140"/>
      <c r="J119" s="140"/>
      <c r="K119" s="140"/>
      <c r="R119" s="453"/>
      <c r="S119" s="453"/>
      <c r="T119" s="453"/>
      <c r="U119" s="453"/>
      <c r="V119" s="453"/>
      <c r="W119" s="453"/>
      <c r="X119" s="453"/>
      <c r="Y119" s="453"/>
      <c r="Z119" s="453"/>
      <c r="AA119" s="453"/>
      <c r="AB119" s="453"/>
    </row>
    <row r="120" spans="4:48" x14ac:dyDescent="0.25">
      <c r="D120" s="135"/>
      <c r="E120" s="289"/>
      <c r="F120" s="140"/>
      <c r="G120" s="140"/>
      <c r="H120" s="140"/>
      <c r="I120" s="140"/>
      <c r="J120" s="140"/>
      <c r="K120" s="140"/>
      <c r="R120" s="453"/>
      <c r="S120" s="453"/>
      <c r="T120" s="453"/>
      <c r="U120" s="453"/>
      <c r="V120" s="453"/>
      <c r="W120" s="453"/>
      <c r="X120" s="453"/>
      <c r="Y120" s="453"/>
      <c r="Z120" s="453"/>
      <c r="AA120" s="453"/>
      <c r="AB120" s="453"/>
    </row>
    <row r="121" spans="4:48" x14ac:dyDescent="0.25">
      <c r="D121" s="209"/>
      <c r="E121" s="289"/>
      <c r="F121" s="140"/>
      <c r="G121" s="140"/>
      <c r="H121" s="140"/>
      <c r="I121" s="140"/>
      <c r="J121" s="140"/>
      <c r="K121" s="140"/>
      <c r="R121" s="453"/>
      <c r="S121" s="453"/>
      <c r="T121" s="453"/>
      <c r="U121" s="453"/>
      <c r="V121" s="453"/>
      <c r="W121" s="453"/>
      <c r="X121" s="453"/>
      <c r="Y121" s="453"/>
      <c r="Z121" s="453"/>
      <c r="AA121" s="453"/>
      <c r="AB121" s="453"/>
    </row>
    <row r="122" spans="4:48" x14ac:dyDescent="0.25">
      <c r="D122" s="209"/>
      <c r="E122" s="289"/>
      <c r="F122" s="140"/>
      <c r="G122" s="140"/>
      <c r="H122" s="140"/>
      <c r="I122" s="140"/>
      <c r="J122" s="140"/>
      <c r="K122" s="140"/>
      <c r="R122" s="453"/>
      <c r="S122" s="453"/>
      <c r="T122" s="453"/>
      <c r="U122" s="453"/>
      <c r="V122" s="453"/>
      <c r="W122" s="453"/>
      <c r="X122" s="453"/>
      <c r="Y122" s="453"/>
      <c r="Z122" s="453"/>
      <c r="AA122" s="453"/>
      <c r="AB122" s="453"/>
    </row>
    <row r="123" spans="4:48" x14ac:dyDescent="0.25">
      <c r="D123" s="209"/>
      <c r="E123" s="289"/>
      <c r="F123" s="140"/>
      <c r="G123" s="140"/>
      <c r="H123" s="140"/>
      <c r="I123" s="140"/>
      <c r="J123" s="140"/>
      <c r="K123" s="140"/>
      <c r="R123" s="453"/>
      <c r="S123" s="453"/>
      <c r="T123" s="453"/>
      <c r="U123" s="453"/>
      <c r="V123" s="453"/>
      <c r="W123" s="453"/>
      <c r="X123" s="453"/>
      <c r="Y123" s="453"/>
      <c r="Z123" s="453"/>
      <c r="AA123" s="453"/>
      <c r="AB123" s="453"/>
    </row>
    <row r="124" spans="4:48" x14ac:dyDescent="0.25">
      <c r="D124" s="209"/>
      <c r="E124" s="289"/>
      <c r="F124" s="140"/>
      <c r="G124" s="140"/>
      <c r="H124" s="140"/>
      <c r="I124" s="140"/>
      <c r="J124" s="140"/>
      <c r="K124" s="140"/>
      <c r="R124" s="453"/>
      <c r="S124" s="453"/>
      <c r="T124" s="453"/>
      <c r="U124" s="453"/>
      <c r="V124" s="453"/>
      <c r="W124" s="453"/>
      <c r="X124" s="453"/>
      <c r="Y124" s="453"/>
      <c r="Z124" s="453"/>
      <c r="AA124" s="453"/>
      <c r="AB124" s="453"/>
    </row>
    <row r="125" spans="4:48" x14ac:dyDescent="0.25">
      <c r="D125" s="209"/>
      <c r="E125" s="289"/>
      <c r="F125" s="140"/>
      <c r="G125" s="140"/>
      <c r="H125" s="140"/>
      <c r="I125" s="140"/>
      <c r="J125" s="140"/>
      <c r="K125" s="140"/>
      <c r="R125" s="453"/>
      <c r="S125" s="453"/>
      <c r="T125" s="453"/>
      <c r="U125" s="453"/>
      <c r="V125" s="453"/>
      <c r="W125" s="453"/>
      <c r="X125" s="453"/>
      <c r="Y125" s="453"/>
      <c r="Z125" s="453"/>
      <c r="AA125" s="453"/>
      <c r="AB125" s="453"/>
    </row>
    <row r="126" spans="4:48" x14ac:dyDescent="0.25">
      <c r="D126" s="209"/>
      <c r="E126" s="289"/>
      <c r="F126" s="140"/>
      <c r="G126" s="140"/>
      <c r="H126" s="140"/>
      <c r="I126" s="140"/>
      <c r="J126" s="140"/>
      <c r="K126" s="140"/>
      <c r="R126" s="453"/>
      <c r="S126" s="453"/>
      <c r="T126" s="453"/>
      <c r="U126" s="453"/>
      <c r="V126" s="453"/>
      <c r="W126" s="453"/>
      <c r="X126" s="453"/>
      <c r="Y126" s="453"/>
      <c r="Z126" s="453"/>
      <c r="AA126" s="453"/>
      <c r="AB126" s="453"/>
    </row>
    <row r="127" spans="4:48" x14ac:dyDescent="0.25">
      <c r="E127" s="289"/>
      <c r="F127" s="140"/>
      <c r="G127" s="140"/>
      <c r="H127" s="140"/>
      <c r="I127" s="140"/>
      <c r="J127" s="140"/>
      <c r="K127" s="140"/>
      <c r="R127" s="453"/>
      <c r="S127" s="453"/>
      <c r="T127" s="453"/>
      <c r="U127" s="453"/>
      <c r="V127" s="453"/>
      <c r="W127" s="453"/>
      <c r="X127" s="453"/>
      <c r="Y127" s="453"/>
      <c r="Z127" s="453"/>
      <c r="AA127" s="453"/>
      <c r="AB127" s="453"/>
    </row>
    <row r="128" spans="4:48" x14ac:dyDescent="0.25">
      <c r="E128" s="289"/>
      <c r="F128" s="140"/>
      <c r="G128" s="140"/>
      <c r="H128" s="140"/>
      <c r="I128" s="140"/>
      <c r="J128" s="140"/>
      <c r="K128" s="140"/>
      <c r="R128" s="453"/>
      <c r="S128" s="453"/>
      <c r="T128" s="453"/>
      <c r="U128" s="453"/>
      <c r="V128" s="453"/>
      <c r="W128" s="453"/>
      <c r="X128" s="453"/>
      <c r="Y128" s="453"/>
      <c r="Z128" s="453"/>
      <c r="AA128" s="453"/>
      <c r="AB128" s="453"/>
    </row>
    <row r="129" spans="5:28" x14ac:dyDescent="0.25">
      <c r="E129" s="289"/>
      <c r="F129" s="140"/>
      <c r="G129" s="140"/>
      <c r="H129" s="140"/>
      <c r="I129" s="140"/>
      <c r="J129" s="140"/>
      <c r="K129" s="140"/>
      <c r="R129" s="453"/>
      <c r="S129" s="453"/>
      <c r="T129" s="453"/>
      <c r="U129" s="453"/>
      <c r="V129" s="453"/>
      <c r="W129" s="453"/>
      <c r="X129" s="453"/>
      <c r="Y129" s="453"/>
      <c r="Z129" s="453"/>
      <c r="AA129" s="453"/>
      <c r="AB129" s="453"/>
    </row>
    <row r="130" spans="5:28" x14ac:dyDescent="0.25">
      <c r="E130" s="289"/>
      <c r="F130" s="140"/>
      <c r="G130" s="140"/>
      <c r="H130" s="140"/>
      <c r="I130" s="140"/>
      <c r="J130" s="140"/>
      <c r="K130" s="140"/>
      <c r="R130" s="453"/>
      <c r="S130" s="453"/>
      <c r="T130" s="453"/>
      <c r="U130" s="453"/>
      <c r="V130" s="453"/>
      <c r="W130" s="453"/>
      <c r="X130" s="453"/>
      <c r="Y130" s="453"/>
      <c r="Z130" s="453"/>
      <c r="AA130" s="453"/>
      <c r="AB130" s="453"/>
    </row>
    <row r="131" spans="5:28" x14ac:dyDescent="0.25">
      <c r="E131" s="289"/>
      <c r="F131" s="140"/>
      <c r="G131" s="140"/>
      <c r="H131" s="140"/>
      <c r="I131" s="140"/>
      <c r="J131" s="140"/>
      <c r="K131" s="140"/>
      <c r="R131" s="453"/>
      <c r="S131" s="453"/>
      <c r="T131" s="453"/>
      <c r="U131" s="453"/>
      <c r="V131" s="453"/>
      <c r="W131" s="453"/>
      <c r="X131" s="453"/>
      <c r="Y131" s="453"/>
      <c r="Z131" s="453"/>
      <c r="AA131" s="453"/>
      <c r="AB131" s="453"/>
    </row>
    <row r="132" spans="5:28" x14ac:dyDescent="0.25">
      <c r="E132" s="289"/>
      <c r="F132" s="140"/>
      <c r="G132" s="140"/>
      <c r="H132" s="140"/>
      <c r="I132" s="140"/>
      <c r="J132" s="140"/>
      <c r="K132" s="140"/>
      <c r="R132" s="453"/>
      <c r="S132" s="453"/>
      <c r="T132" s="453"/>
      <c r="U132" s="453"/>
      <c r="V132" s="453"/>
      <c r="W132" s="453"/>
      <c r="X132" s="453"/>
      <c r="Y132" s="453"/>
      <c r="Z132" s="453"/>
      <c r="AA132" s="453"/>
      <c r="AB132" s="453"/>
    </row>
    <row r="133" spans="5:28" x14ac:dyDescent="0.25">
      <c r="E133" s="289"/>
      <c r="F133" s="140"/>
      <c r="G133" s="140"/>
      <c r="H133" s="140"/>
      <c r="I133" s="140"/>
      <c r="J133" s="140"/>
      <c r="K133" s="140"/>
      <c r="R133" s="453"/>
      <c r="S133" s="453"/>
      <c r="T133" s="453"/>
      <c r="U133" s="453"/>
      <c r="V133" s="453"/>
      <c r="W133" s="453"/>
      <c r="X133" s="453"/>
      <c r="Y133" s="453"/>
      <c r="Z133" s="453"/>
      <c r="AA133" s="453"/>
      <c r="AB133" s="453"/>
    </row>
    <row r="134" spans="5:28" x14ac:dyDescent="0.25">
      <c r="E134" s="289"/>
      <c r="F134" s="140"/>
      <c r="G134" s="140"/>
      <c r="H134" s="140"/>
      <c r="I134" s="140"/>
      <c r="J134" s="140"/>
      <c r="K134" s="140"/>
      <c r="R134" s="453"/>
      <c r="S134" s="453"/>
      <c r="T134" s="453"/>
      <c r="U134" s="453"/>
      <c r="V134" s="453"/>
      <c r="W134" s="453"/>
      <c r="X134" s="453"/>
      <c r="Y134" s="453"/>
      <c r="Z134" s="453"/>
      <c r="AA134" s="453"/>
      <c r="AB134" s="453"/>
    </row>
    <row r="135" spans="5:28" x14ac:dyDescent="0.25">
      <c r="E135" s="289"/>
      <c r="F135" s="140"/>
      <c r="G135" s="140"/>
      <c r="H135" s="140"/>
      <c r="I135" s="140"/>
      <c r="J135" s="140"/>
      <c r="K135" s="140"/>
      <c r="R135" s="453"/>
      <c r="S135" s="453"/>
      <c r="T135" s="453"/>
      <c r="U135" s="453"/>
      <c r="V135" s="453"/>
      <c r="W135" s="453"/>
      <c r="X135" s="453"/>
      <c r="Y135" s="453"/>
      <c r="Z135" s="453"/>
      <c r="AA135" s="453"/>
      <c r="AB135" s="453"/>
    </row>
    <row r="136" spans="5:28" x14ac:dyDescent="0.25">
      <c r="E136" s="289"/>
      <c r="F136" s="140"/>
      <c r="G136" s="140"/>
      <c r="H136" s="140"/>
      <c r="I136" s="140"/>
      <c r="J136" s="140"/>
      <c r="K136" s="140"/>
      <c r="R136" s="453"/>
      <c r="S136" s="453"/>
      <c r="T136" s="453"/>
      <c r="U136" s="453"/>
      <c r="V136" s="453"/>
      <c r="W136" s="453"/>
      <c r="X136" s="453"/>
      <c r="Y136" s="453"/>
      <c r="Z136" s="453"/>
      <c r="AA136" s="453"/>
      <c r="AB136" s="453"/>
    </row>
    <row r="137" spans="5:28" x14ac:dyDescent="0.25">
      <c r="E137" s="289"/>
      <c r="F137" s="140"/>
      <c r="G137" s="140"/>
      <c r="H137" s="140"/>
      <c r="I137" s="140"/>
      <c r="J137" s="140"/>
      <c r="K137" s="140"/>
      <c r="R137" s="453"/>
      <c r="S137" s="453"/>
      <c r="T137" s="453"/>
      <c r="U137" s="453"/>
      <c r="V137" s="453"/>
      <c r="W137" s="453"/>
      <c r="X137" s="453"/>
      <c r="Y137" s="453"/>
      <c r="Z137" s="453"/>
      <c r="AA137" s="453"/>
      <c r="AB137" s="453"/>
    </row>
    <row r="138" spans="5:28" x14ac:dyDescent="0.25">
      <c r="E138" s="289"/>
      <c r="F138" s="140"/>
      <c r="G138" s="140"/>
      <c r="H138" s="140"/>
      <c r="I138" s="140"/>
      <c r="J138" s="140"/>
      <c r="K138" s="140"/>
      <c r="R138" s="453"/>
      <c r="S138" s="453"/>
      <c r="T138" s="453"/>
      <c r="U138" s="453"/>
      <c r="V138" s="453"/>
      <c r="W138" s="453"/>
      <c r="X138" s="453"/>
      <c r="Y138" s="453"/>
      <c r="Z138" s="453"/>
      <c r="AA138" s="453"/>
      <c r="AB138" s="453"/>
    </row>
    <row r="139" spans="5:28" x14ac:dyDescent="0.25">
      <c r="E139" s="289"/>
      <c r="F139" s="140"/>
      <c r="G139" s="140"/>
      <c r="H139" s="140"/>
      <c r="I139" s="140"/>
      <c r="J139" s="140"/>
      <c r="K139" s="140"/>
      <c r="R139" s="453"/>
      <c r="S139" s="453"/>
      <c r="T139" s="453"/>
      <c r="U139" s="453"/>
      <c r="V139" s="453"/>
      <c r="W139" s="453"/>
      <c r="X139" s="453"/>
      <c r="Y139" s="453"/>
      <c r="Z139" s="453"/>
      <c r="AA139" s="453"/>
      <c r="AB139" s="453"/>
    </row>
    <row r="140" spans="5:28" x14ac:dyDescent="0.25">
      <c r="E140" s="289"/>
      <c r="F140" s="140"/>
      <c r="G140" s="140"/>
      <c r="H140" s="140"/>
      <c r="I140" s="140"/>
      <c r="J140" s="140"/>
      <c r="K140" s="140"/>
      <c r="R140" s="453"/>
      <c r="S140" s="453"/>
      <c r="T140" s="453"/>
      <c r="U140" s="453"/>
      <c r="V140" s="453"/>
      <c r="W140" s="453"/>
      <c r="X140" s="453"/>
      <c r="Y140" s="453"/>
      <c r="Z140" s="453"/>
      <c r="AA140" s="453"/>
      <c r="AB140" s="453"/>
    </row>
    <row r="141" spans="5:28" x14ac:dyDescent="0.25">
      <c r="E141" s="289"/>
      <c r="F141" s="140"/>
      <c r="G141" s="140"/>
      <c r="H141" s="140"/>
      <c r="I141" s="140"/>
      <c r="J141" s="140"/>
      <c r="K141" s="140"/>
      <c r="R141" s="453"/>
      <c r="S141" s="453"/>
      <c r="T141" s="453"/>
      <c r="U141" s="453"/>
      <c r="V141" s="453"/>
      <c r="W141" s="453"/>
      <c r="X141" s="453"/>
      <c r="Y141" s="453"/>
      <c r="Z141" s="453"/>
      <c r="AA141" s="453"/>
      <c r="AB141" s="453"/>
    </row>
    <row r="142" spans="5:28" x14ac:dyDescent="0.25">
      <c r="E142" s="289"/>
      <c r="F142" s="140"/>
      <c r="G142" s="140"/>
      <c r="H142" s="140"/>
      <c r="I142" s="140"/>
      <c r="J142" s="140"/>
      <c r="K142" s="140"/>
      <c r="R142" s="453"/>
      <c r="S142" s="453"/>
      <c r="T142" s="453"/>
      <c r="U142" s="453"/>
      <c r="V142" s="453"/>
      <c r="W142" s="453"/>
      <c r="X142" s="453"/>
      <c r="Y142" s="453"/>
      <c r="Z142" s="453"/>
      <c r="AA142" s="453"/>
      <c r="AB142" s="453"/>
    </row>
    <row r="143" spans="5:28" x14ac:dyDescent="0.25">
      <c r="E143" s="289"/>
      <c r="F143" s="140"/>
      <c r="G143" s="140"/>
      <c r="H143" s="140"/>
      <c r="I143" s="140"/>
      <c r="J143" s="140"/>
      <c r="K143" s="140"/>
      <c r="R143" s="453"/>
      <c r="S143" s="453"/>
      <c r="T143" s="453"/>
      <c r="U143" s="453"/>
      <c r="V143" s="453"/>
      <c r="W143" s="453"/>
      <c r="X143" s="453"/>
      <c r="Y143" s="453"/>
      <c r="Z143" s="453"/>
      <c r="AA143" s="453"/>
      <c r="AB143" s="453"/>
    </row>
    <row r="144" spans="5:28" x14ac:dyDescent="0.25">
      <c r="E144" s="289"/>
      <c r="F144" s="140"/>
      <c r="G144" s="140"/>
      <c r="H144" s="140"/>
      <c r="I144" s="140"/>
      <c r="J144" s="140"/>
      <c r="K144" s="140"/>
      <c r="R144" s="453"/>
      <c r="S144" s="453"/>
      <c r="T144" s="453"/>
      <c r="U144" s="453"/>
      <c r="V144" s="453"/>
      <c r="W144" s="453"/>
      <c r="X144" s="453"/>
      <c r="Y144" s="453"/>
      <c r="Z144" s="453"/>
      <c r="AA144" s="453"/>
      <c r="AB144" s="453"/>
    </row>
    <row r="145" spans="5:28" x14ac:dyDescent="0.25">
      <c r="E145" s="289"/>
      <c r="F145" s="140"/>
      <c r="G145" s="140"/>
      <c r="H145" s="140"/>
      <c r="I145" s="140"/>
      <c r="J145" s="140"/>
      <c r="K145" s="140"/>
      <c r="R145" s="453"/>
      <c r="S145" s="453"/>
      <c r="T145" s="453"/>
      <c r="U145" s="453"/>
      <c r="V145" s="453"/>
      <c r="W145" s="453"/>
      <c r="X145" s="453"/>
      <c r="Y145" s="453"/>
      <c r="Z145" s="453"/>
      <c r="AA145" s="453"/>
      <c r="AB145" s="453"/>
    </row>
    <row r="146" spans="5:28" x14ac:dyDescent="0.25">
      <c r="E146" s="289"/>
      <c r="F146" s="140"/>
      <c r="G146" s="140"/>
      <c r="H146" s="140"/>
      <c r="I146" s="140"/>
      <c r="J146" s="140"/>
      <c r="K146" s="140"/>
      <c r="R146" s="453"/>
      <c r="S146" s="453"/>
      <c r="T146" s="453"/>
      <c r="U146" s="453"/>
      <c r="V146" s="453"/>
      <c r="W146" s="453"/>
      <c r="X146" s="453"/>
      <c r="Y146" s="453"/>
      <c r="Z146" s="453"/>
      <c r="AA146" s="453"/>
      <c r="AB146" s="453"/>
    </row>
    <row r="147" spans="5:28" x14ac:dyDescent="0.25">
      <c r="E147" s="289"/>
      <c r="F147" s="140"/>
      <c r="G147" s="140"/>
      <c r="H147" s="140"/>
      <c r="I147" s="140"/>
      <c r="J147" s="140"/>
      <c r="K147" s="140"/>
      <c r="R147" s="453"/>
      <c r="S147" s="453"/>
      <c r="T147" s="453"/>
      <c r="U147" s="453"/>
      <c r="V147" s="453"/>
      <c r="W147" s="453"/>
      <c r="X147" s="453"/>
      <c r="Y147" s="453"/>
      <c r="Z147" s="453"/>
      <c r="AA147" s="453"/>
      <c r="AB147" s="453"/>
    </row>
    <row r="148" spans="5:28" x14ac:dyDescent="0.25">
      <c r="E148" s="289"/>
      <c r="F148" s="140"/>
      <c r="G148" s="140"/>
      <c r="H148" s="140"/>
      <c r="I148" s="140"/>
      <c r="J148" s="140"/>
      <c r="K148" s="140"/>
      <c r="R148" s="453"/>
      <c r="S148" s="453"/>
      <c r="T148" s="453"/>
      <c r="U148" s="453"/>
      <c r="V148" s="453"/>
      <c r="W148" s="453"/>
      <c r="X148" s="453"/>
      <c r="Y148" s="453"/>
      <c r="Z148" s="453"/>
      <c r="AA148" s="453"/>
      <c r="AB148" s="453"/>
    </row>
    <row r="149" spans="5:28" x14ac:dyDescent="0.25">
      <c r="E149" s="289"/>
      <c r="F149" s="140"/>
      <c r="G149" s="140"/>
      <c r="H149" s="140"/>
      <c r="I149" s="140"/>
      <c r="J149" s="140"/>
      <c r="K149" s="140"/>
      <c r="R149" s="453"/>
      <c r="S149" s="453"/>
      <c r="T149" s="453"/>
      <c r="U149" s="453"/>
      <c r="V149" s="453"/>
      <c r="W149" s="453"/>
      <c r="X149" s="453"/>
      <c r="Y149" s="453"/>
      <c r="Z149" s="453"/>
      <c r="AA149" s="453"/>
      <c r="AB149" s="453"/>
    </row>
    <row r="150" spans="5:28" x14ac:dyDescent="0.25">
      <c r="E150" s="289"/>
      <c r="F150" s="140"/>
      <c r="G150" s="140"/>
      <c r="H150" s="140"/>
      <c r="I150" s="140"/>
      <c r="J150" s="140"/>
      <c r="K150" s="140"/>
      <c r="R150" s="453"/>
      <c r="S150" s="453"/>
      <c r="T150" s="453"/>
      <c r="U150" s="453"/>
      <c r="V150" s="453"/>
      <c r="W150" s="453"/>
      <c r="X150" s="453"/>
      <c r="Y150" s="453"/>
      <c r="Z150" s="453"/>
      <c r="AA150" s="453"/>
      <c r="AB150" s="453"/>
    </row>
    <row r="151" spans="5:28" x14ac:dyDescent="0.25">
      <c r="E151" s="289"/>
      <c r="F151" s="140"/>
      <c r="G151" s="140"/>
      <c r="H151" s="140"/>
      <c r="I151" s="140"/>
      <c r="J151" s="140"/>
      <c r="K151" s="140"/>
      <c r="R151" s="453"/>
      <c r="S151" s="453"/>
      <c r="T151" s="453"/>
      <c r="U151" s="453"/>
      <c r="V151" s="453"/>
      <c r="W151" s="453"/>
      <c r="X151" s="453"/>
      <c r="Y151" s="453"/>
      <c r="Z151" s="453"/>
      <c r="AA151" s="453"/>
      <c r="AB151" s="453"/>
    </row>
    <row r="152" spans="5:28" x14ac:dyDescent="0.25">
      <c r="E152" s="289"/>
      <c r="F152" s="140"/>
      <c r="G152" s="140"/>
      <c r="H152" s="140"/>
      <c r="I152" s="140"/>
      <c r="J152" s="140"/>
      <c r="K152" s="140"/>
      <c r="R152" s="453"/>
      <c r="S152" s="453"/>
      <c r="T152" s="453"/>
      <c r="U152" s="453"/>
      <c r="V152" s="453"/>
      <c r="W152" s="453"/>
      <c r="X152" s="453"/>
      <c r="Y152" s="453"/>
      <c r="Z152" s="453"/>
      <c r="AA152" s="453"/>
      <c r="AB152" s="453"/>
    </row>
    <row r="153" spans="5:28" x14ac:dyDescent="0.25">
      <c r="E153" s="289"/>
      <c r="F153" s="140"/>
      <c r="G153" s="140"/>
      <c r="H153" s="140"/>
      <c r="I153" s="140"/>
      <c r="J153" s="140"/>
      <c r="K153" s="140"/>
      <c r="R153" s="453"/>
      <c r="S153" s="453"/>
      <c r="T153" s="453"/>
      <c r="U153" s="453"/>
      <c r="V153" s="453"/>
      <c r="W153" s="453"/>
      <c r="X153" s="453"/>
      <c r="Y153" s="453"/>
      <c r="Z153" s="453"/>
      <c r="AA153" s="453"/>
      <c r="AB153" s="453"/>
    </row>
    <row r="154" spans="5:28" x14ac:dyDescent="0.25">
      <c r="E154" s="289"/>
      <c r="F154" s="140"/>
      <c r="G154" s="140"/>
      <c r="H154" s="140"/>
      <c r="I154" s="140"/>
      <c r="J154" s="140"/>
      <c r="K154" s="140"/>
      <c r="R154" s="453"/>
      <c r="S154" s="453"/>
      <c r="T154" s="453"/>
      <c r="U154" s="453"/>
      <c r="V154" s="453"/>
      <c r="W154" s="453"/>
      <c r="X154" s="453"/>
      <c r="Y154" s="453"/>
      <c r="Z154" s="453"/>
      <c r="AA154" s="453"/>
      <c r="AB154" s="453"/>
    </row>
    <row r="155" spans="5:28" x14ac:dyDescent="0.25">
      <c r="E155" s="289"/>
      <c r="F155" s="140"/>
      <c r="G155" s="140"/>
      <c r="H155" s="140"/>
      <c r="I155" s="140"/>
      <c r="J155" s="140"/>
      <c r="K155" s="140"/>
      <c r="R155" s="453"/>
      <c r="S155" s="453"/>
      <c r="T155" s="453"/>
      <c r="U155" s="453"/>
      <c r="V155" s="453"/>
      <c r="W155" s="453"/>
      <c r="X155" s="453"/>
      <c r="Y155" s="453"/>
      <c r="Z155" s="453"/>
      <c r="AA155" s="453"/>
      <c r="AB155" s="453"/>
    </row>
    <row r="156" spans="5:28" x14ac:dyDescent="0.25">
      <c r="E156" s="289"/>
      <c r="F156" s="140"/>
      <c r="G156" s="140"/>
      <c r="H156" s="140"/>
      <c r="I156" s="140"/>
      <c r="J156" s="140"/>
      <c r="K156" s="140"/>
    </row>
    <row r="157" spans="5:28" x14ac:dyDescent="0.25">
      <c r="E157" s="289"/>
      <c r="F157" s="140"/>
      <c r="G157" s="140"/>
      <c r="H157" s="140"/>
      <c r="I157" s="140"/>
      <c r="J157" s="140"/>
      <c r="K157" s="140"/>
    </row>
    <row r="158" spans="5:28" x14ac:dyDescent="0.25">
      <c r="E158" s="289"/>
      <c r="F158" s="140"/>
      <c r="G158" s="140"/>
      <c r="H158" s="140"/>
      <c r="I158" s="140"/>
      <c r="J158" s="140"/>
      <c r="K158" s="140"/>
    </row>
    <row r="159" spans="5:28" x14ac:dyDescent="0.25">
      <c r="E159" s="289"/>
      <c r="F159" s="140"/>
      <c r="G159" s="140"/>
      <c r="H159" s="140"/>
      <c r="I159" s="140"/>
      <c r="J159" s="140"/>
      <c r="K159" s="140"/>
    </row>
    <row r="160" spans="5:28" x14ac:dyDescent="0.25">
      <c r="E160" s="289"/>
      <c r="F160" s="140"/>
      <c r="G160" s="140"/>
      <c r="H160" s="140"/>
      <c r="I160" s="140"/>
      <c r="J160" s="140"/>
      <c r="K160" s="140"/>
    </row>
    <row r="161" spans="5:11" x14ac:dyDescent="0.25">
      <c r="E161" s="289"/>
      <c r="F161" s="140"/>
      <c r="G161" s="140"/>
      <c r="H161" s="140"/>
      <c r="I161" s="140"/>
      <c r="J161" s="140"/>
      <c r="K161" s="140"/>
    </row>
    <row r="162" spans="5:11" x14ac:dyDescent="0.25">
      <c r="E162" s="289"/>
      <c r="F162" s="140"/>
      <c r="G162" s="140"/>
      <c r="H162" s="140"/>
      <c r="I162" s="140"/>
      <c r="J162" s="140"/>
      <c r="K162" s="140"/>
    </row>
    <row r="163" spans="5:11" x14ac:dyDescent="0.25">
      <c r="E163" s="289"/>
      <c r="F163" s="140"/>
      <c r="G163" s="140"/>
      <c r="H163" s="140"/>
      <c r="I163" s="140"/>
      <c r="J163" s="140"/>
      <c r="K163" s="140"/>
    </row>
    <row r="164" spans="5:11" x14ac:dyDescent="0.25">
      <c r="E164" s="289"/>
      <c r="F164" s="140"/>
      <c r="G164" s="140"/>
      <c r="H164" s="140"/>
      <c r="I164" s="140"/>
      <c r="J164" s="140"/>
      <c r="K164" s="140"/>
    </row>
    <row r="168" spans="5:11" x14ac:dyDescent="0.25">
      <c r="E168" s="130"/>
      <c r="F168" s="130"/>
      <c r="G168" s="130"/>
      <c r="H168" s="130"/>
      <c r="I168" s="130"/>
      <c r="J168" s="130"/>
      <c r="K168" s="130"/>
    </row>
  </sheetData>
  <mergeCells count="29">
    <mergeCell ref="AE73:AI73"/>
    <mergeCell ref="A6:B6"/>
    <mergeCell ref="AC26:AD26"/>
    <mergeCell ref="AC33:AD33"/>
    <mergeCell ref="AC43:AD43"/>
    <mergeCell ref="AC60:AD60"/>
    <mergeCell ref="AU1:AV1"/>
    <mergeCell ref="AR1:AS1"/>
    <mergeCell ref="AU4:AV4"/>
    <mergeCell ref="AR2:AS2"/>
    <mergeCell ref="AO44:AP44"/>
    <mergeCell ref="AO24:AP24"/>
    <mergeCell ref="AO1:AP1"/>
    <mergeCell ref="Q3:R3"/>
    <mergeCell ref="Q40:R40"/>
    <mergeCell ref="E5:E6"/>
    <mergeCell ref="J5:K5"/>
    <mergeCell ref="C4:K4"/>
    <mergeCell ref="M18:N19"/>
    <mergeCell ref="M23:N24"/>
    <mergeCell ref="M9:N9"/>
    <mergeCell ref="E111:E112"/>
    <mergeCell ref="J111:K111"/>
    <mergeCell ref="F111:G111"/>
    <mergeCell ref="F5:G5"/>
    <mergeCell ref="M28:N29"/>
    <mergeCell ref="M35:O35"/>
    <mergeCell ref="M36:O36"/>
    <mergeCell ref="M90:N91"/>
  </mergeCells>
  <phoneticPr fontId="6" type="noConversion"/>
  <pageMargins left="0.7" right="0.7" top="0.75" bottom="0.75" header="0.3" footer="0.3"/>
  <pageSetup orientation="portrait" verticalDpi="20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2:AB35"/>
  <sheetViews>
    <sheetView topLeftCell="A9" workbookViewId="0">
      <selection activeCell="H4" sqref="H4:H35"/>
    </sheetView>
  </sheetViews>
  <sheetFormatPr baseColWidth="10" defaultRowHeight="14.5" x14ac:dyDescent="0.35"/>
  <cols>
    <col min="23" max="23" width="12.453125" customWidth="1"/>
    <col min="24" max="24" width="12.54296875" customWidth="1"/>
  </cols>
  <sheetData>
    <row r="2" spans="1:28" ht="15" thickBot="1" x14ac:dyDescent="0.4">
      <c r="A2" s="128"/>
      <c r="B2" s="784" t="s">
        <v>161</v>
      </c>
      <c r="C2" s="784"/>
      <c r="D2" s="131"/>
      <c r="E2" s="131"/>
      <c r="F2" s="131"/>
      <c r="G2" s="131"/>
      <c r="H2" s="131"/>
      <c r="I2" s="131"/>
      <c r="J2" s="131"/>
      <c r="K2" s="131"/>
      <c r="L2" s="131"/>
      <c r="M2" s="131"/>
    </row>
    <row r="3" spans="1:28" ht="31.5" x14ac:dyDescent="0.35">
      <c r="A3" s="647" t="s">
        <v>300</v>
      </c>
      <c r="B3" s="647" t="s">
        <v>35</v>
      </c>
      <c r="C3" s="648" t="s">
        <v>304</v>
      </c>
      <c r="D3" s="649" t="s">
        <v>307</v>
      </c>
      <c r="E3" s="649" t="s">
        <v>314</v>
      </c>
      <c r="F3" s="649" t="s">
        <v>318</v>
      </c>
      <c r="G3" s="649" t="s">
        <v>320</v>
      </c>
      <c r="H3" s="649" t="s">
        <v>326</v>
      </c>
      <c r="I3" s="649" t="s">
        <v>308</v>
      </c>
      <c r="J3" s="649" t="s">
        <v>309</v>
      </c>
      <c r="K3" s="649" t="s">
        <v>315</v>
      </c>
      <c r="L3" s="649" t="s">
        <v>319</v>
      </c>
      <c r="M3" s="649" t="s">
        <v>321</v>
      </c>
      <c r="P3" s="251" t="s">
        <v>37</v>
      </c>
      <c r="Q3" s="258" t="s">
        <v>305</v>
      </c>
      <c r="R3" s="258" t="s">
        <v>306</v>
      </c>
      <c r="S3" s="181" t="s">
        <v>313</v>
      </c>
      <c r="T3" s="181" t="s">
        <v>317</v>
      </c>
      <c r="U3" s="181" t="s">
        <v>323</v>
      </c>
      <c r="V3" s="181" t="s">
        <v>327</v>
      </c>
      <c r="W3" s="697" t="s">
        <v>328</v>
      </c>
      <c r="X3" s="649" t="s">
        <v>329</v>
      </c>
      <c r="Y3" s="226" t="s">
        <v>311</v>
      </c>
      <c r="Z3" s="226" t="s">
        <v>312</v>
      </c>
      <c r="AA3" s="226" t="s">
        <v>316</v>
      </c>
      <c r="AB3" s="226" t="s">
        <v>322</v>
      </c>
    </row>
    <row r="4" spans="1:28" x14ac:dyDescent="0.35">
      <c r="A4" s="655">
        <v>4</v>
      </c>
      <c r="B4" s="210" t="s">
        <v>33</v>
      </c>
      <c r="C4" s="646">
        <v>4</v>
      </c>
      <c r="D4" s="646">
        <v>4</v>
      </c>
      <c r="E4" s="646">
        <v>4</v>
      </c>
      <c r="F4" s="646">
        <v>4</v>
      </c>
      <c r="G4" s="646">
        <v>4</v>
      </c>
      <c r="H4" s="646">
        <v>4</v>
      </c>
      <c r="I4" s="702">
        <v>0.77739999999999998</v>
      </c>
      <c r="J4" s="702">
        <v>0.86299999999999999</v>
      </c>
      <c r="K4" s="702">
        <v>0.94099999999999995</v>
      </c>
      <c r="L4" s="702">
        <v>1.1100000000000001</v>
      </c>
      <c r="M4" s="702">
        <v>1.254</v>
      </c>
      <c r="P4" s="658">
        <v>10</v>
      </c>
      <c r="Q4" s="326">
        <v>0.54051800000000005</v>
      </c>
      <c r="R4" s="326">
        <v>0.6</v>
      </c>
      <c r="S4" s="326">
        <v>0.65400000000000003</v>
      </c>
      <c r="T4" s="326">
        <v>0.77200000000000002</v>
      </c>
      <c r="U4" s="326">
        <v>0.872</v>
      </c>
      <c r="V4" s="719">
        <v>0.872</v>
      </c>
      <c r="W4" s="698">
        <v>1.1599999999999999</v>
      </c>
      <c r="X4" s="719">
        <v>1.1599999999999999</v>
      </c>
      <c r="Y4" s="326">
        <v>1.1100000000000001</v>
      </c>
      <c r="Z4" s="326">
        <v>1.0900000000000001</v>
      </c>
      <c r="AA4" s="326">
        <v>1.18</v>
      </c>
      <c r="AB4" s="326">
        <v>1.1299999999999999</v>
      </c>
    </row>
    <row r="5" spans="1:28" x14ac:dyDescent="0.35">
      <c r="A5" s="656">
        <v>4</v>
      </c>
      <c r="B5" s="651" t="s">
        <v>3</v>
      </c>
      <c r="C5" s="652">
        <v>4</v>
      </c>
      <c r="D5" s="652">
        <v>4</v>
      </c>
      <c r="E5" s="652">
        <v>4</v>
      </c>
      <c r="F5" s="652">
        <v>4</v>
      </c>
      <c r="G5" s="652">
        <v>4</v>
      </c>
      <c r="H5" s="652">
        <v>4</v>
      </c>
      <c r="I5" s="703">
        <v>0.77739999999999998</v>
      </c>
      <c r="J5" s="703">
        <v>0.86299999999999999</v>
      </c>
      <c r="K5" s="703">
        <v>0.94099999999999995</v>
      </c>
      <c r="L5" s="703">
        <v>1.1100000000000001</v>
      </c>
      <c r="M5" s="703">
        <v>1.254</v>
      </c>
      <c r="P5" s="659">
        <v>9</v>
      </c>
      <c r="Q5" s="650">
        <v>0.70289699999999999</v>
      </c>
      <c r="R5" s="650">
        <v>0.752</v>
      </c>
      <c r="S5" s="326">
        <v>0.84199999999999997</v>
      </c>
      <c r="T5" s="326">
        <v>0.99399999999999999</v>
      </c>
      <c r="U5" s="326">
        <v>1.123</v>
      </c>
      <c r="V5" s="720">
        <v>1.123</v>
      </c>
      <c r="W5" s="699">
        <v>1.1100000000000001</v>
      </c>
      <c r="X5" s="720">
        <v>1.1100000000000001</v>
      </c>
      <c r="Y5" s="326">
        <v>1.07</v>
      </c>
      <c r="Z5" s="326">
        <v>1.1200000000000001</v>
      </c>
      <c r="AA5" s="326">
        <v>1.18</v>
      </c>
      <c r="AB5" s="326">
        <v>1.1299999999999999</v>
      </c>
    </row>
    <row r="6" spans="1:28" x14ac:dyDescent="0.35">
      <c r="A6" s="655">
        <v>5</v>
      </c>
      <c r="B6" s="210" t="s">
        <v>4</v>
      </c>
      <c r="C6" s="646">
        <v>5</v>
      </c>
      <c r="D6" s="646">
        <v>5</v>
      </c>
      <c r="E6" s="646">
        <v>5</v>
      </c>
      <c r="F6" s="646">
        <v>5</v>
      </c>
      <c r="G6" s="646">
        <v>5</v>
      </c>
      <c r="H6" s="646">
        <v>5</v>
      </c>
      <c r="I6" s="702">
        <v>0.872</v>
      </c>
      <c r="J6" s="702">
        <v>0.96799999999999997</v>
      </c>
      <c r="K6" s="702">
        <v>1.0549999999999999</v>
      </c>
      <c r="L6" s="702">
        <v>1.2450000000000001</v>
      </c>
      <c r="M6" s="702">
        <v>1.407</v>
      </c>
      <c r="P6" s="659">
        <v>8</v>
      </c>
      <c r="Q6" s="650">
        <v>0.79193100000000005</v>
      </c>
      <c r="R6" s="650">
        <v>0.879</v>
      </c>
      <c r="S6" s="326">
        <v>0.96699999999999997</v>
      </c>
      <c r="T6" s="326">
        <v>1.141</v>
      </c>
      <c r="U6" s="326">
        <v>1.2889999999999999</v>
      </c>
      <c r="V6" s="720">
        <v>1.2889999999999999</v>
      </c>
      <c r="W6" s="699">
        <v>1.08</v>
      </c>
      <c r="X6" s="720">
        <v>1.08</v>
      </c>
      <c r="Y6" s="326">
        <v>1.1100000000000001</v>
      </c>
      <c r="Z6" s="326">
        <v>1.1000000000000001</v>
      </c>
      <c r="AA6" s="326">
        <v>1.18</v>
      </c>
      <c r="AB6" s="326">
        <v>1.1299999999999999</v>
      </c>
    </row>
    <row r="7" spans="1:28" ht="15" thickBot="1" x14ac:dyDescent="0.4">
      <c r="A7" s="656">
        <v>2</v>
      </c>
      <c r="B7" s="651" t="s">
        <v>5</v>
      </c>
      <c r="C7" s="652">
        <v>2</v>
      </c>
      <c r="D7" s="652">
        <v>2</v>
      </c>
      <c r="E7" s="652">
        <v>2</v>
      </c>
      <c r="F7" s="652">
        <v>2</v>
      </c>
      <c r="G7" s="652">
        <v>2</v>
      </c>
      <c r="H7" s="652">
        <v>2</v>
      </c>
      <c r="I7" s="703">
        <v>0.53059999999999996</v>
      </c>
      <c r="J7" s="703">
        <v>0.56799999999999995</v>
      </c>
      <c r="K7" s="703">
        <v>0.61899999999999999</v>
      </c>
      <c r="L7" s="703">
        <v>0.73</v>
      </c>
      <c r="M7" s="703">
        <v>0.82499999999999996</v>
      </c>
      <c r="P7" s="714">
        <v>7</v>
      </c>
      <c r="Q7" s="328">
        <v>0.92904699999999996</v>
      </c>
      <c r="R7" s="328">
        <v>1.0309999999999999</v>
      </c>
      <c r="S7" s="328">
        <v>1.155</v>
      </c>
      <c r="T7" s="328">
        <v>1.363</v>
      </c>
      <c r="U7" s="328">
        <v>1.54</v>
      </c>
      <c r="V7" s="721">
        <v>1.57</v>
      </c>
      <c r="W7" s="701">
        <v>1.04</v>
      </c>
      <c r="X7" s="721">
        <v>1</v>
      </c>
      <c r="Y7" s="328">
        <v>1.1100000000000001</v>
      </c>
      <c r="Z7" s="328">
        <v>1.1200000000000001</v>
      </c>
      <c r="AA7" s="328">
        <v>1.18</v>
      </c>
      <c r="AB7" s="328">
        <v>1.1299999999999999</v>
      </c>
    </row>
    <row r="8" spans="1:28" x14ac:dyDescent="0.35">
      <c r="A8" s="655">
        <v>4</v>
      </c>
      <c r="B8" s="210" t="s">
        <v>6</v>
      </c>
      <c r="C8" s="646">
        <v>4</v>
      </c>
      <c r="D8" s="646">
        <v>4</v>
      </c>
      <c r="E8" s="646">
        <v>4</v>
      </c>
      <c r="F8" s="646">
        <v>4</v>
      </c>
      <c r="G8" s="646">
        <v>4</v>
      </c>
      <c r="H8" s="646">
        <v>4</v>
      </c>
      <c r="I8" s="702">
        <v>0.77739999999999998</v>
      </c>
      <c r="J8" s="702">
        <v>0.86299999999999999</v>
      </c>
      <c r="K8" s="702">
        <v>0.94099999999999995</v>
      </c>
      <c r="L8" s="702">
        <v>1.1100000000000001</v>
      </c>
      <c r="M8" s="702">
        <v>1.254</v>
      </c>
      <c r="P8" s="713">
        <v>6</v>
      </c>
      <c r="Q8" s="650">
        <v>1</v>
      </c>
      <c r="R8" s="650">
        <v>1.07</v>
      </c>
      <c r="S8" s="650">
        <v>1.177</v>
      </c>
      <c r="T8" s="650">
        <v>1.389</v>
      </c>
      <c r="U8" s="650">
        <v>1.57</v>
      </c>
      <c r="V8" s="720">
        <v>1.5427</v>
      </c>
      <c r="W8" s="699">
        <v>1</v>
      </c>
      <c r="X8" s="720">
        <v>1</v>
      </c>
      <c r="Y8" s="650">
        <v>1.07</v>
      </c>
      <c r="Z8" s="650">
        <v>1.1000000000000001</v>
      </c>
      <c r="AA8" s="650">
        <v>1.18</v>
      </c>
      <c r="AB8" s="650">
        <v>1.1299999999999999</v>
      </c>
    </row>
    <row r="9" spans="1:28" x14ac:dyDescent="0.35">
      <c r="A9" s="656">
        <v>1</v>
      </c>
      <c r="B9" s="651" t="s">
        <v>7</v>
      </c>
      <c r="C9" s="652">
        <v>1</v>
      </c>
      <c r="D9" s="652">
        <v>1</v>
      </c>
      <c r="E9" s="652">
        <v>1</v>
      </c>
      <c r="F9" s="652">
        <v>1</v>
      </c>
      <c r="G9" s="652">
        <v>1</v>
      </c>
      <c r="H9" s="652">
        <v>1</v>
      </c>
      <c r="I9" s="703">
        <v>0.66</v>
      </c>
      <c r="J9" s="703">
        <v>0.73299999999999998</v>
      </c>
      <c r="K9" s="703">
        <v>0.79900000000000004</v>
      </c>
      <c r="L9" s="703">
        <v>0.94299999999999995</v>
      </c>
      <c r="M9" s="703">
        <v>1.0660000000000001</v>
      </c>
      <c r="P9" s="323">
        <v>5</v>
      </c>
      <c r="Q9" s="326">
        <v>0.872</v>
      </c>
      <c r="R9" s="326">
        <v>0.96799999999999997</v>
      </c>
      <c r="S9" s="326">
        <v>1.0549999999999999</v>
      </c>
      <c r="T9" s="326">
        <v>1.2450000000000001</v>
      </c>
      <c r="U9" s="326">
        <v>1.407</v>
      </c>
      <c r="V9" s="719">
        <v>1.407</v>
      </c>
      <c r="W9" s="698">
        <v>1.04</v>
      </c>
      <c r="X9" s="719">
        <v>1.04</v>
      </c>
      <c r="Y9" s="326">
        <v>1.1100000000000001</v>
      </c>
      <c r="Z9" s="326">
        <v>1.0900000000000001</v>
      </c>
      <c r="AA9" s="326">
        <v>1.18</v>
      </c>
      <c r="AB9" s="326">
        <v>1.1299999999999999</v>
      </c>
    </row>
    <row r="10" spans="1:28" x14ac:dyDescent="0.35">
      <c r="A10" s="655">
        <v>2</v>
      </c>
      <c r="B10" s="210" t="s">
        <v>8</v>
      </c>
      <c r="C10" s="646">
        <v>2</v>
      </c>
      <c r="D10" s="646">
        <v>2</v>
      </c>
      <c r="E10" s="646">
        <v>2</v>
      </c>
      <c r="F10" s="646">
        <v>2</v>
      </c>
      <c r="G10" s="646">
        <v>2</v>
      </c>
      <c r="H10" s="646">
        <v>2</v>
      </c>
      <c r="I10" s="702">
        <v>0.53059999999999996</v>
      </c>
      <c r="J10" s="702">
        <v>0.56799999999999995</v>
      </c>
      <c r="K10" s="702">
        <v>0.61899999999999999</v>
      </c>
      <c r="L10" s="702">
        <v>0.73</v>
      </c>
      <c r="M10" s="702">
        <v>0.82499999999999996</v>
      </c>
      <c r="P10" s="323">
        <v>4</v>
      </c>
      <c r="Q10" s="327">
        <v>0.77739999999999998</v>
      </c>
      <c r="R10" s="327">
        <v>0.86299999999999999</v>
      </c>
      <c r="S10" s="326">
        <v>0.94099999999999995</v>
      </c>
      <c r="T10" s="326">
        <v>1.1100000000000001</v>
      </c>
      <c r="U10" s="326">
        <v>1.254</v>
      </c>
      <c r="V10" s="722">
        <v>1.254</v>
      </c>
      <c r="W10" s="700">
        <v>1.08</v>
      </c>
      <c r="X10" s="722">
        <v>1.08</v>
      </c>
      <c r="Y10" s="326">
        <v>1.1100000000000001</v>
      </c>
      <c r="Z10" s="326">
        <v>1.0900000000000001</v>
      </c>
      <c r="AA10" s="326">
        <v>1.18</v>
      </c>
      <c r="AB10" s="326">
        <v>1.1299999999999999</v>
      </c>
    </row>
    <row r="11" spans="1:28" x14ac:dyDescent="0.35">
      <c r="A11" s="656">
        <v>5</v>
      </c>
      <c r="B11" s="651" t="s">
        <v>9</v>
      </c>
      <c r="C11" s="652">
        <v>5</v>
      </c>
      <c r="D11" s="652">
        <v>5</v>
      </c>
      <c r="E11" s="652">
        <v>5</v>
      </c>
      <c r="F11" s="652">
        <v>5</v>
      </c>
      <c r="G11" s="652">
        <v>5</v>
      </c>
      <c r="H11" s="652">
        <v>5</v>
      </c>
      <c r="I11" s="703">
        <v>0.872</v>
      </c>
      <c r="J11" s="703">
        <v>0.96799999999999997</v>
      </c>
      <c r="K11" s="703">
        <v>1.0549999999999999</v>
      </c>
      <c r="L11" s="703">
        <v>1.2450000000000001</v>
      </c>
      <c r="M11" s="703">
        <v>1.407</v>
      </c>
      <c r="P11" s="323">
        <v>3</v>
      </c>
      <c r="Q11" s="327">
        <v>0.69</v>
      </c>
      <c r="R11" s="327">
        <v>0.73799999999999999</v>
      </c>
      <c r="S11" s="326">
        <v>0.80400000000000005</v>
      </c>
      <c r="T11" s="326">
        <v>0.94899999999999995</v>
      </c>
      <c r="U11" s="326">
        <v>1.0720000000000001</v>
      </c>
      <c r="V11" s="722">
        <v>1.0720000000000001</v>
      </c>
      <c r="W11" s="700">
        <v>1.1100000000000001</v>
      </c>
      <c r="X11" s="722">
        <v>1.1100000000000001</v>
      </c>
      <c r="Y11" s="326">
        <v>1.07</v>
      </c>
      <c r="Z11" s="326">
        <v>1.0900000000000001</v>
      </c>
      <c r="AA11" s="326">
        <v>1.18</v>
      </c>
      <c r="AB11" s="326">
        <v>1.1299999999999999</v>
      </c>
    </row>
    <row r="12" spans="1:28" x14ac:dyDescent="0.35">
      <c r="A12" s="655">
        <v>6</v>
      </c>
      <c r="B12" s="210" t="s">
        <v>288</v>
      </c>
      <c r="C12" s="646">
        <v>6</v>
      </c>
      <c r="D12" s="646">
        <v>6</v>
      </c>
      <c r="E12" s="646">
        <v>6</v>
      </c>
      <c r="F12" s="646">
        <v>6</v>
      </c>
      <c r="G12" s="646">
        <v>6</v>
      </c>
      <c r="H12" s="646">
        <v>6</v>
      </c>
      <c r="I12" s="702">
        <v>1</v>
      </c>
      <c r="J12" s="702">
        <v>1.07</v>
      </c>
      <c r="K12" s="702">
        <v>1.177</v>
      </c>
      <c r="L12" s="702">
        <v>1.389</v>
      </c>
      <c r="M12" s="702">
        <v>1.57</v>
      </c>
      <c r="P12" s="323">
        <v>2</v>
      </c>
      <c r="Q12" s="327">
        <v>0.53059999999999996</v>
      </c>
      <c r="R12" s="327">
        <v>0.56799999999999995</v>
      </c>
      <c r="S12" s="326">
        <v>0.61899999999999999</v>
      </c>
      <c r="T12" s="326">
        <v>0.73</v>
      </c>
      <c r="U12" s="326">
        <v>0.82499999999999996</v>
      </c>
      <c r="V12" s="722">
        <v>0.82499999999999996</v>
      </c>
      <c r="W12" s="700">
        <v>1.1599999999999999</v>
      </c>
      <c r="X12" s="722">
        <v>1.1599999999999999</v>
      </c>
      <c r="Y12" s="326">
        <v>1.07</v>
      </c>
      <c r="Z12" s="326">
        <v>1.0900000000000001</v>
      </c>
      <c r="AA12" s="326">
        <v>1.18</v>
      </c>
      <c r="AB12" s="326">
        <v>1.1299999999999999</v>
      </c>
    </row>
    <row r="13" spans="1:28" ht="15" thickBot="1" x14ac:dyDescent="0.4">
      <c r="A13" s="656">
        <v>1</v>
      </c>
      <c r="B13" s="651" t="s">
        <v>34</v>
      </c>
      <c r="C13" s="652">
        <v>1</v>
      </c>
      <c r="D13" s="652">
        <v>1</v>
      </c>
      <c r="E13" s="652">
        <v>1</v>
      </c>
      <c r="F13" s="652">
        <v>1</v>
      </c>
      <c r="G13" s="652">
        <v>1</v>
      </c>
      <c r="H13" s="652">
        <v>1</v>
      </c>
      <c r="I13" s="703">
        <v>0.66</v>
      </c>
      <c r="J13" s="703">
        <v>0.73299999999999998</v>
      </c>
      <c r="K13" s="703">
        <v>0.79900000000000004</v>
      </c>
      <c r="L13" s="703">
        <v>0.94299999999999995</v>
      </c>
      <c r="M13" s="703">
        <v>1.0660000000000001</v>
      </c>
      <c r="P13" s="324">
        <v>1</v>
      </c>
      <c r="Q13" s="328">
        <v>0.66</v>
      </c>
      <c r="R13" s="328">
        <v>0.73299999999999998</v>
      </c>
      <c r="S13" s="328">
        <v>0.79900000000000004</v>
      </c>
      <c r="T13" s="328">
        <v>0.94299999999999995</v>
      </c>
      <c r="U13" s="328">
        <v>1.0660000000000001</v>
      </c>
      <c r="V13" s="721">
        <v>1.0660000000000001</v>
      </c>
      <c r="W13" s="701">
        <v>1.1200000000000001</v>
      </c>
      <c r="X13" s="721">
        <v>1.1200000000000001</v>
      </c>
      <c r="Y13" s="328">
        <v>1.1100000000000001</v>
      </c>
      <c r="Z13" s="328">
        <v>1.0900000000000001</v>
      </c>
      <c r="AA13" s="328">
        <v>1.18</v>
      </c>
      <c r="AB13" s="328">
        <v>1.1299999999999999</v>
      </c>
    </row>
    <row r="14" spans="1:28" x14ac:dyDescent="0.35">
      <c r="A14" s="655">
        <v>3</v>
      </c>
      <c r="B14" s="210" t="s">
        <v>10</v>
      </c>
      <c r="C14" s="646">
        <v>3</v>
      </c>
      <c r="D14" s="646">
        <v>3</v>
      </c>
      <c r="E14" s="646">
        <v>3</v>
      </c>
      <c r="F14" s="646">
        <v>3</v>
      </c>
      <c r="G14" s="646">
        <v>3</v>
      </c>
      <c r="H14" s="646">
        <v>3</v>
      </c>
      <c r="I14" s="702">
        <v>0.69</v>
      </c>
      <c r="J14" s="702">
        <v>0.73799999999999999</v>
      </c>
      <c r="K14" s="702">
        <v>0.80400000000000005</v>
      </c>
      <c r="L14" s="702">
        <v>0.94899999999999995</v>
      </c>
      <c r="M14" s="702">
        <v>1.0720000000000001</v>
      </c>
    </row>
    <row r="15" spans="1:28" x14ac:dyDescent="0.35">
      <c r="A15" s="656">
        <v>5</v>
      </c>
      <c r="B15" s="651" t="s">
        <v>11</v>
      </c>
      <c r="C15" s="652">
        <v>5</v>
      </c>
      <c r="D15" s="652">
        <v>5</v>
      </c>
      <c r="E15" s="652">
        <v>5</v>
      </c>
      <c r="F15" s="652">
        <v>5</v>
      </c>
      <c r="G15" s="652">
        <v>5</v>
      </c>
      <c r="H15" s="652">
        <v>5</v>
      </c>
      <c r="I15" s="703">
        <v>0.872</v>
      </c>
      <c r="J15" s="703">
        <v>0.96799999999999997</v>
      </c>
      <c r="K15" s="703">
        <v>1.0549999999999999</v>
      </c>
      <c r="L15" s="703">
        <v>1.2450000000000001</v>
      </c>
      <c r="M15" s="703">
        <v>1.407</v>
      </c>
    </row>
    <row r="16" spans="1:28" x14ac:dyDescent="0.35">
      <c r="A16" s="655">
        <v>1</v>
      </c>
      <c r="B16" s="210" t="s">
        <v>12</v>
      </c>
      <c r="C16" s="646">
        <v>1</v>
      </c>
      <c r="D16" s="646">
        <v>1</v>
      </c>
      <c r="E16" s="646">
        <v>1</v>
      </c>
      <c r="F16" s="646">
        <v>1</v>
      </c>
      <c r="G16" s="646">
        <v>1</v>
      </c>
      <c r="H16" s="646">
        <v>1</v>
      </c>
      <c r="I16" s="702">
        <v>0.66</v>
      </c>
      <c r="J16" s="702">
        <v>0.73299999999999998</v>
      </c>
      <c r="K16" s="702">
        <v>0.79900000000000004</v>
      </c>
      <c r="L16" s="702">
        <v>0.94299999999999995</v>
      </c>
      <c r="M16" s="702">
        <v>1.0660000000000001</v>
      </c>
    </row>
    <row r="17" spans="1:13" x14ac:dyDescent="0.35">
      <c r="A17" s="656">
        <v>4</v>
      </c>
      <c r="B17" s="651" t="s">
        <v>13</v>
      </c>
      <c r="C17" s="652">
        <v>8</v>
      </c>
      <c r="D17" s="652">
        <v>8</v>
      </c>
      <c r="E17" s="652">
        <v>8</v>
      </c>
      <c r="F17" s="652">
        <v>8</v>
      </c>
      <c r="G17" s="652">
        <v>8</v>
      </c>
      <c r="H17" s="652">
        <v>8</v>
      </c>
      <c r="I17" s="703">
        <v>0.79193100000000005</v>
      </c>
      <c r="J17" s="703">
        <v>0.879</v>
      </c>
      <c r="K17" s="703">
        <v>0.96699999999999997</v>
      </c>
      <c r="L17" s="703">
        <v>1.141</v>
      </c>
      <c r="M17" s="703">
        <v>1.2889999999999999</v>
      </c>
    </row>
    <row r="18" spans="1:13" x14ac:dyDescent="0.35">
      <c r="A18" s="655">
        <v>6</v>
      </c>
      <c r="B18" s="210" t="s">
        <v>14</v>
      </c>
      <c r="C18" s="646">
        <v>6</v>
      </c>
      <c r="D18" s="646">
        <v>6</v>
      </c>
      <c r="E18" s="646">
        <v>6</v>
      </c>
      <c r="F18" s="646">
        <v>6</v>
      </c>
      <c r="G18" s="646">
        <v>6</v>
      </c>
      <c r="H18" s="646">
        <v>6</v>
      </c>
      <c r="I18" s="702">
        <v>1</v>
      </c>
      <c r="J18" s="702">
        <v>1.07</v>
      </c>
      <c r="K18" s="702">
        <v>1.177</v>
      </c>
      <c r="L18" s="702">
        <v>1.389</v>
      </c>
      <c r="M18" s="702">
        <v>1.57</v>
      </c>
    </row>
    <row r="19" spans="1:13" x14ac:dyDescent="0.35">
      <c r="A19" s="656">
        <v>4</v>
      </c>
      <c r="B19" s="651" t="s">
        <v>15</v>
      </c>
      <c r="C19" s="652">
        <v>4</v>
      </c>
      <c r="D19" s="652">
        <v>4</v>
      </c>
      <c r="E19" s="652">
        <v>4</v>
      </c>
      <c r="F19" s="652">
        <v>4</v>
      </c>
      <c r="G19" s="652">
        <v>4</v>
      </c>
      <c r="H19" s="652">
        <v>4</v>
      </c>
      <c r="I19" s="703">
        <v>0.77739999999999998</v>
      </c>
      <c r="J19" s="703">
        <v>0.86299999999999999</v>
      </c>
      <c r="K19" s="703">
        <v>0.94099999999999995</v>
      </c>
      <c r="L19" s="703">
        <v>1.1100000000000001</v>
      </c>
      <c r="M19" s="703">
        <v>1.254</v>
      </c>
    </row>
    <row r="20" spans="1:13" x14ac:dyDescent="0.35">
      <c r="A20" s="655">
        <v>5</v>
      </c>
      <c r="B20" s="210" t="s">
        <v>16</v>
      </c>
      <c r="C20" s="646">
        <v>5</v>
      </c>
      <c r="D20" s="646">
        <v>5</v>
      </c>
      <c r="E20" s="646">
        <v>5</v>
      </c>
      <c r="F20" s="646">
        <v>5</v>
      </c>
      <c r="G20" s="646">
        <v>5</v>
      </c>
      <c r="H20" s="646">
        <v>5</v>
      </c>
      <c r="I20" s="702">
        <v>0.872</v>
      </c>
      <c r="J20" s="702">
        <v>0.96799999999999997</v>
      </c>
      <c r="K20" s="702">
        <v>1.0549999999999999</v>
      </c>
      <c r="L20" s="702">
        <v>1.2450000000000001</v>
      </c>
      <c r="M20" s="702">
        <v>1.407</v>
      </c>
    </row>
    <row r="21" spans="1:13" x14ac:dyDescent="0.35">
      <c r="A21" s="656">
        <v>1</v>
      </c>
      <c r="B21" s="651" t="s">
        <v>17</v>
      </c>
      <c r="C21" s="652">
        <v>1</v>
      </c>
      <c r="D21" s="652">
        <v>1</v>
      </c>
      <c r="E21" s="652">
        <v>1</v>
      </c>
      <c r="F21" s="652">
        <v>1</v>
      </c>
      <c r="G21" s="652">
        <v>1</v>
      </c>
      <c r="H21" s="652">
        <v>1</v>
      </c>
      <c r="I21" s="703">
        <v>0.66</v>
      </c>
      <c r="J21" s="703">
        <v>0.73299999999999998</v>
      </c>
      <c r="K21" s="703">
        <v>0.79900000000000004</v>
      </c>
      <c r="L21" s="703">
        <v>0.94299999999999995</v>
      </c>
      <c r="M21" s="703">
        <v>1.0660000000000001</v>
      </c>
    </row>
    <row r="22" spans="1:13" x14ac:dyDescent="0.35">
      <c r="A22" s="655">
        <v>5</v>
      </c>
      <c r="B22" s="210" t="s">
        <v>18</v>
      </c>
      <c r="C22" s="646">
        <v>7</v>
      </c>
      <c r="D22" s="646">
        <v>7</v>
      </c>
      <c r="E22" s="646">
        <v>7</v>
      </c>
      <c r="F22" s="715">
        <v>6</v>
      </c>
      <c r="G22" s="646">
        <v>6</v>
      </c>
      <c r="H22" s="646">
        <v>7</v>
      </c>
      <c r="I22" s="702">
        <v>0.92904699999999996</v>
      </c>
      <c r="J22" s="702">
        <v>1.0309999999999999</v>
      </c>
      <c r="K22" s="702">
        <v>1.155</v>
      </c>
      <c r="L22" s="702">
        <v>1.389</v>
      </c>
      <c r="M22" s="702">
        <v>1.57</v>
      </c>
    </row>
    <row r="23" spans="1:13" x14ac:dyDescent="0.35">
      <c r="A23" s="656">
        <v>1</v>
      </c>
      <c r="B23" s="651" t="s">
        <v>19</v>
      </c>
      <c r="C23" s="652">
        <v>1</v>
      </c>
      <c r="D23" s="652">
        <v>1</v>
      </c>
      <c r="E23" s="652">
        <v>1</v>
      </c>
      <c r="F23" s="652">
        <v>1</v>
      </c>
      <c r="G23" s="652">
        <v>1</v>
      </c>
      <c r="H23" s="652">
        <v>1</v>
      </c>
      <c r="I23" s="703">
        <v>0.66</v>
      </c>
      <c r="J23" s="703">
        <v>0.73299999999999998</v>
      </c>
      <c r="K23" s="703">
        <v>0.79900000000000004</v>
      </c>
      <c r="L23" s="703">
        <v>0.94299999999999995</v>
      </c>
      <c r="M23" s="703">
        <v>1.0660000000000001</v>
      </c>
    </row>
    <row r="24" spans="1:13" x14ac:dyDescent="0.35">
      <c r="A24" s="655">
        <v>2</v>
      </c>
      <c r="B24" s="210" t="s">
        <v>20</v>
      </c>
      <c r="C24" s="646">
        <v>10</v>
      </c>
      <c r="D24" s="646">
        <v>10</v>
      </c>
      <c r="E24" s="646">
        <v>10</v>
      </c>
      <c r="F24" s="646">
        <v>10</v>
      </c>
      <c r="G24" s="646">
        <v>10</v>
      </c>
      <c r="H24" s="646">
        <v>10</v>
      </c>
      <c r="I24" s="702">
        <v>0.54051800000000005</v>
      </c>
      <c r="J24" s="702">
        <v>0.6</v>
      </c>
      <c r="K24" s="702">
        <v>0.65400000000000003</v>
      </c>
      <c r="L24" s="702">
        <v>0.77200000000000002</v>
      </c>
      <c r="M24" s="702">
        <v>0.872</v>
      </c>
    </row>
    <row r="25" spans="1:13" x14ac:dyDescent="0.35">
      <c r="A25" s="656">
        <v>3</v>
      </c>
      <c r="B25" s="651" t="s">
        <v>21</v>
      </c>
      <c r="C25" s="652">
        <v>9</v>
      </c>
      <c r="D25" s="652">
        <v>9</v>
      </c>
      <c r="E25" s="652">
        <v>9</v>
      </c>
      <c r="F25" s="652">
        <v>9</v>
      </c>
      <c r="G25" s="652">
        <v>9</v>
      </c>
      <c r="H25" s="652">
        <v>9</v>
      </c>
      <c r="I25" s="703">
        <v>0.70289699999999999</v>
      </c>
      <c r="J25" s="703">
        <v>0.752</v>
      </c>
      <c r="K25" s="703">
        <v>0.84199999999999997</v>
      </c>
      <c r="L25" s="703">
        <v>0.99399999999999999</v>
      </c>
      <c r="M25" s="703">
        <v>1.123</v>
      </c>
    </row>
    <row r="26" spans="1:13" x14ac:dyDescent="0.35">
      <c r="A26" s="655">
        <v>2</v>
      </c>
      <c r="B26" s="210" t="s">
        <v>22</v>
      </c>
      <c r="C26" s="646">
        <v>2</v>
      </c>
      <c r="D26" s="646">
        <v>2</v>
      </c>
      <c r="E26" s="646">
        <v>2</v>
      </c>
      <c r="F26" s="646">
        <v>2</v>
      </c>
      <c r="G26" s="646">
        <v>2</v>
      </c>
      <c r="H26" s="646">
        <v>2</v>
      </c>
      <c r="I26" s="702">
        <v>0.53059999999999996</v>
      </c>
      <c r="J26" s="702">
        <v>0.56799999999999995</v>
      </c>
      <c r="K26" s="702">
        <v>0.61899999999999999</v>
      </c>
      <c r="L26" s="702">
        <v>0.73</v>
      </c>
      <c r="M26" s="702">
        <v>0.82499999999999996</v>
      </c>
    </row>
    <row r="27" spans="1:13" x14ac:dyDescent="0.35">
      <c r="A27" s="656">
        <v>3</v>
      </c>
      <c r="B27" s="651" t="s">
        <v>23</v>
      </c>
      <c r="C27" s="652">
        <v>3</v>
      </c>
      <c r="D27" s="652">
        <v>3</v>
      </c>
      <c r="E27" s="652">
        <v>3</v>
      </c>
      <c r="F27" s="652">
        <v>3</v>
      </c>
      <c r="G27" s="652">
        <v>3</v>
      </c>
      <c r="H27" s="652">
        <v>3</v>
      </c>
      <c r="I27" s="703">
        <v>0.69</v>
      </c>
      <c r="J27" s="703">
        <v>0.73799999999999999</v>
      </c>
      <c r="K27" s="703">
        <v>0.80400000000000005</v>
      </c>
      <c r="L27" s="703">
        <v>0.94899999999999995</v>
      </c>
      <c r="M27" s="703">
        <v>1.0720000000000001</v>
      </c>
    </row>
    <row r="28" spans="1:13" x14ac:dyDescent="0.35">
      <c r="A28" s="655">
        <v>5</v>
      </c>
      <c r="B28" s="210" t="s">
        <v>24</v>
      </c>
      <c r="C28" s="646">
        <v>5</v>
      </c>
      <c r="D28" s="646">
        <v>5</v>
      </c>
      <c r="E28" s="646">
        <v>5</v>
      </c>
      <c r="F28" s="646">
        <v>5</v>
      </c>
      <c r="G28" s="646">
        <v>5</v>
      </c>
      <c r="H28" s="646">
        <v>5</v>
      </c>
      <c r="I28" s="702">
        <v>0.872</v>
      </c>
      <c r="J28" s="702">
        <v>0.96799999999999997</v>
      </c>
      <c r="K28" s="702">
        <v>1.0549999999999999</v>
      </c>
      <c r="L28" s="702">
        <v>1.2450000000000001</v>
      </c>
      <c r="M28" s="702">
        <v>1.407</v>
      </c>
    </row>
    <row r="29" spans="1:13" x14ac:dyDescent="0.35">
      <c r="A29" s="656">
        <v>1</v>
      </c>
      <c r="B29" s="651" t="s">
        <v>25</v>
      </c>
      <c r="C29" s="652">
        <v>1</v>
      </c>
      <c r="D29" s="652">
        <v>1</v>
      </c>
      <c r="E29" s="652">
        <v>1</v>
      </c>
      <c r="F29" s="652">
        <v>1</v>
      </c>
      <c r="G29" s="652">
        <v>1</v>
      </c>
      <c r="H29" s="652">
        <v>1</v>
      </c>
      <c r="I29" s="703">
        <v>0.66</v>
      </c>
      <c r="J29" s="703">
        <v>0.73299999999999998</v>
      </c>
      <c r="K29" s="703">
        <v>0.79900000000000004</v>
      </c>
      <c r="L29" s="703">
        <v>0.94299999999999995</v>
      </c>
      <c r="M29" s="703">
        <v>1.0660000000000001</v>
      </c>
    </row>
    <row r="30" spans="1:13" x14ac:dyDescent="0.35">
      <c r="A30" s="655">
        <v>2</v>
      </c>
      <c r="B30" s="210" t="s">
        <v>26</v>
      </c>
      <c r="C30" s="646">
        <v>2</v>
      </c>
      <c r="D30" s="646">
        <v>2</v>
      </c>
      <c r="E30" s="646">
        <v>2</v>
      </c>
      <c r="F30" s="646">
        <v>2</v>
      </c>
      <c r="G30" s="646">
        <v>2</v>
      </c>
      <c r="H30" s="646">
        <v>2</v>
      </c>
      <c r="I30" s="702">
        <v>0.53059999999999996</v>
      </c>
      <c r="J30" s="702">
        <v>0.56799999999999995</v>
      </c>
      <c r="K30" s="702">
        <v>0.61899999999999999</v>
      </c>
      <c r="L30" s="702">
        <v>0.73</v>
      </c>
      <c r="M30" s="702">
        <v>0.82499999999999996</v>
      </c>
    </row>
    <row r="31" spans="1:13" x14ac:dyDescent="0.35">
      <c r="A31" s="656">
        <v>5</v>
      </c>
      <c r="B31" s="651" t="s">
        <v>27</v>
      </c>
      <c r="C31" s="652">
        <v>5</v>
      </c>
      <c r="D31" s="652">
        <v>5</v>
      </c>
      <c r="E31" s="652">
        <v>5</v>
      </c>
      <c r="F31" s="652">
        <v>5</v>
      </c>
      <c r="G31" s="652">
        <v>5</v>
      </c>
      <c r="H31" s="652">
        <v>5</v>
      </c>
      <c r="I31" s="703">
        <v>0.872</v>
      </c>
      <c r="J31" s="703">
        <v>0.96799999999999997</v>
      </c>
      <c r="K31" s="703">
        <v>1.0549999999999999</v>
      </c>
      <c r="L31" s="703">
        <v>1.2450000000000001</v>
      </c>
      <c r="M31" s="703">
        <v>1.407</v>
      </c>
    </row>
    <row r="32" spans="1:13" x14ac:dyDescent="0.35">
      <c r="A32" s="655">
        <v>2</v>
      </c>
      <c r="B32" s="210" t="s">
        <v>28</v>
      </c>
      <c r="C32" s="646">
        <v>2</v>
      </c>
      <c r="D32" s="646">
        <v>2</v>
      </c>
      <c r="E32" s="646">
        <v>2</v>
      </c>
      <c r="F32" s="646">
        <v>2</v>
      </c>
      <c r="G32" s="646">
        <v>2</v>
      </c>
      <c r="H32" s="646">
        <v>2</v>
      </c>
      <c r="I32" s="702">
        <v>0.53059999999999996</v>
      </c>
      <c r="J32" s="702">
        <v>0.56799999999999995</v>
      </c>
      <c r="K32" s="702">
        <v>0.61899999999999999</v>
      </c>
      <c r="L32" s="702">
        <v>0.73</v>
      </c>
      <c r="M32" s="702">
        <v>0.82499999999999996</v>
      </c>
    </row>
    <row r="33" spans="1:13" x14ac:dyDescent="0.35">
      <c r="A33" s="656">
        <v>2</v>
      </c>
      <c r="B33" s="651" t="s">
        <v>29</v>
      </c>
      <c r="C33" s="652">
        <v>2</v>
      </c>
      <c r="D33" s="652">
        <v>2</v>
      </c>
      <c r="E33" s="652">
        <v>2</v>
      </c>
      <c r="F33" s="652">
        <v>2</v>
      </c>
      <c r="G33" s="652">
        <v>2</v>
      </c>
      <c r="H33" s="652">
        <v>2</v>
      </c>
      <c r="I33" s="703">
        <v>0.53059999999999996</v>
      </c>
      <c r="J33" s="703">
        <v>0.56799999999999995</v>
      </c>
      <c r="K33" s="703">
        <v>0.61899999999999999</v>
      </c>
      <c r="L33" s="703">
        <v>0.73</v>
      </c>
      <c r="M33" s="703">
        <v>0.82499999999999996</v>
      </c>
    </row>
    <row r="34" spans="1:13" x14ac:dyDescent="0.35">
      <c r="A34" s="655">
        <v>2</v>
      </c>
      <c r="B34" s="210" t="s">
        <v>30</v>
      </c>
      <c r="C34" s="646">
        <v>2</v>
      </c>
      <c r="D34" s="646">
        <v>10</v>
      </c>
      <c r="E34" s="646">
        <v>10</v>
      </c>
      <c r="F34" s="646">
        <v>10</v>
      </c>
      <c r="G34" s="646">
        <v>10</v>
      </c>
      <c r="H34" s="646">
        <v>10</v>
      </c>
      <c r="I34" s="702">
        <v>0.53059999999999996</v>
      </c>
      <c r="J34" s="702">
        <v>0.6</v>
      </c>
      <c r="K34" s="702">
        <v>0.65400000000000003</v>
      </c>
      <c r="L34" s="702">
        <v>0.77200000000000002</v>
      </c>
      <c r="M34" s="702">
        <v>0.872</v>
      </c>
    </row>
    <row r="35" spans="1:13" ht="15" thickBot="1" x14ac:dyDescent="0.4">
      <c r="A35" s="657">
        <v>5</v>
      </c>
      <c r="B35" s="653" t="s">
        <v>31</v>
      </c>
      <c r="C35" s="654">
        <v>5</v>
      </c>
      <c r="D35" s="654">
        <v>5</v>
      </c>
      <c r="E35" s="654">
        <v>5</v>
      </c>
      <c r="F35" s="654">
        <v>5</v>
      </c>
      <c r="G35" s="654">
        <v>5</v>
      </c>
      <c r="H35" s="654">
        <v>5</v>
      </c>
      <c r="I35" s="704">
        <v>0.872</v>
      </c>
      <c r="J35" s="704">
        <v>0.96799999999999997</v>
      </c>
      <c r="K35" s="704">
        <v>1.0549999999999999</v>
      </c>
      <c r="L35" s="704">
        <v>1.2450000000000001</v>
      </c>
      <c r="M35" s="704">
        <v>1.407</v>
      </c>
    </row>
  </sheetData>
  <mergeCells count="1">
    <mergeCell ref="B2:C2"/>
  </mergeCells>
  <phoneticPr fontId="128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58</vt:i4>
      </vt:variant>
    </vt:vector>
  </HeadingPairs>
  <TitlesOfParts>
    <vt:vector size="61" baseType="lpstr">
      <vt:lpstr>Cotizador</vt:lpstr>
      <vt:lpstr>Parametros</vt:lpstr>
      <vt:lpstr>Cotizacion</vt:lpstr>
      <vt:lpstr>Alto</vt:lpstr>
      <vt:lpstr>Cotizacion!Área_de_impresión</vt:lpstr>
      <vt:lpstr>Cotizador!Área_de_impresión</vt:lpstr>
      <vt:lpstr>COASEGURO</vt:lpstr>
      <vt:lpstr>DEDUCIBLE</vt:lpstr>
      <vt:lpstr>EDAD</vt:lpstr>
      <vt:lpstr>ESTADO</vt:lpstr>
      <vt:lpstr>Estandar</vt:lpstr>
      <vt:lpstr>FAYUDADIARIA</vt:lpstr>
      <vt:lpstr>FCOBEXT</vt:lpstr>
      <vt:lpstr>FCONTINUIDAD</vt:lpstr>
      <vt:lpstr>FCS</vt:lpstr>
      <vt:lpstr>FDCE</vt:lpstr>
      <vt:lpstr>FDED</vt:lpstr>
      <vt:lpstr>FELIMINADEDYCS</vt:lpstr>
      <vt:lpstr>FEME</vt:lpstr>
      <vt:lpstr>FENFGVESEXT</vt:lpstr>
      <vt:lpstr>FGASTOEXT</vt:lpstr>
      <vt:lpstr>FGFD1</vt:lpstr>
      <vt:lpstr>FGFD2</vt:lpstr>
      <vt:lpstr>FGFD3</vt:lpstr>
      <vt:lpstr>FGFD4</vt:lpstr>
      <vt:lpstr>FGFD5</vt:lpstr>
      <vt:lpstr>FGFTITULAR</vt:lpstr>
      <vt:lpstr>FNH</vt:lpstr>
      <vt:lpstr>FR</vt:lpstr>
      <vt:lpstr>FRC</vt:lpstr>
      <vt:lpstr>FROD1</vt:lpstr>
      <vt:lpstr>FROD2</vt:lpstr>
      <vt:lpstr>FROD3</vt:lpstr>
      <vt:lpstr>FROD4</vt:lpstr>
      <vt:lpstr>FROD5</vt:lpstr>
      <vt:lpstr>FROTITULAR</vt:lpstr>
      <vt:lpstr>FSA</vt:lpstr>
      <vt:lpstr>FTABHM</vt:lpstr>
      <vt:lpstr>GASADMON</vt:lpstr>
      <vt:lpstr>GASADQUI</vt:lpstr>
      <vt:lpstr>HM</vt:lpstr>
      <vt:lpstr>HONMED</vt:lpstr>
      <vt:lpstr>INFLACION2008</vt:lpstr>
      <vt:lpstr>INFLACION2009</vt:lpstr>
      <vt:lpstr>INFLACION2010</vt:lpstr>
      <vt:lpstr>INFLACION2011</vt:lpstr>
      <vt:lpstr>MARGENDESVIACION</vt:lpstr>
      <vt:lpstr>Medio</vt:lpstr>
      <vt:lpstr>Mr</vt:lpstr>
      <vt:lpstr>NH</vt:lpstr>
      <vt:lpstr>PCATD1</vt:lpstr>
      <vt:lpstr>PCATD2</vt:lpstr>
      <vt:lpstr>PCATD3</vt:lpstr>
      <vt:lpstr>PCATD4</vt:lpstr>
      <vt:lpstr>PCATD5</vt:lpstr>
      <vt:lpstr>PCATTITULAR</vt:lpstr>
      <vt:lpstr>RO</vt:lpstr>
      <vt:lpstr>SA</vt:lpstr>
      <vt:lpstr>UTILIDAD</vt:lpstr>
      <vt:lpstr>ZONA_COBEXT</vt:lpstr>
      <vt:lpstr>ZONA_EME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ISRAELRR</dc:creator>
  <cp:lastModifiedBy>ADMIN</cp:lastModifiedBy>
  <cp:lastPrinted>2023-07-26T23:15:55Z</cp:lastPrinted>
  <dcterms:created xsi:type="dcterms:W3CDTF">2007-12-11T18:56:11Z</dcterms:created>
  <dcterms:modified xsi:type="dcterms:W3CDTF">2024-08-16T13:27:02Z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a4b3fbbc-b537-4f53-9d75-334bf2f8a16d</vt:lpwstr>
  </property>
</Properties>
</file>